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181936억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192996억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201022억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207864억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215622억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226082억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238445억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252123억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266563억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279067억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181936억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192996억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201022억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207864억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215622억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226082억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238445억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252123억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266563억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279067억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추정(실적 구간 갭필): fin.shares.common_outstanding 159,155,279주 × 1/5(환산 — 2025Q4 1/5 병합; IAS 33.64 비교표시·수정주가 이력과 정합)</t>
      </text>
    </comment>
    <comment ref="G33" authorId="0" shapeId="0">
      <text>
        <t>추정(실적 구간 갭필): fin.shares.common_outstanding 159,155,279주 × 1/5(환산 — 2025Q4 1/5 병합; IAS 33.64 비교표시·수정주가 이력과 정합)</t>
      </text>
    </comment>
    <comment ref="H33" authorId="0" shapeId="0">
      <text>
        <t>추정(실적 구간 갭필): fin.shares.common_outstanding 159,155,279주 × 1/5(환산 — 2025Q4 1/5 병합; IAS 33.64 비교표시·수정주가 이력과 정합)</t>
      </text>
    </comment>
    <comment ref="I33" authorId="0" shapeId="0">
      <text>
        <t>추정(실적 구간 갭필): fin.shares.common_outstanding 159,155,279주 × 1/5(환산 — 2025Q4 1/5 병합; IAS 33.64 비교표시·수정주가 이력과 정합)</t>
      </text>
    </comment>
    <comment ref="J33" authorId="0" shapeId="0">
      <text>
        <t>추정(실적 구간 갭필): fin.shares.common_outstanding 159,155,279주 × 1/5(환산 — 2025Q4 1/5 병합; IAS 33.64 비교표시·수정주가 이력과 정합)</t>
      </text>
    </comment>
    <comment ref="L33" authorId="0" shapeId="0">
      <text>
        <t>추정(실적 구간 갭필): fin.shares.common_outstanding 159,155,279주 × 1/5(환산 — 2025Q4 1/5 병합; IAS 33.64 비교표시·수정주가 이력과 정합)</t>
      </text>
    </comment>
    <comment ref="M33" authorId="0" shapeId="0">
      <text>
        <t>추정(실적 구간 갭필): fin.shares.common_outstanding 159,155,279주 × 1/5(환산 — 2025Q4 1/5 병합; IAS 33.64 비교표시·수정주가 이력과 정합)</t>
      </text>
    </comment>
    <comment ref="N33" authorId="0" shapeId="0">
      <text>
        <t>추정(실적 구간 갭필): fin.shares.common_outstanding 159,155,279주 × 1/5(환산 — 2025Q4 1/5 병합; IAS 33.64 비교표시·수정주가 이력과 정합)</t>
      </text>
    </comment>
    <comment ref="O33" authorId="0" shapeId="0">
      <text>
        <t>추정(실적 구간 갭필): fin.shares.common_outstanding 159,155,279주 × 1/5(환산 — 2025Q4 1/5 병합; IAS 33.64 비교표시·수정주가 이력과 정합)</t>
      </text>
    </comment>
    <comment ref="Q33" authorId="0" shapeId="0">
      <text>
        <t>추정(실적 구간 갭필): fin.shares.common_outstanding 159,155,279주 × 1/5(환산 — 2025Q4 1/5 병합; IAS 33.64 비교표시·수정주가 이력과 정합)</t>
      </text>
    </comment>
    <comment ref="R33" authorId="0" shapeId="0">
      <text>
        <t>추정(실적 구간 갭필): fin.shares.common_outstanding 159,155,279주 × 1/5(환산 — 2025Q4 1/5 병합; IAS 33.64 비교표시·수정주가 이력과 정합)</t>
      </text>
    </comment>
    <comment ref="S33" authorId="0" shapeId="0">
      <text>
        <t>추정(실적 구간 갭필): fin.shares.common_outstanding 159,155,279주 × 1/5(환산 — 2025Q4 1/5 병합; IAS 33.64 비교표시·수정주가 이력과 정합)</t>
      </text>
    </comment>
    <comment ref="T33" authorId="0" shapeId="0">
      <text>
        <t>추정(실적 구간 갭필): fin.shares.common_outstanding 159,155,279주 × 1/5(환산 — 2025Q4 1/5 병합; IAS 33.64 비교표시·수정주가 이력과 정합)</t>
      </text>
    </comment>
    <comment ref="V33" authorId="0" shapeId="0">
      <text>
        <t>추정(실적 구간 갭필): fin.shares.common_outstanding 159,155,279주 × 1/5(환산 — 2025Q4 1/5 병합; IAS 33.64 비교표시·수정주가 이력과 정합)</t>
      </text>
    </comment>
    <comment ref="W33" authorId="0" shapeId="0">
      <text>
        <t>추정(실적 구간 갭필): fin.shares.common_outstanding 175,565,535주 × 1/5(환산 — 2025Q4 1/5 병합; IAS 33.64 비교표시·수정주가 이력과 정합)</t>
      </text>
    </comment>
    <comment ref="X33" authorId="0" shapeId="0">
      <text>
        <t>추정(실적 구간 갭필): fin.shares.common_outstanding 179,668,081주 × 1/5(환산 — 2025Q4 1/5 병합; IAS 33.64 비교표시·수정주가 이력과 정합)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105.0배가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 / 주식수 사건 환산: 2025Q4 1/5 병합(eps_reported 교차검증 confirmed) → 사건 전 실적 16분기의 주식수·EPS·BPS·DPS 를 비율 환산(IAS 33.64; 셀 kind estimate, basis 에 원주식수·비율)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1877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1932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1820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1890.8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0.200541631</v>
      </c>
      <c r="AD21" s="24" t="n">
        <v>0.380793795</v>
      </c>
      <c r="AE21" s="25" t="n"/>
      <c r="AF21" s="24" t="n">
        <v>0.0456225</v>
      </c>
      <c r="AG21" s="24" t="n">
        <v>0.201002442</v>
      </c>
      <c r="AH21" s="24" t="n">
        <v>0.185133036</v>
      </c>
      <c r="AI21" s="24" t="n">
        <v>0.171427407</v>
      </c>
      <c r="AJ21" s="25" t="n"/>
      <c r="AK21" s="24" t="n">
        <v>0.186163748</v>
      </c>
      <c r="AL21" s="24" t="n">
        <v>0.212944185</v>
      </c>
      <c r="AM21" s="24" t="n">
        <v>0.236265312</v>
      </c>
      <c r="AN21" s="24" t="n">
        <v>0.234381522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0.001213828</v>
      </c>
      <c r="AD23" s="24" t="n">
        <v>0.001222444</v>
      </c>
      <c r="AE23" s="25">
        <f>IFERROR(subQ!AE9/subQ!AE5,"")</f>
        <v/>
      </c>
      <c r="AF23" s="24" t="n">
        <v>0.001215286</v>
      </c>
      <c r="AG23" s="24" t="n">
        <v>0.001234459</v>
      </c>
      <c r="AH23" s="24" t="n">
        <v>0.001229055</v>
      </c>
      <c r="AI23" s="24" t="n">
        <v>0.001217476</v>
      </c>
      <c r="AJ23" s="25">
        <f>IFERROR(subQ!AJ9/subQ!AJ5,"")</f>
        <v/>
      </c>
      <c r="AK23" s="24" t="n">
        <v>0.001214283</v>
      </c>
      <c r="AL23" s="24" t="n">
        <v>0.001235824</v>
      </c>
      <c r="AM23" s="24" t="n">
        <v>0.00122614</v>
      </c>
      <c r="AN23" s="24" t="n">
        <v>0.001211745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0.003104454</v>
      </c>
      <c r="AD32" s="30" t="n">
        <v>-8.7233e-05</v>
      </c>
      <c r="AE32" s="31" t="n"/>
      <c r="AF32" s="30" t="n">
        <v>-0.009884656</v>
      </c>
      <c r="AG32" s="30" t="n">
        <v>0.010116382</v>
      </c>
      <c r="AH32" s="30" t="n">
        <v>8.4008e-05</v>
      </c>
      <c r="AI32" s="30" t="n">
        <v>5.1556e-05</v>
      </c>
      <c r="AJ32" s="31" t="n"/>
      <c r="AK32" s="30" t="n">
        <v>0.000119802</v>
      </c>
      <c r="AL32" s="30" t="n">
        <v>2.0174e-05</v>
      </c>
      <c r="AM32" s="30" t="n">
        <v>0.009920754</v>
      </c>
      <c r="AN32" s="30" t="n">
        <v>-0.000145395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0.000504454</v>
      </c>
      <c r="AD33" s="30" t="n">
        <v>-8.7233e-05</v>
      </c>
      <c r="AE33" s="31" t="n"/>
      <c r="AF33" s="30" t="n">
        <v>0.000115344</v>
      </c>
      <c r="AG33" s="30" t="n">
        <v>0.000116382</v>
      </c>
      <c r="AH33" s="30" t="n">
        <v>8.4008e-05</v>
      </c>
      <c r="AI33" s="30" t="n">
        <v>5.1556e-05</v>
      </c>
      <c r="AJ33" s="31" t="n"/>
      <c r="AK33" s="30" t="n">
        <v>0.000119802</v>
      </c>
      <c r="AL33" s="30" t="n">
        <v>0.010020174</v>
      </c>
      <c r="AM33" s="30" t="n">
        <v>-7.924600000000001e-05</v>
      </c>
      <c r="AN33" s="30" t="n">
        <v>-0.000145395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0.010299998</v>
      </c>
      <c r="AG35" s="24" t="n">
        <v>0.010246393</v>
      </c>
      <c r="AH35" s="24" t="n">
        <v>0.010125509</v>
      </c>
      <c r="AI35" s="24" t="n">
        <v>0.009956848000000001</v>
      </c>
      <c r="AJ35" s="25" t="n"/>
      <c r="AK35" s="24" t="n">
        <v>0.009958437000000001</v>
      </c>
      <c r="AL35" s="24" t="n">
        <v>0.009860245</v>
      </c>
      <c r="AM35" s="24" t="n">
        <v>0.009747669</v>
      </c>
      <c r="AN35" s="24" t="n">
        <v>0.009588997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-0.037009158</v>
      </c>
      <c r="AE36" s="25" t="n"/>
      <c r="AF36" s="24" t="n">
        <v>-0.038822303</v>
      </c>
      <c r="AG36" s="24" t="n">
        <v>-0.040458119</v>
      </c>
      <c r="AH36" s="24" t="n">
        <v>-0.042163995</v>
      </c>
      <c r="AI36" s="24" t="n">
        <v>-0.04379885</v>
      </c>
      <c r="AJ36" s="25" t="n"/>
      <c r="AK36" s="24" t="n">
        <v>-0.046190623</v>
      </c>
      <c r="AL36" s="24" t="n">
        <v>-0.04842752</v>
      </c>
      <c r="AM36" s="24" t="n">
        <v>-0.050807137</v>
      </c>
      <c r="AN36" s="24" t="n">
        <v>-0.053168636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1877</v>
      </c>
      <c r="E44" s="2" t="inlineStr">
        <is>
          <t>원 — 네이버 정규장 종가(aik 확정종가 대조 · aik 1,908원)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105.0배가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0.129670371498173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0.01342205540426584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0.04177651543000203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60711.81</v>
      </c>
      <c r="F52" s="37" t="n">
        <v>60711.81</v>
      </c>
      <c r="G52" s="18" t="n">
        <v>61150.24</v>
      </c>
      <c r="H52" s="18" t="n">
        <v>60322.05</v>
      </c>
      <c r="I52" s="18" t="n">
        <v>61087.44</v>
      </c>
      <c r="J52" s="18" t="n">
        <v>59008.24</v>
      </c>
      <c r="K52" s="37" t="n">
        <v>59008.24</v>
      </c>
      <c r="L52" s="18" t="n">
        <v>58333.1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54210.3</v>
      </c>
      <c r="F53" s="37" t="n">
        <v>54210.3</v>
      </c>
      <c r="G53" s="18" t="n">
        <v>59302.88</v>
      </c>
      <c r="H53" s="18" t="n">
        <v>58785.21</v>
      </c>
      <c r="I53" s="18" t="n">
        <v>58490.59</v>
      </c>
      <c r="J53" s="18" t="n">
        <v>56002.86</v>
      </c>
      <c r="K53" s="37" t="n">
        <v>56002.86</v>
      </c>
      <c r="L53" s="18" t="n">
        <v>53881.72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단기투자자산(공정가치)</t>
        </is>
      </c>
      <c r="F55" s="9" t="n"/>
      <c r="G55" s="18" t="n">
        <v>0</v>
      </c>
      <c r="H55" s="18" t="n">
        <v>0</v>
      </c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50362.44</v>
      </c>
      <c r="O57" s="18" t="n">
        <v>0</v>
      </c>
      <c r="P57" s="37" t="n">
        <v>0</v>
      </c>
      <c r="T57" s="18" t="n">
        <v>13294.17</v>
      </c>
      <c r="U57" s="37" t="n">
        <v>13294.17</v>
      </c>
      <c r="V57" s="18" t="n">
        <v>13576.36</v>
      </c>
      <c r="W57" s="18" t="n">
        <v>10663.32</v>
      </c>
      <c r="X57" s="18" t="n">
        <v>10072.26</v>
      </c>
      <c r="Y57" s="18" t="n">
        <v>10213.15</v>
      </c>
      <c r="Z57" s="37" t="n">
        <v>10213.15</v>
      </c>
      <c r="AA57" s="18" t="n">
        <v>7955.36</v>
      </c>
      <c r="AB57" s="19" t="n">
        <v>8398.42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O58" s="18" t="n">
        <v>247.04</v>
      </c>
      <c r="P58" s="37" t="n">
        <v>247.04</v>
      </c>
      <c r="Q58" s="18" t="n">
        <v>913.29</v>
      </c>
      <c r="R58" s="18" t="n">
        <v>1199.48</v>
      </c>
      <c r="S58" s="18" t="n">
        <v>1199.48</v>
      </c>
      <c r="T58" s="18" t="n">
        <v>60.73</v>
      </c>
      <c r="U58" s="37" t="n">
        <v>60.73</v>
      </c>
      <c r="V58" s="18" t="n">
        <v>60.73</v>
      </c>
      <c r="W58" s="18" t="n">
        <v>728.72</v>
      </c>
      <c r="X58" s="18" t="n">
        <v>2.57</v>
      </c>
      <c r="Y58" s="18" t="n">
        <v>156.48</v>
      </c>
      <c r="Z58" s="37" t="n">
        <v>156.48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단기파생상품부채</t>
        </is>
      </c>
      <c r="F59" s="9" t="n"/>
      <c r="K59" s="9" t="n"/>
      <c r="O59" s="18" t="n">
        <v>4025.56</v>
      </c>
      <c r="P59" s="37" t="n">
        <v>4025.56</v>
      </c>
      <c r="Q59" s="18" t="n">
        <v>11287.16</v>
      </c>
      <c r="R59" s="18" t="n">
        <v>8734.860000000001</v>
      </c>
      <c r="S59" s="18" t="n">
        <v>8734.860000000001</v>
      </c>
      <c r="T59" s="18" t="n">
        <v>4891.67</v>
      </c>
      <c r="U59" s="37" t="n">
        <v>4891.67</v>
      </c>
      <c r="V59" s="18" t="n">
        <v>4891.67</v>
      </c>
      <c r="W59" s="18" t="n">
        <v>3532.55</v>
      </c>
      <c r="X59" s="18" t="n">
        <v>2083.94</v>
      </c>
      <c r="Y59" s="18" t="n">
        <v>2738.27</v>
      </c>
      <c r="Z59" s="37" t="n">
        <v>2738.27</v>
      </c>
      <c r="AA59" s="18" t="n">
        <v>2132.93</v>
      </c>
      <c r="AB59" s="19" t="n">
        <v>2343.96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O60" s="18" t="n">
        <v>3432.63</v>
      </c>
      <c r="P60" s="37" t="n">
        <v>3432.63</v>
      </c>
      <c r="Q60" s="18" t="n">
        <v>7864.33</v>
      </c>
      <c r="R60" s="18" t="n">
        <v>8513.1</v>
      </c>
      <c r="S60" s="18" t="n">
        <v>8838.370000000001</v>
      </c>
      <c r="T60" s="18" t="n">
        <v>0</v>
      </c>
      <c r="U60" s="37" t="n">
        <v>0</v>
      </c>
      <c r="V60" s="18" t="n">
        <v>0</v>
      </c>
      <c r="Y60" s="18" t="n">
        <v>0</v>
      </c>
      <c r="Z60" s="37" t="n">
        <v>0</v>
      </c>
      <c r="AA60" s="18" t="n">
        <v>0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14534.94</v>
      </c>
      <c r="F61" s="9" t="n"/>
      <c r="G61" s="18" t="n">
        <v>12500.03</v>
      </c>
      <c r="H61" s="18" t="n">
        <v>11730.6</v>
      </c>
      <c r="I61" s="18" t="n">
        <v>12798.42</v>
      </c>
      <c r="J61" s="18" t="n">
        <v>15727.04</v>
      </c>
      <c r="K61" s="37" t="n">
        <v>52756.09</v>
      </c>
      <c r="L61" s="18" t="n">
        <v>19766.41</v>
      </c>
      <c r="M61" s="18" t="n">
        <v>17099.02</v>
      </c>
      <c r="N61" s="18" t="n">
        <v>17302.73</v>
      </c>
      <c r="O61" s="18" t="n">
        <v>17546.94</v>
      </c>
      <c r="P61" s="37" t="n">
        <v>71715.10000000001</v>
      </c>
      <c r="Q61" s="18" t="n">
        <v>16739.95</v>
      </c>
      <c r="R61" s="18" t="n">
        <v>14064.24</v>
      </c>
      <c r="S61" s="18" t="n">
        <v>12924.18</v>
      </c>
      <c r="T61" s="18" t="n">
        <v>17670.18</v>
      </c>
      <c r="U61" s="37" t="n">
        <v>61398.55</v>
      </c>
      <c r="V61" s="18" t="n">
        <v>10329.01</v>
      </c>
      <c r="W61" s="18" t="n">
        <v>14619.54</v>
      </c>
      <c r="X61" s="18" t="n">
        <v>17155.59</v>
      </c>
      <c r="Y61" s="18" t="n">
        <v>17773.11</v>
      </c>
      <c r="Z61" s="37" t="n">
        <v>59877.25</v>
      </c>
      <c r="AA61" s="18" t="n">
        <v>21247.63</v>
      </c>
      <c r="AB61" s="19" t="n">
        <v>18885.89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17624.61</v>
      </c>
      <c r="F62" s="9" t="n"/>
      <c r="G62" s="18" t="n">
        <v>12307.05</v>
      </c>
      <c r="H62" s="18" t="n">
        <v>11747.91</v>
      </c>
      <c r="I62" s="18" t="n">
        <v>12346.46</v>
      </c>
      <c r="J62" s="18" t="n">
        <v>14109.24</v>
      </c>
      <c r="K62" s="37" t="n">
        <v>50510.66</v>
      </c>
      <c r="L62" s="18" t="n">
        <v>15726.9</v>
      </c>
      <c r="M62" s="18" t="n">
        <v>12811.42</v>
      </c>
      <c r="N62" s="18" t="n">
        <v>14536.99</v>
      </c>
      <c r="O62" s="18" t="n">
        <v>14740</v>
      </c>
      <c r="P62" s="37" t="n">
        <v>57815.31</v>
      </c>
      <c r="Q62" s="18" t="n">
        <v>13914.53</v>
      </c>
      <c r="R62" s="18" t="n">
        <v>11754.49</v>
      </c>
      <c r="S62" s="18" t="n">
        <v>11711.29</v>
      </c>
      <c r="T62" s="18" t="n">
        <v>14912.22</v>
      </c>
      <c r="U62" s="37" t="n">
        <v>52292.53</v>
      </c>
      <c r="V62" s="18" t="n">
        <v>9301.85</v>
      </c>
      <c r="W62" s="18" t="n">
        <v>12404.24</v>
      </c>
      <c r="X62" s="18" t="n">
        <v>13302.11</v>
      </c>
      <c r="Y62" s="18" t="n">
        <v>15165.92</v>
      </c>
      <c r="Z62" s="37" t="n">
        <v>50174.12</v>
      </c>
      <c r="AA62" s="18" t="n">
        <v>17167.26</v>
      </c>
      <c r="AB62" s="19" t="n">
        <v>17669.18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-3089.67</v>
      </c>
      <c r="F63" s="9" t="n"/>
      <c r="G63" s="18" t="n">
        <v>192.98</v>
      </c>
      <c r="H63" s="18" t="n">
        <v>-17.31</v>
      </c>
      <c r="I63" s="18" t="n">
        <v>451.97</v>
      </c>
      <c r="J63" s="18" t="n">
        <v>1617.8</v>
      </c>
      <c r="K63" s="37" t="n">
        <v>2245.44</v>
      </c>
      <c r="L63" s="18" t="n">
        <v>4039.51</v>
      </c>
      <c r="M63" s="18" t="n">
        <v>4287.6</v>
      </c>
      <c r="N63" s="18" t="n">
        <v>2765.74</v>
      </c>
      <c r="O63" s="18" t="n">
        <v>2806.94</v>
      </c>
      <c r="P63" s="37" t="n">
        <v>13899.79</v>
      </c>
      <c r="Q63" s="18" t="n">
        <v>2825.42</v>
      </c>
      <c r="R63" s="18" t="n">
        <v>2309.75</v>
      </c>
      <c r="S63" s="18" t="n">
        <v>1212.89</v>
      </c>
      <c r="T63" s="18" t="n">
        <v>2757.96</v>
      </c>
      <c r="U63" s="37" t="n">
        <v>9106.02</v>
      </c>
      <c r="V63" s="18" t="n">
        <v>1027.16</v>
      </c>
      <c r="W63" s="18" t="n">
        <v>2215.3</v>
      </c>
      <c r="X63" s="18" t="n">
        <v>3853.48</v>
      </c>
      <c r="Y63" s="18" t="n">
        <v>2607.19</v>
      </c>
      <c r="Z63" s="37" t="n">
        <v>9703.129999999999</v>
      </c>
      <c r="AA63" s="18" t="n">
        <v>4080.37</v>
      </c>
      <c r="AB63" s="19" t="n">
        <v>1216.71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2297.32</v>
      </c>
      <c r="F64" s="9" t="n"/>
      <c r="G64" s="18" t="n">
        <v>1826.59</v>
      </c>
      <c r="H64" s="18" t="n">
        <v>1586.19</v>
      </c>
      <c r="I64" s="18" t="n">
        <v>1755.76</v>
      </c>
      <c r="J64" s="18" t="n">
        <v>1818.32</v>
      </c>
      <c r="K64" s="37" t="n">
        <v>6986.86</v>
      </c>
      <c r="L64" s="18" t="n">
        <v>1855.03</v>
      </c>
      <c r="M64" s="18" t="n">
        <v>2020.1</v>
      </c>
      <c r="N64" s="18" t="n">
        <v>2024.52</v>
      </c>
      <c r="O64" s="18" t="n">
        <v>2403.65</v>
      </c>
      <c r="P64" s="37" t="n">
        <v>8303.299999999999</v>
      </c>
      <c r="Q64" s="18" t="n">
        <v>1867.24</v>
      </c>
      <c r="R64" s="18" t="n">
        <v>2463.15</v>
      </c>
      <c r="S64" s="18" t="n">
        <v>1795.51</v>
      </c>
      <c r="T64" s="18" t="n">
        <v>2543.36</v>
      </c>
      <c r="U64" s="37" t="n">
        <v>8669.26</v>
      </c>
      <c r="V64" s="18" t="n">
        <v>2194.59</v>
      </c>
      <c r="W64" s="18" t="n">
        <v>2535.3</v>
      </c>
      <c r="X64" s="18" t="n">
        <v>2681.08</v>
      </c>
      <c r="Y64" s="18" t="n">
        <v>2435.91</v>
      </c>
      <c r="Z64" s="37" t="n">
        <v>9846.879999999999</v>
      </c>
      <c r="AA64" s="18" t="n">
        <v>2598.33</v>
      </c>
      <c r="AB64" s="19" t="n">
        <v>1352.6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-5386.99</v>
      </c>
      <c r="F65" s="9" t="n"/>
      <c r="G65" s="18" t="n">
        <v>-1633.61</v>
      </c>
      <c r="H65" s="18" t="n">
        <v>-1603.5</v>
      </c>
      <c r="I65" s="18" t="n">
        <v>-1303.79</v>
      </c>
      <c r="J65" s="18" t="n">
        <v>-200.52</v>
      </c>
      <c r="K65" s="37" t="n">
        <v>-4741.42</v>
      </c>
      <c r="L65" s="18" t="n">
        <v>2184.48</v>
      </c>
      <c r="M65" s="18" t="n">
        <v>2267.5</v>
      </c>
      <c r="N65" s="18" t="n">
        <v>741.22</v>
      </c>
      <c r="O65" s="18" t="n">
        <v>403.29</v>
      </c>
      <c r="P65" s="37" t="n">
        <v>5596.49</v>
      </c>
      <c r="Q65" s="18" t="n">
        <v>958.1799999999999</v>
      </c>
      <c r="R65" s="18" t="n">
        <v>-153.39</v>
      </c>
      <c r="S65" s="18" t="n">
        <v>-582.62</v>
      </c>
      <c r="T65" s="18" t="n">
        <v>214.6</v>
      </c>
      <c r="U65" s="37" t="n">
        <v>436.77</v>
      </c>
      <c r="V65" s="18" t="n">
        <v>-1167.43</v>
      </c>
      <c r="W65" s="18" t="n">
        <v>-320</v>
      </c>
      <c r="X65" s="18" t="n">
        <v>1172.4</v>
      </c>
      <c r="Y65" s="18" t="n">
        <v>171.28</v>
      </c>
      <c r="Z65" s="37" t="n">
        <v>-143.75</v>
      </c>
      <c r="AA65" s="18" t="n">
        <v>1482.04</v>
      </c>
      <c r="AB65" s="19" t="n">
        <v>-135.88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257.34</v>
      </c>
      <c r="F66" s="9" t="n"/>
      <c r="G66" s="18" t="n">
        <v>60.59</v>
      </c>
      <c r="H66" s="18" t="n">
        <v>422.84</v>
      </c>
      <c r="I66" s="18" t="n">
        <v>235.49</v>
      </c>
      <c r="J66" s="18" t="n">
        <v>-22.82</v>
      </c>
      <c r="K66" s="37" t="n">
        <v>696.1</v>
      </c>
      <c r="L66" s="18" t="n">
        <v>294.87</v>
      </c>
      <c r="M66" s="18" t="n">
        <v>69.31999999999999</v>
      </c>
      <c r="N66" s="18" t="n">
        <v>62.94</v>
      </c>
      <c r="O66" s="18" t="n">
        <v>367.07</v>
      </c>
      <c r="P66" s="37" t="n">
        <v>794.2</v>
      </c>
      <c r="Q66" s="18" t="n">
        <v>579.73</v>
      </c>
      <c r="R66" s="18" t="n">
        <v>101.24</v>
      </c>
      <c r="S66" s="18" t="n">
        <v>53.61</v>
      </c>
      <c r="T66" s="18" t="n">
        <v>-96.48</v>
      </c>
      <c r="U66" s="37" t="n">
        <v>638.1</v>
      </c>
      <c r="V66" s="18" t="n">
        <v>93.08</v>
      </c>
      <c r="W66" s="18" t="n">
        <v>65.78</v>
      </c>
      <c r="X66" s="18" t="n">
        <v>319.32</v>
      </c>
      <c r="Y66" s="18" t="n">
        <v>301.15</v>
      </c>
      <c r="Z66" s="37" t="n">
        <v>779.33</v>
      </c>
      <c r="AA66" s="18" t="n">
        <v>242.22</v>
      </c>
      <c r="AB66" s="19" t="n">
        <v>146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4487.68</v>
      </c>
      <c r="F67" s="9" t="n"/>
      <c r="G67" s="18" t="n">
        <v>52.76</v>
      </c>
      <c r="H67" s="18" t="n">
        <v>93.41</v>
      </c>
      <c r="I67" s="18" t="n">
        <v>67.66</v>
      </c>
      <c r="J67" s="18" t="n">
        <v>438.95</v>
      </c>
      <c r="K67" s="37" t="n">
        <v>652.78</v>
      </c>
      <c r="L67" s="18" t="n">
        <v>164.36</v>
      </c>
      <c r="M67" s="18" t="n">
        <v>155.99</v>
      </c>
      <c r="N67" s="18" t="n">
        <v>49.41</v>
      </c>
      <c r="O67" s="18" t="n">
        <v>752.87</v>
      </c>
      <c r="P67" s="37" t="n">
        <v>1122.63</v>
      </c>
      <c r="Q67" s="18" t="n">
        <v>223.52</v>
      </c>
      <c r="R67" s="18" t="n">
        <v>51.34</v>
      </c>
      <c r="S67" s="18" t="n">
        <v>-41.68</v>
      </c>
      <c r="T67" s="18" t="n">
        <v>655.47</v>
      </c>
      <c r="U67" s="37" t="n">
        <v>888.65</v>
      </c>
      <c r="V67" s="18" t="n">
        <v>53.44</v>
      </c>
      <c r="W67" s="18" t="n">
        <v>232.25</v>
      </c>
      <c r="X67" s="18" t="n">
        <v>59.04</v>
      </c>
      <c r="Y67" s="18" t="n">
        <v>70.09999999999999</v>
      </c>
      <c r="Z67" s="37" t="n">
        <v>414.83</v>
      </c>
      <c r="AA67" s="18" t="n">
        <v>104.75</v>
      </c>
      <c r="AB67" s="19" t="n">
        <v>103.96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28.13</v>
      </c>
      <c r="F68" s="9" t="n"/>
      <c r="G68" s="18" t="n">
        <v>45.74</v>
      </c>
      <c r="H68" s="18" t="n">
        <v>35.16</v>
      </c>
      <c r="I68" s="18" t="n">
        <v>46.22</v>
      </c>
      <c r="J68" s="18" t="n">
        <v>296.48</v>
      </c>
      <c r="K68" s="37" t="n">
        <v>423.6</v>
      </c>
      <c r="L68" s="18" t="n">
        <v>24.42</v>
      </c>
      <c r="M68" s="18" t="n">
        <v>37.73</v>
      </c>
      <c r="N68" s="18" t="n">
        <v>76.97</v>
      </c>
      <c r="O68" s="18" t="n">
        <v>1179</v>
      </c>
      <c r="P68" s="37" t="n">
        <v>1318.12</v>
      </c>
      <c r="Q68" s="18" t="n">
        <v>15.33</v>
      </c>
      <c r="R68" s="18" t="n">
        <v>3026.96</v>
      </c>
      <c r="S68" s="18" t="n">
        <v>99.93000000000001</v>
      </c>
      <c r="T68" s="18" t="n">
        <v>-817.8200000000001</v>
      </c>
      <c r="U68" s="37" t="n">
        <v>2324.4</v>
      </c>
      <c r="V68" s="18" t="n">
        <v>171.8</v>
      </c>
      <c r="W68" s="18" t="n">
        <v>1716.55</v>
      </c>
      <c r="X68" s="18" t="n">
        <v>516.65</v>
      </c>
      <c r="Y68" s="18" t="n">
        <v>-476.91</v>
      </c>
      <c r="Z68" s="37" t="n">
        <v>1928.09</v>
      </c>
      <c r="AA68" s="18" t="n">
        <v>70.25</v>
      </c>
      <c r="AB68" s="19" t="n">
        <v>388.24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745.47</v>
      </c>
      <c r="F69" s="9" t="n"/>
      <c r="G69" s="18" t="n">
        <v>679.83</v>
      </c>
      <c r="H69" s="18" t="n">
        <v>717.98</v>
      </c>
      <c r="I69" s="18" t="n">
        <v>744.96</v>
      </c>
      <c r="J69" s="18" t="n">
        <v>892.75</v>
      </c>
      <c r="K69" s="37" t="n">
        <v>3035.52</v>
      </c>
      <c r="L69" s="18" t="n">
        <v>876.98</v>
      </c>
      <c r="M69" s="18" t="n">
        <v>866.79</v>
      </c>
      <c r="N69" s="18" t="n">
        <v>880.53</v>
      </c>
      <c r="O69" s="18" t="n">
        <v>1160.98</v>
      </c>
      <c r="P69" s="37" t="n">
        <v>3785.28</v>
      </c>
      <c r="Q69" s="18" t="n">
        <v>875.22</v>
      </c>
      <c r="R69" s="18" t="n">
        <v>1536.06</v>
      </c>
      <c r="S69" s="18" t="n">
        <v>1100.78</v>
      </c>
      <c r="T69" s="18" t="n">
        <v>1709.02</v>
      </c>
      <c r="U69" s="37" t="n">
        <v>5221.08</v>
      </c>
      <c r="V69" s="18" t="n">
        <v>830.12</v>
      </c>
      <c r="W69" s="18" t="n">
        <v>7104</v>
      </c>
      <c r="X69" s="18" t="n">
        <v>1308.44</v>
      </c>
      <c r="Y69" s="18" t="n">
        <v>682.37</v>
      </c>
      <c r="Z69" s="37" t="n">
        <v>9924.93</v>
      </c>
      <c r="AA69" s="18" t="n">
        <v>649.42</v>
      </c>
      <c r="AB69" s="19" t="n">
        <v>1437.12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-10634.67</v>
      </c>
      <c r="F70" s="9" t="n"/>
      <c r="G70" s="18" t="n">
        <v>-2259.86</v>
      </c>
      <c r="H70" s="18" t="n">
        <v>-1956.9</v>
      </c>
      <c r="I70" s="18" t="n">
        <v>-1834.71</v>
      </c>
      <c r="J70" s="18" t="n">
        <v>-1775.63</v>
      </c>
      <c r="K70" s="37" t="n">
        <v>-7827.1</v>
      </c>
      <c r="L70" s="18" t="n">
        <v>1462.43</v>
      </c>
      <c r="M70" s="18" t="n">
        <v>1351.76</v>
      </c>
      <c r="N70" s="18" t="n">
        <v>-48.81</v>
      </c>
      <c r="O70" s="18" t="n">
        <v>35.51</v>
      </c>
      <c r="P70" s="37" t="n">
        <v>2800.89</v>
      </c>
      <c r="Q70" s="18" t="n">
        <v>454.5</v>
      </c>
      <c r="R70" s="18" t="n">
        <v>1387.4</v>
      </c>
      <c r="S70" s="18" t="n">
        <v>-1488.18</v>
      </c>
      <c r="T70" s="18" t="n">
        <v>-3064.22</v>
      </c>
      <c r="U70" s="37" t="n">
        <v>-2710.5</v>
      </c>
      <c r="V70" s="18" t="n">
        <v>-1786.1</v>
      </c>
      <c r="W70" s="18" t="n">
        <v>-5873.93</v>
      </c>
      <c r="X70" s="18" t="n">
        <v>640.89</v>
      </c>
      <c r="Y70" s="18" t="n">
        <v>-756.9299999999999</v>
      </c>
      <c r="Z70" s="37" t="n">
        <v>-7776.07</v>
      </c>
      <c r="AA70" s="18" t="n">
        <v>1040.35</v>
      </c>
      <c r="AB70" s="19" t="n">
        <v>-1142.73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-9322.51</v>
      </c>
      <c r="F72" s="9" t="n"/>
      <c r="G72" s="18" t="n">
        <v>-1965.07</v>
      </c>
      <c r="H72" s="18" t="n">
        <v>-1588.38</v>
      </c>
      <c r="I72" s="18" t="n">
        <v>-1686.6</v>
      </c>
      <c r="J72" s="18" t="n">
        <v>-1747.09</v>
      </c>
      <c r="K72" s="37" t="n">
        <v>-6987.14</v>
      </c>
      <c r="L72" s="18" t="n">
        <v>1294.98</v>
      </c>
      <c r="M72" s="18" t="n">
        <v>1293.55</v>
      </c>
      <c r="N72" s="18" t="n">
        <v>-149</v>
      </c>
      <c r="O72" s="18" t="n">
        <v>-102.87</v>
      </c>
      <c r="P72" s="37" t="n">
        <v>2336.66</v>
      </c>
      <c r="Q72" s="18" t="n">
        <v>387.67</v>
      </c>
      <c r="R72" s="18" t="n">
        <v>1002.96</v>
      </c>
      <c r="U72" s="9" t="n"/>
      <c r="V72" s="18" t="n">
        <v>-1275.7</v>
      </c>
      <c r="W72" s="18" t="n">
        <v>-5231.74</v>
      </c>
      <c r="X72" s="18" t="n">
        <v>300.02</v>
      </c>
      <c r="Y72" s="18" t="n">
        <v>-336.35</v>
      </c>
      <c r="Z72" s="37" t="n">
        <v>-6543.77</v>
      </c>
      <c r="AA72" s="18" t="n">
        <v>807.87</v>
      </c>
      <c r="AB72" s="19" t="n">
        <v>-258.23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-1312.15</v>
      </c>
      <c r="F73" s="9" t="n"/>
      <c r="G73" s="18" t="n">
        <v>-294.8</v>
      </c>
      <c r="H73" s="18" t="n">
        <v>-368.52</v>
      </c>
      <c r="I73" s="18" t="n">
        <v>-148.11</v>
      </c>
      <c r="J73" s="18" t="n">
        <v>-28.54</v>
      </c>
      <c r="K73" s="37" t="n">
        <v>-839.97</v>
      </c>
      <c r="L73" s="18" t="n">
        <v>167.44</v>
      </c>
      <c r="M73" s="18" t="n">
        <v>58.21</v>
      </c>
      <c r="N73" s="18" t="n">
        <v>100.2</v>
      </c>
      <c r="O73" s="18" t="n">
        <v>138.39</v>
      </c>
      <c r="P73" s="37" t="n">
        <v>464.24</v>
      </c>
      <c r="Q73" s="18" t="n">
        <v>66.83</v>
      </c>
      <c r="R73" s="18" t="n">
        <v>384.44</v>
      </c>
      <c r="S73" s="18" t="n">
        <v>-361.52</v>
      </c>
      <c r="T73" s="18" t="n">
        <v>286.5</v>
      </c>
      <c r="U73" s="37" t="n">
        <v>376.25</v>
      </c>
      <c r="V73" s="18" t="n">
        <v>-510.41</v>
      </c>
      <c r="W73" s="18" t="n">
        <v>-642.1799999999999</v>
      </c>
      <c r="X73" s="18" t="n">
        <v>340.87</v>
      </c>
      <c r="Y73" s="18" t="n">
        <v>-420.59</v>
      </c>
      <c r="Z73" s="37" t="n">
        <v>-1232.31</v>
      </c>
      <c r="AA73" s="18" t="n">
        <v>232.48</v>
      </c>
      <c r="AB73" s="19" t="n">
        <v>-884.5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-6023.73</v>
      </c>
      <c r="F74" s="9" t="n"/>
      <c r="G74" s="18" t="n">
        <v>-2149.5</v>
      </c>
      <c r="H74" s="18" t="n">
        <v>-2184.09</v>
      </c>
      <c r="I74" s="18" t="n">
        <v>-1836.13</v>
      </c>
      <c r="J74" s="18" t="n">
        <v>-1740.55</v>
      </c>
      <c r="K74" s="37" t="n">
        <v>-7910.27</v>
      </c>
      <c r="L74" s="18" t="n">
        <v>1455.53</v>
      </c>
      <c r="M74" s="18" t="n">
        <v>1356.76</v>
      </c>
      <c r="N74" s="18" t="n">
        <v>-52.39</v>
      </c>
      <c r="O74" s="18" t="n">
        <v>3211.25</v>
      </c>
      <c r="P74" s="37" t="n">
        <v>5971.15</v>
      </c>
      <c r="Q74" s="18" t="n">
        <v>454.86</v>
      </c>
      <c r="R74" s="18" t="n">
        <v>1414.46</v>
      </c>
      <c r="S74" s="18" t="n">
        <v>-1514.9</v>
      </c>
      <c r="T74" s="18" t="n">
        <v>-3280.52</v>
      </c>
      <c r="U74" s="37" t="n">
        <v>-2926.1</v>
      </c>
      <c r="V74" s="18" t="n">
        <v>-1785.98</v>
      </c>
      <c r="W74" s="18" t="n">
        <v>-5848.68</v>
      </c>
      <c r="X74" s="18" t="n">
        <v>665.63</v>
      </c>
      <c r="Y74" s="18" t="n">
        <v>-1105.24</v>
      </c>
      <c r="Z74" s="37" t="n">
        <v>-8074.27</v>
      </c>
      <c r="AA74" s="18" t="n">
        <v>1021.44</v>
      </c>
      <c r="AB74" s="19" t="n">
        <v>-1480.8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-717.34</v>
      </c>
      <c r="F75" s="9" t="n"/>
      <c r="G75" s="18" t="n">
        <v>-634.09</v>
      </c>
      <c r="H75" s="18" t="n">
        <v>-682.8200000000001</v>
      </c>
      <c r="I75" s="18" t="n">
        <v>-698.74</v>
      </c>
      <c r="J75" s="18" t="n">
        <v>-596.27</v>
      </c>
      <c r="K75" s="37" t="n">
        <v>-2611.92</v>
      </c>
      <c r="L75" s="18" t="n">
        <v>-852.5599999999999</v>
      </c>
      <c r="M75" s="18" t="n">
        <v>-829.0599999999999</v>
      </c>
      <c r="N75" s="18" t="n">
        <v>-803.5599999999999</v>
      </c>
      <c r="O75" s="18" t="n">
        <v>18.02</v>
      </c>
      <c r="P75" s="37" t="n">
        <v>-2467.16</v>
      </c>
      <c r="Q75" s="18" t="n">
        <v>-859.89</v>
      </c>
      <c r="R75" s="18" t="n">
        <v>1490.9</v>
      </c>
      <c r="S75" s="18" t="n">
        <v>-1000.85</v>
      </c>
      <c r="T75" s="18" t="n">
        <v>-2526.84</v>
      </c>
      <c r="U75" s="37" t="n">
        <v>-2896.68</v>
      </c>
      <c r="V75" s="18" t="n">
        <v>-658.3200000000001</v>
      </c>
      <c r="W75" s="18" t="n">
        <v>-5387.45</v>
      </c>
      <c r="X75" s="18" t="n">
        <v>-791.79</v>
      </c>
      <c r="Y75" s="18" t="n">
        <v>-1159.28</v>
      </c>
      <c r="Z75" s="37" t="n">
        <v>-7996.84</v>
      </c>
      <c r="AA75" s="18" t="n">
        <v>-579.17</v>
      </c>
      <c r="AB75" s="19" t="n">
        <v>-1048.88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-4230.34</v>
      </c>
      <c r="F76" s="9" t="n"/>
      <c r="G76" s="18" t="n">
        <v>7.83</v>
      </c>
      <c r="H76" s="18" t="n">
        <v>329.43</v>
      </c>
      <c r="I76" s="18" t="n">
        <v>167.83</v>
      </c>
      <c r="J76" s="18" t="n">
        <v>-461.77</v>
      </c>
      <c r="K76" s="37" t="n">
        <v>43.32</v>
      </c>
      <c r="L76" s="18" t="n">
        <v>130.51</v>
      </c>
      <c r="M76" s="18" t="n">
        <v>-86.67</v>
      </c>
      <c r="N76" s="18" t="n">
        <v>13.53</v>
      </c>
      <c r="O76" s="18" t="n">
        <v>-385.8</v>
      </c>
      <c r="P76" s="37" t="n">
        <v>-328.43</v>
      </c>
      <c r="Q76" s="18" t="n">
        <v>356.21</v>
      </c>
      <c r="R76" s="18" t="n">
        <v>49.9</v>
      </c>
      <c r="S76" s="18" t="n">
        <v>95.29000000000001</v>
      </c>
      <c r="T76" s="18" t="n">
        <v>-751.95</v>
      </c>
      <c r="U76" s="37" t="n">
        <v>-250.55</v>
      </c>
      <c r="V76" s="18" t="n">
        <v>39.64</v>
      </c>
      <c r="W76" s="18" t="n">
        <v>-166.47</v>
      </c>
      <c r="X76" s="18" t="n">
        <v>260.28</v>
      </c>
      <c r="Y76" s="18" t="n">
        <v>231.05</v>
      </c>
      <c r="Z76" s="37" t="n">
        <v>364.5</v>
      </c>
      <c r="AA76" s="18" t="n">
        <v>137.47</v>
      </c>
      <c r="AB76" s="19" t="n">
        <v>42.04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-10634.67</v>
      </c>
      <c r="F77" s="9" t="n"/>
      <c r="G77" s="18" t="n">
        <v>-2259.86</v>
      </c>
      <c r="H77" s="18" t="n">
        <v>-1956.9</v>
      </c>
      <c r="I77" s="18" t="n">
        <v>-1834.71</v>
      </c>
      <c r="J77" s="18" t="n">
        <v>-1775.63</v>
      </c>
      <c r="K77" s="37" t="n">
        <v>-7827.1</v>
      </c>
      <c r="L77" s="18" t="n">
        <v>1462.43</v>
      </c>
      <c r="M77" s="18" t="n">
        <v>1351.76</v>
      </c>
      <c r="N77" s="18" t="n">
        <v>-48.81</v>
      </c>
      <c r="O77" s="18" t="n">
        <v>35.51</v>
      </c>
      <c r="P77" s="37" t="n">
        <v>2800.89</v>
      </c>
      <c r="Q77" s="18" t="n">
        <v>454.5</v>
      </c>
      <c r="R77" s="18" t="n">
        <v>1387.4</v>
      </c>
      <c r="S77" s="18" t="n">
        <v>-1488.18</v>
      </c>
      <c r="T77" s="18" t="n">
        <v>-3064.22</v>
      </c>
      <c r="U77" s="37" t="n">
        <v>-2710.5</v>
      </c>
      <c r="V77" s="18" t="n">
        <v>-1786.1</v>
      </c>
      <c r="W77" s="18" t="n">
        <v>-5873.93</v>
      </c>
      <c r="X77" s="18" t="n">
        <v>640.89</v>
      </c>
      <c r="Y77" s="18" t="n">
        <v>-756.9299999999999</v>
      </c>
      <c r="Z77" s="37" t="n">
        <v>-7776.07</v>
      </c>
      <c r="AA77" s="18" t="n">
        <v>1040.35</v>
      </c>
      <c r="AB77" s="19" t="n">
        <v>-1142.73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F78" s="9" t="n"/>
      <c r="G78" s="18" t="n">
        <v>0</v>
      </c>
      <c r="I78" s="18" t="n">
        <v>0</v>
      </c>
      <c r="J78" s="18" t="n">
        <v>0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29.22</v>
      </c>
      <c r="H79" s="18" t="n">
        <v>30.45</v>
      </c>
      <c r="I79" s="18" t="n">
        <v>29.37</v>
      </c>
      <c r="J79" s="18" t="n">
        <v>58.16</v>
      </c>
      <c r="K79" s="37" t="n">
        <v>147.2</v>
      </c>
      <c r="L79" s="18" t="n">
        <v>21.79</v>
      </c>
      <c r="M79" s="18" t="n">
        <v>30.87</v>
      </c>
      <c r="N79" s="18" t="n">
        <v>48.41</v>
      </c>
      <c r="O79" s="18" t="n">
        <v>54.11</v>
      </c>
      <c r="P79" s="37" t="n">
        <v>155.18</v>
      </c>
      <c r="Q79" s="18" t="n">
        <v>8.25</v>
      </c>
      <c r="R79" s="18" t="n">
        <v>7.1</v>
      </c>
      <c r="S79" s="18" t="n">
        <v>22.93</v>
      </c>
      <c r="T79" s="18" t="n">
        <v>66.69</v>
      </c>
      <c r="U79" s="37" t="n">
        <v>104.97</v>
      </c>
      <c r="V79" s="18" t="n">
        <v>7.39</v>
      </c>
      <c r="W79" s="18" t="n">
        <v>44.25</v>
      </c>
      <c r="X79" s="18" t="n">
        <v>108.29</v>
      </c>
      <c r="Y79" s="18" t="n">
        <v>-2.64</v>
      </c>
      <c r="Z79" s="37" t="n">
        <v>157.29</v>
      </c>
      <c r="AA79" s="18" t="n">
        <v>33.98</v>
      </c>
      <c r="AB79" s="19" t="n">
        <v>57.55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14.74</v>
      </c>
      <c r="H80" s="18" t="n">
        <v>0</v>
      </c>
      <c r="I80" s="18" t="n">
        <v>0</v>
      </c>
      <c r="J80" s="18" t="n">
        <v>0</v>
      </c>
      <c r="K80" s="37" t="n">
        <v>14.74</v>
      </c>
      <c r="M80" s="18" t="n">
        <v>6.7</v>
      </c>
      <c r="N80" s="18" t="n">
        <v>35.14</v>
      </c>
      <c r="O80" s="18" t="n">
        <v>0</v>
      </c>
      <c r="P80" s="9" t="n"/>
      <c r="R80" s="18" t="n">
        <v>113.34</v>
      </c>
      <c r="S80" s="18" t="n">
        <v>81.2</v>
      </c>
      <c r="T80" s="18" t="n">
        <v>0</v>
      </c>
      <c r="U80" s="9" t="n"/>
      <c r="V80" s="18" t="n">
        <v>161</v>
      </c>
      <c r="W80" s="18" t="n">
        <v>15.2</v>
      </c>
      <c r="X80" s="18" t="n">
        <v>0</v>
      </c>
      <c r="Y80" s="18" t="n">
        <v>120.4</v>
      </c>
      <c r="Z80" s="37" t="n">
        <v>296.6</v>
      </c>
      <c r="AB80" s="19" t="n">
        <v>182.2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677.95</v>
      </c>
      <c r="H81" s="18" t="n">
        <v>716.74</v>
      </c>
      <c r="I81" s="18" t="n">
        <v>744.54</v>
      </c>
      <c r="J81" s="18" t="n">
        <v>856.08</v>
      </c>
      <c r="K81" s="37" t="n">
        <v>2995.31</v>
      </c>
      <c r="L81" s="18" t="n">
        <v>875.61</v>
      </c>
      <c r="M81" s="18" t="n">
        <v>858.4</v>
      </c>
      <c r="N81" s="18" t="n">
        <v>878.9400000000001</v>
      </c>
      <c r="O81" s="18" t="n">
        <v>1020.25</v>
      </c>
      <c r="P81" s="37" t="n">
        <v>3633.2</v>
      </c>
      <c r="Q81" s="18" t="n">
        <v>871.54</v>
      </c>
      <c r="R81" s="18" t="n">
        <v>1476.73</v>
      </c>
      <c r="S81" s="18" t="n">
        <v>1091.19</v>
      </c>
      <c r="T81" s="18" t="n">
        <v>1398.26</v>
      </c>
      <c r="U81" s="37" t="n">
        <v>4837.72</v>
      </c>
      <c r="V81" s="18" t="n">
        <v>830.12</v>
      </c>
      <c r="W81" s="18" t="n">
        <v>1522.14</v>
      </c>
      <c r="X81" s="18" t="n">
        <v>324.01</v>
      </c>
      <c r="Y81" s="18" t="n">
        <v>806.59</v>
      </c>
      <c r="Z81" s="37" t="n">
        <v>3482.86</v>
      </c>
      <c r="AA81" s="18" t="n">
        <v>644.47</v>
      </c>
      <c r="AB81" s="19" t="n">
        <v>1224.09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1.78</v>
      </c>
      <c r="H82" s="18" t="n">
        <v>2.94</v>
      </c>
      <c r="I82" s="18" t="n">
        <v>11.36</v>
      </c>
      <c r="J82" s="18" t="n">
        <v>-9.57</v>
      </c>
      <c r="K82" s="37" t="n">
        <v>6.51</v>
      </c>
      <c r="L82" s="18" t="n">
        <v>1.04</v>
      </c>
      <c r="M82" s="18" t="n">
        <v>0.34</v>
      </c>
      <c r="N82" s="18" t="n">
        <v>-4.98</v>
      </c>
      <c r="O82" s="18" t="n">
        <v>2.62</v>
      </c>
      <c r="P82" s="37" t="n">
        <v>-0.98</v>
      </c>
      <c r="Q82" s="18" t="n">
        <v>0.49</v>
      </c>
      <c r="R82" s="18" t="n">
        <v>0.22</v>
      </c>
      <c r="S82" s="18" t="n">
        <v>0</v>
      </c>
      <c r="T82" s="18" t="n">
        <v>0.23</v>
      </c>
      <c r="U82" s="37" t="n">
        <v>0.9399999999999999</v>
      </c>
      <c r="W82" s="18" t="n">
        <v>67.86</v>
      </c>
      <c r="X82" s="18" t="n">
        <v>0.98</v>
      </c>
      <c r="Y82" s="18" t="n">
        <v>48.28</v>
      </c>
      <c r="Z82" s="9" t="n"/>
      <c r="AA82" s="18" t="n">
        <v>32.79</v>
      </c>
      <c r="AB82" s="19" t="n">
        <v>3.43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1.87</v>
      </c>
      <c r="H83" s="18" t="n">
        <v>-1.18</v>
      </c>
      <c r="I83" s="18" t="n">
        <v>-0.7</v>
      </c>
      <c r="K83" s="9" t="n"/>
      <c r="M83" s="18" t="n">
        <v>0.84</v>
      </c>
      <c r="N83" s="18" t="n">
        <v>0.19</v>
      </c>
      <c r="O83" s="18" t="n">
        <v>2.33</v>
      </c>
      <c r="P83" s="9" t="n"/>
      <c r="Q83" s="18" t="n">
        <v>3.67</v>
      </c>
      <c r="R83" s="18" t="n">
        <v>0.9</v>
      </c>
      <c r="S83" s="18" t="n">
        <v>9.59</v>
      </c>
      <c r="T83" s="18" t="n">
        <v>-7.95</v>
      </c>
      <c r="U83" s="37" t="n">
        <v>6.21</v>
      </c>
      <c r="Z83" s="9" t="n"/>
      <c r="AA83" s="18" t="n">
        <v>-4.95</v>
      </c>
      <c r="AB83" s="19" t="n">
        <v>4.95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-648.73</v>
      </c>
      <c r="H84" s="18" t="n">
        <v>-686.29</v>
      </c>
      <c r="I84" s="18" t="n">
        <v>-715.17</v>
      </c>
      <c r="J84" s="18" t="n">
        <v>-797.92</v>
      </c>
      <c r="K84" s="37" t="n">
        <v>-2848.11</v>
      </c>
      <c r="L84" s="18" t="n">
        <v>-853.8200000000001</v>
      </c>
      <c r="M84" s="18" t="n">
        <v>-827.53</v>
      </c>
      <c r="N84" s="18" t="n">
        <v>-830.53</v>
      </c>
      <c r="O84" s="18" t="n">
        <v>-966.14</v>
      </c>
      <c r="P84" s="37" t="n">
        <v>-3478.02</v>
      </c>
      <c r="Q84" s="18" t="n">
        <v>-863.29</v>
      </c>
      <c r="R84" s="18" t="n">
        <v>-1469.63</v>
      </c>
      <c r="S84" s="18" t="n">
        <v>-1068.26</v>
      </c>
      <c r="T84" s="18" t="n">
        <v>-1331.57</v>
      </c>
      <c r="U84" s="37" t="n">
        <v>-4732.75</v>
      </c>
      <c r="V84" s="18" t="n">
        <v>-822.73</v>
      </c>
      <c r="W84" s="18" t="n">
        <v>-1477.89</v>
      </c>
      <c r="X84" s="18" t="n">
        <v>-215.72</v>
      </c>
      <c r="Y84" s="18" t="n">
        <v>-809.23</v>
      </c>
      <c r="Z84" s="37" t="n">
        <v>-3325.57</v>
      </c>
      <c r="AA84" s="18" t="n">
        <v>-610.49</v>
      </c>
      <c r="AB84" s="19" t="n">
        <v>-1166.54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H85" s="18" t="n">
        <v>2.42</v>
      </c>
      <c r="I85" s="18" t="n">
        <v>1.12</v>
      </c>
      <c r="J85" s="18" t="n">
        <v>32.92</v>
      </c>
      <c r="K85" s="9" t="n"/>
      <c r="L85" s="18" t="n">
        <v>1.37</v>
      </c>
      <c r="M85" s="18" t="n">
        <v>7.55</v>
      </c>
      <c r="N85" s="18" t="n">
        <v>1.4</v>
      </c>
      <c r="O85" s="18" t="n">
        <v>0.53</v>
      </c>
      <c r="P85" s="37" t="n">
        <v>10.85</v>
      </c>
      <c r="R85" s="18" t="n">
        <v>1.26</v>
      </c>
      <c r="S85" s="18" t="n">
        <v>0</v>
      </c>
      <c r="T85" s="18" t="n">
        <v>0</v>
      </c>
      <c r="U85" s="9" t="n"/>
      <c r="W85" s="18" t="n">
        <v>20.27</v>
      </c>
      <c r="X85" s="18" t="n">
        <v>1.61</v>
      </c>
      <c r="Y85" s="18" t="n">
        <v>5.73</v>
      </c>
      <c r="Z85" s="9" t="n"/>
      <c r="AA85" s="18" t="n">
        <v>2.77</v>
      </c>
      <c r="AB85" s="19" t="n">
        <v>1.69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H86" s="18" t="n">
        <v>0.64</v>
      </c>
      <c r="I86" s="18" t="n">
        <v>5.5</v>
      </c>
      <c r="K86" s="9" t="n"/>
      <c r="L86" s="18" t="n">
        <v>1.59</v>
      </c>
      <c r="M86" s="18" t="n">
        <v>-1.38</v>
      </c>
      <c r="N86" s="18" t="n">
        <v>-1.38</v>
      </c>
      <c r="P86" s="9" t="n"/>
      <c r="Q86" s="18" t="n">
        <v>6.59</v>
      </c>
      <c r="R86" s="18" t="n">
        <v>9.449999999999999</v>
      </c>
      <c r="S86" s="18" t="n">
        <v>-4.19</v>
      </c>
      <c r="T86" s="18" t="n">
        <v>47.34</v>
      </c>
      <c r="U86" s="37" t="n">
        <v>59.19</v>
      </c>
      <c r="Z86" s="9" t="n"/>
      <c r="AB86" s="19" t="n">
        <v>104.28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P87" s="9" t="n"/>
      <c r="R87" s="18" t="n">
        <v>2895.66</v>
      </c>
      <c r="S87" s="18" t="n">
        <v>2895.66</v>
      </c>
      <c r="T87" s="18" t="n">
        <v>-942.02</v>
      </c>
      <c r="U87" s="9" t="n"/>
      <c r="W87" s="18" t="n">
        <v>1585.89</v>
      </c>
      <c r="X87" s="18" t="n">
        <v>1853.27</v>
      </c>
      <c r="Y87" s="18" t="n">
        <v>-646.64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파생상품손실</t>
        </is>
      </c>
      <c r="F88" s="9" t="n"/>
      <c r="K88" s="9" t="n"/>
      <c r="P88" s="9" t="n"/>
      <c r="R88" s="18" t="n">
        <v>57.17</v>
      </c>
      <c r="S88" s="18" t="n">
        <v>57.17</v>
      </c>
      <c r="T88" s="18" t="n">
        <v>318.04</v>
      </c>
      <c r="U88" s="9" t="n"/>
      <c r="W88" s="18" t="n">
        <v>5561.59</v>
      </c>
      <c r="X88" s="18" t="n">
        <v>1840.41</v>
      </c>
      <c r="Y88" s="18" t="n">
        <v>-146.22</v>
      </c>
      <c r="Z88" s="9" t="n"/>
      <c r="AB88" s="19" t="n">
        <v>211.04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1204.04</v>
      </c>
      <c r="F89" s="9" t="n"/>
      <c r="G89" s="18" t="n">
        <v>-3916.87</v>
      </c>
      <c r="H89" s="18" t="n">
        <v>-1857.46</v>
      </c>
      <c r="I89" s="18" t="n">
        <v>712.87</v>
      </c>
      <c r="J89" s="18" t="n">
        <v>2108.14</v>
      </c>
      <c r="K89" s="37" t="n">
        <v>-2953.32</v>
      </c>
      <c r="L89" s="18" t="n">
        <v>1738.04</v>
      </c>
      <c r="M89" s="18" t="n">
        <v>2891.62</v>
      </c>
      <c r="N89" s="18" t="n">
        <v>631.15</v>
      </c>
      <c r="O89" s="18" t="n">
        <v>-5824.89</v>
      </c>
      <c r="P89" s="37" t="n">
        <v>-564.08</v>
      </c>
      <c r="Q89" s="18" t="n">
        <v>-3168.15</v>
      </c>
      <c r="R89" s="18" t="n">
        <v>-3013.06</v>
      </c>
      <c r="S89" s="18" t="n">
        <v>-897.4400000000001</v>
      </c>
      <c r="T89" s="18" t="n">
        <v>769.01</v>
      </c>
      <c r="U89" s="37" t="n">
        <v>-6309.64</v>
      </c>
      <c r="V89" s="18" t="n">
        <v>-2764.95</v>
      </c>
      <c r="W89" s="18" t="n">
        <v>-2011.11</v>
      </c>
      <c r="X89" s="18" t="n">
        <v>5045.41</v>
      </c>
      <c r="Y89" s="18" t="n">
        <v>-4762.46</v>
      </c>
      <c r="Z89" s="37" t="n">
        <v>-4493.11</v>
      </c>
      <c r="AA89" s="18" t="n">
        <v>-86.09999999999999</v>
      </c>
      <c r="AB89" s="19" t="n">
        <v>3483.46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감가상각비</t>
        </is>
      </c>
      <c r="E90" s="18" t="n">
        <v>452.45</v>
      </c>
      <c r="F90" s="9" t="n"/>
      <c r="G90" s="18" t="n">
        <v>269.04</v>
      </c>
      <c r="H90" s="18" t="n">
        <v>299.44</v>
      </c>
      <c r="I90" s="18" t="n">
        <v>237.14</v>
      </c>
      <c r="J90" s="18" t="n">
        <v>273.15</v>
      </c>
      <c r="K90" s="37" t="n">
        <v>1078.77</v>
      </c>
      <c r="L90" s="18" t="n">
        <v>234.26</v>
      </c>
      <c r="M90" s="18" t="n">
        <v>278.7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E91" s="18" t="n">
        <v>24.79</v>
      </c>
      <c r="F91" s="9" t="n"/>
      <c r="G91" s="18" t="n">
        <v>3.36</v>
      </c>
      <c r="H91" s="18" t="n">
        <v>3.37</v>
      </c>
      <c r="I91" s="18" t="n">
        <v>3.36</v>
      </c>
      <c r="J91" s="18" t="n">
        <v>0.27</v>
      </c>
      <c r="K91" s="37" t="n">
        <v>10.36</v>
      </c>
      <c r="L91" s="18" t="n">
        <v>0.27</v>
      </c>
      <c r="M91" s="18" t="n">
        <v>1.7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G92" s="18" t="n">
        <v>14.74</v>
      </c>
      <c r="H92" s="18" t="n">
        <v>0</v>
      </c>
      <c r="I92" s="18" t="n">
        <v>0</v>
      </c>
      <c r="J92" s="18" t="n">
        <v>0</v>
      </c>
      <c r="K92" s="37" t="n">
        <v>14.74</v>
      </c>
      <c r="L92" s="18" t="n">
        <v>0</v>
      </c>
      <c r="M92" s="18" t="n">
        <v>6.7</v>
      </c>
      <c r="N92" s="18" t="n">
        <v>50.4</v>
      </c>
      <c r="O92" s="18" t="n">
        <v>0</v>
      </c>
      <c r="P92" s="37" t="n">
        <v>57.1</v>
      </c>
      <c r="Q92" s="18" t="n">
        <v>0</v>
      </c>
      <c r="R92" s="18" t="n">
        <v>113.34</v>
      </c>
      <c r="S92" s="18" t="n">
        <v>81.2</v>
      </c>
      <c r="T92" s="18" t="n">
        <v>0</v>
      </c>
      <c r="U92" s="37" t="n">
        <v>194.54</v>
      </c>
      <c r="V92" s="18" t="n">
        <v>161</v>
      </c>
      <c r="W92" s="18" t="n">
        <v>15.2</v>
      </c>
      <c r="X92" s="18" t="n">
        <v>0</v>
      </c>
      <c r="Y92" s="18" t="n">
        <v>120.4</v>
      </c>
      <c r="Z92" s="37" t="n">
        <v>296.6</v>
      </c>
      <c r="AA92" s="18" t="n">
        <v>0</v>
      </c>
      <c r="AB92" s="19" t="n">
        <v>182.2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-0.83</v>
      </c>
      <c r="F93" s="9" t="n"/>
      <c r="G93" s="18" t="n">
        <v>-0.52</v>
      </c>
      <c r="H93" s="18" t="n">
        <v>5.63</v>
      </c>
      <c r="I93" s="18" t="n">
        <v>61.72</v>
      </c>
      <c r="J93" s="18" t="n">
        <v>-1.82</v>
      </c>
      <c r="K93" s="37" t="n">
        <v>65.01000000000001</v>
      </c>
      <c r="L93" s="18" t="n">
        <v>-0.97</v>
      </c>
      <c r="M93" s="18" t="n">
        <v>1.87</v>
      </c>
      <c r="N93" s="18" t="n">
        <v>-1.07</v>
      </c>
      <c r="O93" s="18" t="n">
        <v>-7.32</v>
      </c>
      <c r="P93" s="37" t="n">
        <v>-7.49</v>
      </c>
      <c r="Q93" s="18" t="n">
        <v>-0.35</v>
      </c>
      <c r="R93" s="18" t="n">
        <v>7.19</v>
      </c>
      <c r="S93" s="18" t="n">
        <v>-0.73</v>
      </c>
      <c r="T93" s="18" t="n">
        <v>-10.68</v>
      </c>
      <c r="U93" s="37" t="n">
        <v>-4.57</v>
      </c>
      <c r="V93" s="18" t="n">
        <v>-1.85</v>
      </c>
      <c r="W93" s="18" t="n">
        <v>12.19</v>
      </c>
      <c r="X93" s="18" t="n">
        <v>-59.16</v>
      </c>
      <c r="Y93" s="18" t="n">
        <v>-0.65</v>
      </c>
      <c r="Z93" s="37" t="n">
        <v>-49.47</v>
      </c>
      <c r="AA93" s="18" t="n">
        <v>-0.88</v>
      </c>
      <c r="AB93" s="19" t="n">
        <v>59.58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1469.41</v>
      </c>
      <c r="F94" s="9" t="n"/>
      <c r="G94" s="18" t="n">
        <v>-1151.52</v>
      </c>
      <c r="H94" s="18" t="n">
        <v>2441.13</v>
      </c>
      <c r="I94" s="18" t="n">
        <v>-349.97</v>
      </c>
      <c r="J94" s="18" t="n">
        <v>-146.34</v>
      </c>
      <c r="K94" s="37" t="n">
        <v>793.3</v>
      </c>
      <c r="L94" s="18" t="n">
        <v>390.06</v>
      </c>
      <c r="M94" s="18" t="n">
        <v>-1714.7</v>
      </c>
      <c r="N94" s="18" t="n">
        <v>-1408.6</v>
      </c>
      <c r="O94" s="18" t="n">
        <v>1727.97</v>
      </c>
      <c r="P94" s="37" t="n">
        <v>-1005.27</v>
      </c>
      <c r="Q94" s="18" t="n">
        <v>425.48</v>
      </c>
      <c r="R94" s="18" t="n">
        <v>-492.97</v>
      </c>
      <c r="S94" s="18" t="n">
        <v>540.1900000000001</v>
      </c>
      <c r="T94" s="18" t="n">
        <v>-722.91</v>
      </c>
      <c r="U94" s="37" t="n">
        <v>-250.21</v>
      </c>
      <c r="V94" s="18" t="n">
        <v>971.0599999999999</v>
      </c>
      <c r="W94" s="18" t="n">
        <v>398.57</v>
      </c>
      <c r="X94" s="18" t="n">
        <v>62.12</v>
      </c>
      <c r="Y94" s="18" t="n">
        <v>-2480.92</v>
      </c>
      <c r="Z94" s="37" t="n">
        <v>-1049.17</v>
      </c>
      <c r="AA94" s="18" t="n">
        <v>-229.4</v>
      </c>
      <c r="AB94" s="19" t="n">
        <v>-204.39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5</v>
      </c>
      <c r="J95" s="18" t="n">
        <v>158.07</v>
      </c>
      <c r="K95" s="37" t="n">
        <v>163.07</v>
      </c>
      <c r="L95" s="18" t="n">
        <v>4.5</v>
      </c>
      <c r="M95" s="18" t="n">
        <v>0</v>
      </c>
      <c r="N95" s="18" t="n">
        <v>0</v>
      </c>
      <c r="O95" s="18" t="n">
        <v>1</v>
      </c>
      <c r="P95" s="37" t="n">
        <v>5.5</v>
      </c>
      <c r="Q95" s="18" t="n">
        <v>9.27</v>
      </c>
      <c r="R95" s="18" t="n">
        <v>3.82</v>
      </c>
      <c r="S95" s="18" t="n">
        <v>0.64</v>
      </c>
      <c r="T95" s="18" t="n">
        <v>9</v>
      </c>
      <c r="U95" s="37" t="n">
        <v>22.73</v>
      </c>
      <c r="V95" s="18" t="n">
        <v>0</v>
      </c>
      <c r="W95" s="18" t="n">
        <v>0</v>
      </c>
      <c r="X95" s="18" t="n">
        <v>0</v>
      </c>
      <c r="Y95" s="18" t="n">
        <v>1</v>
      </c>
      <c r="Z95" s="37" t="n">
        <v>1</v>
      </c>
      <c r="AA95" s="18" t="n">
        <v>25.91</v>
      </c>
      <c r="AB95" s="19" t="n">
        <v>11.16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31.93</v>
      </c>
      <c r="F96" s="9" t="n"/>
      <c r="G96" s="18" t="n">
        <v>0</v>
      </c>
      <c r="H96" s="18" t="n">
        <v>0</v>
      </c>
      <c r="I96" s="18" t="n">
        <v>115.01</v>
      </c>
      <c r="K96" s="9" t="n"/>
      <c r="L96" s="18" t="n">
        <v>140.98</v>
      </c>
      <c r="M96" s="18" t="n">
        <v>56.42</v>
      </c>
      <c r="N96" s="18" t="n">
        <v>326.86</v>
      </c>
      <c r="P96" s="9" t="n"/>
      <c r="Q96" s="18" t="n">
        <v>96.36</v>
      </c>
      <c r="R96" s="18" t="n">
        <v>68.15000000000001</v>
      </c>
      <c r="S96" s="18" t="n">
        <v>76.8</v>
      </c>
      <c r="T96" s="18" t="n">
        <v>153.62</v>
      </c>
      <c r="U96" s="37" t="n">
        <v>394.93</v>
      </c>
      <c r="V96" s="18" t="n">
        <v>113.19</v>
      </c>
      <c r="W96" s="18" t="n">
        <v>42.76</v>
      </c>
      <c r="X96" s="18" t="n">
        <v>84.98999999999999</v>
      </c>
      <c r="Y96" s="18" t="n">
        <v>497.93</v>
      </c>
      <c r="Z96" s="37" t="n">
        <v>738.87</v>
      </c>
      <c r="AA96" s="18" t="n">
        <v>146.42</v>
      </c>
      <c r="AB96" s="19" t="n">
        <v>38.01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J97" s="18" t="n">
        <v>71.09</v>
      </c>
      <c r="K97" s="37" t="n">
        <v>186.1</v>
      </c>
      <c r="L97" s="18" t="n">
        <v>140.98</v>
      </c>
      <c r="M97" s="18" t="n">
        <v>84.98</v>
      </c>
      <c r="N97" s="18" t="n">
        <v>333.86</v>
      </c>
      <c r="O97" s="18" t="n">
        <v>0</v>
      </c>
      <c r="P97" s="37" t="n">
        <v>559.8200000000001</v>
      </c>
      <c r="Q97" s="18" t="n">
        <v>103.39</v>
      </c>
      <c r="R97" s="18" t="n">
        <v>68.15000000000001</v>
      </c>
      <c r="S97" s="18" t="n">
        <v>76.8</v>
      </c>
      <c r="T97" s="18" t="n">
        <v>153.62</v>
      </c>
      <c r="U97" s="37" t="n">
        <v>401.96</v>
      </c>
      <c r="V97" s="18" t="n">
        <v>113.19</v>
      </c>
      <c r="W97" s="18" t="n">
        <v>47.62</v>
      </c>
      <c r="X97" s="18" t="n">
        <v>86.89</v>
      </c>
      <c r="Y97" s="18" t="n">
        <v>497.93</v>
      </c>
      <c r="Z97" s="37" t="n">
        <v>745.63</v>
      </c>
      <c r="AA97" s="18" t="n">
        <v>154.31</v>
      </c>
      <c r="AB97" s="19" t="n">
        <v>181.55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E98" s="18" t="n">
        <v>0</v>
      </c>
      <c r="F98" s="9" t="n"/>
      <c r="G98" s="18" t="n">
        <v>0</v>
      </c>
      <c r="H98" s="18" t="n">
        <v>0</v>
      </c>
      <c r="I98" s="18" t="n">
        <v>0</v>
      </c>
      <c r="J98" s="18" t="n">
        <v>186.1</v>
      </c>
      <c r="K98" s="37" t="n">
        <v>186.1</v>
      </c>
      <c r="L98" s="18" t="n">
        <v>0</v>
      </c>
      <c r="M98" s="18" t="n">
        <v>28.56</v>
      </c>
      <c r="N98" s="18" t="n">
        <v>7</v>
      </c>
      <c r="O98" s="18" t="n">
        <v>0</v>
      </c>
      <c r="P98" s="37" t="n">
        <v>35.56</v>
      </c>
      <c r="Q98" s="18" t="n">
        <v>7.03</v>
      </c>
      <c r="R98" s="18" t="n">
        <v>0</v>
      </c>
      <c r="S98" s="18" t="n">
        <v>0</v>
      </c>
      <c r="T98" s="18" t="n">
        <v>0</v>
      </c>
      <c r="U98" s="37" t="n">
        <v>7.03</v>
      </c>
      <c r="V98" s="18" t="n">
        <v>0</v>
      </c>
      <c r="W98" s="18" t="n">
        <v>4.86</v>
      </c>
      <c r="X98" s="18" t="n">
        <v>1.9</v>
      </c>
      <c r="Y98" s="18" t="n">
        <v>0</v>
      </c>
      <c r="Z98" s="37" t="n">
        <v>6.76</v>
      </c>
      <c r="AA98" s="18" t="n">
        <v>7.89</v>
      </c>
      <c r="AB98" s="19" t="n">
        <v>143.54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987.34</v>
      </c>
      <c r="F99" s="9" t="n"/>
      <c r="G99" s="18" t="n">
        <v>368.12</v>
      </c>
      <c r="H99" s="18" t="n">
        <v>-896.01</v>
      </c>
      <c r="I99" s="18" t="n">
        <v>766.37</v>
      </c>
      <c r="J99" s="18" t="n">
        <v>-2098.48</v>
      </c>
      <c r="K99" s="37" t="n">
        <v>-1860</v>
      </c>
      <c r="L99" s="18" t="n">
        <v>-675.13</v>
      </c>
      <c r="M99" s="18" t="n">
        <v>-1078.06</v>
      </c>
      <c r="N99" s="18" t="n">
        <v>462.88</v>
      </c>
      <c r="O99" s="18" t="n">
        <v>7612.41</v>
      </c>
      <c r="P99" s="37" t="n">
        <v>6322.1</v>
      </c>
      <c r="Q99" s="18" t="n">
        <v>7368.43</v>
      </c>
      <c r="R99" s="18" t="n">
        <v>1774.11</v>
      </c>
      <c r="S99" s="18" t="n">
        <v>-274.73</v>
      </c>
      <c r="T99" s="18" t="n">
        <v>4796.25</v>
      </c>
      <c r="U99" s="37" t="n">
        <v>13664.06</v>
      </c>
      <c r="V99" s="18" t="n">
        <v>371.83</v>
      </c>
      <c r="W99" s="18" t="n">
        <v>740.96</v>
      </c>
      <c r="X99" s="18" t="n">
        <v>-675.15</v>
      </c>
      <c r="Y99" s="18" t="n">
        <v>1140.75</v>
      </c>
      <c r="Z99" s="37" t="n">
        <v>1578.39</v>
      </c>
      <c r="AA99" s="18" t="n">
        <v>2103.08</v>
      </c>
      <c r="AB99" s="19" t="n">
        <v>-1011.22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차입금의증가</t>
        </is>
      </c>
      <c r="E100" s="18" t="n">
        <v>13319.53</v>
      </c>
      <c r="F100" s="9" t="n"/>
      <c r="G100" s="18" t="n">
        <v>3076.73</v>
      </c>
      <c r="H100" s="18" t="n">
        <v>5262.22</v>
      </c>
      <c r="I100" s="18" t="n">
        <v>4795.35</v>
      </c>
      <c r="J100" s="18" t="n">
        <v>9761.99</v>
      </c>
      <c r="K100" s="37" t="n">
        <v>22896.29</v>
      </c>
      <c r="L100" s="18" t="n">
        <v>4857.9</v>
      </c>
      <c r="M100" s="18" t="n">
        <v>9017.889999999999</v>
      </c>
      <c r="N100" s="18" t="n">
        <v>5959.07</v>
      </c>
      <c r="O100" s="18" t="n">
        <v>15328.77</v>
      </c>
      <c r="P100" s="37" t="n">
        <v>35163.63</v>
      </c>
      <c r="Q100" s="18" t="n">
        <v>3384.66</v>
      </c>
      <c r="R100" s="18" t="n">
        <v>4175.78</v>
      </c>
      <c r="S100" s="18" t="n">
        <v>3287.3</v>
      </c>
      <c r="T100" s="18" t="n">
        <v>5697.99</v>
      </c>
      <c r="U100" s="37" t="n">
        <v>16545.73</v>
      </c>
      <c r="V100" s="18" t="n">
        <v>12615.32</v>
      </c>
      <c r="W100" s="18" t="n">
        <v>6953.04</v>
      </c>
      <c r="X100" s="18" t="n">
        <v>5826.85</v>
      </c>
      <c r="Y100" s="18" t="n">
        <v>22486.54</v>
      </c>
      <c r="Z100" s="37" t="n">
        <v>47881.75</v>
      </c>
      <c r="AA100" s="18" t="n">
        <v>9610.82</v>
      </c>
      <c r="AB100" s="19" t="n">
        <v>10978.74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차입금의감소</t>
        </is>
      </c>
      <c r="E101" s="18" t="n">
        <v>12302.26</v>
      </c>
      <c r="F101" s="9" t="n"/>
      <c r="G101" s="18" t="n">
        <v>2708.62</v>
      </c>
      <c r="H101" s="18" t="n">
        <v>6114.67</v>
      </c>
      <c r="I101" s="18" t="n">
        <v>4029.94</v>
      </c>
      <c r="J101" s="18" t="n">
        <v>11841.2</v>
      </c>
      <c r="K101" s="37" t="n">
        <v>24694.43</v>
      </c>
      <c r="L101" s="18" t="n">
        <v>5533.03</v>
      </c>
      <c r="M101" s="18" t="n">
        <v>10108.95</v>
      </c>
      <c r="N101" s="18" t="n">
        <v>5475.05</v>
      </c>
      <c r="O101" s="18" t="n">
        <v>15849.05</v>
      </c>
      <c r="P101" s="37" t="n">
        <v>36966.08</v>
      </c>
      <c r="Q101" s="18" t="n">
        <v>7048.8</v>
      </c>
      <c r="R101" s="18" t="n">
        <v>2424.7</v>
      </c>
      <c r="S101" s="18" t="n">
        <v>3335.44</v>
      </c>
      <c r="T101" s="18" t="n">
        <v>930.73</v>
      </c>
      <c r="U101" s="37" t="n">
        <v>13739.67</v>
      </c>
      <c r="V101" s="18" t="n">
        <v>12272.05</v>
      </c>
      <c r="W101" s="18" t="n">
        <v>6172.82</v>
      </c>
      <c r="X101" s="18" t="n">
        <v>6546.13</v>
      </c>
      <c r="Y101" s="18" t="n">
        <v>21331.6</v>
      </c>
      <c r="Z101" s="37" t="n">
        <v>46322.6</v>
      </c>
      <c r="AA101" s="18" t="n">
        <v>4813.58</v>
      </c>
      <c r="AB101" s="19" t="n">
        <v>11982.99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29.94</v>
      </c>
      <c r="F102" s="9" t="n"/>
      <c r="G102" s="18" t="n">
        <v>0</v>
      </c>
      <c r="H102" s="18" t="n">
        <v>43.56</v>
      </c>
      <c r="I102" s="18" t="n">
        <v>-0.98</v>
      </c>
      <c r="J102" s="18" t="n">
        <v>19.28</v>
      </c>
      <c r="K102" s="37" t="n">
        <v>61.86</v>
      </c>
      <c r="L102" s="18" t="n">
        <v>0</v>
      </c>
      <c r="M102" s="18" t="n">
        <v>23.74</v>
      </c>
      <c r="O102" s="18" t="n">
        <v>47.87</v>
      </c>
      <c r="P102" s="9" t="n"/>
      <c r="T102" s="18" t="n">
        <v>37.77</v>
      </c>
      <c r="U102" s="9" t="n"/>
      <c r="X102" s="18" t="n">
        <v>0</v>
      </c>
      <c r="Y102" s="18" t="n">
        <v>38.28</v>
      </c>
      <c r="Z102" s="9" t="n"/>
      <c r="AA102" s="18" t="n">
        <v>8.85</v>
      </c>
      <c r="AB102" s="19" t="n">
        <v>36.6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3660.82</v>
      </c>
      <c r="F103" s="9" t="n"/>
      <c r="G103" s="18" t="n">
        <v>-4702.15</v>
      </c>
      <c r="H103" s="18" t="n">
        <v>-310.51</v>
      </c>
      <c r="I103" s="18" t="n">
        <v>1135.46</v>
      </c>
      <c r="J103" s="18" t="n">
        <v>-146.57</v>
      </c>
      <c r="K103" s="37" t="n">
        <v>-4023.77</v>
      </c>
      <c r="L103" s="18" t="n">
        <v>1454.56</v>
      </c>
      <c r="M103" s="18" t="n">
        <v>96.65000000000001</v>
      </c>
      <c r="N103" s="18" t="n">
        <v>-314.98</v>
      </c>
      <c r="O103" s="18" t="n">
        <v>3513.16</v>
      </c>
      <c r="P103" s="37" t="n">
        <v>4749.39</v>
      </c>
      <c r="Q103" s="18" t="n">
        <v>4628.68</v>
      </c>
      <c r="R103" s="18" t="n">
        <v>-1723.39</v>
      </c>
      <c r="S103" s="18" t="n">
        <v>-645.75</v>
      </c>
      <c r="T103" s="18" t="n">
        <v>4897.64</v>
      </c>
      <c r="U103" s="37" t="n">
        <v>7157.18</v>
      </c>
      <c r="V103" s="18" t="n">
        <v>-1422.06</v>
      </c>
      <c r="W103" s="18" t="n">
        <v>-871.5700000000001</v>
      </c>
      <c r="X103" s="18" t="n">
        <v>4432.37</v>
      </c>
      <c r="Y103" s="18" t="n">
        <v>-6118.55</v>
      </c>
      <c r="Z103" s="37" t="n">
        <v>-3979.81</v>
      </c>
      <c r="AA103" s="18" t="n">
        <v>1792.53</v>
      </c>
      <c r="AB103" s="19" t="n">
        <v>2367.18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3660.82</v>
      </c>
      <c r="F104" s="9" t="n"/>
      <c r="G104" s="18" t="n">
        <v>726.75</v>
      </c>
      <c r="H104" s="18" t="n">
        <v>-310.52</v>
      </c>
      <c r="I104" s="18" t="n">
        <v>1135.47</v>
      </c>
      <c r="J104" s="18" t="n">
        <v>-146.57</v>
      </c>
      <c r="K104" s="37" t="n">
        <v>1405.13</v>
      </c>
      <c r="L104" s="18" t="n">
        <v>2859.69</v>
      </c>
      <c r="M104" s="18" t="n">
        <v>96.65000000000001</v>
      </c>
      <c r="N104" s="18" t="n">
        <v>-314.98</v>
      </c>
      <c r="O104" s="18" t="n">
        <v>3513.16</v>
      </c>
      <c r="P104" s="37" t="n">
        <v>6154.52</v>
      </c>
      <c r="Q104" s="18" t="n">
        <v>10783.2</v>
      </c>
      <c r="R104" s="18" t="n">
        <v>-1723.39</v>
      </c>
      <c r="S104" s="18" t="n">
        <v>-645.75</v>
      </c>
      <c r="T104" s="18" t="n">
        <v>4897.64</v>
      </c>
      <c r="U104" s="37" t="n">
        <v>13311.7</v>
      </c>
      <c r="V104" s="18" t="n">
        <v>11889.63</v>
      </c>
      <c r="W104" s="18" t="n">
        <v>-871.5700000000001</v>
      </c>
      <c r="X104" s="18" t="n">
        <v>4432.38</v>
      </c>
      <c r="Y104" s="18" t="n">
        <v>-6118.56</v>
      </c>
      <c r="Z104" s="37" t="n">
        <v>9331.879999999999</v>
      </c>
      <c r="AA104" s="18" t="n">
        <v>11124.41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F105" s="9" t="n"/>
      <c r="I105" s="18" t="n">
        <v>0</v>
      </c>
      <c r="K105" s="9" t="n"/>
      <c r="N105" s="18" t="n">
        <v>0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26.06</v>
      </c>
      <c r="P106" s="9" t="n"/>
      <c r="Q106" s="18" t="n">
        <v>-82.92</v>
      </c>
      <c r="R106" s="18" t="n">
        <v>115.91</v>
      </c>
      <c r="S106" s="18" t="n">
        <v>17.54</v>
      </c>
      <c r="T106" s="18" t="n">
        <v>72.89</v>
      </c>
      <c r="U106" s="37" t="n">
        <v>123.42</v>
      </c>
      <c r="V106" s="18" t="n">
        <v>12.94</v>
      </c>
      <c r="W106" s="18" t="n">
        <v>37.21</v>
      </c>
      <c r="X106" s="18" t="n">
        <v>228.3</v>
      </c>
      <c r="Y106" s="18" t="n">
        <v>-2.68</v>
      </c>
      <c r="Z106" s="37" t="n">
        <v>275.77</v>
      </c>
      <c r="AA106" s="18" t="n">
        <v>6.19</v>
      </c>
      <c r="AB106" s="19" t="n">
        <v>30.85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3" t="n">
        <v>31.8310558</v>
      </c>
      <c r="F33" s="28">
        <f>E33</f>
        <v/>
      </c>
      <c r="G33" s="33" t="n">
        <v>31.8310558</v>
      </c>
      <c r="H33" s="33" t="n">
        <v>31.8310558</v>
      </c>
      <c r="I33" s="33" t="n">
        <v>31.8310558</v>
      </c>
      <c r="J33" s="33" t="n">
        <v>31.8310558</v>
      </c>
      <c r="K33" s="28">
        <f>J33</f>
        <v/>
      </c>
      <c r="L33" s="33" t="n">
        <v>31.8310558</v>
      </c>
      <c r="M33" s="33" t="n">
        <v>31.8310558</v>
      </c>
      <c r="N33" s="33" t="n">
        <v>31.8310558</v>
      </c>
      <c r="O33" s="33" t="n">
        <v>31.8310558</v>
      </c>
      <c r="P33" s="28">
        <f>O33</f>
        <v/>
      </c>
      <c r="Q33" s="33" t="n">
        <v>31.8310558</v>
      </c>
      <c r="R33" s="33" t="n">
        <v>31.8310558</v>
      </c>
      <c r="S33" s="33" t="n">
        <v>31.8310558</v>
      </c>
      <c r="T33" s="33" t="n">
        <v>31.8310558</v>
      </c>
      <c r="U33" s="28">
        <f>T33</f>
        <v/>
      </c>
      <c r="V33" s="33" t="n">
        <v>31.8310558</v>
      </c>
      <c r="W33" s="33" t="n">
        <v>35.113107</v>
      </c>
      <c r="X33" s="33" t="n">
        <v>35.9336162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-75.8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-0.08599999999999999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109.75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