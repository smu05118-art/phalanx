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BS별도!$C$5:$AO$93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181936억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192991억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201030억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207885억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215656억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226135억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238496억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252171억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266609억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279109억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3절 스칼라 '판관비율' 참조 — 숫자로 덮어쓰면 이 분기만 바뀐다
매출액 × 판관비율 12.97%(최근 4분기 중위)</t>
      </text>
    </comment>
    <comment ref="AD22" authorId="0" shapeId="0">
      <text>
        <t>3절 스칼라 '판관비율' 참조 — 숫자로 덮어쓰면 이 분기만 바뀐다
매출액 × 판관비율 12.97%(최근 4분기 중위)</t>
      </text>
    </comment>
    <comment ref="AF22" authorId="0" shapeId="0">
      <text>
        <t>3절 스칼라 '판관비율' 참조 — 숫자로 덮어쓰면 이 분기만 바뀐다
매출액 × 판관비율 12.97%(최근 4분기 중위)</t>
      </text>
    </comment>
    <comment ref="AG22" authorId="0" shapeId="0">
      <text>
        <t>3절 스칼라 '판관비율' 참조 — 숫자로 덮어쓰면 이 분기만 바뀐다
매출액 × 판관비율 12.97%(최근 4분기 중위)</t>
      </text>
    </comment>
    <comment ref="AH22" authorId="0" shapeId="0">
      <text>
        <t>3절 스칼라 '판관비율' 참조 — 숫자로 덮어쓰면 이 분기만 바뀐다
매출액 × 판관비율 12.97%(최근 4분기 중위)</t>
      </text>
    </comment>
    <comment ref="AI22" authorId="0" shapeId="0">
      <text>
        <t>3절 스칼라 '판관비율' 참조 — 숫자로 덮어쓰면 이 분기만 바뀐다
매출액 × 판관비율 12.97%(최근 4분기 중위)</t>
      </text>
    </comment>
    <comment ref="AK22" authorId="0" shapeId="0">
      <text>
        <t>3절 스칼라 '판관비율' 참조 — 숫자로 덮어쓰면 이 분기만 바뀐다
매출액 × 판관비율 12.97%(최근 4분기 중위)</t>
      </text>
    </comment>
    <comment ref="AL22" authorId="0" shapeId="0">
      <text>
        <t>3절 스칼라 '판관비율' 참조 — 숫자로 덮어쓰면 이 분기만 바뀐다
매출액 × 판관비율 12.97%(최근 4분기 중위)</t>
      </text>
    </comment>
    <comment ref="AM22" authorId="0" shapeId="0">
      <text>
        <t>3절 스칼라 '판관비율' 참조 — 숫자로 덮어쓰면 이 분기만 바뀐다
매출액 × 판관비율 12.97%(최근 4분기 중위)</t>
      </text>
    </comment>
    <comment ref="AN22" authorId="0" shapeId="0">
      <text>
        <t>3절 스칼라 '판관비율' 참조 — 숫자로 덮어쓰면 이 분기만 바뀐다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AF26" authorId="0" shapeId="0">
      <text>
        <t>모델값 역산(implied): 모델 v 그대로
잔차 실측 3분기 &lt; 4 → 0</t>
      </text>
    </comment>
    <comment ref="AG26" authorId="0" shapeId="0">
      <text>
        <t>모델값 역산(implied): 모델 v 그대로
잔차 실측 3분기 &lt; 4 → 0</t>
      </text>
    </comment>
    <comment ref="AH26" authorId="0" shapeId="0">
      <text>
        <t>모델값 역산(implied): 모델 v 그대로
잔차 실측 3분기 &lt; 4 → 0</t>
      </text>
    </comment>
    <comment ref="AI26" authorId="0" shapeId="0">
      <text>
        <t>모델값 역산(implied): 모델 v 그대로
잔차 실측 3분기 &lt; 4 → 0</t>
      </text>
    </comment>
    <comment ref="AK26" authorId="0" shapeId="0">
      <text>
        <t>모델값 역산(implied): 모델 v 그대로
잔차 실측 3분기 &lt; 4 → 0</t>
      </text>
    </comment>
    <comment ref="AL26" authorId="0" shapeId="0">
      <text>
        <t>모델값 역산(implied): 모델 v 그대로
잔차 실측 3분기 &lt; 4 → 0</t>
      </text>
    </comment>
    <comment ref="AM26" authorId="0" shapeId="0">
      <text>
        <t>모델값 역산(implied): 모델 v 그대로
잔차 실측 3분기 &lt; 4 → 0</t>
      </text>
    </comment>
    <comment ref="AN26" authorId="0" shapeId="0">
      <text>
        <t>모델값 역산(implied): 모델 v 그대로
잔차 실측 3분기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181936억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192991억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201030억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207885억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215656억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226135억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238496억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252171억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266609억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279109억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AC10" authorId="0" shapeId="0">
      <text>
        <t>추정: 최근 8분기 OPM 중위 0.1% 유지
[divide]</t>
      </text>
    </comment>
    <comment ref="AD10" authorId="0" shapeId="0">
      <text>
        <t>추정: 최근 8분기 OPM 중위 0.1% 유지
[divide]</t>
      </text>
    </comment>
    <comment ref="AF10" authorId="0" shapeId="0">
      <text>
        <t>추정: 최근 8분기 OPM 중위 0.1% 유지
[divide]</t>
      </text>
    </comment>
    <comment ref="AG10" authorId="0" shapeId="0">
      <text>
        <t>추정: 최근 8분기 OPM 중위 0.1% 유지
[divide]</t>
      </text>
    </comment>
    <comment ref="AH10" authorId="0" shapeId="0">
      <text>
        <t>추정: 최근 8분기 OPM 중위 0.1% 유지
[divide]</t>
      </text>
    </comment>
    <comment ref="AI10" authorId="0" shapeId="0">
      <text>
        <t>추정: 최근 8분기 OPM 중위 0.1% 유지
[divide]</t>
      </text>
    </comment>
    <comment ref="AK10" authorId="0" shapeId="0">
      <text>
        <t>추정: 최근 8분기 OPM 중위 0.1% 유지
[divide]</t>
      </text>
    </comment>
    <comment ref="AL10" authorId="0" shapeId="0">
      <text>
        <t>추정: 최근 8분기 OPM 중위 0.1% 유지
[divide]</t>
      </text>
    </comment>
    <comment ref="AM10" authorId="0" shapeId="0">
      <text>
        <t>추정: 최근 8분기 OPM 중위 0.1% 유지
[divide]</t>
      </text>
    </comment>
    <comment ref="AN10" authorId="0" shapeId="0">
      <text>
        <t>추정: 최근 8분기 OPM 중위 0.1% 유지
[divide]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165억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159억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3분기 &lt; 4 → 0) (항등식); 이자손익 = 이자발생자산 154억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3분기 &lt; 4 → 0) (항등식); 이자손익 = 이자발생자산 148억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3분기 &lt; 4 → 0) (항등식); 이자손익 = 이자발생자산 142억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3분기 &lt; 4 → 0) (항등식); 이자손익 = 이자발생자산 136억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3분기 &lt; 4 → 0) (항등식); 이자손익 = 이자발생자산 130억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3분기 &lt; 4 → 0) (항등식); 이자손익 = 이자발생자산 124억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3분기 &lt; 4 → 0) (항등식); 이자손익 = 이자발생자산 118억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3분기 &lt; 4 → 0) (항등식); 이자손익 = 이자발생자산 112억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C12" authorId="0" shapeId="0">
      <text>
        <t>추정: 이자발생자산 165억 × 1.36%(주석 이자수익 ÷ 평균 이자발생자산(2025Q3~2026Q2)) − 총차입금 729억 × 4.18%(주석 이자비용 ÷ 평균 총차입금(2025Q3~2026Q2)) (연율) ÷ 4
[interest]</t>
      </text>
    </comment>
    <comment ref="AD12" authorId="0" shapeId="0">
      <text>
        <t>추정: 이자발생자산 159억 × 1.36%(주석 이자수익 ÷ 평균 이자발생자산(2025Q3~2026Q2)) − 총차입금 729억 × 4.18%(주석 이자비용 ÷ 평균 총차입금(2025Q3~2026Q2)) (연율) ÷ 4
[interest]</t>
      </text>
    </comment>
    <comment ref="AF12" authorId="0" shapeId="0">
      <text>
        <t>추정: 이자발생자산 154억 × 1.36%(주석 이자수익 ÷ 평균 이자발생자산(2025Q3~2026Q2)) − 총차입금 729억 × 4.18%(주석 이자비용 ÷ 평균 총차입금(2025Q3~2026Q2)) (연율) ÷ 4
[interest]</t>
      </text>
    </comment>
    <comment ref="AG12" authorId="0" shapeId="0">
      <text>
        <t>추정: 이자발생자산 148억 × 1.36%(주석 이자수익 ÷ 평균 이자발생자산(2025Q3~2026Q2)) − 총차입금 729억 × 4.18%(주석 이자비용 ÷ 평균 총차입금(2025Q3~2026Q2)) (연율) ÷ 4
[interest]</t>
      </text>
    </comment>
    <comment ref="AH12" authorId="0" shapeId="0">
      <text>
        <t>추정: 이자발생자산 142억 × 1.36%(주석 이자수익 ÷ 평균 이자발생자산(2025Q3~2026Q2)) − 총차입금 729억 × 4.18%(주석 이자비용 ÷ 평균 총차입금(2025Q3~2026Q2)) (연율) ÷ 4
[interest]</t>
      </text>
    </comment>
    <comment ref="AI12" authorId="0" shapeId="0">
      <text>
        <t>추정: 이자발생자산 136억 × 1.36%(주석 이자수익 ÷ 평균 이자발생자산(2025Q3~2026Q2)) − 총차입금 729억 × 4.18%(주석 이자비용 ÷ 평균 총차입금(2025Q3~2026Q2)) (연율) ÷ 4
[interest]</t>
      </text>
    </comment>
    <comment ref="AK12" authorId="0" shapeId="0">
      <text>
        <t>추정: 이자발생자산 130억 × 1.36%(주석 이자수익 ÷ 평균 이자발생자산(2025Q3~2026Q2)) − 총차입금 729억 × 4.18%(주석 이자비용 ÷ 평균 총차입금(2025Q3~2026Q2)) (연율) ÷ 4
[interest]</t>
      </text>
    </comment>
    <comment ref="AL12" authorId="0" shapeId="0">
      <text>
        <t>추정: 이자발생자산 124억 × 1.36%(주석 이자수익 ÷ 평균 이자발생자산(2025Q3~2026Q2)) − 총차입금 729억 × 4.18%(주석 이자비용 ÷ 평균 총차입금(2025Q3~2026Q2)) (연율) ÷ 4
[interest]</t>
      </text>
    </comment>
    <comment ref="AM12" authorId="0" shapeId="0">
      <text>
        <t>추정: 이자발생자산 118억 × 1.36%(주석 이자수익 ÷ 평균 이자발생자산(2025Q3~2026Q2)) − 총차입금 729억 × 4.18%(주석 이자비용 ÷ 평균 총차입금(2025Q3~2026Q2)) (연율) ÷ 4
[interest]</t>
      </text>
    </comment>
    <comment ref="AN12" authorId="0" shapeId="0">
      <text>
        <t>추정: 이자발생자산 112억 × 1.36%(주석 이자수익 ÷ 평균 이자발생자산(2025Q3~2026Q2)) − 총차입금 729억 × 4.18%(주석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AF15" authorId="0" shapeId="0">
      <text>
        <t>추정: 잔차 실측 3분기 &lt; 4 → 0
[abs]</t>
      </text>
    </comment>
    <comment ref="AG15" authorId="0" shapeId="0">
      <text>
        <t>추정: 잔차 실측 3분기 &lt; 4 → 0
[abs]</t>
      </text>
    </comment>
    <comment ref="AH15" authorId="0" shapeId="0">
      <text>
        <t>추정: 잔차 실측 3분기 &lt; 4 → 0
[abs]</t>
      </text>
    </comment>
    <comment ref="AI15" authorId="0" shapeId="0">
      <text>
        <t>추정: 잔차 실측 3분기 &lt; 4 → 0
[abs]</t>
      </text>
    </comment>
    <comment ref="AK15" authorId="0" shapeId="0">
      <text>
        <t>추정: 잔차 실측 3분기 &lt; 4 → 0
[abs]</t>
      </text>
    </comment>
    <comment ref="AL15" authorId="0" shapeId="0">
      <text>
        <t>추정: 잔차 실측 3분기 &lt; 4 → 0
[abs]</t>
      </text>
    </comment>
    <comment ref="AM15" authorId="0" shapeId="0">
      <text>
        <t>추정: 잔차 실측 3분기 &lt; 4 → 0
[abs]</t>
      </text>
    </comment>
    <comment ref="AN15" authorId="0" shapeId="0">
      <text>
        <t>추정: 잔차 실측 3분기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세전 합 ≤ 0; 세전 &gt; 0 분기 중위 0.0% 도 5~27% 밖 → 법정세율 근사 22% 가정)
[ratio]</t>
      </text>
    </comment>
    <comment ref="AD18" authorId="0" shapeId="0">
      <text>
        <t>추정: max(세전, 0) × 세율 22.0%(최근 12분기 세전 합 ≤ 0; 세전 &gt; 0 분기 중위 0.0% 도 5~27% 밖 → 법정세율 근사 22% 가정)
[ratio]</t>
      </text>
    </comment>
    <comment ref="AF18" authorId="0" shapeId="0">
      <text>
        <t>추정: max(세전, 0) × 세율 22.0%(최근 12분기 세전 합 ≤ 0; 세전 &gt; 0 분기 중위 0.0% 도 5~27% 밖 → 법정세율 근사 22% 가정)
[ratio]</t>
      </text>
    </comment>
    <comment ref="AG18" authorId="0" shapeId="0">
      <text>
        <t>추정: max(세전, 0) × 세율 22.0%(최근 12분기 세전 합 ≤ 0; 세전 &gt; 0 분기 중위 0.0% 도 5~27% 밖 → 법정세율 근사 22% 가정)
[ratio]</t>
      </text>
    </comment>
    <comment ref="AH18" authorId="0" shapeId="0">
      <text>
        <t>추정: max(세전, 0) × 세율 22.0%(최근 12분기 세전 합 ≤ 0; 세전 &gt; 0 분기 중위 0.0% 도 5~27% 밖 → 법정세율 근사 22% 가정)
[ratio]</t>
      </text>
    </comment>
    <comment ref="AI18" authorId="0" shapeId="0">
      <text>
        <t>추정: max(세전, 0) × 세율 22.0%(최근 12분기 세전 합 ≤ 0; 세전 &gt; 0 분기 중위 0.0% 도 5~27% 밖 → 법정세율 근사 22% 가정)
[ratio]</t>
      </text>
    </comment>
    <comment ref="AK18" authorId="0" shapeId="0">
      <text>
        <t>추정: max(세전, 0) × 세율 22.0%(최근 12분기 세전 합 ≤ 0; 세전 &gt; 0 분기 중위 0.0% 도 5~27% 밖 → 법정세율 근사 22% 가정)
[ratio]</t>
      </text>
    </comment>
    <comment ref="AL18" authorId="0" shapeId="0">
      <text>
        <t>추정: max(세전, 0) × 세율 22.0%(최근 12분기 세전 합 ≤ 0; 세전 &gt; 0 분기 중위 0.0% 도 5~27% 밖 → 법정세율 근사 22% 가정)
[ratio]</t>
      </text>
    </comment>
    <comment ref="AM18" authorId="0" shapeId="0">
      <text>
        <t>추정: max(세전, 0) × 세율 22.0%(최근 12분기 세전 합 ≤ 0; 세전 &gt; 0 분기 중위 0.0% 도 5~27% 밖 → 법정세율 근사 22% 가정)
[ratio]</t>
      </text>
    </comment>
    <comment ref="AN18" authorId="0" shapeId="0">
      <text>
        <t>추정: max(세전, 0) × 세율 22.0%(최근 12분기 세전 합 ≤ 0; 세전 &gt; 0 분기 중위 0.0% 도 5~27% 밖 → 법정세율 근사 22% 가정)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S20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20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추정(실적 구간 갭필): fin.shares.common_outstanding 159,155,279주 × 1/5(환산 — 2025Q4 1/5 병합; IAS 33.64 비교표시·수정주가 이력과 정합)</t>
      </text>
    </comment>
    <comment ref="G33" authorId="0" shapeId="0">
      <text>
        <t>추정(실적 구간 갭필): fin.shares.common_outstanding 159,155,279주 × 1/5(환산 — 2025Q4 1/5 병합; IAS 33.64 비교표시·수정주가 이력과 정합)</t>
      </text>
    </comment>
    <comment ref="H33" authorId="0" shapeId="0">
      <text>
        <t>추정(실적 구간 갭필): fin.shares.common_outstanding 159,155,279주 × 1/5(환산 — 2025Q4 1/5 병합; IAS 33.64 비교표시·수정주가 이력과 정합)</t>
      </text>
    </comment>
    <comment ref="I33" authorId="0" shapeId="0">
      <text>
        <t>추정(실적 구간 갭필): fin.shares.common_outstanding 159,155,279주 × 1/5(환산 — 2025Q4 1/5 병합; IAS 33.64 비교표시·수정주가 이력과 정합)</t>
      </text>
    </comment>
    <comment ref="J33" authorId="0" shapeId="0">
      <text>
        <t>추정(실적 구간 갭필): fin.shares.common_outstanding 159,155,279주 × 1/5(환산 — 2025Q4 1/5 병합; IAS 33.64 비교표시·수정주가 이력과 정합)</t>
      </text>
    </comment>
    <comment ref="L33" authorId="0" shapeId="0">
      <text>
        <t>추정(실적 구간 갭필): fin.shares.common_outstanding 159,155,279주 × 1/5(환산 — 2025Q4 1/5 병합; IAS 33.64 비교표시·수정주가 이력과 정합)</t>
      </text>
    </comment>
    <comment ref="M33" authorId="0" shapeId="0">
      <text>
        <t>추정(실적 구간 갭필): fin.shares.common_outstanding 159,155,279주 × 1/5(환산 — 2025Q4 1/5 병합; IAS 33.64 비교표시·수정주가 이력과 정합)</t>
      </text>
    </comment>
    <comment ref="N33" authorId="0" shapeId="0">
      <text>
        <t>추정(실적 구간 갭필): fin.shares.common_outstanding 159,155,279주 × 1/5(환산 — 2025Q4 1/5 병합; IAS 33.64 비교표시·수정주가 이력과 정합)</t>
      </text>
    </comment>
    <comment ref="O33" authorId="0" shapeId="0">
      <text>
        <t>추정(실적 구간 갭필): fin.shares.common_outstanding 159,155,279주 × 1/5(환산 — 2025Q4 1/5 병합; IAS 33.64 비교표시·수정주가 이력과 정합)</t>
      </text>
    </comment>
    <comment ref="Q33" authorId="0" shapeId="0">
      <text>
        <t>추정(실적 구간 갭필): fin.shares.common_outstanding 159,155,279주 × 1/5(환산 — 2025Q4 1/5 병합; IAS 33.64 비교표시·수정주가 이력과 정합)</t>
      </text>
    </comment>
    <comment ref="R33" authorId="0" shapeId="0">
      <text>
        <t>추정(실적 구간 갭필): fin.shares.common_outstanding 159,155,279주 × 1/5(환산 — 2025Q4 1/5 병합; IAS 33.64 비교표시·수정주가 이력과 정합)</t>
      </text>
    </comment>
    <comment ref="S33" authorId="0" shapeId="0">
      <text>
        <t>추정(실적 구간 갭필): fin.shares.common_outstanding 159,155,279주 × 1/5(환산 — 2025Q4 1/5 병합; IAS 33.64 비교표시·수정주가 이력과 정합)</t>
      </text>
    </comment>
    <comment ref="T33" authorId="0" shapeId="0">
      <text>
        <t>추정(실적 구간 갭필): fin.shares.common_outstanding 159,155,279주 × 1/5(환산 — 2025Q4 1/5 병합; IAS 33.64 비교표시·수정주가 이력과 정합)</t>
      </text>
    </comment>
    <comment ref="V33" authorId="0" shapeId="0">
      <text>
        <t>추정(실적 구간 갭필): fin.shares.common_outstanding 159,155,279주 × 1/5(환산 — 2025Q4 1/5 병합; IAS 33.64 비교표시·수정주가 이력과 정합)</t>
      </text>
    </comment>
    <comment ref="W33" authorId="0" shapeId="0">
      <text>
        <t>추정(실적 구간 갭필): fin.shares.common_outstanding 175,565,535주 × 1/5(환산 — 2025Q4 1/5 병합; IAS 33.64 비교표시·수정주가 이력과 정합)</t>
      </text>
    </comment>
    <comment ref="X33" authorId="0" shapeId="0">
      <text>
        <t>추정(실적 구간 갭필): fin.shares.common_outstanding 179,668,081주 × 1/5(환산 — 2025Q4 1/5 병합; IAS 33.64 비교표시·수정주가 이력과 정합)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12.97%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1.34% / 부채 4.18% — 이자손익 = (전분기 이자발생자산 × 자산이자율 − 전분기 총차입금 × 부채이자율)/4, 최소자승 역산(모델 assumptions [0.0136, 0.0418]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105.0배가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assets/models/096350.json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2024Q3, 2024Q4 / 주식수 사건 환산: 2025Q4 1/5 병합(eps_reported 교차검증 confirmed) → 사건 전 실적 16분기의 주식수·EPS·BPS·DPS 를 비율 환산(IAS 33.64; 셀 kind estimate, basis 에 원주식수·비율)</t>
        </is>
      </c>
    </row>
    <row r="34">
      <c r="A34" t="inlineStr">
        <is>
          <t>백테스트: {"freeze": "2025Q2", "horizon": 4, "revenue_wape_pct": 37.4, "op_wape_pct": 99.6,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20" t="n">
        <v>1887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20" t="n">
        <v>1932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20" t="n">
        <v>1820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2279</v>
      </c>
      <c r="Y18" s="18" t="n">
        <v>2250.2</v>
      </c>
      <c r="Z18" s="9" t="n"/>
      <c r="AA18" s="18" t="n">
        <v>2469.6</v>
      </c>
      <c r="AB18" s="19" t="n">
        <v>2517.8</v>
      </c>
      <c r="AC18" s="20" t="n">
        <v>1800.6</v>
      </c>
      <c r="AD18" s="20" t="n">
        <v>1892.8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0.200541631</v>
      </c>
      <c r="AD21" s="24" t="n">
        <v>0.38073753</v>
      </c>
      <c r="AE21" s="25" t="n"/>
      <c r="AF21" s="24" t="n">
        <v>0.0456225</v>
      </c>
      <c r="AG21" s="24" t="n">
        <v>0.201108341</v>
      </c>
      <c r="AH21" s="24" t="n">
        <v>0.185327248</v>
      </c>
      <c r="AI21" s="24" t="n">
        <v>0.171760391</v>
      </c>
      <c r="AJ21" s="25" t="n"/>
      <c r="AK21" s="24" t="n">
        <v>0.186388801</v>
      </c>
      <c r="AL21" s="24" t="n">
        <v>0.213057662</v>
      </c>
      <c r="AM21" s="24" t="n">
        <v>0.236267562</v>
      </c>
      <c r="AN21" s="24" t="n">
        <v>0.234254912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0.001213828</v>
      </c>
      <c r="AD23" s="24" t="n">
        <v>0.001222494</v>
      </c>
      <c r="AE23" s="25">
        <f>IFERROR(subQ!AE9/subQ!AE5,"")</f>
        <v/>
      </c>
      <c r="AF23" s="24" t="n">
        <v>0.001215286</v>
      </c>
      <c r="AG23" s="24" t="n">
        <v>0.00123435</v>
      </c>
      <c r="AH23" s="24" t="n">
        <v>0.001228853</v>
      </c>
      <c r="AI23" s="24" t="n">
        <v>0.00121718</v>
      </c>
      <c r="AJ23" s="25">
        <f>IFERROR(subQ!AJ9/subQ!AJ5,"")</f>
        <v/>
      </c>
      <c r="AK23" s="24" t="n">
        <v>0.001214053</v>
      </c>
      <c r="AL23" s="24" t="n">
        <v>0.0012356</v>
      </c>
      <c r="AM23" s="24" t="n">
        <v>0.001225937</v>
      </c>
      <c r="AN23" s="24" t="n">
        <v>0.001211575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-0</v>
      </c>
      <c r="AD28" s="24" t="n">
        <v>-0</v>
      </c>
      <c r="AE28" s="25">
        <f>IFERROR(subQ!AE18/subQ!AE17,"")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IFERROR(subQ!AJ18/subQ!AJ17,"")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2.55</v>
      </c>
      <c r="AD30" s="30" t="n">
        <v>2.55</v>
      </c>
      <c r="AE30" s="31">
        <f>subQ!AE21</f>
        <v/>
      </c>
      <c r="AF30" s="30" t="n">
        <v>2.55</v>
      </c>
      <c r="AG30" s="30" t="n">
        <v>2.55</v>
      </c>
      <c r="AH30" s="30" t="n">
        <v>2.55</v>
      </c>
      <c r="AI30" s="30" t="n">
        <v>2.55</v>
      </c>
      <c r="AJ30" s="31">
        <f>subQ!AJ21</f>
        <v/>
      </c>
      <c r="AK30" s="30" t="n">
        <v>2.55</v>
      </c>
      <c r="AL30" s="30" t="n">
        <v>2.55</v>
      </c>
      <c r="AM30" s="30" t="n">
        <v>2.55</v>
      </c>
      <c r="AN30" s="30" t="n">
        <v>2.55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-5.27e-07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0.003104454</v>
      </c>
      <c r="AD32" s="30" t="n">
        <v>-8.7187e-05</v>
      </c>
      <c r="AE32" s="31" t="n"/>
      <c r="AF32" s="30" t="n">
        <v>-0.009884656</v>
      </c>
      <c r="AG32" s="30" t="n">
        <v>0.010116345</v>
      </c>
      <c r="AH32" s="30" t="n">
        <v>8.3856e-05</v>
      </c>
      <c r="AI32" s="30" t="n">
        <v>5.1664e-05</v>
      </c>
      <c r="AJ32" s="31" t="n"/>
      <c r="AK32" s="30" t="n">
        <v>0.000119893</v>
      </c>
      <c r="AL32" s="30" t="n">
        <v>2.0327e-05</v>
      </c>
      <c r="AM32" s="30" t="n">
        <v>0.009920793000000001</v>
      </c>
      <c r="AN32" s="30" t="n">
        <v>-0.010145142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0.000504454</v>
      </c>
      <c r="AD33" s="30" t="n">
        <v>-8.7187e-05</v>
      </c>
      <c r="AE33" s="31" t="n"/>
      <c r="AF33" s="30" t="n">
        <v>0.000115344</v>
      </c>
      <c r="AG33" s="30" t="n">
        <v>0.000116345</v>
      </c>
      <c r="AH33" s="30" t="n">
        <v>8.3856e-05</v>
      </c>
      <c r="AI33" s="30" t="n">
        <v>5.1664e-05</v>
      </c>
      <c r="AJ33" s="31" t="n"/>
      <c r="AK33" s="30" t="n">
        <v>0.000119893</v>
      </c>
      <c r="AL33" s="30" t="n">
        <v>0.010020327</v>
      </c>
      <c r="AM33" s="30" t="n">
        <v>-7.9207e-05</v>
      </c>
      <c r="AN33" s="30" t="n">
        <v>-0.000145142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-5.486e-06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0.010491073</v>
      </c>
      <c r="AD35" s="24" t="n">
        <v>0.010336505</v>
      </c>
      <c r="AE35" s="25" t="n"/>
      <c r="AF35" s="24" t="n">
        <v>0.010299998</v>
      </c>
      <c r="AG35" s="24" t="n">
        <v>0.010246393</v>
      </c>
      <c r="AH35" s="24" t="n">
        <v>0.010125509</v>
      </c>
      <c r="AI35" s="24" t="n">
        <v>0.009956848000000001</v>
      </c>
      <c r="AJ35" s="25" t="n"/>
      <c r="AK35" s="24" t="n">
        <v>0.009958437000000001</v>
      </c>
      <c r="AL35" s="24" t="n">
        <v>0.009860245</v>
      </c>
      <c r="AM35" s="24" t="n">
        <v>0.009747669</v>
      </c>
      <c r="AN35" s="24" t="n">
        <v>0.009588997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-0.035924541</v>
      </c>
      <c r="AD36" s="24" t="n">
        <v>-0.037009158</v>
      </c>
      <c r="AE36" s="25" t="n"/>
      <c r="AF36" s="24" t="n">
        <v>-0.038822303</v>
      </c>
      <c r="AG36" s="24" t="n">
        <v>-0.040458119</v>
      </c>
      <c r="AH36" s="24" t="n">
        <v>-0.042163995</v>
      </c>
      <c r="AI36" s="24" t="n">
        <v>-0.04379885</v>
      </c>
      <c r="AJ36" s="25" t="n"/>
      <c r="AK36" s="24" t="n">
        <v>-0.046190623</v>
      </c>
      <c r="AL36" s="24" t="n">
        <v>-0.04842752</v>
      </c>
      <c r="AM36" s="24" t="n">
        <v>-0.050807137</v>
      </c>
      <c r="AN36" s="24" t="n">
        <v>-0.053168636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0.933479112</v>
      </c>
      <c r="AD38" s="24" t="n">
        <v>-0.662603177</v>
      </c>
      <c r="AE38" s="25" t="n"/>
      <c r="AF38" s="24" t="n">
        <v>0.088717517</v>
      </c>
      <c r="AG38" s="24" t="n">
        <v>-0.074635087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1887</v>
      </c>
      <c r="E44" s="2" t="inlineStr">
        <is>
          <t>원 — 네이버 정규장 종가(aik 확정종가 대조 · aik 1,890원)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105.0배가 3~40 밖(턴어라운드 왜곡))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0.1296774144440385</v>
      </c>
      <c r="E52" s="2" t="inlineStr">
        <is>
          <t>연결 — 판관비 = 매출액 × 판관비율(역산, 재현 오차 ≤ 0.05억 · 모델 assumptions 0.1297)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0.01342205540426368</v>
      </c>
      <c r="E54" s="2" t="inlineStr">
        <is>
          <t>연결 — 이자손익 = (전분기 이자발생자산 × 자산이자율 − 전분기 총차입금 × 부채이자율)/4(역산, 재현 오차 ≤ 0.05억 · 모델 assumptions 0.0136)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0.04177651543000138</v>
      </c>
      <c r="E55" s="2" t="inlineStr">
        <is>
          <t>연결 — 같은 수식의 부채 쪽(총차입금 행이 없으면 0)(역산, 재현 오차 ≤ 0.05억 · 모델 assumptions 0.0418)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7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7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7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7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7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7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7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7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7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7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7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7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7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7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7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7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7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7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7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7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7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7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7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7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7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7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7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7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7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7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7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7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7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7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7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7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7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7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7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7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7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7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7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7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7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7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7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7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7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7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7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7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7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7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7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7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7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7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7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7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7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7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7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7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7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7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7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7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7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7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7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7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7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7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7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7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7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7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7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7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7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7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7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7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7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7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7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7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7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7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7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7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7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7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7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7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7" t="n">
        <v>54192.86</v>
      </c>
      <c r="L24" s="18" t="n">
        <v>51504.29</v>
      </c>
      <c r="M24" s="18" t="n">
        <v>42180.76</v>
      </c>
      <c r="N24" s="18" t="n">
        <v>46438.65</v>
      </c>
      <c r="O24" s="18" t="n">
        <v>46265.1</v>
      </c>
      <c r="P24" s="37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7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7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7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7" t="n">
        <v>54192.86</v>
      </c>
      <c r="L25" s="18" t="n">
        <v>51504.29</v>
      </c>
      <c r="N25" s="18" t="n">
        <v>46438.65</v>
      </c>
      <c r="O25" s="18" t="n">
        <v>46265.1</v>
      </c>
      <c r="P25" s="37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7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7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7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7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7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7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7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7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7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7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7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7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7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7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7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7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7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7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7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7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7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7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7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7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7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7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7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7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7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7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7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7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7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7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7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7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7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7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7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7" t="n">
        <v>10090.68</v>
      </c>
      <c r="Q33" s="18" t="n">
        <v>11803.64</v>
      </c>
      <c r="R33" s="18" t="n">
        <v>11608.29</v>
      </c>
      <c r="S33" s="18" t="n">
        <v>13138.43</v>
      </c>
      <c r="T33" s="18" t="n">
        <v>18409.27</v>
      </c>
      <c r="U33" s="37" t="n">
        <v>18409.27</v>
      </c>
      <c r="V33" s="18" t="n">
        <v>20251.36</v>
      </c>
      <c r="W33" s="18" t="n">
        <v>17157.01</v>
      </c>
      <c r="X33" s="18" t="n">
        <v>16932.57</v>
      </c>
      <c r="Y33" s="18" t="n">
        <v>30870</v>
      </c>
      <c r="Z33" s="37" t="n">
        <v>30870</v>
      </c>
      <c r="AA33" s="18" t="n">
        <v>38870</v>
      </c>
      <c r="AB33" s="19" t="n">
        <v>41720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7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7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7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7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7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7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7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7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7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7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640.54</v>
      </c>
      <c r="F36" s="37" t="n">
        <v>640.54</v>
      </c>
      <c r="G36" s="18" t="n">
        <v>476.75</v>
      </c>
      <c r="H36" s="18" t="n">
        <v>517.8</v>
      </c>
      <c r="I36" s="18" t="n">
        <v>535.03</v>
      </c>
      <c r="J36" s="18" t="n">
        <v>876.8200000000001</v>
      </c>
      <c r="K36" s="37" t="n">
        <v>876.8200000000001</v>
      </c>
      <c r="L36" s="18" t="n">
        <v>826.8200000000001</v>
      </c>
      <c r="M36" s="18" t="n">
        <v>907.64</v>
      </c>
      <c r="N36" s="18" t="n">
        <v>965.74</v>
      </c>
      <c r="O36" s="18" t="n">
        <v>1052.92</v>
      </c>
      <c r="P36" s="37" t="n">
        <v>1052.92</v>
      </c>
      <c r="Q36" s="18" t="n">
        <v>1083.06</v>
      </c>
      <c r="R36" s="18" t="n">
        <v>1141.5</v>
      </c>
      <c r="S36" s="18" t="n">
        <v>911.51</v>
      </c>
      <c r="T36" s="18" t="n">
        <v>975.46</v>
      </c>
      <c r="U36" s="37" t="n">
        <v>975.46</v>
      </c>
      <c r="V36" s="18" t="n">
        <v>1004.77</v>
      </c>
      <c r="W36" s="18" t="n">
        <v>1030.57</v>
      </c>
      <c r="X36" s="18" t="n">
        <v>1090.77</v>
      </c>
      <c r="Y36" s="18" t="n">
        <v>1123.74</v>
      </c>
      <c r="Z36" s="37" t="n">
        <v>1123.74</v>
      </c>
      <c r="AA36" s="18" t="n">
        <v>1151.65</v>
      </c>
      <c r="AB36" s="19" t="n">
        <v>1182.03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943.52</v>
      </c>
      <c r="F37" s="37" t="n">
        <v>943.52</v>
      </c>
      <c r="G37" s="18" t="n">
        <v>779.73</v>
      </c>
      <c r="H37" s="18" t="n">
        <v>798.22</v>
      </c>
      <c r="I37" s="18" t="n">
        <v>815.45</v>
      </c>
      <c r="J37" s="18" t="n">
        <v>1019.4</v>
      </c>
      <c r="K37" s="37" t="n">
        <v>1019.4</v>
      </c>
      <c r="L37" s="18" t="n">
        <v>969.4</v>
      </c>
      <c r="M37" s="18" t="n">
        <v>1009.66</v>
      </c>
      <c r="N37" s="18" t="n">
        <v>1067.76</v>
      </c>
      <c r="O37" s="18" t="n">
        <v>1137.02</v>
      </c>
      <c r="P37" s="37" t="n">
        <v>1137.02</v>
      </c>
      <c r="Q37" s="18" t="n">
        <v>1167.16</v>
      </c>
      <c r="R37" s="18" t="n">
        <v>1194.79</v>
      </c>
      <c r="S37" s="18" t="n">
        <v>969.2</v>
      </c>
      <c r="T37" s="18" t="n">
        <v>1016.92</v>
      </c>
      <c r="U37" s="37" t="n">
        <v>1016.92</v>
      </c>
      <c r="V37" s="18" t="n">
        <v>1046.23</v>
      </c>
      <c r="W37" s="18" t="n">
        <v>1043.34</v>
      </c>
      <c r="X37" s="18" t="n">
        <v>1103.54</v>
      </c>
      <c r="Y37" s="18" t="n">
        <v>1224.49</v>
      </c>
      <c r="Z37" s="37" t="n">
        <v>1224.49</v>
      </c>
      <c r="AA37" s="18" t="n">
        <v>1252.4</v>
      </c>
      <c r="AB37" s="19" t="n">
        <v>1250.59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117.48</v>
      </c>
      <c r="F38" s="37" t="n">
        <v>117.48</v>
      </c>
      <c r="G38" s="18" t="n">
        <v>117.48</v>
      </c>
      <c r="H38" s="18" t="n">
        <v>117.48</v>
      </c>
      <c r="I38" s="18" t="n">
        <v>117.48</v>
      </c>
      <c r="J38" s="18" t="n">
        <v>117.48</v>
      </c>
      <c r="K38" s="37" t="n">
        <v>117.48</v>
      </c>
      <c r="L38" s="18" t="n">
        <v>117.48</v>
      </c>
      <c r="M38" s="18" t="n">
        <v>117.48</v>
      </c>
      <c r="N38" s="18" t="n">
        <v>117.48</v>
      </c>
      <c r="O38" s="18" t="n">
        <v>1417.48</v>
      </c>
      <c r="P38" s="37" t="n">
        <v>1417.48</v>
      </c>
      <c r="Q38" s="18" t="n">
        <v>1417.48</v>
      </c>
      <c r="R38" s="18" t="n">
        <v>917.48</v>
      </c>
      <c r="S38" s="18" t="n">
        <v>800</v>
      </c>
      <c r="T38" s="18" t="n">
        <v>800</v>
      </c>
      <c r="U38" s="37" t="n">
        <v>800</v>
      </c>
      <c r="V38" s="18" t="n">
        <v>800</v>
      </c>
      <c r="W38" s="18" t="n">
        <v>800</v>
      </c>
      <c r="X38" s="18" t="n">
        <v>1200</v>
      </c>
      <c r="Y38" s="18" t="n">
        <v>1200</v>
      </c>
      <c r="Z38" s="37" t="n">
        <v>1200</v>
      </c>
      <c r="AA38" s="18" t="n">
        <v>1200</v>
      </c>
      <c r="AB38" s="19" t="n">
        <v>1200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50.14</v>
      </c>
      <c r="F39" s="37" t="n">
        <v>50.14</v>
      </c>
      <c r="G39" s="18" t="n">
        <v>50.14</v>
      </c>
      <c r="H39" s="18" t="n">
        <v>27.58</v>
      </c>
      <c r="I39" s="18" t="n">
        <v>27.58</v>
      </c>
      <c r="J39" s="18" t="n">
        <v>142.58</v>
      </c>
      <c r="K39" s="37" t="n">
        <v>142.58</v>
      </c>
      <c r="L39" s="18" t="n">
        <v>142.58</v>
      </c>
      <c r="M39" s="18" t="n">
        <v>102.02</v>
      </c>
      <c r="N39" s="18" t="n">
        <v>102.02</v>
      </c>
      <c r="O39" s="18" t="n">
        <v>84.09999999999999</v>
      </c>
      <c r="P39" s="37" t="n">
        <v>84.09999999999999</v>
      </c>
      <c r="Q39" s="18" t="n">
        <v>84.09999999999999</v>
      </c>
      <c r="R39" s="18" t="n">
        <v>53.29</v>
      </c>
      <c r="S39" s="18" t="n">
        <v>57.69</v>
      </c>
      <c r="T39" s="18" t="n">
        <v>41.46</v>
      </c>
      <c r="U39" s="37" t="n">
        <v>41.46</v>
      </c>
      <c r="V39" s="18" t="n">
        <v>41.46</v>
      </c>
      <c r="W39" s="18" t="n">
        <v>12.77</v>
      </c>
      <c r="X39" s="18" t="n">
        <v>12.77</v>
      </c>
      <c r="Y39" s="18" t="n">
        <v>100.75</v>
      </c>
      <c r="Z39" s="37" t="n">
        <v>100.75</v>
      </c>
      <c r="AA39" s="18" t="n">
        <v>100.75</v>
      </c>
      <c r="AB39" s="19" t="n">
        <v>68.56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252.84</v>
      </c>
      <c r="F40" s="37" t="n">
        <v>252.84</v>
      </c>
      <c r="G40" s="18" t="n">
        <v>252.84</v>
      </c>
      <c r="H40" s="18" t="n">
        <v>252.84</v>
      </c>
      <c r="I40" s="18" t="n">
        <v>252.84</v>
      </c>
      <c r="J40" s="18" t="n">
        <v>0</v>
      </c>
      <c r="K40" s="37" t="n">
        <v>0</v>
      </c>
      <c r="L40" s="18" t="n">
        <v>0</v>
      </c>
      <c r="O40" s="18" t="n">
        <v>0</v>
      </c>
      <c r="P40" s="37" t="n">
        <v>0</v>
      </c>
      <c r="T40" s="18" t="n">
        <v>0</v>
      </c>
      <c r="U40" s="37" t="n">
        <v>0</v>
      </c>
      <c r="V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82707.19</v>
      </c>
      <c r="F41" s="37" t="n">
        <v>82707.19</v>
      </c>
      <c r="G41" s="18" t="n">
        <v>85322.46000000001</v>
      </c>
      <c r="H41" s="18" t="n">
        <v>85693.53999999999</v>
      </c>
      <c r="I41" s="18" t="n">
        <v>88946.36</v>
      </c>
      <c r="J41" s="18" t="n">
        <v>95237.19</v>
      </c>
      <c r="K41" s="37" t="n">
        <v>95237.19</v>
      </c>
      <c r="L41" s="18" t="n">
        <v>93989.89</v>
      </c>
      <c r="M41" s="18" t="n">
        <v>94071.64</v>
      </c>
      <c r="N41" s="18" t="n">
        <v>94430.52</v>
      </c>
      <c r="O41" s="18" t="n">
        <v>93059.25999999999</v>
      </c>
      <c r="P41" s="37" t="n">
        <v>93059.25999999999</v>
      </c>
      <c r="Q41" s="18" t="n">
        <v>98110.64999999999</v>
      </c>
      <c r="R41" s="18" t="n">
        <v>97877.92999999999</v>
      </c>
      <c r="S41" s="18" t="n">
        <v>96449.3</v>
      </c>
      <c r="T41" s="18" t="n">
        <v>102592.31</v>
      </c>
      <c r="U41" s="37" t="n">
        <v>102592.31</v>
      </c>
      <c r="V41" s="18" t="n">
        <v>104939.66</v>
      </c>
      <c r="W41" s="18" t="n">
        <v>102926.03</v>
      </c>
      <c r="X41" s="18" t="n">
        <v>104238.37</v>
      </c>
      <c r="Y41" s="18" t="n">
        <v>105830.49</v>
      </c>
      <c r="Z41" s="37" t="n">
        <v>105830.49</v>
      </c>
      <c r="AA41" s="18" t="n">
        <v>110121.63</v>
      </c>
      <c r="AB41" s="19" t="n">
        <v>113884.06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33482.84</v>
      </c>
      <c r="F42" s="37" t="n">
        <v>33482.84</v>
      </c>
      <c r="G42" s="18" t="n">
        <v>31628.7</v>
      </c>
      <c r="H42" s="18" t="n">
        <v>29813.69</v>
      </c>
      <c r="I42" s="18" t="n">
        <v>28119.57</v>
      </c>
      <c r="J42" s="18" t="n">
        <v>26364.39</v>
      </c>
      <c r="K42" s="37" t="n">
        <v>26364.39</v>
      </c>
      <c r="L42" s="18" t="n">
        <v>27653.41</v>
      </c>
      <c r="M42" s="18" t="n">
        <v>28952.89</v>
      </c>
      <c r="N42" s="18" t="n">
        <v>28731.43</v>
      </c>
      <c r="O42" s="18" t="n">
        <v>30125.66</v>
      </c>
      <c r="P42" s="37" t="n">
        <v>30125.66</v>
      </c>
      <c r="Q42" s="18" t="n">
        <v>30514.6</v>
      </c>
      <c r="R42" s="18" t="n">
        <v>31545.53</v>
      </c>
      <c r="S42" s="18" t="n">
        <v>30393.07</v>
      </c>
      <c r="T42" s="18" t="n">
        <v>26838.75</v>
      </c>
      <c r="U42" s="37" t="n">
        <v>26838.75</v>
      </c>
      <c r="V42" s="18" t="n">
        <v>25563.18</v>
      </c>
      <c r="W42" s="18" t="n">
        <v>30000.5</v>
      </c>
      <c r="X42" s="18" t="n">
        <v>31932.96</v>
      </c>
      <c r="Y42" s="18" t="n">
        <v>31339.35</v>
      </c>
      <c r="Z42" s="37" t="n">
        <v>31339.35</v>
      </c>
      <c r="AA42" s="18" t="n">
        <v>32128.31</v>
      </c>
      <c r="AB42" s="19" t="n">
        <v>31682.07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62161.14</v>
      </c>
      <c r="F43" s="37" t="n">
        <v>62161.14</v>
      </c>
      <c r="G43" s="18" t="n">
        <v>62161.14</v>
      </c>
      <c r="H43" s="18" t="n">
        <v>62161.14</v>
      </c>
      <c r="I43" s="18" t="n">
        <v>62161.14</v>
      </c>
      <c r="J43" s="18" t="n">
        <v>62161.14</v>
      </c>
      <c r="K43" s="37" t="n">
        <v>62161.14</v>
      </c>
      <c r="L43" s="18" t="n">
        <v>62161.14</v>
      </c>
      <c r="M43" s="18" t="n">
        <v>62161.14</v>
      </c>
      <c r="N43" s="18" t="n">
        <v>62161.14</v>
      </c>
      <c r="O43" s="18" t="n">
        <v>62161.14</v>
      </c>
      <c r="P43" s="37" t="n">
        <v>62161.14</v>
      </c>
      <c r="Q43" s="18" t="n">
        <v>62161.14</v>
      </c>
      <c r="R43" s="18" t="n">
        <v>62161.14</v>
      </c>
      <c r="S43" s="18" t="n">
        <v>62161.14</v>
      </c>
      <c r="T43" s="18" t="n">
        <v>62161.14</v>
      </c>
      <c r="U43" s="37" t="n">
        <v>62161.14</v>
      </c>
      <c r="V43" s="18" t="n">
        <v>62161.14</v>
      </c>
      <c r="W43" s="18" t="n">
        <v>71804.96000000001</v>
      </c>
      <c r="X43" s="18" t="n">
        <v>73412.66</v>
      </c>
      <c r="Y43" s="18" t="n">
        <v>73412.66</v>
      </c>
      <c r="Z43" s="37" t="n">
        <v>73412.66</v>
      </c>
      <c r="AA43" s="18" t="n">
        <v>73412.66</v>
      </c>
      <c r="AB43" s="19" t="n">
        <v>73412.66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16376.1</v>
      </c>
      <c r="F44" s="37" t="n">
        <v>16376.1</v>
      </c>
      <c r="G44" s="18" t="n">
        <v>16376.1</v>
      </c>
      <c r="H44" s="18" t="n">
        <v>16376.1</v>
      </c>
      <c r="I44" s="18" t="n">
        <v>16376.1</v>
      </c>
      <c r="J44" s="18" t="n">
        <v>16376.1</v>
      </c>
      <c r="K44" s="37" t="n">
        <v>16376.1</v>
      </c>
      <c r="L44" s="18" t="n">
        <v>16376.1</v>
      </c>
      <c r="M44" s="18" t="n">
        <v>16376.1</v>
      </c>
      <c r="N44" s="18" t="n">
        <v>16376.1</v>
      </c>
      <c r="O44" s="18" t="n">
        <v>16376.1</v>
      </c>
      <c r="P44" s="37" t="n">
        <v>16376.1</v>
      </c>
      <c r="Q44" s="18" t="n">
        <v>16376.1</v>
      </c>
      <c r="R44" s="18" t="n">
        <v>16376.1</v>
      </c>
      <c r="S44" s="18" t="n">
        <v>16376.1</v>
      </c>
      <c r="T44" s="18" t="n">
        <v>16376.1</v>
      </c>
      <c r="U44" s="37" t="n">
        <v>16376.1</v>
      </c>
      <c r="V44" s="18" t="n">
        <v>16376.1</v>
      </c>
      <c r="W44" s="18" t="n">
        <v>18017.13</v>
      </c>
      <c r="X44" s="18" t="n">
        <v>18427.38</v>
      </c>
      <c r="Y44" s="18" t="n">
        <v>18427.38</v>
      </c>
      <c r="Z44" s="37" t="n">
        <v>18427.38</v>
      </c>
      <c r="AA44" s="18" t="n">
        <v>18427.38</v>
      </c>
      <c r="AB44" s="19" t="n">
        <v>18427.38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45785.04</v>
      </c>
      <c r="F45" s="37" t="n">
        <v>45785.04</v>
      </c>
      <c r="G45" s="18" t="n">
        <v>45785.04</v>
      </c>
      <c r="H45" s="18" t="n">
        <v>45785.04</v>
      </c>
      <c r="I45" s="18" t="n">
        <v>45785.04</v>
      </c>
      <c r="J45" s="18" t="n">
        <v>45785.04</v>
      </c>
      <c r="K45" s="37" t="n">
        <v>45785.04</v>
      </c>
      <c r="L45" s="18" t="n">
        <v>45785.04</v>
      </c>
      <c r="M45" s="18" t="n">
        <v>45785.04</v>
      </c>
      <c r="N45" s="18" t="n">
        <v>45785.04</v>
      </c>
      <c r="O45" s="18" t="n">
        <v>45785.04</v>
      </c>
      <c r="P45" s="37" t="n">
        <v>45785.04</v>
      </c>
      <c r="Q45" s="18" t="n">
        <v>45785.04</v>
      </c>
      <c r="R45" s="18" t="n">
        <v>45785.04</v>
      </c>
      <c r="S45" s="18" t="n">
        <v>45785.04</v>
      </c>
      <c r="T45" s="18" t="n">
        <v>45785.04</v>
      </c>
      <c r="U45" s="37" t="n">
        <v>45785.04</v>
      </c>
      <c r="V45" s="18" t="n">
        <v>45785.04</v>
      </c>
      <c r="W45" s="18" t="n">
        <v>53787.83</v>
      </c>
      <c r="X45" s="18" t="n">
        <v>54985.27</v>
      </c>
      <c r="Y45" s="18" t="n">
        <v>54985.27</v>
      </c>
      <c r="Z45" s="37" t="n">
        <v>54985.27</v>
      </c>
      <c r="AA45" s="18" t="n">
        <v>54985.27</v>
      </c>
      <c r="AB45" s="19" t="n">
        <v>54985.27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-39726.59</v>
      </c>
      <c r="F46" s="37" t="n">
        <v>-39726.59</v>
      </c>
      <c r="G46" s="18" t="n">
        <v>-41692.51</v>
      </c>
      <c r="H46" s="18" t="n">
        <v>-42120.45</v>
      </c>
      <c r="I46" s="18" t="n">
        <v>-43807.91</v>
      </c>
      <c r="J46" s="18" t="n">
        <v>-45013.72</v>
      </c>
      <c r="K46" s="37" t="n">
        <v>-45013.72</v>
      </c>
      <c r="L46" s="18" t="n">
        <v>-43720.17</v>
      </c>
      <c r="M46" s="18" t="n">
        <v>-42428.06</v>
      </c>
      <c r="N46" s="18" t="n">
        <v>-42578.49</v>
      </c>
      <c r="O46" s="18" t="n">
        <v>-43175.28</v>
      </c>
      <c r="P46" s="37" t="n">
        <v>-43175.28</v>
      </c>
      <c r="Q46" s="18" t="n">
        <v>-42788.67</v>
      </c>
      <c r="R46" s="18" t="n">
        <v>-41786.77</v>
      </c>
      <c r="S46" s="18" t="n">
        <v>-42914.49</v>
      </c>
      <c r="T46" s="18" t="n">
        <v>-46469.31</v>
      </c>
      <c r="U46" s="37" t="n">
        <v>-46469.31</v>
      </c>
      <c r="V46" s="18" t="n">
        <v>-47745.01</v>
      </c>
      <c r="W46" s="18" t="n">
        <v>-52976.75</v>
      </c>
      <c r="X46" s="18" t="n">
        <v>-52676.73</v>
      </c>
      <c r="Y46" s="18" t="n">
        <v>-52969.67</v>
      </c>
      <c r="Z46" s="37" t="n">
        <v>-52969.67</v>
      </c>
      <c r="AA46" s="18" t="n">
        <v>-52161.79</v>
      </c>
      <c r="AB46" s="19" t="n">
        <v>-52594.9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934.99</v>
      </c>
      <c r="F47" s="37" t="n">
        <v>934.99</v>
      </c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10113.3</v>
      </c>
      <c r="F48" s="37" t="n">
        <v>10113.3</v>
      </c>
      <c r="G48" s="18" t="n">
        <v>11160.07</v>
      </c>
      <c r="H48" s="18" t="n">
        <v>9773</v>
      </c>
      <c r="I48" s="18" t="n">
        <v>9766.34</v>
      </c>
      <c r="J48" s="18" t="n">
        <v>9216.969999999999</v>
      </c>
      <c r="K48" s="37" t="n">
        <v>9216.969999999999</v>
      </c>
      <c r="L48" s="18" t="n">
        <v>9212.440000000001</v>
      </c>
      <c r="M48" s="18" t="n">
        <v>9219.809999999999</v>
      </c>
      <c r="N48" s="18" t="n">
        <v>9148.780000000001</v>
      </c>
      <c r="O48" s="18" t="n">
        <v>11139.8</v>
      </c>
      <c r="P48" s="37" t="n">
        <v>11139.8</v>
      </c>
      <c r="Q48" s="18" t="n">
        <v>11142.14</v>
      </c>
      <c r="R48" s="18" t="n">
        <v>11171.17</v>
      </c>
      <c r="S48" s="18" t="n">
        <v>11146.42</v>
      </c>
      <c r="T48" s="18" t="n">
        <v>11146.92</v>
      </c>
      <c r="U48" s="37" t="n">
        <v>11146.92</v>
      </c>
      <c r="V48" s="18" t="n">
        <v>11147.05</v>
      </c>
      <c r="W48" s="18" t="n">
        <v>11172.3</v>
      </c>
      <c r="X48" s="18" t="n">
        <v>11197.03</v>
      </c>
      <c r="Y48" s="18" t="n">
        <v>10896.37</v>
      </c>
      <c r="Z48" s="37" t="n">
        <v>10896.37</v>
      </c>
      <c r="AA48" s="18" t="n">
        <v>10877.45</v>
      </c>
      <c r="AB48" s="19" t="n">
        <v>10864.32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3368.58</v>
      </c>
      <c r="F49" s="37" t="n">
        <v>3368.58</v>
      </c>
      <c r="G49" s="18" t="n">
        <v>3073.23</v>
      </c>
      <c r="H49" s="18" t="n">
        <v>2704.15</v>
      </c>
      <c r="I49" s="18" t="n">
        <v>2555.48</v>
      </c>
      <c r="J49" s="18" t="n">
        <v>2576.77</v>
      </c>
      <c r="K49" s="37" t="n">
        <v>2576.77</v>
      </c>
      <c r="L49" s="18" t="n">
        <v>2743.29</v>
      </c>
      <c r="M49" s="18" t="n">
        <v>2800.57</v>
      </c>
      <c r="N49" s="18" t="n">
        <v>3819.64</v>
      </c>
      <c r="O49" s="18" t="n">
        <v>5636.66</v>
      </c>
      <c r="P49" s="37" t="n">
        <v>5636.66</v>
      </c>
      <c r="Q49" s="18" t="n">
        <v>5702.58</v>
      </c>
      <c r="R49" s="18" t="n">
        <v>6086.11</v>
      </c>
      <c r="S49" s="18" t="n">
        <v>5723.68</v>
      </c>
      <c r="T49" s="18" t="n">
        <v>5997.49</v>
      </c>
      <c r="U49" s="37" t="n">
        <v>5997.49</v>
      </c>
      <c r="V49" s="18" t="n">
        <v>5487.08</v>
      </c>
      <c r="W49" s="18" t="n">
        <v>4844.9</v>
      </c>
      <c r="X49" s="18" t="n">
        <v>5185.77</v>
      </c>
      <c r="Y49" s="18" t="n">
        <v>4663.34</v>
      </c>
      <c r="Z49" s="37" t="n">
        <v>4663.34</v>
      </c>
      <c r="AA49" s="18" t="n">
        <v>4895.82</v>
      </c>
      <c r="AB49" s="19" t="n">
        <v>3861.26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36851.42</v>
      </c>
      <c r="F50" s="37" t="n">
        <v>36851.42</v>
      </c>
      <c r="G50" s="18" t="n">
        <v>34701.92</v>
      </c>
      <c r="H50" s="18" t="n">
        <v>32517.84</v>
      </c>
      <c r="I50" s="18" t="n">
        <v>30675.05</v>
      </c>
      <c r="J50" s="18" t="n">
        <v>28941.16</v>
      </c>
      <c r="K50" s="37" t="n">
        <v>28941.16</v>
      </c>
      <c r="L50" s="18" t="n">
        <v>30396.69</v>
      </c>
      <c r="M50" s="18" t="n">
        <v>31753.46</v>
      </c>
      <c r="N50" s="18" t="n">
        <v>32551.07</v>
      </c>
      <c r="O50" s="18" t="n">
        <v>35762.32</v>
      </c>
      <c r="P50" s="37" t="n">
        <v>35762.32</v>
      </c>
      <c r="Q50" s="18" t="n">
        <v>36217.18</v>
      </c>
      <c r="R50" s="18" t="n">
        <v>37631.65</v>
      </c>
      <c r="S50" s="18" t="n">
        <v>36116.75</v>
      </c>
      <c r="T50" s="18" t="n">
        <v>32836.24</v>
      </c>
      <c r="U50" s="37" t="n">
        <v>32836.24</v>
      </c>
      <c r="V50" s="18" t="n">
        <v>31050.26</v>
      </c>
      <c r="W50" s="18" t="n">
        <v>34845.4</v>
      </c>
      <c r="X50" s="18" t="n">
        <v>37118.73</v>
      </c>
      <c r="Y50" s="18" t="n">
        <v>36002.69</v>
      </c>
      <c r="Z50" s="37" t="n">
        <v>36002.69</v>
      </c>
      <c r="AA50" s="18" t="n">
        <v>37024.13</v>
      </c>
      <c r="AB50" s="19" t="n">
        <v>35543.33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119558.61</v>
      </c>
      <c r="F51" s="37" t="n">
        <v>119558.61</v>
      </c>
      <c r="G51" s="18" t="n">
        <v>120024.38</v>
      </c>
      <c r="H51" s="18" t="n">
        <v>118211.38</v>
      </c>
      <c r="I51" s="18" t="n">
        <v>119621.41</v>
      </c>
      <c r="J51" s="18" t="n">
        <v>124178.35</v>
      </c>
      <c r="K51" s="37" t="n">
        <v>124178.35</v>
      </c>
      <c r="L51" s="18" t="n">
        <v>124386.58</v>
      </c>
      <c r="M51" s="18" t="n">
        <v>125825.1</v>
      </c>
      <c r="N51" s="18" t="n">
        <v>126981.6</v>
      </c>
      <c r="O51" s="18" t="n">
        <v>128821.58</v>
      </c>
      <c r="P51" s="37" t="n">
        <v>128821.58</v>
      </c>
      <c r="Q51" s="18" t="n">
        <v>134327.84</v>
      </c>
      <c r="R51" s="18" t="n">
        <v>135509.58</v>
      </c>
      <c r="S51" s="18" t="n">
        <v>132566.05</v>
      </c>
      <c r="T51" s="18" t="n">
        <v>135428.55</v>
      </c>
      <c r="U51" s="37" t="n">
        <v>135428.55</v>
      </c>
      <c r="V51" s="18" t="n">
        <v>135989.92</v>
      </c>
      <c r="W51" s="18" t="n">
        <v>137771.43</v>
      </c>
      <c r="X51" s="18" t="n">
        <v>141357.11</v>
      </c>
      <c r="Y51" s="18" t="n">
        <v>141833.19</v>
      </c>
      <c r="Z51" s="37" t="n">
        <v>141833.19</v>
      </c>
      <c r="AA51" s="18" t="n">
        <v>147145.76</v>
      </c>
      <c r="AB51" s="19" t="n">
        <v>149427.4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60711.81</v>
      </c>
      <c r="F52" s="37" t="n">
        <v>60711.81</v>
      </c>
      <c r="G52" s="18" t="n">
        <v>61150.24</v>
      </c>
      <c r="H52" s="18" t="n">
        <v>60322.05</v>
      </c>
      <c r="I52" s="18" t="n">
        <v>61087.44</v>
      </c>
      <c r="J52" s="18" t="n">
        <v>59008.24</v>
      </c>
      <c r="K52" s="37" t="n">
        <v>59008.24</v>
      </c>
      <c r="L52" s="18" t="n">
        <v>58333.1</v>
      </c>
      <c r="M52" s="18" t="n">
        <v>99422.78999999999</v>
      </c>
      <c r="N52" s="18" t="n">
        <v>56876.06</v>
      </c>
      <c r="O52" s="18" t="n">
        <v>59788.41</v>
      </c>
      <c r="P52" s="37" t="n">
        <v>59788.41</v>
      </c>
      <c r="Q52" s="18" t="n">
        <v>60555.96</v>
      </c>
      <c r="R52" s="18" t="n">
        <v>62955.82</v>
      </c>
      <c r="S52" s="18" t="n">
        <v>63232.95</v>
      </c>
      <c r="T52" s="18" t="n">
        <v>72456.00999999999</v>
      </c>
      <c r="U52" s="37" t="n">
        <v>72456.00999999999</v>
      </c>
      <c r="V52" s="18" t="n">
        <v>73081.47</v>
      </c>
      <c r="W52" s="18" t="n">
        <v>70948.64</v>
      </c>
      <c r="X52" s="18" t="n">
        <v>69638.31</v>
      </c>
      <c r="Y52" s="18" t="n">
        <v>70934.14</v>
      </c>
      <c r="Z52" s="37" t="n">
        <v>70934.14</v>
      </c>
      <c r="AA52" s="18" t="n">
        <v>73473.59</v>
      </c>
      <c r="AB52" s="19" t="n">
        <v>72912.39999999999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54210.3</v>
      </c>
      <c r="F53" s="37" t="n">
        <v>54210.3</v>
      </c>
      <c r="G53" s="18" t="n">
        <v>59302.88</v>
      </c>
      <c r="H53" s="18" t="n">
        <v>58785.21</v>
      </c>
      <c r="I53" s="18" t="n">
        <v>58490.59</v>
      </c>
      <c r="J53" s="18" t="n">
        <v>56002.86</v>
      </c>
      <c r="K53" s="37" t="n">
        <v>56002.86</v>
      </c>
      <c r="L53" s="18" t="n">
        <v>53881.72</v>
      </c>
      <c r="M53" s="18" t="n">
        <v>93816.24000000001</v>
      </c>
      <c r="N53" s="18" t="n">
        <v>52201.43</v>
      </c>
      <c r="O53" s="18" t="n">
        <v>51479.19</v>
      </c>
      <c r="P53" s="37" t="n">
        <v>51479.19</v>
      </c>
      <c r="Q53" s="18" t="n">
        <v>46786.81</v>
      </c>
      <c r="R53" s="18" t="n">
        <v>50780.23</v>
      </c>
      <c r="S53" s="18" t="n">
        <v>51703.11</v>
      </c>
      <c r="T53" s="18" t="n">
        <v>56866.18</v>
      </c>
      <c r="U53" s="37" t="n">
        <v>56866.18</v>
      </c>
      <c r="V53" s="18" t="n">
        <v>60061.71</v>
      </c>
      <c r="W53" s="18" t="n">
        <v>58457.04</v>
      </c>
      <c r="X53" s="18" t="n">
        <v>53439.48</v>
      </c>
      <c r="Y53" s="18" t="n">
        <v>58613.36</v>
      </c>
      <c r="Z53" s="37" t="n">
        <v>58613.36</v>
      </c>
      <c r="AA53" s="18" t="n">
        <v>59513.76</v>
      </c>
      <c r="AB53" s="19" t="n">
        <v>56582.39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9347.33</v>
      </c>
      <c r="F54" s="37" t="n">
        <v>9347.33</v>
      </c>
      <c r="G54" s="18" t="n">
        <v>4835.97</v>
      </c>
      <c r="H54" s="18" t="n">
        <v>2778.38</v>
      </c>
      <c r="I54" s="18" t="n">
        <v>4135.97</v>
      </c>
      <c r="J54" s="18" t="n">
        <v>3125.69</v>
      </c>
      <c r="K54" s="37" t="n">
        <v>3125.69</v>
      </c>
      <c r="L54" s="18" t="n">
        <v>4567.16</v>
      </c>
      <c r="M54" s="18" t="n">
        <v>5729.69</v>
      </c>
      <c r="N54" s="18" t="n">
        <v>4699.16</v>
      </c>
      <c r="O54" s="18" t="n">
        <v>8389.26</v>
      </c>
      <c r="P54" s="37" t="n">
        <v>8389.26</v>
      </c>
      <c r="Q54" s="18" t="n">
        <v>13849.19</v>
      </c>
      <c r="R54" s="18" t="n">
        <v>12199.63</v>
      </c>
      <c r="S54" s="18" t="n">
        <v>11593.63</v>
      </c>
      <c r="T54" s="18" t="n">
        <v>15967.29</v>
      </c>
      <c r="U54" s="37" t="n">
        <v>15967.29</v>
      </c>
      <c r="V54" s="18" t="n">
        <v>13427.22</v>
      </c>
      <c r="W54" s="18" t="n">
        <v>12779.24</v>
      </c>
      <c r="X54" s="18" t="n">
        <v>16496.47</v>
      </c>
      <c r="Y54" s="18" t="n">
        <v>12524.82</v>
      </c>
      <c r="Z54" s="37" t="n">
        <v>12524.82</v>
      </c>
      <c r="AA54" s="18" t="n">
        <v>14163.87</v>
      </c>
      <c r="AB54" s="19" t="n">
        <v>16536.05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단기투자자산(공정가치)</t>
        </is>
      </c>
      <c r="F55" s="9" t="n"/>
      <c r="G55" s="18" t="n">
        <v>0</v>
      </c>
      <c r="H55" s="18" t="n">
        <v>0</v>
      </c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종속기업및관계기업투자</t>
        </is>
      </c>
      <c r="F56" s="9" t="n"/>
      <c r="G56" s="18" t="n">
        <v>0</v>
      </c>
      <c r="H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50362.44</v>
      </c>
      <c r="O57" s="18" t="n">
        <v>0</v>
      </c>
      <c r="P57" s="37" t="n">
        <v>0</v>
      </c>
      <c r="T57" s="18" t="n">
        <v>13294.17</v>
      </c>
      <c r="U57" s="37" t="n">
        <v>13294.17</v>
      </c>
      <c r="V57" s="18" t="n">
        <v>13576.36</v>
      </c>
      <c r="W57" s="18" t="n">
        <v>10663.32</v>
      </c>
      <c r="X57" s="18" t="n">
        <v>10072.26</v>
      </c>
      <c r="Y57" s="18" t="n">
        <v>10213.15</v>
      </c>
      <c r="Z57" s="37" t="n">
        <v>10213.15</v>
      </c>
      <c r="AA57" s="18" t="n">
        <v>7955.36</v>
      </c>
      <c r="AB57" s="19" t="n">
        <v>8398.42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O58" s="18" t="n">
        <v>247.04</v>
      </c>
      <c r="P58" s="37" t="n">
        <v>247.04</v>
      </c>
      <c r="Q58" s="18" t="n">
        <v>913.29</v>
      </c>
      <c r="R58" s="18" t="n">
        <v>1199.48</v>
      </c>
      <c r="S58" s="18" t="n">
        <v>1199.48</v>
      </c>
      <c r="T58" s="18" t="n">
        <v>60.73</v>
      </c>
      <c r="U58" s="37" t="n">
        <v>60.73</v>
      </c>
      <c r="V58" s="18" t="n">
        <v>60.73</v>
      </c>
      <c r="W58" s="18" t="n">
        <v>728.72</v>
      </c>
      <c r="X58" s="18" t="n">
        <v>2.57</v>
      </c>
      <c r="Y58" s="18" t="n">
        <v>156.48</v>
      </c>
      <c r="Z58" s="37" t="n">
        <v>156.48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단기파생상품부채</t>
        </is>
      </c>
      <c r="F59" s="9" t="n"/>
      <c r="K59" s="9" t="n"/>
      <c r="O59" s="18" t="n">
        <v>4025.56</v>
      </c>
      <c r="P59" s="37" t="n">
        <v>4025.56</v>
      </c>
      <c r="Q59" s="18" t="n">
        <v>11287.16</v>
      </c>
      <c r="R59" s="18" t="n">
        <v>8734.860000000001</v>
      </c>
      <c r="S59" s="18" t="n">
        <v>8734.860000000001</v>
      </c>
      <c r="T59" s="18" t="n">
        <v>4891.67</v>
      </c>
      <c r="U59" s="37" t="n">
        <v>4891.67</v>
      </c>
      <c r="V59" s="18" t="n">
        <v>4891.67</v>
      </c>
      <c r="W59" s="18" t="n">
        <v>3532.55</v>
      </c>
      <c r="X59" s="18" t="n">
        <v>2083.94</v>
      </c>
      <c r="Y59" s="18" t="n">
        <v>2738.27</v>
      </c>
      <c r="Z59" s="37" t="n">
        <v>2738.27</v>
      </c>
      <c r="AA59" s="18" t="n">
        <v>2132.93</v>
      </c>
      <c r="AB59" s="19" t="n">
        <v>2343.96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O60" s="18" t="n">
        <v>3432.63</v>
      </c>
      <c r="P60" s="37" t="n">
        <v>3432.63</v>
      </c>
      <c r="Q60" s="18" t="n">
        <v>7864.33</v>
      </c>
      <c r="R60" s="18" t="n">
        <v>8513.1</v>
      </c>
      <c r="S60" s="18" t="n">
        <v>8838.370000000001</v>
      </c>
      <c r="T60" s="18" t="n">
        <v>0</v>
      </c>
      <c r="U60" s="37" t="n">
        <v>0</v>
      </c>
      <c r="V60" s="18" t="n">
        <v>0</v>
      </c>
      <c r="Y60" s="18" t="n">
        <v>0</v>
      </c>
      <c r="Z60" s="37" t="n">
        <v>0</v>
      </c>
      <c r="AA60" s="18" t="n">
        <v>0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14534.94</v>
      </c>
      <c r="F61" s="9" t="n"/>
      <c r="G61" s="18" t="n">
        <v>12500.03</v>
      </c>
      <c r="H61" s="18" t="n">
        <v>11730.6</v>
      </c>
      <c r="I61" s="18" t="n">
        <v>12798.42</v>
      </c>
      <c r="J61" s="18" t="n">
        <v>15727.04</v>
      </c>
      <c r="K61" s="37" t="n">
        <v>52756.09</v>
      </c>
      <c r="L61" s="18" t="n">
        <v>19766.41</v>
      </c>
      <c r="M61" s="18" t="n">
        <v>17099.02</v>
      </c>
      <c r="N61" s="18" t="n">
        <v>17302.73</v>
      </c>
      <c r="O61" s="18" t="n">
        <v>17546.94</v>
      </c>
      <c r="P61" s="37" t="n">
        <v>71715.10000000001</v>
      </c>
      <c r="Q61" s="18" t="n">
        <v>16739.95</v>
      </c>
      <c r="R61" s="18" t="n">
        <v>14064.24</v>
      </c>
      <c r="S61" s="18" t="n">
        <v>12924.18</v>
      </c>
      <c r="T61" s="18" t="n">
        <v>17670.18</v>
      </c>
      <c r="U61" s="37" t="n">
        <v>61398.55</v>
      </c>
      <c r="V61" s="18" t="n">
        <v>10329.01</v>
      </c>
      <c r="W61" s="18" t="n">
        <v>14619.54</v>
      </c>
      <c r="X61" s="18" t="n">
        <v>17155.59</v>
      </c>
      <c r="Y61" s="18" t="n">
        <v>17773.11</v>
      </c>
      <c r="Z61" s="37" t="n">
        <v>59877.25</v>
      </c>
      <c r="AA61" s="18" t="n">
        <v>21247.63</v>
      </c>
      <c r="AB61" s="19" t="n">
        <v>18885.89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17624.61</v>
      </c>
      <c r="F62" s="9" t="n"/>
      <c r="G62" s="18" t="n">
        <v>12307.05</v>
      </c>
      <c r="H62" s="18" t="n">
        <v>11747.91</v>
      </c>
      <c r="I62" s="18" t="n">
        <v>12346.46</v>
      </c>
      <c r="J62" s="18" t="n">
        <v>14109.24</v>
      </c>
      <c r="K62" s="37" t="n">
        <v>50510.66</v>
      </c>
      <c r="L62" s="18" t="n">
        <v>15726.9</v>
      </c>
      <c r="M62" s="18" t="n">
        <v>12811.42</v>
      </c>
      <c r="N62" s="18" t="n">
        <v>14536.99</v>
      </c>
      <c r="O62" s="18" t="n">
        <v>14740</v>
      </c>
      <c r="P62" s="37" t="n">
        <v>57815.31</v>
      </c>
      <c r="Q62" s="18" t="n">
        <v>13914.53</v>
      </c>
      <c r="R62" s="18" t="n">
        <v>11754.49</v>
      </c>
      <c r="S62" s="18" t="n">
        <v>11711.29</v>
      </c>
      <c r="T62" s="18" t="n">
        <v>14912.22</v>
      </c>
      <c r="U62" s="37" t="n">
        <v>52292.53</v>
      </c>
      <c r="V62" s="18" t="n">
        <v>9301.85</v>
      </c>
      <c r="W62" s="18" t="n">
        <v>12404.24</v>
      </c>
      <c r="X62" s="18" t="n">
        <v>13302.11</v>
      </c>
      <c r="Y62" s="18" t="n">
        <v>15165.92</v>
      </c>
      <c r="Z62" s="37" t="n">
        <v>50174.12</v>
      </c>
      <c r="AA62" s="18" t="n">
        <v>17167.26</v>
      </c>
      <c r="AB62" s="19" t="n">
        <v>17669.18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-3089.67</v>
      </c>
      <c r="F63" s="9" t="n"/>
      <c r="G63" s="18" t="n">
        <v>192.98</v>
      </c>
      <c r="H63" s="18" t="n">
        <v>-17.31</v>
      </c>
      <c r="I63" s="18" t="n">
        <v>451.97</v>
      </c>
      <c r="J63" s="18" t="n">
        <v>1617.8</v>
      </c>
      <c r="K63" s="37" t="n">
        <v>2245.44</v>
      </c>
      <c r="L63" s="18" t="n">
        <v>4039.51</v>
      </c>
      <c r="M63" s="18" t="n">
        <v>4287.6</v>
      </c>
      <c r="N63" s="18" t="n">
        <v>2765.74</v>
      </c>
      <c r="O63" s="18" t="n">
        <v>2806.94</v>
      </c>
      <c r="P63" s="37" t="n">
        <v>13899.79</v>
      </c>
      <c r="Q63" s="18" t="n">
        <v>2825.42</v>
      </c>
      <c r="R63" s="18" t="n">
        <v>2309.75</v>
      </c>
      <c r="S63" s="18" t="n">
        <v>1212.89</v>
      </c>
      <c r="T63" s="18" t="n">
        <v>2757.96</v>
      </c>
      <c r="U63" s="37" t="n">
        <v>9106.02</v>
      </c>
      <c r="V63" s="18" t="n">
        <v>1027.16</v>
      </c>
      <c r="W63" s="18" t="n">
        <v>2215.3</v>
      </c>
      <c r="X63" s="18" t="n">
        <v>3853.48</v>
      </c>
      <c r="Y63" s="18" t="n">
        <v>2607.19</v>
      </c>
      <c r="Z63" s="37" t="n">
        <v>9703.129999999999</v>
      </c>
      <c r="AA63" s="18" t="n">
        <v>4080.37</v>
      </c>
      <c r="AB63" s="19" t="n">
        <v>1216.71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2297.32</v>
      </c>
      <c r="F64" s="9" t="n"/>
      <c r="G64" s="18" t="n">
        <v>1826.59</v>
      </c>
      <c r="H64" s="18" t="n">
        <v>1586.19</v>
      </c>
      <c r="I64" s="18" t="n">
        <v>1755.76</v>
      </c>
      <c r="J64" s="18" t="n">
        <v>1818.32</v>
      </c>
      <c r="K64" s="37" t="n">
        <v>6986.86</v>
      </c>
      <c r="L64" s="18" t="n">
        <v>1855.03</v>
      </c>
      <c r="M64" s="18" t="n">
        <v>2020.1</v>
      </c>
      <c r="N64" s="18" t="n">
        <v>2024.52</v>
      </c>
      <c r="O64" s="18" t="n">
        <v>2403.65</v>
      </c>
      <c r="P64" s="37" t="n">
        <v>8303.299999999999</v>
      </c>
      <c r="Q64" s="18" t="n">
        <v>1867.24</v>
      </c>
      <c r="R64" s="18" t="n">
        <v>2463.15</v>
      </c>
      <c r="S64" s="18" t="n">
        <v>1795.51</v>
      </c>
      <c r="T64" s="18" t="n">
        <v>2543.36</v>
      </c>
      <c r="U64" s="37" t="n">
        <v>8669.26</v>
      </c>
      <c r="V64" s="18" t="n">
        <v>2194.59</v>
      </c>
      <c r="W64" s="18" t="n">
        <v>2535.3</v>
      </c>
      <c r="X64" s="18" t="n">
        <v>2681.08</v>
      </c>
      <c r="Y64" s="18" t="n">
        <v>2435.91</v>
      </c>
      <c r="Z64" s="37" t="n">
        <v>9846.879999999999</v>
      </c>
      <c r="AA64" s="18" t="n">
        <v>2598.33</v>
      </c>
      <c r="AB64" s="19" t="n">
        <v>1352.6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-5386.99</v>
      </c>
      <c r="F65" s="9" t="n"/>
      <c r="G65" s="18" t="n">
        <v>-1633.61</v>
      </c>
      <c r="H65" s="18" t="n">
        <v>-1603.5</v>
      </c>
      <c r="I65" s="18" t="n">
        <v>-1303.79</v>
      </c>
      <c r="J65" s="18" t="n">
        <v>-200.52</v>
      </c>
      <c r="K65" s="37" t="n">
        <v>-4741.42</v>
      </c>
      <c r="L65" s="18" t="n">
        <v>2184.48</v>
      </c>
      <c r="M65" s="18" t="n">
        <v>2267.5</v>
      </c>
      <c r="N65" s="18" t="n">
        <v>741.22</v>
      </c>
      <c r="O65" s="18" t="n">
        <v>403.29</v>
      </c>
      <c r="P65" s="37" t="n">
        <v>5596.49</v>
      </c>
      <c r="Q65" s="18" t="n">
        <v>958.1799999999999</v>
      </c>
      <c r="R65" s="18" t="n">
        <v>-153.39</v>
      </c>
      <c r="S65" s="18" t="n">
        <v>-582.62</v>
      </c>
      <c r="T65" s="18" t="n">
        <v>214.6</v>
      </c>
      <c r="U65" s="37" t="n">
        <v>436.77</v>
      </c>
      <c r="V65" s="18" t="n">
        <v>-1167.43</v>
      </c>
      <c r="W65" s="18" t="n">
        <v>-320</v>
      </c>
      <c r="X65" s="18" t="n">
        <v>1172.4</v>
      </c>
      <c r="Y65" s="18" t="n">
        <v>171.28</v>
      </c>
      <c r="Z65" s="37" t="n">
        <v>-143.75</v>
      </c>
      <c r="AA65" s="18" t="n">
        <v>1482.04</v>
      </c>
      <c r="AB65" s="19" t="n">
        <v>-135.88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257.34</v>
      </c>
      <c r="F66" s="9" t="n"/>
      <c r="G66" s="18" t="n">
        <v>60.59</v>
      </c>
      <c r="H66" s="18" t="n">
        <v>422.84</v>
      </c>
      <c r="I66" s="18" t="n">
        <v>235.49</v>
      </c>
      <c r="J66" s="18" t="n">
        <v>-22.82</v>
      </c>
      <c r="K66" s="37" t="n">
        <v>696.1</v>
      </c>
      <c r="L66" s="18" t="n">
        <v>294.87</v>
      </c>
      <c r="M66" s="18" t="n">
        <v>69.31999999999999</v>
      </c>
      <c r="N66" s="18" t="n">
        <v>62.94</v>
      </c>
      <c r="O66" s="18" t="n">
        <v>367.07</v>
      </c>
      <c r="P66" s="37" t="n">
        <v>794.2</v>
      </c>
      <c r="Q66" s="18" t="n">
        <v>579.73</v>
      </c>
      <c r="R66" s="18" t="n">
        <v>101.24</v>
      </c>
      <c r="S66" s="18" t="n">
        <v>53.61</v>
      </c>
      <c r="T66" s="18" t="n">
        <v>-96.48</v>
      </c>
      <c r="U66" s="37" t="n">
        <v>638.1</v>
      </c>
      <c r="V66" s="18" t="n">
        <v>93.08</v>
      </c>
      <c r="W66" s="18" t="n">
        <v>65.78</v>
      </c>
      <c r="X66" s="18" t="n">
        <v>319.32</v>
      </c>
      <c r="Y66" s="18" t="n">
        <v>301.15</v>
      </c>
      <c r="Z66" s="37" t="n">
        <v>779.33</v>
      </c>
      <c r="AA66" s="18" t="n">
        <v>242.22</v>
      </c>
      <c r="AB66" s="19" t="n">
        <v>146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4487.68</v>
      </c>
      <c r="F67" s="9" t="n"/>
      <c r="G67" s="18" t="n">
        <v>52.76</v>
      </c>
      <c r="H67" s="18" t="n">
        <v>93.41</v>
      </c>
      <c r="I67" s="18" t="n">
        <v>67.66</v>
      </c>
      <c r="J67" s="18" t="n">
        <v>438.95</v>
      </c>
      <c r="K67" s="37" t="n">
        <v>652.78</v>
      </c>
      <c r="L67" s="18" t="n">
        <v>164.36</v>
      </c>
      <c r="M67" s="18" t="n">
        <v>155.99</v>
      </c>
      <c r="N67" s="18" t="n">
        <v>49.41</v>
      </c>
      <c r="O67" s="18" t="n">
        <v>752.87</v>
      </c>
      <c r="P67" s="37" t="n">
        <v>1122.63</v>
      </c>
      <c r="Q67" s="18" t="n">
        <v>223.52</v>
      </c>
      <c r="R67" s="18" t="n">
        <v>51.34</v>
      </c>
      <c r="S67" s="18" t="n">
        <v>-41.68</v>
      </c>
      <c r="T67" s="18" t="n">
        <v>655.47</v>
      </c>
      <c r="U67" s="37" t="n">
        <v>888.65</v>
      </c>
      <c r="V67" s="18" t="n">
        <v>53.44</v>
      </c>
      <c r="W67" s="18" t="n">
        <v>232.25</v>
      </c>
      <c r="X67" s="18" t="n">
        <v>59.04</v>
      </c>
      <c r="Y67" s="18" t="n">
        <v>70.09999999999999</v>
      </c>
      <c r="Z67" s="37" t="n">
        <v>414.83</v>
      </c>
      <c r="AA67" s="18" t="n">
        <v>104.75</v>
      </c>
      <c r="AB67" s="19" t="n">
        <v>103.96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28.13</v>
      </c>
      <c r="F68" s="9" t="n"/>
      <c r="G68" s="18" t="n">
        <v>45.74</v>
      </c>
      <c r="H68" s="18" t="n">
        <v>35.16</v>
      </c>
      <c r="I68" s="18" t="n">
        <v>46.22</v>
      </c>
      <c r="J68" s="18" t="n">
        <v>296.48</v>
      </c>
      <c r="K68" s="37" t="n">
        <v>423.6</v>
      </c>
      <c r="L68" s="18" t="n">
        <v>24.42</v>
      </c>
      <c r="M68" s="18" t="n">
        <v>37.73</v>
      </c>
      <c r="N68" s="18" t="n">
        <v>76.97</v>
      </c>
      <c r="O68" s="18" t="n">
        <v>1179</v>
      </c>
      <c r="P68" s="37" t="n">
        <v>1318.12</v>
      </c>
      <c r="Q68" s="18" t="n">
        <v>15.33</v>
      </c>
      <c r="R68" s="18" t="n">
        <v>3026.96</v>
      </c>
      <c r="S68" s="18" t="n">
        <v>99.93000000000001</v>
      </c>
      <c r="T68" s="18" t="n">
        <v>-817.8200000000001</v>
      </c>
      <c r="U68" s="37" t="n">
        <v>2324.4</v>
      </c>
      <c r="V68" s="18" t="n">
        <v>171.8</v>
      </c>
      <c r="W68" s="18" t="n">
        <v>1716.55</v>
      </c>
      <c r="X68" s="18" t="n">
        <v>516.65</v>
      </c>
      <c r="Y68" s="18" t="n">
        <v>-476.91</v>
      </c>
      <c r="Z68" s="37" t="n">
        <v>1928.09</v>
      </c>
      <c r="AA68" s="18" t="n">
        <v>70.25</v>
      </c>
      <c r="AB68" s="19" t="n">
        <v>388.24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745.47</v>
      </c>
      <c r="F69" s="9" t="n"/>
      <c r="G69" s="18" t="n">
        <v>679.83</v>
      </c>
      <c r="H69" s="18" t="n">
        <v>717.98</v>
      </c>
      <c r="I69" s="18" t="n">
        <v>744.96</v>
      </c>
      <c r="J69" s="18" t="n">
        <v>892.75</v>
      </c>
      <c r="K69" s="37" t="n">
        <v>3035.52</v>
      </c>
      <c r="L69" s="18" t="n">
        <v>876.98</v>
      </c>
      <c r="M69" s="18" t="n">
        <v>866.79</v>
      </c>
      <c r="N69" s="18" t="n">
        <v>880.53</v>
      </c>
      <c r="O69" s="18" t="n">
        <v>1160.98</v>
      </c>
      <c r="P69" s="37" t="n">
        <v>3785.28</v>
      </c>
      <c r="Q69" s="18" t="n">
        <v>875.22</v>
      </c>
      <c r="R69" s="18" t="n">
        <v>1536.06</v>
      </c>
      <c r="S69" s="18" t="n">
        <v>1100.78</v>
      </c>
      <c r="T69" s="18" t="n">
        <v>1709.02</v>
      </c>
      <c r="U69" s="37" t="n">
        <v>5221.08</v>
      </c>
      <c r="V69" s="18" t="n">
        <v>830.12</v>
      </c>
      <c r="W69" s="18" t="n">
        <v>7104</v>
      </c>
      <c r="X69" s="18" t="n">
        <v>1308.44</v>
      </c>
      <c r="Y69" s="18" t="n">
        <v>682.37</v>
      </c>
      <c r="Z69" s="37" t="n">
        <v>9924.93</v>
      </c>
      <c r="AA69" s="18" t="n">
        <v>649.42</v>
      </c>
      <c r="AB69" s="19" t="n">
        <v>1437.12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-10634.67</v>
      </c>
      <c r="F70" s="9" t="n"/>
      <c r="G70" s="18" t="n">
        <v>-2259.86</v>
      </c>
      <c r="H70" s="18" t="n">
        <v>-1956.9</v>
      </c>
      <c r="I70" s="18" t="n">
        <v>-1834.71</v>
      </c>
      <c r="J70" s="18" t="n">
        <v>-1775.63</v>
      </c>
      <c r="K70" s="37" t="n">
        <v>-7827.1</v>
      </c>
      <c r="L70" s="18" t="n">
        <v>1462.43</v>
      </c>
      <c r="M70" s="18" t="n">
        <v>1351.76</v>
      </c>
      <c r="N70" s="18" t="n">
        <v>-48.81</v>
      </c>
      <c r="O70" s="18" t="n">
        <v>35.51</v>
      </c>
      <c r="P70" s="37" t="n">
        <v>2800.89</v>
      </c>
      <c r="Q70" s="18" t="n">
        <v>454.5</v>
      </c>
      <c r="R70" s="18" t="n">
        <v>1387.4</v>
      </c>
      <c r="S70" s="18" t="n">
        <v>-1488.18</v>
      </c>
      <c r="T70" s="18" t="n">
        <v>-3064.22</v>
      </c>
      <c r="U70" s="37" t="n">
        <v>-2710.5</v>
      </c>
      <c r="V70" s="18" t="n">
        <v>-1786.1</v>
      </c>
      <c r="W70" s="18" t="n">
        <v>-5873.93</v>
      </c>
      <c r="X70" s="18" t="n">
        <v>640.89</v>
      </c>
      <c r="Y70" s="18" t="n">
        <v>-756.9299999999999</v>
      </c>
      <c r="Z70" s="37" t="n">
        <v>-7776.07</v>
      </c>
      <c r="AA70" s="18" t="n">
        <v>1040.35</v>
      </c>
      <c r="AB70" s="19" t="n">
        <v>-1142.73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-10634.67</v>
      </c>
      <c r="F71" s="9" t="n"/>
      <c r="G71" s="18" t="n">
        <v>-2259.86</v>
      </c>
      <c r="H71" s="18" t="n">
        <v>-1956.9</v>
      </c>
      <c r="I71" s="18" t="n">
        <v>-1834.71</v>
      </c>
      <c r="J71" s="18" t="n">
        <v>-1775.63</v>
      </c>
      <c r="K71" s="37" t="n">
        <v>-7827.1</v>
      </c>
      <c r="L71" s="18" t="n">
        <v>1462.43</v>
      </c>
      <c r="M71" s="18" t="n">
        <v>1351.76</v>
      </c>
      <c r="N71" s="18" t="n">
        <v>-48.81</v>
      </c>
      <c r="O71" s="18" t="n">
        <v>35.51</v>
      </c>
      <c r="P71" s="37" t="n">
        <v>2800.89</v>
      </c>
      <c r="Q71" s="18" t="n">
        <v>454.5</v>
      </c>
      <c r="R71" s="18" t="n">
        <v>1387.4</v>
      </c>
      <c r="S71" s="18" t="n">
        <v>-1488.18</v>
      </c>
      <c r="T71" s="18" t="n">
        <v>-3064.22</v>
      </c>
      <c r="U71" s="37" t="n">
        <v>-2710.5</v>
      </c>
      <c r="V71" s="18" t="n">
        <v>-1786.1</v>
      </c>
      <c r="W71" s="18" t="n">
        <v>-5873.93</v>
      </c>
      <c r="X71" s="18" t="n">
        <v>640.89</v>
      </c>
      <c r="Y71" s="18" t="n">
        <v>-756.9299999999999</v>
      </c>
      <c r="Z71" s="37" t="n">
        <v>-7776.07</v>
      </c>
      <c r="AA71" s="18" t="n">
        <v>1040.35</v>
      </c>
      <c r="AB71" s="19" t="n">
        <v>-1142.73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-9322.51</v>
      </c>
      <c r="F72" s="9" t="n"/>
      <c r="G72" s="18" t="n">
        <v>-1965.07</v>
      </c>
      <c r="H72" s="18" t="n">
        <v>-1588.38</v>
      </c>
      <c r="I72" s="18" t="n">
        <v>-1686.6</v>
      </c>
      <c r="J72" s="18" t="n">
        <v>-1747.09</v>
      </c>
      <c r="K72" s="37" t="n">
        <v>-6987.14</v>
      </c>
      <c r="L72" s="18" t="n">
        <v>1294.98</v>
      </c>
      <c r="M72" s="18" t="n">
        <v>1293.55</v>
      </c>
      <c r="N72" s="18" t="n">
        <v>-149</v>
      </c>
      <c r="O72" s="18" t="n">
        <v>-102.87</v>
      </c>
      <c r="P72" s="37" t="n">
        <v>2336.66</v>
      </c>
      <c r="Q72" s="18" t="n">
        <v>387.67</v>
      </c>
      <c r="R72" s="18" t="n">
        <v>1002.96</v>
      </c>
      <c r="U72" s="9" t="n"/>
      <c r="V72" s="18" t="n">
        <v>-1275.7</v>
      </c>
      <c r="W72" s="18" t="n">
        <v>-5231.74</v>
      </c>
      <c r="X72" s="18" t="n">
        <v>300.02</v>
      </c>
      <c r="Y72" s="18" t="n">
        <v>-336.35</v>
      </c>
      <c r="Z72" s="37" t="n">
        <v>-6543.77</v>
      </c>
      <c r="AA72" s="18" t="n">
        <v>807.87</v>
      </c>
      <c r="AB72" s="19" t="n">
        <v>-258.23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-1312.15</v>
      </c>
      <c r="F73" s="9" t="n"/>
      <c r="G73" s="18" t="n">
        <v>-294.8</v>
      </c>
      <c r="H73" s="18" t="n">
        <v>-368.52</v>
      </c>
      <c r="I73" s="18" t="n">
        <v>-148.11</v>
      </c>
      <c r="J73" s="18" t="n">
        <v>-28.54</v>
      </c>
      <c r="K73" s="37" t="n">
        <v>-839.97</v>
      </c>
      <c r="L73" s="18" t="n">
        <v>167.44</v>
      </c>
      <c r="M73" s="18" t="n">
        <v>58.21</v>
      </c>
      <c r="N73" s="18" t="n">
        <v>100.2</v>
      </c>
      <c r="O73" s="18" t="n">
        <v>138.39</v>
      </c>
      <c r="P73" s="37" t="n">
        <v>464.24</v>
      </c>
      <c r="Q73" s="18" t="n">
        <v>66.83</v>
      </c>
      <c r="R73" s="18" t="n">
        <v>384.44</v>
      </c>
      <c r="S73" s="18" t="n">
        <v>-361.52</v>
      </c>
      <c r="T73" s="18" t="n">
        <v>286.5</v>
      </c>
      <c r="U73" s="37" t="n">
        <v>376.25</v>
      </c>
      <c r="V73" s="18" t="n">
        <v>-510.41</v>
      </c>
      <c r="W73" s="18" t="n">
        <v>-642.1799999999999</v>
      </c>
      <c r="X73" s="18" t="n">
        <v>340.87</v>
      </c>
      <c r="Y73" s="18" t="n">
        <v>-420.59</v>
      </c>
      <c r="Z73" s="37" t="n">
        <v>-1232.31</v>
      </c>
      <c r="AA73" s="18" t="n">
        <v>232.48</v>
      </c>
      <c r="AB73" s="19" t="n">
        <v>-884.5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-6023.73</v>
      </c>
      <c r="F74" s="9" t="n"/>
      <c r="G74" s="18" t="n">
        <v>-2149.5</v>
      </c>
      <c r="H74" s="18" t="n">
        <v>-2184.09</v>
      </c>
      <c r="I74" s="18" t="n">
        <v>-1836.13</v>
      </c>
      <c r="J74" s="18" t="n">
        <v>-1740.55</v>
      </c>
      <c r="K74" s="37" t="n">
        <v>-7910.27</v>
      </c>
      <c r="L74" s="18" t="n">
        <v>1455.53</v>
      </c>
      <c r="M74" s="18" t="n">
        <v>1356.76</v>
      </c>
      <c r="N74" s="18" t="n">
        <v>-52.39</v>
      </c>
      <c r="O74" s="18" t="n">
        <v>3211.25</v>
      </c>
      <c r="P74" s="37" t="n">
        <v>5971.15</v>
      </c>
      <c r="Q74" s="18" t="n">
        <v>454.86</v>
      </c>
      <c r="R74" s="18" t="n">
        <v>1414.46</v>
      </c>
      <c r="S74" s="18" t="n">
        <v>-1514.9</v>
      </c>
      <c r="T74" s="18" t="n">
        <v>-3280.52</v>
      </c>
      <c r="U74" s="37" t="n">
        <v>-2926.1</v>
      </c>
      <c r="V74" s="18" t="n">
        <v>-1785.98</v>
      </c>
      <c r="W74" s="18" t="n">
        <v>-5848.68</v>
      </c>
      <c r="X74" s="18" t="n">
        <v>665.63</v>
      </c>
      <c r="Y74" s="18" t="n">
        <v>-1105.24</v>
      </c>
      <c r="Z74" s="37" t="n">
        <v>-8074.27</v>
      </c>
      <c r="AA74" s="18" t="n">
        <v>1021.44</v>
      </c>
      <c r="AB74" s="19" t="n">
        <v>-1480.8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-717.34</v>
      </c>
      <c r="F75" s="9" t="n"/>
      <c r="G75" s="18" t="n">
        <v>-634.09</v>
      </c>
      <c r="H75" s="18" t="n">
        <v>-682.8200000000001</v>
      </c>
      <c r="I75" s="18" t="n">
        <v>-698.74</v>
      </c>
      <c r="J75" s="18" t="n">
        <v>-596.27</v>
      </c>
      <c r="K75" s="37" t="n">
        <v>-2611.92</v>
      </c>
      <c r="L75" s="18" t="n">
        <v>-852.5599999999999</v>
      </c>
      <c r="M75" s="18" t="n">
        <v>-829.0599999999999</v>
      </c>
      <c r="N75" s="18" t="n">
        <v>-803.5599999999999</v>
      </c>
      <c r="O75" s="18" t="n">
        <v>18.02</v>
      </c>
      <c r="P75" s="37" t="n">
        <v>-2467.16</v>
      </c>
      <c r="Q75" s="18" t="n">
        <v>-859.89</v>
      </c>
      <c r="R75" s="18" t="n">
        <v>1490.9</v>
      </c>
      <c r="S75" s="18" t="n">
        <v>-1000.85</v>
      </c>
      <c r="T75" s="18" t="n">
        <v>-2526.84</v>
      </c>
      <c r="U75" s="37" t="n">
        <v>-2896.68</v>
      </c>
      <c r="V75" s="18" t="n">
        <v>-658.3200000000001</v>
      </c>
      <c r="W75" s="18" t="n">
        <v>-5387.45</v>
      </c>
      <c r="X75" s="18" t="n">
        <v>-791.79</v>
      </c>
      <c r="Y75" s="18" t="n">
        <v>-1159.28</v>
      </c>
      <c r="Z75" s="37" t="n">
        <v>-7996.84</v>
      </c>
      <c r="AA75" s="18" t="n">
        <v>-579.17</v>
      </c>
      <c r="AB75" s="19" t="n">
        <v>-1048.88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-4230.34</v>
      </c>
      <c r="F76" s="9" t="n"/>
      <c r="G76" s="18" t="n">
        <v>7.83</v>
      </c>
      <c r="H76" s="18" t="n">
        <v>329.43</v>
      </c>
      <c r="I76" s="18" t="n">
        <v>167.83</v>
      </c>
      <c r="J76" s="18" t="n">
        <v>-461.77</v>
      </c>
      <c r="K76" s="37" t="n">
        <v>43.32</v>
      </c>
      <c r="L76" s="18" t="n">
        <v>130.51</v>
      </c>
      <c r="M76" s="18" t="n">
        <v>-86.67</v>
      </c>
      <c r="N76" s="18" t="n">
        <v>13.53</v>
      </c>
      <c r="O76" s="18" t="n">
        <v>-385.8</v>
      </c>
      <c r="P76" s="37" t="n">
        <v>-328.43</v>
      </c>
      <c r="Q76" s="18" t="n">
        <v>356.21</v>
      </c>
      <c r="R76" s="18" t="n">
        <v>49.9</v>
      </c>
      <c r="S76" s="18" t="n">
        <v>95.29000000000001</v>
      </c>
      <c r="T76" s="18" t="n">
        <v>-751.95</v>
      </c>
      <c r="U76" s="37" t="n">
        <v>-250.55</v>
      </c>
      <c r="V76" s="18" t="n">
        <v>39.64</v>
      </c>
      <c r="W76" s="18" t="n">
        <v>-166.47</v>
      </c>
      <c r="X76" s="18" t="n">
        <v>260.28</v>
      </c>
      <c r="Y76" s="18" t="n">
        <v>231.05</v>
      </c>
      <c r="Z76" s="37" t="n">
        <v>364.5</v>
      </c>
      <c r="AA76" s="18" t="n">
        <v>137.47</v>
      </c>
      <c r="AB76" s="19" t="n">
        <v>42.04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-10634.67</v>
      </c>
      <c r="F77" s="9" t="n"/>
      <c r="G77" s="18" t="n">
        <v>-2259.86</v>
      </c>
      <c r="H77" s="18" t="n">
        <v>-1956.9</v>
      </c>
      <c r="I77" s="18" t="n">
        <v>-1834.71</v>
      </c>
      <c r="J77" s="18" t="n">
        <v>-1775.63</v>
      </c>
      <c r="K77" s="37" t="n">
        <v>-7827.1</v>
      </c>
      <c r="L77" s="18" t="n">
        <v>1462.43</v>
      </c>
      <c r="M77" s="18" t="n">
        <v>1351.76</v>
      </c>
      <c r="N77" s="18" t="n">
        <v>-48.81</v>
      </c>
      <c r="O77" s="18" t="n">
        <v>35.51</v>
      </c>
      <c r="P77" s="37" t="n">
        <v>2800.89</v>
      </c>
      <c r="Q77" s="18" t="n">
        <v>454.5</v>
      </c>
      <c r="R77" s="18" t="n">
        <v>1387.4</v>
      </c>
      <c r="S77" s="18" t="n">
        <v>-1488.18</v>
      </c>
      <c r="T77" s="18" t="n">
        <v>-3064.22</v>
      </c>
      <c r="U77" s="37" t="n">
        <v>-2710.5</v>
      </c>
      <c r="V77" s="18" t="n">
        <v>-1786.1</v>
      </c>
      <c r="W77" s="18" t="n">
        <v>-5873.93</v>
      </c>
      <c r="X77" s="18" t="n">
        <v>640.89</v>
      </c>
      <c r="Y77" s="18" t="n">
        <v>-756.9299999999999</v>
      </c>
      <c r="Z77" s="37" t="n">
        <v>-7776.07</v>
      </c>
      <c r="AA77" s="18" t="n">
        <v>1040.35</v>
      </c>
      <c r="AB77" s="19" t="n">
        <v>-1142.73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F78" s="9" t="n"/>
      <c r="G78" s="18" t="n">
        <v>0</v>
      </c>
      <c r="I78" s="18" t="n">
        <v>0</v>
      </c>
      <c r="J78" s="18" t="n">
        <v>0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29.22</v>
      </c>
      <c r="H79" s="18" t="n">
        <v>30.45</v>
      </c>
      <c r="I79" s="18" t="n">
        <v>29.37</v>
      </c>
      <c r="J79" s="18" t="n">
        <v>58.16</v>
      </c>
      <c r="K79" s="37" t="n">
        <v>147.2</v>
      </c>
      <c r="L79" s="18" t="n">
        <v>21.79</v>
      </c>
      <c r="M79" s="18" t="n">
        <v>30.87</v>
      </c>
      <c r="N79" s="18" t="n">
        <v>48.41</v>
      </c>
      <c r="O79" s="18" t="n">
        <v>54.11</v>
      </c>
      <c r="P79" s="37" t="n">
        <v>155.18</v>
      </c>
      <c r="Q79" s="18" t="n">
        <v>8.25</v>
      </c>
      <c r="R79" s="18" t="n">
        <v>7.1</v>
      </c>
      <c r="S79" s="18" t="n">
        <v>22.93</v>
      </c>
      <c r="T79" s="18" t="n">
        <v>66.69</v>
      </c>
      <c r="U79" s="37" t="n">
        <v>104.97</v>
      </c>
      <c r="V79" s="18" t="n">
        <v>7.39</v>
      </c>
      <c r="W79" s="18" t="n">
        <v>44.25</v>
      </c>
      <c r="X79" s="18" t="n">
        <v>108.29</v>
      </c>
      <c r="Y79" s="18" t="n">
        <v>-2.64</v>
      </c>
      <c r="Z79" s="37" t="n">
        <v>157.29</v>
      </c>
      <c r="AA79" s="18" t="n">
        <v>33.98</v>
      </c>
      <c r="AB79" s="19" t="n">
        <v>57.55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14.74</v>
      </c>
      <c r="H80" s="18" t="n">
        <v>0</v>
      </c>
      <c r="I80" s="18" t="n">
        <v>0</v>
      </c>
      <c r="J80" s="18" t="n">
        <v>0</v>
      </c>
      <c r="K80" s="37" t="n">
        <v>14.74</v>
      </c>
      <c r="M80" s="18" t="n">
        <v>6.7</v>
      </c>
      <c r="N80" s="18" t="n">
        <v>35.14</v>
      </c>
      <c r="O80" s="18" t="n">
        <v>0</v>
      </c>
      <c r="P80" s="9" t="n"/>
      <c r="R80" s="18" t="n">
        <v>113.34</v>
      </c>
      <c r="S80" s="18" t="n">
        <v>81.2</v>
      </c>
      <c r="T80" s="18" t="n">
        <v>0</v>
      </c>
      <c r="U80" s="9" t="n"/>
      <c r="V80" s="18" t="n">
        <v>161</v>
      </c>
      <c r="W80" s="18" t="n">
        <v>15.2</v>
      </c>
      <c r="X80" s="18" t="n">
        <v>0</v>
      </c>
      <c r="Y80" s="18" t="n">
        <v>120.4</v>
      </c>
      <c r="Z80" s="37" t="n">
        <v>296.6</v>
      </c>
      <c r="AB80" s="19" t="n">
        <v>182.2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677.95</v>
      </c>
      <c r="H81" s="18" t="n">
        <v>716.74</v>
      </c>
      <c r="I81" s="18" t="n">
        <v>744.54</v>
      </c>
      <c r="J81" s="18" t="n">
        <v>856.08</v>
      </c>
      <c r="K81" s="37" t="n">
        <v>2995.31</v>
      </c>
      <c r="L81" s="18" t="n">
        <v>875.61</v>
      </c>
      <c r="M81" s="18" t="n">
        <v>858.4</v>
      </c>
      <c r="N81" s="18" t="n">
        <v>878.9400000000001</v>
      </c>
      <c r="O81" s="18" t="n">
        <v>1020.25</v>
      </c>
      <c r="P81" s="37" t="n">
        <v>3633.2</v>
      </c>
      <c r="Q81" s="18" t="n">
        <v>871.54</v>
      </c>
      <c r="R81" s="18" t="n">
        <v>1476.73</v>
      </c>
      <c r="S81" s="18" t="n">
        <v>1091.19</v>
      </c>
      <c r="T81" s="18" t="n">
        <v>1398.26</v>
      </c>
      <c r="U81" s="37" t="n">
        <v>4837.72</v>
      </c>
      <c r="V81" s="18" t="n">
        <v>830.12</v>
      </c>
      <c r="W81" s="18" t="n">
        <v>1522.14</v>
      </c>
      <c r="X81" s="18" t="n">
        <v>324.01</v>
      </c>
      <c r="Y81" s="18" t="n">
        <v>806.59</v>
      </c>
      <c r="Z81" s="37" t="n">
        <v>3482.86</v>
      </c>
      <c r="AA81" s="18" t="n">
        <v>644.47</v>
      </c>
      <c r="AB81" s="19" t="n">
        <v>1224.09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1.78</v>
      </c>
      <c r="H82" s="18" t="n">
        <v>2.94</v>
      </c>
      <c r="I82" s="18" t="n">
        <v>11.36</v>
      </c>
      <c r="J82" s="18" t="n">
        <v>-9.57</v>
      </c>
      <c r="K82" s="37" t="n">
        <v>6.51</v>
      </c>
      <c r="L82" s="18" t="n">
        <v>1.04</v>
      </c>
      <c r="M82" s="18" t="n">
        <v>0.34</v>
      </c>
      <c r="N82" s="18" t="n">
        <v>-4.98</v>
      </c>
      <c r="O82" s="18" t="n">
        <v>2.62</v>
      </c>
      <c r="P82" s="37" t="n">
        <v>-0.98</v>
      </c>
      <c r="Q82" s="18" t="n">
        <v>0.49</v>
      </c>
      <c r="R82" s="18" t="n">
        <v>0.22</v>
      </c>
      <c r="S82" s="18" t="n">
        <v>0</v>
      </c>
      <c r="T82" s="18" t="n">
        <v>0.23</v>
      </c>
      <c r="U82" s="37" t="n">
        <v>0.9399999999999999</v>
      </c>
      <c r="W82" s="18" t="n">
        <v>67.86</v>
      </c>
      <c r="X82" s="18" t="n">
        <v>0.98</v>
      </c>
      <c r="Y82" s="18" t="n">
        <v>48.28</v>
      </c>
      <c r="Z82" s="9" t="n"/>
      <c r="AA82" s="18" t="n">
        <v>32.79</v>
      </c>
      <c r="AB82" s="19" t="n">
        <v>3.43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1.87</v>
      </c>
      <c r="H83" s="18" t="n">
        <v>-1.18</v>
      </c>
      <c r="I83" s="18" t="n">
        <v>-0.7</v>
      </c>
      <c r="K83" s="9" t="n"/>
      <c r="M83" s="18" t="n">
        <v>0.84</v>
      </c>
      <c r="N83" s="18" t="n">
        <v>0.19</v>
      </c>
      <c r="O83" s="18" t="n">
        <v>2.33</v>
      </c>
      <c r="P83" s="9" t="n"/>
      <c r="Q83" s="18" t="n">
        <v>3.67</v>
      </c>
      <c r="R83" s="18" t="n">
        <v>0.9</v>
      </c>
      <c r="S83" s="18" t="n">
        <v>9.59</v>
      </c>
      <c r="T83" s="18" t="n">
        <v>-7.95</v>
      </c>
      <c r="U83" s="37" t="n">
        <v>6.21</v>
      </c>
      <c r="Z83" s="9" t="n"/>
      <c r="AA83" s="18" t="n">
        <v>-4.95</v>
      </c>
      <c r="AB83" s="19" t="n">
        <v>4.95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-648.73</v>
      </c>
      <c r="H84" s="18" t="n">
        <v>-686.29</v>
      </c>
      <c r="I84" s="18" t="n">
        <v>-715.17</v>
      </c>
      <c r="J84" s="18" t="n">
        <v>-797.92</v>
      </c>
      <c r="K84" s="37" t="n">
        <v>-2848.11</v>
      </c>
      <c r="L84" s="18" t="n">
        <v>-853.8200000000001</v>
      </c>
      <c r="M84" s="18" t="n">
        <v>-827.53</v>
      </c>
      <c r="N84" s="18" t="n">
        <v>-830.53</v>
      </c>
      <c r="O84" s="18" t="n">
        <v>-966.14</v>
      </c>
      <c r="P84" s="37" t="n">
        <v>-3478.02</v>
      </c>
      <c r="Q84" s="18" t="n">
        <v>-863.29</v>
      </c>
      <c r="R84" s="18" t="n">
        <v>-1469.63</v>
      </c>
      <c r="S84" s="18" t="n">
        <v>-1068.26</v>
      </c>
      <c r="T84" s="18" t="n">
        <v>-1331.57</v>
      </c>
      <c r="U84" s="37" t="n">
        <v>-4732.75</v>
      </c>
      <c r="V84" s="18" t="n">
        <v>-822.73</v>
      </c>
      <c r="W84" s="18" t="n">
        <v>-1477.89</v>
      </c>
      <c r="X84" s="18" t="n">
        <v>-215.72</v>
      </c>
      <c r="Y84" s="18" t="n">
        <v>-809.23</v>
      </c>
      <c r="Z84" s="37" t="n">
        <v>-3325.57</v>
      </c>
      <c r="AA84" s="18" t="n">
        <v>-610.49</v>
      </c>
      <c r="AB84" s="19" t="n">
        <v>-1166.54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H85" s="18" t="n">
        <v>2.42</v>
      </c>
      <c r="I85" s="18" t="n">
        <v>1.12</v>
      </c>
      <c r="J85" s="18" t="n">
        <v>32.92</v>
      </c>
      <c r="K85" s="9" t="n"/>
      <c r="L85" s="18" t="n">
        <v>1.37</v>
      </c>
      <c r="M85" s="18" t="n">
        <v>7.55</v>
      </c>
      <c r="N85" s="18" t="n">
        <v>1.4</v>
      </c>
      <c r="O85" s="18" t="n">
        <v>0.53</v>
      </c>
      <c r="P85" s="37" t="n">
        <v>10.85</v>
      </c>
      <c r="R85" s="18" t="n">
        <v>1.26</v>
      </c>
      <c r="S85" s="18" t="n">
        <v>0</v>
      </c>
      <c r="T85" s="18" t="n">
        <v>0</v>
      </c>
      <c r="U85" s="9" t="n"/>
      <c r="W85" s="18" t="n">
        <v>20.27</v>
      </c>
      <c r="X85" s="18" t="n">
        <v>1.61</v>
      </c>
      <c r="Y85" s="18" t="n">
        <v>5.73</v>
      </c>
      <c r="Z85" s="9" t="n"/>
      <c r="AA85" s="18" t="n">
        <v>2.77</v>
      </c>
      <c r="AB85" s="19" t="n">
        <v>1.69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H86" s="18" t="n">
        <v>0.64</v>
      </c>
      <c r="I86" s="18" t="n">
        <v>5.5</v>
      </c>
      <c r="K86" s="9" t="n"/>
      <c r="L86" s="18" t="n">
        <v>1.59</v>
      </c>
      <c r="M86" s="18" t="n">
        <v>-1.38</v>
      </c>
      <c r="N86" s="18" t="n">
        <v>-1.38</v>
      </c>
      <c r="P86" s="9" t="n"/>
      <c r="Q86" s="18" t="n">
        <v>6.59</v>
      </c>
      <c r="R86" s="18" t="n">
        <v>9.449999999999999</v>
      </c>
      <c r="S86" s="18" t="n">
        <v>-4.19</v>
      </c>
      <c r="T86" s="18" t="n">
        <v>47.34</v>
      </c>
      <c r="U86" s="37" t="n">
        <v>59.19</v>
      </c>
      <c r="Z86" s="9" t="n"/>
      <c r="AB86" s="19" t="n">
        <v>104.28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P87" s="9" t="n"/>
      <c r="R87" s="18" t="n">
        <v>2895.66</v>
      </c>
      <c r="S87" s="18" t="n">
        <v>2895.66</v>
      </c>
      <c r="T87" s="18" t="n">
        <v>-942.02</v>
      </c>
      <c r="U87" s="9" t="n"/>
      <c r="W87" s="18" t="n">
        <v>1585.89</v>
      </c>
      <c r="X87" s="18" t="n">
        <v>1853.27</v>
      </c>
      <c r="Y87" s="18" t="n">
        <v>-646.64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파생상품손실</t>
        </is>
      </c>
      <c r="F88" s="9" t="n"/>
      <c r="K88" s="9" t="n"/>
      <c r="P88" s="9" t="n"/>
      <c r="R88" s="18" t="n">
        <v>57.17</v>
      </c>
      <c r="S88" s="18" t="n">
        <v>57.17</v>
      </c>
      <c r="T88" s="18" t="n">
        <v>318.04</v>
      </c>
      <c r="U88" s="9" t="n"/>
      <c r="W88" s="18" t="n">
        <v>5561.59</v>
      </c>
      <c r="X88" s="18" t="n">
        <v>1840.41</v>
      </c>
      <c r="Y88" s="18" t="n">
        <v>-146.22</v>
      </c>
      <c r="Z88" s="9" t="n"/>
      <c r="AB88" s="19" t="n">
        <v>211.04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1204.04</v>
      </c>
      <c r="F89" s="9" t="n"/>
      <c r="G89" s="18" t="n">
        <v>-3916.87</v>
      </c>
      <c r="H89" s="18" t="n">
        <v>-1857.46</v>
      </c>
      <c r="I89" s="18" t="n">
        <v>712.87</v>
      </c>
      <c r="J89" s="18" t="n">
        <v>2108.14</v>
      </c>
      <c r="K89" s="37" t="n">
        <v>-2953.32</v>
      </c>
      <c r="L89" s="18" t="n">
        <v>1738.04</v>
      </c>
      <c r="M89" s="18" t="n">
        <v>2891.62</v>
      </c>
      <c r="N89" s="18" t="n">
        <v>631.15</v>
      </c>
      <c r="O89" s="18" t="n">
        <v>-5824.89</v>
      </c>
      <c r="P89" s="37" t="n">
        <v>-564.08</v>
      </c>
      <c r="Q89" s="18" t="n">
        <v>-3168.15</v>
      </c>
      <c r="R89" s="18" t="n">
        <v>-3013.06</v>
      </c>
      <c r="S89" s="18" t="n">
        <v>-897.4400000000001</v>
      </c>
      <c r="T89" s="18" t="n">
        <v>769.01</v>
      </c>
      <c r="U89" s="37" t="n">
        <v>-6309.64</v>
      </c>
      <c r="V89" s="18" t="n">
        <v>-2764.95</v>
      </c>
      <c r="W89" s="18" t="n">
        <v>-2011.11</v>
      </c>
      <c r="X89" s="18" t="n">
        <v>5045.41</v>
      </c>
      <c r="Y89" s="18" t="n">
        <v>-4762.46</v>
      </c>
      <c r="Z89" s="37" t="n">
        <v>-4493.11</v>
      </c>
      <c r="AA89" s="18" t="n">
        <v>-86.09999999999999</v>
      </c>
      <c r="AB89" s="19" t="n">
        <v>3483.46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감가상각비</t>
        </is>
      </c>
      <c r="E90" s="18" t="n">
        <v>452.45</v>
      </c>
      <c r="F90" s="9" t="n"/>
      <c r="G90" s="18" t="n">
        <v>269.04</v>
      </c>
      <c r="H90" s="18" t="n">
        <v>299.44</v>
      </c>
      <c r="I90" s="18" t="n">
        <v>237.14</v>
      </c>
      <c r="J90" s="18" t="n">
        <v>273.15</v>
      </c>
      <c r="K90" s="37" t="n">
        <v>1078.77</v>
      </c>
      <c r="L90" s="18" t="n">
        <v>234.26</v>
      </c>
      <c r="M90" s="18" t="n">
        <v>278.7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무형자산상각비</t>
        </is>
      </c>
      <c r="E91" s="18" t="n">
        <v>24.79</v>
      </c>
      <c r="F91" s="9" t="n"/>
      <c r="G91" s="18" t="n">
        <v>3.36</v>
      </c>
      <c r="H91" s="18" t="n">
        <v>3.37</v>
      </c>
      <c r="I91" s="18" t="n">
        <v>3.36</v>
      </c>
      <c r="J91" s="18" t="n">
        <v>0.27</v>
      </c>
      <c r="K91" s="37" t="n">
        <v>10.36</v>
      </c>
      <c r="L91" s="18" t="n">
        <v>0.27</v>
      </c>
      <c r="M91" s="18" t="n">
        <v>1.7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G92" s="18" t="n">
        <v>14.74</v>
      </c>
      <c r="H92" s="18" t="n">
        <v>0</v>
      </c>
      <c r="I92" s="18" t="n">
        <v>0</v>
      </c>
      <c r="J92" s="18" t="n">
        <v>0</v>
      </c>
      <c r="K92" s="37" t="n">
        <v>14.74</v>
      </c>
      <c r="L92" s="18" t="n">
        <v>0</v>
      </c>
      <c r="M92" s="18" t="n">
        <v>6.7</v>
      </c>
      <c r="N92" s="18" t="n">
        <v>50.4</v>
      </c>
      <c r="O92" s="18" t="n">
        <v>0</v>
      </c>
      <c r="P92" s="37" t="n">
        <v>57.1</v>
      </c>
      <c r="Q92" s="18" t="n">
        <v>0</v>
      </c>
      <c r="R92" s="18" t="n">
        <v>113.34</v>
      </c>
      <c r="S92" s="18" t="n">
        <v>81.2</v>
      </c>
      <c r="T92" s="18" t="n">
        <v>0</v>
      </c>
      <c r="U92" s="37" t="n">
        <v>194.54</v>
      </c>
      <c r="V92" s="18" t="n">
        <v>161</v>
      </c>
      <c r="W92" s="18" t="n">
        <v>15.2</v>
      </c>
      <c r="X92" s="18" t="n">
        <v>0</v>
      </c>
      <c r="Y92" s="18" t="n">
        <v>120.4</v>
      </c>
      <c r="Z92" s="37" t="n">
        <v>296.6</v>
      </c>
      <c r="AA92" s="18" t="n">
        <v>0</v>
      </c>
      <c r="AB92" s="19" t="n">
        <v>182.2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-0.83</v>
      </c>
      <c r="F93" s="9" t="n"/>
      <c r="G93" s="18" t="n">
        <v>-0.52</v>
      </c>
      <c r="H93" s="18" t="n">
        <v>5.63</v>
      </c>
      <c r="I93" s="18" t="n">
        <v>61.72</v>
      </c>
      <c r="J93" s="18" t="n">
        <v>-1.82</v>
      </c>
      <c r="K93" s="37" t="n">
        <v>65.01000000000001</v>
      </c>
      <c r="L93" s="18" t="n">
        <v>-0.97</v>
      </c>
      <c r="M93" s="18" t="n">
        <v>1.87</v>
      </c>
      <c r="N93" s="18" t="n">
        <v>-1.07</v>
      </c>
      <c r="O93" s="18" t="n">
        <v>-7.32</v>
      </c>
      <c r="P93" s="37" t="n">
        <v>-7.49</v>
      </c>
      <c r="Q93" s="18" t="n">
        <v>-0.35</v>
      </c>
      <c r="R93" s="18" t="n">
        <v>7.19</v>
      </c>
      <c r="S93" s="18" t="n">
        <v>-0.73</v>
      </c>
      <c r="T93" s="18" t="n">
        <v>-10.68</v>
      </c>
      <c r="U93" s="37" t="n">
        <v>-4.57</v>
      </c>
      <c r="V93" s="18" t="n">
        <v>-1.85</v>
      </c>
      <c r="W93" s="18" t="n">
        <v>12.19</v>
      </c>
      <c r="X93" s="18" t="n">
        <v>-59.16</v>
      </c>
      <c r="Y93" s="18" t="n">
        <v>-0.65</v>
      </c>
      <c r="Z93" s="37" t="n">
        <v>-49.47</v>
      </c>
      <c r="AA93" s="18" t="n">
        <v>-0.88</v>
      </c>
      <c r="AB93" s="19" t="n">
        <v>59.58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1469.41</v>
      </c>
      <c r="F94" s="9" t="n"/>
      <c r="G94" s="18" t="n">
        <v>-1151.52</v>
      </c>
      <c r="H94" s="18" t="n">
        <v>2441.13</v>
      </c>
      <c r="I94" s="18" t="n">
        <v>-349.97</v>
      </c>
      <c r="J94" s="18" t="n">
        <v>-146.34</v>
      </c>
      <c r="K94" s="37" t="n">
        <v>793.3</v>
      </c>
      <c r="L94" s="18" t="n">
        <v>390.06</v>
      </c>
      <c r="M94" s="18" t="n">
        <v>-1714.7</v>
      </c>
      <c r="N94" s="18" t="n">
        <v>-1408.6</v>
      </c>
      <c r="O94" s="18" t="n">
        <v>1727.97</v>
      </c>
      <c r="P94" s="37" t="n">
        <v>-1005.27</v>
      </c>
      <c r="Q94" s="18" t="n">
        <v>425.48</v>
      </c>
      <c r="R94" s="18" t="n">
        <v>-492.97</v>
      </c>
      <c r="S94" s="18" t="n">
        <v>540.1900000000001</v>
      </c>
      <c r="T94" s="18" t="n">
        <v>-722.91</v>
      </c>
      <c r="U94" s="37" t="n">
        <v>-250.21</v>
      </c>
      <c r="V94" s="18" t="n">
        <v>971.0599999999999</v>
      </c>
      <c r="W94" s="18" t="n">
        <v>398.57</v>
      </c>
      <c r="X94" s="18" t="n">
        <v>62.12</v>
      </c>
      <c r="Y94" s="18" t="n">
        <v>-2480.92</v>
      </c>
      <c r="Z94" s="37" t="n">
        <v>-1049.17</v>
      </c>
      <c r="AA94" s="18" t="n">
        <v>-229.4</v>
      </c>
      <c r="AB94" s="19" t="n">
        <v>-204.39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5</v>
      </c>
      <c r="J95" s="18" t="n">
        <v>158.07</v>
      </c>
      <c r="K95" s="37" t="n">
        <v>163.07</v>
      </c>
      <c r="L95" s="18" t="n">
        <v>4.5</v>
      </c>
      <c r="M95" s="18" t="n">
        <v>0</v>
      </c>
      <c r="N95" s="18" t="n">
        <v>0</v>
      </c>
      <c r="O95" s="18" t="n">
        <v>1</v>
      </c>
      <c r="P95" s="37" t="n">
        <v>5.5</v>
      </c>
      <c r="Q95" s="18" t="n">
        <v>9.27</v>
      </c>
      <c r="R95" s="18" t="n">
        <v>3.82</v>
      </c>
      <c r="S95" s="18" t="n">
        <v>0.64</v>
      </c>
      <c r="T95" s="18" t="n">
        <v>9</v>
      </c>
      <c r="U95" s="37" t="n">
        <v>22.73</v>
      </c>
      <c r="V95" s="18" t="n">
        <v>0</v>
      </c>
      <c r="W95" s="18" t="n">
        <v>0</v>
      </c>
      <c r="X95" s="18" t="n">
        <v>0</v>
      </c>
      <c r="Y95" s="18" t="n">
        <v>1</v>
      </c>
      <c r="Z95" s="37" t="n">
        <v>1</v>
      </c>
      <c r="AA95" s="18" t="n">
        <v>25.91</v>
      </c>
      <c r="AB95" s="19" t="n">
        <v>11.16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31.93</v>
      </c>
      <c r="F96" s="9" t="n"/>
      <c r="G96" s="18" t="n">
        <v>0</v>
      </c>
      <c r="H96" s="18" t="n">
        <v>0</v>
      </c>
      <c r="I96" s="18" t="n">
        <v>115.01</v>
      </c>
      <c r="K96" s="9" t="n"/>
      <c r="L96" s="18" t="n">
        <v>140.98</v>
      </c>
      <c r="M96" s="18" t="n">
        <v>56.42</v>
      </c>
      <c r="N96" s="18" t="n">
        <v>326.86</v>
      </c>
      <c r="P96" s="9" t="n"/>
      <c r="Q96" s="18" t="n">
        <v>96.36</v>
      </c>
      <c r="R96" s="18" t="n">
        <v>68.15000000000001</v>
      </c>
      <c r="S96" s="18" t="n">
        <v>76.8</v>
      </c>
      <c r="T96" s="18" t="n">
        <v>153.62</v>
      </c>
      <c r="U96" s="37" t="n">
        <v>394.93</v>
      </c>
      <c r="V96" s="18" t="n">
        <v>113.19</v>
      </c>
      <c r="W96" s="18" t="n">
        <v>42.76</v>
      </c>
      <c r="X96" s="18" t="n">
        <v>84.98999999999999</v>
      </c>
      <c r="Y96" s="18" t="n">
        <v>497.93</v>
      </c>
      <c r="Z96" s="37" t="n">
        <v>738.87</v>
      </c>
      <c r="AA96" s="18" t="n">
        <v>146.42</v>
      </c>
      <c r="AB96" s="19" t="n">
        <v>38.01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31.93</v>
      </c>
      <c r="F97" s="9" t="n"/>
      <c r="G97" s="18" t="n">
        <v>0</v>
      </c>
      <c r="H97" s="18" t="n">
        <v>0</v>
      </c>
      <c r="I97" s="18" t="n">
        <v>115.01</v>
      </c>
      <c r="J97" s="18" t="n">
        <v>71.09</v>
      </c>
      <c r="K97" s="37" t="n">
        <v>186.1</v>
      </c>
      <c r="L97" s="18" t="n">
        <v>140.98</v>
      </c>
      <c r="M97" s="18" t="n">
        <v>84.98</v>
      </c>
      <c r="N97" s="18" t="n">
        <v>333.86</v>
      </c>
      <c r="O97" s="18" t="n">
        <v>0</v>
      </c>
      <c r="P97" s="37" t="n">
        <v>559.8200000000001</v>
      </c>
      <c r="Q97" s="18" t="n">
        <v>103.39</v>
      </c>
      <c r="R97" s="18" t="n">
        <v>68.15000000000001</v>
      </c>
      <c r="S97" s="18" t="n">
        <v>76.8</v>
      </c>
      <c r="T97" s="18" t="n">
        <v>153.62</v>
      </c>
      <c r="U97" s="37" t="n">
        <v>401.96</v>
      </c>
      <c r="V97" s="18" t="n">
        <v>113.19</v>
      </c>
      <c r="W97" s="18" t="n">
        <v>47.62</v>
      </c>
      <c r="X97" s="18" t="n">
        <v>86.89</v>
      </c>
      <c r="Y97" s="18" t="n">
        <v>497.93</v>
      </c>
      <c r="Z97" s="37" t="n">
        <v>745.63</v>
      </c>
      <c r="AA97" s="18" t="n">
        <v>154.31</v>
      </c>
      <c r="AB97" s="19" t="n">
        <v>181.55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E98" s="18" t="n">
        <v>0</v>
      </c>
      <c r="F98" s="9" t="n"/>
      <c r="G98" s="18" t="n">
        <v>0</v>
      </c>
      <c r="H98" s="18" t="n">
        <v>0</v>
      </c>
      <c r="I98" s="18" t="n">
        <v>0</v>
      </c>
      <c r="J98" s="18" t="n">
        <v>186.1</v>
      </c>
      <c r="K98" s="37" t="n">
        <v>186.1</v>
      </c>
      <c r="L98" s="18" t="n">
        <v>0</v>
      </c>
      <c r="M98" s="18" t="n">
        <v>28.56</v>
      </c>
      <c r="N98" s="18" t="n">
        <v>7</v>
      </c>
      <c r="O98" s="18" t="n">
        <v>0</v>
      </c>
      <c r="P98" s="37" t="n">
        <v>35.56</v>
      </c>
      <c r="Q98" s="18" t="n">
        <v>7.03</v>
      </c>
      <c r="R98" s="18" t="n">
        <v>0</v>
      </c>
      <c r="S98" s="18" t="n">
        <v>0</v>
      </c>
      <c r="T98" s="18" t="n">
        <v>0</v>
      </c>
      <c r="U98" s="37" t="n">
        <v>7.03</v>
      </c>
      <c r="V98" s="18" t="n">
        <v>0</v>
      </c>
      <c r="W98" s="18" t="n">
        <v>4.86</v>
      </c>
      <c r="X98" s="18" t="n">
        <v>1.9</v>
      </c>
      <c r="Y98" s="18" t="n">
        <v>0</v>
      </c>
      <c r="Z98" s="37" t="n">
        <v>6.76</v>
      </c>
      <c r="AA98" s="18" t="n">
        <v>7.89</v>
      </c>
      <c r="AB98" s="19" t="n">
        <v>143.54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987.34</v>
      </c>
      <c r="F99" s="9" t="n"/>
      <c r="G99" s="18" t="n">
        <v>368.12</v>
      </c>
      <c r="H99" s="18" t="n">
        <v>-896.01</v>
      </c>
      <c r="I99" s="18" t="n">
        <v>766.37</v>
      </c>
      <c r="J99" s="18" t="n">
        <v>-2098.48</v>
      </c>
      <c r="K99" s="37" t="n">
        <v>-1860</v>
      </c>
      <c r="L99" s="18" t="n">
        <v>-675.13</v>
      </c>
      <c r="M99" s="18" t="n">
        <v>-1078.06</v>
      </c>
      <c r="N99" s="18" t="n">
        <v>462.88</v>
      </c>
      <c r="O99" s="18" t="n">
        <v>7612.41</v>
      </c>
      <c r="P99" s="37" t="n">
        <v>6322.1</v>
      </c>
      <c r="Q99" s="18" t="n">
        <v>7368.43</v>
      </c>
      <c r="R99" s="18" t="n">
        <v>1774.11</v>
      </c>
      <c r="S99" s="18" t="n">
        <v>-274.73</v>
      </c>
      <c r="T99" s="18" t="n">
        <v>4796.25</v>
      </c>
      <c r="U99" s="37" t="n">
        <v>13664.06</v>
      </c>
      <c r="V99" s="18" t="n">
        <v>371.83</v>
      </c>
      <c r="W99" s="18" t="n">
        <v>740.96</v>
      </c>
      <c r="X99" s="18" t="n">
        <v>-675.15</v>
      </c>
      <c r="Y99" s="18" t="n">
        <v>1140.75</v>
      </c>
      <c r="Z99" s="37" t="n">
        <v>1578.39</v>
      </c>
      <c r="AA99" s="18" t="n">
        <v>2103.08</v>
      </c>
      <c r="AB99" s="19" t="n">
        <v>-1011.22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차입금의증가</t>
        </is>
      </c>
      <c r="E100" s="18" t="n">
        <v>13319.53</v>
      </c>
      <c r="F100" s="9" t="n"/>
      <c r="G100" s="18" t="n">
        <v>3076.73</v>
      </c>
      <c r="H100" s="18" t="n">
        <v>5262.22</v>
      </c>
      <c r="I100" s="18" t="n">
        <v>4795.35</v>
      </c>
      <c r="J100" s="18" t="n">
        <v>9761.99</v>
      </c>
      <c r="K100" s="37" t="n">
        <v>22896.29</v>
      </c>
      <c r="L100" s="18" t="n">
        <v>4857.9</v>
      </c>
      <c r="M100" s="18" t="n">
        <v>9017.889999999999</v>
      </c>
      <c r="N100" s="18" t="n">
        <v>5959.07</v>
      </c>
      <c r="O100" s="18" t="n">
        <v>15328.77</v>
      </c>
      <c r="P100" s="37" t="n">
        <v>35163.63</v>
      </c>
      <c r="Q100" s="18" t="n">
        <v>3384.66</v>
      </c>
      <c r="R100" s="18" t="n">
        <v>4175.78</v>
      </c>
      <c r="S100" s="18" t="n">
        <v>3287.3</v>
      </c>
      <c r="T100" s="18" t="n">
        <v>5697.99</v>
      </c>
      <c r="U100" s="37" t="n">
        <v>16545.73</v>
      </c>
      <c r="V100" s="18" t="n">
        <v>12615.32</v>
      </c>
      <c r="W100" s="18" t="n">
        <v>6953.04</v>
      </c>
      <c r="X100" s="18" t="n">
        <v>5826.85</v>
      </c>
      <c r="Y100" s="18" t="n">
        <v>22486.54</v>
      </c>
      <c r="Z100" s="37" t="n">
        <v>47881.75</v>
      </c>
      <c r="AA100" s="18" t="n">
        <v>9610.82</v>
      </c>
      <c r="AB100" s="19" t="n">
        <v>10978.74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차입금의감소</t>
        </is>
      </c>
      <c r="E101" s="18" t="n">
        <v>12302.26</v>
      </c>
      <c r="F101" s="9" t="n"/>
      <c r="G101" s="18" t="n">
        <v>2708.62</v>
      </c>
      <c r="H101" s="18" t="n">
        <v>6114.67</v>
      </c>
      <c r="I101" s="18" t="n">
        <v>4029.94</v>
      </c>
      <c r="J101" s="18" t="n">
        <v>11841.2</v>
      </c>
      <c r="K101" s="37" t="n">
        <v>24694.43</v>
      </c>
      <c r="L101" s="18" t="n">
        <v>5533.03</v>
      </c>
      <c r="M101" s="18" t="n">
        <v>10108.95</v>
      </c>
      <c r="N101" s="18" t="n">
        <v>5475.05</v>
      </c>
      <c r="O101" s="18" t="n">
        <v>15849.05</v>
      </c>
      <c r="P101" s="37" t="n">
        <v>36966.08</v>
      </c>
      <c r="Q101" s="18" t="n">
        <v>7048.8</v>
      </c>
      <c r="R101" s="18" t="n">
        <v>2424.7</v>
      </c>
      <c r="S101" s="18" t="n">
        <v>3335.44</v>
      </c>
      <c r="T101" s="18" t="n">
        <v>930.73</v>
      </c>
      <c r="U101" s="37" t="n">
        <v>13739.67</v>
      </c>
      <c r="V101" s="18" t="n">
        <v>12272.05</v>
      </c>
      <c r="W101" s="18" t="n">
        <v>6172.82</v>
      </c>
      <c r="X101" s="18" t="n">
        <v>6546.13</v>
      </c>
      <c r="Y101" s="18" t="n">
        <v>21331.6</v>
      </c>
      <c r="Z101" s="37" t="n">
        <v>46322.6</v>
      </c>
      <c r="AA101" s="18" t="n">
        <v>4813.58</v>
      </c>
      <c r="AB101" s="19" t="n">
        <v>11982.99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29.94</v>
      </c>
      <c r="F102" s="9" t="n"/>
      <c r="G102" s="18" t="n">
        <v>0</v>
      </c>
      <c r="H102" s="18" t="n">
        <v>43.56</v>
      </c>
      <c r="I102" s="18" t="n">
        <v>-0.98</v>
      </c>
      <c r="J102" s="18" t="n">
        <v>19.28</v>
      </c>
      <c r="K102" s="37" t="n">
        <v>61.86</v>
      </c>
      <c r="L102" s="18" t="n">
        <v>0</v>
      </c>
      <c r="M102" s="18" t="n">
        <v>23.74</v>
      </c>
      <c r="O102" s="18" t="n">
        <v>47.87</v>
      </c>
      <c r="P102" s="9" t="n"/>
      <c r="T102" s="18" t="n">
        <v>37.77</v>
      </c>
      <c r="U102" s="9" t="n"/>
      <c r="X102" s="18" t="n">
        <v>0</v>
      </c>
      <c r="Y102" s="18" t="n">
        <v>38.28</v>
      </c>
      <c r="Z102" s="9" t="n"/>
      <c r="AA102" s="18" t="n">
        <v>8.85</v>
      </c>
      <c r="AB102" s="19" t="n">
        <v>36.6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3660.82</v>
      </c>
      <c r="F103" s="9" t="n"/>
      <c r="G103" s="18" t="n">
        <v>-4702.15</v>
      </c>
      <c r="H103" s="18" t="n">
        <v>-310.51</v>
      </c>
      <c r="I103" s="18" t="n">
        <v>1135.46</v>
      </c>
      <c r="J103" s="18" t="n">
        <v>-146.57</v>
      </c>
      <c r="K103" s="37" t="n">
        <v>-4023.77</v>
      </c>
      <c r="L103" s="18" t="n">
        <v>1454.56</v>
      </c>
      <c r="M103" s="18" t="n">
        <v>96.65000000000001</v>
      </c>
      <c r="N103" s="18" t="n">
        <v>-314.98</v>
      </c>
      <c r="O103" s="18" t="n">
        <v>3513.16</v>
      </c>
      <c r="P103" s="37" t="n">
        <v>4749.39</v>
      </c>
      <c r="Q103" s="18" t="n">
        <v>4628.68</v>
      </c>
      <c r="R103" s="18" t="n">
        <v>-1723.39</v>
      </c>
      <c r="S103" s="18" t="n">
        <v>-645.75</v>
      </c>
      <c r="T103" s="18" t="n">
        <v>4897.64</v>
      </c>
      <c r="U103" s="37" t="n">
        <v>7157.18</v>
      </c>
      <c r="V103" s="18" t="n">
        <v>-1422.06</v>
      </c>
      <c r="W103" s="18" t="n">
        <v>-871.5700000000001</v>
      </c>
      <c r="X103" s="18" t="n">
        <v>4432.37</v>
      </c>
      <c r="Y103" s="18" t="n">
        <v>-6118.55</v>
      </c>
      <c r="Z103" s="37" t="n">
        <v>-3979.81</v>
      </c>
      <c r="AA103" s="18" t="n">
        <v>1792.53</v>
      </c>
      <c r="AB103" s="19" t="n">
        <v>2367.18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3660.82</v>
      </c>
      <c r="F104" s="9" t="n"/>
      <c r="G104" s="18" t="n">
        <v>726.75</v>
      </c>
      <c r="H104" s="18" t="n">
        <v>-310.52</v>
      </c>
      <c r="I104" s="18" t="n">
        <v>1135.47</v>
      </c>
      <c r="J104" s="18" t="n">
        <v>-146.57</v>
      </c>
      <c r="K104" s="37" t="n">
        <v>1405.13</v>
      </c>
      <c r="L104" s="18" t="n">
        <v>2859.69</v>
      </c>
      <c r="M104" s="18" t="n">
        <v>96.65000000000001</v>
      </c>
      <c r="N104" s="18" t="n">
        <v>-314.98</v>
      </c>
      <c r="O104" s="18" t="n">
        <v>3513.16</v>
      </c>
      <c r="P104" s="37" t="n">
        <v>6154.52</v>
      </c>
      <c r="Q104" s="18" t="n">
        <v>10783.2</v>
      </c>
      <c r="R104" s="18" t="n">
        <v>-1723.39</v>
      </c>
      <c r="S104" s="18" t="n">
        <v>-645.75</v>
      </c>
      <c r="T104" s="18" t="n">
        <v>4897.64</v>
      </c>
      <c r="U104" s="37" t="n">
        <v>13311.7</v>
      </c>
      <c r="V104" s="18" t="n">
        <v>11889.63</v>
      </c>
      <c r="W104" s="18" t="n">
        <v>-871.5700000000001</v>
      </c>
      <c r="X104" s="18" t="n">
        <v>4432.38</v>
      </c>
      <c r="Y104" s="18" t="n">
        <v>-6118.56</v>
      </c>
      <c r="Z104" s="37" t="n">
        <v>9331.879999999999</v>
      </c>
      <c r="AA104" s="18" t="n">
        <v>11124.41</v>
      </c>
      <c r="AB104" s="19" t="n">
        <v>2367.18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F105" s="9" t="n"/>
      <c r="I105" s="18" t="n">
        <v>0</v>
      </c>
      <c r="K105" s="9" t="n"/>
      <c r="N105" s="18" t="n">
        <v>0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26.06</v>
      </c>
      <c r="P106" s="9" t="n"/>
      <c r="Q106" s="18" t="n">
        <v>-82.92</v>
      </c>
      <c r="R106" s="18" t="n">
        <v>115.91</v>
      </c>
      <c r="S106" s="18" t="n">
        <v>17.54</v>
      </c>
      <c r="T106" s="18" t="n">
        <v>72.89</v>
      </c>
      <c r="U106" s="37" t="n">
        <v>123.42</v>
      </c>
      <c r="V106" s="18" t="n">
        <v>12.94</v>
      </c>
      <c r="W106" s="18" t="n">
        <v>37.21</v>
      </c>
      <c r="X106" s="18" t="n">
        <v>228.3</v>
      </c>
      <c r="Y106" s="18" t="n">
        <v>-2.68</v>
      </c>
      <c r="Z106" s="37" t="n">
        <v>275.77</v>
      </c>
      <c r="AA106" s="18" t="n">
        <v>6.19</v>
      </c>
      <c r="AB106" s="19" t="n">
        <v>30.85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7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7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7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7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7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7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7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7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7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7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7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7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7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7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7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7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7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7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7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7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7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7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7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7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7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7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7" t="n">
        <v>0</v>
      </c>
      <c r="L10" s="18" t="n">
        <v>0</v>
      </c>
      <c r="O10" s="18" t="n">
        <v>0</v>
      </c>
      <c r="P10" s="37" t="n">
        <v>0</v>
      </c>
      <c r="Q10" s="18" t="n">
        <v>0</v>
      </c>
      <c r="T10" s="18" t="n">
        <v>0</v>
      </c>
      <c r="U10" s="37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7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7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7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7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7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7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7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7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7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7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7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7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7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7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7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7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7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7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7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7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7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7" t="n">
        <v>108.57</v>
      </c>
      <c r="L15" s="18" t="n">
        <v>104.04</v>
      </c>
      <c r="M15" s="18" t="n">
        <v>111.4</v>
      </c>
      <c r="N15" s="18" t="n">
        <v>136.8</v>
      </c>
      <c r="O15" s="18" t="n">
        <v>135.79</v>
      </c>
      <c r="P15" s="37" t="n">
        <v>135.79</v>
      </c>
      <c r="Q15" s="18" t="n">
        <v>135.79</v>
      </c>
      <c r="R15" s="18" t="n">
        <v>135.79</v>
      </c>
      <c r="S15" s="18" t="n">
        <v>135.79</v>
      </c>
      <c r="T15" s="18" t="n">
        <v>335.79</v>
      </c>
      <c r="U15" s="37" t="n">
        <v>335.79</v>
      </c>
      <c r="V15" s="18" t="n">
        <v>335.79</v>
      </c>
      <c r="W15" s="18" t="n">
        <v>335.79</v>
      </c>
      <c r="X15" s="18" t="n">
        <v>345.79</v>
      </c>
      <c r="Y15" s="18" t="n">
        <v>354.52</v>
      </c>
      <c r="Z15" s="37" t="n">
        <v>354.52</v>
      </c>
      <c r="AA15" s="18" t="n">
        <v>413.2</v>
      </c>
      <c r="AB15" s="19" t="n">
        <v>444.04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7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7" t="n">
        <v>1314.25</v>
      </c>
      <c r="L16" s="18" t="n">
        <v>1309.72</v>
      </c>
      <c r="M16" s="18" t="n">
        <v>1317.08</v>
      </c>
      <c r="N16" s="18" t="n">
        <v>1342.48</v>
      </c>
      <c r="O16" s="18" t="n">
        <v>1341.47</v>
      </c>
      <c r="P16" s="37" t="n">
        <v>1341.47</v>
      </c>
      <c r="Q16" s="18" t="n">
        <v>1341.47</v>
      </c>
      <c r="R16" s="18" t="n">
        <v>1341.47</v>
      </c>
      <c r="S16" s="18" t="n">
        <v>1341.47</v>
      </c>
      <c r="T16" s="18" t="n">
        <v>1541.47</v>
      </c>
      <c r="U16" s="37" t="n">
        <v>1541.47</v>
      </c>
      <c r="V16" s="18" t="n">
        <v>1541.47</v>
      </c>
      <c r="W16" s="18" t="n">
        <v>1541.47</v>
      </c>
      <c r="X16" s="18" t="n">
        <v>1551.47</v>
      </c>
      <c r="Y16" s="18" t="n">
        <v>1560.2</v>
      </c>
      <c r="Z16" s="37" t="n">
        <v>1560.2</v>
      </c>
      <c r="AA16" s="18" t="n">
        <v>1618.88</v>
      </c>
      <c r="AB16" s="19" t="n">
        <v>1649.72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7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7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7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7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7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7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7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7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7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7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7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7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7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7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7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7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7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7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7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7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7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7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7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7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7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7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7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7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7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7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7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7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7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7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7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7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7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7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7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7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7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7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7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7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7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7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7" t="n">
        <v>40443</v>
      </c>
      <c r="L26" s="18" t="n">
        <v>37802.33</v>
      </c>
      <c r="N26" s="18" t="n">
        <v>33707.73</v>
      </c>
      <c r="O26" s="18" t="n">
        <v>33463.14</v>
      </c>
      <c r="P26" s="37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7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7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7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7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7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7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7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7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7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7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7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7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7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7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7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7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7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7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7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7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7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7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7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7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7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7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7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7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7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7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7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7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7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7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7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7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7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7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7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7" t="n">
        <v>6258.02</v>
      </c>
      <c r="Q34" s="18" t="n">
        <v>11447.32</v>
      </c>
      <c r="R34" s="18" t="n">
        <v>7792.29</v>
      </c>
      <c r="S34" s="18" t="n">
        <v>8850.6</v>
      </c>
      <c r="T34" s="18" t="n">
        <v>11600.33</v>
      </c>
      <c r="U34" s="37" t="n">
        <v>11600.33</v>
      </c>
      <c r="V34" s="18" t="n">
        <v>11311.36</v>
      </c>
      <c r="W34" s="18" t="n">
        <v>8217.01</v>
      </c>
      <c r="X34" s="18" t="n">
        <v>7992.57</v>
      </c>
      <c r="Y34" s="18" t="n">
        <v>21930</v>
      </c>
      <c r="Z34" s="37" t="n">
        <v>21930</v>
      </c>
      <c r="AA34" s="18" t="n">
        <v>23930</v>
      </c>
      <c r="AB34" s="19" t="n">
        <v>26780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7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7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7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7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7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7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7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7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7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7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640.54</v>
      </c>
      <c r="F37" s="37" t="n">
        <v>640.54</v>
      </c>
      <c r="G37" s="18" t="n">
        <v>476.75</v>
      </c>
      <c r="H37" s="18" t="n">
        <v>517.8</v>
      </c>
      <c r="I37" s="18" t="n">
        <v>535.03</v>
      </c>
      <c r="J37" s="18" t="n">
        <v>876.8200000000001</v>
      </c>
      <c r="K37" s="37" t="n">
        <v>876.8200000000001</v>
      </c>
      <c r="L37" s="18" t="n">
        <v>826.8200000000001</v>
      </c>
      <c r="M37" s="18" t="n">
        <v>907.64</v>
      </c>
      <c r="N37" s="18" t="n">
        <v>965.74</v>
      </c>
      <c r="O37" s="18" t="n">
        <v>1052.92</v>
      </c>
      <c r="P37" s="37" t="n">
        <v>1052.92</v>
      </c>
      <c r="Q37" s="18" t="n">
        <v>1083.06</v>
      </c>
      <c r="R37" s="18" t="n">
        <v>1141.5</v>
      </c>
      <c r="S37" s="18" t="n">
        <v>911.51</v>
      </c>
      <c r="T37" s="18" t="n">
        <v>975.46</v>
      </c>
      <c r="U37" s="37" t="n">
        <v>975.46</v>
      </c>
      <c r="V37" s="18" t="n">
        <v>1004.77</v>
      </c>
      <c r="W37" s="18" t="n">
        <v>1030.57</v>
      </c>
      <c r="X37" s="18" t="n">
        <v>1090.77</v>
      </c>
      <c r="Y37" s="18" t="n">
        <v>1123.74</v>
      </c>
      <c r="Z37" s="37" t="n">
        <v>1123.74</v>
      </c>
      <c r="AA37" s="18" t="n">
        <v>1151.65</v>
      </c>
      <c r="AB37" s="19" t="n">
        <v>1182.03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690.6799999999999</v>
      </c>
      <c r="F38" s="37" t="n">
        <v>690.6799999999999</v>
      </c>
      <c r="G38" s="18" t="n">
        <v>526.89</v>
      </c>
      <c r="H38" s="18" t="n">
        <v>545.38</v>
      </c>
      <c r="I38" s="18" t="n">
        <v>562.61</v>
      </c>
      <c r="J38" s="18" t="n">
        <v>1238.94</v>
      </c>
      <c r="K38" s="37" t="n">
        <v>1238.94</v>
      </c>
      <c r="L38" s="18" t="n">
        <v>1188.94</v>
      </c>
      <c r="M38" s="18" t="n">
        <v>1203.71</v>
      </c>
      <c r="N38" s="18" t="n">
        <v>1261.81</v>
      </c>
      <c r="O38" s="18" t="n">
        <v>1295.16</v>
      </c>
      <c r="P38" s="37" t="n">
        <v>1295.16</v>
      </c>
      <c r="Q38" s="18" t="n">
        <v>1325.3</v>
      </c>
      <c r="R38" s="18" t="n">
        <v>1330.42</v>
      </c>
      <c r="S38" s="18" t="n">
        <v>1100.43</v>
      </c>
      <c r="T38" s="18" t="n">
        <v>1130.22</v>
      </c>
      <c r="U38" s="37" t="n">
        <v>1130.22</v>
      </c>
      <c r="V38" s="18" t="n">
        <v>1159.53</v>
      </c>
      <c r="W38" s="18" t="n">
        <v>1128.22</v>
      </c>
      <c r="X38" s="18" t="n">
        <v>1188.42</v>
      </c>
      <c r="Y38" s="18" t="n">
        <v>1186.46</v>
      </c>
      <c r="Z38" s="37" t="n">
        <v>1186.46</v>
      </c>
      <c r="AA38" s="18" t="n">
        <v>1214.37</v>
      </c>
      <c r="AB38" s="19" t="n">
        <v>1237.1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117.48</v>
      </c>
      <c r="F39" s="37" t="n">
        <v>117.48</v>
      </c>
      <c r="G39" s="18" t="n">
        <v>117.48</v>
      </c>
      <c r="H39" s="18" t="n">
        <v>117.48</v>
      </c>
      <c r="I39" s="18" t="n">
        <v>117.48</v>
      </c>
      <c r="J39" s="18" t="n">
        <v>117.48</v>
      </c>
      <c r="K39" s="37" t="n">
        <v>117.48</v>
      </c>
      <c r="L39" s="18" t="n">
        <v>117.48</v>
      </c>
      <c r="M39" s="18" t="n">
        <v>117.48</v>
      </c>
      <c r="N39" s="18" t="n">
        <v>117.48</v>
      </c>
      <c r="O39" s="18" t="n">
        <v>1417.48</v>
      </c>
      <c r="P39" s="37" t="n">
        <v>1417.48</v>
      </c>
      <c r="Q39" s="18" t="n">
        <v>1417.48</v>
      </c>
      <c r="R39" s="18" t="n">
        <v>917.48</v>
      </c>
      <c r="S39" s="18" t="n">
        <v>800</v>
      </c>
      <c r="T39" s="18" t="n">
        <v>800</v>
      </c>
      <c r="U39" s="37" t="n">
        <v>800</v>
      </c>
      <c r="V39" s="18" t="n">
        <v>800</v>
      </c>
      <c r="W39" s="18" t="n">
        <v>800</v>
      </c>
      <c r="X39" s="18" t="n">
        <v>1200</v>
      </c>
      <c r="Y39" s="18" t="n">
        <v>1200</v>
      </c>
      <c r="Z39" s="37" t="n">
        <v>1200</v>
      </c>
      <c r="AA39" s="18" t="n">
        <v>1200</v>
      </c>
      <c r="AB39" s="19" t="n">
        <v>1200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50.14</v>
      </c>
      <c r="F40" s="37" t="n">
        <v>50.14</v>
      </c>
      <c r="G40" s="18" t="n">
        <v>50.14</v>
      </c>
      <c r="H40" s="18" t="n">
        <v>27.58</v>
      </c>
      <c r="I40" s="18" t="n">
        <v>27.58</v>
      </c>
      <c r="J40" s="18" t="n">
        <v>362.12</v>
      </c>
      <c r="K40" s="37" t="n">
        <v>362.12</v>
      </c>
      <c r="L40" s="18" t="n">
        <v>362.12</v>
      </c>
      <c r="M40" s="18" t="n">
        <v>296.07</v>
      </c>
      <c r="N40" s="18" t="n">
        <v>296.07</v>
      </c>
      <c r="O40" s="18" t="n">
        <v>242.24</v>
      </c>
      <c r="P40" s="37" t="n">
        <v>242.24</v>
      </c>
      <c r="Q40" s="18" t="n">
        <v>242.24</v>
      </c>
      <c r="R40" s="18" t="n">
        <v>188.92</v>
      </c>
      <c r="S40" s="18" t="n">
        <v>188.92</v>
      </c>
      <c r="T40" s="18" t="n">
        <v>154.76</v>
      </c>
      <c r="U40" s="37" t="n">
        <v>154.76</v>
      </c>
      <c r="V40" s="18" t="n">
        <v>154.76</v>
      </c>
      <c r="W40" s="18" t="n">
        <v>97.65000000000001</v>
      </c>
      <c r="X40" s="18" t="n">
        <v>97.65000000000001</v>
      </c>
      <c r="Y40" s="18" t="n">
        <v>62.72</v>
      </c>
      <c r="Z40" s="37" t="n">
        <v>62.72</v>
      </c>
      <c r="AA40" s="18" t="n">
        <v>62.72</v>
      </c>
      <c r="AB40" s="19" t="n">
        <v>55.07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60397.53</v>
      </c>
      <c r="F41" s="37" t="n">
        <v>60397.53</v>
      </c>
      <c r="G41" s="18" t="n">
        <v>61287.46</v>
      </c>
      <c r="H41" s="18" t="n">
        <v>60284.57</v>
      </c>
      <c r="I41" s="18" t="n">
        <v>62460.45</v>
      </c>
      <c r="J41" s="18" t="n">
        <v>64622.82</v>
      </c>
      <c r="K41" s="37" t="n">
        <v>64622.82</v>
      </c>
      <c r="L41" s="18" t="n">
        <v>64395.72</v>
      </c>
      <c r="M41" s="18" t="n">
        <v>62059.09</v>
      </c>
      <c r="N41" s="18" t="n">
        <v>64062.63</v>
      </c>
      <c r="O41" s="18" t="n">
        <v>66499.78999999999</v>
      </c>
      <c r="P41" s="37" t="n">
        <v>66499.78999999999</v>
      </c>
      <c r="Q41" s="18" t="n">
        <v>61551.06</v>
      </c>
      <c r="R41" s="18" t="n">
        <v>62550.31</v>
      </c>
      <c r="S41" s="18" t="n">
        <v>62559.6</v>
      </c>
      <c r="T41" s="18" t="n">
        <v>66520.64</v>
      </c>
      <c r="U41" s="37" t="n">
        <v>66520.64</v>
      </c>
      <c r="V41" s="18" t="n">
        <v>69881.75999999999</v>
      </c>
      <c r="W41" s="18" t="n">
        <v>67130.7</v>
      </c>
      <c r="X41" s="18" t="n">
        <v>66384.81</v>
      </c>
      <c r="Y41" s="18" t="n">
        <v>68234.27</v>
      </c>
      <c r="Z41" s="37" t="n">
        <v>68234.27</v>
      </c>
      <c r="AA41" s="18" t="n">
        <v>71020.46000000001</v>
      </c>
      <c r="AB41" s="19" t="n">
        <v>74888.96000000001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7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7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7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7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7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7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7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7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7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7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7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7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7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7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7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-38729.09</v>
      </c>
      <c r="F45" s="37" t="n">
        <v>-38729.09</v>
      </c>
      <c r="G45" s="18" t="n">
        <v>-40236.41</v>
      </c>
      <c r="H45" s="18" t="n">
        <v>-40791.86</v>
      </c>
      <c r="I45" s="18" t="n">
        <v>-42252.69</v>
      </c>
      <c r="J45" s="18" t="n">
        <v>-44477.25</v>
      </c>
      <c r="K45" s="37" t="n">
        <v>-44477.25</v>
      </c>
      <c r="L45" s="18" t="n">
        <v>-43440.27</v>
      </c>
      <c r="M45" s="18" t="n">
        <v>-42235.43</v>
      </c>
      <c r="N45" s="18" t="n">
        <v>-42540.41</v>
      </c>
      <c r="O45" s="18" t="n">
        <v>-43261.03</v>
      </c>
      <c r="P45" s="37" t="n">
        <v>-43261.03</v>
      </c>
      <c r="Q45" s="18" t="n">
        <v>-42950.01</v>
      </c>
      <c r="R45" s="18" t="n">
        <v>-42395.53</v>
      </c>
      <c r="S45" s="18" t="n">
        <v>-43101.97</v>
      </c>
      <c r="T45" s="18" t="n">
        <v>-46976.29</v>
      </c>
      <c r="U45" s="37" t="n">
        <v>-46976.29</v>
      </c>
      <c r="V45" s="18" t="n">
        <v>10295.27</v>
      </c>
      <c r="W45" s="18" t="n">
        <v>-52143.71</v>
      </c>
      <c r="X45" s="18" t="n">
        <v>-52239.74</v>
      </c>
      <c r="Y45" s="18" t="n">
        <v>-52014.91</v>
      </c>
      <c r="Z45" s="37" t="n">
        <v>-52014.91</v>
      </c>
      <c r="AA45" s="18" t="n">
        <v>-51476.73</v>
      </c>
      <c r="AB45" s="19" t="n">
        <v>-50705.7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7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10636.98</v>
      </c>
      <c r="F47" s="37" t="n">
        <v>10636.98</v>
      </c>
      <c r="G47" s="18" t="n">
        <v>11683.75</v>
      </c>
      <c r="H47" s="18" t="n">
        <v>10296.68</v>
      </c>
      <c r="I47" s="18" t="n">
        <v>10290.02</v>
      </c>
      <c r="J47" s="18" t="n">
        <v>10284.06</v>
      </c>
      <c r="K47" s="37" t="n">
        <v>10284.06</v>
      </c>
      <c r="L47" s="18" t="n">
        <v>10279.53</v>
      </c>
      <c r="M47" s="18" t="n">
        <v>10286.89</v>
      </c>
      <c r="N47" s="18" t="n">
        <v>10285.68</v>
      </c>
      <c r="O47" s="18" t="n">
        <v>10288.03</v>
      </c>
      <c r="P47" s="37" t="n">
        <v>10288.03</v>
      </c>
      <c r="Q47" s="18" t="n">
        <v>10290.36</v>
      </c>
      <c r="R47" s="18" t="n">
        <v>10319.39</v>
      </c>
      <c r="S47" s="18" t="n">
        <v>10294.64</v>
      </c>
      <c r="T47" s="18" t="n">
        <v>10295.15</v>
      </c>
      <c r="U47" s="37" t="n">
        <v>10295.15</v>
      </c>
      <c r="V47" s="18" t="n">
        <v>-47658.51</v>
      </c>
      <c r="W47" s="18" t="n">
        <v>10320.52</v>
      </c>
      <c r="X47" s="18" t="n">
        <v>10345.26</v>
      </c>
      <c r="Y47" s="18" t="n">
        <v>10134.17</v>
      </c>
      <c r="Z47" s="37" t="n">
        <v>10134.17</v>
      </c>
      <c r="AA47" s="18" t="n">
        <v>10115.25</v>
      </c>
      <c r="AB47" s="19" t="n">
        <v>10101.64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35004.02</v>
      </c>
      <c r="F48" s="37" t="n">
        <v>35004.02</v>
      </c>
      <c r="G48" s="18" t="n">
        <v>33608.48</v>
      </c>
      <c r="H48" s="18" t="n">
        <v>31665.96</v>
      </c>
      <c r="I48" s="18" t="n">
        <v>30198.47</v>
      </c>
      <c r="J48" s="18" t="n">
        <v>27967.95</v>
      </c>
      <c r="K48" s="37" t="n">
        <v>27967.95</v>
      </c>
      <c r="L48" s="18" t="n">
        <v>29000.39</v>
      </c>
      <c r="M48" s="18" t="n">
        <v>30212.6</v>
      </c>
      <c r="N48" s="18" t="n">
        <v>29906.4</v>
      </c>
      <c r="O48" s="18" t="n">
        <v>29188.13</v>
      </c>
      <c r="P48" s="37" t="n">
        <v>29188.13</v>
      </c>
      <c r="Q48" s="18" t="n">
        <v>29501.49</v>
      </c>
      <c r="R48" s="18" t="n">
        <v>30084.99</v>
      </c>
      <c r="S48" s="18" t="n">
        <v>29353.81</v>
      </c>
      <c r="T48" s="18" t="n">
        <v>25479.99</v>
      </c>
      <c r="U48" s="37" t="n">
        <v>25479.99</v>
      </c>
      <c r="V48" s="18" t="n">
        <v>24797.9</v>
      </c>
      <c r="W48" s="18" t="n">
        <v>29981.77</v>
      </c>
      <c r="X48" s="18" t="n">
        <v>31518.17</v>
      </c>
      <c r="Y48" s="18" t="n">
        <v>31531.92</v>
      </c>
      <c r="Z48" s="37" t="n">
        <v>31531.92</v>
      </c>
      <c r="AA48" s="18" t="n">
        <v>32051.17</v>
      </c>
      <c r="AB48" s="19" t="n">
        <v>32808.59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95401.53999999999</v>
      </c>
      <c r="F49" s="37" t="n">
        <v>95401.53999999999</v>
      </c>
      <c r="G49" s="18" t="n">
        <v>94895.94</v>
      </c>
      <c r="H49" s="18" t="n">
        <v>91950.52</v>
      </c>
      <c r="I49" s="18" t="n">
        <v>92658.92</v>
      </c>
      <c r="J49" s="18" t="n">
        <v>92590.75999999999</v>
      </c>
      <c r="K49" s="37" t="n">
        <v>92590.75999999999</v>
      </c>
      <c r="L49" s="18" t="n">
        <v>93396.12</v>
      </c>
      <c r="M49" s="18" t="n">
        <v>92271.69</v>
      </c>
      <c r="N49" s="18" t="n">
        <v>93969.03999999999</v>
      </c>
      <c r="O49" s="18" t="n">
        <v>95687.92999999999</v>
      </c>
      <c r="P49" s="37" t="n">
        <v>95687.92999999999</v>
      </c>
      <c r="Q49" s="18" t="n">
        <v>91052.55</v>
      </c>
      <c r="R49" s="18" t="n">
        <v>92635.3</v>
      </c>
      <c r="S49" s="18" t="n">
        <v>91913.41</v>
      </c>
      <c r="T49" s="18" t="n">
        <v>92000.63</v>
      </c>
      <c r="U49" s="37" t="n">
        <v>92000.63</v>
      </c>
      <c r="V49" s="18" t="n">
        <v>94679.66</v>
      </c>
      <c r="W49" s="18" t="n">
        <v>97112.47</v>
      </c>
      <c r="X49" s="18" t="n">
        <v>97902.98</v>
      </c>
      <c r="Y49" s="18" t="n">
        <v>99766.17999999999</v>
      </c>
      <c r="Z49" s="37" t="n">
        <v>99766.17999999999</v>
      </c>
      <c r="AA49" s="18" t="n">
        <v>103071.63</v>
      </c>
      <c r="AB49" s="19" t="n">
        <v>107697.56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35004.02</v>
      </c>
      <c r="F50" s="37" t="n">
        <v>35004.02</v>
      </c>
      <c r="G50" s="18" t="n">
        <v>33608.48</v>
      </c>
      <c r="H50" s="18" t="n">
        <v>31665.96</v>
      </c>
      <c r="I50" s="18" t="n">
        <v>30198.47</v>
      </c>
      <c r="J50" s="18" t="n">
        <v>27967.95</v>
      </c>
      <c r="K50" s="37" t="n">
        <v>27967.95</v>
      </c>
      <c r="L50" s="18" t="n">
        <v>29000.39</v>
      </c>
      <c r="M50" s="18" t="n">
        <v>30212.6</v>
      </c>
      <c r="N50" s="18" t="n">
        <v>29906.4</v>
      </c>
      <c r="O50" s="18" t="n">
        <v>29188.13</v>
      </c>
      <c r="P50" s="37" t="n">
        <v>29188.13</v>
      </c>
      <c r="Q50" s="18" t="n">
        <v>29501.49</v>
      </c>
      <c r="R50" s="18" t="n">
        <v>30084.99</v>
      </c>
      <c r="S50" s="18" t="n">
        <v>29353.81</v>
      </c>
      <c r="T50" s="18" t="n">
        <v>25479.99</v>
      </c>
      <c r="U50" s="37" t="n">
        <v>25479.99</v>
      </c>
      <c r="V50" s="18" t="n">
        <v>24797.9</v>
      </c>
      <c r="W50" s="18" t="n">
        <v>29981.77</v>
      </c>
      <c r="X50" s="18" t="n">
        <v>31518.17</v>
      </c>
      <c r="Y50" s="18" t="n">
        <v>31531.92</v>
      </c>
      <c r="Z50" s="37" t="n">
        <v>31531.92</v>
      </c>
      <c r="AA50" s="18" t="n">
        <v>32051.17</v>
      </c>
      <c r="AB50" s="19" t="n">
        <v>32808.59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46363.93</v>
      </c>
      <c r="F51" s="37" t="n">
        <v>46363.93</v>
      </c>
      <c r="G51" s="18" t="n">
        <v>46811.06</v>
      </c>
      <c r="H51" s="18" t="n">
        <v>44896.09</v>
      </c>
      <c r="I51" s="18" t="n">
        <v>43413.47</v>
      </c>
      <c r="J51" s="18" t="n">
        <v>41325.76</v>
      </c>
      <c r="K51" s="37" t="n">
        <v>41325.76</v>
      </c>
      <c r="L51" s="18" t="n">
        <v>40723.51</v>
      </c>
      <c r="M51" s="18" t="n">
        <v>39754.58</v>
      </c>
      <c r="N51" s="18" t="n">
        <v>40287.49</v>
      </c>
      <c r="O51" s="18" t="n">
        <v>43153.79</v>
      </c>
      <c r="P51" s="37" t="n">
        <v>43153.79</v>
      </c>
      <c r="Q51" s="18" t="n">
        <v>39912.87</v>
      </c>
      <c r="R51" s="18" t="n">
        <v>42028.01</v>
      </c>
      <c r="S51" s="18" t="n">
        <v>42436.21</v>
      </c>
      <c r="T51" s="18" t="n">
        <v>44875.77</v>
      </c>
      <c r="U51" s="37" t="n">
        <v>44875.77</v>
      </c>
      <c r="V51" s="18" t="n">
        <v>41232.49</v>
      </c>
      <c r="W51" s="18" t="n">
        <v>43226.78</v>
      </c>
      <c r="X51" s="18" t="n">
        <v>41996.05</v>
      </c>
      <c r="Y51" s="18" t="n">
        <v>43421.48</v>
      </c>
      <c r="Z51" s="37" t="n">
        <v>43421.48</v>
      </c>
      <c r="AA51" s="18" t="n">
        <v>44248.23</v>
      </c>
      <c r="AB51" s="19" t="n">
        <v>43573.98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45286.14</v>
      </c>
      <c r="F52" s="37" t="n">
        <v>45286.14</v>
      </c>
      <c r="G52" s="18" t="n">
        <v>45469.45</v>
      </c>
      <c r="H52" s="18" t="n">
        <v>43622.34</v>
      </c>
      <c r="I52" s="18" t="n">
        <v>41736.57</v>
      </c>
      <c r="J52" s="18" t="n">
        <v>39067.86</v>
      </c>
      <c r="K52" s="37" t="n">
        <v>39067.86</v>
      </c>
      <c r="L52" s="18" t="n">
        <v>39879.16</v>
      </c>
      <c r="M52" s="18" t="n">
        <v>38933.19</v>
      </c>
      <c r="N52" s="18" t="n">
        <v>38605.98</v>
      </c>
      <c r="O52" s="18" t="n">
        <v>38782.12</v>
      </c>
      <c r="P52" s="37" t="n">
        <v>38782.12</v>
      </c>
      <c r="Q52" s="18" t="n">
        <v>38713.38</v>
      </c>
      <c r="R52" s="18" t="n">
        <v>38421.19</v>
      </c>
      <c r="S52" s="18" t="n">
        <v>39790.01</v>
      </c>
      <c r="T52" s="18" t="n">
        <v>41277.89</v>
      </c>
      <c r="U52" s="37" t="n">
        <v>41277.89</v>
      </c>
      <c r="V52" s="18" t="n">
        <v>38856.37</v>
      </c>
      <c r="W52" s="18" t="n">
        <v>40070.98</v>
      </c>
      <c r="X52" s="18" t="n">
        <v>38636.47</v>
      </c>
      <c r="Y52" s="18" t="n">
        <v>40966.95</v>
      </c>
      <c r="Z52" s="37" t="n">
        <v>40966.95</v>
      </c>
      <c r="AA52" s="18" t="n">
        <v>42617.53</v>
      </c>
      <c r="AB52" s="19" t="n">
        <v>36338.91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3256.59</v>
      </c>
      <c r="F53" s="37" t="n">
        <v>3256.59</v>
      </c>
      <c r="G53" s="18" t="n">
        <v>3663.2</v>
      </c>
      <c r="H53" s="18" t="n">
        <v>1848.27</v>
      </c>
      <c r="I53" s="18" t="n">
        <v>2274.76</v>
      </c>
      <c r="J53" s="18" t="n">
        <v>2366.47</v>
      </c>
      <c r="K53" s="37" t="n">
        <v>2366.47</v>
      </c>
      <c r="L53" s="18" t="n">
        <v>948.39</v>
      </c>
      <c r="M53" s="18" t="n">
        <v>932.79</v>
      </c>
      <c r="N53" s="18" t="n">
        <v>1818.31</v>
      </c>
      <c r="O53" s="18" t="n">
        <v>4507.46</v>
      </c>
      <c r="P53" s="37" t="n">
        <v>4507.46</v>
      </c>
      <c r="Q53" s="18" t="n">
        <v>1335.28</v>
      </c>
      <c r="R53" s="18" t="n">
        <v>3742.61</v>
      </c>
      <c r="S53" s="18" t="n">
        <v>2781.99</v>
      </c>
      <c r="T53" s="18" t="n">
        <v>3933.67</v>
      </c>
      <c r="U53" s="37" t="n">
        <v>3933.67</v>
      </c>
      <c r="V53" s="18" t="n">
        <v>2711.91</v>
      </c>
      <c r="W53" s="18" t="n">
        <v>3491.59</v>
      </c>
      <c r="X53" s="18" t="n">
        <v>3705.37</v>
      </c>
      <c r="Y53" s="18" t="n">
        <v>2809.05</v>
      </c>
      <c r="Z53" s="37" t="n">
        <v>2809.05</v>
      </c>
      <c r="AA53" s="18" t="n">
        <v>2043.9</v>
      </c>
      <c r="AB53" s="19" t="n">
        <v>7679.11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7231.73</v>
      </c>
      <c r="P54" s="9" t="n"/>
      <c r="T54" s="18" t="n">
        <v>4138.42</v>
      </c>
      <c r="U54" s="37" t="n">
        <v>4138.42</v>
      </c>
      <c r="V54" s="18" t="n">
        <v>113.38</v>
      </c>
      <c r="W54" s="18" t="n">
        <v>911.46</v>
      </c>
      <c r="X54" s="18" t="n">
        <v>0</v>
      </c>
      <c r="Y54" s="18" t="n">
        <v>270.49</v>
      </c>
      <c r="Z54" s="37" t="n">
        <v>270.49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O55" s="18" t="n">
        <v>247.04</v>
      </c>
      <c r="P55" s="37" t="n">
        <v>247.04</v>
      </c>
      <c r="Q55" s="18" t="n">
        <v>247.04</v>
      </c>
      <c r="R55" s="18" t="n">
        <v>590.39</v>
      </c>
      <c r="S55" s="18" t="n">
        <v>590.39</v>
      </c>
      <c r="T55" s="18" t="n">
        <v>57.44</v>
      </c>
      <c r="U55" s="37" t="n">
        <v>57.44</v>
      </c>
      <c r="V55" s="18" t="n">
        <v>57.44</v>
      </c>
      <c r="W55" s="18" t="n">
        <v>726.15</v>
      </c>
      <c r="X55" s="18" t="n">
        <v>0</v>
      </c>
      <c r="Y55" s="18" t="n">
        <v>1834.84</v>
      </c>
      <c r="Z55" s="37" t="n">
        <v>1834.84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O56" s="18" t="n">
        <v>4025.56</v>
      </c>
      <c r="P56" s="37" t="n">
        <v>4025.56</v>
      </c>
      <c r="Q56" s="18" t="n">
        <v>4025.56</v>
      </c>
      <c r="R56" s="18" t="n">
        <v>2670.07</v>
      </c>
      <c r="S56" s="18" t="n">
        <v>2670.07</v>
      </c>
      <c r="T56" s="18" t="n">
        <v>2668.41</v>
      </c>
      <c r="U56" s="37" t="n">
        <v>2668.41</v>
      </c>
      <c r="V56" s="18" t="n">
        <v>2668.41</v>
      </c>
      <c r="W56" s="18" t="n">
        <v>1448.61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F57" s="9" t="n"/>
      <c r="K57" s="9" t="n"/>
      <c r="O57" s="18" t="n">
        <v>3432.63</v>
      </c>
      <c r="P57" s="37" t="n">
        <v>3432.63</v>
      </c>
      <c r="R57" s="18" t="n">
        <v>3762.86</v>
      </c>
      <c r="S57" s="18" t="n">
        <v>3794.87</v>
      </c>
      <c r="T57" s="18" t="n">
        <v>0</v>
      </c>
      <c r="U57" s="37" t="n">
        <v>0</v>
      </c>
      <c r="V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T58" s="18" t="n">
        <v>11600.33</v>
      </c>
      <c r="U58" s="37" t="n">
        <v>11600.33</v>
      </c>
      <c r="V58" s="18" t="n">
        <v>11311.36</v>
      </c>
      <c r="W58" s="18" t="n">
        <v>8217.01</v>
      </c>
      <c r="X58" s="18" t="n">
        <v>7992.57</v>
      </c>
      <c r="Y58" s="18" t="n">
        <v>21930</v>
      </c>
      <c r="Z58" s="37" t="n">
        <v>21930</v>
      </c>
      <c r="AA58" s="18" t="n">
        <v>23930</v>
      </c>
      <c r="AB58" s="19" t="n">
        <v>26780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8943.52</v>
      </c>
      <c r="F59" s="9" t="n"/>
      <c r="G59" s="18" t="n">
        <v>7750.2</v>
      </c>
      <c r="H59" s="18" t="n">
        <v>8389.389999999999</v>
      </c>
      <c r="I59" s="18" t="n">
        <v>8493.41</v>
      </c>
      <c r="J59" s="18" t="n">
        <v>9528.67</v>
      </c>
      <c r="K59" s="37" t="n">
        <v>34161.67</v>
      </c>
      <c r="L59" s="18" t="n">
        <v>12146</v>
      </c>
      <c r="M59" s="18" t="n">
        <v>13229.35</v>
      </c>
      <c r="N59" s="18" t="n">
        <v>8963.379999999999</v>
      </c>
      <c r="O59" s="18" t="n">
        <v>12374.66</v>
      </c>
      <c r="P59" s="37" t="n">
        <v>46713.39</v>
      </c>
      <c r="Q59" s="18" t="n">
        <v>11308.63</v>
      </c>
      <c r="R59" s="18" t="n">
        <v>9539.040000000001</v>
      </c>
      <c r="S59" s="18" t="n">
        <v>9634.620000000001</v>
      </c>
      <c r="T59" s="18" t="n">
        <v>10787.12</v>
      </c>
      <c r="U59" s="37" t="n">
        <v>41269.41</v>
      </c>
      <c r="V59" s="18" t="n">
        <v>6995.8</v>
      </c>
      <c r="W59" s="18" t="n">
        <v>12308.84</v>
      </c>
      <c r="X59" s="18" t="n">
        <v>10624.17</v>
      </c>
      <c r="Y59" s="18" t="n">
        <v>13688.86</v>
      </c>
      <c r="Z59" s="37" t="n">
        <v>43617.67</v>
      </c>
      <c r="AA59" s="18" t="n">
        <v>14536.88</v>
      </c>
      <c r="AB59" s="19" t="n">
        <v>15059.41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9850.09</v>
      </c>
      <c r="F60" s="9" t="n"/>
      <c r="G60" s="18" t="n">
        <v>7505.65</v>
      </c>
      <c r="H60" s="18" t="n">
        <v>8142.07</v>
      </c>
      <c r="I60" s="18" t="n">
        <v>8440.120000000001</v>
      </c>
      <c r="J60" s="18" t="n">
        <v>8674.15</v>
      </c>
      <c r="K60" s="37" t="n">
        <v>32761.99</v>
      </c>
      <c r="L60" s="18" t="n">
        <v>9477.870000000001</v>
      </c>
      <c r="M60" s="18" t="n">
        <v>10279.92</v>
      </c>
      <c r="N60" s="18" t="n">
        <v>7446.4</v>
      </c>
      <c r="O60" s="18" t="n">
        <v>11061.74</v>
      </c>
      <c r="P60" s="37" t="n">
        <v>38265.93</v>
      </c>
      <c r="Q60" s="18" t="n">
        <v>9258.49</v>
      </c>
      <c r="R60" s="18" t="n">
        <v>8493.299999999999</v>
      </c>
      <c r="S60" s="18" t="n">
        <v>9012.690000000001</v>
      </c>
      <c r="T60" s="18" t="n">
        <v>11146.15</v>
      </c>
      <c r="U60" s="37" t="n">
        <v>37910.63</v>
      </c>
      <c r="V60" s="18" t="n">
        <v>6307.81</v>
      </c>
      <c r="W60" s="18" t="n">
        <v>10014.3</v>
      </c>
      <c r="X60" s="18" t="n">
        <v>8969.799999999999</v>
      </c>
      <c r="Y60" s="18" t="n">
        <v>11706.33</v>
      </c>
      <c r="Z60" s="37" t="n">
        <v>36998.24</v>
      </c>
      <c r="AA60" s="18" t="n">
        <v>11738.24</v>
      </c>
      <c r="AB60" s="19" t="n">
        <v>13506.46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-906.58</v>
      </c>
      <c r="F61" s="9" t="n"/>
      <c r="G61" s="18" t="n">
        <v>244.55</v>
      </c>
      <c r="H61" s="18" t="n">
        <v>247.33</v>
      </c>
      <c r="I61" s="18" t="n">
        <v>53.29</v>
      </c>
      <c r="J61" s="18" t="n">
        <v>854.52</v>
      </c>
      <c r="K61" s="37" t="n">
        <v>1399.69</v>
      </c>
      <c r="L61" s="18" t="n">
        <v>2668.13</v>
      </c>
      <c r="M61" s="18" t="n">
        <v>2949.43</v>
      </c>
      <c r="N61" s="18" t="n">
        <v>1516.98</v>
      </c>
      <c r="O61" s="18" t="n">
        <v>1312.91</v>
      </c>
      <c r="P61" s="37" t="n">
        <v>8447.450000000001</v>
      </c>
      <c r="Q61" s="18" t="n">
        <v>2050.14</v>
      </c>
      <c r="R61" s="18" t="n">
        <v>1045.74</v>
      </c>
      <c r="S61" s="18" t="n">
        <v>621.9299999999999</v>
      </c>
      <c r="T61" s="18" t="n">
        <v>-359.03</v>
      </c>
      <c r="U61" s="37" t="n">
        <v>3358.78</v>
      </c>
      <c r="V61" s="18" t="n">
        <v>687.99</v>
      </c>
      <c r="W61" s="18" t="n">
        <v>2294.54</v>
      </c>
      <c r="X61" s="18" t="n">
        <v>1654.37</v>
      </c>
      <c r="Y61" s="18" t="n">
        <v>1982.51</v>
      </c>
      <c r="Z61" s="37" t="n">
        <v>6619.41</v>
      </c>
      <c r="AA61" s="18" t="n">
        <v>2798.64</v>
      </c>
      <c r="AB61" s="19" t="n">
        <v>1552.95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1308.87</v>
      </c>
      <c r="F62" s="9" t="n"/>
      <c r="G62" s="18" t="n">
        <v>1356.16</v>
      </c>
      <c r="H62" s="18" t="n">
        <v>1086.53</v>
      </c>
      <c r="I62" s="18" t="n">
        <v>1160.55</v>
      </c>
      <c r="J62" s="18" t="n">
        <v>1059.09</v>
      </c>
      <c r="K62" s="37" t="n">
        <v>4662.33</v>
      </c>
      <c r="L62" s="18" t="n">
        <v>1205.94</v>
      </c>
      <c r="M62" s="18" t="n">
        <v>1112.67</v>
      </c>
      <c r="N62" s="18" t="n">
        <v>1290.3</v>
      </c>
      <c r="O62" s="18" t="n">
        <v>1429.78</v>
      </c>
      <c r="P62" s="37" t="n">
        <v>5038.69</v>
      </c>
      <c r="Q62" s="18" t="n">
        <v>1237.99</v>
      </c>
      <c r="R62" s="18" t="n">
        <v>1484.43</v>
      </c>
      <c r="S62" s="18" t="n">
        <v>942.1799999999999</v>
      </c>
      <c r="T62" s="18" t="n">
        <v>1455.44</v>
      </c>
      <c r="U62" s="37" t="n">
        <v>5120.04</v>
      </c>
      <c r="V62" s="18" t="n">
        <v>1146.46</v>
      </c>
      <c r="W62" s="18" t="n">
        <v>1491.42</v>
      </c>
      <c r="X62" s="18" t="n">
        <v>1538.1</v>
      </c>
      <c r="Y62" s="18" t="n">
        <v>1711.84</v>
      </c>
      <c r="Z62" s="37" t="n">
        <v>5887.82</v>
      </c>
      <c r="AA62" s="18" t="n">
        <v>1900.22</v>
      </c>
      <c r="AB62" s="19" t="n">
        <v>542.0700000000001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-2215.45</v>
      </c>
      <c r="F63" s="9" t="n"/>
      <c r="G63" s="18" t="n">
        <v>-1111.61</v>
      </c>
      <c r="H63" s="18" t="n">
        <v>-839.2</v>
      </c>
      <c r="I63" s="18" t="n">
        <v>-1107.26</v>
      </c>
      <c r="J63" s="18" t="n">
        <v>-204.57</v>
      </c>
      <c r="K63" s="37" t="n">
        <v>-3262.64</v>
      </c>
      <c r="L63" s="18" t="n">
        <v>1462.19</v>
      </c>
      <c r="M63" s="18" t="n">
        <v>1836.76</v>
      </c>
      <c r="N63" s="18" t="n">
        <v>226.67</v>
      </c>
      <c r="O63" s="18" t="n">
        <v>-116.87</v>
      </c>
      <c r="P63" s="37" t="n">
        <v>3408.75</v>
      </c>
      <c r="Q63" s="18" t="n">
        <v>812.14</v>
      </c>
      <c r="R63" s="18" t="n">
        <v>-438.7</v>
      </c>
      <c r="S63" s="18" t="n">
        <v>-320.25</v>
      </c>
      <c r="T63" s="18" t="n">
        <v>-1814.48</v>
      </c>
      <c r="U63" s="37" t="n">
        <v>-1761.29</v>
      </c>
      <c r="V63" s="18" t="n">
        <v>-458.47</v>
      </c>
      <c r="W63" s="18" t="n">
        <v>803.13</v>
      </c>
      <c r="X63" s="18" t="n">
        <v>116.27</v>
      </c>
      <c r="Y63" s="18" t="n">
        <v>270.67</v>
      </c>
      <c r="Z63" s="37" t="n">
        <v>731.6</v>
      </c>
      <c r="AA63" s="18" t="n">
        <v>898.42</v>
      </c>
      <c r="AB63" s="19" t="n">
        <v>1010.88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-375.62</v>
      </c>
      <c r="F64" s="9" t="n"/>
      <c r="G64" s="18" t="n">
        <v>51.22</v>
      </c>
      <c r="H64" s="18" t="n">
        <v>378.16</v>
      </c>
      <c r="I64" s="18" t="n">
        <v>177.27</v>
      </c>
      <c r="J64" s="18" t="n">
        <v>-23.84</v>
      </c>
      <c r="K64" s="37" t="n">
        <v>582.8099999999999</v>
      </c>
      <c r="L64" s="18" t="n">
        <v>286.7</v>
      </c>
      <c r="M64" s="18" t="n">
        <v>675.92</v>
      </c>
      <c r="N64" s="18" t="n">
        <v>30.25</v>
      </c>
      <c r="O64" s="18" t="n">
        <v>340.32</v>
      </c>
      <c r="P64" s="37" t="n">
        <v>1333.19</v>
      </c>
      <c r="Q64" s="18" t="n">
        <v>177.32</v>
      </c>
      <c r="R64" s="18" t="n">
        <v>98.58</v>
      </c>
      <c r="S64" s="18" t="n">
        <v>27.75</v>
      </c>
      <c r="T64" s="18" t="n">
        <v>176.21</v>
      </c>
      <c r="U64" s="37" t="n">
        <v>479.86</v>
      </c>
      <c r="V64" s="18" t="n">
        <v>90.86</v>
      </c>
      <c r="W64" s="18" t="n">
        <v>59.59</v>
      </c>
      <c r="X64" s="18" t="n">
        <v>78.75</v>
      </c>
      <c r="Y64" s="18" t="n">
        <v>339.32</v>
      </c>
      <c r="Z64" s="37" t="n">
        <v>568.52</v>
      </c>
      <c r="AA64" s="18" t="n">
        <v>207.51</v>
      </c>
      <c r="AB64" s="19" t="n">
        <v>89.23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4794.83</v>
      </c>
      <c r="F65" s="9" t="n"/>
      <c r="G65" s="18" t="n">
        <v>44.65</v>
      </c>
      <c r="H65" s="18" t="n">
        <v>775.8200000000001</v>
      </c>
      <c r="I65" s="18" t="n">
        <v>69.5</v>
      </c>
      <c r="J65" s="18" t="n">
        <v>871.23</v>
      </c>
      <c r="K65" s="37" t="n">
        <v>1761.2</v>
      </c>
      <c r="L65" s="18" t="n">
        <v>163.25</v>
      </c>
      <c r="M65" s="18" t="n">
        <v>748.49</v>
      </c>
      <c r="N65" s="18" t="n">
        <v>49.56</v>
      </c>
      <c r="O65" s="18" t="n">
        <v>717.52</v>
      </c>
      <c r="P65" s="37" t="n">
        <v>1678.82</v>
      </c>
      <c r="Q65" s="18" t="n">
        <v>97.26000000000001</v>
      </c>
      <c r="R65" s="18" t="n">
        <v>44.13</v>
      </c>
      <c r="S65" s="18" t="n">
        <v>-35.14</v>
      </c>
      <c r="T65" s="18" t="n">
        <v>505.04</v>
      </c>
      <c r="U65" s="37" t="n">
        <v>611.29</v>
      </c>
      <c r="V65" s="18" t="n">
        <v>52.33</v>
      </c>
      <c r="W65" s="18" t="n">
        <v>228.55</v>
      </c>
      <c r="X65" s="18" t="n">
        <v>-27.05</v>
      </c>
      <c r="Y65" s="18" t="n">
        <v>51.06</v>
      </c>
      <c r="Z65" s="37" t="n">
        <v>304.89</v>
      </c>
      <c r="AA65" s="18" t="n">
        <v>84.37</v>
      </c>
      <c r="AB65" s="19" t="n">
        <v>72.02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24.56</v>
      </c>
      <c r="F66" s="9" t="n"/>
      <c r="G66" s="18" t="n">
        <v>36.95</v>
      </c>
      <c r="H66" s="18" t="n">
        <v>31.35</v>
      </c>
      <c r="I66" s="18" t="n">
        <v>34.97</v>
      </c>
      <c r="J66" s="18" t="n">
        <v>50.97</v>
      </c>
      <c r="K66" s="37" t="n">
        <v>154.24</v>
      </c>
      <c r="L66" s="18" t="n">
        <v>17.38</v>
      </c>
      <c r="M66" s="18" t="n">
        <v>16.49</v>
      </c>
      <c r="N66" s="18" t="n">
        <v>70.15000000000001</v>
      </c>
      <c r="O66" s="18" t="n">
        <v>1114.21</v>
      </c>
      <c r="P66" s="37" t="n">
        <v>1218.23</v>
      </c>
      <c r="Q66" s="18" t="n">
        <v>5.45</v>
      </c>
      <c r="R66" s="18" t="n">
        <v>1806.08</v>
      </c>
      <c r="S66" s="18" t="n">
        <v>88.89</v>
      </c>
      <c r="T66" s="18" t="n">
        <v>-331.41</v>
      </c>
      <c r="U66" s="37" t="n">
        <v>1569.01</v>
      </c>
      <c r="V66" s="18" t="n">
        <v>166.69</v>
      </c>
      <c r="W66" s="18" t="n">
        <v>1454.21</v>
      </c>
      <c r="X66" s="18" t="n">
        <v>498.32</v>
      </c>
      <c r="Y66" s="18" t="n">
        <v>-672.92</v>
      </c>
      <c r="Z66" s="37" t="n">
        <v>1446.3</v>
      </c>
      <c r="AA66" s="18" t="n">
        <v>30.96</v>
      </c>
      <c r="AB66" s="19" t="n">
        <v>273.01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424.68</v>
      </c>
      <c r="F67" s="9" t="n"/>
      <c r="G67" s="18" t="n">
        <v>439.23</v>
      </c>
      <c r="H67" s="18" t="n">
        <v>511.24</v>
      </c>
      <c r="I67" s="18" t="n">
        <v>496.31</v>
      </c>
      <c r="J67" s="18" t="n">
        <v>578.9299999999999</v>
      </c>
      <c r="K67" s="37" t="n">
        <v>2025.71</v>
      </c>
      <c r="L67" s="18" t="n">
        <v>566.04</v>
      </c>
      <c r="M67" s="18" t="n">
        <v>575.84</v>
      </c>
      <c r="N67" s="18" t="n">
        <v>582.5</v>
      </c>
      <c r="O67" s="18" t="n">
        <v>884.67</v>
      </c>
      <c r="P67" s="37" t="n">
        <v>2609.05</v>
      </c>
      <c r="Q67" s="18" t="n">
        <v>586.62</v>
      </c>
      <c r="R67" s="18" t="n">
        <v>867.36</v>
      </c>
      <c r="S67" s="18" t="n">
        <v>537.96</v>
      </c>
      <c r="T67" s="18" t="n">
        <v>1210.25</v>
      </c>
      <c r="U67" s="37" t="n">
        <v>3202.19</v>
      </c>
      <c r="V67" s="18" t="n">
        <v>428.97</v>
      </c>
      <c r="W67" s="18" t="n">
        <v>6573.58</v>
      </c>
      <c r="X67" s="18" t="n">
        <v>816.4299999999999</v>
      </c>
      <c r="Y67" s="18" t="n">
        <v>-266.64</v>
      </c>
      <c r="Z67" s="37" t="n">
        <v>7552.34</v>
      </c>
      <c r="AA67" s="18" t="n">
        <v>514.34</v>
      </c>
      <c r="AB67" s="19" t="n">
        <v>530.0700000000001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-7480.84</v>
      </c>
      <c r="F68" s="9" t="n"/>
      <c r="G68" s="18" t="n">
        <v>-1507.32</v>
      </c>
      <c r="H68" s="18" t="n">
        <v>-1716.75</v>
      </c>
      <c r="I68" s="18" t="n">
        <v>-1460.83</v>
      </c>
      <c r="J68" s="18" t="n">
        <v>-2734.66</v>
      </c>
      <c r="K68" s="37" t="n">
        <v>-7419.56</v>
      </c>
      <c r="L68" s="18" t="n">
        <v>1036.98</v>
      </c>
      <c r="M68" s="18" t="n">
        <v>1204.84</v>
      </c>
      <c r="N68" s="18" t="n">
        <v>-304.98</v>
      </c>
      <c r="O68" s="18" t="n">
        <v>-264.53</v>
      </c>
      <c r="P68" s="37" t="n">
        <v>1672.31</v>
      </c>
      <c r="Q68" s="18" t="n">
        <v>311.02</v>
      </c>
      <c r="R68" s="18" t="n">
        <v>554.47</v>
      </c>
      <c r="S68" s="18" t="n">
        <v>-706.4400000000001</v>
      </c>
      <c r="T68" s="18" t="n">
        <v>-3684.97</v>
      </c>
      <c r="U68" s="37" t="n">
        <v>-3525.92</v>
      </c>
      <c r="V68" s="18" t="n">
        <v>-682.22</v>
      </c>
      <c r="W68" s="18" t="n">
        <v>-4485.19</v>
      </c>
      <c r="X68" s="18" t="n">
        <v>-96.04000000000001</v>
      </c>
      <c r="Y68" s="18" t="n">
        <v>152.65</v>
      </c>
      <c r="Z68" s="37" t="n">
        <v>-5110.8</v>
      </c>
      <c r="AA68" s="18" t="n">
        <v>538.17</v>
      </c>
      <c r="AB68" s="19" t="n">
        <v>771.03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-7480.84</v>
      </c>
      <c r="F69" s="9" t="n"/>
      <c r="G69" s="18" t="n">
        <v>-1507.32</v>
      </c>
      <c r="H69" s="18" t="n">
        <v>-1716.75</v>
      </c>
      <c r="I69" s="18" t="n">
        <v>-1460.83</v>
      </c>
      <c r="J69" s="18" t="n">
        <v>-2734.66</v>
      </c>
      <c r="K69" s="37" t="n">
        <v>-7419.56</v>
      </c>
      <c r="L69" s="18" t="n">
        <v>1036.98</v>
      </c>
      <c r="M69" s="18" t="n">
        <v>1204.84</v>
      </c>
      <c r="N69" s="18" t="n">
        <v>-304.98</v>
      </c>
      <c r="O69" s="18" t="n">
        <v>-264.53</v>
      </c>
      <c r="P69" s="37" t="n">
        <v>1672.31</v>
      </c>
      <c r="Q69" s="18" t="n">
        <v>311.02</v>
      </c>
      <c r="R69" s="18" t="n">
        <v>554.47</v>
      </c>
      <c r="S69" s="18" t="n">
        <v>-706.4400000000001</v>
      </c>
      <c r="T69" s="18" t="n">
        <v>-3684.97</v>
      </c>
      <c r="U69" s="37" t="n">
        <v>-3525.92</v>
      </c>
      <c r="V69" s="18" t="n">
        <v>-682.22</v>
      </c>
      <c r="W69" s="18" t="n">
        <v>-4485.19</v>
      </c>
      <c r="X69" s="18" t="n">
        <v>-96.04000000000001</v>
      </c>
      <c r="Y69" s="18" t="n">
        <v>152.65</v>
      </c>
      <c r="Z69" s="37" t="n">
        <v>-5110.8</v>
      </c>
      <c r="AA69" s="18" t="n">
        <v>538.17</v>
      </c>
      <c r="AB69" s="19" t="n">
        <v>771.03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-2879.28</v>
      </c>
      <c r="F70" s="9" t="n"/>
      <c r="G70" s="18" t="n">
        <v>-1395.54</v>
      </c>
      <c r="H70" s="18" t="n">
        <v>-1942.52</v>
      </c>
      <c r="I70" s="18" t="n">
        <v>-1467.49</v>
      </c>
      <c r="J70" s="18" t="n">
        <v>-2230.52</v>
      </c>
      <c r="K70" s="37" t="n">
        <v>-7036.07</v>
      </c>
      <c r="L70" s="18" t="n">
        <v>1032.45</v>
      </c>
      <c r="M70" s="18" t="n">
        <v>1212.21</v>
      </c>
      <c r="N70" s="18" t="n">
        <v>-306.2</v>
      </c>
      <c r="O70" s="18" t="n">
        <v>-718.27</v>
      </c>
      <c r="P70" s="37" t="n">
        <v>1220.19</v>
      </c>
      <c r="Q70" s="18" t="n">
        <v>313.35</v>
      </c>
      <c r="R70" s="18" t="n">
        <v>583.5</v>
      </c>
      <c r="S70" s="18" t="n">
        <v>-731.1900000000001</v>
      </c>
      <c r="T70" s="18" t="n">
        <v>-3873.81</v>
      </c>
      <c r="U70" s="37" t="n">
        <v>-3708.15</v>
      </c>
      <c r="V70" s="18" t="n">
        <v>-682.1</v>
      </c>
      <c r="W70" s="18" t="n">
        <v>-4459.95</v>
      </c>
      <c r="X70" s="18" t="n">
        <v>-71.3</v>
      </c>
      <c r="Y70" s="18" t="n">
        <v>24.54</v>
      </c>
      <c r="Z70" s="37" t="n">
        <v>-5188.81</v>
      </c>
      <c r="AA70" s="18" t="n">
        <v>519.26</v>
      </c>
      <c r="AB70" s="19" t="n">
        <v>757.42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-400.12</v>
      </c>
      <c r="F71" s="9" t="n"/>
      <c r="G71" s="18" t="n">
        <v>-402.28</v>
      </c>
      <c r="H71" s="18" t="n">
        <v>-479.89</v>
      </c>
      <c r="I71" s="18" t="n">
        <v>-461.34</v>
      </c>
      <c r="J71" s="18" t="n">
        <v>-527.96</v>
      </c>
      <c r="K71" s="37" t="n">
        <v>-1871.47</v>
      </c>
      <c r="L71" s="18" t="n">
        <v>-548.66</v>
      </c>
      <c r="M71" s="18" t="n">
        <v>-559.35</v>
      </c>
      <c r="N71" s="18" t="n">
        <v>-512.35</v>
      </c>
      <c r="O71" s="18" t="n">
        <v>229.54</v>
      </c>
      <c r="P71" s="37" t="n">
        <v>-1390.82</v>
      </c>
      <c r="Q71" s="18" t="n">
        <v>-581.17</v>
      </c>
      <c r="R71" s="18" t="n">
        <v>938.72</v>
      </c>
      <c r="S71" s="18" t="n">
        <v>-449.07</v>
      </c>
      <c r="T71" s="18" t="n">
        <v>-1541.66</v>
      </c>
      <c r="U71" s="37" t="n">
        <v>-1633.18</v>
      </c>
      <c r="V71" s="18" t="n">
        <v>-262.28</v>
      </c>
      <c r="W71" s="18" t="n">
        <v>-5119.37</v>
      </c>
      <c r="X71" s="18" t="n">
        <v>-318.11</v>
      </c>
      <c r="Y71" s="18" t="n">
        <v>-406.28</v>
      </c>
      <c r="Z71" s="37" t="n">
        <v>-6106.04</v>
      </c>
      <c r="AA71" s="18" t="n">
        <v>-483.38</v>
      </c>
      <c r="AB71" s="19" t="n">
        <v>-257.06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-5170.45</v>
      </c>
      <c r="F72" s="9" t="n"/>
      <c r="G72" s="18" t="n">
        <v>6.57</v>
      </c>
      <c r="H72" s="18" t="n">
        <v>-397.66</v>
      </c>
      <c r="I72" s="18" t="n">
        <v>107.77</v>
      </c>
      <c r="J72" s="18" t="n">
        <v>-895.0700000000001</v>
      </c>
      <c r="K72" s="37" t="n">
        <v>-1178.39</v>
      </c>
      <c r="L72" s="18" t="n">
        <v>123.45</v>
      </c>
      <c r="M72" s="18" t="n">
        <v>-72.56999999999999</v>
      </c>
      <c r="N72" s="18" t="n">
        <v>-19.31</v>
      </c>
      <c r="O72" s="18" t="n">
        <v>-377.2</v>
      </c>
      <c r="P72" s="37" t="n">
        <v>-345.63</v>
      </c>
      <c r="Q72" s="18" t="n">
        <v>80.06</v>
      </c>
      <c r="R72" s="18" t="n">
        <v>54.45</v>
      </c>
      <c r="S72" s="18" t="n">
        <v>62.89</v>
      </c>
      <c r="T72" s="18" t="n">
        <v>-328.83</v>
      </c>
      <c r="U72" s="37" t="n">
        <v>-131.43</v>
      </c>
      <c r="V72" s="18" t="n">
        <v>38.53</v>
      </c>
      <c r="W72" s="18" t="n">
        <v>-168.96</v>
      </c>
      <c r="X72" s="18" t="n">
        <v>105.8</v>
      </c>
      <c r="Y72" s="18" t="n">
        <v>288.26</v>
      </c>
      <c r="Z72" s="37" t="n">
        <v>263.63</v>
      </c>
      <c r="AA72" s="18" t="n">
        <v>123.14</v>
      </c>
      <c r="AB72" s="19" t="n">
        <v>17.21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-7480.84</v>
      </c>
      <c r="F73" s="9" t="n"/>
      <c r="G73" s="18" t="n">
        <v>-1507.32</v>
      </c>
      <c r="H73" s="18" t="n">
        <v>-1716.75</v>
      </c>
      <c r="I73" s="18" t="n">
        <v>-1460.83</v>
      </c>
      <c r="J73" s="18" t="n">
        <v>-2734.66</v>
      </c>
      <c r="K73" s="37" t="n">
        <v>-7419.56</v>
      </c>
      <c r="L73" s="18" t="n">
        <v>1036.98</v>
      </c>
      <c r="M73" s="18" t="n">
        <v>1204.84</v>
      </c>
      <c r="N73" s="18" t="n">
        <v>-304.98</v>
      </c>
      <c r="O73" s="18" t="n">
        <v>-264.53</v>
      </c>
      <c r="P73" s="37" t="n">
        <v>1672.31</v>
      </c>
      <c r="Q73" s="18" t="n">
        <v>311.02</v>
      </c>
      <c r="R73" s="18" t="n">
        <v>554.47</v>
      </c>
      <c r="S73" s="18" t="n">
        <v>-706.4400000000001</v>
      </c>
      <c r="T73" s="18" t="n">
        <v>-3684.97</v>
      </c>
      <c r="U73" s="37" t="n">
        <v>-3525.92</v>
      </c>
      <c r="V73" s="18" t="n">
        <v>-682.22</v>
      </c>
      <c r="W73" s="18" t="n">
        <v>-4485.19</v>
      </c>
      <c r="X73" s="18" t="n">
        <v>-96.04000000000001</v>
      </c>
      <c r="Y73" s="18" t="n">
        <v>152.65</v>
      </c>
      <c r="Z73" s="37" t="n">
        <v>-5110.8</v>
      </c>
      <c r="AA73" s="18" t="n">
        <v>538.17</v>
      </c>
      <c r="AB73" s="19" t="n">
        <v>771.03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-7480.84</v>
      </c>
      <c r="F74" s="9" t="n"/>
      <c r="G74" s="18" t="n">
        <v>-1507.32</v>
      </c>
      <c r="H74" s="18" t="n">
        <v>-1716.75</v>
      </c>
      <c r="I74" s="18" t="n">
        <v>-1460.83</v>
      </c>
      <c r="J74" s="18" t="n">
        <v>-2734.66</v>
      </c>
      <c r="K74" s="37" t="n">
        <v>-7419.56</v>
      </c>
      <c r="L74" s="18" t="n">
        <v>1036.98</v>
      </c>
      <c r="M74" s="18" t="n">
        <v>1204.84</v>
      </c>
      <c r="N74" s="18" t="n">
        <v>-304.98</v>
      </c>
      <c r="O74" s="18" t="n">
        <v>-264.53</v>
      </c>
      <c r="P74" s="37" t="n">
        <v>1672.31</v>
      </c>
      <c r="Q74" s="18" t="n">
        <v>311.02</v>
      </c>
      <c r="R74" s="18" t="n">
        <v>554.47</v>
      </c>
      <c r="S74" s="18" t="n">
        <v>-706.4400000000001</v>
      </c>
      <c r="T74" s="18" t="n">
        <v>-3684.97</v>
      </c>
      <c r="U74" s="37" t="n">
        <v>-3525.92</v>
      </c>
      <c r="V74" s="18" t="n">
        <v>-682.22</v>
      </c>
      <c r="W74" s="18" t="n">
        <v>-4485.19</v>
      </c>
      <c r="X74" s="18" t="n">
        <v>-96.04000000000001</v>
      </c>
      <c r="Y74" s="18" t="n">
        <v>152.65</v>
      </c>
      <c r="Z74" s="37" t="n">
        <v>-5110.8</v>
      </c>
      <c r="AA74" s="18" t="n">
        <v>538.17</v>
      </c>
      <c r="AB74" s="19" t="n">
        <v>771.03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7" t="n">
        <v>0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Q75" s="18" t="n">
        <v>0</v>
      </c>
      <c r="R75" s="18" t="n">
        <v>0</v>
      </c>
      <c r="S75" s="18" t="n">
        <v>0</v>
      </c>
      <c r="T75" s="18" t="n">
        <v>0</v>
      </c>
      <c r="U75" s="37" t="n">
        <v>0</v>
      </c>
      <c r="X75" s="18" t="n">
        <v>0</v>
      </c>
      <c r="Y75" s="18" t="n">
        <v>0</v>
      </c>
      <c r="Z75" s="9" t="n"/>
      <c r="AA75" s="18" t="n">
        <v>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655.23</v>
      </c>
      <c r="F76" s="9" t="n"/>
      <c r="G76" s="18" t="n">
        <v>-2423.91</v>
      </c>
      <c r="H76" s="18" t="n">
        <v>-237.42</v>
      </c>
      <c r="I76" s="18" t="n">
        <v>2008.12</v>
      </c>
      <c r="J76" s="18" t="n">
        <v>1761.05</v>
      </c>
      <c r="K76" s="37" t="n">
        <v>1107.84</v>
      </c>
      <c r="L76" s="18" t="n">
        <v>-858.89</v>
      </c>
      <c r="M76" s="18" t="n">
        <v>1425.19</v>
      </c>
      <c r="N76" s="18" t="n">
        <v>620.21</v>
      </c>
      <c r="O76" s="18" t="n">
        <v>-5743.67</v>
      </c>
      <c r="P76" s="37" t="n">
        <v>-4557.16</v>
      </c>
      <c r="Q76" s="18" t="n">
        <v>-609.55</v>
      </c>
      <c r="R76" s="18" t="n">
        <v>211.93</v>
      </c>
      <c r="S76" s="18" t="n">
        <v>-1107.45</v>
      </c>
      <c r="T76" s="18" t="n">
        <v>-471.27</v>
      </c>
      <c r="U76" s="37" t="n">
        <v>-1976.34</v>
      </c>
      <c r="V76" s="18" t="n">
        <v>-1554.8</v>
      </c>
      <c r="W76" s="18" t="n">
        <v>-1009.43</v>
      </c>
      <c r="X76" s="18" t="n">
        <v>1135.01</v>
      </c>
      <c r="Y76" s="18" t="n">
        <v>-3570.01</v>
      </c>
      <c r="Z76" s="37" t="n">
        <v>-4999.23</v>
      </c>
      <c r="AA76" s="18" t="n">
        <v>-46.25</v>
      </c>
      <c r="AB76" s="19" t="n">
        <v>6436.89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352.32</v>
      </c>
      <c r="F77" s="9" t="n"/>
      <c r="G77" s="18" t="n">
        <v>172.01</v>
      </c>
      <c r="H77" s="18" t="n">
        <v>246.52</v>
      </c>
      <c r="I77" s="18" t="n">
        <v>177.1</v>
      </c>
      <c r="J77" s="18" t="n">
        <v>243.68</v>
      </c>
      <c r="K77" s="37" t="n">
        <v>839.3099999999999</v>
      </c>
      <c r="L77" s="18" t="n">
        <v>176.17</v>
      </c>
      <c r="M77" s="18" t="n">
        <v>240.37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21.39</v>
      </c>
      <c r="F78" s="9" t="n"/>
      <c r="G78" s="18" t="n">
        <v>0</v>
      </c>
      <c r="H78" s="18" t="n">
        <v>0</v>
      </c>
      <c r="I78" s="18" t="n">
        <v>0</v>
      </c>
      <c r="K78" s="9" t="n"/>
      <c r="L78" s="18" t="n">
        <v>0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-0.67</v>
      </c>
      <c r="F79" s="9" t="n"/>
      <c r="G79" s="18" t="n">
        <v>-0.48</v>
      </c>
      <c r="H79" s="18" t="n">
        <v>5.89</v>
      </c>
      <c r="I79" s="18" t="n">
        <v>61.74</v>
      </c>
      <c r="J79" s="18" t="n">
        <v>-1.67</v>
      </c>
      <c r="K79" s="37" t="n">
        <v>65.48</v>
      </c>
      <c r="L79" s="18" t="n">
        <v>0</v>
      </c>
      <c r="M79" s="18" t="n">
        <v>1.43</v>
      </c>
      <c r="N79" s="18" t="n">
        <v>0</v>
      </c>
      <c r="O79" s="18" t="n">
        <v>-2.91</v>
      </c>
      <c r="P79" s="37" t="n">
        <v>-1.48</v>
      </c>
      <c r="Q79" s="18" t="n">
        <v>0</v>
      </c>
      <c r="R79" s="18" t="n">
        <v>1.94</v>
      </c>
      <c r="S79" s="18" t="n">
        <v>0</v>
      </c>
      <c r="T79" s="18" t="n">
        <v>-2.36</v>
      </c>
      <c r="U79" s="37" t="n">
        <v>-0.42</v>
      </c>
      <c r="V79" s="18" t="n">
        <v>0</v>
      </c>
      <c r="W79" s="18" t="n">
        <v>3</v>
      </c>
      <c r="X79" s="18" t="n">
        <v>-58.55</v>
      </c>
      <c r="Y79" s="18" t="n">
        <v>0</v>
      </c>
      <c r="Z79" s="37" t="n">
        <v>-55.55</v>
      </c>
      <c r="AA79" s="18" t="n">
        <v>-0.47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-1594</v>
      </c>
      <c r="F80" s="9" t="n"/>
      <c r="G80" s="18" t="n">
        <v>2194.48</v>
      </c>
      <c r="H80" s="18" t="n">
        <v>2157.13</v>
      </c>
      <c r="I80" s="18" t="n">
        <v>-129.18</v>
      </c>
      <c r="J80" s="18" t="n">
        <v>895.46</v>
      </c>
      <c r="K80" s="37" t="n">
        <v>5117.89</v>
      </c>
      <c r="L80" s="18" t="n">
        <v>407</v>
      </c>
      <c r="M80" s="18" t="n">
        <v>-464.12</v>
      </c>
      <c r="N80" s="18" t="n">
        <v>-257.1</v>
      </c>
      <c r="O80" s="18" t="n">
        <v>-25.2</v>
      </c>
      <c r="P80" s="37" t="n">
        <v>-339.42</v>
      </c>
      <c r="Q80" s="18" t="n">
        <v>676.4299999999999</v>
      </c>
      <c r="R80" s="18" t="n">
        <v>203.33</v>
      </c>
      <c r="S80" s="18" t="n">
        <v>3.65</v>
      </c>
      <c r="T80" s="18" t="n">
        <v>-159.42</v>
      </c>
      <c r="U80" s="37" t="n">
        <v>723.99</v>
      </c>
      <c r="V80" s="18" t="n">
        <v>-77.28</v>
      </c>
      <c r="W80" s="18" t="n">
        <v>-36.57</v>
      </c>
      <c r="X80" s="18" t="n">
        <v>72.73999999999999</v>
      </c>
      <c r="Y80" s="18" t="n">
        <v>-285.82</v>
      </c>
      <c r="Z80" s="37" t="n">
        <v>-326.93</v>
      </c>
      <c r="AA80" s="18" t="n">
        <v>-75.09</v>
      </c>
      <c r="AB80" s="19" t="n">
        <v>-187.04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G81" s="18" t="n">
        <v>0</v>
      </c>
      <c r="H81" s="18" t="n">
        <v>0</v>
      </c>
      <c r="I81" s="18" t="n">
        <v>5</v>
      </c>
      <c r="J81" s="18" t="n">
        <v>0</v>
      </c>
      <c r="K81" s="37" t="n">
        <v>5</v>
      </c>
      <c r="L81" s="18" t="n">
        <v>0</v>
      </c>
      <c r="O81" s="18" t="n">
        <v>0</v>
      </c>
      <c r="P81" s="9" t="n"/>
      <c r="Q81" s="18" t="n">
        <v>9</v>
      </c>
      <c r="R81" s="18" t="n">
        <v>3.82</v>
      </c>
      <c r="S81" s="18" t="n">
        <v>0</v>
      </c>
      <c r="T81" s="18" t="n">
        <v>0</v>
      </c>
      <c r="U81" s="37" t="n">
        <v>12.82</v>
      </c>
      <c r="V81" s="18" t="n">
        <v>12.82</v>
      </c>
      <c r="W81" s="18" t="n">
        <v>0</v>
      </c>
      <c r="X81" s="18" t="n">
        <v>0</v>
      </c>
      <c r="Z81" s="9" t="n"/>
      <c r="AA81" s="18" t="n">
        <v>25.91</v>
      </c>
      <c r="AB81" s="19" t="n">
        <v>11.16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12.93</v>
      </c>
      <c r="F82" s="9" t="n"/>
      <c r="G82" s="18" t="n">
        <v>0</v>
      </c>
      <c r="H82" s="18" t="n">
        <v>0</v>
      </c>
      <c r="I82" s="18" t="n">
        <v>90.01000000000001</v>
      </c>
      <c r="J82" s="18" t="n">
        <v>0.14</v>
      </c>
      <c r="K82" s="37" t="n">
        <v>90.15000000000001</v>
      </c>
      <c r="L82" s="18" t="n">
        <v>0</v>
      </c>
      <c r="M82" s="18" t="n">
        <v>2.4</v>
      </c>
      <c r="N82" s="18" t="n">
        <v>264.08</v>
      </c>
      <c r="P82" s="9" t="n"/>
      <c r="Q82" s="18" t="n">
        <v>32.57</v>
      </c>
      <c r="R82" s="18" t="n">
        <v>0.85</v>
      </c>
      <c r="S82" s="18" t="n">
        <v>-0.85</v>
      </c>
      <c r="T82" s="18" t="n">
        <v>0</v>
      </c>
      <c r="U82" s="37" t="n">
        <v>32.57</v>
      </c>
      <c r="V82" s="18" t="n">
        <v>95.7</v>
      </c>
      <c r="W82" s="18" t="n">
        <v>39.36</v>
      </c>
      <c r="X82" s="18" t="n">
        <v>0.66</v>
      </c>
      <c r="Y82" s="18" t="n">
        <v>289</v>
      </c>
      <c r="Z82" s="37" t="n">
        <v>424.72</v>
      </c>
      <c r="AA82" s="18" t="n">
        <v>0</v>
      </c>
      <c r="AB82" s="19" t="n">
        <v>126.2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12.93</v>
      </c>
      <c r="F83" s="9" t="n"/>
      <c r="G83" s="18" t="n">
        <v>0</v>
      </c>
      <c r="H83" s="18" t="n">
        <v>0</v>
      </c>
      <c r="I83" s="18" t="n">
        <v>90.01000000000001</v>
      </c>
      <c r="J83" s="18" t="n">
        <v>0.14</v>
      </c>
      <c r="K83" s="37" t="n">
        <v>90.15000000000001</v>
      </c>
      <c r="L83" s="18" t="n">
        <v>0</v>
      </c>
      <c r="M83" s="18" t="n">
        <v>2.4</v>
      </c>
      <c r="N83" s="18" t="n">
        <v>264.08</v>
      </c>
      <c r="P83" s="9" t="n"/>
      <c r="Q83" s="18" t="n">
        <v>32.57</v>
      </c>
      <c r="R83" s="18" t="n">
        <v>0.85</v>
      </c>
      <c r="S83" s="18" t="n">
        <v>-0.85</v>
      </c>
      <c r="T83" s="18" t="n">
        <v>0</v>
      </c>
      <c r="U83" s="37" t="n">
        <v>32.57</v>
      </c>
      <c r="V83" s="18" t="n">
        <v>95.7</v>
      </c>
      <c r="W83" s="18" t="n">
        <v>39.36</v>
      </c>
      <c r="X83" s="18" t="n">
        <v>0.66</v>
      </c>
      <c r="Y83" s="18" t="n">
        <v>289</v>
      </c>
      <c r="Z83" s="37" t="n">
        <v>424.72</v>
      </c>
      <c r="AA83" s="18" t="n">
        <v>0</v>
      </c>
      <c r="AB83" s="19" t="n">
        <v>126.2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877.46</v>
      </c>
      <c r="F84" s="9" t="n"/>
      <c r="G84" s="18" t="n">
        <v>447.12</v>
      </c>
      <c r="H84" s="18" t="n">
        <v>-1988.75</v>
      </c>
      <c r="I84" s="18" t="n">
        <v>-1482.61</v>
      </c>
      <c r="J84" s="18" t="n">
        <v>-2135.64</v>
      </c>
      <c r="K84" s="37" t="n">
        <v>-5159.88</v>
      </c>
      <c r="L84" s="18" t="n">
        <v>-602.25</v>
      </c>
      <c r="M84" s="18" t="n">
        <v>-987.12</v>
      </c>
      <c r="N84" s="18" t="n">
        <v>496.17</v>
      </c>
      <c r="O84" s="18" t="n">
        <v>8212</v>
      </c>
      <c r="P84" s="37" t="n">
        <v>7118.8</v>
      </c>
      <c r="Q84" s="18" t="n">
        <v>-3235.4</v>
      </c>
      <c r="R84" s="18" t="n">
        <v>1805.32</v>
      </c>
      <c r="S84" s="18" t="n">
        <v>145.51</v>
      </c>
      <c r="T84" s="18" t="n">
        <v>2114.14</v>
      </c>
      <c r="U84" s="37" t="n">
        <v>829.5700000000001</v>
      </c>
      <c r="V84" s="18" t="n">
        <v>410.31</v>
      </c>
      <c r="W84" s="18" t="n">
        <v>1156.96</v>
      </c>
      <c r="X84" s="18" t="n">
        <v>-278.81</v>
      </c>
      <c r="Y84" s="18" t="n">
        <v>1117.9</v>
      </c>
      <c r="Z84" s="37" t="n">
        <v>2406.36</v>
      </c>
      <c r="AA84" s="18" t="n">
        <v>1124.39</v>
      </c>
      <c r="AB84" s="19" t="n">
        <v>-717.87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차입금의증가</t>
        </is>
      </c>
      <c r="E85" s="18" t="n">
        <v>11944.36</v>
      </c>
      <c r="F85" s="9" t="n"/>
      <c r="G85" s="18" t="n">
        <v>2638.64</v>
      </c>
      <c r="H85" s="18" t="n">
        <v>3250.63</v>
      </c>
      <c r="I85" s="18" t="n">
        <v>1489.5</v>
      </c>
      <c r="J85" s="18" t="n">
        <v>9481.190000000001</v>
      </c>
      <c r="K85" s="37" t="n">
        <v>16859.96</v>
      </c>
      <c r="L85" s="18" t="n">
        <v>3297.7</v>
      </c>
      <c r="M85" s="18" t="n">
        <v>8686.879999999999</v>
      </c>
      <c r="N85" s="18" t="n">
        <v>5731.12</v>
      </c>
      <c r="P85" s="9" t="n"/>
      <c r="Q85" s="18" t="n">
        <v>3215.64</v>
      </c>
      <c r="R85" s="18" t="n">
        <v>3558.57</v>
      </c>
      <c r="T85" s="18" t="n">
        <v>6909</v>
      </c>
      <c r="U85" s="9" t="n"/>
      <c r="V85" s="18" t="n">
        <v>1445.32</v>
      </c>
      <c r="W85" s="18" t="n">
        <v>6653.04</v>
      </c>
      <c r="X85" s="18" t="n">
        <v>5826.85</v>
      </c>
      <c r="Y85" s="18" t="n">
        <v>22486.54</v>
      </c>
      <c r="Z85" s="37" t="n">
        <v>36411.75</v>
      </c>
      <c r="AA85" s="18" t="n">
        <v>5910.82</v>
      </c>
      <c r="AB85" s="19" t="n">
        <v>4978.74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11021.37</v>
      </c>
      <c r="F86" s="9" t="n"/>
      <c r="G86" s="18" t="n">
        <v>2191.52</v>
      </c>
      <c r="H86" s="18" t="n">
        <v>5165.6</v>
      </c>
      <c r="I86" s="18" t="n">
        <v>2972.11</v>
      </c>
      <c r="J86" s="18" t="n">
        <v>11568.91</v>
      </c>
      <c r="K86" s="37" t="n">
        <v>21898.14</v>
      </c>
      <c r="L86" s="18" t="n">
        <v>3899.95</v>
      </c>
      <c r="M86" s="18" t="n">
        <v>9655.799999999999</v>
      </c>
      <c r="N86" s="18" t="n">
        <v>5198.21</v>
      </c>
      <c r="P86" s="9" t="n"/>
      <c r="Q86" s="18" t="n">
        <v>6483.61</v>
      </c>
      <c r="R86" s="18" t="n">
        <v>1746.61</v>
      </c>
      <c r="T86" s="18" t="n">
        <v>4812.98</v>
      </c>
      <c r="U86" s="9" t="n"/>
      <c r="V86" s="18" t="n">
        <v>1063.56</v>
      </c>
      <c r="W86" s="18" t="n">
        <v>5456.82</v>
      </c>
      <c r="X86" s="18" t="n">
        <v>6146.13</v>
      </c>
      <c r="Y86" s="18" t="n">
        <v>21331.6</v>
      </c>
      <c r="Z86" s="37" t="n">
        <v>33998.11</v>
      </c>
      <c r="AA86" s="18" t="n">
        <v>4813.58</v>
      </c>
      <c r="AB86" s="19" t="n">
        <v>5652.99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45.54</v>
      </c>
      <c r="F87" s="9" t="n"/>
      <c r="G87" s="18" t="n">
        <v>0</v>
      </c>
      <c r="H87" s="18" t="n">
        <v>73.78</v>
      </c>
      <c r="I87" s="18" t="n">
        <v>0</v>
      </c>
      <c r="J87" s="18" t="n">
        <v>47.92</v>
      </c>
      <c r="K87" s="37" t="n">
        <v>121.7</v>
      </c>
      <c r="L87" s="18" t="n">
        <v>0</v>
      </c>
      <c r="M87" s="18" t="n">
        <v>54.94</v>
      </c>
      <c r="N87" s="18" t="n">
        <v>0</v>
      </c>
      <c r="O87" s="18" t="n">
        <v>54.81</v>
      </c>
      <c r="P87" s="37" t="n">
        <v>109.75</v>
      </c>
      <c r="S87" s="18" t="n">
        <v>0</v>
      </c>
      <c r="T87" s="18" t="n">
        <v>48.61</v>
      </c>
      <c r="U87" s="9" t="n"/>
      <c r="X87" s="18" t="n">
        <v>0</v>
      </c>
      <c r="Y87" s="18" t="n">
        <v>61.13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-61.29</v>
      </c>
      <c r="F88" s="9" t="n"/>
      <c r="G88" s="18" t="n">
        <v>215.82</v>
      </c>
      <c r="H88" s="18" t="n">
        <v>-67.86</v>
      </c>
      <c r="I88" s="18" t="n">
        <v>403.15</v>
      </c>
      <c r="J88" s="18" t="n">
        <v>511</v>
      </c>
      <c r="K88" s="37" t="n">
        <v>1062.11</v>
      </c>
      <c r="L88" s="18" t="n">
        <v>-1052.55</v>
      </c>
      <c r="M88" s="18" t="n">
        <v>-28.47</v>
      </c>
      <c r="N88" s="18" t="n">
        <v>860.12</v>
      </c>
      <c r="O88" s="18" t="n">
        <v>2443.12</v>
      </c>
      <c r="P88" s="37" t="n">
        <v>2222.22</v>
      </c>
      <c r="Q88" s="18" t="n">
        <v>-3172.18</v>
      </c>
      <c r="R88" s="18" t="n">
        <v>2220.34</v>
      </c>
      <c r="S88" s="18" t="n">
        <v>-960.62</v>
      </c>
      <c r="T88" s="18" t="n">
        <v>1484.63</v>
      </c>
      <c r="U88" s="37" t="n">
        <v>-427.83</v>
      </c>
      <c r="V88" s="18" t="n">
        <v>-1221.77</v>
      </c>
      <c r="W88" s="18" t="n">
        <v>110.97</v>
      </c>
      <c r="X88" s="18" t="n">
        <v>928.9299999999999</v>
      </c>
      <c r="Y88" s="18" t="n">
        <v>-2742.88</v>
      </c>
      <c r="Z88" s="37" t="n">
        <v>-2924.75</v>
      </c>
      <c r="AA88" s="18" t="n">
        <v>1008.01</v>
      </c>
      <c r="AB88" s="19" t="n">
        <v>5601.37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-61.29</v>
      </c>
      <c r="F89" s="9" t="n"/>
      <c r="G89" s="18" t="n">
        <v>329.76</v>
      </c>
      <c r="H89" s="18" t="n">
        <v>-67.86</v>
      </c>
      <c r="I89" s="18" t="n">
        <v>403.15</v>
      </c>
      <c r="J89" s="18" t="n">
        <v>511</v>
      </c>
      <c r="K89" s="37" t="n">
        <v>1176.05</v>
      </c>
      <c r="L89" s="18" t="n">
        <v>123.5</v>
      </c>
      <c r="M89" s="18" t="n">
        <v>-28.47</v>
      </c>
      <c r="N89" s="18" t="n">
        <v>860.12</v>
      </c>
      <c r="O89" s="18" t="n">
        <v>2443.12</v>
      </c>
      <c r="P89" s="37" t="n">
        <v>3398.27</v>
      </c>
      <c r="Q89" s="18" t="n">
        <v>226.09</v>
      </c>
      <c r="R89" s="18" t="n">
        <v>2220.34</v>
      </c>
      <c r="S89" s="18" t="n">
        <v>-960.62</v>
      </c>
      <c r="T89" s="18" t="n">
        <v>1484.63</v>
      </c>
      <c r="U89" s="37" t="n">
        <v>2970.44</v>
      </c>
      <c r="V89" s="18" t="n">
        <v>1748.68</v>
      </c>
      <c r="W89" s="18" t="n">
        <v>110.97</v>
      </c>
      <c r="X89" s="18" t="n">
        <v>928.9299999999999</v>
      </c>
      <c r="Y89" s="18" t="n">
        <v>-2742.89</v>
      </c>
      <c r="Z89" s="37" t="n">
        <v>45.69</v>
      </c>
      <c r="AA89" s="18" t="n">
        <v>1053.7</v>
      </c>
      <c r="AB89" s="19" t="n">
        <v>5601.37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18" t="n">
        <v>0</v>
      </c>
      <c r="H91" s="18" t="n">
        <v>0</v>
      </c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I92" s="18" t="n">
        <v>0</v>
      </c>
      <c r="J92" s="18" t="n">
        <v>0</v>
      </c>
      <c r="K92" s="9" t="n"/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25.21</v>
      </c>
      <c r="P93" s="9" t="n"/>
      <c r="Q93" s="18" t="n">
        <v>2.79</v>
      </c>
      <c r="R93" s="18" t="n">
        <v>15.12</v>
      </c>
      <c r="S93" s="18" t="n">
        <v>2.12</v>
      </c>
      <c r="T93" s="18" t="n">
        <v>17.25</v>
      </c>
      <c r="U93" s="37" t="n">
        <v>37.28</v>
      </c>
      <c r="V93" s="18" t="n">
        <v>0.93</v>
      </c>
      <c r="W93" s="18" t="n">
        <v>7.8</v>
      </c>
      <c r="X93" s="18" t="n">
        <v>213.92</v>
      </c>
      <c r="Y93" s="18" t="n">
        <v>17.64</v>
      </c>
      <c r="Z93" s="37" t="n">
        <v>240.29</v>
      </c>
      <c r="AA93" s="18" t="n">
        <v>3.48</v>
      </c>
      <c r="AB93" s="19" t="n">
        <v>28.61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 t="n"/>
      <c r="F18" s="37" t="n"/>
      <c r="G18" s="18">
        <f>IFERROR(VLOOKUP($D18,BS연결,MATCH(G$1,BS연결H,0),0)/100,"")</f>
        <v/>
      </c>
      <c r="H18" s="18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IFERROR(AC17*변수!AC28,"")</f>
        <v/>
      </c>
      <c r="AD18" s="20">
        <f>IFERROR(AD17*변수!AD28,"")</f>
        <v/>
      </c>
      <c r="AE18" s="38">
        <f>SUM(AA18:AD18)</f>
        <v/>
      </c>
      <c r="AF18" s="20">
        <f>IFERROR(AF17*변수!AF28,"")</f>
        <v/>
      </c>
      <c r="AG18" s="20">
        <f>IFERROR(AG17*변수!AG28,"")</f>
        <v/>
      </c>
      <c r="AH18" s="20">
        <f>IFERROR(AH17*변수!AH28,"")</f>
        <v/>
      </c>
      <c r="AI18" s="20">
        <f>IFERROR(AI17*변수!AI28,"")</f>
        <v/>
      </c>
      <c r="AJ18" s="38">
        <f>SUM(AF18:AI18)</f>
        <v/>
      </c>
      <c r="AK18" s="20">
        <f>IFERROR(AK17*변수!AK28,"")</f>
        <v/>
      </c>
      <c r="AL18" s="20">
        <f>IFERROR(AL17*변수!AL28,"")</f>
        <v/>
      </c>
      <c r="AM18" s="20">
        <f>IFERROR(AM17*변수!AM28,"")</f>
        <v/>
      </c>
      <c r="AN18" s="20">
        <f>IFERROR(AN17*변수!AN28,"")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>
        <v>-11.27</v>
      </c>
      <c r="T20" s="18" t="n">
        <v>-33.51</v>
      </c>
      <c r="U20" s="37">
        <f>SUM(Q20:T20)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-49.35</v>
      </c>
      <c r="F22" s="37" t="n"/>
      <c r="G22" s="18" t="n">
        <v>-13.65</v>
      </c>
      <c r="H22" s="18" t="n">
        <v>-13.04</v>
      </c>
      <c r="I22" s="18" t="n">
        <v>-10.67</v>
      </c>
      <c r="J22" s="18" t="n">
        <v>0.73</v>
      </c>
      <c r="K22" s="37">
        <f>SUM(G22:J22)</f>
        <v/>
      </c>
      <c r="L22" s="18" t="n">
        <v>24.19</v>
      </c>
      <c r="M22" s="18" t="n">
        <v>25.46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3" t="n">
        <v>31.8310558</v>
      </c>
      <c r="F33" s="28">
        <f>E33</f>
        <v/>
      </c>
      <c r="G33" s="33" t="n">
        <v>31.8310558</v>
      </c>
      <c r="H33" s="33" t="n">
        <v>31.8310558</v>
      </c>
      <c r="I33" s="33" t="n">
        <v>31.8310558</v>
      </c>
      <c r="J33" s="33" t="n">
        <v>31.8310558</v>
      </c>
      <c r="K33" s="28">
        <f>J33</f>
        <v/>
      </c>
      <c r="L33" s="33" t="n">
        <v>31.8310558</v>
      </c>
      <c r="M33" s="33" t="n">
        <v>31.8310558</v>
      </c>
      <c r="N33" s="33" t="n">
        <v>31.8310558</v>
      </c>
      <c r="O33" s="33" t="n">
        <v>31.8310558</v>
      </c>
      <c r="P33" s="28">
        <f>O33</f>
        <v/>
      </c>
      <c r="Q33" s="33" t="n">
        <v>31.8310558</v>
      </c>
      <c r="R33" s="33" t="n">
        <v>31.8310558</v>
      </c>
      <c r="S33" s="33" t="n">
        <v>31.8310558</v>
      </c>
      <c r="T33" s="33" t="n">
        <v>31.8310558</v>
      </c>
      <c r="U33" s="28">
        <f>T33</f>
        <v/>
      </c>
      <c r="V33" s="33" t="n">
        <v>31.8310558</v>
      </c>
      <c r="W33" s="33" t="n">
        <v>35.113107</v>
      </c>
      <c r="X33" s="33" t="n">
        <v>35.9336162</v>
      </c>
      <c r="Y33" s="27" t="n">
        <v>35.93</v>
      </c>
      <c r="Z33" s="28">
        <f>Y33</f>
        <v/>
      </c>
      <c r="AA33" s="27" t="n">
        <v>35.93</v>
      </c>
      <c r="AB33" s="29" t="n">
        <v>35.93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 t="n"/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>
        <f>IFERROR(변수!AB18/(X34+Y34+AA34+AB34),"")</f>
        <v/>
      </c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145.35</v>
      </c>
      <c r="F39" s="37" t="n"/>
      <c r="G39" s="18" t="n">
        <v>125</v>
      </c>
      <c r="H39" s="18" t="n">
        <v>117.31</v>
      </c>
      <c r="I39" s="18" t="n">
        <v>127.98</v>
      </c>
      <c r="J39" s="18" t="n">
        <v>157.27</v>
      </c>
      <c r="K39" s="37">
        <f>SUM(G39:J39)</f>
        <v/>
      </c>
      <c r="L39" s="18" t="n">
        <v>197.66</v>
      </c>
      <c r="M39" s="18" t="n">
        <v>170.99</v>
      </c>
      <c r="N39" s="18" t="n">
        <v>173.03</v>
      </c>
      <c r="O39" s="18" t="n">
        <v>175.47</v>
      </c>
      <c r="P39" s="37">
        <f>SUM(L39:O39)</f>
        <v/>
      </c>
      <c r="Q39" s="18" t="n">
        <v>167.4</v>
      </c>
      <c r="R39" s="18" t="n">
        <v>140.64</v>
      </c>
      <c r="S39" s="18" t="n">
        <v>129.24</v>
      </c>
      <c r="T39" s="18" t="n">
        <v>176.7</v>
      </c>
      <c r="U39" s="37">
        <f>SUM(Q39:T39)</f>
        <v/>
      </c>
      <c r="V39" s="18" t="n">
        <v>103.29</v>
      </c>
      <c r="W39" s="18" t="n">
        <v>146.2</v>
      </c>
      <c r="X39" s="18" t="n">
        <v>171.56</v>
      </c>
      <c r="Y39" s="18" t="n">
        <v>177.73</v>
      </c>
      <c r="Z39" s="37">
        <f>SUM(V39:Y39)</f>
        <v/>
      </c>
      <c r="AA39" s="18" t="n">
        <v>212.48</v>
      </c>
      <c r="AB39" s="19" t="n">
        <v>188.86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-53.87</v>
      </c>
      <c r="F40" s="37" t="n"/>
      <c r="G40" s="18" t="n">
        <v>-16.34</v>
      </c>
      <c r="H40" s="18" t="n">
        <v>-16.04</v>
      </c>
      <c r="I40" s="18" t="n">
        <v>-13.04</v>
      </c>
      <c r="J40" s="18" t="n">
        <v>-2.01</v>
      </c>
      <c r="K40" s="37">
        <f>SUM(G40:J40)</f>
        <v/>
      </c>
      <c r="L40" s="18" t="n">
        <v>21.84</v>
      </c>
      <c r="M40" s="18" t="n">
        <v>22.68</v>
      </c>
      <c r="N40" s="18" t="n">
        <v>7.41</v>
      </c>
      <c r="O40" s="18" t="n">
        <v>4.03</v>
      </c>
      <c r="P40" s="37">
        <f>SUM(L40:O40)</f>
        <v/>
      </c>
      <c r="Q40" s="18" t="n">
        <v>9.58</v>
      </c>
      <c r="R40" s="18" t="n">
        <v>-1.53</v>
      </c>
      <c r="S40" s="18" t="n">
        <v>-5.83</v>
      </c>
      <c r="T40" s="18" t="n">
        <v>2.15</v>
      </c>
      <c r="U40" s="37">
        <f>SUM(Q40:T40)</f>
        <v/>
      </c>
      <c r="V40" s="18" t="n">
        <v>-11.67</v>
      </c>
      <c r="W40" s="18" t="n">
        <v>-3.2</v>
      </c>
      <c r="X40" s="18" t="n">
        <v>11.72</v>
      </c>
      <c r="Y40" s="18" t="n">
        <v>1.71</v>
      </c>
      <c r="Z40" s="37">
        <f>SUM(V40:Y40)</f>
        <v/>
      </c>
      <c r="AA40" s="18" t="n">
        <v>14.82</v>
      </c>
      <c r="AB40" s="19" t="n">
        <v>-1.36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-75.8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2.14</v>
      </c>
    </row>
    <row r="33">
      <c r="C33" s="2" t="inlineStr">
        <is>
          <t>roe_fwd</t>
        </is>
      </c>
      <c r="D33" t="n">
        <v>-0.08599999999999999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110.07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