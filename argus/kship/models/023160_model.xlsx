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BS연결!$C$5:$AO$90</definedName>
    <definedName name="BS별도H">BS별도!$C$1:$AO$1</definedName>
    <definedName name="BS별도">BS별도!$C$5:$AO$82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모델값 역산(implied): v / 매출액
매출액 × 판관비율 18.43%(최근 4분기 중위)</t>
      </text>
    </comment>
    <comment ref="AD22" authorId="0" shapeId="0">
      <text>
        <t>모델값 역산(implied): v / 매출액
매출액 × 판관비율 18.43%(최근 4분기 중위)</t>
      </text>
    </comment>
    <comment ref="AF22" authorId="0" shapeId="0">
      <text>
        <t>모델값 역산(implied): v / 매출액
매출액 × 판관비율 18.43%(최근 4분기 중위)</t>
      </text>
    </comment>
    <comment ref="AG22" authorId="0" shapeId="0">
      <text>
        <t>모델값 역산(implied): v / 매출액
매출액 × 판관비율 18.43%(최근 4분기 중위)</t>
      </text>
    </comment>
    <comment ref="AH22" authorId="0" shapeId="0">
      <text>
        <t>모델값 역산(implied): v / 매출액
매출액 × 판관비율 18.43%(최근 4분기 중위)</t>
      </text>
    </comment>
    <comment ref="AI22" authorId="0" shapeId="0">
      <text>
        <t>모델값 역산(implied): v / 매출액
매출액 × 판관비율 18.43%(최근 4분기 중위)</t>
      </text>
    </comment>
    <comment ref="AK22" authorId="0" shapeId="0">
      <text>
        <t>모델값 역산(implied): v / 매출액
매출액 × 판관비율 18.43%(최근 4분기 중위)</t>
      </text>
    </comment>
    <comment ref="AL22" authorId="0" shapeId="0">
      <text>
        <t>모델값 역산(implied): v / 매출액
매출액 × 판관비율 18.43%(최근 4분기 중위)</t>
      </text>
    </comment>
    <comment ref="AM22" authorId="0" shapeId="0">
      <text>
        <t>모델값 역산(implied): v / 매출액
매출액 × 판관비율 18.43%(최근 4분기 중위)</t>
      </text>
    </comment>
    <comment ref="AN22" authorId="0" shapeId="0">
      <text>
        <t>모델값 역산(implied): v / 매출액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v / 전년동기 − 1
최근 8분기 OPM 중위 12.0% 유지(클립 −20~40%)</t>
      </text>
    </comment>
    <comment ref="AD24" authorId="0" shapeId="0">
      <text>
        <t>모델값 역산(implied): v / 전년동기 − 1
최근 8분기 OPM 중위 12.0% 유지(클립 −20~40%)</t>
      </text>
    </comment>
    <comment ref="AF24" authorId="0" shapeId="0">
      <text>
        <t>모델값 역산(implied): v / 전년동기 − 1
최근 8분기 OPM 중위 12.0% 유지(클립 −20~40%)</t>
      </text>
    </comment>
    <comment ref="AG24" authorId="0" shapeId="0">
      <text>
        <t>모델값 역산(implied): v / 전년동기 − 1
최근 8분기 OPM 중위 12.0% 유지(클립 −20~40%)</t>
      </text>
    </comment>
    <comment ref="AH24" authorId="0" shapeId="0">
      <text>
        <t>모델값 역산(implied): v / 전년동기 − 1
최근 8분기 OPM 중위 12.0% 유지(클립 −20~40%)</t>
      </text>
    </comment>
    <comment ref="AI24" authorId="0" shapeId="0">
      <text>
        <t>모델값 역산(implied): v / 전년동기 − 1
최근 8분기 OPM 중위 12.0% 유지(클립 −20~40%)</t>
      </text>
    </comment>
    <comment ref="AK24" authorId="0" shapeId="0">
      <text>
        <t>모델값 역산(implied): v / 전년동기 − 1
최근 8분기 OPM 중위 12.0% 유지(클립 −20~40%)</t>
      </text>
    </comment>
    <comment ref="AL24" authorId="0" shapeId="0">
      <text>
        <t>모델값 역산(implied): v / 전년동기 − 1
최근 8분기 OPM 중위 12.0% 유지(클립 −20~40%)</t>
      </text>
    </comment>
    <comment ref="AM24" authorId="0" shapeId="0">
      <text>
        <t>모델값 역산(implied): v / 전년동기 − 1
최근 8분기 OPM 중위 12.0% 유지(클립 −20~40%)</t>
      </text>
    </comment>
    <comment ref="AN24" authorId="0" shapeId="0">
      <text>
        <t>모델값 역산(implied): v / 전년동기 − 1
최근 8분기 OPM 중위 12.0% 유지(클립 −20~40%)</t>
      </text>
    </comment>
    <comment ref="AC25" authorId="0" shapeId="0">
      <text>
        <t>모델값 역산(implied): 모델 v 그대로
이자손익 = 이자발생자산 1085억 × 3.50% − 총차입금 0억 × 0.00% (연율, CF 실측) ÷ 4; 환·평가손익 0 가정</t>
      </text>
    </comment>
    <comment ref="AD25" authorId="0" shapeId="0">
      <text>
        <t>모델값 역산(implied): 모델 v 그대로
이자손익 = 이자발생자산 1189억 × 3.50% − 총차입금 0억 × 0.00% (연율, CF 실측) ÷ 4; 환·평가손익 0 가정</t>
      </text>
    </comment>
    <comment ref="AF25" authorId="0" shapeId="0">
      <text>
        <t>모델값 역산(implied): 모델 v 그대로
이자손익 = 이자발생자산 1292억 × 3.50% − 총차입금 0억 × 0.00% (연율, CF 실측) ÷ 4; 환·평가손익 0 가정</t>
      </text>
    </comment>
    <comment ref="AG25" authorId="0" shapeId="0">
      <text>
        <t>모델값 역산(implied): 모델 v 그대로
이자손익 = 이자발생자산 1399억 × 3.50% − 총차입금 0억 × 0.00% (연율, CF 실측) ÷ 4; 환·평가손익 0 가정</t>
      </text>
    </comment>
    <comment ref="AH25" authorId="0" shapeId="0">
      <text>
        <t>모델값 역산(implied): 모델 v 그대로
이자손익 = 이자발생자산 1370억 × 3.50% − 총차입금 0억 × 0.00% (연율, CF 실측) ÷ 4; 환·평가손익 0 가정</t>
      </text>
    </comment>
    <comment ref="AI25" authorId="0" shapeId="0">
      <text>
        <t>모델값 역산(implied): 모델 v 그대로
이자손익 = 이자발생자산 1488억 × 3.50% − 총차입금 0억 × 0.00% (연율, CF 실측) ÷ 4; 환·평가손익 0 가정</t>
      </text>
    </comment>
    <comment ref="AK25" authorId="0" shapeId="0">
      <text>
        <t>모델값 역산(implied): 모델 v 그대로
이자손익 = 이자발생자산 1605억 × 3.50% − 총차입금 0억 × 0.00% (연율, CF 실측) ÷ 4; 환·평가손익 0 가정</t>
      </text>
    </comment>
    <comment ref="AL25" authorId="0" shapeId="0">
      <text>
        <t>모델값 역산(implied): 모델 v 그대로
이자손익 = 이자발생자산 1726억 × 3.50% − 총차입금 0억 × 0.00% (연율, CF 실측) ÷ 4; 환·평가손익 0 가정</t>
      </text>
    </comment>
    <comment ref="AM25" authorId="0" shapeId="0">
      <text>
        <t>모델값 역산(implied): 모델 v 그대로
이자손익 = 이자발생자산 1712억 × 3.50% − 총차입금 0억 × 0.00% (연율, CF 실측) ÷ 4; 환·평가손익 0 가정</t>
      </text>
    </comment>
    <comment ref="AN25" authorId="0" shapeId="0">
      <text>
        <t>모델값 역산(implied): 모델 v 그대로
이자손익 = 이자발생자산 1839억 × 3.50%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21.3%(최근 12분기 유효세율 21.3% → 5~27% 클립)</t>
      </text>
    </comment>
    <comment ref="AD27" authorId="0" shapeId="0">
      <text>
        <t>모델값 역산(implied): v / 세전이익
max(세전, 0) × 세율 21.3%(최근 12분기 유효세율 21.3% → 5~27% 클립)</t>
      </text>
    </comment>
    <comment ref="AF27" authorId="0" shapeId="0">
      <text>
        <t>모델값 역산(implied): v / 세전이익
max(세전, 0) × 세율 21.3%(최근 12분기 유효세율 21.3% → 5~27% 클립)</t>
      </text>
    </comment>
    <comment ref="AG27" authorId="0" shapeId="0">
      <text>
        <t>모델값 역산(implied): v / 세전이익
max(세전, 0) × 세율 21.3%(최근 12분기 유효세율 21.3% → 5~27% 클립)</t>
      </text>
    </comment>
    <comment ref="AH27" authorId="0" shapeId="0">
      <text>
        <t>모델값 역산(implied): v / 세전이익
max(세전, 0) × 세율 21.3%(최근 12분기 유효세율 21.3% → 5~27% 클립)</t>
      </text>
    </comment>
    <comment ref="AI27" authorId="0" shapeId="0">
      <text>
        <t>모델값 역산(implied): v / 세전이익
max(세전, 0) × 세율 21.3%(최근 12분기 유효세율 21.3% → 5~27% 클립)</t>
      </text>
    </comment>
    <comment ref="AK27" authorId="0" shapeId="0">
      <text>
        <t>모델값 역산(implied): v / 세전이익
max(세전, 0) × 세율 21.3%(최근 12분기 유효세율 21.3% → 5~27% 클립)</t>
      </text>
    </comment>
    <comment ref="AL27" authorId="0" shapeId="0">
      <text>
        <t>모델값 역산(implied): v / 세전이익
max(세전, 0) × 세율 21.3%(최근 12분기 유효세율 21.3% → 5~27% 클립)</t>
      </text>
    </comment>
    <comment ref="AM27" authorId="0" shapeId="0">
      <text>
        <t>모델값 역산(implied): v / 세전이익
max(세전, 0) × 세율 21.3%(최근 12분기 유효세율 21.3% → 5~27% 클립)</t>
      </text>
    </comment>
    <comment ref="AN27" authorId="0" shapeId="0">
      <text>
        <t>모델값 역산(implied): v / 세전이익
max(세전, 0) × 세율 21.3%(최근 12분기 유효세율 21.3% → 5~27% 클립)</t>
      </text>
    </comment>
    <comment ref="AC28" authorId="0" shapeId="0">
      <text>
        <t>모델값 역산(implied): v / 당기순이익
당기순이익 × (1 − 비지배 비중 7.6%, 최근 8분기 실측)</t>
      </text>
    </comment>
    <comment ref="AD28" authorId="0" shapeId="0">
      <text>
        <t>모델값 역산(implied): v / 당기순이익
당기순이익 × (1 − 비지배 비중 7.6%, 최근 8분기 실측)</t>
      </text>
    </comment>
    <comment ref="AF28" authorId="0" shapeId="0">
      <text>
        <t>모델값 역산(implied): v / 당기순이익
당기순이익 × (1 − 비지배 비중 7.6%, 최근 8분기 실측)</t>
      </text>
    </comment>
    <comment ref="AG28" authorId="0" shapeId="0">
      <text>
        <t>모델값 역산(implied): v / 당기순이익
당기순이익 × (1 − 비지배 비중 7.6%, 최근 8분기 실측)</t>
      </text>
    </comment>
    <comment ref="AH28" authorId="0" shapeId="0">
      <text>
        <t>모델값 역산(implied): v / 당기순이익
당기순이익 × (1 − 비지배 비중 7.6%, 최근 8분기 실측)</t>
      </text>
    </comment>
    <comment ref="AI28" authorId="0" shapeId="0">
      <text>
        <t>모델값 역산(implied): v / 당기순이익
당기순이익 × (1 − 비지배 비중 7.6%, 최근 8분기 실측)</t>
      </text>
    </comment>
    <comment ref="AK28" authorId="0" shapeId="0">
      <text>
        <t>모델값 역산(implied): v / 당기순이익
당기순이익 × (1 − 비지배 비중 7.6%, 최근 8분기 실측)</t>
      </text>
    </comment>
    <comment ref="AL28" authorId="0" shapeId="0">
      <text>
        <t>모델값 역산(implied): v / 당기순이익
당기순이익 × (1 − 비지배 비중 7.6%, 최근 8분기 실측)</t>
      </text>
    </comment>
    <comment ref="AM28" authorId="0" shapeId="0">
      <text>
        <t>모델값 역산(implied): v / 당기순이익
당기순이익 × (1 − 비지배 비중 7.6%, 최근 8분기 실측)</t>
      </text>
    </comment>
    <comment ref="AN28" authorId="0" shapeId="0">
      <text>
        <t>모델값 역산(implied): v / 당기순이익
당기순이익 × (1 − 비지배 비중 7.6%,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전분기 + (순이익 − 배당) — 순차입금 롤과 같은 가정</t>
      </text>
    </comment>
    <comment ref="AD32" authorId="0" shapeId="0">
      <text>
        <t>모델값 역산(implied): v / 전분기 − 1
전분기 + (순이익 − 배당) — 순차입금 롤과 같은 가정</t>
      </text>
    </comment>
    <comment ref="AF32" authorId="0" shapeId="0">
      <text>
        <t>모델값 역산(implied): v / 전분기 − 1
전분기 + (순이익 − 배당) — 순차입금 롤과 같은 가정</t>
      </text>
    </comment>
    <comment ref="AG32" authorId="0" shapeId="0">
      <text>
        <t>모델값 역산(implied): v / 전분기 − 1
전분기 + (순이익 − 배당) — 순차입금 롤과 같은 가정</t>
      </text>
    </comment>
    <comment ref="AH32" authorId="0" shapeId="0">
      <text>
        <t>모델값 역산(implied): v / 전분기 − 1
전분기 + (순이익 − 배당) — 순차입금 롤과 같은 가정</t>
      </text>
    </comment>
    <comment ref="AI32" authorId="0" shapeId="0">
      <text>
        <t>모델값 역산(implied): v / 전분기 − 1
전분기 + (순이익 − 배당) — 순차입금 롤과 같은 가정</t>
      </text>
    </comment>
    <comment ref="AK32" authorId="0" shapeId="0">
      <text>
        <t>모델값 역산(implied): v / 전분기 − 1
전분기 + (순이익 − 배당) — 순차입금 롤과 같은 가정</t>
      </text>
    </comment>
    <comment ref="AL32" authorId="0" shapeId="0">
      <text>
        <t>모델값 역산(implied): v / 전분기 − 1
전분기 + (순이익 − 배당) — 순차입금 롤과 같은 가정</t>
      </text>
    </comment>
    <comment ref="AM32" authorId="0" shapeId="0">
      <text>
        <t>모델값 역산(implied): v / 전분기 − 1
전분기 + (순이익 − 배당) — 순차입금 롤과 같은 가정</t>
      </text>
    </comment>
    <comment ref="AN32" authorId="0" shapeId="0">
      <text>
        <t>모델값 역산(implied): v / 전분기 − 1
전분기 + (순이익 − 배당)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전년동기 − 1
직전 결산 DPS 535원 유지</t>
      </text>
    </comment>
    <comment ref="AI37" authorId="0" shapeId="0">
      <text>
        <t>모델값 역산(implied): v / 전년동기 − 1
직전 결산 DPS 535원 유지</t>
      </text>
    </comment>
    <comment ref="AN37" authorId="0" shapeId="0">
      <text>
        <t>모델값 역산(implied): v / 전년동기 − 1
직전 결산 DPS 535원 유지</t>
      </text>
    </comment>
    <comment ref="AC38" authorId="0" shapeId="0">
      <text>
        <t>모델값 역산(implied): v / 전년동기 − 1
현재 종가 ÷ TTM EPS(추정 포함)</t>
      </text>
    </comment>
    <comment ref="AD38" authorId="0" shapeId="0">
      <text>
        <t>모델값 역산(implied): v / 전년동기 − 1
현재 종가 ÷ TTM EPS(추정 포함)</t>
      </text>
    </comment>
    <comment ref="AF38" authorId="0" shapeId="0">
      <text>
        <t>모델값 역산(implied): v / 전년동기 − 1
현재 종가 ÷ TTM EPS(추정 포함)</t>
      </text>
    </comment>
    <comment ref="AG38" authorId="0" shapeId="0">
      <text>
        <t>모델값 역산(implied): v / 전년동기 − 1
현재 종가 ÷ TTM EPS(추정 포함)</t>
      </text>
    </comment>
    <comment ref="AH38" authorId="0" shapeId="0">
      <text>
        <t>모델값 역산(implied): v / 전년동기 − 1
현재 종가 ÷ TTM EPS(추정 포함)</t>
      </text>
    </comment>
    <comment ref="AI38" authorId="0" shapeId="0">
      <text>
        <t>모델값 역산(implied): v / 전년동기 − 1
현재 종가 ÷ TTM EPS(추정 포함)</t>
      </text>
    </comment>
    <comment ref="AK38" authorId="0" shapeId="0">
      <text>
        <t>모델값 역산(implied): v / 전년동기 − 1
현재 종가 ÷ TTM EPS(추정 포함)</t>
      </text>
    </comment>
    <comment ref="AL38" authorId="0" shapeId="0">
      <text>
        <t>모델값 역산(implied): v / 전년동기 − 1
현재 종가 ÷ TTM EPS(추정 포함)</t>
      </text>
    </comment>
    <comment ref="AM38" authorId="0" shapeId="0">
      <text>
        <t>모델값 역산(implied): v / 전년동기 − 1
현재 종가 ÷ TTM EPS(추정 포함)</t>
      </text>
    </comment>
    <comment ref="AN38" authorId="0" shapeId="0">
      <text>
        <t>모델값 역산(implied): v / 전년동기 − 1
현재 종가 ÷ TTM EPS(추정 포함)</t>
      </text>
    </comment>
    <comment ref="AC39" authorId="0" shapeId="0">
      <text>
        <t>모델값 역산(implied): v / 전년동기 − 1
현재 종가 ÷ BPS(추정 포함)</t>
      </text>
    </comment>
    <comment ref="AD39" authorId="0" shapeId="0">
      <text>
        <t>모델값 역산(implied): v / 전년동기 − 1
현재 종가 ÷ BPS(추정 포함)</t>
      </text>
    </comment>
    <comment ref="AF39" authorId="0" shapeId="0">
      <text>
        <t>모델값 역산(implied): v / 전년동기 − 1
현재 종가 ÷ BPS(추정 포함)</t>
      </text>
    </comment>
    <comment ref="AG39" authorId="0" shapeId="0">
      <text>
        <t>모델값 역산(implied): v / 전년동기 − 1
현재 종가 ÷ BPS(추정 포함)</t>
      </text>
    </comment>
    <comment ref="AH39" authorId="0" shapeId="0">
      <text>
        <t>모델값 역산(implied): v / 전년동기 − 1
현재 종가 ÷ BPS(추정 포함)</t>
      </text>
    </comment>
    <comment ref="AI39" authorId="0" shapeId="0">
      <text>
        <t>모델값 역산(implied): v / 전년동기 − 1
현재 종가 ÷ BPS(추정 포함)</t>
      </text>
    </comment>
    <comment ref="AK39" authorId="0" shapeId="0">
      <text>
        <t>모델값 역산(implied): v / 전년동기 − 1
현재 종가 ÷ BPS(추정 포함)</t>
      </text>
    </comment>
    <comment ref="AL39" authorId="0" shapeId="0">
      <text>
        <t>모델값 역산(implied): v / 전년동기 − 1
현재 종가 ÷ BPS(추정 포함)</t>
      </text>
    </comment>
    <comment ref="AM39" authorId="0" shapeId="0">
      <text>
        <t>모델값 역산(implied): v / 전년동기 − 1
현재 종가 ÷ BPS(추정 포함)</t>
      </text>
    </comment>
    <comment ref="AN39" authorId="0" shapeId="0">
      <text>
        <t>모델값 역산(implied): v / 전년동기 − 1
현재 종가 ÷ BPS(추정 포함)</t>
      </text>
    </comment>
    <comment ref="AC40" authorId="0" shapeId="0">
      <text>
        <t>모델값 역산(implied): v / 매출액
= 매출액 추정(부문 미분리)</t>
      </text>
    </comment>
    <comment ref="AD40" authorId="0" shapeId="0">
      <text>
        <t>모델값 역산(implied): v / 매출액
= 매출액 추정(부문 미분리)</t>
      </text>
    </comment>
    <comment ref="AF40" authorId="0" shapeId="0">
      <text>
        <t>모델값 역산(implied): v / 매출액
= 매출액 추정(부문 미분리)</t>
      </text>
    </comment>
    <comment ref="AG40" authorId="0" shapeId="0">
      <text>
        <t>모델값 역산(implied): v / 매출액
= 매출액 추정(부문 미분리)</t>
      </text>
    </comment>
    <comment ref="AH40" authorId="0" shapeId="0">
      <text>
        <t>모델값 역산(implied): v / 매출액
= 매출액 추정(부문 미분리)</t>
      </text>
    </comment>
    <comment ref="AI40" authorId="0" shapeId="0">
      <text>
        <t>모델값 역산(implied): v / 매출액
= 매출액 추정(부문 미분리)</t>
      </text>
    </comment>
    <comment ref="AK40" authorId="0" shapeId="0">
      <text>
        <t>모델값 역산(implied): v / 매출액
= 매출액 추정(부문 미분리)</t>
      </text>
    </comment>
    <comment ref="AL40" authorId="0" shapeId="0">
      <text>
        <t>모델값 역산(implied): v / 매출액
= 매출액 추정(부문 미분리)</t>
      </text>
    </comment>
    <comment ref="AM40" authorId="0" shapeId="0">
      <text>
        <t>모델값 역산(implied): v / 매출액
= 매출액 추정(부문 미분리)</t>
      </text>
    </comment>
    <comment ref="AN40" authorId="0" shapeId="0">
      <text>
        <t>모델값 역산(implied): v / 매출액
= 매출액 추정(부문 미분리)</t>
      </text>
    </comment>
    <comment ref="AC41" authorId="0" shapeId="0">
      <text>
        <t>모델값 역산(implied): v / 매출전사
= 매출액 × OPM(부문 미분리)</t>
      </text>
    </comment>
    <comment ref="AD41" authorId="0" shapeId="0">
      <text>
        <t>모델값 역산(implied): v / 매출전사
= 매출액 × OPM(부문 미분리)</t>
      </text>
    </comment>
    <comment ref="AF41" authorId="0" shapeId="0">
      <text>
        <t>모델값 역산(implied): v / 매출전사
= 매출액 × OPM(부문 미분리)</t>
      </text>
    </comment>
    <comment ref="AG41" authorId="0" shapeId="0">
      <text>
        <t>모델값 역산(implied): v / 매출전사
= 매출액 × OPM(부문 미분리)</t>
      </text>
    </comment>
    <comment ref="AH41" authorId="0" shapeId="0">
      <text>
        <t>모델값 역산(implied): v / 매출전사
= 매출액 × OPM(부문 미분리)</t>
      </text>
    </comment>
    <comment ref="AI41" authorId="0" shapeId="0">
      <text>
        <t>모델값 역산(implied): v / 매출전사
= 매출액 × OPM(부문 미분리)</t>
      </text>
    </comment>
    <comment ref="AK41" authorId="0" shapeId="0">
      <text>
        <t>모델값 역산(implied): v / 매출전사
= 매출액 × OPM(부문 미분리)</t>
      </text>
    </comment>
    <comment ref="AL41" authorId="0" shapeId="0">
      <text>
        <t>모델값 역산(implied): v / 매출전사
= 매출액 × OPM(부문 미분리)</t>
      </text>
    </comment>
    <comment ref="AM41" authorId="0" shapeId="0">
      <text>
        <t>모델값 역산(implied): v / 매출전사
= 매출액 × OPM(부문 미분리)</t>
      </text>
    </comment>
    <comment ref="AN41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12.0% 유지(클립 −20~40%)
[yoy]</t>
      </text>
    </comment>
    <comment ref="AD10" authorId="0" shapeId="0">
      <text>
        <t>추정: 최근 8분기 OPM 중위 12.0% 유지(클립 −20~40%)
[yoy]</t>
      </text>
    </comment>
    <comment ref="AF10" authorId="0" shapeId="0">
      <text>
        <t>추정: 최근 8분기 OPM 중위 12.0% 유지(클립 −20~40%)
[yoy]</t>
      </text>
    </comment>
    <comment ref="AG10" authorId="0" shapeId="0">
      <text>
        <t>추정: 최근 8분기 OPM 중위 12.0% 유지(클립 −20~40%)
[yoy]</t>
      </text>
    </comment>
    <comment ref="AH10" authorId="0" shapeId="0">
      <text>
        <t>추정: 최근 8분기 OPM 중위 12.0% 유지(클립 −20~40%)
[yoy]</t>
      </text>
    </comment>
    <comment ref="AI10" authorId="0" shapeId="0">
      <text>
        <t>추정: 최근 8분기 OPM 중위 12.0% 유지(클립 −20~40%)
[yoy]</t>
      </text>
    </comment>
    <comment ref="AK10" authorId="0" shapeId="0">
      <text>
        <t>추정: 최근 8분기 OPM 중위 12.0% 유지(클립 −20~40%)
[yoy]</t>
      </text>
    </comment>
    <comment ref="AL10" authorId="0" shapeId="0">
      <text>
        <t>추정: 최근 8분기 OPM 중위 12.0% 유지(클립 −20~40%)
[yoy]</t>
      </text>
    </comment>
    <comment ref="AM10" authorId="0" shapeId="0">
      <text>
        <t>추정: 최근 8분기 OPM 중위 12.0% 유지(클립 −20~40%)
[yoy]</t>
      </text>
    </comment>
    <comment ref="AN10" authorId="0" shapeId="0">
      <text>
        <t>추정: 최근 8분기 OPM 중위 12.0% 유지(클립 −20~40%)
[yoy]</t>
      </text>
    </comment>
    <comment ref="AC11" authorId="0" shapeId="0">
      <text>
        <t>추정: 이자손익 = 이자발생자산 1085억 × 3.50% − 총차입금 0억 × 0.00% (연율, CF 실측) ÷ 4; 환·평가손익 0 가정
[abs]</t>
      </text>
    </comment>
    <comment ref="AD11" authorId="0" shapeId="0">
      <text>
        <t>추정: 이자손익 = 이자발생자산 1189억 × 3.50% − 총차입금 0억 × 0.00% (연율, CF 실측) ÷ 4; 환·평가손익 0 가정
[abs]</t>
      </text>
    </comment>
    <comment ref="AF11" authorId="0" shapeId="0">
      <text>
        <t>추정: 이자손익 = 이자발생자산 1292억 × 3.50% − 총차입금 0억 × 0.00% (연율, CF 실측) ÷ 4; 환·평가손익 0 가정
[abs]</t>
      </text>
    </comment>
    <comment ref="AG11" authorId="0" shapeId="0">
      <text>
        <t>추정: 이자손익 = 이자발생자산 1399억 × 3.50% − 총차입금 0억 × 0.00% (연율, CF 실측) ÷ 4; 환·평가손익 0 가정
[abs]</t>
      </text>
    </comment>
    <comment ref="AH11" authorId="0" shapeId="0">
      <text>
        <t>추정: 이자손익 = 이자발생자산 1370억 × 3.50% − 총차입금 0억 × 0.00% (연율, CF 실측) ÷ 4; 환·평가손익 0 가정
[abs]</t>
      </text>
    </comment>
    <comment ref="AI11" authorId="0" shapeId="0">
      <text>
        <t>추정: 이자손익 = 이자발생자산 1488억 × 3.50% − 총차입금 0억 × 0.00% (연율, CF 실측) ÷ 4; 환·평가손익 0 가정
[abs]</t>
      </text>
    </comment>
    <comment ref="AK11" authorId="0" shapeId="0">
      <text>
        <t>추정: 이자손익 = 이자발생자산 1605억 × 3.50% − 총차입금 0억 × 0.00% (연율, CF 실측) ÷ 4; 환·평가손익 0 가정
[abs]</t>
      </text>
    </comment>
    <comment ref="AL11" authorId="0" shapeId="0">
      <text>
        <t>추정: 이자손익 = 이자발생자산 1726억 × 3.50% − 총차입금 0억 × 0.00% (연율, CF 실측) ÷ 4; 환·평가손익 0 가정
[abs]</t>
      </text>
    </comment>
    <comment ref="AM11" authorId="0" shapeId="0">
      <text>
        <t>추정: 이자손익 = 이자발생자산 1712억 × 3.50% − 총차입금 0억 × 0.00% (연율, CF 실측) ÷ 4; 환·평가손익 0 가정
[abs]</t>
      </text>
    </comment>
    <comment ref="AN11" authorId="0" shapeId="0">
      <text>
        <t>추정: 이자손익 = 이자발생자산 1839억 × 3.50%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21.3%(최근 12분기 유효세율 21.3% → 5~27% 클립)
[ratio]</t>
      </text>
    </comment>
    <comment ref="AD14" authorId="0" shapeId="0">
      <text>
        <t>추정: max(세전, 0) × 세율 21.3%(최근 12분기 유효세율 21.3% → 5~27% 클립)
[ratio]</t>
      </text>
    </comment>
    <comment ref="AF14" authorId="0" shapeId="0">
      <text>
        <t>추정: max(세전, 0) × 세율 21.3%(최근 12분기 유효세율 21.3% → 5~27% 클립)
[ratio]</t>
      </text>
    </comment>
    <comment ref="AG14" authorId="0" shapeId="0">
      <text>
        <t>추정: max(세전, 0) × 세율 21.3%(최근 12분기 유효세율 21.3% → 5~27% 클립)
[ratio]</t>
      </text>
    </comment>
    <comment ref="AH14" authorId="0" shapeId="0">
      <text>
        <t>추정: max(세전, 0) × 세율 21.3%(최근 12분기 유효세율 21.3% → 5~27% 클립)
[ratio]</t>
      </text>
    </comment>
    <comment ref="AI14" authorId="0" shapeId="0">
      <text>
        <t>추정: max(세전, 0) × 세율 21.3%(최근 12분기 유효세율 21.3% → 5~27% 클립)
[ratio]</t>
      </text>
    </comment>
    <comment ref="AK14" authorId="0" shapeId="0">
      <text>
        <t>추정: max(세전, 0) × 세율 21.3%(최근 12분기 유효세율 21.3% → 5~27% 클립)
[ratio]</t>
      </text>
    </comment>
    <comment ref="AL14" authorId="0" shapeId="0">
      <text>
        <t>추정: max(세전, 0) × 세율 21.3%(최근 12분기 유효세율 21.3% → 5~27% 클립)
[ratio]</t>
      </text>
    </comment>
    <comment ref="AM14" authorId="0" shapeId="0">
      <text>
        <t>추정: max(세전, 0) × 세율 21.3%(최근 12분기 유효세율 21.3% → 5~27% 클립)
[ratio]</t>
      </text>
    </comment>
    <comment ref="AN14" authorId="0" shapeId="0">
      <text>
        <t>추정: max(세전, 0) × 세율 21.3%(최근 12분기 유효세율 21.3%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7.6%, 최근 8분기 실측)
[ratio]</t>
      </text>
    </comment>
    <comment ref="AD16" authorId="0" shapeId="0">
      <text>
        <t>추정: 당기순이익 × (1 − 비지배 비중 7.6%, 최근 8분기 실측)
[ratio]</t>
      </text>
    </comment>
    <comment ref="AF16" authorId="0" shapeId="0">
      <text>
        <t>추정: 당기순이익 × (1 − 비지배 비중 7.6%, 최근 8분기 실측)
[ratio]</t>
      </text>
    </comment>
    <comment ref="AG16" authorId="0" shapeId="0">
      <text>
        <t>추정: 당기순이익 × (1 − 비지배 비중 7.6%, 최근 8분기 실측)
[ratio]</t>
      </text>
    </comment>
    <comment ref="AH16" authorId="0" shapeId="0">
      <text>
        <t>추정: 당기순이익 × (1 − 비지배 비중 7.6%, 최근 8분기 실측)
[ratio]</t>
      </text>
    </comment>
    <comment ref="AI16" authorId="0" shapeId="0">
      <text>
        <t>추정: 당기순이익 × (1 − 비지배 비중 7.6%, 최근 8분기 실측)
[ratio]</t>
      </text>
    </comment>
    <comment ref="AK16" authorId="0" shapeId="0">
      <text>
        <t>추정: 당기순이익 × (1 − 비지배 비중 7.6%, 최근 8분기 실측)
[ratio]</t>
      </text>
    </comment>
    <comment ref="AL16" authorId="0" shapeId="0">
      <text>
        <t>추정: 당기순이익 × (1 − 비지배 비중 7.6%, 최근 8분기 실측)
[ratio]</t>
      </text>
    </comment>
    <comment ref="AM16" authorId="0" shapeId="0">
      <text>
        <t>추정: 당기순이익 × (1 − 비지배 비중 7.6%, 최근 8분기 실측)
[ratio]</t>
      </text>
    </comment>
    <comment ref="AN16" authorId="0" shapeId="0">
      <text>
        <t>추정: 당기순이익 × (1 − 비지배 비중 7.6%,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전분기 + (순이익 − 배당) — 순차입금 롤과 같은 가정
[qoq]</t>
      </text>
    </comment>
    <comment ref="AD21" authorId="0" shapeId="0">
      <text>
        <t>추정: 전분기 + (순이익 − 배당) — 순차입금 롤과 같은 가정
[qoq]</t>
      </text>
    </comment>
    <comment ref="AF21" authorId="0" shapeId="0">
      <text>
        <t>추정: 전분기 + (순이익 − 배당) — 순차입금 롤과 같은 가정
[qoq]</t>
      </text>
    </comment>
    <comment ref="AG21" authorId="0" shapeId="0">
      <text>
        <t>추정: 전분기 + (순이익 − 배당) — 순차입금 롤과 같은 가정
[qoq]</t>
      </text>
    </comment>
    <comment ref="AH21" authorId="0" shapeId="0">
      <text>
        <t>추정: 전분기 + (순이익 − 배당) — 순차입금 롤과 같은 가정
[qoq]</t>
      </text>
    </comment>
    <comment ref="AI21" authorId="0" shapeId="0">
      <text>
        <t>추정: 전분기 + (순이익 − 배당) — 순차입금 롤과 같은 가정
[qoq]</t>
      </text>
    </comment>
    <comment ref="AK21" authorId="0" shapeId="0">
      <text>
        <t>추정: 전분기 + (순이익 − 배당) — 순차입금 롤과 같은 가정
[qoq]</t>
      </text>
    </comment>
    <comment ref="AL21" authorId="0" shapeId="0">
      <text>
        <t>추정: 전분기 + (순이익 − 배당) — 순차입금 롤과 같은 가정
[qoq]</t>
      </text>
    </comment>
    <comment ref="AM21" authorId="0" shapeId="0">
      <text>
        <t>추정: 전분기 + (순이익 − 배당) — 순차입금 롤과 같은 가정
[qoq]</t>
      </text>
    </comment>
    <comment ref="AN21" authorId="0" shapeId="0">
      <text>
        <t>추정: 전분기 + (순이익 − 배당) — 순차입금 롤과 같은 가정
[qoq]</t>
      </text>
    </comment>
    <comment ref="E24" authorId="0" shapeId="0">
      <text>
        <t>실측(계정 매핑 없음 — 모델값 직접) — fin.cons.cf.영업활동으로인한현금흐름</t>
      </text>
    </comment>
    <comment ref="G24" authorId="0" shapeId="0">
      <text>
        <t>실측(계정 매핑 없음 — 모델값 직접) — fin.cons.cf.영업활동으로인한현금흐름</t>
      </text>
    </comment>
    <comment ref="H24" authorId="0" shapeId="0">
      <text>
        <t>실측(계정 매핑 없음 — 모델값 직접) — fin.cons.cf.영업활동으로인한현금흐름</t>
      </text>
    </comment>
    <comment ref="I24" authorId="0" shapeId="0">
      <text>
        <t>실측(계정 매핑 없음 — 모델값 직접) — fin.cons.cf.영업활동으로인한현금흐름</t>
      </text>
    </comment>
    <comment ref="J24" authorId="0" shapeId="0">
      <text>
        <t>실측(계정 매핑 없음 — 모델값 직접) — fin.cons.cf.영업활동으로인한현금흐름</t>
      </text>
    </comment>
    <comment ref="L24" authorId="0" shapeId="0">
      <text>
        <t>실측(계정 매핑 없음 — 모델값 직접) — fin.cons.cf.영업활동으로인한현금흐름</t>
      </text>
    </comment>
    <comment ref="M24" authorId="0" shapeId="0">
      <text>
        <t>실측(계정 매핑 없음 — 모델값 직접) — fin.cons.cf.영업활동으로인한현금흐름</t>
      </text>
    </comment>
    <comment ref="N24" authorId="0" shapeId="0">
      <text>
        <t>실측(계정 매핑 없음 — 모델값 직접) — fin.cons.cf.영업활동으로인한현금흐름</t>
      </text>
    </comment>
    <comment ref="O24" authorId="0" shapeId="0">
      <text>
        <t>실측(계정 매핑 없음 — 모델값 직접) — fin.cons.cf.영업활동으로인한현금흐름</t>
      </text>
    </comment>
    <comment ref="Q24" authorId="0" shapeId="0">
      <text>
        <t>실측(계정 매핑 없음 — 모델값 직접) — fin.cons.cf.영업활동으로인한현금흐름</t>
      </text>
    </comment>
    <comment ref="R24" authorId="0" shapeId="0">
      <text>
        <t>실측(계정 매핑 없음 — 모델값 직접) — fin.cons.cf.영업활동으로인한현금흐름</t>
      </text>
    </comment>
    <comment ref="S24" authorId="0" shapeId="0">
      <text>
        <t>실측(계정 매핑 없음 — 모델값 직접) — fin.cons.cf.영업활동으로인한현금흐름</t>
      </text>
    </comment>
    <comment ref="T24" authorId="0" shapeId="0">
      <text>
        <t>실측(계정 매핑 없음 — 모델값 직접) — fin.cons.cf.영업활동으로인한현금흐름</t>
      </text>
    </comment>
    <comment ref="V24" authorId="0" shapeId="0">
      <text>
        <t>실측(계정 매핑 없음 — 모델값 직접) — fin.cons.cf.영업활동으로인한현금흐름</t>
      </text>
    </comment>
    <comment ref="W24" authorId="0" shapeId="0">
      <text>
        <t>실측(계정 매핑 없음 — 모델값 직접) — fin.cons.cf.영업활동으로인한현금흐름</t>
      </text>
    </comment>
    <comment ref="X24" authorId="0" shapeId="0">
      <text>
        <t>실측(계정 매핑 없음 — 모델값 직접) — fin.cons.cf.영업활동으로인한현금흐름</t>
      </text>
    </comment>
    <comment ref="Y24" authorId="0" shapeId="0">
      <text>
        <t>실측(계정 매핑 없음 — 모델값 직접) — fin.cons.cf.영업활동으로인한현금흐름</t>
      </text>
    </comment>
    <comment ref="AA24" authorId="0" shapeId="0">
      <text>
        <t>실측(계정 매핑 없음 — 모델값 직접) — fin.cons.cf.영업활동으로인한현금흐름</t>
      </text>
    </comment>
    <comment ref="AB24" authorId="0" shapeId="0">
      <text>
        <t>실측(계정 매핑 없음 — 모델값 직접) — fin.cons.cf.영업활동으로인한현금흐름</t>
      </text>
    </comment>
    <comment ref="E25" authorId="0" shapeId="0">
      <text>
        <t>실측(계정 매핑 없음 — 모델값 직접) — fin.shares.common_outstanding</t>
      </text>
    </comment>
    <comment ref="G25" authorId="0" shapeId="0">
      <text>
        <t>실측(계정 매핑 없음 — 모델값 직접) — fin.shares.common_outstanding</t>
      </text>
    </comment>
    <comment ref="H25" authorId="0" shapeId="0">
      <text>
        <t>실측(계정 매핑 없음 — 모델값 직접) — fin.shares.common_outstanding</t>
      </text>
    </comment>
    <comment ref="I25" authorId="0" shapeId="0">
      <text>
        <t>실측(계정 매핑 없음 — 모델값 직접) — fin.shares.common_outstanding</t>
      </text>
    </comment>
    <comment ref="J25" authorId="0" shapeId="0">
      <text>
        <t>실측(계정 매핑 없음 — 모델값 직접) — fin.shares.common_outstanding</t>
      </text>
    </comment>
    <comment ref="L25" authorId="0" shapeId="0">
      <text>
        <t>실측(계정 매핑 없음 — 모델값 직접) — fin.shares.common_outstanding</t>
      </text>
    </comment>
    <comment ref="M25" authorId="0" shapeId="0">
      <text>
        <t>실측(계정 매핑 없음 — 모델값 직접) — fin.shares.common_outstanding</t>
      </text>
    </comment>
    <comment ref="N25" authorId="0" shapeId="0">
      <text>
        <t>실측(계정 매핑 없음 — 모델값 직접) — fin.shares.common_outstanding</t>
      </text>
    </comment>
    <comment ref="O25" authorId="0" shapeId="0">
      <text>
        <t>실측(계정 매핑 없음 — 모델값 직접) — fin.shares.common_outstanding</t>
      </text>
    </comment>
    <comment ref="Q25" authorId="0" shapeId="0">
      <text>
        <t>실측(계정 매핑 없음 — 모델값 직접) — fin.shares.common_outstanding</t>
      </text>
    </comment>
    <comment ref="R25" authorId="0" shapeId="0">
      <text>
        <t>실측(계정 매핑 없음 — 모델값 직접) — fin.shares.common_outstanding</t>
      </text>
    </comment>
    <comment ref="S25" authorId="0" shapeId="0">
      <text>
        <t>실측(계정 매핑 없음 — 모델값 직접) — fin.shares.common_outstanding</t>
      </text>
    </comment>
    <comment ref="T25" authorId="0" shapeId="0">
      <text>
        <t>실측(계정 매핑 없음 — 모델값 직접) — fin.shares.common_outstanding</t>
      </text>
    </comment>
    <comment ref="V25" authorId="0" shapeId="0">
      <text>
        <t>실측(계정 매핑 없음 — 모델값 직접) — fin.shares.common_outstanding</t>
      </text>
    </comment>
    <comment ref="W25" authorId="0" shapeId="0">
      <text>
        <t>실측(계정 매핑 없음 — 모델값 직접) — fin.shares.common_outstanding</t>
      </text>
    </comment>
    <comment ref="X25" authorId="0" shapeId="0">
      <text>
        <t>실측(계정 매핑 없음 — 모델값 직접) — fin.shares.common_outstanding</t>
      </text>
    </comment>
    <comment ref="Y25" authorId="0" shapeId="0">
      <text>
        <t>실측(계정 매핑 없음 — 모델값 직접) — fin.shares.common_outstanding</t>
      </text>
    </comment>
    <comment ref="AA25" authorId="0" shapeId="0">
      <text>
        <t>실측(계정 매핑 없음 — 모델값 직접) — fin.shares.common_outstanding</t>
      </text>
    </comment>
    <comment ref="AB25" authorId="0" shapeId="0">
      <text>
        <t>실측(계정 매핑 없음 — 모델값 직접) — fin.shares.common_outstanding</t>
      </text>
    </comment>
    <comment ref="AC25" authorId="0" shapeId="0">
      <text>
        <t>추정: 유통주식수 유지 — fin.shares.common_outstanding(2026Q2)
[qoq]</t>
      </text>
    </comment>
    <comment ref="AD25" authorId="0" shapeId="0">
      <text>
        <t>추정: 유통주식수 유지 — fin.shares.common_outstanding(2026Q2)
[qoq]</t>
      </text>
    </comment>
    <comment ref="AF25" authorId="0" shapeId="0">
      <text>
        <t>추정: 유통주식수 유지 — fin.shares.common_outstanding(2026Q2)
[qoq]</t>
      </text>
    </comment>
    <comment ref="AG25" authorId="0" shapeId="0">
      <text>
        <t>추정: 유통주식수 유지 — fin.shares.common_outstanding(2026Q2)
[qoq]</t>
      </text>
    </comment>
    <comment ref="AH25" authorId="0" shapeId="0">
      <text>
        <t>추정: 유통주식수 유지 — fin.shares.common_outstanding(2026Q2)
[qoq]</t>
      </text>
    </comment>
    <comment ref="AI25" authorId="0" shapeId="0">
      <text>
        <t>추정: 유통주식수 유지 — fin.shares.common_outstanding(2026Q2)
[qoq]</t>
      </text>
    </comment>
    <comment ref="AK25" authorId="0" shapeId="0">
      <text>
        <t>추정: 유통주식수 유지 — fin.shares.common_outstanding(2026Q2)
[qoq]</t>
      </text>
    </comment>
    <comment ref="AL25" authorId="0" shapeId="0">
      <text>
        <t>추정: 유통주식수 유지 — fin.shares.common_outstanding(2026Q2)
[qoq]</t>
      </text>
    </comment>
    <comment ref="AM25" authorId="0" shapeId="0">
      <text>
        <t>추정: 유통주식수 유지 — fin.shares.common_outstanding(2026Q2)
[qoq]</t>
      </text>
    </comment>
    <comment ref="AN25" authorId="0" shapeId="0">
      <text>
        <t>추정: 유통주식수 유지 — fin.shares.common_outstanding(2026Q2)
[qoq]</t>
      </text>
    </comment>
    <comment ref="AC26" authorId="0" shapeId="0">
      <text>
        <t>추정: 지배주주순이익 ÷ 유통주식수
[per_share]</t>
      </text>
    </comment>
    <comment ref="AD26" authorId="0" shapeId="0">
      <text>
        <t>추정: 지배주주순이익 ÷ 유통주식수
[per_share]</t>
      </text>
    </comment>
    <comment ref="AF26" authorId="0" shapeId="0">
      <text>
        <t>추정: 지배주주순이익 ÷ 유통주식수
[per_share]</t>
      </text>
    </comment>
    <comment ref="AG26" authorId="0" shapeId="0">
      <text>
        <t>추정: 지배주주순이익 ÷ 유통주식수
[per_share]</t>
      </text>
    </comment>
    <comment ref="AH26" authorId="0" shapeId="0">
      <text>
        <t>추정: 지배주주순이익 ÷ 유통주식수
[per_share]</t>
      </text>
    </comment>
    <comment ref="AI26" authorId="0" shapeId="0">
      <text>
        <t>추정: 지배주주순이익 ÷ 유통주식수
[per_share]</t>
      </text>
    </comment>
    <comment ref="AK26" authorId="0" shapeId="0">
      <text>
        <t>추정: 지배주주순이익 ÷ 유통주식수
[per_share]</t>
      </text>
    </comment>
    <comment ref="AL26" authorId="0" shapeId="0">
      <text>
        <t>추정: 지배주주순이익 ÷ 유통주식수
[per_share]</t>
      </text>
    </comment>
    <comment ref="AM26" authorId="0" shapeId="0">
      <text>
        <t>추정: 지배주주순이익 ÷ 유통주식수
[per_share]</t>
      </text>
    </comment>
    <comment ref="AN26" authorId="0" shapeId="0">
      <text>
        <t>추정: 지배주주순이익 ÷ 유통주식수
[per_share]</t>
      </text>
    </comment>
    <comment ref="AC27" authorId="0" shapeId="0">
      <text>
        <t>추정: 지배주주지분 ÷ 유통주식수
[per_share]</t>
      </text>
    </comment>
    <comment ref="AD27" authorId="0" shapeId="0">
      <text>
        <t>추정: 지배주주지분 ÷ 유통주식수
[per_share]</t>
      </text>
    </comment>
    <comment ref="AF27" authorId="0" shapeId="0">
      <text>
        <t>추정: 지배주주지분 ÷ 유통주식수
[per_share]</t>
      </text>
    </comment>
    <comment ref="AG27" authorId="0" shapeId="0">
      <text>
        <t>추정: 지배주주지분 ÷ 유통주식수
[per_share]</t>
      </text>
    </comment>
    <comment ref="AH27" authorId="0" shapeId="0">
      <text>
        <t>추정: 지배주주지분 ÷ 유통주식수
[per_share]</t>
      </text>
    </comment>
    <comment ref="AI27" authorId="0" shapeId="0">
      <text>
        <t>추정: 지배주주지분 ÷ 유통주식수
[per_share]</t>
      </text>
    </comment>
    <comment ref="AK27" authorId="0" shapeId="0">
      <text>
        <t>추정: 지배주주지분 ÷ 유통주식수
[per_share]</t>
      </text>
    </comment>
    <comment ref="AL27" authorId="0" shapeId="0">
      <text>
        <t>추정: 지배주주지분 ÷ 유통주식수
[per_share]</t>
      </text>
    </comment>
    <comment ref="AM27" authorId="0" shapeId="0">
      <text>
        <t>추정: 지배주주지분 ÷ 유통주식수
[per_share]</t>
      </text>
    </comment>
    <comment ref="AN27" authorId="0" shapeId="0">
      <text>
        <t>추정: 지배주주지분 ÷ 유통주식수
[per_share]</t>
      </text>
    </comment>
    <comment ref="E28" authorId="0" shapeId="0">
      <text>
        <t>실측(계정 매핑 없음 — 모델값 직접) — fin.dividend.dps_common(연간, Q4 에 표기)</t>
      </text>
    </comment>
    <comment ref="F28" authorId="0" shapeId="0">
      <text>
        <t>연간(actual) — 분기 미완 연도, 모델 a 값 직접</t>
      </text>
    </comment>
    <comment ref="J28" authorId="0" shapeId="0">
      <text>
        <t>실측(계정 매핑 없음 — 모델값 직접) — fin.dividend.dps_common(연간, Q4 에 표기)</t>
      </text>
    </comment>
    <comment ref="O28" authorId="0" shapeId="0">
      <text>
        <t>실측(계정 매핑 없음 — 모델값 직접) — fin.dividend.dps_common(연간, Q4 에 표기)</t>
      </text>
    </comment>
    <comment ref="T28" authorId="0" shapeId="0">
      <text>
        <t>실측(계정 매핑 없음 — 모델값 직접) — fin.dividend.dps_common(연간, Q4 에 표기)</t>
      </text>
    </comment>
    <comment ref="Y28" authorId="0" shapeId="0">
      <text>
        <t>실측(계정 매핑 없음 — 모델값 직접) — fin.dividend.dps_common(연간, Q4 에 표기)</t>
      </text>
    </comment>
    <comment ref="AD28" authorId="0" shapeId="0">
      <text>
        <t>추정: 직전 결산 DPS 535원 유지
[yoy]</t>
      </text>
    </comment>
    <comment ref="AI28" authorId="0" shapeId="0">
      <text>
        <t>추정: 직전 결산 DPS 535원 유지
[yoy]</t>
      </text>
    </comment>
    <comment ref="AN28" authorId="0" shapeId="0">
      <text>
        <t>추정: 직전 결산 DPS 535원 유지
[yoy]</t>
      </text>
    </comment>
    <comment ref="I29" authorId="0" shapeId="0">
      <text>
        <t>실측(계정 매핑 없음 — 모델값 직접) — 토스 일봉 분기 평균 ÷ TTM EPS</t>
      </text>
    </comment>
    <comment ref="J29" authorId="0" shapeId="0">
      <text>
        <t>실측(계정 매핑 없음 — 모델값 직접) — 토스 일봉 분기 평균 ÷ TTM EPS</t>
      </text>
    </comment>
    <comment ref="L29" authorId="0" shapeId="0">
      <text>
        <t>실측(계정 매핑 없음 — 모델값 직접) — 토스 일봉 분기 평균 ÷ TTM EPS</t>
      </text>
    </comment>
    <comment ref="M29" authorId="0" shapeId="0">
      <text>
        <t>실측(계정 매핑 없음 — 모델값 직접) — 토스 일봉 분기 평균 ÷ TTM EPS</t>
      </text>
    </comment>
    <comment ref="N29" authorId="0" shapeId="0">
      <text>
        <t>실측(계정 매핑 없음 — 모델값 직접) — 토스 일봉 분기 평균 ÷ TTM EPS</t>
      </text>
    </comment>
    <comment ref="O29" authorId="0" shapeId="0">
      <text>
        <t>실측(계정 매핑 없음 — 모델값 직접) — 토스 일봉 분기 평균 ÷ TTM EPS</t>
      </text>
    </comment>
    <comment ref="Q29" authorId="0" shapeId="0">
      <text>
        <t>실측(계정 매핑 없음 — 모델값 직접) — 토스 일봉 분기 평균 ÷ TTM EPS</t>
      </text>
    </comment>
    <comment ref="R29" authorId="0" shapeId="0">
      <text>
        <t>실측(계정 매핑 없음 — 모델값 직접) — 토스 일봉 분기 평균 ÷ TTM EPS</t>
      </text>
    </comment>
    <comment ref="S29" authorId="0" shapeId="0">
      <text>
        <t>실측(계정 매핑 없음 — 모델값 직접) — 토스 일봉 분기 평균 ÷ TTM EPS</t>
      </text>
    </comment>
    <comment ref="T29" authorId="0" shapeId="0">
      <text>
        <t>실측(계정 매핑 없음 — 모델값 직접) — 토스 일봉 분기 평균 ÷ TTM EPS</t>
      </text>
    </comment>
    <comment ref="V29" authorId="0" shapeId="0">
      <text>
        <t>실측(계정 매핑 없음 — 모델값 직접) — 토스 일봉 분기 평균 ÷ TTM EPS</t>
      </text>
    </comment>
    <comment ref="W29" authorId="0" shapeId="0">
      <text>
        <t>실측(계정 매핑 없음 — 모델값 직접) — 토스 일봉 분기 평균 ÷ TTM EPS</t>
      </text>
    </comment>
    <comment ref="X29" authorId="0" shapeId="0">
      <text>
        <t>실측(계정 매핑 없음 — 모델값 직접) — 토스 일봉 분기 평균 ÷ TTM EPS</t>
      </text>
    </comment>
    <comment ref="Y29" authorId="0" shapeId="0">
      <text>
        <t>실측(계정 매핑 없음 — 모델값 직접) — 토스 일봉 분기 평균 ÷ TTM EPS</t>
      </text>
    </comment>
    <comment ref="AA29" authorId="0" shapeId="0">
      <text>
        <t>실측(계정 매핑 없음 — 모델값 직접) — 토스 일봉 분기 평균 ÷ TTM EPS</t>
      </text>
    </comment>
    <comment ref="AB29" authorId="0" shapeId="0">
      <text>
        <t>실측(계정 매핑 없음 — 모델값 직접) — 토스 일봉 분기 평균 ÷ TTM EPS</t>
      </text>
    </comment>
    <comment ref="AC29" authorId="0" shapeId="0">
      <text>
        <t>추정: 현재 종가 ÷ TTM EPS(추정 포함)
[yoy]</t>
      </text>
    </comment>
    <comment ref="AD29" authorId="0" shapeId="0">
      <text>
        <t>추정: 현재 종가 ÷ TTM EPS(추정 포함)
[yoy]</t>
      </text>
    </comment>
    <comment ref="AF29" authorId="0" shapeId="0">
      <text>
        <t>추정: 현재 종가 ÷ TTM EPS(추정 포함)
[yoy]</t>
      </text>
    </comment>
    <comment ref="AG29" authorId="0" shapeId="0">
      <text>
        <t>추정: 현재 종가 ÷ TTM EPS(추정 포함)
[yoy]</t>
      </text>
    </comment>
    <comment ref="AH29" authorId="0" shapeId="0">
      <text>
        <t>추정: 현재 종가 ÷ TTM EPS(추정 포함)
[yoy]</t>
      </text>
    </comment>
    <comment ref="AI29" authorId="0" shapeId="0">
      <text>
        <t>추정: 현재 종가 ÷ TTM EPS(추정 포함)
[yoy]</t>
      </text>
    </comment>
    <comment ref="AK29" authorId="0" shapeId="0">
      <text>
        <t>추정: 현재 종가 ÷ TTM EPS(추정 포함)
[yoy]</t>
      </text>
    </comment>
    <comment ref="AL29" authorId="0" shapeId="0">
      <text>
        <t>추정: 현재 종가 ÷ TTM EPS(추정 포함)
[yoy]</t>
      </text>
    </comment>
    <comment ref="AM29" authorId="0" shapeId="0">
      <text>
        <t>추정: 현재 종가 ÷ TTM EPS(추정 포함)
[yoy]</t>
      </text>
    </comment>
    <comment ref="AN29" authorId="0" shapeId="0">
      <text>
        <t>추정: 현재 종가 ÷ TTM EPS(추정 포함)
[yoy]</t>
      </text>
    </comment>
    <comment ref="E30" authorId="0" shapeId="0">
      <text>
        <t>실측(계정 매핑 없음 — 모델값 직접) — 토스 일봉 분기 평균 ÷ BPS</t>
      </text>
    </comment>
    <comment ref="F30" authorId="0" shapeId="0">
      <text>
        <t>연간(actual) — 분기 미완 연도, 모델 a 값 직접</t>
      </text>
    </comment>
    <comment ref="G30" authorId="0" shapeId="0">
      <text>
        <t>실측(계정 매핑 없음 — 모델값 직접) — 토스 일봉 분기 평균 ÷ BPS</t>
      </text>
    </comment>
    <comment ref="H30" authorId="0" shapeId="0">
      <text>
        <t>실측(계정 매핑 없음 — 모델값 직접) — 토스 일봉 분기 평균 ÷ BPS</t>
      </text>
    </comment>
    <comment ref="I30" authorId="0" shapeId="0">
      <text>
        <t>실측(계정 매핑 없음 — 모델값 직접) — 토스 일봉 분기 평균 ÷ BPS</t>
      </text>
    </comment>
    <comment ref="J30" authorId="0" shapeId="0">
      <text>
        <t>실측(계정 매핑 없음 — 모델값 직접) — 토스 일봉 분기 평균 ÷ BPS</t>
      </text>
    </comment>
    <comment ref="L30" authorId="0" shapeId="0">
      <text>
        <t>실측(계정 매핑 없음 — 모델값 직접) — 토스 일봉 분기 평균 ÷ BPS</t>
      </text>
    </comment>
    <comment ref="M30" authorId="0" shapeId="0">
      <text>
        <t>실측(계정 매핑 없음 — 모델값 직접) — 토스 일봉 분기 평균 ÷ BPS</t>
      </text>
    </comment>
    <comment ref="N30" authorId="0" shapeId="0">
      <text>
        <t>실측(계정 매핑 없음 — 모델값 직접) — 토스 일봉 분기 평균 ÷ BPS</t>
      </text>
    </comment>
    <comment ref="O30" authorId="0" shapeId="0">
      <text>
        <t>실측(계정 매핑 없음 — 모델값 직접) — 토스 일봉 분기 평균 ÷ BPS</t>
      </text>
    </comment>
    <comment ref="Q30" authorId="0" shapeId="0">
      <text>
        <t>실측(계정 매핑 없음 — 모델값 직접) — 토스 일봉 분기 평균 ÷ BPS</t>
      </text>
    </comment>
    <comment ref="R30" authorId="0" shapeId="0">
      <text>
        <t>실측(계정 매핑 없음 — 모델값 직접) — 토스 일봉 분기 평균 ÷ BPS</t>
      </text>
    </comment>
    <comment ref="S30" authorId="0" shapeId="0">
      <text>
        <t>실측(계정 매핑 없음 — 모델값 직접) — 토스 일봉 분기 평균 ÷ BPS</t>
      </text>
    </comment>
    <comment ref="T30" authorId="0" shapeId="0">
      <text>
        <t>실측(계정 매핑 없음 — 모델값 직접) — 토스 일봉 분기 평균 ÷ BPS</t>
      </text>
    </comment>
    <comment ref="V30" authorId="0" shapeId="0">
      <text>
        <t>실측(계정 매핑 없음 — 모델값 직접) — 토스 일봉 분기 평균 ÷ BPS</t>
      </text>
    </comment>
    <comment ref="W30" authorId="0" shapeId="0">
      <text>
        <t>실측(계정 매핑 없음 — 모델값 직접) — 토스 일봉 분기 평균 ÷ BPS</t>
      </text>
    </comment>
    <comment ref="X30" authorId="0" shapeId="0">
      <text>
        <t>실측(계정 매핑 없음 — 모델값 직접) — 토스 일봉 분기 평균 ÷ BPS</t>
      </text>
    </comment>
    <comment ref="Y30" authorId="0" shapeId="0">
      <text>
        <t>실측(계정 매핑 없음 — 모델값 직접) — 토스 일봉 분기 평균 ÷ BPS</t>
      </text>
    </comment>
    <comment ref="AA30" authorId="0" shapeId="0">
      <text>
        <t>실측(계정 매핑 없음 — 모델값 직접) — 토스 일봉 분기 평균 ÷ BPS</t>
      </text>
    </comment>
    <comment ref="AB30" authorId="0" shapeId="0">
      <text>
        <t>실측(계정 매핑 없음 — 모델값 직접) — 토스 일봉 분기 평균 ÷ BPS</t>
      </text>
    </comment>
    <comment ref="AC30" authorId="0" shapeId="0">
      <text>
        <t>추정: 현재 종가 ÷ BPS(추정 포함)
[yoy]</t>
      </text>
    </comment>
    <comment ref="AD30" authorId="0" shapeId="0">
      <text>
        <t>추정: 현재 종가 ÷ BPS(추정 포함)
[yoy]</t>
      </text>
    </comment>
    <comment ref="AF30" authorId="0" shapeId="0">
      <text>
        <t>추정: 현재 종가 ÷ BPS(추정 포함)
[yoy]</t>
      </text>
    </comment>
    <comment ref="AG30" authorId="0" shapeId="0">
      <text>
        <t>추정: 현재 종가 ÷ BPS(추정 포함)
[yoy]</t>
      </text>
    </comment>
    <comment ref="AH30" authorId="0" shapeId="0">
      <text>
        <t>추정: 현재 종가 ÷ BPS(추정 포함)
[yoy]</t>
      </text>
    </comment>
    <comment ref="AI30" authorId="0" shapeId="0">
      <text>
        <t>추정: 현재 종가 ÷ BPS(추정 포함)
[yoy]</t>
      </text>
    </comment>
    <comment ref="AK30" authorId="0" shapeId="0">
      <text>
        <t>추정: 현재 종가 ÷ BPS(추정 포함)
[yoy]</t>
      </text>
    </comment>
    <comment ref="AL30" authorId="0" shapeId="0">
      <text>
        <t>추정: 현재 종가 ÷ BPS(추정 포함)
[yoy]</t>
      </text>
    </comment>
    <comment ref="AM30" authorId="0" shapeId="0">
      <text>
        <t>추정: 현재 종가 ÷ BPS(추정 포함)
[yoy]</t>
      </text>
    </comment>
    <comment ref="AN30" authorId="0" shapeId="0">
      <text>
        <t>추정: 현재 종가 ÷ BPS(추정 포함)
[yoy]</t>
      </text>
    </comment>
    <comment ref="E31" authorId="0" shapeId="0">
      <text>
        <t>실측(계정 매핑 없음 — 모델값 직접) — = 매출액(부문 미분리)</t>
      </text>
    </comment>
    <comment ref="G31" authorId="0" shapeId="0">
      <text>
        <t>실측(계정 매핑 없음 — 모델값 직접) — = 매출액(부문 미분리)</t>
      </text>
    </comment>
    <comment ref="H31" authorId="0" shapeId="0">
      <text>
        <t>실측(계정 매핑 없음 — 모델값 직접) — = 매출액(부문 미분리)</t>
      </text>
    </comment>
    <comment ref="I31" authorId="0" shapeId="0">
      <text>
        <t>실측(계정 매핑 없음 — 모델값 직접) — = 매출액(부문 미분리)</t>
      </text>
    </comment>
    <comment ref="J31" authorId="0" shapeId="0">
      <text>
        <t>실측(계정 매핑 없음 — 모델값 직접) — = 매출액(부문 미분리)</t>
      </text>
    </comment>
    <comment ref="L31" authorId="0" shapeId="0">
      <text>
        <t>실측(계정 매핑 없음 — 모델값 직접) — = 매출액(부문 미분리)</t>
      </text>
    </comment>
    <comment ref="M31" authorId="0" shapeId="0">
      <text>
        <t>실측(계정 매핑 없음 — 모델값 직접) — = 매출액(부문 미분리)</t>
      </text>
    </comment>
    <comment ref="N31" authorId="0" shapeId="0">
      <text>
        <t>실측(계정 매핑 없음 — 모델값 직접) — = 매출액(부문 미분리)</t>
      </text>
    </comment>
    <comment ref="O31" authorId="0" shapeId="0">
      <text>
        <t>실측(계정 매핑 없음 — 모델값 직접) — = 매출액(부문 미분리)</t>
      </text>
    </comment>
    <comment ref="Q31" authorId="0" shapeId="0">
      <text>
        <t>실측(계정 매핑 없음 — 모델값 직접) — = 매출액(부문 미분리)</t>
      </text>
    </comment>
    <comment ref="R31" authorId="0" shapeId="0">
      <text>
        <t>실측(계정 매핑 없음 — 모델값 직접) — = 매출액(부문 미분리)</t>
      </text>
    </comment>
    <comment ref="S31" authorId="0" shapeId="0">
      <text>
        <t>실측(계정 매핑 없음 — 모델값 직접) — = 매출액(부문 미분리)</t>
      </text>
    </comment>
    <comment ref="T31" authorId="0" shapeId="0">
      <text>
        <t>실측(계정 매핑 없음 — 모델값 직접) — = 매출액(부문 미분리)</t>
      </text>
    </comment>
    <comment ref="V31" authorId="0" shapeId="0">
      <text>
        <t>실측(계정 매핑 없음 — 모델값 직접) — = 매출액(부문 미분리)</t>
      </text>
    </comment>
    <comment ref="W31" authorId="0" shapeId="0">
      <text>
        <t>실측(계정 매핑 없음 — 모델값 직접) — = 매출액(부문 미분리)</t>
      </text>
    </comment>
    <comment ref="X31" authorId="0" shapeId="0">
      <text>
        <t>실측(계정 매핑 없음 — 모델값 직접) — = 매출액(부문 미분리)</t>
      </text>
    </comment>
    <comment ref="Y31" authorId="0" shapeId="0">
      <text>
        <t>실측(계정 매핑 없음 — 모델값 직접) — = 매출액(부문 미분리)</t>
      </text>
    </comment>
    <comment ref="AA31" authorId="0" shapeId="0">
      <text>
        <t>실측(계정 매핑 없음 — 모델값 직접) — = 매출액(부문 미분리)</t>
      </text>
    </comment>
    <comment ref="AB31" authorId="0" shapeId="0">
      <text>
        <t>실측(계정 매핑 없음 — 모델값 직접) — = 매출액(부문 미분리)</t>
      </text>
    </comment>
    <comment ref="AC31" authorId="0" shapeId="0">
      <text>
        <t>추정: = 매출액 추정(부문 미분리)
[ratio]</t>
      </text>
    </comment>
    <comment ref="AD31" authorId="0" shapeId="0">
      <text>
        <t>추정: = 매출액 추정(부문 미분리)
[ratio]</t>
      </text>
    </comment>
    <comment ref="AF31" authorId="0" shapeId="0">
      <text>
        <t>추정: = 매출액 추정(부문 미분리)
[ratio]</t>
      </text>
    </comment>
    <comment ref="AG31" authorId="0" shapeId="0">
      <text>
        <t>추정: = 매출액 추정(부문 미분리)
[ratio]</t>
      </text>
    </comment>
    <comment ref="AH31" authorId="0" shapeId="0">
      <text>
        <t>추정: = 매출액 추정(부문 미분리)
[ratio]</t>
      </text>
    </comment>
    <comment ref="AI31" authorId="0" shapeId="0">
      <text>
        <t>추정: = 매출액 추정(부문 미분리)
[ratio]</t>
      </text>
    </comment>
    <comment ref="AK31" authorId="0" shapeId="0">
      <text>
        <t>추정: = 매출액 추정(부문 미분리)
[ratio]</t>
      </text>
    </comment>
    <comment ref="AL31" authorId="0" shapeId="0">
      <text>
        <t>추정: = 매출액 추정(부문 미분리)
[ratio]</t>
      </text>
    </comment>
    <comment ref="AM31" authorId="0" shapeId="0">
      <text>
        <t>추정: = 매출액 추정(부문 미분리)
[ratio]</t>
      </text>
    </comment>
    <comment ref="AN31" authorId="0" shapeId="0">
      <text>
        <t>추정: = 매출액 추정(부문 미분리)
[ratio]</t>
      </text>
    </comment>
    <comment ref="E32" authorId="0" shapeId="0">
      <text>
        <t>실측(계정 매핑 없음 — 모델값 직접) — = 영업이익(부문 미분리)</t>
      </text>
    </comment>
    <comment ref="G32" authorId="0" shapeId="0">
      <text>
        <t>실측(계정 매핑 없음 — 모델값 직접) — = 영업이익(부문 미분리)</t>
      </text>
    </comment>
    <comment ref="H32" authorId="0" shapeId="0">
      <text>
        <t>실측(계정 매핑 없음 — 모델값 직접) — = 영업이익(부문 미분리)</t>
      </text>
    </comment>
    <comment ref="I32" authorId="0" shapeId="0">
      <text>
        <t>실측(계정 매핑 없음 — 모델값 직접) — = 영업이익(부문 미분리)</t>
      </text>
    </comment>
    <comment ref="J32" authorId="0" shapeId="0">
      <text>
        <t>실측(계정 매핑 없음 — 모델값 직접) — = 영업이익(부문 미분리)</t>
      </text>
    </comment>
    <comment ref="L32" authorId="0" shapeId="0">
      <text>
        <t>실측(계정 매핑 없음 — 모델값 직접) — = 영업이익(부문 미분리)</t>
      </text>
    </comment>
    <comment ref="M32" authorId="0" shapeId="0">
      <text>
        <t>실측(계정 매핑 없음 — 모델값 직접) — = 영업이익(부문 미분리)</t>
      </text>
    </comment>
    <comment ref="N32" authorId="0" shapeId="0">
      <text>
        <t>실측(계정 매핑 없음 — 모델값 직접) — = 영업이익(부문 미분리)</t>
      </text>
    </comment>
    <comment ref="O32" authorId="0" shapeId="0">
      <text>
        <t>실측(계정 매핑 없음 — 모델값 직접) — = 영업이익(부문 미분리)</t>
      </text>
    </comment>
    <comment ref="Q32" authorId="0" shapeId="0">
      <text>
        <t>실측(계정 매핑 없음 — 모델값 직접) — = 영업이익(부문 미분리)</t>
      </text>
    </comment>
    <comment ref="R32" authorId="0" shapeId="0">
      <text>
        <t>실측(계정 매핑 없음 — 모델값 직접) — = 영업이익(부문 미분리)</t>
      </text>
    </comment>
    <comment ref="S32" authorId="0" shapeId="0">
      <text>
        <t>실측(계정 매핑 없음 — 모델값 직접) — = 영업이익(부문 미분리)</t>
      </text>
    </comment>
    <comment ref="T32" authorId="0" shapeId="0">
      <text>
        <t>실측(계정 매핑 없음 — 모델값 직접) — = 영업이익(부문 미분리)</t>
      </text>
    </comment>
    <comment ref="V32" authorId="0" shapeId="0">
      <text>
        <t>실측(계정 매핑 없음 — 모델값 직접) — = 영업이익(부문 미분리)</t>
      </text>
    </comment>
    <comment ref="W32" authorId="0" shapeId="0">
      <text>
        <t>실측(계정 매핑 없음 — 모델값 직접) — = 영업이익(부문 미분리)</t>
      </text>
    </comment>
    <comment ref="X32" authorId="0" shapeId="0">
      <text>
        <t>실측(계정 매핑 없음 — 모델값 직접) — = 영업이익(부문 미분리)</t>
      </text>
    </comment>
    <comment ref="Y32" authorId="0" shapeId="0">
      <text>
        <t>실측(계정 매핑 없음 — 모델값 직접) — = 영업이익(부문 미분리)</t>
      </text>
    </comment>
    <comment ref="AA32" authorId="0" shapeId="0">
      <text>
        <t>실측(계정 매핑 없음 — 모델값 직접) — = 영업이익(부문 미분리)</t>
      </text>
    </comment>
    <comment ref="AB32" authorId="0" shapeId="0">
      <text>
        <t>실측(계정 매핑 없음 — 모델값 직접) — = 영업이익(부문 미분리)</t>
      </text>
    </comment>
    <comment ref="AC32" authorId="0" shapeId="0">
      <text>
        <t>추정: = 매출액 × OPM(부문 미분리)
[ratio]</t>
      </text>
    </comment>
    <comment ref="AD32" authorId="0" shapeId="0">
      <text>
        <t>추정: = 매출액 × OPM(부문 미분리)
[ratio]</t>
      </text>
    </comment>
    <comment ref="AF32" authorId="0" shapeId="0">
      <text>
        <t>추정: = 매출액 × OPM(부문 미분리)
[ratio]</t>
      </text>
    </comment>
    <comment ref="AG32" authorId="0" shapeId="0">
      <text>
        <t>추정: = 매출액 × OPM(부문 미분리)
[ratio]</t>
      </text>
    </comment>
    <comment ref="AH32" authorId="0" shapeId="0">
      <text>
        <t>추정: = 매출액 × OPM(부문 미분리)
[ratio]</t>
      </text>
    </comment>
    <comment ref="AI32" authorId="0" shapeId="0">
      <text>
        <t>추정: = 매출액 × OPM(부문 미분리)
[ratio]</t>
      </text>
    </comment>
    <comment ref="AK32" authorId="0" shapeId="0">
      <text>
        <t>추정: = 매출액 × OPM(부문 미분리)
[ratio]</t>
      </text>
    </comment>
    <comment ref="AL32" authorId="0" shapeId="0">
      <text>
        <t>추정: = 매출액 × OPM(부문 미분리)
[ratio]</t>
      </text>
    </comment>
    <comment ref="AM32" authorId="0" shapeId="0">
      <text>
        <t>추정: = 매출액 × OPM(부문 미분리)
[ratio]</t>
      </text>
    </comment>
    <comment ref="AN32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assets/models/023160.json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55억) → 지배NI 589억·EPS·FY2026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26.1, "op_wape_pct": 27.8,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20600</v>
      </c>
      <c r="W15" s="18" t="n">
        <v>21150</v>
      </c>
      <c r="X15" s="18" t="n">
        <v>25800</v>
      </c>
      <c r="Y15" s="18" t="n">
        <v>21700</v>
      </c>
      <c r="Z15" s="9" t="n"/>
      <c r="AA15" s="18" t="n">
        <v>35450</v>
      </c>
      <c r="AB15" s="19" t="n">
        <v>24750</v>
      </c>
      <c r="AC15" s="20" t="n">
        <v>28150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23850</v>
      </c>
      <c r="X16" s="18" t="n">
        <v>32900</v>
      </c>
      <c r="Y16" s="18" t="n">
        <v>30200</v>
      </c>
      <c r="Z16" s="9" t="n"/>
      <c r="AA16" s="18" t="n">
        <v>38650</v>
      </c>
      <c r="AB16" s="19" t="n">
        <v>56500</v>
      </c>
      <c r="AC16" s="20" t="n">
        <v>30100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</v>
      </c>
      <c r="W18" s="18" t="n">
        <v>20640.3</v>
      </c>
      <c r="X18" s="18" t="n">
        <v>23399.1</v>
      </c>
      <c r="Y18" s="18" t="n">
        <v>24900</v>
      </c>
      <c r="Z18" s="9" t="n"/>
      <c r="AA18" s="18" t="n">
        <v>28276.3</v>
      </c>
      <c r="AB18" s="19" t="n">
        <v>36821.3</v>
      </c>
      <c r="AC18" s="20" t="n">
        <v>24239.5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0.247971</v>
      </c>
      <c r="AD21" s="24" t="n">
        <v>0.247964</v>
      </c>
      <c r="AE21" s="25" t="n"/>
      <c r="AF21" s="24" t="n">
        <v>0.247969</v>
      </c>
      <c r="AG21" s="24" t="n">
        <v>0.24797</v>
      </c>
      <c r="AH21" s="24" t="n">
        <v>0.123981</v>
      </c>
      <c r="AI21" s="24" t="n">
        <v>0.123983</v>
      </c>
      <c r="AJ21" s="25" t="n"/>
      <c r="AK21" s="24" t="n">
        <v>0.123981</v>
      </c>
      <c r="AL21" s="24" t="n">
        <v>0.123976</v>
      </c>
      <c r="AM21" s="24" t="n">
        <v>0.061987</v>
      </c>
      <c r="AN21" s="24" t="n">
        <v>0.061995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0.184333</v>
      </c>
      <c r="AD22" s="24" t="n">
        <v>0.18434</v>
      </c>
      <c r="AE22" s="25">
        <f>IFERROR(subQ!AE8/subQ!AE5,"")</f>
        <v/>
      </c>
      <c r="AF22" s="24" t="n">
        <v>0.184335</v>
      </c>
      <c r="AG22" s="24" t="n">
        <v>0.184333</v>
      </c>
      <c r="AH22" s="24" t="n">
        <v>0.184333</v>
      </c>
      <c r="AI22" s="24" t="n">
        <v>0.184341</v>
      </c>
      <c r="AJ22" s="25">
        <f>IFERROR(subQ!AJ8/subQ!AJ5,"")</f>
        <v/>
      </c>
      <c r="AK22" s="24" t="n">
        <v>0.184339</v>
      </c>
      <c r="AL22" s="24" t="n">
        <v>0.184338</v>
      </c>
      <c r="AM22" s="24" t="n">
        <v>0.184334</v>
      </c>
      <c r="AN22" s="24" t="n">
        <v>0.184332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0.120458</v>
      </c>
      <c r="AD23" s="24" t="n">
        <v>0.120464</v>
      </c>
      <c r="AE23" s="25">
        <f>IFERROR(subQ!AE9/subQ!AE5,"")</f>
        <v/>
      </c>
      <c r="AF23" s="24" t="n">
        <v>0.120465</v>
      </c>
      <c r="AG23" s="24" t="n">
        <v>0.120465</v>
      </c>
      <c r="AH23" s="24" t="n">
        <v>0.120463</v>
      </c>
      <c r="AI23" s="24" t="n">
        <v>0.120461</v>
      </c>
      <c r="AJ23" s="25">
        <f>IFERROR(subQ!AJ9/subQ!AJ5,"")</f>
        <v/>
      </c>
      <c r="AK23" s="24" t="n">
        <v>0.120461</v>
      </c>
      <c r="AL23" s="24" t="n">
        <v>0.120457</v>
      </c>
      <c r="AM23" s="24" t="n">
        <v>0.120465</v>
      </c>
      <c r="AN23" s="24" t="n">
        <v>0.120459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IFERROR(subQ!J34/subQ!E34-1,"")</f>
        <v/>
      </c>
      <c r="K24" s="22" t="n"/>
      <c r="L24" s="21">
        <f>IFERROR(subQ!L34/subQ!G34-1,"")</f>
        <v/>
      </c>
      <c r="M24" s="21">
        <f>IFERROR(subQ!M34/subQ!H34-1,"")</f>
        <v/>
      </c>
      <c r="N24" s="21">
        <f>IFERROR(subQ!N34/subQ!I34-1,"")</f>
        <v/>
      </c>
      <c r="O24" s="21">
        <f>IFERROR(subQ!O34/subQ!J34-1,"")</f>
        <v/>
      </c>
      <c r="P24" s="22" t="n"/>
      <c r="Q24" s="21">
        <f>IFERROR(subQ!Q34/subQ!L34-1,"")</f>
        <v/>
      </c>
      <c r="R24" s="21">
        <f>IFERROR(subQ!R34/subQ!M34-1,"")</f>
        <v/>
      </c>
      <c r="S24" s="21">
        <f>IFERROR(subQ!S34/subQ!N34-1,"")</f>
        <v/>
      </c>
      <c r="T24" s="21">
        <f>IFERROR(subQ!T34/subQ!O34-1,"")</f>
        <v/>
      </c>
      <c r="U24" s="22" t="n"/>
      <c r="V24" s="21">
        <f>IFERROR(subQ!V34/subQ!Q34-1,"")</f>
        <v/>
      </c>
      <c r="W24" s="21">
        <f>IFERROR(subQ!W34/subQ!R34-1,"")</f>
        <v/>
      </c>
      <c r="X24" s="21">
        <f>IFERROR(subQ!X34/subQ!S34-1,"")</f>
        <v/>
      </c>
      <c r="Y24" s="21">
        <f>IFERROR(subQ!Y34/subQ!T34-1,"")</f>
        <v/>
      </c>
      <c r="Z24" s="22" t="n"/>
      <c r="AA24" s="21">
        <f>IFERROR(subQ!AA34/subQ!V34-1,"")</f>
        <v/>
      </c>
      <c r="AB24" s="23">
        <f>IFERROR(subQ!AB34/subQ!W34-1,"")</f>
        <v/>
      </c>
      <c r="AC24" s="24" t="n">
        <v>-0.152006</v>
      </c>
      <c r="AD24" s="24" t="n">
        <v>-0.197736</v>
      </c>
      <c r="AE24" s="25" t="n"/>
      <c r="AF24" s="24" t="n">
        <v>0.060739</v>
      </c>
      <c r="AG24" s="24" t="n">
        <v>0.399535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9.5</v>
      </c>
      <c r="AD25" s="29" t="n">
        <v>10.41</v>
      </c>
      <c r="AE25" s="30">
        <f>subQ!AE11</f>
        <v/>
      </c>
      <c r="AF25" s="29" t="n">
        <v>11.32</v>
      </c>
      <c r="AG25" s="29" t="n">
        <v>12.25</v>
      </c>
      <c r="AH25" s="29" t="n">
        <v>12</v>
      </c>
      <c r="AI25" s="29" t="n">
        <v>13.03</v>
      </c>
      <c r="AJ25" s="30">
        <f>subQ!AJ11</f>
        <v/>
      </c>
      <c r="AK25" s="29" t="n">
        <v>14.06</v>
      </c>
      <c r="AL25" s="29" t="n">
        <v>15.12</v>
      </c>
      <c r="AM25" s="29" t="n">
        <v>15</v>
      </c>
      <c r="AN25" s="29" t="n">
        <v>16.11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0.212509</v>
      </c>
      <c r="AD27" s="24" t="n">
        <v>0.212494</v>
      </c>
      <c r="AE27" s="25">
        <f>IFERROR(subQ!AE14/subQ!AE13,"")</f>
        <v/>
      </c>
      <c r="AF27" s="24" t="n">
        <v>0.212503</v>
      </c>
      <c r="AG27" s="24" t="n">
        <v>0.212523</v>
      </c>
      <c r="AH27" s="24" t="n">
        <v>0.212543</v>
      </c>
      <c r="AI27" s="24" t="n">
        <v>0.212505</v>
      </c>
      <c r="AJ27" s="25">
        <f>IFERROR(subQ!AJ14/subQ!AJ13,"")</f>
        <v/>
      </c>
      <c r="AK27" s="24" t="n">
        <v>0.212503</v>
      </c>
      <c r="AL27" s="24" t="n">
        <v>0.212539</v>
      </c>
      <c r="AM27" s="24" t="n">
        <v>0.21249</v>
      </c>
      <c r="AN27" s="24" t="n">
        <v>0.212517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0.923943</v>
      </c>
      <c r="AD28" s="24" t="n">
        <v>0.923953</v>
      </c>
      <c r="AE28" s="25">
        <f>IFERROR(subQ!AE16/subQ!AE15,"")</f>
        <v/>
      </c>
      <c r="AF28" s="24" t="n">
        <v>0.923909</v>
      </c>
      <c r="AG28" s="24" t="n">
        <v>0.923982</v>
      </c>
      <c r="AH28" s="24" t="n">
        <v>0.924011</v>
      </c>
      <c r="AI28" s="24" t="n">
        <v>0.924006</v>
      </c>
      <c r="AJ28" s="25">
        <f>IFERROR(subQ!AJ16/subQ!AJ15,"")</f>
        <v/>
      </c>
      <c r="AK28" s="24" t="n">
        <v>0.924015</v>
      </c>
      <c r="AL28" s="24" t="n">
        <v>0.92395</v>
      </c>
      <c r="AM28" s="24" t="n">
        <v>0.923932</v>
      </c>
      <c r="AN28" s="24" t="n">
        <v>0.924001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-3e-06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0.0064</v>
      </c>
      <c r="AD30" s="29" t="n">
        <v>0</v>
      </c>
      <c r="AE30" s="30" t="n"/>
      <c r="AF30" s="29" t="n">
        <v>0</v>
      </c>
      <c r="AG30" s="29" t="n">
        <v>137.41</v>
      </c>
      <c r="AH30" s="29" t="n">
        <v>0</v>
      </c>
      <c r="AI30" s="29" t="n">
        <v>0</v>
      </c>
      <c r="AJ30" s="30" t="n"/>
      <c r="AK30" s="29" t="n">
        <v>-0.01</v>
      </c>
      <c r="AL30" s="29" t="n">
        <v>137.42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-0.0016</v>
      </c>
      <c r="AD31" s="29" t="n">
        <v>0</v>
      </c>
      <c r="AE31" s="30" t="n"/>
      <c r="AF31" s="29" t="n">
        <v>-0</v>
      </c>
      <c r="AG31" s="29" t="n">
        <v>137.41</v>
      </c>
      <c r="AH31" s="29" t="n">
        <v>0</v>
      </c>
      <c r="AI31" s="29" t="n">
        <v>0</v>
      </c>
      <c r="AJ31" s="30" t="n"/>
      <c r="AK31" s="29" t="n">
        <v>0</v>
      </c>
      <c r="AL31" s="29" t="n">
        <v>137.41</v>
      </c>
      <c r="AM31" s="29" t="n">
        <v>-0.01</v>
      </c>
      <c r="AN31" s="29" t="n">
        <v>0.01</v>
      </c>
      <c r="AO31" s="30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0.095745</v>
      </c>
      <c r="AD32" s="24" t="n">
        <v>0.087173</v>
      </c>
      <c r="AE32" s="25" t="n"/>
      <c r="AF32" s="24" t="n">
        <v>0.082273</v>
      </c>
      <c r="AG32" s="24" t="n">
        <v>-0.020463</v>
      </c>
      <c r="AH32" s="24" t="n">
        <v>0.08597100000000001</v>
      </c>
      <c r="AI32" s="24" t="n">
        <v>0.078984</v>
      </c>
      <c r="AJ32" s="25" t="n"/>
      <c r="AK32" s="24" t="n">
        <v>0.075096</v>
      </c>
      <c r="AL32" s="24" t="n">
        <v>-0.008153000000000001</v>
      </c>
      <c r="AM32" s="24" t="n">
        <v>0.074111</v>
      </c>
      <c r="AN32" s="24" t="n">
        <v>0.068845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IFERROR(subQ!J23/subQ!E23-1,"")</f>
        <v/>
      </c>
      <c r="K34" s="22" t="n"/>
      <c r="L34" s="21">
        <f>IFERROR(subQ!L23/subQ!G23-1,"")</f>
        <v/>
      </c>
      <c r="M34" s="21">
        <f>IFERROR(subQ!M23/subQ!H23-1,"")</f>
        <v/>
      </c>
      <c r="N34" s="21">
        <f>IFERROR(subQ!N23/subQ!I23-1,"")</f>
        <v/>
      </c>
      <c r="O34" s="21">
        <f>IFERROR(subQ!O23/subQ!J23-1,"")</f>
        <v/>
      </c>
      <c r="P34" s="22" t="n"/>
      <c r="Q34" s="21">
        <f>IFERROR(subQ!Q23/subQ!L23-1,"")</f>
        <v/>
      </c>
      <c r="R34" s="21">
        <f>IFERROR(subQ!R23/subQ!M23-1,"")</f>
        <v/>
      </c>
      <c r="S34" s="21">
        <f>IFERROR(subQ!S23/subQ!N23-1,"")</f>
        <v/>
      </c>
      <c r="T34" s="21">
        <f>IFERROR(subQ!T23/subQ!O23-1,"")</f>
        <v/>
      </c>
      <c r="U34" s="22" t="n"/>
      <c r="V34" s="21">
        <f>IFERROR(subQ!V23/subQ!Q23-1,"")</f>
        <v/>
      </c>
      <c r="W34" s="21">
        <f>IFERROR(subQ!W23/subQ!R23-1,"")</f>
        <v/>
      </c>
      <c r="X34" s="21">
        <f>IFERROR(subQ!X23/subQ!S23-1,"")</f>
        <v/>
      </c>
      <c r="Y34" s="21">
        <f>IFERROR(subQ!Y23/subQ!T23-1,"")</f>
        <v/>
      </c>
      <c r="Z34" s="22" t="n"/>
      <c r="AA34" s="21">
        <f>IFERROR(subQ!AA23/subQ!V23-1,"")</f>
        <v/>
      </c>
      <c r="AB34" s="23">
        <f>IFERROR(subQ!AB23/subQ!W23-1,"")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IFERROR(subQ!J24/subQ!E24-1,"")</f>
        <v/>
      </c>
      <c r="K35" s="22" t="n"/>
      <c r="L35" s="21">
        <f>IFERROR(subQ!L24/subQ!G24-1,"")</f>
        <v/>
      </c>
      <c r="M35" s="21">
        <f>IFERROR(subQ!M24/subQ!H24-1,"")</f>
        <v/>
      </c>
      <c r="N35" s="21">
        <f>IFERROR(subQ!N24/subQ!I24-1,"")</f>
        <v/>
      </c>
      <c r="O35" s="21">
        <f>IFERROR(subQ!O24/subQ!J24-1,"")</f>
        <v/>
      </c>
      <c r="P35" s="22" t="n"/>
      <c r="Q35" s="21">
        <f>IFERROR(subQ!Q24/subQ!L24-1,"")</f>
        <v/>
      </c>
      <c r="R35" s="21">
        <f>IFERROR(subQ!R24/subQ!M24-1,"")</f>
        <v/>
      </c>
      <c r="S35" s="21">
        <f>IFERROR(subQ!S24/subQ!N24-1,"")</f>
        <v/>
      </c>
      <c r="T35" s="21">
        <f>IFERROR(subQ!T24/subQ!O24-1,"")</f>
        <v/>
      </c>
      <c r="U35" s="22" t="n"/>
      <c r="V35" s="21">
        <f>IFERROR(subQ!V24/subQ!Q24-1,"")</f>
        <v/>
      </c>
      <c r="W35" s="21">
        <f>IFERROR(subQ!W24/subQ!R24-1,"")</f>
        <v/>
      </c>
      <c r="X35" s="21">
        <f>IFERROR(subQ!X24/subQ!S24-1,"")</f>
        <v/>
      </c>
      <c r="Y35" s="21">
        <f>IFERROR(subQ!Y24/subQ!T24-1,"")</f>
        <v/>
      </c>
      <c r="Z35" s="22" t="n"/>
      <c r="AA35" s="21">
        <f>IFERROR(subQ!AA24/subQ!V24-1,"")</f>
        <v/>
      </c>
      <c r="AB35" s="23">
        <f>IFERROR(subQ!AB24/subQ!W24-1,"")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yoy</t>
        </is>
      </c>
      <c r="C37" t="inlineStr">
        <is>
          <t>DPS YoY</t>
        </is>
      </c>
      <c r="E37" s="21" t="n"/>
      <c r="F37" s="22" t="n"/>
      <c r="G37" s="21" t="n"/>
      <c r="H37" s="21" t="n"/>
      <c r="I37" s="21" t="n"/>
      <c r="J37" s="21">
        <f>IFERROR(subQ!J28/subQ!E28-1,"")</f>
        <v/>
      </c>
      <c r="K37" s="22" t="n"/>
      <c r="L37" s="21">
        <f>IFERROR(subQ!L28/subQ!G28-1,"")</f>
        <v/>
      </c>
      <c r="M37" s="21">
        <f>IFERROR(subQ!M28/subQ!H28-1,"")</f>
        <v/>
      </c>
      <c r="N37" s="21">
        <f>IFERROR(subQ!N28/subQ!I28-1,"")</f>
        <v/>
      </c>
      <c r="O37" s="21">
        <f>IFERROR(subQ!O28/subQ!J28-1,"")</f>
        <v/>
      </c>
      <c r="P37" s="22" t="n"/>
      <c r="Q37" s="21">
        <f>IFERROR(subQ!Q28/subQ!L28-1,"")</f>
        <v/>
      </c>
      <c r="R37" s="21">
        <f>IFERROR(subQ!R28/subQ!M28-1,"")</f>
        <v/>
      </c>
      <c r="S37" s="21">
        <f>IFERROR(subQ!S28/subQ!N28-1,"")</f>
        <v/>
      </c>
      <c r="T37" s="21">
        <f>IFERROR(subQ!T28/subQ!O28-1,"")</f>
        <v/>
      </c>
      <c r="U37" s="22" t="n"/>
      <c r="V37" s="21">
        <f>IFERROR(subQ!V28/subQ!Q28-1,"")</f>
        <v/>
      </c>
      <c r="W37" s="21">
        <f>IFERROR(subQ!W28/subQ!R28-1,"")</f>
        <v/>
      </c>
      <c r="X37" s="21">
        <f>IFERROR(subQ!X28/subQ!S28-1,"")</f>
        <v/>
      </c>
      <c r="Y37" s="21">
        <f>IFERROR(subQ!Y28/subQ!T28-1,"")</f>
        <v/>
      </c>
      <c r="Z37" s="22" t="n"/>
      <c r="AA37" s="21">
        <f>IFERROR(subQ!AA28/subQ!V28-1,"")</f>
        <v/>
      </c>
      <c r="AB37" s="23">
        <f>IFERROR(subQ!AB28/subQ!W28-1,"")</f>
        <v/>
      </c>
      <c r="AC37" s="31" t="n"/>
      <c r="AD37" s="24" t="n">
        <v>0</v>
      </c>
      <c r="AE37" s="25" t="n"/>
      <c r="AF37" s="31" t="n"/>
      <c r="AG37" s="31" t="n"/>
      <c r="AH37" s="31" t="n"/>
      <c r="AI37" s="24" t="n">
        <v>0</v>
      </c>
      <c r="AJ37" s="25" t="n"/>
      <c r="AK37" s="31" t="n"/>
      <c r="AL37" s="31" t="n"/>
      <c r="AM37" s="31" t="n"/>
      <c r="AN37" s="24" t="n">
        <v>0</v>
      </c>
      <c r="AO37" s="25" t="n"/>
    </row>
    <row r="38">
      <c r="A38" s="12" t="inlineStr">
        <is>
          <t>drv:PER</t>
        </is>
      </c>
      <c r="B38" s="2" t="inlineStr">
        <is>
          <t>yoy</t>
        </is>
      </c>
      <c r="C38" t="inlineStr">
        <is>
          <t>PER YoY</t>
        </is>
      </c>
      <c r="E38" s="21" t="n"/>
      <c r="F38" s="22" t="n"/>
      <c r="G38" s="21" t="n"/>
      <c r="H38" s="21" t="n"/>
      <c r="I38" s="21" t="n"/>
      <c r="J38" s="21">
        <f>IFERROR(subQ!J29/subQ!E29-1,"")</f>
        <v/>
      </c>
      <c r="K38" s="22" t="n"/>
      <c r="L38" s="21">
        <f>IFERROR(subQ!L29/subQ!G29-1,"")</f>
        <v/>
      </c>
      <c r="M38" s="21">
        <f>IFERROR(subQ!M29/subQ!H29-1,"")</f>
        <v/>
      </c>
      <c r="N38" s="21">
        <f>IFERROR(subQ!N29/subQ!I29-1,"")</f>
        <v/>
      </c>
      <c r="O38" s="21">
        <f>IFERROR(subQ!O29/subQ!J29-1,"")</f>
        <v/>
      </c>
      <c r="P38" s="22" t="n"/>
      <c r="Q38" s="21">
        <f>IFERROR(subQ!Q29/subQ!L29-1,"")</f>
        <v/>
      </c>
      <c r="R38" s="21">
        <f>IFERROR(subQ!R29/subQ!M29-1,"")</f>
        <v/>
      </c>
      <c r="S38" s="21">
        <f>IFERROR(subQ!S29/subQ!N29-1,"")</f>
        <v/>
      </c>
      <c r="T38" s="21">
        <f>IFERROR(subQ!T29/subQ!O29-1,"")</f>
        <v/>
      </c>
      <c r="U38" s="22" t="n"/>
      <c r="V38" s="21">
        <f>IFERROR(subQ!V29/subQ!Q29-1,"")</f>
        <v/>
      </c>
      <c r="W38" s="21">
        <f>IFERROR(subQ!W29/subQ!R29-1,"")</f>
        <v/>
      </c>
      <c r="X38" s="21">
        <f>IFERROR(subQ!X29/subQ!S29-1,"")</f>
        <v/>
      </c>
      <c r="Y38" s="21">
        <f>IFERROR(subQ!Y29/subQ!T29-1,"")</f>
        <v/>
      </c>
      <c r="Z38" s="22" t="n"/>
      <c r="AA38" s="21">
        <f>IFERROR(subQ!AA29/subQ!V29-1,"")</f>
        <v/>
      </c>
      <c r="AB38" s="23">
        <f>IFERROR(subQ!AB29/subQ!W29-1,"")</f>
        <v/>
      </c>
      <c r="AC38" s="24" t="n">
        <v>-0.274106</v>
      </c>
      <c r="AD38" s="24" t="n">
        <v>-0.333333</v>
      </c>
      <c r="AE38" s="25" t="n"/>
      <c r="AF38" s="24" t="n">
        <v>-0.115766</v>
      </c>
      <c r="AG38" s="24" t="n">
        <v>1.375</v>
      </c>
      <c r="AH38" s="24" t="n">
        <v>1.608955</v>
      </c>
      <c r="AI38" s="24" t="n">
        <v>1.520833</v>
      </c>
      <c r="AJ38" s="25" t="n"/>
      <c r="AK38" s="24" t="n">
        <v>1.047382</v>
      </c>
      <c r="AL38" s="24" t="n">
        <v>-0.118006</v>
      </c>
      <c r="AM38" s="24" t="n">
        <v>-0.105835</v>
      </c>
      <c r="AN38" s="24" t="n">
        <v>-0.09445099999999999</v>
      </c>
      <c r="AO38" s="25" t="n"/>
    </row>
    <row r="39">
      <c r="A39" s="12" t="inlineStr">
        <is>
          <t>drv:PBR</t>
        </is>
      </c>
      <c r="B39" s="2" t="inlineStr">
        <is>
          <t>yoy</t>
        </is>
      </c>
      <c r="C39" t="inlineStr">
        <is>
          <t>PBR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24" t="n">
        <v>-0.010101</v>
      </c>
      <c r="AD39" s="24" t="n">
        <v>-0.058252</v>
      </c>
      <c r="AE39" s="25" t="n"/>
      <c r="AF39" s="24" t="n">
        <v>-0.150442</v>
      </c>
      <c r="AG39" s="24" t="n">
        <v>-0.283582</v>
      </c>
      <c r="AH39" s="24" t="n">
        <v>-0.030612</v>
      </c>
      <c r="AI39" s="24" t="n">
        <v>-0.030928</v>
      </c>
      <c r="AJ39" s="25" t="n"/>
      <c r="AK39" s="24" t="n">
        <v>-0.041667</v>
      </c>
      <c r="AL39" s="24" t="n">
        <v>-0.041667</v>
      </c>
      <c r="AM39" s="24" t="n">
        <v>-0.042105</v>
      </c>
      <c r="AN39" s="24" t="n">
        <v>-0.042553</v>
      </c>
      <c r="AO39" s="25" t="n"/>
    </row>
    <row r="40">
      <c r="A40" s="12" t="inlineStr">
        <is>
          <t>drv:매출전사</t>
        </is>
      </c>
      <c r="B40" s="2" t="inlineStr">
        <is>
          <t>ratio</t>
        </is>
      </c>
      <c r="C40" t="inlineStr">
        <is>
          <t>매출전사 비중(/매출액)</t>
        </is>
      </c>
      <c r="E40" s="21">
        <f>IFERROR(subQ!E31/subQ!E5,"")</f>
        <v/>
      </c>
      <c r="F40" s="22">
        <f>IFERROR(subQ!F31/subQ!F5,"")</f>
        <v/>
      </c>
      <c r="G40" s="21">
        <f>IFERROR(subQ!G31/subQ!G5,"")</f>
        <v/>
      </c>
      <c r="H40" s="21">
        <f>IFERROR(subQ!H31/subQ!H5,"")</f>
        <v/>
      </c>
      <c r="I40" s="21">
        <f>IFERROR(subQ!I31/subQ!I5,"")</f>
        <v/>
      </c>
      <c r="J40" s="21">
        <f>IFERROR(subQ!J31/subQ!J5,"")</f>
        <v/>
      </c>
      <c r="K40" s="22">
        <f>IFERROR(subQ!K31/subQ!K5,"")</f>
        <v/>
      </c>
      <c r="L40" s="21">
        <f>IFERROR(subQ!L31/subQ!L5,"")</f>
        <v/>
      </c>
      <c r="M40" s="21">
        <f>IFERROR(subQ!M31/subQ!M5,"")</f>
        <v/>
      </c>
      <c r="N40" s="21">
        <f>IFERROR(subQ!N31/subQ!N5,"")</f>
        <v/>
      </c>
      <c r="O40" s="21">
        <f>IFERROR(subQ!O31/subQ!O5,"")</f>
        <v/>
      </c>
      <c r="P40" s="22">
        <f>IFERROR(subQ!P31/subQ!P5,"")</f>
        <v/>
      </c>
      <c r="Q40" s="21">
        <f>IFERROR(subQ!Q31/subQ!Q5,"")</f>
        <v/>
      </c>
      <c r="R40" s="21">
        <f>IFERROR(subQ!R31/subQ!R5,"")</f>
        <v/>
      </c>
      <c r="S40" s="21">
        <f>IFERROR(subQ!S31/subQ!S5,"")</f>
        <v/>
      </c>
      <c r="T40" s="21">
        <f>IFERROR(subQ!T31/subQ!T5,"")</f>
        <v/>
      </c>
      <c r="U40" s="22">
        <f>IFERROR(subQ!U31/subQ!U5,"")</f>
        <v/>
      </c>
      <c r="V40" s="21">
        <f>IFERROR(subQ!V31/subQ!V5,"")</f>
        <v/>
      </c>
      <c r="W40" s="21">
        <f>IFERROR(subQ!W31/subQ!W5,"")</f>
        <v/>
      </c>
      <c r="X40" s="21">
        <f>IFERROR(subQ!X31/subQ!X5,"")</f>
        <v/>
      </c>
      <c r="Y40" s="21">
        <f>IFERROR(subQ!Y31/subQ!Y5,"")</f>
        <v/>
      </c>
      <c r="Z40" s="22">
        <f>IFERROR(subQ!Z31/subQ!Z5,"")</f>
        <v/>
      </c>
      <c r="AA40" s="21">
        <f>IFERROR(subQ!AA31/subQ!AA5,"")</f>
        <v/>
      </c>
      <c r="AB40" s="23">
        <f>IFERROR(subQ!AB31/subQ!AB5,"")</f>
        <v/>
      </c>
      <c r="AC40" s="24" t="n">
        <v>1</v>
      </c>
      <c r="AD40" s="24" t="n">
        <v>1</v>
      </c>
      <c r="AE40" s="25">
        <f>IFERROR(subQ!AE31/subQ!AE5,"")</f>
        <v/>
      </c>
      <c r="AF40" s="24" t="n">
        <v>1</v>
      </c>
      <c r="AG40" s="24" t="n">
        <v>1</v>
      </c>
      <c r="AH40" s="24" t="n">
        <v>1</v>
      </c>
      <c r="AI40" s="24" t="n">
        <v>1</v>
      </c>
      <c r="AJ40" s="25">
        <f>IFERROR(subQ!AJ31/subQ!AJ5,"")</f>
        <v/>
      </c>
      <c r="AK40" s="24" t="n">
        <v>1</v>
      </c>
      <c r="AL40" s="24" t="n">
        <v>1</v>
      </c>
      <c r="AM40" s="24" t="n">
        <v>1</v>
      </c>
      <c r="AN40" s="24" t="n">
        <v>1</v>
      </c>
      <c r="AO40" s="25">
        <f>IFERROR(subQ!AO31/subQ!AO5,"")</f>
        <v/>
      </c>
    </row>
    <row r="41">
      <c r="A41" s="12" t="inlineStr">
        <is>
          <t>drv:OP전사</t>
        </is>
      </c>
      <c r="B41" s="2" t="inlineStr">
        <is>
          <t>ratio</t>
        </is>
      </c>
      <c r="C41" t="inlineStr">
        <is>
          <t>OP전사 마진(/매출전사)</t>
        </is>
      </c>
      <c r="E41" s="21">
        <f>IFERROR(subQ!E32/subQ!E31,"")</f>
        <v/>
      </c>
      <c r="F41" s="22">
        <f>IFERROR(subQ!F32/subQ!F31,"")</f>
        <v/>
      </c>
      <c r="G41" s="21">
        <f>IFERROR(subQ!G32/subQ!G31,"")</f>
        <v/>
      </c>
      <c r="H41" s="21">
        <f>IFERROR(subQ!H32/subQ!H31,"")</f>
        <v/>
      </c>
      <c r="I41" s="21">
        <f>IFERROR(subQ!I32/subQ!I31,"")</f>
        <v/>
      </c>
      <c r="J41" s="21">
        <f>IFERROR(subQ!J32/subQ!J31,"")</f>
        <v/>
      </c>
      <c r="K41" s="22">
        <f>IFERROR(subQ!K32/subQ!K31,"")</f>
        <v/>
      </c>
      <c r="L41" s="21">
        <f>IFERROR(subQ!L32/subQ!L31,"")</f>
        <v/>
      </c>
      <c r="M41" s="21">
        <f>IFERROR(subQ!M32/subQ!M31,"")</f>
        <v/>
      </c>
      <c r="N41" s="21">
        <f>IFERROR(subQ!N32/subQ!N31,"")</f>
        <v/>
      </c>
      <c r="O41" s="21">
        <f>IFERROR(subQ!O32/subQ!O31,"")</f>
        <v/>
      </c>
      <c r="P41" s="22">
        <f>IFERROR(subQ!P32/subQ!P31,"")</f>
        <v/>
      </c>
      <c r="Q41" s="21">
        <f>IFERROR(subQ!Q32/subQ!Q31,"")</f>
        <v/>
      </c>
      <c r="R41" s="21">
        <f>IFERROR(subQ!R32/subQ!R31,"")</f>
        <v/>
      </c>
      <c r="S41" s="21">
        <f>IFERROR(subQ!S32/subQ!S31,"")</f>
        <v/>
      </c>
      <c r="T41" s="21">
        <f>IFERROR(subQ!T32/subQ!T31,"")</f>
        <v/>
      </c>
      <c r="U41" s="22">
        <f>IFERROR(subQ!U32/subQ!U31,"")</f>
        <v/>
      </c>
      <c r="V41" s="21">
        <f>IFERROR(subQ!V32/subQ!V31,"")</f>
        <v/>
      </c>
      <c r="W41" s="21">
        <f>IFERROR(subQ!W32/subQ!W31,"")</f>
        <v/>
      </c>
      <c r="X41" s="21">
        <f>IFERROR(subQ!X32/subQ!X31,"")</f>
        <v/>
      </c>
      <c r="Y41" s="21">
        <f>IFERROR(subQ!Y32/subQ!Y31,"")</f>
        <v/>
      </c>
      <c r="Z41" s="22">
        <f>IFERROR(subQ!Z32/subQ!Z31,"")</f>
        <v/>
      </c>
      <c r="AA41" s="21">
        <f>IFERROR(subQ!AA32/subQ!AA31,"")</f>
        <v/>
      </c>
      <c r="AB41" s="23">
        <f>IFERROR(subQ!AB32/subQ!AB31,"")</f>
        <v/>
      </c>
      <c r="AC41" s="24" t="n">
        <v>0.120458</v>
      </c>
      <c r="AD41" s="24" t="n">
        <v>0.120464</v>
      </c>
      <c r="AE41" s="25">
        <f>IFERROR(subQ!AE32/subQ!AE31,"")</f>
        <v/>
      </c>
      <c r="AF41" s="24" t="n">
        <v>0.120465</v>
      </c>
      <c r="AG41" s="24" t="n">
        <v>0.120465</v>
      </c>
      <c r="AH41" s="24" t="n">
        <v>0.120463</v>
      </c>
      <c r="AI41" s="24" t="n">
        <v>0.120461</v>
      </c>
      <c r="AJ41" s="25">
        <f>IFERROR(subQ!AJ32/subQ!AJ31,"")</f>
        <v/>
      </c>
      <c r="AK41" s="24" t="n">
        <v>0.120461</v>
      </c>
      <c r="AL41" s="24" t="n">
        <v>0.120457</v>
      </c>
      <c r="AM41" s="24" t="n">
        <v>0.120465</v>
      </c>
      <c r="AN41" s="24" t="n">
        <v>0.120459</v>
      </c>
      <c r="AO41" s="25">
        <f>IFERROR(subQ!AO32/subQ!AO31,"")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27450</v>
      </c>
      <c r="E44" s="2" t="inlineStr">
        <is>
          <t>원 — aikstockdata(금융위 T+1)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20260929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9" t="n">
        <v>8.5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9" t="n">
        <v>9.199999999999999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9" t="n">
        <v>12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24" t="n">
        <v>0.2125</v>
      </c>
      <c r="E51" s="2" t="inlineStr">
        <is>
          <t>법인세율 가정(참고 — 추정 수식은 드라이버 행 참조)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24" t="n">
        <v>0.1843</v>
      </c>
      <c r="E52" s="2" t="inlineStr">
        <is>
          <t>판관비율 가정(참고)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0.2151</v>
      </c>
      <c r="E53" s="2" t="inlineStr">
        <is>
          <t>배당성향 가정(참고)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29" t="n"/>
      <c r="E54" s="2" t="inlineStr">
        <is>
          <t>외화 순노출 × Δ기말환율 (외화 시트 방식)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4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4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4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4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4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4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4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4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4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4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4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4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4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4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4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4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4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4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4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4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4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4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4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4" t="n">
        <v>45942.23</v>
      </c>
      <c r="Q10" s="18" t="n">
        <v>47987.12</v>
      </c>
      <c r="R10" s="18" t="n">
        <v>61403.64</v>
      </c>
      <c r="S10" s="18" t="n">
        <v>46312.56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4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4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4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4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4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4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4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4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4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4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4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4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4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4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4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4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4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4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4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4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4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4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4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79400.64999999999</v>
      </c>
      <c r="U15" s="34" t="n">
        <v>79400.64999999999</v>
      </c>
      <c r="V15" s="18" t="n">
        <v>83340.94</v>
      </c>
      <c r="W15" s="18" t="n">
        <v>80802.69</v>
      </c>
      <c r="X15" s="18" t="n">
        <v>60402.02</v>
      </c>
      <c r="Y15" s="18" t="n">
        <v>52355.11</v>
      </c>
      <c r="Z15" s="34" t="n">
        <v>52355.11</v>
      </c>
      <c r="AA15" s="18" t="n">
        <v>53388.48</v>
      </c>
      <c r="AB15" s="19" t="n">
        <v>58332.87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4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4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4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79400.64999999999</v>
      </c>
      <c r="U16" s="34" t="n">
        <v>79400.64999999999</v>
      </c>
      <c r="V16" s="18" t="n">
        <v>83340.94</v>
      </c>
      <c r="W16" s="18" t="n">
        <v>80802.69</v>
      </c>
      <c r="X16" s="18" t="n">
        <v>60402.02</v>
      </c>
      <c r="Y16" s="18" t="n">
        <v>52355.11</v>
      </c>
      <c r="Z16" s="34" t="n">
        <v>52355.11</v>
      </c>
      <c r="AA16" s="18" t="n">
        <v>53388.48</v>
      </c>
      <c r="AB16" s="19" t="n">
        <v>58332.87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4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4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4" t="n">
        <v>14756.87</v>
      </c>
      <c r="Q17" s="18" t="n">
        <v>15578.71</v>
      </c>
      <c r="R17" s="18" t="n">
        <v>15657.48</v>
      </c>
      <c r="T17" s="18" t="n">
        <v>12049.29</v>
      </c>
      <c r="U17" s="34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4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4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4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4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4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4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4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4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4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4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4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4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4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4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4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4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4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4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4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4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4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4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4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4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4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4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4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4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4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4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4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4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4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4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4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4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4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4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4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4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4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4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4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4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4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4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4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4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4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4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4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4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4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4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4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4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4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4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4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4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4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4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4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4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4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4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4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4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4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4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4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4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4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4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4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4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4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4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4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4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4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4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4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4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4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4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4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4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4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4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4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4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4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4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4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4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4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4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4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4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4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4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4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4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4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4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4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4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4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4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4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4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4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4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4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4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4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4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4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4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4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4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4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4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4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4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4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4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4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4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4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4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4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4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4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4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4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4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4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4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4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4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4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4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4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4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111462.87</v>
      </c>
      <c r="U48" s="34" t="n">
        <v>111462.87</v>
      </c>
      <c r="V48" s="18" t="n">
        <v>118147.37</v>
      </c>
      <c r="W48" s="18" t="n">
        <v>110401.15</v>
      </c>
      <c r="X48" s="18" t="n">
        <v>92379.03</v>
      </c>
      <c r="Y48" s="18" t="n">
        <v>87951.14999999999</v>
      </c>
      <c r="Z48" s="34" t="n">
        <v>87951.14999999999</v>
      </c>
      <c r="AA48" s="18" t="n">
        <v>96377.14999999999</v>
      </c>
      <c r="AB48" s="19" t="n">
        <v>108480.53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T49" s="18" t="n">
        <v>53613.58</v>
      </c>
      <c r="U49" s="34" t="n">
        <v>53613.58</v>
      </c>
      <c r="V49" s="18" t="n">
        <v>54498.12</v>
      </c>
      <c r="W49" s="18" t="n">
        <v>59044.85</v>
      </c>
      <c r="X49" s="18" t="n">
        <v>109623.91</v>
      </c>
      <c r="Y49" s="18" t="n">
        <v>130373.46</v>
      </c>
      <c r="Z49" s="34" t="n">
        <v>130373.46</v>
      </c>
      <c r="AA49" s="18" t="n">
        <v>158873.61</v>
      </c>
      <c r="AB49" s="19" t="n">
        <v>217568.54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사용권자산</t>
        </is>
      </c>
      <c r="F50" s="9" t="n"/>
      <c r="K50" s="9" t="n"/>
      <c r="P50" s="9" t="n"/>
      <c r="T50" s="18" t="n">
        <v>2638.79</v>
      </c>
      <c r="U50" s="34" t="n">
        <v>2638.79</v>
      </c>
      <c r="V50" s="18" t="n">
        <v>3439.48</v>
      </c>
      <c r="W50" s="18" t="n">
        <v>3126.72</v>
      </c>
      <c r="X50" s="18" t="n">
        <v>3252.51</v>
      </c>
      <c r="Y50" s="18" t="n">
        <v>3090.54</v>
      </c>
      <c r="Z50" s="34" t="n">
        <v>3090.54</v>
      </c>
      <c r="AA50" s="18" t="n">
        <v>4604.31</v>
      </c>
      <c r="AB50" s="19" t="n">
        <v>4734.63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P51" s="9" t="n"/>
      <c r="T51" s="18" t="n">
        <v>1151.44</v>
      </c>
      <c r="U51" s="34" t="n">
        <v>1151.44</v>
      </c>
      <c r="V51" s="18" t="n">
        <v>1414.29</v>
      </c>
      <c r="W51" s="18" t="n">
        <v>1327.45</v>
      </c>
      <c r="X51" s="18" t="n">
        <v>1360.65</v>
      </c>
      <c r="Y51" s="18" t="n">
        <v>1352.7</v>
      </c>
      <c r="Z51" s="34" t="n">
        <v>1352.7</v>
      </c>
      <c r="AA51" s="18" t="n">
        <v>1644.11</v>
      </c>
      <c r="AB51" s="19" t="n">
        <v>1705.66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P52" s="9" t="n"/>
      <c r="T52" s="18" t="n">
        <v>2766.45</v>
      </c>
      <c r="U52" s="34" t="n">
        <v>2766.45</v>
      </c>
      <c r="V52" s="18" t="n">
        <v>3584.34</v>
      </c>
      <c r="W52" s="18" t="n">
        <v>3283.38</v>
      </c>
      <c r="X52" s="18" t="n">
        <v>3417.65</v>
      </c>
      <c r="Y52" s="18" t="n">
        <v>3256.39</v>
      </c>
      <c r="Z52" s="34" t="n">
        <v>3256.39</v>
      </c>
      <c r="AA52" s="18" t="n">
        <v>4805.1</v>
      </c>
      <c r="AB52" s="19" t="n">
        <v>4914.5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P53" s="9" t="n"/>
      <c r="T53" s="18" t="n">
        <v>1615.01</v>
      </c>
      <c r="U53" s="34" t="n">
        <v>1615.01</v>
      </c>
      <c r="V53" s="18" t="n">
        <v>2170.05</v>
      </c>
      <c r="W53" s="18" t="n">
        <v>1955.93</v>
      </c>
      <c r="X53" s="18" t="n">
        <v>2057</v>
      </c>
      <c r="Y53" s="18" t="n">
        <v>1903.69</v>
      </c>
      <c r="Z53" s="34" t="n">
        <v>1903.69</v>
      </c>
      <c r="AA53" s="18" t="n">
        <v>3160.99</v>
      </c>
      <c r="AB53" s="19" t="n">
        <v>3208.84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X54" s="18" t="n">
        <v>1320.13</v>
      </c>
      <c r="Y54" s="18" t="n">
        <v>801.74</v>
      </c>
      <c r="Z54" s="34" t="n">
        <v>801.74</v>
      </c>
      <c r="AA54" s="18" t="n">
        <v>1895.62</v>
      </c>
      <c r="AB54" s="19" t="n">
        <v>1504.19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45882.65</v>
      </c>
      <c r="F55" s="9" t="n"/>
      <c r="G55" s="18" t="n">
        <v>49064.7</v>
      </c>
      <c r="H55" s="18" t="n">
        <v>56489.03</v>
      </c>
      <c r="I55" s="18" t="n">
        <v>67935.28999999999</v>
      </c>
      <c r="J55" s="18" t="n">
        <v>76253.64</v>
      </c>
      <c r="K55" s="34" t="n">
        <v>249742.66</v>
      </c>
      <c r="L55" s="18" t="n">
        <v>83913.27</v>
      </c>
      <c r="M55" s="18" t="n">
        <v>82223.61</v>
      </c>
      <c r="N55" s="18" t="n">
        <v>74590.25999999999</v>
      </c>
      <c r="O55" s="18" t="n">
        <v>71340.33</v>
      </c>
      <c r="P55" s="34" t="n">
        <v>312067.47</v>
      </c>
      <c r="Q55" s="18" t="n">
        <v>73365.32000000001</v>
      </c>
      <c r="R55" s="18" t="n">
        <v>65538.32000000001</v>
      </c>
      <c r="S55" s="18" t="n">
        <v>61753.24</v>
      </c>
      <c r="T55" s="18" t="n">
        <v>66153.12</v>
      </c>
      <c r="U55" s="34" t="n">
        <v>266810</v>
      </c>
      <c r="V55" s="18" t="n">
        <v>62634.58</v>
      </c>
      <c r="W55" s="18" t="n">
        <v>72315.64999999999</v>
      </c>
      <c r="X55" s="18" t="n">
        <v>81415.38</v>
      </c>
      <c r="Y55" s="18" t="n">
        <v>80600.08</v>
      </c>
      <c r="Z55" s="34" t="n">
        <v>296965.69</v>
      </c>
      <c r="AA55" s="18" t="n">
        <v>82275.27</v>
      </c>
      <c r="AB55" s="19" t="n">
        <v>83745.57000000001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37012.44</v>
      </c>
      <c r="F56" s="9" t="n"/>
      <c r="G56" s="18" t="n">
        <v>36564.72</v>
      </c>
      <c r="H56" s="18" t="n">
        <v>38230.42</v>
      </c>
      <c r="I56" s="18" t="n">
        <v>47429.38</v>
      </c>
      <c r="J56" s="18" t="n">
        <v>53222.48</v>
      </c>
      <c r="K56" s="34" t="n">
        <v>175447</v>
      </c>
      <c r="L56" s="18" t="n">
        <v>56254.84</v>
      </c>
      <c r="M56" s="18" t="n">
        <v>56080.44</v>
      </c>
      <c r="N56" s="18" t="n">
        <v>54689.85</v>
      </c>
      <c r="O56" s="18" t="n">
        <v>55531.31</v>
      </c>
      <c r="P56" s="34" t="n">
        <v>222556.44</v>
      </c>
      <c r="Q56" s="18" t="n">
        <v>53405.49</v>
      </c>
      <c r="R56" s="18" t="n">
        <v>46487.78</v>
      </c>
      <c r="S56" s="18" t="n">
        <v>46526.64</v>
      </c>
      <c r="T56" s="18" t="n">
        <v>48189.7</v>
      </c>
      <c r="U56" s="34" t="n">
        <v>194609.61</v>
      </c>
      <c r="V56" s="18" t="n">
        <v>47288.56</v>
      </c>
      <c r="W56" s="18" t="n">
        <v>54547.78</v>
      </c>
      <c r="X56" s="18" t="n">
        <v>56421</v>
      </c>
      <c r="Y56" s="18" t="n">
        <v>52772.88</v>
      </c>
      <c r="Z56" s="34" t="n">
        <v>211030.22</v>
      </c>
      <c r="AA56" s="18" t="n">
        <v>58641.44</v>
      </c>
      <c r="AB56" s="19" t="n">
        <v>59864.13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8870.209999999999</v>
      </c>
      <c r="F57" s="9" t="n"/>
      <c r="G57" s="18" t="n">
        <v>12499.98</v>
      </c>
      <c r="H57" s="18" t="n">
        <v>18258.61</v>
      </c>
      <c r="I57" s="18" t="n">
        <v>20505.91</v>
      </c>
      <c r="J57" s="18" t="n">
        <v>23031.17</v>
      </c>
      <c r="K57" s="34" t="n">
        <v>74295.67</v>
      </c>
      <c r="L57" s="18" t="n">
        <v>27658.43</v>
      </c>
      <c r="M57" s="18" t="n">
        <v>26143.17</v>
      </c>
      <c r="N57" s="18" t="n">
        <v>19900.41</v>
      </c>
      <c r="O57" s="18" t="n">
        <v>15809.02</v>
      </c>
      <c r="P57" s="34" t="n">
        <v>89511.03</v>
      </c>
      <c r="Q57" s="18" t="n">
        <v>19959.83</v>
      </c>
      <c r="R57" s="18" t="n">
        <v>19050.54</v>
      </c>
      <c r="S57" s="18" t="n">
        <v>15226.6</v>
      </c>
      <c r="T57" s="18" t="n">
        <v>17963.42</v>
      </c>
      <c r="U57" s="34" t="n">
        <v>72200.39</v>
      </c>
      <c r="V57" s="18" t="n">
        <v>15346.02</v>
      </c>
      <c r="W57" s="18" t="n">
        <v>17767.87</v>
      </c>
      <c r="X57" s="18" t="n">
        <v>24994.38</v>
      </c>
      <c r="Y57" s="18" t="n">
        <v>27827.21</v>
      </c>
      <c r="Z57" s="34" t="n">
        <v>85935.48</v>
      </c>
      <c r="AA57" s="18" t="n">
        <v>23633.82</v>
      </c>
      <c r="AB57" s="19" t="n">
        <v>23881.45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5948.72</v>
      </c>
      <c r="F58" s="9" t="n"/>
      <c r="G58" s="18" t="n">
        <v>5931.15</v>
      </c>
      <c r="H58" s="18" t="n">
        <v>6353.48</v>
      </c>
      <c r="I58" s="18" t="n">
        <v>10123.24</v>
      </c>
      <c r="J58" s="18" t="n">
        <v>6537.75</v>
      </c>
      <c r="K58" s="34" t="n">
        <v>28945.62</v>
      </c>
      <c r="L58" s="18" t="n">
        <v>7733.11</v>
      </c>
      <c r="M58" s="18" t="n">
        <v>8076.09</v>
      </c>
      <c r="N58" s="18" t="n">
        <v>7662.17</v>
      </c>
      <c r="O58" s="18" t="n">
        <v>8315.57</v>
      </c>
      <c r="P58" s="34" t="n">
        <v>31786.94</v>
      </c>
      <c r="Q58" s="18" t="n">
        <v>7106.06</v>
      </c>
      <c r="R58" s="18" t="n">
        <v>9233.620000000001</v>
      </c>
      <c r="S58" s="18" t="n">
        <v>7648.5</v>
      </c>
      <c r="T58" s="18" t="n">
        <v>8339.25</v>
      </c>
      <c r="U58" s="34" t="n">
        <v>32327.43</v>
      </c>
      <c r="V58" s="18" t="n">
        <v>7942.22</v>
      </c>
      <c r="W58" s="18" t="n">
        <v>10111.09</v>
      </c>
      <c r="X58" s="18" t="n">
        <v>13425.57</v>
      </c>
      <c r="Y58" s="18" t="n">
        <v>15721.75</v>
      </c>
      <c r="Z58" s="34" t="n">
        <v>47200.63</v>
      </c>
      <c r="AA58" s="18" t="n">
        <v>14284.12</v>
      </c>
      <c r="AB58" s="19" t="n">
        <v>16669.62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2921.49</v>
      </c>
      <c r="F59" s="9" t="n"/>
      <c r="G59" s="18" t="n">
        <v>6568.84</v>
      </c>
      <c r="H59" s="18" t="n">
        <v>11905.14</v>
      </c>
      <c r="I59" s="18" t="n">
        <v>10382.66</v>
      </c>
      <c r="J59" s="18" t="n">
        <v>16493.41</v>
      </c>
      <c r="K59" s="34" t="n">
        <v>45350.05</v>
      </c>
      <c r="L59" s="18" t="n">
        <v>19925.32</v>
      </c>
      <c r="M59" s="18" t="n">
        <v>18067.08</v>
      </c>
      <c r="N59" s="18" t="n">
        <v>12238.24</v>
      </c>
      <c r="O59" s="18" t="n">
        <v>7493.46</v>
      </c>
      <c r="P59" s="34" t="n">
        <v>57724.1</v>
      </c>
      <c r="Q59" s="18" t="n">
        <v>12853.77</v>
      </c>
      <c r="R59" s="18" t="n">
        <v>9816.92</v>
      </c>
      <c r="S59" s="18" t="n">
        <v>7578.1</v>
      </c>
      <c r="T59" s="18" t="n">
        <v>9624.16</v>
      </c>
      <c r="U59" s="34" t="n">
        <v>39872.95</v>
      </c>
      <c r="V59" s="18" t="n">
        <v>7403.81</v>
      </c>
      <c r="W59" s="18" t="n">
        <v>7656.78</v>
      </c>
      <c r="X59" s="18" t="n">
        <v>11568.8</v>
      </c>
      <c r="Y59" s="18" t="n">
        <v>12105.46</v>
      </c>
      <c r="Z59" s="34" t="n">
        <v>38734.85</v>
      </c>
      <c r="AA59" s="18" t="n">
        <v>9349.700000000001</v>
      </c>
      <c r="AB59" s="19" t="n">
        <v>7211.82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478.77</v>
      </c>
      <c r="F60" s="9" t="n"/>
      <c r="G60" s="18" t="n">
        <v>482.47</v>
      </c>
      <c r="H60" s="18" t="n">
        <v>1305.08</v>
      </c>
      <c r="I60" s="18" t="n">
        <v>339.84</v>
      </c>
      <c r="J60" s="18" t="n">
        <v>259.28</v>
      </c>
      <c r="K60" s="34" t="n">
        <v>2386.67</v>
      </c>
      <c r="L60" s="18" t="n">
        <v>335.84</v>
      </c>
      <c r="M60" s="18" t="n">
        <v>460.18</v>
      </c>
      <c r="N60" s="18" t="n">
        <v>968.0599999999999</v>
      </c>
      <c r="O60" s="18" t="n">
        <v>-152.64</v>
      </c>
      <c r="P60" s="34" t="n">
        <v>1611.44</v>
      </c>
      <c r="Q60" s="18" t="n">
        <v>112.72</v>
      </c>
      <c r="R60" s="18" t="n">
        <v>178.67</v>
      </c>
      <c r="S60" s="18" t="n">
        <v>179.06</v>
      </c>
      <c r="T60" s="18" t="n">
        <v>240.15</v>
      </c>
      <c r="U60" s="34" t="n">
        <v>710.6</v>
      </c>
      <c r="V60" s="18" t="n">
        <v>566.63</v>
      </c>
      <c r="W60" s="18" t="n">
        <v>558.59</v>
      </c>
      <c r="X60" s="18" t="n">
        <v>928</v>
      </c>
      <c r="Y60" s="18" t="n">
        <v>666.39</v>
      </c>
      <c r="Z60" s="34" t="n">
        <v>2719.61</v>
      </c>
      <c r="AA60" s="18" t="n">
        <v>1066.97</v>
      </c>
      <c r="AB60" s="19" t="n">
        <v>641.84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25.43</v>
      </c>
      <c r="F61" s="9" t="n"/>
      <c r="G61" s="18" t="n">
        <v>244.51</v>
      </c>
      <c r="H61" s="18" t="n">
        <v>-106.32</v>
      </c>
      <c r="I61" s="18" t="n">
        <v>88.86</v>
      </c>
      <c r="J61" s="18" t="n">
        <v>1889.29</v>
      </c>
      <c r="K61" s="34" t="n">
        <v>2116.34</v>
      </c>
      <c r="L61" s="18" t="n">
        <v>171.77</v>
      </c>
      <c r="M61" s="18" t="n">
        <v>537.6799999999999</v>
      </c>
      <c r="N61" s="18" t="n">
        <v>195.44</v>
      </c>
      <c r="O61" s="18" t="n">
        <v>4.59</v>
      </c>
      <c r="P61" s="34" t="n">
        <v>909.48</v>
      </c>
      <c r="Q61" s="18" t="n">
        <v>410.44</v>
      </c>
      <c r="R61" s="18" t="n">
        <v>-47.08</v>
      </c>
      <c r="S61" s="18" t="n">
        <v>81.19</v>
      </c>
      <c r="T61" s="18" t="n">
        <v>147.42</v>
      </c>
      <c r="U61" s="34" t="n">
        <v>591.97</v>
      </c>
      <c r="V61" s="18" t="n">
        <v>116.74</v>
      </c>
      <c r="W61" s="18" t="n">
        <v>184.95</v>
      </c>
      <c r="X61" s="18" t="n">
        <v>677.87</v>
      </c>
      <c r="Y61" s="18" t="n">
        <v>10322.95</v>
      </c>
      <c r="Z61" s="34" t="n">
        <v>11302.51</v>
      </c>
      <c r="AA61" s="18" t="n">
        <v>960.45</v>
      </c>
      <c r="AB61" s="19" t="n">
        <v>282.84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770.33</v>
      </c>
      <c r="F62" s="9" t="n"/>
      <c r="G62" s="18" t="n">
        <v>3512.23</v>
      </c>
      <c r="H62" s="18" t="n">
        <v>4195.95</v>
      </c>
      <c r="I62" s="18" t="n">
        <v>10259.75</v>
      </c>
      <c r="J62" s="18" t="n">
        <v>-4003.6</v>
      </c>
      <c r="K62" s="34" t="n">
        <v>13964.33</v>
      </c>
      <c r="L62" s="18" t="n">
        <v>7817.51</v>
      </c>
      <c r="M62" s="18" t="n">
        <v>4464.17</v>
      </c>
      <c r="N62" s="18" t="n">
        <v>2517.25</v>
      </c>
      <c r="O62" s="18" t="n">
        <v>2899.46</v>
      </c>
      <c r="P62" s="34" t="n">
        <v>17698.39</v>
      </c>
      <c r="Q62" s="18" t="n">
        <v>10812</v>
      </c>
      <c r="R62" s="18" t="n">
        <v>4485.77</v>
      </c>
      <c r="S62" s="18" t="n">
        <v>2333.37</v>
      </c>
      <c r="T62" s="18" t="n">
        <v>7696.02</v>
      </c>
      <c r="U62" s="34" t="n">
        <v>25327.16</v>
      </c>
      <c r="V62" s="18" t="n">
        <v>7084.71</v>
      </c>
      <c r="W62" s="18" t="n">
        <v>13490.28</v>
      </c>
      <c r="X62" s="18" t="n">
        <v>26858.27</v>
      </c>
      <c r="Y62" s="18" t="n">
        <v>15673.01</v>
      </c>
      <c r="Z62" s="34" t="n">
        <v>63106.27</v>
      </c>
      <c r="AA62" s="18" t="n">
        <v>35321.92</v>
      </c>
      <c r="AB62" s="19" t="n">
        <v>82809.39999999999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538.9</v>
      </c>
      <c r="F63" s="9" t="n"/>
      <c r="G63" s="18" t="n">
        <v>636.5700000000001</v>
      </c>
      <c r="H63" s="18" t="n">
        <v>1591.73</v>
      </c>
      <c r="I63" s="18" t="n">
        <v>2561.97</v>
      </c>
      <c r="J63" s="18" t="n">
        <v>8006.81</v>
      </c>
      <c r="K63" s="34" t="n">
        <v>12797.08</v>
      </c>
      <c r="L63" s="18" t="n">
        <v>1731.28</v>
      </c>
      <c r="M63" s="18" t="n">
        <v>746.6</v>
      </c>
      <c r="N63" s="18" t="n">
        <v>558.53</v>
      </c>
      <c r="O63" s="18" t="n">
        <v>2442.93</v>
      </c>
      <c r="P63" s="34" t="n">
        <v>5479.34</v>
      </c>
      <c r="Q63" s="18" t="n">
        <v>2306.16</v>
      </c>
      <c r="R63" s="18" t="n">
        <v>1397.9</v>
      </c>
      <c r="S63" s="18" t="n">
        <v>1522.56</v>
      </c>
      <c r="T63" s="18" t="n">
        <v>2261.07</v>
      </c>
      <c r="U63" s="34" t="n">
        <v>7487.69</v>
      </c>
      <c r="V63" s="18" t="n">
        <v>2061.08</v>
      </c>
      <c r="W63" s="18" t="n">
        <v>4368.27</v>
      </c>
      <c r="X63" s="18" t="n">
        <v>-983.17</v>
      </c>
      <c r="Y63" s="18" t="n">
        <v>1619.17</v>
      </c>
      <c r="Z63" s="34" t="n">
        <v>7065.35</v>
      </c>
      <c r="AA63" s="18" t="n">
        <v>7309.55</v>
      </c>
      <c r="AB63" s="19" t="n">
        <v>3747.48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3606.26</v>
      </c>
      <c r="F64" s="9" t="n"/>
      <c r="G64" s="18" t="n">
        <v>9682.459999999999</v>
      </c>
      <c r="H64" s="18" t="n">
        <v>15920.75</v>
      </c>
      <c r="I64" s="18" t="n">
        <v>18331.43</v>
      </c>
      <c r="J64" s="18" t="n">
        <v>2852.99</v>
      </c>
      <c r="K64" s="34" t="n">
        <v>46787.63</v>
      </c>
      <c r="L64" s="18" t="n">
        <v>26175.63</v>
      </c>
      <c r="M64" s="18" t="n">
        <v>21707.16</v>
      </c>
      <c r="N64" s="18" t="n">
        <v>14969.58</v>
      </c>
      <c r="O64" s="18" t="n">
        <v>7792.76</v>
      </c>
      <c r="P64" s="34" t="n">
        <v>70645.13</v>
      </c>
      <c r="Q64" s="18" t="n">
        <v>21061.89</v>
      </c>
      <c r="R64" s="18" t="n">
        <v>13130.54</v>
      </c>
      <c r="S64" s="18" t="n">
        <v>8486.780000000001</v>
      </c>
      <c r="T64" s="18" t="n">
        <v>15151.85</v>
      </c>
      <c r="U64" s="34" t="n">
        <v>57831.06</v>
      </c>
      <c r="V64" s="18" t="n">
        <v>12877.33</v>
      </c>
      <c r="W64" s="18" t="n">
        <v>17152.43</v>
      </c>
      <c r="X64" s="18" t="n">
        <v>39660.37</v>
      </c>
      <c r="Y64" s="18" t="n">
        <v>16502.73</v>
      </c>
      <c r="Z64" s="34" t="n">
        <v>86192.86</v>
      </c>
      <c r="AA64" s="18" t="n">
        <v>37468.59</v>
      </c>
      <c r="AB64" s="19" t="n">
        <v>86632.74000000001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1125.74</v>
      </c>
      <c r="F65" s="9" t="n"/>
      <c r="G65" s="18" t="n">
        <v>1146.91</v>
      </c>
      <c r="H65" s="18" t="n">
        <v>3506.48</v>
      </c>
      <c r="I65" s="18" t="n">
        <v>9648.940000000001</v>
      </c>
      <c r="J65" s="18" t="n">
        <v>-4298.14</v>
      </c>
      <c r="K65" s="34" t="n">
        <v>10004.19</v>
      </c>
      <c r="L65" s="18" t="n">
        <v>5311.76</v>
      </c>
      <c r="M65" s="18" t="n">
        <v>4111.79</v>
      </c>
      <c r="N65" s="18" t="n">
        <v>3360.53</v>
      </c>
      <c r="O65" s="18" t="n">
        <v>-267.39</v>
      </c>
      <c r="P65" s="34" t="n">
        <v>12516.69</v>
      </c>
      <c r="Q65" s="18" t="n">
        <v>4395.65</v>
      </c>
      <c r="R65" s="18" t="n">
        <v>2682.23</v>
      </c>
      <c r="S65" s="18" t="n">
        <v>1605.3</v>
      </c>
      <c r="T65" s="18" t="n">
        <v>3026.99</v>
      </c>
      <c r="U65" s="34" t="n">
        <v>11710.17</v>
      </c>
      <c r="V65" s="18" t="n">
        <v>2639.24</v>
      </c>
      <c r="W65" s="18" t="n">
        <v>3769.95</v>
      </c>
      <c r="X65" s="18" t="n">
        <v>9931.77</v>
      </c>
      <c r="Y65" s="18" t="n">
        <v>4337.47</v>
      </c>
      <c r="Z65" s="34" t="n">
        <v>20678.43</v>
      </c>
      <c r="AA65" s="18" t="n">
        <v>8649.040000000001</v>
      </c>
      <c r="AB65" s="19" t="n">
        <v>17687.2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2480.52</v>
      </c>
      <c r="F66" s="9" t="n"/>
      <c r="G66" s="18" t="n">
        <v>8535.549999999999</v>
      </c>
      <c r="H66" s="18" t="n">
        <v>12414.27</v>
      </c>
      <c r="I66" s="18" t="n">
        <v>8682.49</v>
      </c>
      <c r="J66" s="18" t="n">
        <v>7151.13</v>
      </c>
      <c r="K66" s="34" t="n">
        <v>36783.44</v>
      </c>
      <c r="L66" s="18" t="n">
        <v>20863.87</v>
      </c>
      <c r="M66" s="18" t="n">
        <v>17595.37</v>
      </c>
      <c r="N66" s="18" t="n">
        <v>11609.05</v>
      </c>
      <c r="O66" s="18" t="n">
        <v>8060.14</v>
      </c>
      <c r="P66" s="34" t="n">
        <v>58128.43</v>
      </c>
      <c r="Q66" s="18" t="n">
        <v>16666.25</v>
      </c>
      <c r="R66" s="18" t="n">
        <v>10448.31</v>
      </c>
      <c r="S66" s="18" t="n">
        <v>6881.48</v>
      </c>
      <c r="T66" s="18" t="n">
        <v>12124.87</v>
      </c>
      <c r="U66" s="34" t="n">
        <v>46120.91</v>
      </c>
      <c r="V66" s="18" t="n">
        <v>10238.09</v>
      </c>
      <c r="W66" s="18" t="n">
        <v>13382.48</v>
      </c>
      <c r="X66" s="18" t="n">
        <v>29728.6</v>
      </c>
      <c r="Y66" s="18" t="n">
        <v>12165.26</v>
      </c>
      <c r="Z66" s="34" t="n">
        <v>65514.43</v>
      </c>
      <c r="AA66" s="18" t="n">
        <v>28819.55</v>
      </c>
      <c r="AB66" s="19" t="n">
        <v>68945.53999999999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2916.2</v>
      </c>
      <c r="F67" s="9" t="n"/>
      <c r="G67" s="18" t="n">
        <v>7686.48</v>
      </c>
      <c r="H67" s="18" t="n">
        <v>12085.03</v>
      </c>
      <c r="I67" s="18" t="n">
        <v>8694.860000000001</v>
      </c>
      <c r="J67" s="18" t="n">
        <v>7304.46</v>
      </c>
      <c r="K67" s="34" t="n">
        <v>35770.83</v>
      </c>
      <c r="L67" s="18" t="n">
        <v>19387.48</v>
      </c>
      <c r="M67" s="18" t="n">
        <v>17036.94</v>
      </c>
      <c r="N67" s="18" t="n">
        <v>11490.11</v>
      </c>
      <c r="O67" s="18" t="n">
        <v>7161.49</v>
      </c>
      <c r="P67" s="34" t="n">
        <v>55076.02</v>
      </c>
      <c r="Q67" s="18" t="n">
        <v>16191.87</v>
      </c>
      <c r="R67" s="18" t="n">
        <v>10064.02</v>
      </c>
      <c r="S67" s="18" t="n">
        <v>6939.94</v>
      </c>
      <c r="T67" s="18" t="n">
        <v>11715.77</v>
      </c>
      <c r="U67" s="34" t="n">
        <v>44911.6</v>
      </c>
      <c r="V67" s="18" t="n">
        <v>10213.76</v>
      </c>
      <c r="W67" s="18" t="n">
        <v>14678.05</v>
      </c>
      <c r="X67" s="18" t="n">
        <v>28964.57</v>
      </c>
      <c r="Y67" s="18" t="n">
        <v>10016.8</v>
      </c>
      <c r="Z67" s="34" t="n">
        <v>63873.18</v>
      </c>
      <c r="AA67" s="18" t="n">
        <v>26989.72</v>
      </c>
      <c r="AB67" s="19" t="n">
        <v>58909.58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E68" s="18" t="n">
        <v>-435.68</v>
      </c>
      <c r="F68" s="9" t="n"/>
      <c r="G68" s="18" t="n">
        <v>849.0700000000001</v>
      </c>
      <c r="H68" s="18" t="n">
        <v>329.24</v>
      </c>
      <c r="I68" s="18" t="n">
        <v>-12.37</v>
      </c>
      <c r="J68" s="18" t="n">
        <v>-153.33</v>
      </c>
      <c r="K68" s="34" t="n">
        <v>1012.61</v>
      </c>
      <c r="L68" s="18" t="n">
        <v>1476.39</v>
      </c>
      <c r="M68" s="18" t="n">
        <v>558.4299999999999</v>
      </c>
      <c r="N68" s="18" t="n">
        <v>118.94</v>
      </c>
      <c r="O68" s="18" t="n">
        <v>898.65</v>
      </c>
      <c r="P68" s="34" t="n">
        <v>3052.41</v>
      </c>
      <c r="Q68" s="18" t="n">
        <v>474.37</v>
      </c>
      <c r="R68" s="18" t="n">
        <v>384.29</v>
      </c>
      <c r="S68" s="18" t="n">
        <v>-58.45</v>
      </c>
      <c r="T68" s="18" t="n">
        <v>409.1</v>
      </c>
      <c r="U68" s="34" t="n">
        <v>1209.31</v>
      </c>
      <c r="V68" s="18" t="n">
        <v>24.33</v>
      </c>
      <c r="W68" s="18" t="n">
        <v>-1295.57</v>
      </c>
      <c r="X68" s="18" t="n">
        <v>764.03</v>
      </c>
      <c r="Y68" s="18" t="n">
        <v>2148.46</v>
      </c>
      <c r="Z68" s="34" t="n">
        <v>1641.25</v>
      </c>
      <c r="AA68" s="18" t="n">
        <v>1829.83</v>
      </c>
      <c r="AB68" s="19" t="n">
        <v>10035.95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3318.49</v>
      </c>
      <c r="F69" s="9" t="n"/>
      <c r="G69" s="18" t="n">
        <v>8351.93</v>
      </c>
      <c r="H69" s="18" t="n">
        <v>12228.43</v>
      </c>
      <c r="I69" s="18" t="n">
        <v>8703.23</v>
      </c>
      <c r="J69" s="18" t="n">
        <v>8351.950000000001</v>
      </c>
      <c r="K69" s="34" t="n">
        <v>37635.54</v>
      </c>
      <c r="L69" s="18" t="n">
        <v>21014.39</v>
      </c>
      <c r="M69" s="18" t="n">
        <v>17621.37</v>
      </c>
      <c r="N69" s="18" t="n">
        <v>11605.81</v>
      </c>
      <c r="O69" s="18" t="n">
        <v>5990.33</v>
      </c>
      <c r="P69" s="34" t="n">
        <v>56231.9</v>
      </c>
      <c r="Q69" s="18" t="n">
        <v>16907.47</v>
      </c>
      <c r="R69" s="18" t="n">
        <v>10505.12</v>
      </c>
      <c r="S69" s="18" t="n">
        <v>6964.77</v>
      </c>
      <c r="T69" s="18" t="n">
        <v>9590.24</v>
      </c>
      <c r="U69" s="34" t="n">
        <v>43967.6</v>
      </c>
      <c r="V69" s="18" t="n">
        <v>10448.45</v>
      </c>
      <c r="W69" s="18" t="n">
        <v>13365.36</v>
      </c>
      <c r="X69" s="18" t="n">
        <v>37058.96</v>
      </c>
      <c r="Y69" s="18" t="n">
        <v>13095.58</v>
      </c>
      <c r="Z69" s="34" t="n">
        <v>73968.35000000001</v>
      </c>
      <c r="AA69" s="18" t="n">
        <v>30458.83</v>
      </c>
      <c r="AB69" s="19" t="n">
        <v>74245.49000000001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231.43</v>
      </c>
      <c r="F70" s="9" t="n"/>
      <c r="G70" s="18" t="n">
        <v>2875.66</v>
      </c>
      <c r="H70" s="18" t="n">
        <v>2604.22</v>
      </c>
      <c r="I70" s="18" t="n">
        <v>7697.78</v>
      </c>
      <c r="J70" s="18" t="n">
        <v>-12010.41</v>
      </c>
      <c r="K70" s="34" t="n">
        <v>1167.25</v>
      </c>
      <c r="L70" s="18" t="n">
        <v>6086.23</v>
      </c>
      <c r="M70" s="18" t="n">
        <v>3717.57</v>
      </c>
      <c r="N70" s="18" t="n">
        <v>1958.72</v>
      </c>
      <c r="O70" s="18" t="n">
        <v>456.53</v>
      </c>
      <c r="P70" s="34" t="n">
        <v>12219.05</v>
      </c>
      <c r="Q70" s="18" t="n">
        <v>8505.84</v>
      </c>
      <c r="R70" s="18" t="n">
        <v>3087.87</v>
      </c>
      <c r="S70" s="18" t="n">
        <v>810.8099999999999</v>
      </c>
      <c r="T70" s="18" t="n">
        <v>5434.95</v>
      </c>
      <c r="U70" s="34" t="n">
        <v>17839.47</v>
      </c>
      <c r="V70" s="18" t="n">
        <v>5023.63</v>
      </c>
      <c r="W70" s="18" t="n">
        <v>9122.01</v>
      </c>
      <c r="X70" s="18" t="n">
        <v>27841.44</v>
      </c>
      <c r="Y70" s="18" t="n">
        <v>14053.84</v>
      </c>
      <c r="Z70" s="34" t="n">
        <v>56040.92</v>
      </c>
      <c r="AA70" s="18" t="n">
        <v>28012.37</v>
      </c>
      <c r="AB70" s="19" t="n">
        <v>79061.92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453.34</v>
      </c>
      <c r="F71" s="9" t="n"/>
      <c r="G71" s="18" t="n">
        <v>237.96</v>
      </c>
      <c r="H71" s="18" t="n">
        <v>1411.4</v>
      </c>
      <c r="I71" s="18" t="n">
        <v>250.98</v>
      </c>
      <c r="J71" s="18" t="n">
        <v>-1630.01</v>
      </c>
      <c r="K71" s="34" t="n">
        <v>270.33</v>
      </c>
      <c r="L71" s="18" t="n">
        <v>164.07</v>
      </c>
      <c r="M71" s="18" t="n">
        <v>-77.5</v>
      </c>
      <c r="N71" s="18" t="n">
        <v>772.62</v>
      </c>
      <c r="O71" s="18" t="n">
        <v>-157.23</v>
      </c>
      <c r="P71" s="34" t="n">
        <v>701.96</v>
      </c>
      <c r="Q71" s="18" t="n">
        <v>-297.72</v>
      </c>
      <c r="R71" s="18" t="n">
        <v>225.75</v>
      </c>
      <c r="S71" s="18" t="n">
        <v>97.87</v>
      </c>
      <c r="T71" s="18" t="n">
        <v>92.73</v>
      </c>
      <c r="U71" s="34" t="n">
        <v>118.63</v>
      </c>
      <c r="V71" s="18" t="n">
        <v>449.89</v>
      </c>
      <c r="W71" s="18" t="n">
        <v>373.64</v>
      </c>
      <c r="X71" s="18" t="n">
        <v>250.13</v>
      </c>
      <c r="Y71" s="18" t="n">
        <v>-9656.559999999999</v>
      </c>
      <c r="Z71" s="34" t="n">
        <v>-8582.9</v>
      </c>
      <c r="AA71" s="18" t="n">
        <v>106.52</v>
      </c>
      <c r="AB71" s="19" t="n">
        <v>359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2480.52</v>
      </c>
      <c r="F72" s="9" t="n"/>
      <c r="G72" s="18" t="n">
        <v>8535.549999999999</v>
      </c>
      <c r="H72" s="18" t="n">
        <v>12414.27</v>
      </c>
      <c r="I72" s="18" t="n">
        <v>8682.49</v>
      </c>
      <c r="J72" s="18" t="n">
        <v>7151.13</v>
      </c>
      <c r="K72" s="34" t="n">
        <v>36783.44</v>
      </c>
      <c r="L72" s="18" t="n">
        <v>20863.87</v>
      </c>
      <c r="M72" s="18" t="n">
        <v>17595.37</v>
      </c>
      <c r="N72" s="18" t="n">
        <v>11609.05</v>
      </c>
      <c r="O72" s="18" t="n">
        <v>8060.14</v>
      </c>
      <c r="P72" s="34" t="n">
        <v>58128.43</v>
      </c>
      <c r="Q72" s="18" t="n">
        <v>16666.25</v>
      </c>
      <c r="R72" s="18" t="n">
        <v>10448.31</v>
      </c>
      <c r="S72" s="18" t="n">
        <v>6881.48</v>
      </c>
      <c r="T72" s="18" t="n">
        <v>12124.87</v>
      </c>
      <c r="U72" s="34" t="n">
        <v>46120.91</v>
      </c>
      <c r="V72" s="18" t="n">
        <v>10238.09</v>
      </c>
      <c r="W72" s="18" t="n">
        <v>13382.48</v>
      </c>
      <c r="X72" s="18" t="n">
        <v>29728.6</v>
      </c>
      <c r="Y72" s="18" t="n">
        <v>12165.26</v>
      </c>
      <c r="Z72" s="34" t="n">
        <v>65514.43</v>
      </c>
      <c r="AA72" s="18" t="n">
        <v>28819.55</v>
      </c>
      <c r="AB72" s="19" t="n">
        <v>68945.53999999999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5631.88</v>
      </c>
      <c r="F73" s="9" t="n"/>
      <c r="G73" s="18" t="n">
        <v>1308.85</v>
      </c>
      <c r="H73" s="18" t="n">
        <v>7559.13</v>
      </c>
      <c r="I73" s="18" t="n">
        <v>19713.69</v>
      </c>
      <c r="J73" s="18" t="n">
        <v>17724.36</v>
      </c>
      <c r="K73" s="34" t="n">
        <v>46306.03</v>
      </c>
      <c r="L73" s="18" t="n">
        <v>8744.18</v>
      </c>
      <c r="M73" s="18" t="n">
        <v>17711.67</v>
      </c>
      <c r="N73" s="18" t="n">
        <v>18769.41</v>
      </c>
      <c r="O73" s="18" t="n">
        <v>9110.219999999999</v>
      </c>
      <c r="P73" s="34" t="n">
        <v>54335.48</v>
      </c>
      <c r="Q73" s="18" t="n">
        <v>30487.9</v>
      </c>
      <c r="R73" s="18" t="n">
        <v>7843.26</v>
      </c>
      <c r="S73" s="18" t="n">
        <v>8998.17</v>
      </c>
      <c r="T73" s="18" t="n">
        <v>11905.71</v>
      </c>
      <c r="U73" s="34" t="n">
        <v>59235.04</v>
      </c>
      <c r="V73" s="18" t="n">
        <v>12123.88</v>
      </c>
      <c r="W73" s="18" t="n">
        <v>-4130.61</v>
      </c>
      <c r="X73" s="18" t="n">
        <v>3252.87</v>
      </c>
      <c r="Y73" s="18" t="n">
        <v>8119.54</v>
      </c>
      <c r="Z73" s="34" t="n">
        <v>19365.68</v>
      </c>
      <c r="AA73" s="18" t="n">
        <v>15166.52</v>
      </c>
      <c r="AB73" s="19" t="n">
        <v>23690.2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-14.38</v>
      </c>
      <c r="F74" s="9" t="n"/>
      <c r="G74" s="18" t="n">
        <v>-1143.05</v>
      </c>
      <c r="H74" s="18" t="n">
        <v>-1450.86</v>
      </c>
      <c r="I74" s="18" t="n">
        <v>-1331.31</v>
      </c>
      <c r="J74" s="18" t="n">
        <v>-50.52</v>
      </c>
      <c r="K74" s="34" t="n">
        <v>-3975.74</v>
      </c>
      <c r="L74" s="18" t="n">
        <v>-4298.49</v>
      </c>
      <c r="M74" s="18" t="n">
        <v>-4579.57</v>
      </c>
      <c r="N74" s="18" t="n">
        <v>-2458.53</v>
      </c>
      <c r="O74" s="18" t="n">
        <v>-2257.13</v>
      </c>
      <c r="P74" s="34" t="n">
        <v>-13593.72</v>
      </c>
      <c r="Q74" s="18" t="n">
        <v>-33.48</v>
      </c>
      <c r="R74" s="18" t="n">
        <v>-8200.08</v>
      </c>
      <c r="S74" s="18" t="n">
        <v>-3112.13</v>
      </c>
      <c r="T74" s="18" t="n">
        <v>-3147.12</v>
      </c>
      <c r="U74" s="34" t="n">
        <v>-14492.81</v>
      </c>
      <c r="V74" s="18" t="n">
        <v>-1958.87</v>
      </c>
      <c r="W74" s="18" t="n">
        <v>-2800.01</v>
      </c>
      <c r="X74" s="18" t="n">
        <v>-1806.14</v>
      </c>
      <c r="Y74" s="18" t="n">
        <v>-4762.65</v>
      </c>
      <c r="Z74" s="34" t="n">
        <v>-11327.67</v>
      </c>
      <c r="AA74" s="18" t="n">
        <v>-3404.59</v>
      </c>
      <c r="AB74" s="19" t="n">
        <v>-3446.91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-4821.21</v>
      </c>
      <c r="F75" s="9" t="n"/>
      <c r="G75" s="18" t="n">
        <v>-9050.98</v>
      </c>
      <c r="H75" s="18" t="n">
        <v>-7501.76</v>
      </c>
      <c r="I75" s="18" t="n">
        <v>-23861.58</v>
      </c>
      <c r="J75" s="18" t="n">
        <v>-22154.8</v>
      </c>
      <c r="K75" s="34" t="n">
        <v>-62569.12</v>
      </c>
      <c r="L75" s="18" t="n">
        <v>-18693.6</v>
      </c>
      <c r="M75" s="18" t="n">
        <v>-10389.25</v>
      </c>
      <c r="N75" s="18" t="n">
        <v>-31607.3</v>
      </c>
      <c r="O75" s="18" t="n">
        <v>-2384.59</v>
      </c>
      <c r="P75" s="34" t="n">
        <v>-63074.74</v>
      </c>
      <c r="Q75" s="18" t="n">
        <v>-7862.3</v>
      </c>
      <c r="R75" s="18" t="n">
        <v>-22384.81</v>
      </c>
      <c r="S75" s="18" t="n">
        <v>2712.94</v>
      </c>
      <c r="T75" s="18" t="n">
        <v>-18234.75</v>
      </c>
      <c r="U75" s="34" t="n">
        <v>-45768.92</v>
      </c>
      <c r="V75" s="18" t="n">
        <v>-8948.629999999999</v>
      </c>
      <c r="W75" s="18" t="n">
        <v>6042.23</v>
      </c>
      <c r="X75" s="18" t="n">
        <v>6871.48</v>
      </c>
      <c r="Y75" s="18" t="n">
        <v>-2917.41</v>
      </c>
      <c r="Z75" s="34" t="n">
        <v>1047.67</v>
      </c>
      <c r="AA75" s="18" t="n">
        <v>-7548.33</v>
      </c>
      <c r="AB75" s="19" t="n">
        <v>-3526.6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218.08</v>
      </c>
      <c r="F76" s="9" t="n"/>
      <c r="G76" s="18" t="n">
        <v>3</v>
      </c>
      <c r="H76" s="18" t="n">
        <v>48.41</v>
      </c>
      <c r="J76" s="18" t="n">
        <v>183.33</v>
      </c>
      <c r="K76" s="9" t="n"/>
      <c r="L76" s="18" t="n">
        <v>30</v>
      </c>
      <c r="M76" s="18" t="n">
        <v>2</v>
      </c>
      <c r="N76" s="18" t="n">
        <v>22.19</v>
      </c>
      <c r="O76" s="18" t="n">
        <v>4.8</v>
      </c>
      <c r="P76" s="34" t="n">
        <v>58.99</v>
      </c>
      <c r="Q76" s="18" t="n">
        <v>31.38</v>
      </c>
      <c r="R76" s="18" t="n">
        <v>15.47</v>
      </c>
      <c r="S76" s="18" t="n">
        <v>12.38</v>
      </c>
      <c r="T76" s="18" t="n">
        <v>3.7</v>
      </c>
      <c r="U76" s="34" t="n">
        <v>62.93</v>
      </c>
      <c r="V76" s="18" t="n">
        <v>34.55</v>
      </c>
      <c r="W76" s="18" t="n">
        <v>65.51000000000001</v>
      </c>
      <c r="X76" s="18" t="n">
        <v>3.4</v>
      </c>
      <c r="Y76" s="18" t="n">
        <v>0</v>
      </c>
      <c r="Z76" s="34" t="n">
        <v>103.46</v>
      </c>
      <c r="AA76" s="18" t="n">
        <v>17.19</v>
      </c>
      <c r="AB76" s="19" t="n">
        <v>49.23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21.76</v>
      </c>
      <c r="F77" s="9" t="n"/>
      <c r="G77" s="18" t="n">
        <v>1478.05</v>
      </c>
      <c r="H77" s="18" t="n">
        <v>3027</v>
      </c>
      <c r="I77" s="18" t="n">
        <v>867.86</v>
      </c>
      <c r="J77" s="18" t="n">
        <v>1824.02</v>
      </c>
      <c r="K77" s="34" t="n">
        <v>7196.93</v>
      </c>
      <c r="L77" s="18" t="n">
        <v>2952.28</v>
      </c>
      <c r="M77" s="18" t="n">
        <v>5562.44</v>
      </c>
      <c r="N77" s="18" t="n">
        <v>6195.16</v>
      </c>
      <c r="O77" s="18" t="n">
        <v>5569.21</v>
      </c>
      <c r="P77" s="34" t="n">
        <v>20279.09</v>
      </c>
      <c r="Q77" s="18" t="n">
        <v>3225.73</v>
      </c>
      <c r="R77" s="18" t="n">
        <v>2368.39</v>
      </c>
      <c r="S77" s="18" t="n">
        <v>3537</v>
      </c>
      <c r="T77" s="18" t="n">
        <v>4178.41</v>
      </c>
      <c r="U77" s="34" t="n">
        <v>13309.53</v>
      </c>
      <c r="V77" s="18" t="n">
        <v>4577.35</v>
      </c>
      <c r="W77" s="18" t="n">
        <v>4107.83</v>
      </c>
      <c r="X77" s="18" t="n">
        <v>3738.06</v>
      </c>
      <c r="Y77" s="18" t="n">
        <v>2183.45</v>
      </c>
      <c r="Z77" s="34" t="n">
        <v>14606.69</v>
      </c>
      <c r="AA77" s="18" t="n">
        <v>1423.82</v>
      </c>
      <c r="AB77" s="19" t="n">
        <v>799.4299999999999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36</v>
      </c>
      <c r="F78" s="9" t="n"/>
      <c r="G78" s="18" t="n">
        <v>24</v>
      </c>
      <c r="H78" s="18" t="n">
        <v>0</v>
      </c>
      <c r="I78" s="18" t="n">
        <v>40.5</v>
      </c>
      <c r="K78" s="9" t="n"/>
      <c r="L78" s="18" t="n">
        <v>18.9</v>
      </c>
      <c r="M78" s="18" t="n">
        <v>51.4</v>
      </c>
      <c r="N78" s="18" t="n">
        <v>0</v>
      </c>
      <c r="O78" s="18" t="n">
        <v>0</v>
      </c>
      <c r="P78" s="34" t="n">
        <v>70.3</v>
      </c>
      <c r="S78" s="18" t="n">
        <v>1.65</v>
      </c>
      <c r="T78" s="18" t="n">
        <v>1.85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-1351.47</v>
      </c>
      <c r="F79" s="9" t="n"/>
      <c r="G79" s="18" t="n">
        <v>-424.8</v>
      </c>
      <c r="H79" s="18" t="n">
        <v>-1645.65</v>
      </c>
      <c r="I79" s="18" t="n">
        <v>28642.64</v>
      </c>
      <c r="J79" s="18" t="n">
        <v>-3846.38</v>
      </c>
      <c r="K79" s="34" t="n">
        <v>22725.81</v>
      </c>
      <c r="L79" s="18" t="n">
        <v>-291</v>
      </c>
      <c r="M79" s="18" t="n">
        <v>-4749.92</v>
      </c>
      <c r="N79" s="18" t="n">
        <v>-333.15</v>
      </c>
      <c r="O79" s="18" t="n">
        <v>-2157.11</v>
      </c>
      <c r="P79" s="34" t="n">
        <v>-7531.18</v>
      </c>
      <c r="Q79" s="18" t="n">
        <v>-1353.79</v>
      </c>
      <c r="R79" s="18" t="n">
        <v>-9374.719999999999</v>
      </c>
      <c r="S79" s="18" t="n">
        <v>-416.38</v>
      </c>
      <c r="T79" s="18" t="n">
        <v>-1384.92</v>
      </c>
      <c r="U79" s="34" t="n">
        <v>-12529.81</v>
      </c>
      <c r="V79" s="18" t="n">
        <v>-455.2</v>
      </c>
      <c r="W79" s="18" t="n">
        <v>-6925.51</v>
      </c>
      <c r="X79" s="18" t="n">
        <v>-7838.35</v>
      </c>
      <c r="Y79" s="18" t="n">
        <v>-1504.48</v>
      </c>
      <c r="Z79" s="34" t="n">
        <v>-16723.54</v>
      </c>
      <c r="AA79" s="18" t="n">
        <v>-495.43</v>
      </c>
      <c r="AB79" s="19" t="n">
        <v>-13109.61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0</v>
      </c>
      <c r="F80" s="9" t="n"/>
      <c r="G80" s="18" t="n">
        <v>10.57</v>
      </c>
      <c r="H80" s="18" t="n">
        <v>181.42</v>
      </c>
      <c r="K80" s="9" t="n"/>
      <c r="N80" s="18" t="n">
        <v>0</v>
      </c>
      <c r="O80" s="18" t="n">
        <v>0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7372.16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-1636.57</v>
      </c>
      <c r="F82" s="9" t="n"/>
      <c r="G82" s="18" t="n">
        <v>-16406.27</v>
      </c>
      <c r="H82" s="18" t="n">
        <v>-2846.87</v>
      </c>
      <c r="I82" s="18" t="n">
        <v>49325.89</v>
      </c>
      <c r="J82" s="18" t="n">
        <v>-18521.09</v>
      </c>
      <c r="K82" s="34" t="n">
        <v>11551.66</v>
      </c>
      <c r="L82" s="18" t="n">
        <v>-20317.01</v>
      </c>
      <c r="M82" s="18" t="n">
        <v>5055.22</v>
      </c>
      <c r="N82" s="18" t="n">
        <v>-26298.31</v>
      </c>
      <c r="O82" s="18" t="n">
        <v>8933.99</v>
      </c>
      <c r="P82" s="34" t="n">
        <v>-32626.11</v>
      </c>
      <c r="Q82" s="18" t="n">
        <v>42695.19</v>
      </c>
      <c r="R82" s="18" t="n">
        <v>-47790.68</v>
      </c>
      <c r="S82" s="18" t="n">
        <v>13696.15</v>
      </c>
      <c r="T82" s="18" t="n">
        <v>-7411.07</v>
      </c>
      <c r="U82" s="34" t="n">
        <v>1189.59</v>
      </c>
      <c r="V82" s="18" t="n">
        <v>2744.21</v>
      </c>
      <c r="W82" s="18" t="n">
        <v>-5207.97</v>
      </c>
      <c r="X82" s="18" t="n">
        <v>2378.55</v>
      </c>
      <c r="Y82" s="18" t="n">
        <v>3619.03</v>
      </c>
      <c r="Z82" s="34" t="n">
        <v>3533.82</v>
      </c>
      <c r="AA82" s="18" t="n">
        <v>7392.62</v>
      </c>
      <c r="AB82" s="19" t="n">
        <v>7159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-9182.83</v>
      </c>
      <c r="F83" s="9" t="n"/>
      <c r="G83" s="18" t="n">
        <v>33900.03</v>
      </c>
      <c r="H83" s="18" t="n">
        <v>-1258.59</v>
      </c>
      <c r="I83" s="18" t="n">
        <v>24831.14</v>
      </c>
      <c r="J83" s="18" t="n">
        <v>-10244.28</v>
      </c>
      <c r="K83" s="34" t="n">
        <v>47228.3</v>
      </c>
      <c r="L83" s="18" t="n">
        <v>37151.72</v>
      </c>
      <c r="M83" s="18" t="n">
        <v>2482.7</v>
      </c>
      <c r="N83" s="18" t="n">
        <v>-13127.26</v>
      </c>
      <c r="O83" s="18" t="n">
        <v>4365.47</v>
      </c>
      <c r="P83" s="34" t="n">
        <v>30872.63</v>
      </c>
      <c r="Q83" s="18" t="n">
        <v>52296.02</v>
      </c>
      <c r="R83" s="18" t="n">
        <v>-23874.41</v>
      </c>
      <c r="S83" s="18" t="n">
        <v>11051.68</v>
      </c>
      <c r="T83" s="18" t="n">
        <v>-7411.07</v>
      </c>
      <c r="U83" s="34" t="n">
        <v>32062.22</v>
      </c>
      <c r="V83" s="18" t="n">
        <v>34806.43</v>
      </c>
      <c r="W83" s="18" t="n">
        <v>-5207.97</v>
      </c>
      <c r="X83" s="18" t="n">
        <v>2378.55</v>
      </c>
      <c r="Y83" s="18" t="n">
        <v>3619.03</v>
      </c>
      <c r="Z83" s="34" t="n">
        <v>35596.04</v>
      </c>
      <c r="AA83" s="18" t="n">
        <v>42988.67</v>
      </c>
      <c r="AB83" s="19" t="n">
        <v>7158.99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F84" s="9" t="n"/>
      <c r="G84" s="18" t="n">
        <v>1454.05</v>
      </c>
      <c r="H84" s="18" t="n">
        <v>3027</v>
      </c>
      <c r="I84" s="18" t="n">
        <v>827.36</v>
      </c>
      <c r="J84" s="18" t="n">
        <v>1837.62</v>
      </c>
      <c r="K84" s="34" t="n">
        <v>7146.03</v>
      </c>
      <c r="L84" s="18" t="n">
        <v>2933.38</v>
      </c>
      <c r="M84" s="18" t="n">
        <v>5511.04</v>
      </c>
      <c r="N84" s="18" t="n">
        <v>6195.16</v>
      </c>
      <c r="O84" s="18" t="n">
        <v>5569.21</v>
      </c>
      <c r="P84" s="34" t="n">
        <v>20208.79</v>
      </c>
      <c r="Q84" s="18" t="n">
        <v>3225.73</v>
      </c>
      <c r="R84" s="18" t="n">
        <v>2354.09</v>
      </c>
      <c r="S84" s="18" t="n">
        <v>3535.35</v>
      </c>
      <c r="T84" s="18" t="n">
        <v>4176.56</v>
      </c>
      <c r="U84" s="34" t="n">
        <v>13291.73</v>
      </c>
      <c r="V84" s="18" t="n">
        <v>4577.35</v>
      </c>
      <c r="W84" s="18" t="n">
        <v>4107.83</v>
      </c>
      <c r="X84" s="18" t="n">
        <v>3738.06</v>
      </c>
      <c r="Y84" s="18" t="n">
        <v>1926.92</v>
      </c>
      <c r="Z84" s="34" t="n">
        <v>14350.16</v>
      </c>
      <c r="AA84" s="18" t="n">
        <v>1423.82</v>
      </c>
      <c r="AB84" s="19" t="n">
        <v>795.6799999999999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G85" s="18" t="n">
        <v>12.59</v>
      </c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19.81</v>
      </c>
      <c r="J86" s="18" t="n">
        <v>0</v>
      </c>
      <c r="K86" s="9" t="n"/>
      <c r="L86" s="18" t="n">
        <v>247.41</v>
      </c>
      <c r="M86" s="18" t="n">
        <v>0</v>
      </c>
      <c r="N86" s="18" t="n">
        <v>230.36</v>
      </c>
      <c r="O86" s="18" t="n">
        <v>419.19</v>
      </c>
      <c r="P86" s="34" t="n">
        <v>896.96</v>
      </c>
      <c r="Q86" s="18" t="n">
        <v>2171.45</v>
      </c>
      <c r="R86" s="18" t="n">
        <v>1030.02</v>
      </c>
      <c r="S86" s="18" t="n">
        <v>390.64</v>
      </c>
      <c r="T86" s="18" t="n">
        <v>578.59</v>
      </c>
      <c r="U86" s="34" t="n">
        <v>4170.7</v>
      </c>
      <c r="V86" s="18" t="n">
        <v>1143</v>
      </c>
      <c r="W86" s="18" t="n">
        <v>1996.34</v>
      </c>
      <c r="X86" s="18" t="n">
        <v>1572.58</v>
      </c>
      <c r="Y86" s="18" t="n">
        <v>1539.32</v>
      </c>
      <c r="Z86" s="34" t="n">
        <v>6251.24</v>
      </c>
      <c r="AA86" s="18" t="n">
        <v>8560.67</v>
      </c>
      <c r="AB86" s="19" t="n">
        <v>13138.22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I87" s="18" t="n">
        <v>500</v>
      </c>
      <c r="J87" s="18" t="n">
        <v>47.64</v>
      </c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J88" s="18" t="n">
        <v>0</v>
      </c>
      <c r="K88" s="9" t="n"/>
      <c r="P88" s="9" t="n"/>
      <c r="S88" s="18" t="n">
        <v>0.65</v>
      </c>
      <c r="T88" s="18" t="n">
        <v>1.15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1356.08</v>
      </c>
      <c r="P89" s="9" t="n"/>
      <c r="Q89" s="18" t="n">
        <v>1441.54</v>
      </c>
      <c r="R89" s="18" t="n">
        <v>975</v>
      </c>
      <c r="S89" s="18" t="n">
        <v>1706.58</v>
      </c>
      <c r="T89" s="18" t="n">
        <v>933.8200000000001</v>
      </c>
      <c r="U89" s="34" t="n">
        <v>5056.94</v>
      </c>
      <c r="V89" s="18" t="n">
        <v>1328.75</v>
      </c>
      <c r="W89" s="18" t="n">
        <v>776.8099999999999</v>
      </c>
      <c r="X89" s="18" t="n">
        <v>1028.13</v>
      </c>
      <c r="Y89" s="18" t="n">
        <v>717.54</v>
      </c>
      <c r="Z89" s="34" t="n">
        <v>3851.23</v>
      </c>
      <c r="AA89" s="18" t="n">
        <v>855.0599999999999</v>
      </c>
      <c r="AB89" s="19" t="n">
        <v>773.92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P90" s="9" t="n"/>
      <c r="U90" s="9" t="n"/>
      <c r="V90" s="18" t="n">
        <v>455.2</v>
      </c>
      <c r="W90" s="18" t="n">
        <v>458.7</v>
      </c>
      <c r="X90" s="18" t="n">
        <v>466.18</v>
      </c>
      <c r="Y90" s="18" t="n">
        <v>464.65</v>
      </c>
      <c r="Z90" s="34" t="n">
        <v>1844.73</v>
      </c>
      <c r="AA90" s="18" t="n">
        <v>495.43</v>
      </c>
      <c r="AB90" s="19" t="n">
        <v>537.2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4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4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4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4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4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4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4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4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4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4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4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4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4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4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4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4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4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4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4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4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4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4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4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4" t="n">
        <v>41655.73</v>
      </c>
      <c r="Q10" s="18" t="n">
        <v>42016.51</v>
      </c>
      <c r="R10" s="18" t="n">
        <v>51298.44</v>
      </c>
      <c r="S10" s="18" t="n">
        <v>37568.32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4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4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4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4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4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4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4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4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4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4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4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4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4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4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4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4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4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4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4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4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4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4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4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4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4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4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4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4" t="n">
        <v>13952.92</v>
      </c>
      <c r="Q16" s="18" t="n">
        <v>14738.07</v>
      </c>
      <c r="R16" s="18" t="n">
        <v>14754.24</v>
      </c>
      <c r="T16" s="18" t="n">
        <v>11255.92</v>
      </c>
      <c r="U16" s="34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4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4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4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4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4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4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4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4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4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4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4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4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4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4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4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4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4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4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4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4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4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4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4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4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4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4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4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4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4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4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4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4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4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4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4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4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4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4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4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4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4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4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4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4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4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4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4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4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4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4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4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4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4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4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4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4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4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4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4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4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4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4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4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4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4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4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4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4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4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4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4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4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4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4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4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4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4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4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4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4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4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4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4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4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4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4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4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4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4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4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4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4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4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4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4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4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4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4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4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4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4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4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4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4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4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4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4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4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4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4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4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4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4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4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4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4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4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4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4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4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4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4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4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4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4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4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4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4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4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4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4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4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4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4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4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4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4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4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4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4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4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4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4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4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4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4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4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4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4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4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4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4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4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4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4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4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4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4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4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4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4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4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4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4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4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4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4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4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4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4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4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4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4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4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4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4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4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4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4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4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4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4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4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4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4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4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4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4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4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4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4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4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4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4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4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4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4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4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4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4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4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4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4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4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4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4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4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4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4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4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4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4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4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4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4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4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4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4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4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4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4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4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4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4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4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4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4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4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4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4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4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4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4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4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4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4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4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4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4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4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4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4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4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4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4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4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4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4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4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4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4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4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4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0.06370000000000001</v>
      </c>
      <c r="F10" s="34" t="n"/>
      <c r="G10" s="18" t="n">
        <v>0.1339</v>
      </c>
      <c r="H10" s="18" t="n">
        <v>0.2108</v>
      </c>
      <c r="I10" s="18" t="n">
        <v>0.1528</v>
      </c>
      <c r="J10" s="18" t="n">
        <v>0.2163</v>
      </c>
      <c r="K10" s="34">
        <f>SUM(G10:J10)</f>
        <v/>
      </c>
      <c r="L10" s="18" t="n">
        <v>0.2375</v>
      </c>
      <c r="M10" s="18" t="n">
        <v>0.2197</v>
      </c>
      <c r="N10" s="18" t="n">
        <v>0.1641</v>
      </c>
      <c r="O10" s="18" t="n">
        <v>0.105</v>
      </c>
      <c r="P10" s="34">
        <f>SUM(L10:O10)</f>
        <v/>
      </c>
      <c r="Q10" s="18" t="n">
        <v>0.1752</v>
      </c>
      <c r="R10" s="18" t="n">
        <v>0.1498</v>
      </c>
      <c r="S10" s="18" t="n">
        <v>0.1227</v>
      </c>
      <c r="T10" s="18" t="n">
        <v>0.1455</v>
      </c>
      <c r="U10" s="34">
        <f>SUM(Q10:T10)</f>
        <v/>
      </c>
      <c r="V10" s="18" t="n">
        <v>0.1182</v>
      </c>
      <c r="W10" s="18" t="n">
        <v>0.1059</v>
      </c>
      <c r="X10" s="18" t="n">
        <v>0.1421</v>
      </c>
      <c r="Y10" s="18" t="n">
        <v>0.1502</v>
      </c>
      <c r="Z10" s="34">
        <f>SUM(V10:Y10)</f>
        <v/>
      </c>
      <c r="AA10" s="18" t="n">
        <v>0.1136</v>
      </c>
      <c r="AB10" s="19" t="n">
        <v>0.0861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이자발생자산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이자발생자산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현금및현금성자산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현금및현금성자산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CAPEX</t>
        </is>
      </c>
      <c r="B23" t="inlineStr">
        <is>
          <t>현금흐름</t>
        </is>
      </c>
      <c r="C23" t="inlineStr">
        <is>
          <t>억원</t>
        </is>
      </c>
      <c r="D23" t="inlineStr">
        <is>
          <t>CAPEX</t>
        </is>
      </c>
      <c r="E23" s="18">
        <f>IFERROR(VLOOKUP($D23,BS연결,MATCH(E$1,BS연결H,0),0)/100,"")</f>
        <v/>
      </c>
      <c r="F23" s="34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5">
        <f>SUM(AA23:AD23)</f>
        <v/>
      </c>
      <c r="AF23" s="20" t="n"/>
      <c r="AG23" s="20" t="n"/>
      <c r="AH23" s="20" t="n"/>
      <c r="AI23" s="20" t="n"/>
      <c r="AJ23" s="35">
        <f>SUM(AF23:AI23)</f>
        <v/>
      </c>
      <c r="AK23" s="20" t="n"/>
      <c r="AL23" s="20" t="n"/>
      <c r="AM23" s="20" t="n"/>
      <c r="AN23" s="20" t="n"/>
      <c r="AO23" s="35">
        <f>SUM(AK23:AN23)</f>
        <v/>
      </c>
    </row>
    <row r="24">
      <c r="A24" s="12" t="inlineStr">
        <is>
          <t>영업활동현금흐름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영업활동현금흐름</t>
        </is>
      </c>
      <c r="E24" s="18" t="n">
        <v>56.32</v>
      </c>
      <c r="F24" s="34" t="n"/>
      <c r="G24" s="18" t="n">
        <v>13.09</v>
      </c>
      <c r="H24" s="18" t="n">
        <v>75.59</v>
      </c>
      <c r="I24" s="18" t="n">
        <v>197.14</v>
      </c>
      <c r="J24" s="18" t="n">
        <v>177.24</v>
      </c>
      <c r="K24" s="34">
        <f>SUM(G24:J24)</f>
        <v/>
      </c>
      <c r="L24" s="18" t="n">
        <v>87.44</v>
      </c>
      <c r="M24" s="18" t="n">
        <v>177.12</v>
      </c>
      <c r="N24" s="18" t="n">
        <v>187.69</v>
      </c>
      <c r="O24" s="18" t="n">
        <v>91.09999999999999</v>
      </c>
      <c r="P24" s="34">
        <f>SUM(L24:O24)</f>
        <v/>
      </c>
      <c r="Q24" s="18" t="n">
        <v>304.88</v>
      </c>
      <c r="R24" s="18" t="n">
        <v>78.43000000000001</v>
      </c>
      <c r="S24" s="18" t="n">
        <v>89.98</v>
      </c>
      <c r="T24" s="18" t="n">
        <v>119.06</v>
      </c>
      <c r="U24" s="34">
        <f>SUM(Q24:T24)</f>
        <v/>
      </c>
      <c r="V24" s="18" t="n">
        <v>121.24</v>
      </c>
      <c r="W24" s="18" t="n">
        <v>-41.31</v>
      </c>
      <c r="X24" s="18" t="n">
        <v>32.53</v>
      </c>
      <c r="Y24" s="18" t="n">
        <v>81.2</v>
      </c>
      <c r="Z24" s="34">
        <f>SUM(V24:Y24)</f>
        <v/>
      </c>
      <c r="AA24" s="18" t="n">
        <v>151.67</v>
      </c>
      <c r="AB24" s="19" t="n">
        <v>236.9</v>
      </c>
      <c r="AC24" s="20" t="n"/>
      <c r="AD24" s="20" t="n"/>
      <c r="AE24" s="35">
        <f>SUM(AA24:AD24)</f>
        <v/>
      </c>
      <c r="AF24" s="20" t="n"/>
      <c r="AG24" s="20" t="n"/>
      <c r="AH24" s="20" t="n"/>
      <c r="AI24" s="20" t="n"/>
      <c r="AJ24" s="35">
        <f>SUM(AF24:AI24)</f>
        <v/>
      </c>
      <c r="AK24" s="20" t="n"/>
      <c r="AL24" s="20" t="n"/>
      <c r="AM24" s="20" t="n"/>
      <c r="AN24" s="20" t="n"/>
      <c r="AO24" s="35">
        <f>SUM(AK24:AN24)</f>
        <v/>
      </c>
    </row>
    <row r="25">
      <c r="A25" s="12" t="inlineStr">
        <is>
          <t>주식수</t>
        </is>
      </c>
      <c r="B25" t="inlineStr">
        <is>
          <t>주당</t>
        </is>
      </c>
      <c r="C25" t="inlineStr">
        <is>
          <t>백만주</t>
        </is>
      </c>
      <c r="D25" t="inlineStr">
        <is>
          <t>유통주식수</t>
        </is>
      </c>
      <c r="E25" s="26" t="n">
        <v>25.867</v>
      </c>
      <c r="F25" s="27">
        <f>E25</f>
        <v/>
      </c>
      <c r="G25" s="26" t="n">
        <v>25.867</v>
      </c>
      <c r="H25" s="26" t="n">
        <v>25.867</v>
      </c>
      <c r="I25" s="26" t="n">
        <v>25.867</v>
      </c>
      <c r="J25" s="26" t="n">
        <v>25.867</v>
      </c>
      <c r="K25" s="27">
        <f>J25</f>
        <v/>
      </c>
      <c r="L25" s="26" t="n">
        <v>25.867</v>
      </c>
      <c r="M25" s="26" t="n">
        <v>25.867</v>
      </c>
      <c r="N25" s="26" t="n">
        <v>25.867</v>
      </c>
      <c r="O25" s="26" t="n">
        <v>25.867</v>
      </c>
      <c r="P25" s="27">
        <f>O25</f>
        <v/>
      </c>
      <c r="Q25" s="26" t="n">
        <v>25.867</v>
      </c>
      <c r="R25" s="26" t="n">
        <v>25.867</v>
      </c>
      <c r="S25" s="26" t="n">
        <v>25.867</v>
      </c>
      <c r="T25" s="26" t="n">
        <v>25.867</v>
      </c>
      <c r="U25" s="27">
        <f>T25</f>
        <v/>
      </c>
      <c r="V25" s="26" t="n">
        <v>25.867</v>
      </c>
      <c r="W25" s="26" t="n">
        <v>25.867</v>
      </c>
      <c r="X25" s="26" t="n">
        <v>25.867</v>
      </c>
      <c r="Y25" s="26" t="n">
        <v>25.867</v>
      </c>
      <c r="Z25" s="27">
        <f>Y25</f>
        <v/>
      </c>
      <c r="AA25" s="26" t="n">
        <v>25.867</v>
      </c>
      <c r="AB25" s="28" t="n">
        <v>25.684</v>
      </c>
      <c r="AC25" s="36">
        <f>IFERROR(AB25*(1+변수!AC36),"")</f>
        <v/>
      </c>
      <c r="AD25" s="36">
        <f>IFERROR(AC25*(1+변수!AD36),"")</f>
        <v/>
      </c>
      <c r="AE25" s="30">
        <f>AD25</f>
        <v/>
      </c>
      <c r="AF25" s="36">
        <f>IFERROR(AD25*(1+변수!AF36),"")</f>
        <v/>
      </c>
      <c r="AG25" s="36">
        <f>IFERROR(AF25*(1+변수!AG36),"")</f>
        <v/>
      </c>
      <c r="AH25" s="36">
        <f>IFERROR(AG25*(1+변수!AH36),"")</f>
        <v/>
      </c>
      <c r="AI25" s="36">
        <f>IFERROR(AH25*(1+변수!AI36),"")</f>
        <v/>
      </c>
      <c r="AJ25" s="30">
        <f>AI25</f>
        <v/>
      </c>
      <c r="AK25" s="36">
        <f>IFERROR(AI25*(1+변수!AK36),"")</f>
        <v/>
      </c>
      <c r="AL25" s="36">
        <f>IFERROR(AK25*(1+변수!AL36),"")</f>
        <v/>
      </c>
      <c r="AM25" s="36">
        <f>IFERROR(AL25*(1+변수!AM36),"")</f>
        <v/>
      </c>
      <c r="AN25" s="36">
        <f>IFERROR(AM25*(1+변수!AN36),"")</f>
        <v/>
      </c>
      <c r="AO25" s="30">
        <f>AN25</f>
        <v/>
      </c>
    </row>
    <row r="26">
      <c r="A26" s="12" t="inlineStr">
        <is>
          <t>EPS</t>
        </is>
      </c>
      <c r="B26" t="inlineStr">
        <is>
          <t>주당</t>
        </is>
      </c>
      <c r="C26" t="inlineStr">
        <is>
          <t>원</t>
        </is>
      </c>
      <c r="D26" t="inlineStr">
        <is>
          <t>EPS</t>
        </is>
      </c>
      <c r="E26" s="18">
        <f>IFERROR(E16*100/E25,"")</f>
        <v/>
      </c>
      <c r="F26" s="34" t="n"/>
      <c r="G26" s="18">
        <f>IFERROR(G16*100/G25,"")</f>
        <v/>
      </c>
      <c r="H26" s="18">
        <f>IFERROR(H16*100/H25,"")</f>
        <v/>
      </c>
      <c r="I26" s="18">
        <f>IFERROR(I16*100/I25,"")</f>
        <v/>
      </c>
      <c r="J26" s="18">
        <f>IFERROR(J16*100/J25,"")</f>
        <v/>
      </c>
      <c r="K26" s="34">
        <f>SUM(G26:J26)</f>
        <v/>
      </c>
      <c r="L26" s="18">
        <f>IFERROR(L16*100/L25,"")</f>
        <v/>
      </c>
      <c r="M26" s="18">
        <f>IFERROR(M16*100/M25,"")</f>
        <v/>
      </c>
      <c r="N26" s="18">
        <f>IFERROR(N16*100/N25,"")</f>
        <v/>
      </c>
      <c r="O26" s="18">
        <f>IFERROR(O16*100/O25,"")</f>
        <v/>
      </c>
      <c r="P26" s="34">
        <f>SUM(L26:O26)</f>
        <v/>
      </c>
      <c r="Q26" s="18">
        <f>IFERROR(Q16*100/Q25,"")</f>
        <v/>
      </c>
      <c r="R26" s="18">
        <f>IFERROR(R16*100/R25,"")</f>
        <v/>
      </c>
      <c r="S26" s="18">
        <f>IFERROR(S16*100/S25,"")</f>
        <v/>
      </c>
      <c r="T26" s="18">
        <f>IFERROR(T16*100/T25,"")</f>
        <v/>
      </c>
      <c r="U26" s="34">
        <f>SUM(Q26:T26)</f>
        <v/>
      </c>
      <c r="V26" s="18">
        <f>IFERROR(V16*100/V25,"")</f>
        <v/>
      </c>
      <c r="W26" s="18">
        <f>IFERROR(W16*100/W25,"")</f>
        <v/>
      </c>
      <c r="X26" s="18">
        <f>IFERROR(X16*100/X25,"")</f>
        <v/>
      </c>
      <c r="Y26" s="18">
        <f>IFERROR(Y16*100/Y25,"")</f>
        <v/>
      </c>
      <c r="Z26" s="34">
        <f>SUM(V26:Y26)</f>
        <v/>
      </c>
      <c r="AA26" s="18">
        <f>IFERROR(AA16*100/AA25,"")</f>
        <v/>
      </c>
      <c r="AB26" s="19">
        <f>IFERROR(AB16*100/AB25,"")</f>
        <v/>
      </c>
      <c r="AC26" s="20">
        <f>IFERROR(AC16*100/AC25,"")</f>
        <v/>
      </c>
      <c r="AD26" s="20">
        <f>IFERROR(AD16*100/AD25,"")</f>
        <v/>
      </c>
      <c r="AE26" s="35">
        <f>SUM(AA26:AD26)</f>
        <v/>
      </c>
      <c r="AF26" s="20">
        <f>IFERROR(AF16*100/AF25,"")</f>
        <v/>
      </c>
      <c r="AG26" s="20">
        <f>IFERROR(AG16*100/AG25,"")</f>
        <v/>
      </c>
      <c r="AH26" s="20">
        <f>IFERROR(AH16*100/AH25,"")</f>
        <v/>
      </c>
      <c r="AI26" s="20">
        <f>IFERROR(AI16*100/AI25,"")</f>
        <v/>
      </c>
      <c r="AJ26" s="35">
        <f>SUM(AF26:AI26)</f>
        <v/>
      </c>
      <c r="AK26" s="20">
        <f>IFERROR(AK16*100/AK25,"")</f>
        <v/>
      </c>
      <c r="AL26" s="20">
        <f>IFERROR(AL16*100/AL25,"")</f>
        <v/>
      </c>
      <c r="AM26" s="20">
        <f>IFERROR(AM16*100/AM25,"")</f>
        <v/>
      </c>
      <c r="AN26" s="20">
        <f>IFERROR(AN16*100/AN25,"")</f>
        <v/>
      </c>
      <c r="AO26" s="35">
        <f>SUM(AK26:AN26)</f>
        <v/>
      </c>
    </row>
    <row r="27">
      <c r="A27" s="12" t="inlineStr">
        <is>
          <t>BPS</t>
        </is>
      </c>
      <c r="B27" t="inlineStr">
        <is>
          <t>주당</t>
        </is>
      </c>
      <c r="C27" t="inlineStr">
        <is>
          <t>원</t>
        </is>
      </c>
      <c r="D27" t="inlineStr">
        <is>
          <t>BPS</t>
        </is>
      </c>
      <c r="E27" s="18">
        <f>IFERROR(E20*100/E25,"")</f>
        <v/>
      </c>
      <c r="F27" s="34">
        <f>E27</f>
        <v/>
      </c>
      <c r="G27" s="18">
        <f>IFERROR(G20*100/G25,"")</f>
        <v/>
      </c>
      <c r="H27" s="18">
        <f>IFERROR(H20*100/H25,"")</f>
        <v/>
      </c>
      <c r="I27" s="18">
        <f>IFERROR(I20*100/I25,"")</f>
        <v/>
      </c>
      <c r="J27" s="18">
        <f>IFERROR(J20*100/J25,"")</f>
        <v/>
      </c>
      <c r="K27" s="34">
        <f>J27</f>
        <v/>
      </c>
      <c r="L27" s="18">
        <f>IFERROR(L20*100/L25,"")</f>
        <v/>
      </c>
      <c r="M27" s="18">
        <f>IFERROR(M20*100/M25,"")</f>
        <v/>
      </c>
      <c r="N27" s="18">
        <f>IFERROR(N20*100/N25,"")</f>
        <v/>
      </c>
      <c r="O27" s="18">
        <f>IFERROR(O20*100/O25,"")</f>
        <v/>
      </c>
      <c r="P27" s="34">
        <f>O27</f>
        <v/>
      </c>
      <c r="Q27" s="18">
        <f>IFERROR(Q20*100/Q25,"")</f>
        <v/>
      </c>
      <c r="R27" s="18">
        <f>IFERROR(R20*100/R25,"")</f>
        <v/>
      </c>
      <c r="S27" s="18">
        <f>IFERROR(S20*100/S25,"")</f>
        <v/>
      </c>
      <c r="T27" s="18">
        <f>IFERROR(T20*100/T25,"")</f>
        <v/>
      </c>
      <c r="U27" s="34">
        <f>T27</f>
        <v/>
      </c>
      <c r="V27" s="18">
        <f>IFERROR(V20*100/V25,"")</f>
        <v/>
      </c>
      <c r="W27" s="18">
        <f>IFERROR(W20*100/W25,"")</f>
        <v/>
      </c>
      <c r="X27" s="18">
        <f>IFERROR(X20*100/X25,"")</f>
        <v/>
      </c>
      <c r="Y27" s="18">
        <f>IFERROR(Y20*100/Y25,"")</f>
        <v/>
      </c>
      <c r="Z27" s="34">
        <f>Y27</f>
        <v/>
      </c>
      <c r="AA27" s="18">
        <f>IFERROR(AA20*100/AA25,"")</f>
        <v/>
      </c>
      <c r="AB27" s="19">
        <f>IFERROR(AB20*100/AB25,"")</f>
        <v/>
      </c>
      <c r="AC27" s="20">
        <f>IFERROR(AC20*100/AC25,"")</f>
        <v/>
      </c>
      <c r="AD27" s="20">
        <f>IFERROR(AD20*100/AD25,"")</f>
        <v/>
      </c>
      <c r="AE27" s="35">
        <f>AD27</f>
        <v/>
      </c>
      <c r="AF27" s="20">
        <f>IFERROR(AF20*100/AF25,"")</f>
        <v/>
      </c>
      <c r="AG27" s="20">
        <f>IFERROR(AG20*100/AG25,"")</f>
        <v/>
      </c>
      <c r="AH27" s="20">
        <f>IFERROR(AH20*100/AH25,"")</f>
        <v/>
      </c>
      <c r="AI27" s="20">
        <f>IFERROR(AI20*100/AI25,"")</f>
        <v/>
      </c>
      <c r="AJ27" s="35">
        <f>AI27</f>
        <v/>
      </c>
      <c r="AK27" s="20">
        <f>IFERROR(AK20*100/AK25,"")</f>
        <v/>
      </c>
      <c r="AL27" s="20">
        <f>IFERROR(AL20*100/AL25,"")</f>
        <v/>
      </c>
      <c r="AM27" s="20">
        <f>IFERROR(AM20*100/AM25,"")</f>
        <v/>
      </c>
      <c r="AN27" s="20">
        <f>IFERROR(AN20*100/AN25,"")</f>
        <v/>
      </c>
      <c r="AO27" s="35">
        <f>AN27</f>
        <v/>
      </c>
    </row>
    <row r="28">
      <c r="A28" s="12" t="inlineStr">
        <is>
          <t>DPS</t>
        </is>
      </c>
      <c r="B28" t="inlineStr">
        <is>
          <t>주당</t>
        </is>
      </c>
      <c r="C28" t="inlineStr">
        <is>
          <t>원</t>
        </is>
      </c>
      <c r="D28" t="inlineStr">
        <is>
          <t>DPS(보통주)</t>
        </is>
      </c>
      <c r="E28" s="18" t="n">
        <v>100</v>
      </c>
      <c r="F28" s="34" t="n">
        <v>100</v>
      </c>
      <c r="G28" s="18" t="n"/>
      <c r="H28" s="18" t="n"/>
      <c r="I28" s="18" t="n"/>
      <c r="J28" s="18" t="n">
        <v>170</v>
      </c>
      <c r="K28" s="34">
        <f>SUM(G28:J28)</f>
        <v/>
      </c>
      <c r="L28" s="18" t="n"/>
      <c r="M28" s="18" t="n"/>
      <c r="N28" s="18" t="n"/>
      <c r="O28" s="18" t="n">
        <v>170</v>
      </c>
      <c r="P28" s="34">
        <f>SUM(L28:O28)</f>
        <v/>
      </c>
      <c r="Q28" s="18" t="n"/>
      <c r="R28" s="18" t="n"/>
      <c r="S28" s="18" t="n"/>
      <c r="T28" s="18" t="n">
        <v>250</v>
      </c>
      <c r="U28" s="34">
        <f>SUM(Q28:T28)</f>
        <v/>
      </c>
      <c r="V28" s="18" t="n"/>
      <c r="W28" s="18" t="n"/>
      <c r="X28" s="18" t="n"/>
      <c r="Y28" s="18" t="n">
        <v>535</v>
      </c>
      <c r="Z28" s="34">
        <f>SUM(V28:Y28)</f>
        <v/>
      </c>
      <c r="AA28" s="18" t="n"/>
      <c r="AB28" s="19" t="n"/>
      <c r="AC28" s="20" t="n"/>
      <c r="AD28" s="20">
        <f>IFERROR(Y28*(1+변수!AD37),"")</f>
        <v/>
      </c>
      <c r="AE28" s="35">
        <f>SUM(AA28:AD28)</f>
        <v/>
      </c>
      <c r="AF28" s="20" t="n"/>
      <c r="AG28" s="20" t="n"/>
      <c r="AH28" s="20" t="n"/>
      <c r="AI28" s="20">
        <f>IFERROR(AD28*(1+변수!AI37),"")</f>
        <v/>
      </c>
      <c r="AJ28" s="35">
        <f>SUM(AF28:AI28)</f>
        <v/>
      </c>
      <c r="AK28" s="20" t="n"/>
      <c r="AL28" s="20" t="n"/>
      <c r="AM28" s="20" t="n"/>
      <c r="AN28" s="20">
        <f>IFERROR(AI28*(1+변수!AN37),"")</f>
        <v/>
      </c>
      <c r="AO28" s="35">
        <f>SUM(AK28:AN28)</f>
        <v/>
      </c>
    </row>
    <row r="29">
      <c r="A29" s="12" t="inlineStr">
        <is>
          <t>PER</t>
        </is>
      </c>
      <c r="B29" t="inlineStr">
        <is>
          <t>주당</t>
        </is>
      </c>
      <c r="C29" t="inlineStr">
        <is>
          <t>배</t>
        </is>
      </c>
      <c r="D29" t="inlineStr">
        <is>
          <t>PER</t>
        </is>
      </c>
      <c r="E29" s="18" t="n"/>
      <c r="F29" s="34" t="n"/>
      <c r="G29" s="18" t="n"/>
      <c r="H29" s="18" t="n"/>
      <c r="I29" s="18" t="n">
        <v>12.75</v>
      </c>
      <c r="J29" s="18" t="n">
        <v>12.04</v>
      </c>
      <c r="K29" s="34">
        <f>SUM(G29:J29)</f>
        <v/>
      </c>
      <c r="L29" s="18" t="n">
        <v>8.66</v>
      </c>
      <c r="M29" s="18" t="n">
        <v>8.779999999999999</v>
      </c>
      <c r="N29" s="18" t="n">
        <v>9.26</v>
      </c>
      <c r="O29" s="18" t="n">
        <v>7.25</v>
      </c>
      <c r="P29" s="34">
        <f>SUM(L29:O29)</f>
        <v/>
      </c>
      <c r="Q29" s="18" t="n">
        <v>6.46</v>
      </c>
      <c r="R29" s="18" t="n">
        <v>7.15</v>
      </c>
      <c r="S29" s="18" t="n">
        <v>9.279999999999999</v>
      </c>
      <c r="T29" s="18" t="n">
        <v>8.550000000000001</v>
      </c>
      <c r="U29" s="34">
        <f>SUM(Q29:T29)</f>
        <v/>
      </c>
      <c r="V29" s="18" t="n">
        <v>14.58</v>
      </c>
      <c r="W29" s="18" t="n">
        <v>12.26</v>
      </c>
      <c r="X29" s="18" t="n">
        <v>9.23</v>
      </c>
      <c r="Y29" s="18" t="n">
        <v>10.08</v>
      </c>
      <c r="Z29" s="34">
        <f>SUM(V29:Y29)</f>
        <v/>
      </c>
      <c r="AA29" s="18" t="n">
        <v>9.07</v>
      </c>
      <c r="AB29" s="19" t="n">
        <v>7.6</v>
      </c>
      <c r="AC29" s="20">
        <f>IFERROR(X29*(1+변수!AC38),"")</f>
        <v/>
      </c>
      <c r="AD29" s="20">
        <f>IFERROR(Y29*(1+변수!AD38),"")</f>
        <v/>
      </c>
      <c r="AE29" s="35">
        <f>SUM(AA29:AD29)</f>
        <v/>
      </c>
      <c r="AF29" s="20">
        <f>IFERROR(AA29*(1+변수!AF38),"")</f>
        <v/>
      </c>
      <c r="AG29" s="20">
        <f>IFERROR(AB29*(1+변수!AG38),"")</f>
        <v/>
      </c>
      <c r="AH29" s="20">
        <f>IFERROR(AC29*(1+변수!AH38),"")</f>
        <v/>
      </c>
      <c r="AI29" s="20">
        <f>IFERROR(AD29*(1+변수!AI38),"")</f>
        <v/>
      </c>
      <c r="AJ29" s="35">
        <f>SUM(AF29:AI29)</f>
        <v/>
      </c>
      <c r="AK29" s="20">
        <f>IFERROR(AF29*(1+변수!AK38),"")</f>
        <v/>
      </c>
      <c r="AL29" s="20">
        <f>IFERROR(AG29*(1+변수!AL38),"")</f>
        <v/>
      </c>
      <c r="AM29" s="20">
        <f>IFERROR(AH29*(1+변수!AM38),"")</f>
        <v/>
      </c>
      <c r="AN29" s="20">
        <f>IFERROR(AI29*(1+변수!AN38),"")</f>
        <v/>
      </c>
      <c r="AO29" s="35">
        <f>SUM(AK29:AN29)</f>
        <v/>
      </c>
    </row>
    <row r="30">
      <c r="A30" s="12" t="inlineStr">
        <is>
          <t>PBR</t>
        </is>
      </c>
      <c r="B30" t="inlineStr">
        <is>
          <t>주당</t>
        </is>
      </c>
      <c r="C30" t="inlineStr">
        <is>
          <t>배</t>
        </is>
      </c>
      <c r="D30" t="inlineStr">
        <is>
          <t>PBR</t>
        </is>
      </c>
      <c r="E30" s="18" t="n">
        <v>0.64</v>
      </c>
      <c r="F30" s="34" t="n">
        <v>0.64</v>
      </c>
      <c r="G30" s="18" t="n">
        <v>0.62</v>
      </c>
      <c r="H30" s="18" t="n">
        <v>0.67</v>
      </c>
      <c r="I30" s="18" t="n">
        <v>0.85</v>
      </c>
      <c r="J30" s="18" t="n">
        <v>0.9</v>
      </c>
      <c r="K30" s="34">
        <f>SUM(G30:J30)</f>
        <v/>
      </c>
      <c r="L30" s="18" t="n">
        <v>0.83</v>
      </c>
      <c r="M30" s="18" t="n">
        <v>0.9</v>
      </c>
      <c r="N30" s="18" t="n">
        <v>0.98</v>
      </c>
      <c r="O30" s="18" t="n">
        <v>0.75</v>
      </c>
      <c r="P30" s="34">
        <f>SUM(L30:O30)</f>
        <v/>
      </c>
      <c r="Q30" s="18" t="n">
        <v>0.62</v>
      </c>
      <c r="R30" s="18" t="n">
        <v>0.58</v>
      </c>
      <c r="S30" s="18" t="n">
        <v>0.67</v>
      </c>
      <c r="T30" s="18" t="n">
        <v>0.68</v>
      </c>
      <c r="U30" s="34">
        <f>SUM(Q30:T30)</f>
        <v/>
      </c>
      <c r="V30" s="18" t="n">
        <v>1</v>
      </c>
      <c r="W30" s="18" t="n">
        <v>0.91</v>
      </c>
      <c r="X30" s="18" t="n">
        <v>0.99</v>
      </c>
      <c r="Y30" s="18" t="n">
        <v>1.03</v>
      </c>
      <c r="Z30" s="34">
        <f>SUM(V30:Y30)</f>
        <v/>
      </c>
      <c r="AA30" s="18" t="n">
        <v>1.13</v>
      </c>
      <c r="AB30" s="19" t="n">
        <v>1.34</v>
      </c>
      <c r="AC30" s="20">
        <f>IFERROR(X30*(1+변수!AC39),"")</f>
        <v/>
      </c>
      <c r="AD30" s="20">
        <f>IFERROR(Y30*(1+변수!AD39),"")</f>
        <v/>
      </c>
      <c r="AE30" s="35">
        <f>SUM(AA30:AD30)</f>
        <v/>
      </c>
      <c r="AF30" s="20">
        <f>IFERROR(AA30*(1+변수!AF39),"")</f>
        <v/>
      </c>
      <c r="AG30" s="20">
        <f>IFERROR(AB30*(1+변수!AG39),"")</f>
        <v/>
      </c>
      <c r="AH30" s="20">
        <f>IFERROR(AC30*(1+변수!AH39),"")</f>
        <v/>
      </c>
      <c r="AI30" s="20">
        <f>IFERROR(AD30*(1+변수!AI39),"")</f>
        <v/>
      </c>
      <c r="AJ30" s="35">
        <f>SUM(AF30:AI30)</f>
        <v/>
      </c>
      <c r="AK30" s="20">
        <f>IFERROR(AF30*(1+변수!AK39),"")</f>
        <v/>
      </c>
      <c r="AL30" s="20">
        <f>IFERROR(AG30*(1+변수!AL39),"")</f>
        <v/>
      </c>
      <c r="AM30" s="20">
        <f>IFERROR(AH30*(1+변수!AM39),"")</f>
        <v/>
      </c>
      <c r="AN30" s="20">
        <f>IFERROR(AI30*(1+변수!AN39),"")</f>
        <v/>
      </c>
      <c r="AO30" s="35">
        <f>SUM(AK30:AN30)</f>
        <v/>
      </c>
    </row>
    <row r="31">
      <c r="A31" s="12" t="inlineStr">
        <is>
          <t>매출전사</t>
        </is>
      </c>
      <c r="B31" t="inlineStr">
        <is>
          <t>사업부</t>
        </is>
      </c>
      <c r="C31" t="inlineStr">
        <is>
          <t>억원</t>
        </is>
      </c>
      <c r="D31" t="inlineStr">
        <is>
          <t>매출 전사(부문 미분리)</t>
        </is>
      </c>
      <c r="E31" s="18" t="n">
        <v>458.83</v>
      </c>
      <c r="F31" s="34" t="n"/>
      <c r="G31" s="18" t="n">
        <v>490.65</v>
      </c>
      <c r="H31" s="18" t="n">
        <v>564.89</v>
      </c>
      <c r="I31" s="18" t="n">
        <v>679.35</v>
      </c>
      <c r="J31" s="18" t="n">
        <v>762.54</v>
      </c>
      <c r="K31" s="34">
        <f>SUM(G31:J31)</f>
        <v/>
      </c>
      <c r="L31" s="18" t="n">
        <v>839.13</v>
      </c>
      <c r="M31" s="18" t="n">
        <v>822.24</v>
      </c>
      <c r="N31" s="18" t="n">
        <v>745.9</v>
      </c>
      <c r="O31" s="18" t="n">
        <v>713.4</v>
      </c>
      <c r="P31" s="34">
        <f>SUM(L31:O31)</f>
        <v/>
      </c>
      <c r="Q31" s="18" t="n">
        <v>733.65</v>
      </c>
      <c r="R31" s="18" t="n">
        <v>655.38</v>
      </c>
      <c r="S31" s="18" t="n">
        <v>617.53</v>
      </c>
      <c r="T31" s="18" t="n">
        <v>661.53</v>
      </c>
      <c r="U31" s="34">
        <f>SUM(Q31:T31)</f>
        <v/>
      </c>
      <c r="V31" s="18" t="n">
        <v>626.35</v>
      </c>
      <c r="W31" s="18" t="n">
        <v>723.16</v>
      </c>
      <c r="X31" s="18" t="n">
        <v>814.15</v>
      </c>
      <c r="Y31" s="18" t="n">
        <v>806</v>
      </c>
      <c r="Z31" s="34">
        <f>SUM(V31:Y31)</f>
        <v/>
      </c>
      <c r="AA31" s="18" t="n">
        <v>822.75</v>
      </c>
      <c r="AB31" s="19" t="n">
        <v>837.46</v>
      </c>
      <c r="AC31" s="20">
        <f>IFERROR(AC5*변수!AC40,"")</f>
        <v/>
      </c>
      <c r="AD31" s="20">
        <f>IFERROR(AD5*변수!AD40,"")</f>
        <v/>
      </c>
      <c r="AE31" s="35">
        <f>SUM(AA31:AD31)</f>
        <v/>
      </c>
      <c r="AF31" s="20">
        <f>IFERROR(AF5*변수!AF40,"")</f>
        <v/>
      </c>
      <c r="AG31" s="20">
        <f>IFERROR(AG5*변수!AG40,"")</f>
        <v/>
      </c>
      <c r="AH31" s="20">
        <f>IFERROR(AH5*변수!AH40,"")</f>
        <v/>
      </c>
      <c r="AI31" s="20">
        <f>IFERROR(AI5*변수!AI40,"")</f>
        <v/>
      </c>
      <c r="AJ31" s="35">
        <f>SUM(AF31:AI31)</f>
        <v/>
      </c>
      <c r="AK31" s="20">
        <f>IFERROR(AK5*변수!AK40,"")</f>
        <v/>
      </c>
      <c r="AL31" s="20">
        <f>IFERROR(AL5*변수!AL40,"")</f>
        <v/>
      </c>
      <c r="AM31" s="20">
        <f>IFERROR(AM5*변수!AM40,"")</f>
        <v/>
      </c>
      <c r="AN31" s="20">
        <f>IFERROR(AN5*변수!AN40,"")</f>
        <v/>
      </c>
      <c r="AO31" s="35">
        <f>SUM(AK31:AN31)</f>
        <v/>
      </c>
    </row>
    <row r="32">
      <c r="A32" s="12" t="inlineStr">
        <is>
          <t>OP전사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OP 전사(부문 미분리)</t>
        </is>
      </c>
      <c r="E32" s="18" t="n">
        <v>29.21</v>
      </c>
      <c r="F32" s="34" t="n"/>
      <c r="G32" s="18" t="n">
        <v>65.69</v>
      </c>
      <c r="H32" s="18" t="n">
        <v>119.05</v>
      </c>
      <c r="I32" s="18" t="n">
        <v>103.83</v>
      </c>
      <c r="J32" s="18" t="n">
        <v>164.93</v>
      </c>
      <c r="K32" s="34">
        <f>SUM(G32:J32)</f>
        <v/>
      </c>
      <c r="L32" s="18" t="n">
        <v>199.25</v>
      </c>
      <c r="M32" s="18" t="n">
        <v>180.67</v>
      </c>
      <c r="N32" s="18" t="n">
        <v>122.38</v>
      </c>
      <c r="O32" s="18" t="n">
        <v>74.93000000000001</v>
      </c>
      <c r="P32" s="34">
        <f>SUM(L32:O32)</f>
        <v/>
      </c>
      <c r="Q32" s="18" t="n">
        <v>128.54</v>
      </c>
      <c r="R32" s="18" t="n">
        <v>98.17</v>
      </c>
      <c r="S32" s="18" t="n">
        <v>75.78</v>
      </c>
      <c r="T32" s="18" t="n">
        <v>96.23999999999999</v>
      </c>
      <c r="U32" s="34">
        <f>SUM(Q32:T32)</f>
        <v/>
      </c>
      <c r="V32" s="18" t="n">
        <v>74.04000000000001</v>
      </c>
      <c r="W32" s="18" t="n">
        <v>76.56999999999999</v>
      </c>
      <c r="X32" s="18" t="n">
        <v>115.69</v>
      </c>
      <c r="Y32" s="18" t="n">
        <v>121.05</v>
      </c>
      <c r="Z32" s="34">
        <f>SUM(V32:Y32)</f>
        <v/>
      </c>
      <c r="AA32" s="18" t="n">
        <v>93.5</v>
      </c>
      <c r="AB32" s="19" t="n">
        <v>72.12</v>
      </c>
      <c r="AC32" s="20">
        <f>IFERROR(AC31*변수!AC41,"")</f>
        <v/>
      </c>
      <c r="AD32" s="20">
        <f>IFERROR(AD31*변수!AD41,"")</f>
        <v/>
      </c>
      <c r="AE32" s="35">
        <f>SUM(AA32:AD32)</f>
        <v/>
      </c>
      <c r="AF32" s="20">
        <f>IFERROR(AF31*변수!AF41,"")</f>
        <v/>
      </c>
      <c r="AG32" s="20">
        <f>IFERROR(AG31*변수!AG41,"")</f>
        <v/>
      </c>
      <c r="AH32" s="20">
        <f>IFERROR(AH31*변수!AH41,"")</f>
        <v/>
      </c>
      <c r="AI32" s="20">
        <f>IFERROR(AI31*변수!AI41,"")</f>
        <v/>
      </c>
      <c r="AJ32" s="35">
        <f>SUM(AF32:AI32)</f>
        <v/>
      </c>
      <c r="AK32" s="20">
        <f>IFERROR(AK31*변수!AK41,"")</f>
        <v/>
      </c>
      <c r="AL32" s="20">
        <f>IFERROR(AL31*변수!AL41,"")</f>
        <v/>
      </c>
      <c r="AM32" s="20">
        <f>IFERROR(AM31*변수!AM41,"")</f>
        <v/>
      </c>
      <c r="AN32" s="20">
        <f>IFERROR(AN31*변수!AN41,"")</f>
        <v/>
      </c>
      <c r="AO32" s="35">
        <f>SUM(AK32:AN32)</f>
        <v/>
      </c>
    </row>
    <row r="33">
      <c r="B33" s="2" t="inlineStr">
        <is>
          <t>비율(참고)</t>
        </is>
      </c>
      <c r="F33" s="9" t="n"/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s="12" t="inlineStr">
        <is>
          <t>OPM</t>
        </is>
      </c>
      <c r="C34" t="inlineStr">
        <is>
          <t>%</t>
        </is>
      </c>
      <c r="D34" t="inlineStr">
        <is>
          <t>영업이익 / 매출액</t>
        </is>
      </c>
      <c r="E34" s="21">
        <f>IFERROR(E9/E5,"")</f>
        <v/>
      </c>
      <c r="F34" s="22">
        <f>IFERROR(F9/F5,"")</f>
        <v/>
      </c>
      <c r="G34" s="21">
        <f>IFERROR(G9/G5,"")</f>
        <v/>
      </c>
      <c r="H34" s="21">
        <f>IFERROR(H9/H5,"")</f>
        <v/>
      </c>
      <c r="I34" s="21">
        <f>IFERROR(I9/I5,"")</f>
        <v/>
      </c>
      <c r="J34" s="21">
        <f>IFERROR(J9/J5,"")</f>
        <v/>
      </c>
      <c r="K34" s="22">
        <f>IFERROR(K9/K5,"")</f>
        <v/>
      </c>
      <c r="L34" s="21">
        <f>IFERROR(L9/L5,"")</f>
        <v/>
      </c>
      <c r="M34" s="21">
        <f>IFERROR(M9/M5,"")</f>
        <v/>
      </c>
      <c r="N34" s="21">
        <f>IFERROR(N9/N5,"")</f>
        <v/>
      </c>
      <c r="O34" s="21">
        <f>IFERROR(O9/O5,"")</f>
        <v/>
      </c>
      <c r="P34" s="22">
        <f>IFERROR(P9/P5,"")</f>
        <v/>
      </c>
      <c r="Q34" s="21">
        <f>IFERROR(Q9/Q5,"")</f>
        <v/>
      </c>
      <c r="R34" s="21">
        <f>IFERROR(R9/R5,"")</f>
        <v/>
      </c>
      <c r="S34" s="21">
        <f>IFERROR(S9/S5,"")</f>
        <v/>
      </c>
      <c r="T34" s="21">
        <f>IFERROR(T9/T5,"")</f>
        <v/>
      </c>
      <c r="U34" s="22">
        <f>IFERROR(U9/U5,"")</f>
        <v/>
      </c>
      <c r="V34" s="21">
        <f>IFERROR(V9/V5,"")</f>
        <v/>
      </c>
      <c r="W34" s="21">
        <f>IFERROR(W9/W5,"")</f>
        <v/>
      </c>
      <c r="X34" s="21">
        <f>IFERROR(X9/X5,"")</f>
        <v/>
      </c>
      <c r="Y34" s="21">
        <f>IFERROR(Y9/Y5,"")</f>
        <v/>
      </c>
      <c r="Z34" s="22">
        <f>IFERROR(Z9/Z5,"")</f>
        <v/>
      </c>
      <c r="AA34" s="21">
        <f>IFERROR(AA9/AA5,"")</f>
        <v/>
      </c>
      <c r="AB34" s="23">
        <f>IFERROR(AB9/AB5,"")</f>
        <v/>
      </c>
      <c r="AC34" s="31">
        <f>IFERROR(AC9/AC5,"")</f>
        <v/>
      </c>
      <c r="AD34" s="31">
        <f>IFERROR(AD9/AD5,"")</f>
        <v/>
      </c>
      <c r="AE34" s="25">
        <f>IFERROR(AE9/AE5,"")</f>
        <v/>
      </c>
      <c r="AF34" s="31">
        <f>IFERROR(AF9/AF5,"")</f>
        <v/>
      </c>
      <c r="AG34" s="31">
        <f>IFERROR(AG9/AG5,"")</f>
        <v/>
      </c>
      <c r="AH34" s="31">
        <f>IFERROR(AH9/AH5,"")</f>
        <v/>
      </c>
      <c r="AI34" s="31">
        <f>IFERROR(AI9/AI5,"")</f>
        <v/>
      </c>
      <c r="AJ34" s="25">
        <f>IFERROR(AJ9/AJ5,"")</f>
        <v/>
      </c>
      <c r="AK34" s="31">
        <f>IFERROR(AK9/AK5,"")</f>
        <v/>
      </c>
      <c r="AL34" s="31">
        <f>IFERROR(AL9/AL5,"")</f>
        <v/>
      </c>
      <c r="AM34" s="31">
        <f>IFERROR(AM9/AM5,"")</f>
        <v/>
      </c>
      <c r="AN34" s="31">
        <f>IFERROR(AN9/AN5,"")</f>
        <v/>
      </c>
      <c r="AO34" s="25">
        <f>IFERROR(AO9/AO5,"")</f>
        <v/>
      </c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IFERROR(E16/E5,"")</f>
        <v/>
      </c>
      <c r="F35" s="22">
        <f>IFERROR(F16/F5,"")</f>
        <v/>
      </c>
      <c r="G35" s="21">
        <f>IFERROR(G16/G5,"")</f>
        <v/>
      </c>
      <c r="H35" s="21">
        <f>IFERROR(H16/H5,"")</f>
        <v/>
      </c>
      <c r="I35" s="21">
        <f>IFERROR(I16/I5,"")</f>
        <v/>
      </c>
      <c r="J35" s="21">
        <f>IFERROR(J16/J5,"")</f>
        <v/>
      </c>
      <c r="K35" s="22">
        <f>IFERROR(K16/K5,"")</f>
        <v/>
      </c>
      <c r="L35" s="21">
        <f>IFERROR(L16/L5,"")</f>
        <v/>
      </c>
      <c r="M35" s="21">
        <f>IFERROR(M16/M5,"")</f>
        <v/>
      </c>
      <c r="N35" s="21">
        <f>IFERROR(N16/N5,"")</f>
        <v/>
      </c>
      <c r="O35" s="21">
        <f>IFERROR(O16/O5,"")</f>
        <v/>
      </c>
      <c r="P35" s="22">
        <f>IFERROR(P16/P5,"")</f>
        <v/>
      </c>
      <c r="Q35" s="21">
        <f>IFERROR(Q16/Q5,"")</f>
        <v/>
      </c>
      <c r="R35" s="21">
        <f>IFERROR(R16/R5,"")</f>
        <v/>
      </c>
      <c r="S35" s="21">
        <f>IFERROR(S16/S5,"")</f>
        <v/>
      </c>
      <c r="T35" s="21">
        <f>IFERROR(T16/T5,"")</f>
        <v/>
      </c>
      <c r="U35" s="22">
        <f>IFERROR(U16/U5,"")</f>
        <v/>
      </c>
      <c r="V35" s="21">
        <f>IFERROR(V16/V5,"")</f>
        <v/>
      </c>
      <c r="W35" s="21">
        <f>IFERROR(W16/W5,"")</f>
        <v/>
      </c>
      <c r="X35" s="21">
        <f>IFERROR(X16/X5,"")</f>
        <v/>
      </c>
      <c r="Y35" s="21">
        <f>IFERROR(Y16/Y5,"")</f>
        <v/>
      </c>
      <c r="Z35" s="22">
        <f>IFERROR(Z16/Z5,"")</f>
        <v/>
      </c>
      <c r="AA35" s="21">
        <f>IFERROR(AA16/AA5,"")</f>
        <v/>
      </c>
      <c r="AB35" s="23">
        <f>IFERROR(AB16/AB5,"")</f>
        <v/>
      </c>
      <c r="AC35" s="31">
        <f>IFERROR(AC16/AC5,"")</f>
        <v/>
      </c>
      <c r="AD35" s="31">
        <f>IFERROR(AD16/AD5,"")</f>
        <v/>
      </c>
      <c r="AE35" s="25">
        <f>IFERROR(AE16/AE5,"")</f>
        <v/>
      </c>
      <c r="AF35" s="31">
        <f>IFERROR(AF16/AF5,"")</f>
        <v/>
      </c>
      <c r="AG35" s="31">
        <f>IFERROR(AG16/AG5,"")</f>
        <v/>
      </c>
      <c r="AH35" s="31">
        <f>IFERROR(AH16/AH5,"")</f>
        <v/>
      </c>
      <c r="AI35" s="31">
        <f>IFERROR(AI16/AI5,"")</f>
        <v/>
      </c>
      <c r="AJ35" s="25">
        <f>IFERROR(AJ16/AJ5,"")</f>
        <v/>
      </c>
      <c r="AK35" s="31">
        <f>IFERROR(AK16/AK5,"")</f>
        <v/>
      </c>
      <c r="AL35" s="31">
        <f>IFERROR(AL16/AL5,"")</f>
        <v/>
      </c>
      <c r="AM35" s="31">
        <f>IFERROR(AM16/AM5,"")</f>
        <v/>
      </c>
      <c r="AN35" s="31">
        <f>IFERROR(AN16/AN5,"")</f>
        <v/>
      </c>
      <c r="AO35" s="25">
        <f>IFERROR(AO16/AO5,"")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1">
        <f>IFERROR(AC6/AC5,"")</f>
        <v/>
      </c>
      <c r="AD36" s="31">
        <f>IFERROR(AD6/AD5,"")</f>
        <v/>
      </c>
      <c r="AE36" s="25">
        <f>IFERROR(AE6/AE5,"")</f>
        <v/>
      </c>
      <c r="AF36" s="31">
        <f>IFERROR(AF6/AF5,"")</f>
        <v/>
      </c>
      <c r="AG36" s="31">
        <f>IFERROR(AG6/AG5,"")</f>
        <v/>
      </c>
      <c r="AH36" s="31">
        <f>IFERROR(AH6/AH5,"")</f>
        <v/>
      </c>
      <c r="AI36" s="31">
        <f>IFERROR(AI6/AI5,"")</f>
        <v/>
      </c>
      <c r="AJ36" s="25">
        <f>IFERROR(AJ6/AJ5,"")</f>
        <v/>
      </c>
      <c r="AK36" s="31">
        <f>IFERROR(AK6/AK5,"")</f>
        <v/>
      </c>
      <c r="AL36" s="31">
        <f>IFERROR(AL6/AL5,"")</f>
        <v/>
      </c>
      <c r="AM36" s="31">
        <f>IFERROR(AM6/AM5,"")</f>
        <v/>
      </c>
      <c r="AN36" s="31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1">
        <f>IFERROR(AC8/AC5,"")</f>
        <v/>
      </c>
      <c r="AD37" s="31">
        <f>IFERROR(AD8/AD5,"")</f>
        <v/>
      </c>
      <c r="AE37" s="25">
        <f>IFERROR(AE8/AE5,"")</f>
        <v/>
      </c>
      <c r="AF37" s="31">
        <f>IFERROR(AF8/AF5,"")</f>
        <v/>
      </c>
      <c r="AG37" s="31">
        <f>IFERROR(AG8/AG5,"")</f>
        <v/>
      </c>
      <c r="AH37" s="31">
        <f>IFERROR(AH8/AH5,"")</f>
        <v/>
      </c>
      <c r="AI37" s="31">
        <f>IFERROR(AI8/AI5,"")</f>
        <v/>
      </c>
      <c r="AJ37" s="25">
        <f>IFERROR(AJ8/AJ5,"")</f>
        <v/>
      </c>
      <c r="AK37" s="31">
        <f>IFERROR(AK8/AK5,"")</f>
        <v/>
      </c>
      <c r="AL37" s="31">
        <f>IFERROR(AL8/AL5,"")</f>
        <v/>
      </c>
      <c r="AM37" s="31">
        <f>IFERROR(AM8/AM5,"")</f>
        <v/>
      </c>
      <c r="AN37" s="31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이자발생자산</t>
        </is>
      </c>
      <c r="D21" t="inlineStr">
        <is>
          <t>이자발생자산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현금및현금성자산</t>
        </is>
      </c>
      <c r="D22" t="inlineStr">
        <is>
          <t>현금및현금성자산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CAPEX</t>
        </is>
      </c>
      <c r="D23" t="inlineStr">
        <is>
          <t>CAPEX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영업활동현금흐름</t>
        </is>
      </c>
      <c r="D24" t="inlineStr">
        <is>
          <t>영업활동현금흐름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주식수</t>
        </is>
      </c>
      <c r="D25" t="inlineStr">
        <is>
          <t>유통주식수</t>
        </is>
      </c>
      <c r="E25" s="26">
        <f>IFERROR(VLOOKUP($A25,subQ,MATCH(E$1,SUBQH,0),0),"")</f>
        <v/>
      </c>
      <c r="F25" s="26">
        <f>IFERROR(VLOOKUP($A25,subQ,MATCH(F$1,SUBQH,0),0),"")</f>
        <v/>
      </c>
      <c r="G25" s="26">
        <f>IFERROR(VLOOKUP($A25,subQ,MATCH(G$1,SUBQH,0),0),"")</f>
        <v/>
      </c>
      <c r="H25" s="26">
        <f>IFERROR(VLOOKUP($A25,subQ,MATCH(H$1,SUBQH,0),0),"")</f>
        <v/>
      </c>
      <c r="I25" s="26">
        <f>IFERROR(VLOOKUP($A25,subQ,MATCH(I$1,SUBQH,0),0),"")</f>
        <v/>
      </c>
      <c r="J25" s="26">
        <f>IFERROR(VLOOKUP($A25,subQ,MATCH(J$1,SUBQH,0),0),"")</f>
        <v/>
      </c>
      <c r="K25" s="26">
        <f>IFERROR(VLOOKUP($A25,subQ,MATCH(K$1,SUBQH,0),0),"")</f>
        <v/>
      </c>
      <c r="L25" s="26">
        <f>IFERROR(VLOOKUP($A25,subQ,MATCH(L$1,SUBQH,0),0),"")</f>
        <v/>
      </c>
      <c r="M25" s="26">
        <f>IFERROR(VLOOKUP($A25,subQ,MATCH(M$1,SUBQH,0),0),"")</f>
        <v/>
      </c>
      <c r="N25" s="26">
        <f>IFERROR(VLOOKUP($A25,subQ,MATCH(N$1,SUBQH,0),0),"")</f>
        <v/>
      </c>
      <c r="O25" s="26">
        <f>IFERROR(VLOOKUP($A25,subQ,MATCH(O$1,SUBQH,0),0),"")</f>
        <v/>
      </c>
      <c r="P25" s="26">
        <f>IFERROR(VLOOKUP($A25,subQ,MATCH(P$1,SUBQH,0),0),"")</f>
        <v/>
      </c>
      <c r="Q25" s="26">
        <f>IFERROR(VLOOKUP($A25,subQ,MATCH(Q$1,SUBQH,0),0),"")</f>
        <v/>
      </c>
      <c r="R25" s="26">
        <f>IFERROR(VLOOKUP($A25,subQ,MATCH(R$1,SUBQH,0),0),"")</f>
        <v/>
      </c>
      <c r="S25" s="26">
        <f>IFERROR(VLOOKUP($A25,subQ,MATCH(S$1,SUBQH,0),0),"")</f>
        <v/>
      </c>
      <c r="T25" s="26">
        <f>IFERROR(VLOOKUP($A25,subQ,MATCH(T$1,SUBQH,0),0),"")</f>
        <v/>
      </c>
      <c r="U25" s="26">
        <f>IFERROR(VLOOKUP($A25,subQ,MATCH(U$1,SUBQH,0),0),"")</f>
        <v/>
      </c>
      <c r="V25" s="26">
        <f>IFERROR(VLOOKUP($A25,subQ,MATCH(V$1,SUBQH,0),0),"")</f>
        <v/>
      </c>
      <c r="W25" s="43">
        <f>IFERROR(VLOOKUP($A25,subQ,MATCH(W$1,SUBQH,0),0),"")</f>
        <v/>
      </c>
      <c r="X25" s="36">
        <f>IFERROR(VLOOKUP($A25,subQ,MATCH(X$1,SUBQH,0),0),"")</f>
        <v/>
      </c>
      <c r="Y25" s="36">
        <f>IFERROR(VLOOKUP($A25,subQ,MATCH(Y$1,SUBQH,0),0),"")</f>
        <v/>
      </c>
      <c r="Z25" s="36">
        <f>IFERROR(VLOOKUP($A25,subQ,MATCH(Z$1,SUBQH,0),0),"")</f>
        <v/>
      </c>
      <c r="AA25" s="36">
        <f>IFERROR(VLOOKUP($A25,subQ,MATCH(AA$1,SUBQH,0),0),"")</f>
        <v/>
      </c>
      <c r="AB25" s="36">
        <f>IFERROR(VLOOKUP($A25,subQ,MATCH(AB$1,SUBQH,0),0),"")</f>
        <v/>
      </c>
      <c r="AC25" s="36">
        <f>IFERROR(VLOOKUP($A25,subQ,MATCH(AC$1,SUBQH,0),0),"")</f>
        <v/>
      </c>
      <c r="AD25" s="36">
        <f>IFERROR(VLOOKUP($A25,subQ,MATCH(AD$1,SUBQH,0),0),"")</f>
        <v/>
      </c>
      <c r="AE25" s="36">
        <f>IFERROR(VLOOKUP($A25,subQ,MATCH(AE$1,SUBQH,0),0),"")</f>
        <v/>
      </c>
      <c r="AF25" s="36">
        <f>IFERROR(VLOOKUP($A25,subQ,MATCH(AF$1,SUBQH,0),0),"")</f>
        <v/>
      </c>
      <c r="AG25" s="36">
        <f>IFERROR(VLOOKUP($A25,subQ,MATCH(AG$1,SUBQH,0),0),"")</f>
        <v/>
      </c>
    </row>
    <row r="26">
      <c r="A26" s="12" t="inlineStr">
        <is>
          <t>EPS</t>
        </is>
      </c>
      <c r="D26" t="inlineStr">
        <is>
          <t>EPS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BPS</t>
        </is>
      </c>
      <c r="D27" t="inlineStr">
        <is>
          <t>BPS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DPS</t>
        </is>
      </c>
      <c r="D28" t="inlineStr">
        <is>
          <t>DPS(보통주)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PER</t>
        </is>
      </c>
      <c r="D29" t="inlineStr">
        <is>
          <t>PER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PBR</t>
        </is>
      </c>
      <c r="D30" t="inlineStr">
        <is>
          <t>PBR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매출전사</t>
        </is>
      </c>
      <c r="D31" t="inlineStr">
        <is>
          <t>매출 전사(부문 미분리)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OP전사</t>
        </is>
      </c>
      <c r="D32" t="inlineStr">
        <is>
          <t>OP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OPM</t>
        </is>
      </c>
      <c r="D33" t="inlineStr">
        <is>
          <t>영업이익률</t>
        </is>
      </c>
      <c r="E33" s="21">
        <f>IFERROR(VLOOKUP($A33,subQ,MATCH(E$1,SUBQH,0),0),"")</f>
        <v/>
      </c>
      <c r="F33" s="21">
        <f>IFERROR(VLOOKUP($A33,subQ,MATCH(F$1,SUBQH,0),0),"")</f>
        <v/>
      </c>
      <c r="G33" s="21">
        <f>IFERROR(VLOOKUP($A33,subQ,MATCH(G$1,SUBQH,0),0),"")</f>
        <v/>
      </c>
      <c r="H33" s="21">
        <f>IFERROR(VLOOKUP($A33,subQ,MATCH(H$1,SUBQH,0),0),"")</f>
        <v/>
      </c>
      <c r="I33" s="21">
        <f>IFERROR(VLOOKUP($A33,subQ,MATCH(I$1,SUBQH,0),0),"")</f>
        <v/>
      </c>
      <c r="J33" s="21">
        <f>IFERROR(VLOOKUP($A33,subQ,MATCH(J$1,SUBQH,0),0),"")</f>
        <v/>
      </c>
      <c r="K33" s="21">
        <f>IFERROR(VLOOKUP($A33,subQ,MATCH(K$1,SUBQH,0),0),"")</f>
        <v/>
      </c>
      <c r="L33" s="21">
        <f>IFERROR(VLOOKUP($A33,subQ,MATCH(L$1,SUBQH,0),0),"")</f>
        <v/>
      </c>
      <c r="M33" s="21">
        <f>IFERROR(VLOOKUP($A33,subQ,MATCH(M$1,SUBQH,0),0),"")</f>
        <v/>
      </c>
      <c r="N33" s="21">
        <f>IFERROR(VLOOKUP($A33,subQ,MATCH(N$1,SUBQH,0),0),"")</f>
        <v/>
      </c>
      <c r="O33" s="21">
        <f>IFERROR(VLOOKUP($A33,subQ,MATCH(O$1,SUBQH,0),0),"")</f>
        <v/>
      </c>
      <c r="P33" s="21">
        <f>IFERROR(VLOOKUP($A33,subQ,MATCH(P$1,SUBQH,0),0),"")</f>
        <v/>
      </c>
      <c r="Q33" s="21">
        <f>IFERROR(VLOOKUP($A33,subQ,MATCH(Q$1,SUBQH,0),0),"")</f>
        <v/>
      </c>
      <c r="R33" s="21">
        <f>IFERROR(VLOOKUP($A33,subQ,MATCH(R$1,SUBQH,0),0),"")</f>
        <v/>
      </c>
      <c r="S33" s="21">
        <f>IFERROR(VLOOKUP($A33,subQ,MATCH(S$1,SUBQH,0),0),"")</f>
        <v/>
      </c>
      <c r="T33" s="21">
        <f>IFERROR(VLOOKUP($A33,subQ,MATCH(T$1,SUBQH,0),0),"")</f>
        <v/>
      </c>
      <c r="U33" s="21">
        <f>IFERROR(VLOOKUP($A33,subQ,MATCH(U$1,SUBQH,0),0),"")</f>
        <v/>
      </c>
      <c r="V33" s="21">
        <f>IFERROR(VLOOKUP($A33,subQ,MATCH(V$1,SUBQH,0),0),"")</f>
        <v/>
      </c>
      <c r="W33" s="42">
        <f>IFERROR(VLOOKUP($A33,subQ,MATCH(W$1,SUBQH,0),0),"")</f>
        <v/>
      </c>
      <c r="X33" s="31">
        <f>IFERROR(VLOOKUP($A33,subQ,MATCH(X$1,SUBQH,0),0),"")</f>
        <v/>
      </c>
      <c r="Y33" s="31">
        <f>IFERROR(VLOOKUP($A33,subQ,MATCH(Y$1,SUBQH,0),0),"")</f>
        <v/>
      </c>
      <c r="Z33" s="31">
        <f>IFERROR(VLOOKUP($A33,subQ,MATCH(Z$1,SUBQH,0),0),"")</f>
        <v/>
      </c>
      <c r="AA33" s="31">
        <f>IFERROR(VLOOKUP($A33,subQ,MATCH(AA$1,SUBQH,0),0),"")</f>
        <v/>
      </c>
      <c r="AB33" s="31">
        <f>IFERROR(VLOOKUP($A33,subQ,MATCH(AB$1,SUBQH,0),0),"")</f>
        <v/>
      </c>
      <c r="AC33" s="31">
        <f>IFERROR(VLOOKUP($A33,subQ,MATCH(AC$1,SUBQH,0),0),"")</f>
        <v/>
      </c>
      <c r="AD33" s="31">
        <f>IFERROR(VLOOKUP($A33,subQ,MATCH(AD$1,SUBQH,0),0),"")</f>
        <v/>
      </c>
      <c r="AE33" s="31">
        <f>IFERROR(VLOOKUP($A33,subQ,MATCH(AE$1,SUBQH,0),0),"")</f>
        <v/>
      </c>
      <c r="AF33" s="31">
        <f>IFERROR(VLOOKUP($A33,subQ,MATCH(AF$1,SUBQH,0),0),"")</f>
        <v/>
      </c>
      <c r="AG33" s="31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2">
        <f>IFERROR(VLOOKUP($A34,subQ,MATCH(W$1,SUBQH,0),0),"")</f>
        <v/>
      </c>
      <c r="X34" s="31">
        <f>IFERROR(VLOOKUP($A34,subQ,MATCH(X$1,SUBQH,0),0),"")</f>
        <v/>
      </c>
      <c r="Y34" s="31">
        <f>IFERROR(VLOOKUP($A34,subQ,MATCH(Y$1,SUBQH,0),0),"")</f>
        <v/>
      </c>
      <c r="Z34" s="31">
        <f>IFERROR(VLOOKUP($A34,subQ,MATCH(Z$1,SUBQH,0),0),"")</f>
        <v/>
      </c>
      <c r="AA34" s="31">
        <f>IFERROR(VLOOKUP($A34,subQ,MATCH(AA$1,SUBQH,0),0),"")</f>
        <v/>
      </c>
      <c r="AB34" s="31">
        <f>IFERROR(VLOOKUP($A34,subQ,MATCH(AB$1,SUBQH,0),0),"")</f>
        <v/>
      </c>
      <c r="AC34" s="31">
        <f>IFERROR(VLOOKUP($A34,subQ,MATCH(AC$1,SUBQH,0),0),"")</f>
        <v/>
      </c>
      <c r="AD34" s="31">
        <f>IFERROR(VLOOKUP($A34,subQ,MATCH(AD$1,SUBQH,0),0),"")</f>
        <v/>
      </c>
      <c r="AE34" s="31">
        <f>IFERROR(VLOOKUP($A34,subQ,MATCH(AE$1,SUBQH,0),0),"")</f>
        <v/>
      </c>
      <c r="AF34" s="31">
        <f>IFERROR(VLOOKUP($A34,subQ,MATCH(AF$1,SUBQH,0),0),"")</f>
        <v/>
      </c>
      <c r="AG34" s="31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2">
        <f>IFERROR(W5/S5-1,"")</f>
        <v/>
      </c>
      <c r="X35" s="31">
        <f>IFERROR(X5/T5-1,"")</f>
        <v/>
      </c>
      <c r="Y35" s="31">
        <f>IFERROR(Y5/U5-1,"")</f>
        <v/>
      </c>
      <c r="Z35" s="31">
        <f>IFERROR(Z5/V5-1,"")</f>
        <v/>
      </c>
      <c r="AA35" s="31">
        <f>IFERROR(AA5/W5-1,"")</f>
        <v/>
      </c>
      <c r="AB35" s="31">
        <f>IFERROR(AB5/X5-1,"")</f>
        <v/>
      </c>
      <c r="AC35" s="31">
        <f>IFERROR(AC5/Y5-1,"")</f>
        <v/>
      </c>
      <c r="AD35" s="31">
        <f>IFERROR(AD5/Z5-1,"")</f>
        <v/>
      </c>
      <c r="AE35" s="31">
        <f>IFERROR(AE5/AA5-1,"")</f>
        <v/>
      </c>
      <c r="AF35" s="31">
        <f>IFERROR(AF5/AB5-1,"")</f>
        <v/>
      </c>
      <c r="AG35" s="31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2">
        <f>IFERROR(W9/S9-1,"")</f>
        <v/>
      </c>
      <c r="X36" s="31">
        <f>IFERROR(X9/T9-1,"")</f>
        <v/>
      </c>
      <c r="Y36" s="31">
        <f>IFERROR(Y9/U9-1,"")</f>
        <v/>
      </c>
      <c r="Z36" s="31">
        <f>IFERROR(Z9/V9-1,"")</f>
        <v/>
      </c>
      <c r="AA36" s="31">
        <f>IFERROR(AA9/W9-1,"")</f>
        <v/>
      </c>
      <c r="AB36" s="31">
        <f>IFERROR(AB9/X9-1,"")</f>
        <v/>
      </c>
      <c r="AC36" s="31">
        <f>IFERROR(AC9/Y9-1,"")</f>
        <v/>
      </c>
      <c r="AD36" s="31">
        <f>IFERROR(AD9/Z9-1,"")</f>
        <v/>
      </c>
      <c r="AE36" s="31">
        <f>IFERROR(AE9/AA9-1,"")</f>
        <v/>
      </c>
      <c r="AF36" s="31">
        <f>IFERROR(AF9/AB9-1,"")</f>
        <v/>
      </c>
      <c r="AG36" s="31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IFERROR(I16/E16-1,"")</f>
        <v/>
      </c>
      <c r="J37" s="21">
        <f>IFERROR(J16/F16-1,"")</f>
        <v/>
      </c>
      <c r="K37" s="21">
        <f>IFERROR(K16/G16-1,"")</f>
        <v/>
      </c>
      <c r="L37" s="21">
        <f>IFERROR(L16/H16-1,"")</f>
        <v/>
      </c>
      <c r="M37" s="21">
        <f>IFERROR(M16/I16-1,"")</f>
        <v/>
      </c>
      <c r="N37" s="21">
        <f>IFERROR(N16/J16-1,"")</f>
        <v/>
      </c>
      <c r="O37" s="21">
        <f>IFERROR(O16/K16-1,"")</f>
        <v/>
      </c>
      <c r="P37" s="21">
        <f>IFERROR(P16/L16-1,"")</f>
        <v/>
      </c>
      <c r="Q37" s="21">
        <f>IFERROR(Q16/M16-1,"")</f>
        <v/>
      </c>
      <c r="R37" s="21">
        <f>IFERROR(R16/N16-1,"")</f>
        <v/>
      </c>
      <c r="S37" s="21">
        <f>IFERROR(S16/O16-1,"")</f>
        <v/>
      </c>
      <c r="T37" s="21">
        <f>IFERROR(T16/P16-1,"")</f>
        <v/>
      </c>
      <c r="U37" s="21">
        <f>IFERROR(U16/Q16-1,"")</f>
        <v/>
      </c>
      <c r="V37" s="21">
        <f>IFERROR(V16/R16-1,"")</f>
        <v/>
      </c>
      <c r="W37" s="42">
        <f>IFERROR(W16/S16-1,"")</f>
        <v/>
      </c>
      <c r="X37" s="31">
        <f>IFERROR(X16/T16-1,"")</f>
        <v/>
      </c>
      <c r="Y37" s="31">
        <f>IFERROR(Y16/U16-1,"")</f>
        <v/>
      </c>
      <c r="Z37" s="31">
        <f>IFERROR(Z16/V16-1,"")</f>
        <v/>
      </c>
      <c r="AA37" s="31">
        <f>IFERROR(AA16/W16-1,"")</f>
        <v/>
      </c>
      <c r="AB37" s="31">
        <f>IFERROR(AB16/X16-1,"")</f>
        <v/>
      </c>
      <c r="AC37" s="31">
        <f>IFERROR(AC16/Y16-1,"")</f>
        <v/>
      </c>
      <c r="AD37" s="31">
        <f>IFERROR(AD16/Z16-1,"")</f>
        <v/>
      </c>
      <c r="AE37" s="31">
        <f>IFERROR(AE16/AA16-1,"")</f>
        <v/>
      </c>
      <c r="AF37" s="31">
        <f>IFERROR(AF16/AB16-1,"")</f>
        <v/>
      </c>
      <c r="AG37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이자발생자산</t>
        </is>
      </c>
      <c r="D21" t="inlineStr">
        <is>
          <t>이자발생자산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현금및현금성자산</t>
        </is>
      </c>
      <c r="D22" t="inlineStr">
        <is>
          <t>현금및현금성자산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CAPEX</t>
        </is>
      </c>
      <c r="D23" t="inlineStr">
        <is>
          <t>CAPEX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영업활동현금흐름</t>
        </is>
      </c>
      <c r="D24" t="inlineStr">
        <is>
          <t>영업활동현금흐름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주식수</t>
        </is>
      </c>
      <c r="D25" t="inlineStr">
        <is>
          <t>유통주식수</t>
        </is>
      </c>
      <c r="E25" s="26">
        <f>IFERROR(VLOOKUP($A25,subQ,MATCH(E$1,SUBQH,0),0),"")</f>
        <v/>
      </c>
      <c r="F25" s="26">
        <f>IFERROR(VLOOKUP($A25,subQ,MATCH(F$1,SUBQH,0),0),"")</f>
        <v/>
      </c>
      <c r="G25" s="26">
        <f>IFERROR(VLOOKUP($A25,subQ,MATCH(G$1,SUBQH,0),0),"")</f>
        <v/>
      </c>
      <c r="H25" s="26">
        <f>IFERROR(VLOOKUP($A25,subQ,MATCH(H$1,SUBQH,0),0),"")</f>
        <v/>
      </c>
      <c r="I25" s="43">
        <f>IFERROR(VLOOKUP($A25,subQ,MATCH(I$1,SUBQH,0),0),"")</f>
        <v/>
      </c>
      <c r="J25" s="36">
        <f>IFERROR(VLOOKUP($A25,subQ,MATCH(J$1,SUBQH,0),0),"")</f>
        <v/>
      </c>
      <c r="K25" s="36">
        <f>IFERROR(VLOOKUP($A25,subQ,MATCH(K$1,SUBQH,0),0),"")</f>
        <v/>
      </c>
      <c r="L25" s="36">
        <f>IFERROR(VLOOKUP($A25,subQ,MATCH(L$1,SUBQH,0),0),"")</f>
        <v/>
      </c>
    </row>
    <row r="26">
      <c r="A26" s="12" t="inlineStr">
        <is>
          <t>EPS</t>
        </is>
      </c>
      <c r="D26" t="inlineStr">
        <is>
          <t>EPS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BPS</t>
        </is>
      </c>
      <c r="D27" t="inlineStr">
        <is>
          <t>BPS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DPS</t>
        </is>
      </c>
      <c r="D28" t="inlineStr">
        <is>
          <t>DPS(보통주)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PER</t>
        </is>
      </c>
      <c r="D29" t="inlineStr">
        <is>
          <t>PER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PBR</t>
        </is>
      </c>
      <c r="D30" t="inlineStr">
        <is>
          <t>PBR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매출전사</t>
        </is>
      </c>
      <c r="D31" t="inlineStr">
        <is>
          <t>매출 전사(부문 미분리)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OP전사</t>
        </is>
      </c>
      <c r="D32" t="inlineStr">
        <is>
          <t>OP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OPM</t>
        </is>
      </c>
      <c r="D33" t="inlineStr">
        <is>
          <t>영업이익률</t>
        </is>
      </c>
      <c r="E33" s="21">
        <f>IFERROR(VLOOKUP($A33,subQ,MATCH(E$1,SUBQH,0),0),"")</f>
        <v/>
      </c>
      <c r="F33" s="21">
        <f>IFERROR(VLOOKUP($A33,subQ,MATCH(F$1,SUBQH,0),0),"")</f>
        <v/>
      </c>
      <c r="G33" s="21">
        <f>IFERROR(VLOOKUP($A33,subQ,MATCH(G$1,SUBQH,0),0),"")</f>
        <v/>
      </c>
      <c r="H33" s="21">
        <f>IFERROR(VLOOKUP($A33,subQ,MATCH(H$1,SUBQH,0),0),"")</f>
        <v/>
      </c>
      <c r="I33" s="42">
        <f>IFERROR(VLOOKUP($A33,subQ,MATCH(I$1,SUBQH,0),0),"")</f>
        <v/>
      </c>
      <c r="J33" s="31">
        <f>IFERROR(VLOOKUP($A33,subQ,MATCH(J$1,SUBQH,0),0),"")</f>
        <v/>
      </c>
      <c r="K33" s="31">
        <f>IFERROR(VLOOKUP($A33,subQ,MATCH(K$1,SUBQH,0),0),"")</f>
        <v/>
      </c>
      <c r="L33" s="31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2">
        <f>IFERROR(VLOOKUP($A34,subQ,MATCH(I$1,SUBQH,0),0),"")</f>
        <v/>
      </c>
      <c r="J34" s="31">
        <f>IFERROR(VLOOKUP($A34,subQ,MATCH(J$1,SUBQH,0),0),"")</f>
        <v/>
      </c>
      <c r="K34" s="31">
        <f>IFERROR(VLOOKUP($A34,subQ,MATCH(K$1,SUBQH,0),0),"")</f>
        <v/>
      </c>
      <c r="L34" s="31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2">
        <f>IFERROR(I5/H5-1,"")</f>
        <v/>
      </c>
      <c r="J35" s="31">
        <f>IFERROR(J5/I5-1,"")</f>
        <v/>
      </c>
      <c r="K35" s="31">
        <f>IFERROR(K5/J5-1,"")</f>
        <v/>
      </c>
      <c r="L35" s="31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2">
        <f>IFERROR(I9/H9-1,"")</f>
        <v/>
      </c>
      <c r="J36" s="31">
        <f>IFERROR(J9/I9-1,"")</f>
        <v/>
      </c>
      <c r="K36" s="31">
        <f>IFERROR(K9/J9-1,"")</f>
        <v/>
      </c>
      <c r="L36" s="31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IFERROR(F16/E16-1,"")</f>
        <v/>
      </c>
      <c r="G37" s="21">
        <f>IFERROR(G16/F16-1,"")</f>
        <v/>
      </c>
      <c r="H37" s="21">
        <f>IFERROR(H16/G16-1,"")</f>
        <v/>
      </c>
      <c r="I37" s="42">
        <f>IFERROR(I16/H16-1,"")</f>
        <v/>
      </c>
      <c r="J37" s="31">
        <f>IFERROR(J16/I16-1,"")</f>
        <v/>
      </c>
      <c r="K37" s="31">
        <f>IFERROR(K16/J16-1,"")</f>
        <v/>
      </c>
      <c r="L37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6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1520.4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18.05</v>
      </c>
    </row>
    <row r="32">
      <c r="C32" s="2" t="inlineStr">
        <is>
          <t>pbr_now</t>
        </is>
      </c>
      <c r="D32" t="n">
        <v>1</v>
      </c>
    </row>
    <row r="33">
      <c r="C33" s="2" t="inlineStr">
        <is>
          <t>roe_fwd</t>
        </is>
      </c>
      <c r="D33" t="n">
        <v>0.0553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