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BS연결!$C$5:$AO$103</definedName>
    <definedName name="BS별도H">BS별도!$C$1:$AO$1</definedName>
    <definedName name="BS별도">BS별도!$C$5:$AO$82</definedName>
    <definedName name="SUBQH">subQ!$A$1:$AO$1</definedName>
    <definedName name="subQ">subQ!$A$5:$AO$43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3" fontId="0" fillId="5" borderId="1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(1+24.8%) — g=최근 4분기 합 YoY 24.8% 클립(−30~+50%), 연차별 절반 감쇠(가정)</t>
      </text>
    </comment>
    <comment ref="AD21" authorId="0" shapeId="0">
      <text>
        <t>모델값 역산(implied): v / 전년동기 − 1
전년동기 × (1+24.8%) — g=최근 4분기 합 YoY 24.8% 클립(−30~+50%), 연차별 절반 감쇠(가정)</t>
      </text>
    </comment>
    <comment ref="AF21" authorId="0" shapeId="0">
      <text>
        <t>모델값 역산(implied): v / 전년동기 − 1
전년동기 × (1+24.8%) — g=최근 4분기 합 YoY 24.8% 클립(−30~+50%), 연차별 절반 감쇠(가정)</t>
      </text>
    </comment>
    <comment ref="AG21" authorId="0" shapeId="0">
      <text>
        <t>모델값 역산(implied): v / 전년동기 − 1
전년동기 × (1+24.8%) — g=최근 4분기 합 YoY 24.8% 클립(−30~+50%), 연차별 절반 감쇠(가정)</t>
      </text>
    </comment>
    <comment ref="AH21" authorId="0" shapeId="0">
      <text>
        <t>모델값 역산(implied): v / 전년동기 − 1
전년동기 × (1+12.4%) — g=최근 4분기 합 YoY 24.8% 클립(−30~+50%), 연차별 절반 감쇠(가정)</t>
      </text>
    </comment>
    <comment ref="AI21" authorId="0" shapeId="0">
      <text>
        <t>모델값 역산(implied): v / 전년동기 − 1
전년동기 × (1+12.4%) — g=최근 4분기 합 YoY 24.8% 클립(−30~+50%), 연차별 절반 감쇠(가정)</t>
      </text>
    </comment>
    <comment ref="AK21" authorId="0" shapeId="0">
      <text>
        <t>모델값 역산(implied): v / 전년동기 − 1
전년동기 × (1+12.4%) — g=최근 4분기 합 YoY 24.8% 클립(−30~+50%), 연차별 절반 감쇠(가정)</t>
      </text>
    </comment>
    <comment ref="AL21" authorId="0" shapeId="0">
      <text>
        <t>모델값 역산(implied): v / 전년동기 − 1
전년동기 × (1+12.4%) — g=최근 4분기 합 YoY 24.8% 클립(−30~+50%), 연차별 절반 감쇠(가정)</t>
      </text>
    </comment>
    <comment ref="AM21" authorId="0" shapeId="0">
      <text>
        <t>모델값 역산(implied): v / 전년동기 − 1
전년동기 × (1+6.2%) — g=최근 4분기 합 YoY 24.8% 클립(−30~+50%), 연차별 절반 감쇠(가정)</t>
      </text>
    </comment>
    <comment ref="AN21" authorId="0" shapeId="0">
      <text>
        <t>모델값 역산(implied): v / 전년동기 − 1
전년동기 × (1+6.2%) — g=최근 4분기 합 YoY 24.8% 클립(−30~+50%), 연차별 절반 감쇠(가정)</t>
      </text>
    </comment>
    <comment ref="AC22" authorId="0" shapeId="0">
      <text>
        <t>3절 스칼라 '판관비율' 참조 — 숫자로 덮어쓰면 이 분기만 바뀐다
매출액 × 판관비율 18.43%(최근 4분기 중위)</t>
      </text>
    </comment>
    <comment ref="AD22" authorId="0" shapeId="0">
      <text>
        <t>3절 스칼라 '판관비율' 참조 — 숫자로 덮어쓰면 이 분기만 바뀐다
매출액 × 판관비율 18.43%(최근 4분기 중위)</t>
      </text>
    </comment>
    <comment ref="AF22" authorId="0" shapeId="0">
      <text>
        <t>3절 스칼라 '판관비율' 참조 — 숫자로 덮어쓰면 이 분기만 바뀐다
매출액 × 판관비율 18.43%(최근 4분기 중위)</t>
      </text>
    </comment>
    <comment ref="AG22" authorId="0" shapeId="0">
      <text>
        <t>3절 스칼라 '판관비율' 참조 — 숫자로 덮어쓰면 이 분기만 바뀐다
매출액 × 판관비율 18.43%(최근 4분기 중위)</t>
      </text>
    </comment>
    <comment ref="AH22" authorId="0" shapeId="0">
      <text>
        <t>3절 스칼라 '판관비율' 참조 — 숫자로 덮어쓰면 이 분기만 바뀐다
매출액 × 판관비율 18.43%(최근 4분기 중위)</t>
      </text>
    </comment>
    <comment ref="AI22" authorId="0" shapeId="0">
      <text>
        <t>3절 스칼라 '판관비율' 참조 — 숫자로 덮어쓰면 이 분기만 바뀐다
매출액 × 판관비율 18.43%(최근 4분기 중위)</t>
      </text>
    </comment>
    <comment ref="AK22" authorId="0" shapeId="0">
      <text>
        <t>3절 스칼라 '판관비율' 참조 — 숫자로 덮어쓰면 이 분기만 바뀐다
매출액 × 판관비율 18.43%(최근 4분기 중위)</t>
      </text>
    </comment>
    <comment ref="AL22" authorId="0" shapeId="0">
      <text>
        <t>3절 스칼라 '판관비율' 참조 — 숫자로 덮어쓰면 이 분기만 바뀐다
매출액 × 판관비율 18.43%(최근 4분기 중위)</t>
      </text>
    </comment>
    <comment ref="AM22" authorId="0" shapeId="0">
      <text>
        <t>3절 스칼라 '판관비율' 참조 — 숫자로 덮어쓰면 이 분기만 바뀐다
매출액 × 판관비율 18.43%(최근 4분기 중위)</t>
      </text>
    </comment>
    <comment ref="AN22" authorId="0" shapeId="0">
      <text>
        <t>3절 스칼라 '판관비율' 참조 — 숫자로 덮어쓰면 이 분기만 바뀐다
매출액 × 판관비율 18.43%(최근 4분기 중위)</t>
      </text>
    </comment>
    <comment ref="AC23" authorId="0" shapeId="0">
      <text>
        <t>모델값 역산(implied): v / 매출액
매출액 × OPM(최근 8분기 OPM 중위 12.0% 유지(클립 −20~40%))</t>
      </text>
    </comment>
    <comment ref="AD23" authorId="0" shapeId="0">
      <text>
        <t>모델값 역산(implied): v / 매출액
매출액 × OPM(최근 8분기 OPM 중위 12.0% 유지(클립 −20~40%))</t>
      </text>
    </comment>
    <comment ref="AF23" authorId="0" shapeId="0">
      <text>
        <t>모델값 역산(implied): v / 매출액
매출액 × OPM(최근 8분기 OPM 중위 12.0% 유지(클립 −20~40%))</t>
      </text>
    </comment>
    <comment ref="AG23" authorId="0" shapeId="0">
      <text>
        <t>모델값 역산(implied): v / 매출액
매출액 × OPM(최근 8분기 OPM 중위 12.0% 유지(클립 −20~40%))</t>
      </text>
    </comment>
    <comment ref="AH23" authorId="0" shapeId="0">
      <text>
        <t>모델값 역산(implied): v / 매출액
매출액 × OPM(최근 8분기 OPM 중위 12.0% 유지(클립 −20~40%))</t>
      </text>
    </comment>
    <comment ref="AI23" authorId="0" shapeId="0">
      <text>
        <t>모델값 역산(implied): v / 매출액
매출액 × OPM(최근 8분기 OPM 중위 12.0% 유지(클립 −20~40%))</t>
      </text>
    </comment>
    <comment ref="AK23" authorId="0" shapeId="0">
      <text>
        <t>모델값 역산(implied): v / 매출액
매출액 × OPM(최근 8분기 OPM 중위 12.0% 유지(클립 −20~40%))</t>
      </text>
    </comment>
    <comment ref="AL23" authorId="0" shapeId="0">
      <text>
        <t>모델값 역산(implied): v / 매출액
매출액 × OPM(최근 8분기 OPM 중위 12.0% 유지(클립 −20~40%))</t>
      </text>
    </comment>
    <comment ref="AM23" authorId="0" shapeId="0">
      <text>
        <t>모델값 역산(implied): v / 매출액
매출액 × OPM(최근 8분기 OPM 중위 12.0% 유지(클립 −20~40%))</t>
      </text>
    </comment>
    <comment ref="AN23" authorId="0" shapeId="0">
      <text>
        <t>모델값 역산(implied): v / 매출액
매출액 × OPM(최근 8분기 OPM 중위 12.0% 유지(클립 −20~40%))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+20.63억이 이자손익 추정 +7.99억의 50% 초과 → 0(경고)</t>
      </text>
    </comment>
    <comment ref="AD26" authorId="0" shapeId="0">
      <text>
        <t>모델값 역산(implied): 모델 v 그대로
최근 4분기 중위 +20.63억이 이자손익 추정 +7.99억의 50% 초과 → 0(경고)</t>
      </text>
    </comment>
    <comment ref="AF26" authorId="0" shapeId="0">
      <text>
        <t>모델값 역산(implied): 모델 v 그대로
최근 4분기 중위 +20.63억이 이자손익 추정 +7.99억의 50% 초과 → 0(경고)</t>
      </text>
    </comment>
    <comment ref="AG26" authorId="0" shapeId="0">
      <text>
        <t>모델값 역산(implied): 모델 v 그대로
최근 4분기 중위 +20.63억이 이자손익 추정 +7.99억의 50% 초과 → 0(경고)</t>
      </text>
    </comment>
    <comment ref="AH26" authorId="0" shapeId="0">
      <text>
        <t>모델값 역산(implied): 모델 v 그대로
최근 4분기 중위 +20.63억이 이자손익 추정 +7.99억의 50% 초과 → 0(경고)</t>
      </text>
    </comment>
    <comment ref="AI26" authorId="0" shapeId="0">
      <text>
        <t>모델값 역산(implied): 모델 v 그대로
최근 4분기 중위 +20.63억이 이자손익 추정 +7.99억의 50% 초과 → 0(경고)</t>
      </text>
    </comment>
    <comment ref="AK26" authorId="0" shapeId="0">
      <text>
        <t>모델값 역산(implied): 모델 v 그대로
최근 4분기 중위 +20.63억이 이자손익 추정 +7.99억의 50% 초과 → 0(경고)</t>
      </text>
    </comment>
    <comment ref="AL26" authorId="0" shapeId="0">
      <text>
        <t>모델값 역산(implied): 모델 v 그대로
최근 4분기 중위 +20.63억이 이자손익 추정 +7.99억의 50% 초과 → 0(경고)</t>
      </text>
    </comment>
    <comment ref="AM26" authorId="0" shapeId="0">
      <text>
        <t>모델값 역산(implied): 모델 v 그대로
최근 4분기 중위 +20.63억이 이자손익 추정 +7.99억의 50% 초과 → 0(경고)</t>
      </text>
    </comment>
    <comment ref="AN26" authorId="0" shapeId="0">
      <text>
        <t>모델값 역산(implied): 모델 v 그대로
최근 4분기 중위 +20.63억이 이자손익 추정 +7.99억의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D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F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G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H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I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K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L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M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N28" authorId="0" shapeId="0">
      <text>
        <t>3절 스칼라 '세율' 참조 — 숫자로 덮어쓰면 이 분기만 바뀐다
max(세전, 0) × 세율 21.3%(최근 12분기 유효세율 21.3%(5~27% 안 — 그대로))</t>
      </text>
    </comment>
    <comment ref="AC29" authorId="0" shapeId="0">
      <text>
        <t>3절 스칼라 '지배주주비중' 참조 — 숫자로 덮어쓰면 이 분기만 바뀐다
당기순이익 × (1 − 비지배 비중 7.6%, 최근 8분기 실측)</t>
      </text>
    </comment>
    <comment ref="AD29" authorId="0" shapeId="0">
      <text>
        <t>3절 스칼라 '지배주주비중' 참조 — 숫자로 덮어쓰면 이 분기만 바뀐다
당기순이익 × (1 − 비지배 비중 7.6%, 최근 8분기 실측)</t>
      </text>
    </comment>
    <comment ref="AF29" authorId="0" shapeId="0">
      <text>
        <t>3절 스칼라 '지배주주비중' 참조 — 숫자로 덮어쓰면 이 분기만 바뀐다
당기순이익 × (1 − 비지배 비중 7.6%, 최근 8분기 실측)</t>
      </text>
    </comment>
    <comment ref="AG29" authorId="0" shapeId="0">
      <text>
        <t>3절 스칼라 '지배주주비중' 참조 — 숫자로 덮어쓰면 이 분기만 바뀐다
당기순이익 × (1 − 비지배 비중 7.6%, 최근 8분기 실측)</t>
      </text>
    </comment>
    <comment ref="AH29" authorId="0" shapeId="0">
      <text>
        <t>3절 스칼라 '지배주주비중' 참조 — 숫자로 덮어쓰면 이 분기만 바뀐다
당기순이익 × (1 − 비지배 비중 7.6%, 최근 8분기 실측)</t>
      </text>
    </comment>
    <comment ref="AI29" authorId="0" shapeId="0">
      <text>
        <t>3절 스칼라 '지배주주비중' 참조 — 숫자로 덮어쓰면 이 분기만 바뀐다
당기순이익 × (1 − 비지배 비중 7.6%, 최근 8분기 실측)</t>
      </text>
    </comment>
    <comment ref="AK29" authorId="0" shapeId="0">
      <text>
        <t>3절 스칼라 '지배주주비중' 참조 — 숫자로 덮어쓰면 이 분기만 바뀐다
당기순이익 × (1 − 비지배 비중 7.6%, 최근 8분기 실측)</t>
      </text>
    </comment>
    <comment ref="AL29" authorId="0" shapeId="0">
      <text>
        <t>3절 스칼라 '지배주주비중' 참조 — 숫자로 덮어쓰면 이 분기만 바뀐다
당기순이익 × (1 − 비지배 비중 7.6%, 최근 8분기 실측)</t>
      </text>
    </comment>
    <comment ref="AM29" authorId="0" shapeId="0">
      <text>
        <t>3절 스칼라 '지배주주비중' 참조 — 숫자로 덮어쓰면 이 분기만 바뀐다
당기순이익 × (1 − 비지배 비중 7.6%, 최근 8분기 실측)</t>
      </text>
    </comment>
    <comment ref="AN29" authorId="0" shapeId="0">
      <text>
        <t>3절 스칼라 '지배주주비중' 참조 — 숫자로 덮어쓰면 이 분기만 바뀐다
당기순이익 × (1 − 비지배 비중 7.6%, 최근 8분기 실측)</t>
      </text>
    </comment>
    <comment ref="AC30" authorId="0" shapeId="0">
      <text>
        <t>모델값 역산(implied): v / 전분기 − 1
마지막 실적 유지(가정)</t>
      </text>
    </comment>
    <comment ref="AD30" authorId="0" shapeId="0">
      <text>
        <t>모델값 역산(implied): v / 전분기 − 1
마지막 실적 유지(가정)</t>
      </text>
    </comment>
    <comment ref="AF30" authorId="0" shapeId="0">
      <text>
        <t>모델값 역산(implied): v / 전분기 − 1
마지막 실적 유지(가정)</t>
      </text>
    </comment>
    <comment ref="AG30" authorId="0" shapeId="0">
      <text>
        <t>모델값 역산(implied): v / 전분기 − 1
마지막 실적 유지(가정)</t>
      </text>
    </comment>
    <comment ref="AH30" authorId="0" shapeId="0">
      <text>
        <t>모델값 역산(implied): v / 전분기 − 1
마지막 실적 유지(가정)</t>
      </text>
    </comment>
    <comment ref="AI30" authorId="0" shapeId="0">
      <text>
        <t>모델값 역산(implied): v / 전분기 − 1
마지막 실적 유지(가정)</t>
      </text>
    </comment>
    <comment ref="AK30" authorId="0" shapeId="0">
      <text>
        <t>모델값 역산(implied): v / 전분기 − 1
마지막 실적 유지(가정)</t>
      </text>
    </comment>
    <comment ref="AL30" authorId="0" shapeId="0">
      <text>
        <t>모델값 역산(implied): v / 전분기 − 1
마지막 실적 유지(가정)</t>
      </text>
    </comment>
    <comment ref="AM30" authorId="0" shapeId="0">
      <text>
        <t>모델값 역산(implied): v / 전분기 − 1
마지막 실적 유지(가정)</t>
      </text>
    </comment>
    <comment ref="AN30" authorId="0" shapeId="0">
      <text>
        <t>모델값 역산(implied): v / 전분기 − 1
마지막 실적 유지(가정)</t>
      </text>
    </comment>
    <comment ref="AC31" authorId="0" shapeId="0">
      <text>
        <t>모델값 역산(implied): 전분기(시트값) + 당기순이익(시트 수식값) − v
전분기 + 당기순이익 − 배당(Q2 지급 가정)</t>
      </text>
    </comment>
    <comment ref="AD31" authorId="0" shapeId="0">
      <text>
        <t>모델값 역산(implied): 전분기(시트값) + 당기순이익(시트 수식값) − v
전분기 + 당기순이익 − 배당(Q2 지급 가정)</t>
      </text>
    </comment>
    <comment ref="AF31" authorId="0" shapeId="0">
      <text>
        <t>모델값 역산(implied): 전분기(시트값) + 당기순이익(시트 수식값) − v
전분기 + 당기순이익 − 배당(Q2 지급 가정)</t>
      </text>
    </comment>
    <comment ref="AG31" authorId="0" shapeId="0">
      <text>
        <t>모델값 역산(implied): 전분기(시트값) + 당기순이익(시트 수식값) − v
전분기 + 당기순이익 − 배당(Q2 지급 가정)</t>
      </text>
    </comment>
    <comment ref="AH31" authorId="0" shapeId="0">
      <text>
        <t>모델값 역산(implied): 전분기(시트값) + 당기순이익(시트 수식값) − v
전분기 + 당기순이익 − 배당(Q2 지급 가정)</t>
      </text>
    </comment>
    <comment ref="AI31" authorId="0" shapeId="0">
      <text>
        <t>모델값 역산(implied): 전분기(시트값) + 당기순이익(시트 수식값) − v
전분기 + 당기순이익 − 배당(Q2 지급 가정)</t>
      </text>
    </comment>
    <comment ref="AK31" authorId="0" shapeId="0">
      <text>
        <t>모델값 역산(implied): 전분기(시트값) + 당기순이익(시트 수식값) − v
전분기 + 당기순이익 − 배당(Q2 지급 가정)</t>
      </text>
    </comment>
    <comment ref="AL31" authorId="0" shapeId="0">
      <text>
        <t>모델값 역산(implied): 전분기(시트값) + 당기순이익(시트 수식값) − v
전분기 + 당기순이익 − 배당(Q2 지급 가정)</t>
      </text>
    </comment>
    <comment ref="AM31" authorId="0" shapeId="0">
      <text>
        <t>모델값 역산(implied): 전분기(시트값) + 당기순이익(시트 수식값) − v
전분기 + 당기순이익 − 배당(Q2 지급 가정)</t>
      </text>
    </comment>
    <comment ref="AN31" authorId="0" shapeId="0">
      <text>
        <t>모델값 역산(implied): 전분기(시트값) + 당기순이익(시트 수식값) − v
전분기 + 당기순이익 − 배당(Q2 지급 가정)</t>
      </text>
    </comment>
    <comment ref="AC32" authorId="0" shapeId="0">
      <text>
        <t>모델값 역산(implied): 전분기(시트값) + 지배주주순이익(시트 수식값) − v
전분기 + 지배주주순이익 − 배당</t>
      </text>
    </comment>
    <comment ref="AD32" authorId="0" shapeId="0">
      <text>
        <t>모델값 역산(implied): 전분기(시트값) + 지배주주순이익(시트 수식값) − v
전분기 + 지배주주순이익 − 배당</t>
      </text>
    </comment>
    <comment ref="AF32" authorId="0" shapeId="0">
      <text>
        <t>모델값 역산(implied): 전분기(시트값) + 지배주주순이익(시트 수식값) − v
전분기 + 지배주주순이익 − 배당</t>
      </text>
    </comment>
    <comment ref="AG32" authorId="0" shapeId="0">
      <text>
        <t>모델값 역산(implied): 전분기(시트값) + 지배주주순이익(시트 수식값) − v
전분기 + 지배주주순이익 − 배당</t>
      </text>
    </comment>
    <comment ref="AH32" authorId="0" shapeId="0">
      <text>
        <t>모델값 역산(implied): 전분기(시트값) + 지배주주순이익(시트 수식값) − v
전분기 + 지배주주순이익 − 배당</t>
      </text>
    </comment>
    <comment ref="AI32" authorId="0" shapeId="0">
      <text>
        <t>모델값 역산(implied): 전분기(시트값) + 지배주주순이익(시트 수식값) − v
전분기 + 지배주주순이익 − 배당</t>
      </text>
    </comment>
    <comment ref="AK32" authorId="0" shapeId="0">
      <text>
        <t>모델값 역산(implied): 전분기(시트값) + 지배주주순이익(시트 수식값) − v
전분기 + 지배주주순이익 − 배당</t>
      </text>
    </comment>
    <comment ref="AL32" authorId="0" shapeId="0">
      <text>
        <t>모델값 역산(implied): 전분기(시트값) + 지배주주순이익(시트 수식값) − v
전분기 + 지배주주순이익 − 배당</t>
      </text>
    </comment>
    <comment ref="AM32" authorId="0" shapeId="0">
      <text>
        <t>모델값 역산(implied): 전분기(시트값) + 지배주주순이익(시트 수식값) − v
전분기 + 지배주주순이익 − 배당</t>
      </text>
    </comment>
    <comment ref="AN32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전분기 + FCF 근사 — 순차입금 롤과 같은 가정</t>
      </text>
    </comment>
    <comment ref="AD35" authorId="0" shapeId="0">
      <text>
        <t>모델값 역산(implied): v / 전분기 − 1
전분기 + FCF 근사 — 순차입금 롤과 같은 가정</t>
      </text>
    </comment>
    <comment ref="AF35" authorId="0" shapeId="0">
      <text>
        <t>모델값 역산(implied): v / 전분기 − 1
전분기 + FCF 근사 — 순차입금 롤과 같은 가정</t>
      </text>
    </comment>
    <comment ref="AG35" authorId="0" shapeId="0">
      <text>
        <t>모델값 역산(implied): v / 전분기 − 1
전분기 + FCF 근사 — 순차입금 롤과 같은 가정</t>
      </text>
    </comment>
    <comment ref="AH35" authorId="0" shapeId="0">
      <text>
        <t>모델값 역산(implied): v / 전분기 − 1
전분기 + FCF 근사 — 순차입금 롤과 같은 가정</t>
      </text>
    </comment>
    <comment ref="AI35" authorId="0" shapeId="0">
      <text>
        <t>모델값 역산(implied): v / 전분기 − 1
전분기 + FCF 근사 — 순차입금 롤과 같은 가정</t>
      </text>
    </comment>
    <comment ref="AK35" authorId="0" shapeId="0">
      <text>
        <t>모델값 역산(implied): v / 전분기 − 1
전분기 + FCF 근사 — 순차입금 롤과 같은 가정</t>
      </text>
    </comment>
    <comment ref="AL35" authorId="0" shapeId="0">
      <text>
        <t>모델값 역산(implied): v / 전분기 − 1
전분기 + FCF 근사 — 순차입금 롤과 같은 가정</t>
      </text>
    </comment>
    <comment ref="AM35" authorId="0" shapeId="0">
      <text>
        <t>모델값 역산(implied): v / 전분기 − 1
전분기 + FCF 근사 — 순차입금 롤과 같은 가정</t>
      </text>
    </comment>
    <comment ref="AN35" authorId="0" shapeId="0">
      <text>
        <t>모델값 역산(implied): v / 전분기 − 1
전분기 + FCF 근사 — 순차입금 롤과 같은 가정</t>
      </text>
    </comment>
    <comment ref="AC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7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9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v / 전분기 − 1
유통주식수 유지 — fin.shares.common_outstanding(2026Q2)</t>
      </text>
    </comment>
    <comment ref="AF39" authorId="0" shapeId="0">
      <text>
        <t>모델값 역산(implied): v / 전분기 − 1
유통주식수 유지 — fin.shares.common_outstanding(2026Q2)</t>
      </text>
    </comment>
    <comment ref="AG39" authorId="0" shapeId="0">
      <text>
        <t>모델값 역산(implied): v / 전분기 − 1
유통주식수 유지 — fin.shares.common_outstanding(2026Q2)</t>
      </text>
    </comment>
    <comment ref="AH39" authorId="0" shapeId="0">
      <text>
        <t>모델값 역산(implied): v / 전분기 − 1
유통주식수 유지 — fin.shares.common_outstanding(2026Q2)</t>
      </text>
    </comment>
    <comment ref="AI39" authorId="0" shapeId="0">
      <text>
        <t>모델값 역산(implied): v / 전분기 − 1
유통주식수 유지 — fin.shares.common_outstanding(2026Q2)</t>
      </text>
    </comment>
    <comment ref="AK39" authorId="0" shapeId="0">
      <text>
        <t>모델값 역산(implied): v / 전분기 − 1
유통주식수 유지 — fin.shares.common_outstanding(2026Q2)</t>
      </text>
    </comment>
    <comment ref="AL39" authorId="0" shapeId="0">
      <text>
        <t>모델값 역산(implied): v / 전분기 − 1
유통주식수 유지 — fin.shares.common_outstanding(2026Q2)</t>
      </text>
    </comment>
    <comment ref="AM39" authorId="0" shapeId="0">
      <text>
        <t>모델값 역산(implied): v / 전분기 − 1
유통주식수 유지 — fin.shares.common_outstanding(2026Q2)</t>
      </text>
    </comment>
    <comment ref="AN39" authorId="0" shapeId="0">
      <text>
        <t>모델값 역산(implied): v / 전분기 − 1
유통주식수 유지 — fin.shares.common_outstanding(2026Q2)</t>
      </text>
    </comment>
    <comment ref="AD40" authorId="0" shapeId="0">
      <text>
        <t>모델값 역산(implied): 모델 v 그대로
직전 결산 DPS 535원 유지</t>
      </text>
    </comment>
    <comment ref="AI40" authorId="0" shapeId="0">
      <text>
        <t>모델값 역산(implied): 모델 v 그대로
직전 결산 DPS 535원 유지</t>
      </text>
    </comment>
    <comment ref="AN40" authorId="0" shapeId="0">
      <text>
        <t>모델값 역산(implied): 모델 v 그대로
직전 결산 DPS 535원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(1+24.8%) — g=최근 4분기 합 YoY 24.8% 클립(−30~+50%), 연차별 절반 감쇠(가정)
[yoy]</t>
      </text>
    </comment>
    <comment ref="AD5" authorId="0" shapeId="0">
      <text>
        <t>추정: 전년동기 × (1+24.8%) — g=최근 4분기 합 YoY 24.8% 클립(−30~+50%), 연차별 절반 감쇠(가정)
[yoy]</t>
      </text>
    </comment>
    <comment ref="AF5" authorId="0" shapeId="0">
      <text>
        <t>추정: 전년동기 × (1+24.8%) — g=최근 4분기 합 YoY 24.8% 클립(−30~+50%), 연차별 절반 감쇠(가정)
[yoy]</t>
      </text>
    </comment>
    <comment ref="AG5" authorId="0" shapeId="0">
      <text>
        <t>추정: 전년동기 × (1+24.8%) — g=최근 4분기 합 YoY 24.8% 클립(−30~+50%), 연차별 절반 감쇠(가정)
[yoy]</t>
      </text>
    </comment>
    <comment ref="AH5" authorId="0" shapeId="0">
      <text>
        <t>추정: 전년동기 × (1+12.4%) — g=최근 4분기 합 YoY 24.8% 클립(−30~+50%), 연차별 절반 감쇠(가정)
[yoy]</t>
      </text>
    </comment>
    <comment ref="AI5" authorId="0" shapeId="0">
      <text>
        <t>추정: 전년동기 × (1+12.4%) — g=최근 4분기 합 YoY 24.8% 클립(−30~+50%), 연차별 절반 감쇠(가정)
[yoy]</t>
      </text>
    </comment>
    <comment ref="AK5" authorId="0" shapeId="0">
      <text>
        <t>추정: 전년동기 × (1+12.4%) — g=최근 4분기 합 YoY 24.8% 클립(−30~+50%), 연차별 절반 감쇠(가정)
[yoy]</t>
      </text>
    </comment>
    <comment ref="AL5" authorId="0" shapeId="0">
      <text>
        <t>추정: 전년동기 × (1+12.4%) — g=최근 4분기 합 YoY 24.8% 클립(−30~+50%), 연차별 절반 감쇠(가정)
[yoy]</t>
      </text>
    </comment>
    <comment ref="AM5" authorId="0" shapeId="0">
      <text>
        <t>추정: 전년동기 × (1+6.2%) — g=최근 4분기 합 YoY 24.8% 클립(−30~+50%), 연차별 절반 감쇠(가정)
[yoy]</t>
      </text>
    </comment>
    <comment ref="AN5" authorId="0" shapeId="0">
      <text>
        <t>추정: 전년동기 × (1+6.2%) — g=최근 4분기 합 YoY 24.8%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18.43%(최근 4분기 중위)
[ratio]</t>
      </text>
    </comment>
    <comment ref="AD8" authorId="0" shapeId="0">
      <text>
        <t>추정: 매출액 × 판관비율 18.43%(최근 4분기 중위)
[ratio]</t>
      </text>
    </comment>
    <comment ref="AF8" authorId="0" shapeId="0">
      <text>
        <t>추정: 매출액 × 판관비율 18.43%(최근 4분기 중위)
[ratio]</t>
      </text>
    </comment>
    <comment ref="AG8" authorId="0" shapeId="0">
      <text>
        <t>추정: 매출액 × 판관비율 18.43%(최근 4분기 중위)
[ratio]</t>
      </text>
    </comment>
    <comment ref="AH8" authorId="0" shapeId="0">
      <text>
        <t>추정: 매출액 × 판관비율 18.43%(최근 4분기 중위)
[ratio]</t>
      </text>
    </comment>
    <comment ref="AI8" authorId="0" shapeId="0">
      <text>
        <t>추정: 매출액 × 판관비율 18.43%(최근 4분기 중위)
[ratio]</t>
      </text>
    </comment>
    <comment ref="AK8" authorId="0" shapeId="0">
      <text>
        <t>추정: 매출액 × 판관비율 18.43%(최근 4분기 중위)
[ratio]</t>
      </text>
    </comment>
    <comment ref="AL8" authorId="0" shapeId="0">
      <text>
        <t>추정: 매출액 × 판관비율 18.43%(최근 4분기 중위)
[ratio]</t>
      </text>
    </comment>
    <comment ref="AM8" authorId="0" shapeId="0">
      <text>
        <t>추정: 매출액 × 판관비율 18.43%(최근 4분기 중위)
[ratio]</t>
      </text>
    </comment>
    <comment ref="AN8" authorId="0" shapeId="0">
      <text>
        <t>추정: 매출액 × 판관비율 18.43%(최근 4분기 중위)
[ratio]</t>
      </text>
    </comment>
    <comment ref="AC9" authorId="0" shapeId="0">
      <text>
        <t>추정: 매출액 × OPM(최근 8분기 OPM 중위 12.0% 유지(클립 −20~40%))
[ratio]</t>
      </text>
    </comment>
    <comment ref="AD9" authorId="0" shapeId="0">
      <text>
        <t>추정: 매출액 × OPM(최근 8분기 OPM 중위 12.0% 유지(클립 −20~40%))
[ratio]</t>
      </text>
    </comment>
    <comment ref="AF9" authorId="0" shapeId="0">
      <text>
        <t>추정: 매출액 × OPM(최근 8분기 OPM 중위 12.0% 유지(클립 −20~40%))
[ratio]</t>
      </text>
    </comment>
    <comment ref="AG9" authorId="0" shapeId="0">
      <text>
        <t>추정: 매출액 × OPM(최근 8분기 OPM 중위 12.0% 유지(클립 −20~40%))
[ratio]</t>
      </text>
    </comment>
    <comment ref="AH9" authorId="0" shapeId="0">
      <text>
        <t>추정: 매출액 × OPM(최근 8분기 OPM 중위 12.0% 유지(클립 −20~40%))
[ratio]</t>
      </text>
    </comment>
    <comment ref="AI9" authorId="0" shapeId="0">
      <text>
        <t>추정: 매출액 × OPM(최근 8분기 OPM 중위 12.0% 유지(클립 −20~40%))
[ratio]</t>
      </text>
    </comment>
    <comment ref="AK9" authorId="0" shapeId="0">
      <text>
        <t>추정: 매출액 × OPM(최근 8분기 OPM 중위 12.0% 유지(클립 −20~40%))
[ratio]</t>
      </text>
    </comment>
    <comment ref="AL9" authorId="0" shapeId="0">
      <text>
        <t>추정: 매출액 × OPM(최근 8분기 OPM 중위 12.0% 유지(클립 −20~40%))
[ratio]</t>
      </text>
    </comment>
    <comment ref="AM9" authorId="0" shapeId="0">
      <text>
        <t>추정: 매출액 × OPM(최근 8분기 OPM 중위 12.0% 유지(클립 −20~40%))
[ratio]</t>
      </text>
    </comment>
    <comment ref="AN9" authorId="0" shapeId="0">
      <text>
        <t>추정: 매출액 × OPM(최근 8분기 OPM 중위 12.0% 유지(클립 −20~40%))
[ratio]</t>
      </text>
    </comment>
    <comment ref="AC10" authorId="0" shapeId="0">
      <text>
        <t>추정: 최근 8분기 OPM 중위 12.0% 유지(클립 −20~40%)
[divide]</t>
      </text>
    </comment>
    <comment ref="AD10" authorId="0" shapeId="0">
      <text>
        <t>추정: 최근 8분기 OPM 중위 12.0% 유지(클립 −20~40%)
[divide]</t>
      </text>
    </comment>
    <comment ref="AF10" authorId="0" shapeId="0">
      <text>
        <t>추정: 최근 8분기 OPM 중위 12.0% 유지(클립 −20~40%)
[divide]</t>
      </text>
    </comment>
    <comment ref="AG10" authorId="0" shapeId="0">
      <text>
        <t>추정: 최근 8분기 OPM 중위 12.0% 유지(클립 −20~40%)
[divide]</t>
      </text>
    </comment>
    <comment ref="AH10" authorId="0" shapeId="0">
      <text>
        <t>추정: 최근 8분기 OPM 중위 12.0% 유지(클립 −20~40%)
[divide]</t>
      </text>
    </comment>
    <comment ref="AI10" authorId="0" shapeId="0">
      <text>
        <t>추정: 최근 8분기 OPM 중위 12.0% 유지(클립 −20~40%)
[divide]</t>
      </text>
    </comment>
    <comment ref="AK10" authorId="0" shapeId="0">
      <text>
        <t>추정: 최근 8분기 OPM 중위 12.0% 유지(클립 −20~40%)
[divide]</t>
      </text>
    </comment>
    <comment ref="AL10" authorId="0" shapeId="0">
      <text>
        <t>추정: 최근 8분기 OPM 중위 12.0% 유지(클립 −20~40%)
[divide]</t>
      </text>
    </comment>
    <comment ref="AM10" authorId="0" shapeId="0">
      <text>
        <t>추정: 최근 8분기 OPM 중위 12.0% 유지(클립 −20~40%)
[divide]</t>
      </text>
    </comment>
    <comment ref="AN10" authorId="0" shapeId="0">
      <text>
        <t>추정: 최근 8분기 OPM 중위 12.0% 유지(클립 −20~40%)
[divide]</t>
      </text>
    </comment>
    <comment ref="AC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1156억 × 2.77%(주석 이자수익 ÷ 평균 이자발생자산(2025Q3~2026Q2)) − 총차입금 0억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1258억 × 2.77%(주석 이자수익 ÷ 평균 이자발생자산(2025Q3~2026Q2)) − 총차입금 0억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1361억 × 2.77%(주석 이자수익 ÷ 평균 이자발생자산(2025Q3~2026Q2)) − 총차입금 0억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1465억 × 2.77%(주석 이자수익 ÷ 평균 이자발생자산(2025Q3~2026Q2)) − 총차입금 0억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1435억 × 2.77%(주석 이자수익 ÷ 평균 이자발생자산(2025Q3~2026Q2)) − 총차입금 0억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1551억 × 2.77%(주석 이자수익 ÷ 평균 이자발생자산(2025Q3~2026Q2)) − 총차입금 0억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1667억 × 2.77%(주석 이자수익 ÷ 평균 이자발생자산(2025Q3~2026Q2)) − 총차입금 0억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1786억 × 2.77%(주석 이자수익 ÷ 평균 이자발생자산(2025Q3~2026Q2)) − 총차입금 0억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1769억 × 2.77%(주석 이자수익 ÷ 평균 이자발생자산(2025Q3~2026Q2)) − 총차입금 0억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+20.63억이 이자손익 추정 +7.99억의 50% 초과 → 0(경고)) (항등식); 이자손익 = 이자발생자산 1894억 × 2.77%(주석 이자수익 ÷ 평균 이자발생자산(2025Q3~2026Q2)) − 총차입금 0억 × 0.00%(없음) (연율) ÷ 4; 환율 효과는 환관련손익 행 별도
[identity]</t>
      </text>
    </comment>
    <comment ref="AC12" authorId="0" shapeId="0">
      <text>
        <t>추정: 이자발생자산 1156억 × 2.77%(주석 이자수익 ÷ 평균 이자발생자산(2025Q3~2026Q2)) − 총차입금 0억 × 0.00%(없음) (연율) ÷ 4
[interest]</t>
      </text>
    </comment>
    <comment ref="AD12" authorId="0" shapeId="0">
      <text>
        <t>추정: 이자발생자산 1258억 × 2.77%(주석 이자수익 ÷ 평균 이자발생자산(2025Q3~2026Q2)) − 총차입금 0억 × 0.00%(없음) (연율) ÷ 4
[interest]</t>
      </text>
    </comment>
    <comment ref="AF12" authorId="0" shapeId="0">
      <text>
        <t>추정: 이자발생자산 1361억 × 2.77%(주석 이자수익 ÷ 평균 이자발생자산(2025Q3~2026Q2)) − 총차입금 0억 × 0.00%(없음) (연율) ÷ 4
[interest]</t>
      </text>
    </comment>
    <comment ref="AG12" authorId="0" shapeId="0">
      <text>
        <t>추정: 이자발생자산 1465억 × 2.77%(주석 이자수익 ÷ 평균 이자발생자산(2025Q3~2026Q2)) − 총차입금 0억 × 0.00%(없음) (연율) ÷ 4
[interest]</t>
      </text>
    </comment>
    <comment ref="AH12" authorId="0" shapeId="0">
      <text>
        <t>추정: 이자발생자산 1435억 × 2.77%(주석 이자수익 ÷ 평균 이자발생자산(2025Q3~2026Q2)) − 총차입금 0억 × 0.00%(없음) (연율) ÷ 4
[interest]</t>
      </text>
    </comment>
    <comment ref="AI12" authorId="0" shapeId="0">
      <text>
        <t>추정: 이자발생자산 1551억 × 2.77%(주석 이자수익 ÷ 평균 이자발생자산(2025Q3~2026Q2)) − 총차입금 0억 × 0.00%(없음) (연율) ÷ 4
[interest]</t>
      </text>
    </comment>
    <comment ref="AK12" authorId="0" shapeId="0">
      <text>
        <t>추정: 이자발생자산 1667억 × 2.77%(주석 이자수익 ÷ 평균 이자발생자산(2025Q3~2026Q2)) − 총차입금 0억 × 0.00%(없음) (연율) ÷ 4
[interest]</t>
      </text>
    </comment>
    <comment ref="AL12" authorId="0" shapeId="0">
      <text>
        <t>추정: 이자발생자산 1786억 × 2.77%(주석 이자수익 ÷ 평균 이자발생자산(2025Q3~2026Q2)) − 총차입금 0억 × 0.00%(없음) (연율) ÷ 4
[interest]</t>
      </text>
    </comment>
    <comment ref="AM12" authorId="0" shapeId="0">
      <text>
        <t>추정: 이자발생자산 1769억 × 2.77%(주석 이자수익 ÷ 평균 이자발생자산(2025Q3~2026Q2)) − 총차입금 0억 × 0.00%(없음) (연율) ÷ 4
[interest]</t>
      </text>
    </comment>
    <comment ref="AN12" authorId="0" shapeId="0">
      <text>
        <t>추정: 이자발생자산 1894억 × 2.77%(주석 이자수익 ÷ 평균 이자발생자산(2025Q3~2026Q2)) − 총차입금 0억 × 0.00%(없음)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L14" authorId="0" shapeId="0">
      <text>
        <t>BS 계정 합·차: +파생상품이익 -파생상품손실</t>
      </text>
    </comment>
    <comment ref="M14" authorId="0" shapeId="0">
      <text>
        <t>BS 계정 합·차: +파생상품이익 -파생상품손실</t>
      </text>
    </comment>
    <comment ref="N14" authorId="0" shapeId="0">
      <text>
        <t>BS 계정 합·차: +파생상품이익 -파생상품손실</t>
      </text>
    </comment>
    <comment ref="O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+20.63억이 이자손익 추정 +7.99억의 50% 초과 → 0(경고)
[abs]</t>
      </text>
    </comment>
    <comment ref="AD15" authorId="0" shapeId="0">
      <text>
        <t>추정: 최근 4분기 중위 +20.63억이 이자손익 추정 +7.99억의 50% 초과 → 0(경고)
[abs]</t>
      </text>
    </comment>
    <comment ref="AF15" authorId="0" shapeId="0">
      <text>
        <t>추정: 최근 4분기 중위 +20.63억이 이자손익 추정 +7.99억의 50% 초과 → 0(경고)
[abs]</t>
      </text>
    </comment>
    <comment ref="AG15" authorId="0" shapeId="0">
      <text>
        <t>추정: 최근 4분기 중위 +20.63억이 이자손익 추정 +7.99억의 50% 초과 → 0(경고)
[abs]</t>
      </text>
    </comment>
    <comment ref="AH15" authorId="0" shapeId="0">
      <text>
        <t>추정: 최근 4분기 중위 +20.63억이 이자손익 추정 +7.99억의 50% 초과 → 0(경고)
[abs]</t>
      </text>
    </comment>
    <comment ref="AI15" authorId="0" shapeId="0">
      <text>
        <t>추정: 최근 4분기 중위 +20.63억이 이자손익 추정 +7.99억의 50% 초과 → 0(경고)
[abs]</t>
      </text>
    </comment>
    <comment ref="AK15" authorId="0" shapeId="0">
      <text>
        <t>추정: 최근 4분기 중위 +20.63억이 이자손익 추정 +7.99억의 50% 초과 → 0(경고)
[abs]</t>
      </text>
    </comment>
    <comment ref="AL15" authorId="0" shapeId="0">
      <text>
        <t>추정: 최근 4분기 중위 +20.63억이 이자손익 추정 +7.99억의 50% 초과 → 0(경고)
[abs]</t>
      </text>
    </comment>
    <comment ref="AM15" authorId="0" shapeId="0">
      <text>
        <t>추정: 최근 4분기 중위 +20.63억이 이자손익 추정 +7.99억의 50% 초과 → 0(경고)
[abs]</t>
      </text>
    </comment>
    <comment ref="AN15" authorId="0" shapeId="0">
      <text>
        <t>추정: 최근 4분기 중위 +20.63억이 이자손익 추정 +7.99억의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21.3%(최근 12분기 유효세율 21.3%(5~27% 안 — 그대로))
[tax]</t>
      </text>
    </comment>
    <comment ref="AD18" authorId="0" shapeId="0">
      <text>
        <t>추정: max(세전, 0) × 세율 21.3%(최근 12분기 유효세율 21.3%(5~27% 안 — 그대로))
[tax]</t>
      </text>
    </comment>
    <comment ref="AF18" authorId="0" shapeId="0">
      <text>
        <t>추정: max(세전, 0) × 세율 21.3%(최근 12분기 유효세율 21.3%(5~27% 안 — 그대로))
[tax]</t>
      </text>
    </comment>
    <comment ref="AG18" authorId="0" shapeId="0">
      <text>
        <t>추정: max(세전, 0) × 세율 21.3%(최근 12분기 유효세율 21.3%(5~27% 안 — 그대로))
[tax]</t>
      </text>
    </comment>
    <comment ref="AH18" authorId="0" shapeId="0">
      <text>
        <t>추정: max(세전, 0) × 세율 21.3%(최근 12분기 유효세율 21.3%(5~27% 안 — 그대로))
[tax]</t>
      </text>
    </comment>
    <comment ref="AI18" authorId="0" shapeId="0">
      <text>
        <t>추정: max(세전, 0) × 세율 21.3%(최근 12분기 유효세율 21.3%(5~27% 안 — 그대로))
[tax]</t>
      </text>
    </comment>
    <comment ref="AK18" authorId="0" shapeId="0">
      <text>
        <t>추정: max(세전, 0) × 세율 21.3%(최근 12분기 유효세율 21.3%(5~27% 안 — 그대로))
[tax]</t>
      </text>
    </comment>
    <comment ref="AL18" authorId="0" shapeId="0">
      <text>
        <t>추정: max(세전, 0) × 세율 21.3%(최근 12분기 유효세율 21.3%(5~27% 안 — 그대로))
[tax]</t>
      </text>
    </comment>
    <comment ref="AM18" authorId="0" shapeId="0">
      <text>
        <t>추정: max(세전, 0) × 세율 21.3%(최근 12분기 유효세율 21.3%(5~27% 안 — 그대로))
[tax]</t>
      </text>
    </comment>
    <comment ref="AN18" authorId="0" shapeId="0">
      <text>
        <t>추정: max(세전, 0) × 세율 21.3%(최근 12분기 유효세율 21.3%(5~27% 안 — 그대로))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7.6%, 최근 8분기 실측)
[ratio]</t>
      </text>
    </comment>
    <comment ref="AD20" authorId="0" shapeId="0">
      <text>
        <t>추정: 당기순이익 × (1 − 비지배 비중 7.6%, 최근 8분기 실측)
[ratio]</t>
      </text>
    </comment>
    <comment ref="AF20" authorId="0" shapeId="0">
      <text>
        <t>추정: 당기순이익 × (1 − 비지배 비중 7.6%, 최근 8분기 실측)
[ratio]</t>
      </text>
    </comment>
    <comment ref="AG20" authorId="0" shapeId="0">
      <text>
        <t>추정: 당기순이익 × (1 − 비지배 비중 7.6%, 최근 8분기 실측)
[ratio]</t>
      </text>
    </comment>
    <comment ref="AH20" authorId="0" shapeId="0">
      <text>
        <t>추정: 당기순이익 × (1 − 비지배 비중 7.6%, 최근 8분기 실측)
[ratio]</t>
      </text>
    </comment>
    <comment ref="AI20" authorId="0" shapeId="0">
      <text>
        <t>추정: 당기순이익 × (1 − 비지배 비중 7.6%, 최근 8분기 실측)
[ratio]</t>
      </text>
    </comment>
    <comment ref="AK20" authorId="0" shapeId="0">
      <text>
        <t>추정: 당기순이익 × (1 − 비지배 비중 7.6%, 최근 8분기 실측)
[ratio]</t>
      </text>
    </comment>
    <comment ref="AL20" authorId="0" shapeId="0">
      <text>
        <t>추정: 당기순이익 × (1 − 비지배 비중 7.6%, 최근 8분기 실측)
[ratio]</t>
      </text>
    </comment>
    <comment ref="AM20" authorId="0" shapeId="0">
      <text>
        <t>추정: 당기순이익 × (1 − 비지배 비중 7.6%, 최근 8분기 실측)
[ratio]</t>
      </text>
    </comment>
    <comment ref="AN20" authorId="0" shapeId="0">
      <text>
        <t>추정: 당기순이익 × (1 − 비지배 비중 7.6%,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B33" authorId="0" shapeId="0">
      <text>
        <t>조정EPS 산식(모델 추정, 일회성 여부·세효과 주석 미확인): 지배NI − 초과 비영업손익 739억 × (1 − 세율 20.4% [분기 유효세율(법인세 177억 ÷ 세전 866억)]) × 지배 비중 0.8544 [그 분기 지배NI/NI] = 86억 ÷ 유통주식수 · 초과 = 비영업손익 794억 − 12분기 기준선 55억 · 보고 EPS 2,294원(EPS 행 불변) · 상수 588.5·0.8544 는 모델 one_offs_detected 값(세전·법인세 셀을 바꿔도 재계산되지 않음)</t>
      </text>
    </comment>
    <comment ref="AC33" authorId="0" shapeId="0">
      <text>
        <t>추정: = EPS(추정 구간은 일회성 미가정)
[identity]</t>
      </text>
    </comment>
    <comment ref="AD33" authorId="0" shapeId="0">
      <text>
        <t>추정: = EPS(추정 구간은 일회성 미가정)
[identity]</t>
      </text>
    </comment>
    <comment ref="AF33" authorId="0" shapeId="0">
      <text>
        <t>추정: = EPS(추정 구간은 일회성 미가정)
[identity]</t>
      </text>
    </comment>
    <comment ref="AG33" authorId="0" shapeId="0">
      <text>
        <t>추정: = EPS(추정 구간은 일회성 미가정)
[identity]</t>
      </text>
    </comment>
    <comment ref="AH33" authorId="0" shapeId="0">
      <text>
        <t>추정: = EPS(추정 구간은 일회성 미가정)
[identity]</t>
      </text>
    </comment>
    <comment ref="AI33" authorId="0" shapeId="0">
      <text>
        <t>추정: = EPS(추정 구간은 일회성 미가정)
[identity]</t>
      </text>
    </comment>
    <comment ref="AK33" authorId="0" shapeId="0">
      <text>
        <t>추정: = EPS(추정 구간은 일회성 미가정)
[identity]</t>
      </text>
    </comment>
    <comment ref="AL33" authorId="0" shapeId="0">
      <text>
        <t>추정: = EPS(추정 구간은 일회성 미가정)
[identity]</t>
      </text>
    </comment>
    <comment ref="AM33" authorId="0" shapeId="0">
      <text>
        <t>추정: = EPS(추정 구간은 일회성 미가정)
[identity]</t>
      </text>
    </comment>
    <comment ref="AN33" authorId="0" shapeId="0">
      <text>
        <t>추정: = EPS(추정 구간은 일회성 미가정)
[identity]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535원 유지
[abs]</t>
      </text>
    </comment>
    <comment ref="AI35" authorId="0" shapeId="0">
      <text>
        <t>추정: 직전 결산 DPS 535원 유지
[abs]</t>
      </text>
    </comment>
    <comment ref="AN35" authorId="0" shapeId="0">
      <text>
        <t>추정: 직전 결산 DPS 535원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E38" authorId="0" shapeId="0">
      <text>
        <t>실측(계정 매핑 없음(파생·부문·시세 행) — 모델값 직접) — = 매출액(부문 미분리)</t>
      </text>
    </comment>
    <comment ref="G38" authorId="0" shapeId="0">
      <text>
        <t>실측(계정 매핑 없음(파생·부문·시세 행) — 모델값 직접) — = 매출액(부문 미분리)</t>
      </text>
    </comment>
    <comment ref="H38" authorId="0" shapeId="0">
      <text>
        <t>실측(계정 매핑 없음(파생·부문·시세 행) — 모델값 직접) — = 매출액(부문 미분리)</t>
      </text>
    </comment>
    <comment ref="I38" authorId="0" shapeId="0">
      <text>
        <t>실측(계정 매핑 없음(파생·부문·시세 행) — 모델값 직접) — = 매출액(부문 미분리)</t>
      </text>
    </comment>
    <comment ref="J38" authorId="0" shapeId="0">
      <text>
        <t>실측(계정 매핑 없음(파생·부문·시세 행) — 모델값 직접) — = 매출액(부문 미분리)</t>
      </text>
    </comment>
    <comment ref="L38" authorId="0" shapeId="0">
      <text>
        <t>실측(계정 매핑 없음(파생·부문·시세 행) — 모델값 직접) — = 매출액(부문 미분리)</t>
      </text>
    </comment>
    <comment ref="M38" authorId="0" shapeId="0">
      <text>
        <t>실측(계정 매핑 없음(파생·부문·시세 행) — 모델값 직접) — = 매출액(부문 미분리)</t>
      </text>
    </comment>
    <comment ref="N38" authorId="0" shapeId="0">
      <text>
        <t>실측(계정 매핑 없음(파생·부문·시세 행) — 모델값 직접) — = 매출액(부문 미분리)</t>
      </text>
    </comment>
    <comment ref="O38" authorId="0" shapeId="0">
      <text>
        <t>실측(계정 매핑 없음(파생·부문·시세 행) — 모델값 직접) — = 매출액(부문 미분리)</t>
      </text>
    </comment>
    <comment ref="Q38" authorId="0" shapeId="0">
      <text>
        <t>실측(계정 매핑 없음(파생·부문·시세 행) — 모델값 직접) — = 매출액(부문 미분리)</t>
      </text>
    </comment>
    <comment ref="R38" authorId="0" shapeId="0">
      <text>
        <t>실측(계정 매핑 없음(파생·부문·시세 행) — 모델값 직접) — = 매출액(부문 미분리)</t>
      </text>
    </comment>
    <comment ref="S38" authorId="0" shapeId="0">
      <text>
        <t>실측(계정 매핑 없음(파생·부문·시세 행) — 모델값 직접) — = 매출액(부문 미분리)</t>
      </text>
    </comment>
    <comment ref="T38" authorId="0" shapeId="0">
      <text>
        <t>실측(계정 매핑 없음(파생·부문·시세 행) — 모델값 직접) — = 매출액(부문 미분리)</t>
      </text>
    </comment>
    <comment ref="V38" authorId="0" shapeId="0">
      <text>
        <t>실측(계정 매핑 없음(파생·부문·시세 행) — 모델값 직접) — = 매출액(부문 미분리)</t>
      </text>
    </comment>
    <comment ref="W38" authorId="0" shapeId="0">
      <text>
        <t>실측(계정 매핑 없음(파생·부문·시세 행) — 모델값 직접) — = 매출액(부문 미분리)</t>
      </text>
    </comment>
    <comment ref="X38" authorId="0" shapeId="0">
      <text>
        <t>실측(계정 매핑 없음(파생·부문·시세 행) — 모델값 직접) — = 매출액(부문 미분리)</t>
      </text>
    </comment>
    <comment ref="Y38" authorId="0" shapeId="0">
      <text>
        <t>실측(계정 매핑 없음(파생·부문·시세 행) — 모델값 직접) — = 매출액(부문 미분리)</t>
      </text>
    </comment>
    <comment ref="AA38" authorId="0" shapeId="0">
      <text>
        <t>실측(계정 매핑 없음(파생·부문·시세 행) — 모델값 직접) — = 매출액(부문 미분리)</t>
      </text>
    </comment>
    <comment ref="AB38" authorId="0" shapeId="0">
      <text>
        <t>실측(계정 매핑 없음(파생·부문·시세 행) — 모델값 직접) — = 매출액(부문 미분리)</t>
      </text>
    </comment>
    <comment ref="AC38" authorId="0" shapeId="0">
      <text>
        <t>추정: = 매출액 추정(부문 미분리)
[identity]</t>
      </text>
    </comment>
    <comment ref="AD38" authorId="0" shapeId="0">
      <text>
        <t>추정: = 매출액 추정(부문 미분리)
[identity]</t>
      </text>
    </comment>
    <comment ref="AF38" authorId="0" shapeId="0">
      <text>
        <t>추정: = 매출액 추정(부문 미분리)
[identity]</t>
      </text>
    </comment>
    <comment ref="AG38" authorId="0" shapeId="0">
      <text>
        <t>추정: = 매출액 추정(부문 미분리)
[identity]</t>
      </text>
    </comment>
    <comment ref="AH38" authorId="0" shapeId="0">
      <text>
        <t>추정: = 매출액 추정(부문 미분리)
[identity]</t>
      </text>
    </comment>
    <comment ref="AI38" authorId="0" shapeId="0">
      <text>
        <t>추정: = 매출액 추정(부문 미분리)
[identity]</t>
      </text>
    </comment>
    <comment ref="AK38" authorId="0" shapeId="0">
      <text>
        <t>추정: = 매출액 추정(부문 미분리)
[identity]</t>
      </text>
    </comment>
    <comment ref="AL38" authorId="0" shapeId="0">
      <text>
        <t>추정: = 매출액 추정(부문 미분리)
[identity]</t>
      </text>
    </comment>
    <comment ref="AM38" authorId="0" shapeId="0">
      <text>
        <t>추정: = 매출액 추정(부문 미분리)
[identity]</t>
      </text>
    </comment>
    <comment ref="AN38" authorId="0" shapeId="0">
      <text>
        <t>추정: = 매출액 추정(부문 미분리)
[identity]</t>
      </text>
    </comment>
    <comment ref="E39" authorId="0" shapeId="0">
      <text>
        <t>실측(계정 매핑 없음(파생·부문·시세 행) — 모델값 직접) — = 영업이익(부문 미분리)</t>
      </text>
    </comment>
    <comment ref="G39" authorId="0" shapeId="0">
      <text>
        <t>실측(계정 매핑 없음(파생·부문·시세 행) — 모델값 직접) — = 영업이익(부문 미분리)</t>
      </text>
    </comment>
    <comment ref="H39" authorId="0" shapeId="0">
      <text>
        <t>실측(계정 매핑 없음(파생·부문·시세 행) — 모델값 직접) — = 영업이익(부문 미분리)</t>
      </text>
    </comment>
    <comment ref="I39" authorId="0" shapeId="0">
      <text>
        <t>실측(계정 매핑 없음(파생·부문·시세 행) — 모델값 직접) — = 영업이익(부문 미분리)</t>
      </text>
    </comment>
    <comment ref="J39" authorId="0" shapeId="0">
      <text>
        <t>실측(계정 매핑 없음(파생·부문·시세 행) — 모델값 직접) — = 영업이익(부문 미분리)</t>
      </text>
    </comment>
    <comment ref="L39" authorId="0" shapeId="0">
      <text>
        <t>실측(계정 매핑 없음(파생·부문·시세 행) — 모델값 직접) — = 영업이익(부문 미분리)</t>
      </text>
    </comment>
    <comment ref="M39" authorId="0" shapeId="0">
      <text>
        <t>실측(계정 매핑 없음(파생·부문·시세 행) — 모델값 직접) — = 영업이익(부문 미분리)</t>
      </text>
    </comment>
    <comment ref="N39" authorId="0" shapeId="0">
      <text>
        <t>실측(계정 매핑 없음(파생·부문·시세 행) — 모델값 직접) — = 영업이익(부문 미분리)</t>
      </text>
    </comment>
    <comment ref="O39" authorId="0" shapeId="0">
      <text>
        <t>실측(계정 매핑 없음(파생·부문·시세 행) — 모델값 직접) — = 영업이익(부문 미분리)</t>
      </text>
    </comment>
    <comment ref="Q39" authorId="0" shapeId="0">
      <text>
        <t>실측(계정 매핑 없음(파생·부문·시세 행) — 모델값 직접) — = 영업이익(부문 미분리)</t>
      </text>
    </comment>
    <comment ref="R39" authorId="0" shapeId="0">
      <text>
        <t>실측(계정 매핑 없음(파생·부문·시세 행) — 모델값 직접) — = 영업이익(부문 미분리)</t>
      </text>
    </comment>
    <comment ref="S39" authorId="0" shapeId="0">
      <text>
        <t>실측(계정 매핑 없음(파생·부문·시세 행) — 모델값 직접) — = 영업이익(부문 미분리)</t>
      </text>
    </comment>
    <comment ref="T39" authorId="0" shapeId="0">
      <text>
        <t>실측(계정 매핑 없음(파생·부문·시세 행) — 모델값 직접) — = 영업이익(부문 미분리)</t>
      </text>
    </comment>
    <comment ref="V39" authorId="0" shapeId="0">
      <text>
        <t>실측(계정 매핑 없음(파생·부문·시세 행) — 모델값 직접) — = 영업이익(부문 미분리)</t>
      </text>
    </comment>
    <comment ref="W39" authorId="0" shapeId="0">
      <text>
        <t>실측(계정 매핑 없음(파생·부문·시세 행) — 모델값 직접) — = 영업이익(부문 미분리)</t>
      </text>
    </comment>
    <comment ref="X39" authorId="0" shapeId="0">
      <text>
        <t>실측(계정 매핑 없음(파생·부문·시세 행) — 모델값 직접) — = 영업이익(부문 미분리)</t>
      </text>
    </comment>
    <comment ref="Y39" authorId="0" shapeId="0">
      <text>
        <t>실측(계정 매핑 없음(파생·부문·시세 행) — 모델값 직접) — = 영업이익(부문 미분리)</t>
      </text>
    </comment>
    <comment ref="AA39" authorId="0" shapeId="0">
      <text>
        <t>실측(계정 매핑 없음(파생·부문·시세 행) — 모델값 직접) — = 영업이익(부문 미분리)</t>
      </text>
    </comment>
    <comment ref="AB39" authorId="0" shapeId="0">
      <text>
        <t>실측(계정 매핑 없음(파생·부문·시세 행) — 모델값 직접) — = 영업이익(부문 미분리)</t>
      </text>
    </comment>
    <comment ref="AC39" authorId="0" shapeId="0">
      <text>
        <t>추정: = 매출액 × OPM(부문 미분리)
[identity]</t>
      </text>
    </comment>
    <comment ref="AD39" authorId="0" shapeId="0">
      <text>
        <t>추정: = 매출액 × OPM(부문 미분리)
[identity]</t>
      </text>
    </comment>
    <comment ref="AF39" authorId="0" shapeId="0">
      <text>
        <t>추정: = 매출액 × OPM(부문 미분리)
[identity]</t>
      </text>
    </comment>
    <comment ref="AG39" authorId="0" shapeId="0">
      <text>
        <t>추정: = 매출액 × OPM(부문 미분리)
[identity]</t>
      </text>
    </comment>
    <comment ref="AH39" authorId="0" shapeId="0">
      <text>
        <t>추정: = 매출액 × OPM(부문 미분리)
[identity]</t>
      </text>
    </comment>
    <comment ref="AI39" authorId="0" shapeId="0">
      <text>
        <t>추정: = 매출액 × OPM(부문 미분리)
[identity]</t>
      </text>
    </comment>
    <comment ref="AK39" authorId="0" shapeId="0">
      <text>
        <t>추정: = 매출액 × OPM(부문 미분리)
[identity]</t>
      </text>
    </comment>
    <comment ref="AL39" authorId="0" shapeId="0">
      <text>
        <t>추정: = 매출액 × OPM(부문 미분리)
[identity]</t>
      </text>
    </comment>
    <comment ref="AM39" authorId="0" shapeId="0">
      <text>
        <t>추정: = 매출액 × OPM(부문 미분리)
[identity]</t>
      </text>
    </comment>
    <comment ref="AN39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태광(023160)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21.25% — 법인세 = MAX(세전,0) × 세율, 추정 전 분기 연결(Σ법인세/Σmax(세전,0) 역산, 재현 오차 ≤ 0.05억). 모델 가정 21.25% · 근거: 최근 12분기 유효세율 21.3%(5~27% 안 — 그대로)</t>
        </is>
      </c>
    </row>
    <row r="23">
      <c r="A23" t="inlineStr">
        <is>
          <t>· 판관비율 18.43% — 판관비 = 매출액 × 판관비율, 추정 전 분기 연결</t>
        </is>
      </c>
    </row>
    <row r="24">
      <c r="A24" t="inlineStr">
        <is>
          <t>· 지배주주 비중 92.4% — 지배주주순이익 = 당기순이익 × 비중, 추정 전 분기 연결</t>
        </is>
      </c>
    </row>
    <row r="25">
      <c r="A25" t="inlineStr">
        <is>
          <t>· 이자율 자산 2.77% / 부채 0.00% — 이자손익 = (전분기 이자발생자산 × 자산이자율 − 전분기 총차입금 × 부채이자율)/4, 최소자승 역산(모델 assumptions [0.0277, None] 는 4자리 반올림이라 그대로 쓰면 ±1억 어긋남) · 출처: {"asset": "주석 이자수익 ÷ 평균 이자발생자산(2025Q3~2026Q2)",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2026Q2 보고 2,294→조정 336원)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세율, 판관비율, 지배주주비중, 이자율 · 연결 안 된 가정(모델값·분기별 역산 그대로): 없음</t>
        </is>
      </c>
    </row>
    <row r="29">
      <c r="A29" t="inlineStr">
        <is>
          <t>· 밸류에이션 — PER 밴드 8.5/9.1/12.0배(hist_quarterly(분기 평균가 ÷ TTM EPS, 16분기, 25/50/75 백분위))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assets/models/023160.json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매출 드라이버 폴백(고객 조선사 연결 없음(suppliers.json)): 전년동기 × (1+g) 추세 / 감가상각비가 face·CF 에 없음(주석 미파싱) → EBITDA·EV/EBITDA 미산출 / 일회성 의심 2026Q2: 비영업손익 794억(영업이익 72억의 11배, 12분기 중위 55억·기준선 55억) → 지배NI 589억·보고 EPS·FY2026 합계·TTM PER 에 그대로 포함 — 처분이익 등 일회성 여부는 주석 확인 전까지 미확정(12M fwd EPS 에는 미포함) · 조정EPS 335.9원(보고 2,293.6원; 초과 비영업손익 739억 × (1 − 세율 20.4%) × 지배 비중 0.85 = 503억 차감 — 추정, 조정EPS 행) / 기타금융손익(금융손익 − 이자 − 외환 − 파생 잔차) 최근 4분기 중위 +20.6억이 이자손익 추정 +8.0억의 50% 초과 → 추정 0 — 평가손익·재분류 여부는 주석 확인 / 금융손익 실적→추정 단절: 최근 4분기 실적 +278/+141/+280/+791(중위 +279억) → 추정 2026Q3 +8억(차 -271억, -97%) — 추정은 이자손익 + 기타금융 중위, 외환·파생 평가손익 0 가정(환율 효과는 환관련손익 행). 값은 바꾸지 않음 — 지배NI·EPS 해석 시 참고</t>
        </is>
      </c>
    </row>
    <row r="35">
      <c r="A35" t="inlineStr">
        <is>
          <t>백테스트: {"freeze": "2025Q2", "horizon": 4, "revenue_wape_pct": 26.1, "op_wape_pct": 27.8,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569.88, "rev_act": 814.15, "op_pred": 76.42, "op_act": 115.69}, {"q": "2025Q4", "rev_pred": 610.49, "rev_act": 806.0, "op_pred": 81.87, "op_act": 121.05}, {"q": "2026Q1", "rev_pred": 578.02, "rev_act": 822.75, "op_pred": 77.51, "op_act": 93.5}, {"q": "2026Q2", "rev_pred": 667.36, "rev_act": 837.46, "op_pred": 89.49, "op_act": 72.12}]}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10850</v>
      </c>
      <c r="F15" s="9" t="n"/>
      <c r="G15" s="18" t="n">
        <v>10450</v>
      </c>
      <c r="H15" s="18" t="n">
        <v>13700</v>
      </c>
      <c r="I15" s="18" t="n">
        <v>16400</v>
      </c>
      <c r="J15" s="18" t="n">
        <v>16100</v>
      </c>
      <c r="K15" s="9" t="n"/>
      <c r="L15" s="18" t="n">
        <v>16920</v>
      </c>
      <c r="M15" s="18" t="n">
        <v>18430</v>
      </c>
      <c r="N15" s="18" t="n">
        <v>17990</v>
      </c>
      <c r="O15" s="18" t="n">
        <v>14730</v>
      </c>
      <c r="P15" s="9" t="n"/>
      <c r="Q15" s="18" t="n">
        <v>12280</v>
      </c>
      <c r="R15" s="18" t="n">
        <v>12980</v>
      </c>
      <c r="S15" s="18" t="n">
        <v>13660</v>
      </c>
      <c r="T15" s="18" t="n">
        <v>17660</v>
      </c>
      <c r="U15" s="9" t="n"/>
      <c r="V15" s="18" t="n">
        <v>20650</v>
      </c>
      <c r="W15" s="18" t="n">
        <v>21100</v>
      </c>
      <c r="X15" s="18" t="n">
        <v>25800</v>
      </c>
      <c r="Y15" s="18" t="n">
        <v>21700</v>
      </c>
      <c r="Z15" s="9" t="n"/>
      <c r="AA15" s="18" t="n">
        <v>35000</v>
      </c>
      <c r="AB15" s="19" t="n">
        <v>24650</v>
      </c>
      <c r="AC15" s="20" t="n">
        <v>28150</v>
      </c>
      <c r="AD15" s="20" t="n">
        <v>26200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13000</v>
      </c>
      <c r="F16" s="9" t="n"/>
      <c r="G16" s="18" t="n">
        <v>12000</v>
      </c>
      <c r="H16" s="18" t="n">
        <v>14200</v>
      </c>
      <c r="I16" s="18" t="n">
        <v>20200</v>
      </c>
      <c r="J16" s="18" t="n">
        <v>19200</v>
      </c>
      <c r="K16" s="9" t="n"/>
      <c r="L16" s="18" t="n">
        <v>17950</v>
      </c>
      <c r="M16" s="18" t="n">
        <v>19920</v>
      </c>
      <c r="N16" s="18" t="n">
        <v>22650</v>
      </c>
      <c r="O16" s="18" t="n">
        <v>18100</v>
      </c>
      <c r="P16" s="9" t="n"/>
      <c r="Q16" s="18" t="n">
        <v>14750</v>
      </c>
      <c r="R16" s="18" t="n">
        <v>16050</v>
      </c>
      <c r="S16" s="18" t="n">
        <v>17920</v>
      </c>
      <c r="T16" s="18" t="n">
        <v>18650</v>
      </c>
      <c r="U16" s="9" t="n"/>
      <c r="V16" s="18" t="n">
        <v>27000</v>
      </c>
      <c r="W16" s="18" t="n">
        <v>23700</v>
      </c>
      <c r="X16" s="18" t="n">
        <v>32300</v>
      </c>
      <c r="Y16" s="18" t="n">
        <v>30200</v>
      </c>
      <c r="Z16" s="9" t="n"/>
      <c r="AA16" s="18" t="n">
        <v>38650</v>
      </c>
      <c r="AB16" s="19" t="n">
        <v>51300</v>
      </c>
      <c r="AC16" s="20" t="n">
        <v>29650</v>
      </c>
      <c r="AD16" s="20" t="n">
        <v>29250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9960</v>
      </c>
      <c r="F17" s="9" t="n"/>
      <c r="G17" s="18" t="n">
        <v>9330</v>
      </c>
      <c r="H17" s="18" t="n">
        <v>9810</v>
      </c>
      <c r="I17" s="18" t="n">
        <v>11350</v>
      </c>
      <c r="J17" s="18" t="n">
        <v>14250</v>
      </c>
      <c r="K17" s="9" t="n"/>
      <c r="L17" s="18" t="n">
        <v>14500</v>
      </c>
      <c r="M17" s="18" t="n">
        <v>15870</v>
      </c>
      <c r="N17" s="18" t="n">
        <v>17580</v>
      </c>
      <c r="O17" s="18" t="n">
        <v>13810</v>
      </c>
      <c r="P17" s="9" t="n"/>
      <c r="Q17" s="18" t="n">
        <v>11440</v>
      </c>
      <c r="R17" s="18" t="n">
        <v>11130</v>
      </c>
      <c r="S17" s="18" t="n">
        <v>12270</v>
      </c>
      <c r="T17" s="18" t="n">
        <v>11880</v>
      </c>
      <c r="U17" s="9" t="n"/>
      <c r="V17" s="18" t="n">
        <v>17100</v>
      </c>
      <c r="W17" s="18" t="n">
        <v>17700</v>
      </c>
      <c r="X17" s="18" t="n">
        <v>18660</v>
      </c>
      <c r="Y17" s="18" t="n">
        <v>21500</v>
      </c>
      <c r="Z17" s="9" t="n"/>
      <c r="AA17" s="18" t="n">
        <v>20750</v>
      </c>
      <c r="AB17" s="19" t="n">
        <v>22900</v>
      </c>
      <c r="AC17" s="20" t="n">
        <v>19420</v>
      </c>
      <c r="AD17" s="20" t="n">
        <v>26100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10849.2</v>
      </c>
      <c r="F18" s="9" t="n"/>
      <c r="G18" s="18" t="n">
        <v>10539.5</v>
      </c>
      <c r="H18" s="18" t="n">
        <v>11707.9</v>
      </c>
      <c r="I18" s="18" t="n">
        <v>15465.9</v>
      </c>
      <c r="J18" s="18" t="n">
        <v>16645.2</v>
      </c>
      <c r="K18" s="9" t="n"/>
      <c r="L18" s="18" t="n">
        <v>15899.7</v>
      </c>
      <c r="M18" s="18" t="n">
        <v>17783.6</v>
      </c>
      <c r="N18" s="18" t="n">
        <v>19757.7</v>
      </c>
      <c r="O18" s="18" t="n">
        <v>15427.2</v>
      </c>
      <c r="P18" s="9" t="n"/>
      <c r="Q18" s="18" t="n">
        <v>12963.8</v>
      </c>
      <c r="R18" s="18" t="n">
        <v>12421.7</v>
      </c>
      <c r="S18" s="18" t="n">
        <v>14479.7</v>
      </c>
      <c r="T18" s="18" t="n">
        <v>14842</v>
      </c>
      <c r="U18" s="9" t="n"/>
      <c r="V18" s="18" t="n">
        <v>21949.8</v>
      </c>
      <c r="W18" s="18" t="n">
        <v>20637</v>
      </c>
      <c r="X18" s="18" t="n">
        <v>23374</v>
      </c>
      <c r="Y18" s="18" t="n">
        <v>24900</v>
      </c>
      <c r="Z18" s="9" t="n"/>
      <c r="AA18" s="18" t="n">
        <v>28277.1</v>
      </c>
      <c r="AB18" s="19" t="n">
        <v>36761.5</v>
      </c>
      <c r="AC18" s="20" t="n">
        <v>24219.4</v>
      </c>
      <c r="AD18" s="20" t="n">
        <v>27320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0.247970592</v>
      </c>
      <c r="AD21" s="24" t="n">
        <v>0.247964022</v>
      </c>
      <c r="AE21" s="25" t="n"/>
      <c r="AF21" s="24" t="n">
        <v>0.247969165</v>
      </c>
      <c r="AG21" s="24" t="n">
        <v>0.24797049</v>
      </c>
      <c r="AH21" s="24" t="n">
        <v>0.123981339</v>
      </c>
      <c r="AI21" s="24" t="n">
        <v>0.123983457</v>
      </c>
      <c r="AJ21" s="25" t="n"/>
      <c r="AK21" s="24" t="n">
        <v>0.123981028</v>
      </c>
      <c r="AL21" s="24" t="n">
        <v>0.123976194</v>
      </c>
      <c r="AM21" s="24" t="n">
        <v>0.061987198</v>
      </c>
      <c r="AN21" s="24" t="n">
        <v>0.061995277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$D$51</f>
        <v/>
      </c>
      <c r="AD22" s="26">
        <f>$D$51</f>
        <v/>
      </c>
      <c r="AE22" s="25">
        <f>IFERROR(subQ!AE8/subQ!AE5,"")</f>
        <v/>
      </c>
      <c r="AF22" s="26">
        <f>$D$51</f>
        <v/>
      </c>
      <c r="AG22" s="26">
        <f>$D$51</f>
        <v/>
      </c>
      <c r="AH22" s="26">
        <f>$D$51</f>
        <v/>
      </c>
      <c r="AI22" s="26">
        <f>$D$51</f>
        <v/>
      </c>
      <c r="AJ22" s="25">
        <f>IFERROR(subQ!AJ8/subQ!AJ5,"")</f>
        <v/>
      </c>
      <c r="AK22" s="26">
        <f>$D$51</f>
        <v/>
      </c>
      <c r="AL22" s="26">
        <f>$D$51</f>
        <v/>
      </c>
      <c r="AM22" s="26">
        <f>$D$51</f>
        <v/>
      </c>
      <c r="AN22" s="26">
        <f>$D$51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0.120457856</v>
      </c>
      <c r="AD23" s="24" t="n">
        <v>0.12046408</v>
      </c>
      <c r="AE23" s="25">
        <f>IFERROR(subQ!AE9/subQ!AE5,"")</f>
        <v/>
      </c>
      <c r="AF23" s="24" t="n">
        <v>0.120465148</v>
      </c>
      <c r="AG23" s="24" t="n">
        <v>0.120464636</v>
      </c>
      <c r="AH23" s="24" t="n">
        <v>0.120463043</v>
      </c>
      <c r="AI23" s="24" t="n">
        <v>0.12046136</v>
      </c>
      <c r="AJ23" s="25">
        <f>IFERROR(subQ!AJ9/subQ!AJ5,"")</f>
        <v/>
      </c>
      <c r="AK23" s="24" t="n">
        <v>0.120460631</v>
      </c>
      <c r="AL23" s="24" t="n">
        <v>0.120457312</v>
      </c>
      <c r="AM23" s="24" t="n">
        <v>0.12046504</v>
      </c>
      <c r="AN23" s="24" t="n">
        <v>0.120458748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$D$50</f>
        <v/>
      </c>
      <c r="AD28" s="26">
        <f>$D$50</f>
        <v/>
      </c>
      <c r="AE28" s="25">
        <f>IFERROR(subQ!AE18/subQ!AE17,"")</f>
        <v/>
      </c>
      <c r="AF28" s="26">
        <f>$D$50</f>
        <v/>
      </c>
      <c r="AG28" s="26">
        <f>$D$50</f>
        <v/>
      </c>
      <c r="AH28" s="26">
        <f>$D$50</f>
        <v/>
      </c>
      <c r="AI28" s="26">
        <f>$D$50</f>
        <v/>
      </c>
      <c r="AJ28" s="25">
        <f>IFERROR(subQ!AJ18/subQ!AJ17,"")</f>
        <v/>
      </c>
      <c r="AK28" s="26">
        <f>$D$50</f>
        <v/>
      </c>
      <c r="AL28" s="26">
        <f>$D$50</f>
        <v/>
      </c>
      <c r="AM28" s="26">
        <f>$D$50</f>
        <v/>
      </c>
      <c r="AN28" s="26">
        <f>$D$50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$D$52</f>
        <v/>
      </c>
      <c r="AD29" s="26">
        <f>$D$52</f>
        <v/>
      </c>
      <c r="AE29" s="25">
        <f>IFERROR(subQ!AE20/subQ!AE19,"")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IFERROR(subQ!AJ20/subQ!AJ19,"")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IFERROR(subQ!AO20/subQ!AO19,"")</f>
        <v/>
      </c>
    </row>
    <row r="30">
      <c r="A30" s="12" t="inlineStr">
        <is>
          <t>drv:부채총계</t>
        </is>
      </c>
      <c r="B30" s="2" t="inlineStr">
        <is>
          <t>qoq</t>
        </is>
      </c>
      <c r="C30" t="inlineStr">
        <is>
          <t>부채총계 QoQ</t>
        </is>
      </c>
      <c r="E30" s="21" t="n"/>
      <c r="F30" s="22" t="n"/>
      <c r="G30" s="21">
        <f>IFERROR(subQ!G22/subQ!E22-1,"")</f>
        <v/>
      </c>
      <c r="H30" s="21">
        <f>IFERROR(subQ!H22/subQ!G22-1,"")</f>
        <v/>
      </c>
      <c r="I30" s="21">
        <f>IFERROR(subQ!I22/subQ!H22-1,"")</f>
        <v/>
      </c>
      <c r="J30" s="21">
        <f>IFERROR(subQ!J22/subQ!I22-1,"")</f>
        <v/>
      </c>
      <c r="K30" s="22" t="n"/>
      <c r="L30" s="21">
        <f>IFERROR(subQ!L22/subQ!J22-1,"")</f>
        <v/>
      </c>
      <c r="M30" s="21">
        <f>IFERROR(subQ!M22/subQ!L22-1,"")</f>
        <v/>
      </c>
      <c r="N30" s="21">
        <f>IFERROR(subQ!N22/subQ!M22-1,"")</f>
        <v/>
      </c>
      <c r="O30" s="21">
        <f>IFERROR(subQ!O22/subQ!N22-1,"")</f>
        <v/>
      </c>
      <c r="P30" s="22" t="n"/>
      <c r="Q30" s="21">
        <f>IFERROR(subQ!Q22/subQ!O22-1,"")</f>
        <v/>
      </c>
      <c r="R30" s="21">
        <f>IFERROR(subQ!R22/subQ!Q22-1,"")</f>
        <v/>
      </c>
      <c r="S30" s="21">
        <f>IFERROR(subQ!S22/subQ!R22-1,"")</f>
        <v/>
      </c>
      <c r="T30" s="21">
        <f>IFERROR(subQ!T22/subQ!S22-1,"")</f>
        <v/>
      </c>
      <c r="U30" s="22" t="n"/>
      <c r="V30" s="21">
        <f>IFERROR(subQ!V22/subQ!T22-1,"")</f>
        <v/>
      </c>
      <c r="W30" s="21">
        <f>IFERROR(subQ!W22/subQ!V22-1,"")</f>
        <v/>
      </c>
      <c r="X30" s="21">
        <f>IFERROR(subQ!X22/subQ!W22-1,"")</f>
        <v/>
      </c>
      <c r="Y30" s="21">
        <f>IFERROR(subQ!Y22/subQ!X22-1,"")</f>
        <v/>
      </c>
      <c r="Z30" s="22" t="n"/>
      <c r="AA30" s="21">
        <f>IFERROR(subQ!AA22/subQ!Y22-1,"")</f>
        <v/>
      </c>
      <c r="AB30" s="23">
        <f>IFERROR(subQ!AB22/subQ!AA22-1,"")</f>
        <v/>
      </c>
      <c r="AC30" s="24" t="n">
        <v>-2.697e-06</v>
      </c>
      <c r="AD30" s="24" t="n">
        <v>0</v>
      </c>
      <c r="AE30" s="25" t="n"/>
      <c r="AF30" s="24" t="n">
        <v>0</v>
      </c>
      <c r="AG30" s="24" t="n">
        <v>0</v>
      </c>
      <c r="AH30" s="24" t="n">
        <v>0</v>
      </c>
      <c r="AI30" s="24" t="n">
        <v>0</v>
      </c>
      <c r="AJ30" s="25" t="n"/>
      <c r="AK30" s="24" t="n">
        <v>0</v>
      </c>
      <c r="AL30" s="24" t="n">
        <v>0</v>
      </c>
      <c r="AM30" s="24" t="n">
        <v>0</v>
      </c>
      <c r="AN30" s="24" t="n">
        <v>0</v>
      </c>
      <c r="AO30" s="25" t="n"/>
    </row>
    <row r="31">
      <c r="A31" s="12" t="inlineStr">
        <is>
          <t>drv:자본총계</t>
        </is>
      </c>
      <c r="B31" s="2" t="inlineStr">
        <is>
          <t>roll</t>
        </is>
      </c>
      <c r="C31" t="inlineStr">
        <is>
          <t>자본총계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7">
        <f>IFERROR(subQ!V23+subQ!W19-subQ!W23,"")</f>
        <v/>
      </c>
      <c r="X31" s="27">
        <f>IFERROR(subQ!W23+subQ!X19-subQ!X23,"")</f>
        <v/>
      </c>
      <c r="Y31" s="27">
        <f>IFERROR(subQ!X23+subQ!Y19-subQ!Y23,"")</f>
        <v/>
      </c>
      <c r="Z31" s="28" t="n"/>
      <c r="AA31" s="27">
        <f>IFERROR(subQ!Y23+subQ!AA19-subQ!AA23,"")</f>
        <v/>
      </c>
      <c r="AB31" s="29">
        <f>IFERROR(subQ!AA23+subQ!AB19-subQ!AB23,"")</f>
        <v/>
      </c>
      <c r="AC31" s="30" t="n">
        <v>0.001426637</v>
      </c>
      <c r="AD31" s="30" t="n">
        <v>-0.006432463</v>
      </c>
      <c r="AE31" s="31" t="n"/>
      <c r="AF31" s="30" t="n">
        <v>0.005158254</v>
      </c>
      <c r="AG31" s="30" t="n">
        <v>137.416409925</v>
      </c>
      <c r="AH31" s="30" t="n">
        <v>0.001358742</v>
      </c>
      <c r="AI31" s="30" t="n">
        <v>-0.002688399</v>
      </c>
      <c r="AJ31" s="31" t="n"/>
      <c r="AK31" s="30" t="n">
        <v>-0.003877286</v>
      </c>
      <c r="AL31" s="30" t="n">
        <v>137.41489207</v>
      </c>
      <c r="AM31" s="30" t="n">
        <v>-0.001249449</v>
      </c>
      <c r="AN31" s="30" t="n">
        <v>0.000347983</v>
      </c>
      <c r="AO31" s="31" t="n"/>
    </row>
    <row r="32">
      <c r="A32" s="12" t="inlineStr">
        <is>
          <t>drv:지배주주지분</t>
        </is>
      </c>
      <c r="B32" s="2" t="inlineStr">
        <is>
          <t>roll</t>
        </is>
      </c>
      <c r="C32" t="inlineStr">
        <is>
          <t>지배주주지분 기타변동(배당 등, 억원)</t>
        </is>
      </c>
      <c r="E32" s="27" t="n"/>
      <c r="F32" s="28" t="n"/>
      <c r="G32" s="27">
        <f>IFERROR(subQ!E24+subQ!G20-subQ!G24,"")</f>
        <v/>
      </c>
      <c r="H32" s="27">
        <f>IFERROR(subQ!G24+subQ!H20-subQ!H24,"")</f>
        <v/>
      </c>
      <c r="I32" s="27">
        <f>IFERROR(subQ!H24+subQ!I20-subQ!I24,"")</f>
        <v/>
      </c>
      <c r="J32" s="27">
        <f>IFERROR(subQ!I24+subQ!J20-subQ!J24,"")</f>
        <v/>
      </c>
      <c r="K32" s="28" t="n"/>
      <c r="L32" s="27">
        <f>IFERROR(subQ!J24+subQ!L20-subQ!L24,"")</f>
        <v/>
      </c>
      <c r="M32" s="27">
        <f>IFERROR(subQ!L24+subQ!M20-subQ!M24,"")</f>
        <v/>
      </c>
      <c r="N32" s="27">
        <f>IFERROR(subQ!M24+subQ!N20-subQ!N24,"")</f>
        <v/>
      </c>
      <c r="O32" s="27">
        <f>IFERROR(subQ!N24+subQ!O20-subQ!O24,"")</f>
        <v/>
      </c>
      <c r="P32" s="28" t="n"/>
      <c r="Q32" s="27">
        <f>IFERROR(subQ!O24+subQ!Q20-subQ!Q24,"")</f>
        <v/>
      </c>
      <c r="R32" s="27">
        <f>IFERROR(subQ!Q24+subQ!R20-subQ!R24,"")</f>
        <v/>
      </c>
      <c r="S32" s="27">
        <f>IFERROR(subQ!R24+subQ!S20-subQ!S24,"")</f>
        <v/>
      </c>
      <c r="T32" s="27">
        <f>IFERROR(subQ!S24+subQ!T20-subQ!T24,"")</f>
        <v/>
      </c>
      <c r="U32" s="28" t="n"/>
      <c r="V32" s="27">
        <f>IFERROR(subQ!T24+subQ!V20-subQ!V24,"")</f>
        <v/>
      </c>
      <c r="W32" s="27">
        <f>IFERROR(subQ!V24+subQ!W20-subQ!W24,"")</f>
        <v/>
      </c>
      <c r="X32" s="27">
        <f>IFERROR(subQ!W24+subQ!X20-subQ!X24,"")</f>
        <v/>
      </c>
      <c r="Y32" s="27">
        <f>IFERROR(subQ!X24+subQ!Y20-subQ!Y24,"")</f>
        <v/>
      </c>
      <c r="Z32" s="28" t="n"/>
      <c r="AA32" s="27">
        <f>IFERROR(subQ!Y24+subQ!AA20-subQ!AA24,"")</f>
        <v/>
      </c>
      <c r="AB32" s="29">
        <f>IFERROR(subQ!AA24+subQ!AB20-subQ!AB24,"")</f>
        <v/>
      </c>
      <c r="AC32" s="30" t="n">
        <v>-0.002710044</v>
      </c>
      <c r="AD32" s="30" t="n">
        <v>-0.002047167</v>
      </c>
      <c r="AE32" s="31" t="n"/>
      <c r="AF32" s="30" t="n">
        <v>0.006312485</v>
      </c>
      <c r="AG32" s="30" t="n">
        <v>137.411845221</v>
      </c>
      <c r="AH32" s="30" t="n">
        <v>0.000648768</v>
      </c>
      <c r="AI32" s="30" t="n">
        <v>0.001121743</v>
      </c>
      <c r="AJ32" s="31" t="n"/>
      <c r="AK32" s="30" t="n">
        <v>-0.007415714</v>
      </c>
      <c r="AL32" s="30" t="n">
        <v>137.413775424</v>
      </c>
      <c r="AM32" s="30" t="n">
        <v>-0.001036902</v>
      </c>
      <c r="AN32" s="30" t="n">
        <v>-0.003067668</v>
      </c>
      <c r="AO32" s="31" t="n"/>
    </row>
    <row r="33">
      <c r="A33" s="12" t="inlineStr">
        <is>
          <t>drv:총차입금</t>
        </is>
      </c>
      <c r="B33" s="2" t="inlineStr">
        <is>
          <t>qoq</t>
        </is>
      </c>
      <c r="C33" t="inlineStr">
        <is>
          <t>총차입금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1">
        <f>IFERROR(subQ!W25/subQ!V25-1,"")</f>
        <v/>
      </c>
      <c r="X33" s="21">
        <f>IFERROR(subQ!X25/subQ!W25-1,"")</f>
        <v/>
      </c>
      <c r="Y33" s="21">
        <f>IFERROR(subQ!Y25/subQ!X25-1,"")</f>
        <v/>
      </c>
      <c r="Z33" s="22" t="n"/>
      <c r="AA33" s="21">
        <f>IFERROR(subQ!AA25/subQ!Y25-1,"")</f>
        <v/>
      </c>
      <c r="AB33" s="23">
        <f>IFERROR(subQ!AB25/subQ!AA25-1,"")</f>
        <v/>
      </c>
      <c r="AC33" s="32" t="n"/>
      <c r="AD33" s="32" t="n"/>
      <c r="AE33" s="25" t="n"/>
      <c r="AF33" s="32" t="n"/>
      <c r="AG33" s="32" t="n"/>
      <c r="AH33" s="32" t="n"/>
      <c r="AI33" s="32" t="n"/>
      <c r="AJ33" s="25" t="n"/>
      <c r="AK33" s="32" t="n"/>
      <c r="AL33" s="32" t="n"/>
      <c r="AM33" s="32" t="n"/>
      <c r="AN33" s="32" t="n"/>
      <c r="AO33" s="25" t="n"/>
    </row>
    <row r="34">
      <c r="A34" s="12" t="inlineStr">
        <is>
          <t>drv:순차입금</t>
        </is>
      </c>
      <c r="B34" s="2" t="inlineStr">
        <is>
          <t>qoq</t>
        </is>
      </c>
      <c r="C34" t="inlineStr">
        <is>
          <t>순차입금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1">
        <f>IFERROR(subQ!W26/subQ!V26-1,"")</f>
        <v/>
      </c>
      <c r="X34" s="21">
        <f>IFERROR(subQ!X26/subQ!W26-1,"")</f>
        <v/>
      </c>
      <c r="Y34" s="21">
        <f>IFERROR(subQ!Y26/subQ!X26-1,"")</f>
        <v/>
      </c>
      <c r="Z34" s="22" t="n"/>
      <c r="AA34" s="21">
        <f>IFERROR(subQ!AA26/subQ!Y26-1,"")</f>
        <v/>
      </c>
      <c r="AB34" s="23">
        <f>IFERROR(subQ!AB26/subQ!AA26-1,"")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drv:이자발생자산</t>
        </is>
      </c>
      <c r="B35" s="2" t="inlineStr">
        <is>
          <t>qoq</t>
        </is>
      </c>
      <c r="C35" t="inlineStr">
        <is>
          <t>이자발생자산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0.08884642399999999</v>
      </c>
      <c r="AD35" s="24" t="n">
        <v>0.081284272</v>
      </c>
      <c r="AE35" s="25" t="n"/>
      <c r="AF35" s="24" t="n">
        <v>0.077033324</v>
      </c>
      <c r="AG35" s="24" t="n">
        <v>-0.020670265</v>
      </c>
      <c r="AH35" s="24" t="n">
        <v>0.080935126</v>
      </c>
      <c r="AI35" s="24" t="n">
        <v>0.07458501200000001</v>
      </c>
      <c r="AJ35" s="25" t="n"/>
      <c r="AK35" s="24" t="n">
        <v>0.071123909</v>
      </c>
      <c r="AL35" s="24" t="n">
        <v>-0.009106642</v>
      </c>
      <c r="AM35" s="24" t="n">
        <v>0.07047618999999999</v>
      </c>
      <c r="AN35" s="24" t="n">
        <v>0.06558285899999999</v>
      </c>
      <c r="AO35" s="25" t="n"/>
    </row>
    <row r="36">
      <c r="A36" s="12" t="inlineStr">
        <is>
          <t>drv:현금및현금성자산</t>
        </is>
      </c>
      <c r="B36" s="2" t="inlineStr">
        <is>
          <t>qoq</t>
        </is>
      </c>
      <c r="C36" t="inlineStr">
        <is>
          <t>현금및현금성자산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32" t="n"/>
      <c r="AD36" s="32" t="n"/>
      <c r="AE36" s="25" t="n"/>
      <c r="AF36" s="32" t="n"/>
      <c r="AG36" s="32" t="n"/>
      <c r="AH36" s="32" t="n"/>
      <c r="AI36" s="32" t="n"/>
      <c r="AJ36" s="25" t="n"/>
      <c r="AK36" s="32" t="n"/>
      <c r="AL36" s="32" t="n"/>
      <c r="AM36" s="32" t="n"/>
      <c r="AN36" s="32" t="n"/>
      <c r="AO36" s="25" t="n"/>
    </row>
    <row r="37">
      <c r="A37" s="12" t="inlineStr">
        <is>
          <t>drv:CAPEX</t>
        </is>
      </c>
      <c r="B37" s="2" t="inlineStr">
        <is>
          <t>yoy</t>
        </is>
      </c>
      <c r="C37" t="inlineStr">
        <is>
          <t>CAPEX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1">
        <f>IFERROR(subQ!W29/subQ!R29-1,"")</f>
        <v/>
      </c>
      <c r="X37" s="21">
        <f>IFERROR(subQ!X29/subQ!S29-1,"")</f>
        <v/>
      </c>
      <c r="Y37" s="21">
        <f>IFERROR(subQ!Y29/subQ!T29-1,"")</f>
        <v/>
      </c>
      <c r="Z37" s="22" t="n"/>
      <c r="AA37" s="21">
        <f>IFERROR(subQ!AA29/subQ!V29-1,"")</f>
        <v/>
      </c>
      <c r="AB37" s="23">
        <f>IFERROR(subQ!AB29/subQ!W29-1,"")</f>
        <v/>
      </c>
      <c r="AC37" s="24" t="n">
        <v>-0.517396725</v>
      </c>
      <c r="AD37" s="24" t="n">
        <v>-0.173784607</v>
      </c>
      <c r="AE37" s="25" t="n"/>
      <c r="AF37" s="24" t="n">
        <v>0.267014089</v>
      </c>
      <c r="AG37" s="24" t="n">
        <v>1.256607833</v>
      </c>
      <c r="AH37" s="24" t="n">
        <v>0</v>
      </c>
      <c r="AI37" s="24" t="n">
        <v>0</v>
      </c>
      <c r="AJ37" s="25" t="n"/>
      <c r="AK37" s="24" t="n">
        <v>0</v>
      </c>
      <c r="AL37" s="24" t="n">
        <v>0</v>
      </c>
      <c r="AM37" s="24" t="n">
        <v>0</v>
      </c>
      <c r="AN37" s="24" t="n">
        <v>0</v>
      </c>
      <c r="AO37" s="25" t="n"/>
    </row>
    <row r="38">
      <c r="A38" s="12" t="inlineStr">
        <is>
          <t>drv:영업활동현금흐름</t>
        </is>
      </c>
      <c r="B38" s="2" t="inlineStr">
        <is>
          <t>yoy</t>
        </is>
      </c>
      <c r="C38" t="inlineStr">
        <is>
          <t>영업활동현금흐름 YoY</t>
        </is>
      </c>
      <c r="E38" s="21" t="n"/>
      <c r="F38" s="22" t="n"/>
      <c r="G38" s="21" t="n"/>
      <c r="H38" s="21" t="n"/>
      <c r="I38" s="21" t="n"/>
      <c r="J38" s="21">
        <f>IFERROR(subQ!J30/subQ!E30-1,"")</f>
        <v/>
      </c>
      <c r="K38" s="22" t="n"/>
      <c r="L38" s="21">
        <f>IFERROR(subQ!L30/subQ!G30-1,"")</f>
        <v/>
      </c>
      <c r="M38" s="21">
        <f>IFERROR(subQ!M30/subQ!H30-1,"")</f>
        <v/>
      </c>
      <c r="N38" s="21">
        <f>IFERROR(subQ!N30/subQ!I30-1,"")</f>
        <v/>
      </c>
      <c r="O38" s="21">
        <f>IFERROR(subQ!O30/subQ!J30-1,"")</f>
        <v/>
      </c>
      <c r="P38" s="22" t="n"/>
      <c r="Q38" s="21">
        <f>IFERROR(subQ!Q30/subQ!L30-1,"")</f>
        <v/>
      </c>
      <c r="R38" s="21">
        <f>IFERROR(subQ!R30/subQ!M30-1,"")</f>
        <v/>
      </c>
      <c r="S38" s="21">
        <f>IFERROR(subQ!S30/subQ!N30-1,"")</f>
        <v/>
      </c>
      <c r="T38" s="21">
        <f>IFERROR(subQ!T30/subQ!O30-1,"")</f>
        <v/>
      </c>
      <c r="U38" s="22" t="n"/>
      <c r="V38" s="21">
        <f>IFERROR(subQ!V30/subQ!Q30-1,"")</f>
        <v/>
      </c>
      <c r="W38" s="21">
        <f>IFERROR(subQ!W30/subQ!R30-1,"")</f>
        <v/>
      </c>
      <c r="X38" s="21">
        <f>IFERROR(subQ!X30/subQ!S30-1,"")</f>
        <v/>
      </c>
      <c r="Y38" s="21">
        <f>IFERROR(subQ!Y30/subQ!T30-1,"")</f>
        <v/>
      </c>
      <c r="Z38" s="22" t="n"/>
      <c r="AA38" s="21">
        <f>IFERROR(subQ!AA30/subQ!V30-1,"")</f>
        <v/>
      </c>
      <c r="AB38" s="23">
        <f>IFERROR(subQ!AB30/subQ!W30-1,"")</f>
        <v/>
      </c>
      <c r="AC38" s="32" t="n"/>
      <c r="AD38" s="32" t="n"/>
      <c r="AE38" s="25" t="n"/>
      <c r="AF38" s="32" t="n"/>
      <c r="AG38" s="32" t="n"/>
      <c r="AH38" s="32" t="n"/>
      <c r="AI38" s="32" t="n"/>
      <c r="AJ38" s="25" t="n"/>
      <c r="AK38" s="32" t="n"/>
      <c r="AL38" s="32" t="n"/>
      <c r="AM38" s="32" t="n"/>
      <c r="AN38" s="32" t="n"/>
      <c r="AO38" s="25" t="n"/>
    </row>
    <row r="39">
      <c r="A39" s="12" t="inlineStr">
        <is>
          <t>drv:주식수</t>
        </is>
      </c>
      <c r="B39" s="2" t="inlineStr">
        <is>
          <t>qoq</t>
        </is>
      </c>
      <c r="C39" t="inlineStr">
        <is>
          <t>주식수 QoQ</t>
        </is>
      </c>
      <c r="E39" s="21" t="n"/>
      <c r="F39" s="22" t="n"/>
      <c r="G39" s="21">
        <f>IFERROR(subQ!G31/subQ!E31-1,"")</f>
        <v/>
      </c>
      <c r="H39" s="21">
        <f>IFERROR(subQ!H31/subQ!G31-1,"")</f>
        <v/>
      </c>
      <c r="I39" s="21">
        <f>IFERROR(subQ!I31/subQ!H31-1,"")</f>
        <v/>
      </c>
      <c r="J39" s="21">
        <f>IFERROR(subQ!J31/subQ!I31-1,"")</f>
        <v/>
      </c>
      <c r="K39" s="22" t="n"/>
      <c r="L39" s="21">
        <f>IFERROR(subQ!L31/subQ!J31-1,"")</f>
        <v/>
      </c>
      <c r="M39" s="21">
        <f>IFERROR(subQ!M31/subQ!L31-1,"")</f>
        <v/>
      </c>
      <c r="N39" s="21">
        <f>IFERROR(subQ!N31/subQ!M31-1,"")</f>
        <v/>
      </c>
      <c r="O39" s="21">
        <f>IFERROR(subQ!O31/subQ!N31-1,"")</f>
        <v/>
      </c>
      <c r="P39" s="22" t="n"/>
      <c r="Q39" s="21">
        <f>IFERROR(subQ!Q31/subQ!O31-1,"")</f>
        <v/>
      </c>
      <c r="R39" s="21">
        <f>IFERROR(subQ!R31/subQ!Q31-1,"")</f>
        <v/>
      </c>
      <c r="S39" s="21">
        <f>IFERROR(subQ!S31/subQ!R31-1,"")</f>
        <v/>
      </c>
      <c r="T39" s="21">
        <f>IFERROR(subQ!T31/subQ!S31-1,"")</f>
        <v/>
      </c>
      <c r="U39" s="22" t="n"/>
      <c r="V39" s="21">
        <f>IFERROR(subQ!V31/subQ!T31-1,"")</f>
        <v/>
      </c>
      <c r="W39" s="21">
        <f>IFERROR(subQ!W31/subQ!V31-1,"")</f>
        <v/>
      </c>
      <c r="X39" s="21">
        <f>IFERROR(subQ!X31/subQ!W31-1,"")</f>
        <v/>
      </c>
      <c r="Y39" s="21">
        <f>IFERROR(subQ!Y31/subQ!X31-1,"")</f>
        <v/>
      </c>
      <c r="Z39" s="22" t="n"/>
      <c r="AA39" s="21">
        <f>IFERROR(subQ!AA31/subQ!Y31-1,"")</f>
        <v/>
      </c>
      <c r="AB39" s="23">
        <f>IFERROR(subQ!AB31/subQ!AA31-1,"")</f>
        <v/>
      </c>
      <c r="AC39" s="24" t="n">
        <v>0</v>
      </c>
      <c r="AD39" s="24" t="n">
        <v>0</v>
      </c>
      <c r="AE39" s="25" t="n"/>
      <c r="AF39" s="24" t="n">
        <v>0</v>
      </c>
      <c r="AG39" s="24" t="n">
        <v>0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drv:DPS</t>
        </is>
      </c>
      <c r="B40" s="2" t="inlineStr">
        <is>
          <t>abs</t>
        </is>
      </c>
      <c r="C40" t="inlineStr">
        <is>
          <t>DPS (가정, 원)</t>
        </is>
      </c>
      <c r="E40" s="27">
        <f>subQ!E35</f>
        <v/>
      </c>
      <c r="F40" s="28">
        <f>subQ!F35</f>
        <v/>
      </c>
      <c r="G40" s="27">
        <f>subQ!G35</f>
        <v/>
      </c>
      <c r="H40" s="27">
        <f>subQ!H35</f>
        <v/>
      </c>
      <c r="I40" s="27">
        <f>subQ!I35</f>
        <v/>
      </c>
      <c r="J40" s="27">
        <f>subQ!J35</f>
        <v/>
      </c>
      <c r="K40" s="28">
        <f>subQ!K35</f>
        <v/>
      </c>
      <c r="L40" s="27">
        <f>subQ!L35</f>
        <v/>
      </c>
      <c r="M40" s="27">
        <f>subQ!M35</f>
        <v/>
      </c>
      <c r="N40" s="27">
        <f>subQ!N35</f>
        <v/>
      </c>
      <c r="O40" s="27">
        <f>subQ!O35</f>
        <v/>
      </c>
      <c r="P40" s="28">
        <f>subQ!P35</f>
        <v/>
      </c>
      <c r="Q40" s="27">
        <f>subQ!Q35</f>
        <v/>
      </c>
      <c r="R40" s="27">
        <f>subQ!R35</f>
        <v/>
      </c>
      <c r="S40" s="27">
        <f>subQ!S35</f>
        <v/>
      </c>
      <c r="T40" s="27">
        <f>subQ!T35</f>
        <v/>
      </c>
      <c r="U40" s="28">
        <f>subQ!U35</f>
        <v/>
      </c>
      <c r="V40" s="27">
        <f>subQ!V35</f>
        <v/>
      </c>
      <c r="W40" s="27">
        <f>subQ!W35</f>
        <v/>
      </c>
      <c r="X40" s="27">
        <f>subQ!X35</f>
        <v/>
      </c>
      <c r="Y40" s="27">
        <f>subQ!Y35</f>
        <v/>
      </c>
      <c r="Z40" s="28">
        <f>subQ!Z35</f>
        <v/>
      </c>
      <c r="AA40" s="27">
        <f>subQ!AA35</f>
        <v/>
      </c>
      <c r="AB40" s="29">
        <f>subQ!AB35</f>
        <v/>
      </c>
      <c r="AC40" s="33" t="n"/>
      <c r="AD40" s="30" t="n">
        <v>535</v>
      </c>
      <c r="AE40" s="31">
        <f>subQ!AE35</f>
        <v/>
      </c>
      <c r="AF40" s="33" t="n"/>
      <c r="AG40" s="33" t="n"/>
      <c r="AH40" s="33" t="n"/>
      <c r="AI40" s="30" t="n">
        <v>535</v>
      </c>
      <c r="AJ40" s="31">
        <f>subQ!AJ35</f>
        <v/>
      </c>
      <c r="AK40" s="33" t="n"/>
      <c r="AL40" s="33" t="n"/>
      <c r="AM40" s="33" t="n"/>
      <c r="AN40" s="30" t="n">
        <v>535</v>
      </c>
      <c r="AO40" s="31">
        <f>subQ!AO35</f>
        <v/>
      </c>
    </row>
    <row r="41"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B42" s="1" t="inlineStr">
        <is>
          <t>3. 밸류에이션·스칼라</t>
        </is>
      </c>
      <c r="C42" s="2" t="inlineStr">
        <is>
          <t>노란 셀 = 가정. '연결' 표시는 추정 전 분기 수식이 이 셀을 참조한다는 뜻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sc:종가</t>
        </is>
      </c>
      <c r="C43" t="inlineStr">
        <is>
          <t>종가</t>
        </is>
      </c>
      <c r="D43" s="34" t="n">
        <v>26200</v>
      </c>
      <c r="E43" s="2" t="inlineStr">
        <is>
          <t>원 — 네이버 정규장 종가(aik 확정종가 대조 · aik 26,700원)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sc:기준일</t>
        </is>
      </c>
      <c r="C44" t="inlineStr">
        <is>
          <t>기준일</t>
        </is>
      </c>
      <c r="D44" s="35" t="inlineStr">
        <is>
          <t>20261008</t>
        </is>
      </c>
      <c r="E44" s="2" t="inlineStr">
        <is>
          <t>종가 기준일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sc:COE</t>
        </is>
      </c>
      <c r="C45" t="inlineStr">
        <is>
          <t>COE</t>
        </is>
      </c>
      <c r="D45" s="24" t="n">
        <v>0.09</v>
      </c>
      <c r="E45" s="2" t="inlineStr">
        <is>
          <t>자기자본비용(가정) — TP 적정 PBR = ROE/COE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sc:PER_lo</t>
        </is>
      </c>
      <c r="C46" t="inlineStr">
        <is>
          <t>PER_lo</t>
        </is>
      </c>
      <c r="D46" s="30" t="n">
        <v>8.5</v>
      </c>
      <c r="E46" s="2" t="inlineStr">
        <is>
          <t>PER 밴드 하단(배) — hist_quarterly(분기 평균가 ÷ TTM EPS, 16분기, 25/50/75 백분위)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sc:PER_mid</t>
        </is>
      </c>
      <c r="C47" t="inlineStr">
        <is>
          <t>PER_mid</t>
        </is>
      </c>
      <c r="D47" s="30" t="n">
        <v>9.1</v>
      </c>
      <c r="E47" s="2" t="inlineStr">
        <is>
          <t>PER 밴드 중단(배)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sc:PER_hi</t>
        </is>
      </c>
      <c r="C48" t="inlineStr">
        <is>
          <t>PER_hi</t>
        </is>
      </c>
      <c r="D48" s="30" t="n">
        <v>12</v>
      </c>
      <c r="E48" s="2" t="inlineStr">
        <is>
          <t>PER 밴드 상단(배)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sc:EPS_Y1가중</t>
        </is>
      </c>
      <c r="C49" t="inlineStr">
        <is>
          <t>EPS_Y1가중</t>
        </is>
      </c>
      <c r="D49" s="24" t="n">
        <v>0.5</v>
      </c>
      <c r="E49" s="2" t="inlineStr">
        <is>
          <t>12M fwd EPS = FY(last_actual연도)E × w + FY+1E × (1−w) — 기준 분기 2Q 이면 0.5(가정)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sc:세율</t>
        </is>
      </c>
      <c r="C50" t="inlineStr">
        <is>
          <t>세율</t>
        </is>
      </c>
      <c r="D50" s="36" t="n">
        <v>0.2125156653534311</v>
      </c>
      <c r="E50" s="2" t="inlineStr">
        <is>
          <t>연결 — 법인세 = MAX(세전,0) × 세율(역산, 재현 오차 ≤ 0.05억 · 모델 assumptions 0.2125) · 최근 12분기 유효세율 21.3%(5~27% 안 — 그대로)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sc:판관비율</t>
        </is>
      </c>
      <c r="C51" t="inlineStr">
        <is>
          <t>판관비율</t>
        </is>
      </c>
      <c r="D51" s="36" t="n">
        <v>0.1843357257761786</v>
      </c>
      <c r="E51" s="2" t="inlineStr">
        <is>
          <t>연결 — 판관비 = 매출액 × 판관비율(역산, 재현 오차 ≤ 0.05억 · 모델 assumptions 0.1843)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sc:지배주주비중</t>
        </is>
      </c>
      <c r="C52" t="inlineStr">
        <is>
          <t>지배주주비중</t>
        </is>
      </c>
      <c r="D52" s="36" t="n">
        <v>0.9239723919637756</v>
      </c>
      <c r="E52" s="2" t="inlineStr">
        <is>
          <t>연결 — 지배주주순이익 = 당기순이익 × 비중(역산, 재현 오차 ≤ 0.05억)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sc:이자율_자산</t>
        </is>
      </c>
      <c r="C53" t="inlineStr">
        <is>
          <t>이자율_자산</t>
        </is>
      </c>
      <c r="D53" s="36" t="n">
        <v>0.02766838073366952</v>
      </c>
      <c r="E53" s="2" t="inlineStr">
        <is>
          <t>연결 — 이자손익 = (전분기 이자발생자산 × 자산이자율 − 전분기 총차입금 × 부채이자율)/4(역산, 재현 오차 ≤ 0.05억 · 모델 assumptions 0.0277)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sc:이자율_부채</t>
        </is>
      </c>
      <c r="C54" t="inlineStr">
        <is>
          <t>이자율_부채</t>
        </is>
      </c>
      <c r="D54" s="36" t="n">
        <v>0</v>
      </c>
      <c r="E54" s="2" t="inlineStr">
        <is>
          <t>연결 — 같은 수식의 부채 쪽(총차입금 행이 없으면 0)(역산,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sc:배당성향</t>
        </is>
      </c>
      <c r="C55" t="inlineStr">
        <is>
          <t>배당성향</t>
        </is>
      </c>
      <c r="D55" s="24" t="n">
        <v>0.2151</v>
      </c>
      <c r="E55" s="2" t="inlineStr">
        <is>
          <t>배당성향(참고 — 모델은 직전 DPS 유지·Q2 지급 가정)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sc:외화순노출_백만$</t>
        </is>
      </c>
      <c r="C56" t="inlineStr">
        <is>
          <t>외화순노출_백만$</t>
        </is>
      </c>
      <c r="D56" s="30" t="n"/>
      <c r="E56" s="2" t="inlineStr">
        <is>
          <t>외화 순노출 × Δ기말환율 (외화 시트 방식) — 외화 순노출 미공시(face) → 0 + 표기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sc:헤지비율</t>
        </is>
      </c>
      <c r="C57" t="inlineStr">
        <is>
          <t>헤지비율</t>
        </is>
      </c>
      <c r="D57" s="24" t="n"/>
      <c r="E57" s="2" t="inlineStr">
        <is>
          <t>sls 없음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sc:헤지환율_약정</t>
        </is>
      </c>
      <c r="C58" t="inlineStr">
        <is>
          <t>헤지환율_약정</t>
        </is>
      </c>
      <c r="D58" s="16" t="n"/>
      <c r="E58" s="2" t="inlineStr">
        <is>
          <t>sls 없음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태광(연)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234559.23</v>
      </c>
      <c r="F5" s="37" t="n">
        <v>234559.23</v>
      </c>
      <c r="G5" s="18" t="n">
        <v>234461.35</v>
      </c>
      <c r="H5" s="18" t="n">
        <v>248409.7</v>
      </c>
      <c r="I5" s="18" t="n">
        <v>296899.58</v>
      </c>
      <c r="J5" s="18" t="n">
        <v>312707.86</v>
      </c>
      <c r="K5" s="37" t="n">
        <v>312707.86</v>
      </c>
      <c r="L5" s="18" t="n">
        <v>317108.74</v>
      </c>
      <c r="M5" s="18" t="n">
        <v>305897.59</v>
      </c>
      <c r="N5" s="18" t="n">
        <v>314132.32</v>
      </c>
      <c r="O5" s="18" t="n">
        <v>303514.7</v>
      </c>
      <c r="P5" s="37" t="n">
        <v>303514.7</v>
      </c>
      <c r="Q5" s="18" t="n">
        <v>311867.18</v>
      </c>
      <c r="R5" s="18" t="n">
        <v>297125.07</v>
      </c>
      <c r="S5" s="18" t="n">
        <v>295044.38</v>
      </c>
      <c r="T5" s="18" t="n">
        <v>308837.75</v>
      </c>
      <c r="U5" s="37" t="n">
        <v>308837.75</v>
      </c>
      <c r="V5" s="18" t="n">
        <v>315184.15</v>
      </c>
      <c r="W5" s="18" t="n">
        <v>324760.5</v>
      </c>
      <c r="X5" s="18" t="n">
        <v>380332.7</v>
      </c>
      <c r="Y5" s="18" t="n">
        <v>415239.28</v>
      </c>
      <c r="Z5" s="37" t="n">
        <v>415239.28</v>
      </c>
      <c r="AA5" s="18" t="n">
        <v>443932.37</v>
      </c>
      <c r="AB5" s="19" t="n">
        <v>514576.86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42139.37</v>
      </c>
      <c r="F6" s="37" t="n">
        <v>42139.37</v>
      </c>
      <c r="G6" s="18" t="n">
        <v>33900.03</v>
      </c>
      <c r="H6" s="18" t="n">
        <v>32641.44</v>
      </c>
      <c r="I6" s="18" t="n">
        <v>57472.58</v>
      </c>
      <c r="J6" s="18" t="n">
        <v>47228.3</v>
      </c>
      <c r="K6" s="37" t="n">
        <v>47228.3</v>
      </c>
      <c r="L6" s="18" t="n">
        <v>37151.72</v>
      </c>
      <c r="M6" s="18" t="n">
        <v>39634.42</v>
      </c>
      <c r="N6" s="18" t="n">
        <v>26507.16</v>
      </c>
      <c r="O6" s="18" t="n">
        <v>30872.63</v>
      </c>
      <c r="P6" s="37" t="n">
        <v>30872.63</v>
      </c>
      <c r="Q6" s="18" t="n">
        <v>52296.02</v>
      </c>
      <c r="R6" s="18" t="n">
        <v>28421.61</v>
      </c>
      <c r="S6" s="18" t="n">
        <v>39473.29</v>
      </c>
      <c r="T6" s="18" t="n">
        <v>32062.22</v>
      </c>
      <c r="U6" s="37" t="n">
        <v>32062.22</v>
      </c>
      <c r="V6" s="18" t="n">
        <v>34806.43</v>
      </c>
      <c r="W6" s="18" t="n">
        <v>29598.46</v>
      </c>
      <c r="X6" s="18" t="n">
        <v>31977.01</v>
      </c>
      <c r="Y6" s="18" t="n">
        <v>35596.04</v>
      </c>
      <c r="Z6" s="37" t="n">
        <v>35596.04</v>
      </c>
      <c r="AA6" s="18" t="n">
        <v>42988.67</v>
      </c>
      <c r="AB6" s="19" t="n">
        <v>50147.66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6736.71</v>
      </c>
      <c r="F7" s="37" t="n">
        <v>6736.71</v>
      </c>
      <c r="G7" s="18" t="n">
        <v>7094.19</v>
      </c>
      <c r="H7" s="18" t="n">
        <v>7032.87</v>
      </c>
      <c r="I7" s="18" t="n">
        <v>17356.18</v>
      </c>
      <c r="J7" s="18" t="n">
        <v>28793.26</v>
      </c>
      <c r="K7" s="37" t="n">
        <v>28793.26</v>
      </c>
      <c r="L7" s="18" t="n">
        <v>36508.73</v>
      </c>
      <c r="M7" s="18" t="n">
        <v>32853.19</v>
      </c>
      <c r="N7" s="18" t="n">
        <v>33011.18</v>
      </c>
      <c r="O7" s="18" t="n">
        <v>35738.28</v>
      </c>
      <c r="P7" s="37" t="n">
        <v>35738.28</v>
      </c>
      <c r="Q7" s="18" t="n">
        <v>32047.84</v>
      </c>
      <c r="R7" s="18" t="n">
        <v>28494.54</v>
      </c>
      <c r="S7" s="18" t="n">
        <v>28311.97</v>
      </c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6736.71</v>
      </c>
      <c r="F8" s="37" t="n">
        <v>6736.71</v>
      </c>
      <c r="G8" s="18" t="n">
        <v>7094.19</v>
      </c>
      <c r="H8" s="18" t="n">
        <v>7032.87</v>
      </c>
      <c r="I8" s="18" t="n">
        <v>17356.18</v>
      </c>
      <c r="J8" s="18" t="n">
        <v>28793.26</v>
      </c>
      <c r="K8" s="37" t="n">
        <v>28793.26</v>
      </c>
      <c r="L8" s="18" t="n">
        <v>36508.73</v>
      </c>
      <c r="M8" s="18" t="n">
        <v>32853.19</v>
      </c>
      <c r="N8" s="18" t="n">
        <v>33011.18</v>
      </c>
      <c r="O8" s="18" t="n">
        <v>35738.28</v>
      </c>
      <c r="P8" s="37" t="n">
        <v>35738.28</v>
      </c>
      <c r="Q8" s="18" t="n">
        <v>32047.84</v>
      </c>
      <c r="R8" s="18" t="n">
        <v>28494.54</v>
      </c>
      <c r="S8" s="18" t="n">
        <v>28311.97</v>
      </c>
      <c r="U8" s="9" t="n"/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57041.18</v>
      </c>
      <c r="F9" s="37" t="n">
        <v>57041.18</v>
      </c>
      <c r="G9" s="18" t="n">
        <v>64324.36</v>
      </c>
      <c r="H9" s="18" t="n">
        <v>75387.67999999999</v>
      </c>
      <c r="I9" s="18" t="n">
        <v>78509.07000000001</v>
      </c>
      <c r="J9" s="18" t="n">
        <v>73647.2</v>
      </c>
      <c r="K9" s="37" t="n">
        <v>73647.2</v>
      </c>
      <c r="L9" s="18" t="n">
        <v>77759.23</v>
      </c>
      <c r="M9" s="18" t="n">
        <v>77482.25999999999</v>
      </c>
      <c r="N9" s="18" t="n">
        <v>68301.3</v>
      </c>
      <c r="O9" s="18" t="n">
        <v>65341.43</v>
      </c>
      <c r="P9" s="37" t="n">
        <v>65341.43</v>
      </c>
      <c r="Q9" s="18" t="n">
        <v>63864.4</v>
      </c>
      <c r="R9" s="18" t="n">
        <v>60247.78</v>
      </c>
      <c r="S9" s="18" t="n">
        <v>60615.72</v>
      </c>
      <c r="T9" s="18" t="n">
        <v>64451.52</v>
      </c>
      <c r="U9" s="37" t="n">
        <v>64451.52</v>
      </c>
      <c r="V9" s="18" t="n">
        <v>58913.1</v>
      </c>
      <c r="W9" s="18" t="n">
        <v>66205.99000000001</v>
      </c>
      <c r="X9" s="18" t="n">
        <v>74405.78999999999</v>
      </c>
      <c r="Y9" s="18" t="n">
        <v>74455.91</v>
      </c>
      <c r="Z9" s="37" t="n">
        <v>74455.91</v>
      </c>
      <c r="AA9" s="18" t="n">
        <v>80960.60000000001</v>
      </c>
      <c r="AB9" s="19" t="n">
        <v>85500.50999999999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5737.56</v>
      </c>
      <c r="F10" s="37" t="n">
        <v>5737.56</v>
      </c>
      <c r="G10" s="18" t="n">
        <v>9786.469999999999</v>
      </c>
      <c r="H10" s="18" t="n">
        <v>11722.97</v>
      </c>
      <c r="I10" s="18" t="n">
        <v>18801.63</v>
      </c>
      <c r="J10" s="18" t="n">
        <v>30546.47</v>
      </c>
      <c r="K10" s="37" t="n">
        <v>30546.47</v>
      </c>
      <c r="L10" s="18" t="n">
        <v>37066.72</v>
      </c>
      <c r="M10" s="18" t="n">
        <v>25616.97</v>
      </c>
      <c r="N10" s="18" t="n">
        <v>58087.69</v>
      </c>
      <c r="O10" s="18" t="n">
        <v>45942.23</v>
      </c>
      <c r="P10" s="37" t="n">
        <v>45942.23</v>
      </c>
      <c r="Q10" s="18" t="n">
        <v>47987.12</v>
      </c>
      <c r="R10" s="18" t="n">
        <v>61403.64</v>
      </c>
      <c r="S10" s="18" t="n">
        <v>46312.56</v>
      </c>
      <c r="T10" s="18" t="n">
        <v>33518.65</v>
      </c>
      <c r="U10" s="37" t="n">
        <v>33518.65</v>
      </c>
      <c r="V10" s="18" t="n">
        <v>34723.19</v>
      </c>
      <c r="W10" s="18" t="n">
        <v>31218</v>
      </c>
      <c r="X10" s="18" t="n">
        <v>21483.62</v>
      </c>
      <c r="Y10" s="18" t="n">
        <v>20314.31</v>
      </c>
      <c r="Z10" s="37" t="n">
        <v>20314.31</v>
      </c>
      <c r="AA10" s="18" t="n">
        <v>10429.69</v>
      </c>
      <c r="AB10" s="19" t="n">
        <v>14781.62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122174.85</v>
      </c>
      <c r="F11" s="37" t="n">
        <v>122174.85</v>
      </c>
      <c r="G11" s="18" t="n">
        <v>117897.08</v>
      </c>
      <c r="H11" s="18" t="n">
        <v>121314.95</v>
      </c>
      <c r="I11" s="18" t="n">
        <v>124299.44</v>
      </c>
      <c r="J11" s="18" t="n">
        <v>130243.16</v>
      </c>
      <c r="K11" s="37" t="n">
        <v>130243.16</v>
      </c>
      <c r="L11" s="18" t="n">
        <v>126389.4</v>
      </c>
      <c r="M11" s="18" t="n">
        <v>127834.67</v>
      </c>
      <c r="N11" s="18" t="n">
        <v>126588.77</v>
      </c>
      <c r="O11" s="18" t="n">
        <v>124326.72</v>
      </c>
      <c r="P11" s="37" t="n">
        <v>124326.72</v>
      </c>
      <c r="Q11" s="18" t="n">
        <v>114121.3</v>
      </c>
      <c r="R11" s="18" t="n">
        <v>117077.86</v>
      </c>
      <c r="S11" s="18" t="n">
        <v>117995.25</v>
      </c>
      <c r="T11" s="18" t="n">
        <v>123155.71</v>
      </c>
      <c r="U11" s="37" t="n">
        <v>123155.71</v>
      </c>
      <c r="V11" s="18" t="n">
        <v>130072.66</v>
      </c>
      <c r="W11" s="18" t="n">
        <v>136654.07</v>
      </c>
      <c r="X11" s="18" t="n">
        <v>141510.26</v>
      </c>
      <c r="Y11" s="18" t="n">
        <v>151819.31</v>
      </c>
      <c r="Z11" s="37" t="n">
        <v>151819.31</v>
      </c>
      <c r="AA11" s="18" t="n">
        <v>147274.39</v>
      </c>
      <c r="AB11" s="19" t="n">
        <v>143956.53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10.19</v>
      </c>
      <c r="F12" s="37" t="n">
        <v>10.19</v>
      </c>
      <c r="G12" s="18" t="n">
        <v>11.34</v>
      </c>
      <c r="H12" s="18" t="n">
        <v>2.14</v>
      </c>
      <c r="I12" s="18" t="n">
        <v>25.11</v>
      </c>
      <c r="J12" s="18" t="n">
        <v>55.66</v>
      </c>
      <c r="K12" s="37" t="n">
        <v>55.66</v>
      </c>
      <c r="L12" s="18" t="n">
        <v>155</v>
      </c>
      <c r="M12" s="18" t="n">
        <v>59.45</v>
      </c>
      <c r="N12" s="18" t="n">
        <v>118.85</v>
      </c>
      <c r="O12" s="18" t="n">
        <v>218.11</v>
      </c>
      <c r="P12" s="37" t="n">
        <v>218.11</v>
      </c>
      <c r="Q12" s="18" t="n">
        <v>71.13</v>
      </c>
      <c r="R12" s="18" t="n">
        <v>109.7</v>
      </c>
      <c r="S12" s="18" t="n">
        <v>317.5</v>
      </c>
      <c r="T12" s="18" t="n">
        <v>238.3</v>
      </c>
      <c r="U12" s="37" t="n">
        <v>238.3</v>
      </c>
      <c r="V12" s="18" t="n">
        <v>132.56</v>
      </c>
      <c r="W12" s="18" t="n">
        <v>121.87</v>
      </c>
      <c r="X12" s="18" t="n">
        <v>212.83</v>
      </c>
      <c r="Y12" s="18" t="n">
        <v>168.88</v>
      </c>
      <c r="Z12" s="37" t="n">
        <v>168.88</v>
      </c>
      <c r="AA12" s="18" t="n">
        <v>184.81</v>
      </c>
      <c r="AB12" s="19" t="n">
        <v>13.88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719.37</v>
      </c>
      <c r="F13" s="37" t="n">
        <v>719.37</v>
      </c>
      <c r="G13" s="18" t="n">
        <v>1447.88</v>
      </c>
      <c r="H13" s="18" t="n">
        <v>307.67</v>
      </c>
      <c r="I13" s="18" t="n">
        <v>435.56</v>
      </c>
      <c r="J13" s="18" t="n">
        <v>2193.82</v>
      </c>
      <c r="K13" s="37" t="n">
        <v>2193.82</v>
      </c>
      <c r="L13" s="18" t="n">
        <v>2077.94</v>
      </c>
      <c r="M13" s="18" t="n">
        <v>2416.64</v>
      </c>
      <c r="N13" s="18" t="n">
        <v>1517.37</v>
      </c>
      <c r="O13" s="18" t="n">
        <v>1075.3</v>
      </c>
      <c r="P13" s="37" t="n">
        <v>1075.3</v>
      </c>
      <c r="Q13" s="18" t="n">
        <v>1479.37</v>
      </c>
      <c r="R13" s="18" t="n">
        <v>1369.95</v>
      </c>
      <c r="S13" s="18" t="n">
        <v>2018.09</v>
      </c>
      <c r="T13" s="18" t="n">
        <v>1797.78</v>
      </c>
      <c r="U13" s="37" t="n">
        <v>1797.78</v>
      </c>
      <c r="V13" s="18" t="n">
        <v>2038.1</v>
      </c>
      <c r="W13" s="18" t="n">
        <v>1917.27</v>
      </c>
      <c r="X13" s="18" t="n">
        <v>1119.27</v>
      </c>
      <c r="Y13" s="18" t="n">
        <v>2511.37</v>
      </c>
      <c r="Z13" s="37" t="n">
        <v>2511.37</v>
      </c>
      <c r="AA13" s="18" t="n">
        <v>3220.61</v>
      </c>
      <c r="AB13" s="19" t="n">
        <v>2608.11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270627.22</v>
      </c>
      <c r="F14" s="37" t="n">
        <v>270627.22</v>
      </c>
      <c r="G14" s="18" t="n">
        <v>276409.66</v>
      </c>
      <c r="H14" s="18" t="n">
        <v>277859.66</v>
      </c>
      <c r="I14" s="18" t="n">
        <v>284433.96</v>
      </c>
      <c r="J14" s="18" t="n">
        <v>281287.28</v>
      </c>
      <c r="K14" s="37" t="n">
        <v>281287.28</v>
      </c>
      <c r="L14" s="18" t="n">
        <v>287071.83</v>
      </c>
      <c r="M14" s="18" t="n">
        <v>314264.96</v>
      </c>
      <c r="N14" s="18" t="n">
        <v>312130.68</v>
      </c>
      <c r="O14" s="18" t="n">
        <v>322780.54</v>
      </c>
      <c r="P14" s="37" t="n">
        <v>322780.54</v>
      </c>
      <c r="Q14" s="18" t="n">
        <v>333320.8</v>
      </c>
      <c r="R14" s="18" t="n">
        <v>347620.24</v>
      </c>
      <c r="S14" s="18" t="n">
        <v>357396.91</v>
      </c>
      <c r="T14" s="18" t="n">
        <v>351501.26</v>
      </c>
      <c r="U14" s="37" t="n">
        <v>351501.26</v>
      </c>
      <c r="V14" s="18" t="n">
        <v>359518.24</v>
      </c>
      <c r="W14" s="18" t="n">
        <v>358904.68</v>
      </c>
      <c r="X14" s="18" t="n">
        <v>344413.25</v>
      </c>
      <c r="Y14" s="18" t="n">
        <v>325576.34</v>
      </c>
      <c r="Z14" s="37" t="n">
        <v>325576.34</v>
      </c>
      <c r="AA14" s="18" t="n">
        <v>329624.68</v>
      </c>
      <c r="AB14" s="19" t="n">
        <v>336171.02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34968.87</v>
      </c>
      <c r="F15" s="37" t="n">
        <v>34968.87</v>
      </c>
      <c r="G15" s="18" t="n">
        <v>38753.09</v>
      </c>
      <c r="H15" s="18" t="n">
        <v>38717.62</v>
      </c>
      <c r="I15" s="18" t="n">
        <v>43840.98</v>
      </c>
      <c r="J15" s="18" t="n">
        <v>39393.47</v>
      </c>
      <c r="K15" s="37" t="n">
        <v>39393.47</v>
      </c>
      <c r="L15" s="18" t="n">
        <v>43361.21</v>
      </c>
      <c r="M15" s="18" t="n">
        <v>64872.87</v>
      </c>
      <c r="N15" s="18" t="n">
        <v>53124.15</v>
      </c>
      <c r="O15" s="18" t="n">
        <v>61385.61</v>
      </c>
      <c r="P15" s="37" t="n">
        <v>61385.61</v>
      </c>
      <c r="Q15" s="18" t="n">
        <v>69983.71000000001</v>
      </c>
      <c r="R15" s="18" t="n">
        <v>78473.28999999999</v>
      </c>
      <c r="S15" s="18" t="n">
        <v>88736.92999999999</v>
      </c>
      <c r="T15" s="18" t="n">
        <v>85142.67999999999</v>
      </c>
      <c r="U15" s="37" t="n">
        <v>85142.67999999999</v>
      </c>
      <c r="V15" s="18" t="n">
        <v>90382.97</v>
      </c>
      <c r="W15" s="18" t="n">
        <v>87844.72</v>
      </c>
      <c r="X15" s="18" t="n">
        <v>69426.81</v>
      </c>
      <c r="Y15" s="18" t="n">
        <v>61379.9</v>
      </c>
      <c r="Z15" s="37" t="n">
        <v>61379.9</v>
      </c>
      <c r="AA15" s="18" t="n">
        <v>62413.27</v>
      </c>
      <c r="AB15" s="19" t="n">
        <v>65415.01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34968.87</v>
      </c>
      <c r="F16" s="37" t="n">
        <v>34968.87</v>
      </c>
      <c r="G16" s="18" t="n">
        <v>38753.09</v>
      </c>
      <c r="H16" s="18" t="n">
        <v>38717.62</v>
      </c>
      <c r="I16" s="18" t="n">
        <v>43840.98</v>
      </c>
      <c r="J16" s="18" t="n">
        <v>39393.47</v>
      </c>
      <c r="K16" s="37" t="n">
        <v>39393.47</v>
      </c>
      <c r="L16" s="18" t="n">
        <v>43361.21</v>
      </c>
      <c r="M16" s="18" t="n">
        <v>64872.87</v>
      </c>
      <c r="N16" s="18" t="n">
        <v>53124.15</v>
      </c>
      <c r="O16" s="18" t="n">
        <v>61385.61</v>
      </c>
      <c r="P16" s="37" t="n">
        <v>61385.61</v>
      </c>
      <c r="Q16" s="18" t="n">
        <v>69983.71000000001</v>
      </c>
      <c r="R16" s="18" t="n">
        <v>78473.28999999999</v>
      </c>
      <c r="S16" s="18" t="n">
        <v>88736.92999999999</v>
      </c>
      <c r="T16" s="18" t="n">
        <v>85142.67999999999</v>
      </c>
      <c r="U16" s="37" t="n">
        <v>85142.67999999999</v>
      </c>
      <c r="V16" s="18" t="n">
        <v>90382.97</v>
      </c>
      <c r="W16" s="18" t="n">
        <v>87844.72</v>
      </c>
      <c r="X16" s="18" t="n">
        <v>69426.81</v>
      </c>
      <c r="Y16" s="18" t="n">
        <v>61379.9</v>
      </c>
      <c r="Z16" s="37" t="n">
        <v>61379.9</v>
      </c>
      <c r="AA16" s="18" t="n">
        <v>62413.27</v>
      </c>
      <c r="AB16" s="19" t="n">
        <v>65415.01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6156.67</v>
      </c>
      <c r="F17" s="37" t="n">
        <v>6156.67</v>
      </c>
      <c r="G17" s="18" t="n">
        <v>8439.219999999999</v>
      </c>
      <c r="H17" s="18" t="n">
        <v>9500.549999999999</v>
      </c>
      <c r="I17" s="18" t="n">
        <v>11343.51</v>
      </c>
      <c r="J17" s="18" t="n">
        <v>11196.11</v>
      </c>
      <c r="K17" s="37" t="n">
        <v>11196.11</v>
      </c>
      <c r="L17" s="18" t="n">
        <v>12100.51</v>
      </c>
      <c r="M17" s="18" t="n">
        <v>12410.27</v>
      </c>
      <c r="N17" s="18" t="n">
        <v>14298.23</v>
      </c>
      <c r="O17" s="18" t="n">
        <v>14756.87</v>
      </c>
      <c r="P17" s="37" t="n">
        <v>14756.87</v>
      </c>
      <c r="Q17" s="18" t="n">
        <v>15578.71</v>
      </c>
      <c r="R17" s="18" t="n">
        <v>15657.48</v>
      </c>
      <c r="T17" s="18" t="n">
        <v>12049.29</v>
      </c>
      <c r="U17" s="37" t="n">
        <v>12049.29</v>
      </c>
      <c r="V17" s="18" t="n">
        <v>11402.09</v>
      </c>
      <c r="W17" s="18" t="n">
        <v>11874.94</v>
      </c>
      <c r="X17" s="18" t="n">
        <v>2413.68</v>
      </c>
      <c r="Y17" s="18" t="n">
        <v>2363.25</v>
      </c>
      <c r="Z17" s="37" t="n">
        <v>2363.25</v>
      </c>
      <c r="AA17" s="18" t="n">
        <v>4190.46</v>
      </c>
      <c r="AB17" s="19" t="n">
        <v>4486.77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기타비유동자산</t>
        </is>
      </c>
      <c r="E18" s="18" t="n">
        <v>1822.24</v>
      </c>
      <c r="F18" s="37" t="n">
        <v>1822.24</v>
      </c>
      <c r="G18" s="18" t="n">
        <v>1812.25</v>
      </c>
      <c r="H18" s="18" t="n">
        <v>1644.93</v>
      </c>
      <c r="I18" s="18" t="n">
        <v>1922.29</v>
      </c>
      <c r="J18" s="18" t="n">
        <v>2336.88</v>
      </c>
      <c r="K18" s="37" t="n">
        <v>2336.88</v>
      </c>
      <c r="L18" s="18" t="n">
        <v>2412.8</v>
      </c>
      <c r="M18" s="18" t="n">
        <v>2233.42</v>
      </c>
      <c r="N18" s="18" t="n">
        <v>2706.12</v>
      </c>
      <c r="O18" s="18" t="n">
        <v>2721.28</v>
      </c>
      <c r="P18" s="37" t="n">
        <v>2721.28</v>
      </c>
      <c r="Q18" s="18" t="n">
        <v>2555.58</v>
      </c>
      <c r="R18" s="18" t="n">
        <v>2996.53</v>
      </c>
      <c r="S18" s="18" t="n">
        <v>2740.72</v>
      </c>
      <c r="T18" s="18" t="n">
        <v>2638.79</v>
      </c>
      <c r="U18" s="37" t="n">
        <v>2638.79</v>
      </c>
      <c r="V18" s="18" t="n">
        <v>3439.48</v>
      </c>
      <c r="W18" s="18" t="n">
        <v>3126.72</v>
      </c>
      <c r="X18" s="18" t="n">
        <v>6875.37</v>
      </c>
      <c r="Y18" s="18" t="n">
        <v>6903.09</v>
      </c>
      <c r="Z18" s="37" t="n">
        <v>6903.09</v>
      </c>
      <c r="AA18" s="18" t="n">
        <v>4604.31</v>
      </c>
      <c r="AB18" s="19" t="n">
        <v>4734.63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E19" s="18" t="n">
        <v>26782.55</v>
      </c>
      <c r="F19" s="37" t="n">
        <v>26782.55</v>
      </c>
      <c r="G19" s="18" t="n">
        <v>26724.92</v>
      </c>
      <c r="H19" s="18" t="n">
        <v>26667.3</v>
      </c>
      <c r="I19" s="18" t="n">
        <v>26609.67</v>
      </c>
      <c r="J19" s="18" t="n">
        <v>26552.04</v>
      </c>
      <c r="K19" s="37" t="n">
        <v>26552.04</v>
      </c>
      <c r="L19" s="18" t="n">
        <v>26494.42</v>
      </c>
      <c r="M19" s="18" t="n">
        <v>24778.67</v>
      </c>
      <c r="N19" s="18" t="n">
        <v>24726.7</v>
      </c>
      <c r="O19" s="18" t="n">
        <v>24674.74</v>
      </c>
      <c r="P19" s="37" t="n">
        <v>24674.74</v>
      </c>
      <c r="Q19" s="18" t="n">
        <v>24622.78</v>
      </c>
      <c r="R19" s="18" t="n">
        <v>24570.81</v>
      </c>
      <c r="S19" s="18" t="n">
        <v>24518.85</v>
      </c>
      <c r="T19" s="18" t="n">
        <v>24466.88</v>
      </c>
      <c r="U19" s="37" t="n">
        <v>24466.88</v>
      </c>
      <c r="V19" s="18" t="n">
        <v>24414.92</v>
      </c>
      <c r="W19" s="18" t="n">
        <v>24362.96</v>
      </c>
      <c r="X19" s="18" t="n">
        <v>24310.99</v>
      </c>
      <c r="Y19" s="18" t="n">
        <v>24259.03</v>
      </c>
      <c r="Z19" s="37" t="n">
        <v>24259.03</v>
      </c>
      <c r="AA19" s="18" t="n">
        <v>24207.06</v>
      </c>
      <c r="AB19" s="19" t="n">
        <v>24155.1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163478.05</v>
      </c>
      <c r="F20" s="37" t="n">
        <v>163478.05</v>
      </c>
      <c r="G20" s="18" t="n">
        <v>163482</v>
      </c>
      <c r="H20" s="18" t="n">
        <v>164376.76</v>
      </c>
      <c r="I20" s="18" t="n">
        <v>163978.77</v>
      </c>
      <c r="J20" s="18" t="n">
        <v>163675.49</v>
      </c>
      <c r="K20" s="37" t="n">
        <v>163675.49</v>
      </c>
      <c r="L20" s="18" t="n">
        <v>164925.56</v>
      </c>
      <c r="M20" s="18" t="n">
        <v>170587.84</v>
      </c>
      <c r="N20" s="18" t="n">
        <v>174684.98</v>
      </c>
      <c r="O20" s="18" t="n">
        <v>177399.55</v>
      </c>
      <c r="P20" s="37" t="n">
        <v>177399.55</v>
      </c>
      <c r="Q20" s="18" t="n">
        <v>178775.5</v>
      </c>
      <c r="R20" s="18" t="n">
        <v>181371.68</v>
      </c>
      <c r="S20" s="18" t="n">
        <v>182149.92</v>
      </c>
      <c r="T20" s="18" t="n">
        <v>183237.06</v>
      </c>
      <c r="U20" s="37" t="n">
        <v>183237.06</v>
      </c>
      <c r="V20" s="18" t="n">
        <v>186121.92</v>
      </c>
      <c r="W20" s="18" t="n">
        <v>188118.35</v>
      </c>
      <c r="X20" s="18" t="n">
        <v>189383.65</v>
      </c>
      <c r="Y20" s="18" t="n">
        <v>188572.56</v>
      </c>
      <c r="Z20" s="37" t="n">
        <v>188572.56</v>
      </c>
      <c r="AA20" s="18" t="n">
        <v>187801.61</v>
      </c>
      <c r="AB20" s="19" t="n">
        <v>185998.35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42730.96</v>
      </c>
      <c r="F21" s="37" t="n">
        <v>42730.96</v>
      </c>
      <c r="G21" s="18" t="n">
        <v>42510.3</v>
      </c>
      <c r="H21" s="18" t="n">
        <v>42264.64</v>
      </c>
      <c r="I21" s="18" t="n">
        <v>42050.87</v>
      </c>
      <c r="J21" s="18" t="n">
        <v>41838.63</v>
      </c>
      <c r="K21" s="37" t="n">
        <v>41838.63</v>
      </c>
      <c r="L21" s="18" t="n">
        <v>41573.76</v>
      </c>
      <c r="M21" s="18" t="n">
        <v>41379.7</v>
      </c>
      <c r="N21" s="18" t="n">
        <v>41138.17</v>
      </c>
      <c r="O21" s="18" t="n">
        <v>40907.54</v>
      </c>
      <c r="P21" s="37" t="n">
        <v>40907.54</v>
      </c>
      <c r="Q21" s="18" t="n">
        <v>40671.7</v>
      </c>
      <c r="R21" s="18" t="n">
        <v>40622.55</v>
      </c>
      <c r="S21" s="18" t="n">
        <v>40392.66</v>
      </c>
      <c r="T21" s="18" t="n">
        <v>40155.42</v>
      </c>
      <c r="U21" s="37" t="n">
        <v>40155.42</v>
      </c>
      <c r="V21" s="18" t="n">
        <v>39945.73</v>
      </c>
      <c r="W21" s="18" t="n">
        <v>39765.88</v>
      </c>
      <c r="X21" s="18" t="n">
        <v>39584.04</v>
      </c>
      <c r="Y21" s="18" t="n">
        <v>31927.35</v>
      </c>
      <c r="Z21" s="37" t="n">
        <v>31927.35</v>
      </c>
      <c r="AA21" s="18" t="n">
        <v>31711.17</v>
      </c>
      <c r="AB21" s="19" t="n">
        <v>31503.12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505186.45</v>
      </c>
      <c r="F22" s="37" t="n">
        <v>505186.45</v>
      </c>
      <c r="G22" s="18" t="n">
        <v>510871.01</v>
      </c>
      <c r="H22" s="18" t="n">
        <v>526269.36</v>
      </c>
      <c r="I22" s="18" t="n">
        <v>581333.54</v>
      </c>
      <c r="J22" s="18" t="n">
        <v>593995.15</v>
      </c>
      <c r="K22" s="37" t="n">
        <v>593995.15</v>
      </c>
      <c r="L22" s="18" t="n">
        <v>604180.5699999999</v>
      </c>
      <c r="M22" s="18" t="n">
        <v>620162.54</v>
      </c>
      <c r="N22" s="18" t="n">
        <v>626263</v>
      </c>
      <c r="O22" s="18" t="n">
        <v>626295.25</v>
      </c>
      <c r="P22" s="37" t="n">
        <v>626295.25</v>
      </c>
      <c r="Q22" s="18" t="n">
        <v>645187.97</v>
      </c>
      <c r="R22" s="18" t="n">
        <v>644745.3100000001</v>
      </c>
      <c r="S22" s="18" t="n">
        <v>652441.28</v>
      </c>
      <c r="T22" s="18" t="n">
        <v>660339.01</v>
      </c>
      <c r="U22" s="37" t="n">
        <v>660339.01</v>
      </c>
      <c r="V22" s="18" t="n">
        <v>674702.39</v>
      </c>
      <c r="W22" s="18" t="n">
        <v>683665.1800000001</v>
      </c>
      <c r="X22" s="18" t="n">
        <v>724745.95</v>
      </c>
      <c r="Y22" s="18" t="n">
        <v>740815.62</v>
      </c>
      <c r="Z22" s="37" t="n">
        <v>740815.62</v>
      </c>
      <c r="AA22" s="18" t="n">
        <v>773557.05</v>
      </c>
      <c r="AB22" s="19" t="n">
        <v>850747.88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28727.05</v>
      </c>
      <c r="F23" s="37" t="n">
        <v>28727.05</v>
      </c>
      <c r="G23" s="18" t="n">
        <v>28559.27</v>
      </c>
      <c r="H23" s="18" t="n">
        <v>30571.49</v>
      </c>
      <c r="I23" s="18" t="n">
        <v>45894.25</v>
      </c>
      <c r="J23" s="18" t="n">
        <v>52478.26</v>
      </c>
      <c r="K23" s="37" t="n">
        <v>52478.26</v>
      </c>
      <c r="L23" s="18" t="n">
        <v>45856.33</v>
      </c>
      <c r="M23" s="18" t="n">
        <v>43508.34</v>
      </c>
      <c r="N23" s="18" t="n">
        <v>37939.96</v>
      </c>
      <c r="O23" s="18" t="n">
        <v>34017.82</v>
      </c>
      <c r="P23" s="37" t="n">
        <v>34017.82</v>
      </c>
      <c r="Q23" s="18" t="n">
        <v>40906.49</v>
      </c>
      <c r="R23" s="18" t="n">
        <v>32954.27</v>
      </c>
      <c r="S23" s="18" t="n">
        <v>34086.74</v>
      </c>
      <c r="T23" s="18" t="n">
        <v>34503.12</v>
      </c>
      <c r="U23" s="37" t="n">
        <v>34503.12</v>
      </c>
      <c r="V23" s="18" t="n">
        <v>44281.74</v>
      </c>
      <c r="W23" s="18" t="n">
        <v>38558.26</v>
      </c>
      <c r="X23" s="18" t="n">
        <v>45159.42</v>
      </c>
      <c r="Y23" s="18" t="n">
        <v>52715.81</v>
      </c>
      <c r="Z23" s="37" t="n">
        <v>52715.81</v>
      </c>
      <c r="AA23" s="18" t="n">
        <v>57364.13</v>
      </c>
      <c r="AB23" s="19" t="n">
        <v>54116.73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21968</v>
      </c>
      <c r="F24" s="37" t="n">
        <v>21968</v>
      </c>
      <c r="G24" s="18" t="n">
        <v>18247.04</v>
      </c>
      <c r="H24" s="18" t="n">
        <v>21711.69</v>
      </c>
      <c r="I24" s="18" t="n">
        <v>22470.82</v>
      </c>
      <c r="J24" s="18" t="n">
        <v>33860.15</v>
      </c>
      <c r="K24" s="37" t="n">
        <v>33860.15</v>
      </c>
      <c r="L24" s="18" t="n">
        <v>26398.45</v>
      </c>
      <c r="M24" s="18" t="n">
        <v>29852.57</v>
      </c>
      <c r="N24" s="18" t="n">
        <v>23885.79</v>
      </c>
      <c r="O24" s="18" t="n">
        <v>21914.11</v>
      </c>
      <c r="P24" s="37" t="n">
        <v>21914.11</v>
      </c>
      <c r="Q24" s="18" t="n">
        <v>21403.45</v>
      </c>
      <c r="R24" s="18" t="n">
        <v>23884.22</v>
      </c>
      <c r="S24" s="18" t="n">
        <v>25314.71</v>
      </c>
      <c r="T24" s="18" t="n">
        <v>24807.98</v>
      </c>
      <c r="U24" s="37" t="n">
        <v>24807.98</v>
      </c>
      <c r="V24" s="18" t="n">
        <v>28613.05</v>
      </c>
      <c r="W24" s="18" t="n">
        <v>30089.72</v>
      </c>
      <c r="X24" s="18" t="n">
        <v>30841</v>
      </c>
      <c r="Y24" s="18" t="n">
        <v>34255.56</v>
      </c>
      <c r="Z24" s="37" t="n">
        <v>34255.56</v>
      </c>
      <c r="AA24" s="18" t="n">
        <v>29119.31</v>
      </c>
      <c r="AB24" s="19" t="n">
        <v>28973.14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기타유동부채</t>
        </is>
      </c>
      <c r="E25" s="18" t="n">
        <v>1883.29</v>
      </c>
      <c r="F25" s="37" t="n">
        <v>1883.29</v>
      </c>
      <c r="G25" s="18" t="n">
        <v>2673.48</v>
      </c>
      <c r="H25" s="18" t="n">
        <v>1978.62</v>
      </c>
      <c r="I25" s="18" t="n">
        <v>6509.83</v>
      </c>
      <c r="J25" s="18" t="n">
        <v>7796.78</v>
      </c>
      <c r="K25" s="37" t="n">
        <v>7796.78</v>
      </c>
      <c r="L25" s="18" t="n">
        <v>3061.06</v>
      </c>
      <c r="M25" s="18" t="n">
        <v>2734.96</v>
      </c>
      <c r="N25" s="18" t="n">
        <v>1500.98</v>
      </c>
      <c r="O25" s="18" t="n">
        <v>2076.72</v>
      </c>
      <c r="P25" s="37" t="n">
        <v>2076.72</v>
      </c>
      <c r="Q25" s="18" t="n">
        <v>1673.58</v>
      </c>
      <c r="R25" s="18" t="n">
        <v>1372.41</v>
      </c>
      <c r="S25" s="18" t="n">
        <v>2236.45</v>
      </c>
      <c r="T25" s="18" t="n">
        <v>2927.15</v>
      </c>
      <c r="U25" s="37" t="n">
        <v>2927.15</v>
      </c>
      <c r="V25" s="18" t="n">
        <v>1663.87</v>
      </c>
      <c r="W25" s="18" t="n">
        <v>1455.05</v>
      </c>
      <c r="X25" s="18" t="n">
        <v>537.53</v>
      </c>
      <c r="Y25" s="18" t="n">
        <v>1688.85</v>
      </c>
      <c r="Z25" s="37" t="n">
        <v>1688.85</v>
      </c>
      <c r="AA25" s="18" t="n">
        <v>1146.16</v>
      </c>
      <c r="AB25" s="19" t="n">
        <v>1225.62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기타유동금융부채</t>
        </is>
      </c>
      <c r="E26" s="18" t="n">
        <v>1776.87</v>
      </c>
      <c r="F26" s="37" t="n">
        <v>1776.87</v>
      </c>
      <c r="G26" s="18" t="n">
        <v>4323.71</v>
      </c>
      <c r="H26" s="18" t="n">
        <v>1679.95</v>
      </c>
      <c r="I26" s="18" t="n">
        <v>3033.46</v>
      </c>
      <c r="J26" s="18" t="n">
        <v>1886.38</v>
      </c>
      <c r="K26" s="37" t="n">
        <v>1886.38</v>
      </c>
      <c r="L26" s="18" t="n">
        <v>6362.99</v>
      </c>
      <c r="M26" s="18" t="n">
        <v>1859.09</v>
      </c>
      <c r="N26" s="18" t="n">
        <v>1986.89</v>
      </c>
      <c r="O26" s="18" t="n">
        <v>1960.99</v>
      </c>
      <c r="P26" s="37" t="n">
        <v>1960.99</v>
      </c>
      <c r="Q26" s="18" t="n">
        <v>6385.69</v>
      </c>
      <c r="R26" s="18" t="n">
        <v>2173.13</v>
      </c>
      <c r="S26" s="18" t="n">
        <v>2112.34</v>
      </c>
      <c r="T26" s="18" t="n">
        <v>992.96</v>
      </c>
      <c r="U26" s="37" t="n">
        <v>992.96</v>
      </c>
      <c r="V26" s="18" t="n">
        <v>7471.13</v>
      </c>
      <c r="W26" s="18" t="n">
        <v>1015.93</v>
      </c>
      <c r="X26" s="18" t="n">
        <v>1027.81</v>
      </c>
      <c r="Y26" s="18" t="n">
        <v>5678.54</v>
      </c>
      <c r="Z26" s="37" t="n">
        <v>5678.54</v>
      </c>
      <c r="AA26" s="18" t="n">
        <v>12298.8</v>
      </c>
      <c r="AB26" s="19" t="n">
        <v>5809.91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1776.87</v>
      </c>
      <c r="F27" s="37" t="n">
        <v>1776.87</v>
      </c>
      <c r="G27" s="18" t="n">
        <v>4323.71</v>
      </c>
      <c r="H27" s="18" t="n">
        <v>1679.95</v>
      </c>
      <c r="I27" s="18" t="n">
        <v>3033.46</v>
      </c>
      <c r="J27" s="18" t="n">
        <v>1886.38</v>
      </c>
      <c r="K27" s="37" t="n">
        <v>1886.38</v>
      </c>
      <c r="L27" s="18" t="n">
        <v>6362.99</v>
      </c>
      <c r="M27" s="18" t="n">
        <v>1859.09</v>
      </c>
      <c r="N27" s="18" t="n">
        <v>1986.89</v>
      </c>
      <c r="O27" s="18" t="n">
        <v>1960.99</v>
      </c>
      <c r="P27" s="37" t="n">
        <v>1960.99</v>
      </c>
      <c r="Q27" s="18" t="n">
        <v>6385.69</v>
      </c>
      <c r="R27" s="18" t="n">
        <v>2173.13</v>
      </c>
      <c r="S27" s="18" t="n">
        <v>2112.34</v>
      </c>
      <c r="T27" s="18" t="n">
        <v>2144.4</v>
      </c>
      <c r="U27" s="37" t="n">
        <v>2144.4</v>
      </c>
      <c r="V27" s="18" t="n">
        <v>8885.42</v>
      </c>
      <c r="W27" s="18" t="n">
        <v>2343.38</v>
      </c>
      <c r="X27" s="18" t="n">
        <v>2388.46</v>
      </c>
      <c r="Y27" s="18" t="n">
        <v>7031.24</v>
      </c>
      <c r="Z27" s="37" t="n">
        <v>7031.24</v>
      </c>
      <c r="AA27" s="18" t="n">
        <v>13942.91</v>
      </c>
      <c r="AB27" s="19" t="n">
        <v>7515.57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2991.41</v>
      </c>
      <c r="F28" s="37" t="n">
        <v>2991.41</v>
      </c>
      <c r="G28" s="18" t="n">
        <v>3201.2</v>
      </c>
      <c r="H28" s="18" t="n">
        <v>5089.41</v>
      </c>
      <c r="I28" s="18" t="n">
        <v>13776.68</v>
      </c>
      <c r="J28" s="18" t="n">
        <v>8868.959999999999</v>
      </c>
      <c r="K28" s="37" t="n">
        <v>8868.959999999999</v>
      </c>
      <c r="L28" s="18" t="n">
        <v>9949.18</v>
      </c>
      <c r="M28" s="18" t="n">
        <v>8973.91</v>
      </c>
      <c r="N28" s="18" t="n">
        <v>10479.06</v>
      </c>
      <c r="O28" s="18" t="n">
        <v>8007.92</v>
      </c>
      <c r="P28" s="37" t="n">
        <v>8007.92</v>
      </c>
      <c r="Q28" s="18" t="n">
        <v>11390.68</v>
      </c>
      <c r="R28" s="18" t="n">
        <v>5473.88</v>
      </c>
      <c r="S28" s="18" t="n">
        <v>4376.71</v>
      </c>
      <c r="T28" s="18" t="n">
        <v>4533.84</v>
      </c>
      <c r="U28" s="37" t="n">
        <v>4533.84</v>
      </c>
      <c r="V28" s="18" t="n">
        <v>5036.41</v>
      </c>
      <c r="W28" s="18" t="n">
        <v>4597.18</v>
      </c>
      <c r="X28" s="18" t="n">
        <v>9991.77</v>
      </c>
      <c r="Y28" s="18" t="n">
        <v>8810.540000000001</v>
      </c>
      <c r="Z28" s="37" t="n">
        <v>8810.540000000001</v>
      </c>
      <c r="AA28" s="18" t="n">
        <v>11117.3</v>
      </c>
      <c r="AB28" s="19" t="n">
        <v>14729.48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단기충당부채</t>
        </is>
      </c>
      <c r="E29" s="18" t="n">
        <v>107.48</v>
      </c>
      <c r="F29" s="37" t="n">
        <v>107.48</v>
      </c>
      <c r="G29" s="18" t="n">
        <v>113.85</v>
      </c>
      <c r="H29" s="18" t="n">
        <v>111.83</v>
      </c>
      <c r="I29" s="18" t="n">
        <v>103.47</v>
      </c>
      <c r="J29" s="18" t="n">
        <v>65.98</v>
      </c>
      <c r="K29" s="37" t="n">
        <v>65.98</v>
      </c>
      <c r="L29" s="18" t="n">
        <v>84.66</v>
      </c>
      <c r="M29" s="18" t="n">
        <v>87.81</v>
      </c>
      <c r="N29" s="18" t="n">
        <v>87.23</v>
      </c>
      <c r="O29" s="18" t="n">
        <v>58.08</v>
      </c>
      <c r="P29" s="37" t="n">
        <v>58.08</v>
      </c>
      <c r="Q29" s="18" t="n">
        <v>53.1</v>
      </c>
      <c r="R29" s="18" t="n">
        <v>50.63</v>
      </c>
      <c r="S29" s="18" t="n">
        <v>46.53</v>
      </c>
      <c r="T29" s="18" t="n">
        <v>89.73999999999999</v>
      </c>
      <c r="U29" s="37" t="n">
        <v>89.73999999999999</v>
      </c>
      <c r="V29" s="18" t="n">
        <v>82.98999999999999</v>
      </c>
      <c r="W29" s="18" t="n">
        <v>72.92</v>
      </c>
      <c r="X29" s="18" t="n">
        <v>80.53</v>
      </c>
      <c r="Y29" s="18" t="n">
        <v>127.87</v>
      </c>
      <c r="Z29" s="37" t="n">
        <v>127.87</v>
      </c>
      <c r="AA29" s="18" t="n">
        <v>142.83</v>
      </c>
      <c r="AB29" s="19" t="n">
        <v>168.74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23378.56</v>
      </c>
      <c r="F30" s="37" t="n">
        <v>23378.56</v>
      </c>
      <c r="G30" s="18" t="n">
        <v>23427.62</v>
      </c>
      <c r="H30" s="18" t="n">
        <v>23188.85</v>
      </c>
      <c r="I30" s="18" t="n">
        <v>19605.29</v>
      </c>
      <c r="J30" s="18" t="n">
        <v>17284.15</v>
      </c>
      <c r="K30" s="37" t="n">
        <v>17284.15</v>
      </c>
      <c r="L30" s="18" t="n">
        <v>17428.54</v>
      </c>
      <c r="M30" s="18" t="n">
        <v>18086.74</v>
      </c>
      <c r="N30" s="18" t="n">
        <v>18102.98</v>
      </c>
      <c r="O30" s="18" t="n">
        <v>16885.99</v>
      </c>
      <c r="P30" s="37" t="n">
        <v>16885.99</v>
      </c>
      <c r="Q30" s="18" t="n">
        <v>17381.88</v>
      </c>
      <c r="R30" s="18" t="n">
        <v>18858.68</v>
      </c>
      <c r="S30" s="18" t="n">
        <v>18457.42</v>
      </c>
      <c r="T30" s="18" t="n">
        <v>16348.53</v>
      </c>
      <c r="U30" s="37" t="n">
        <v>16348.53</v>
      </c>
      <c r="V30" s="18" t="n">
        <v>16951.65</v>
      </c>
      <c r="W30" s="18" t="n">
        <v>18272.56</v>
      </c>
      <c r="X30" s="18" t="n">
        <v>23065.38</v>
      </c>
      <c r="Y30" s="18" t="n">
        <v>18483.09</v>
      </c>
      <c r="Z30" s="37" t="n">
        <v>18483.09</v>
      </c>
      <c r="AA30" s="18" t="n">
        <v>22672.67</v>
      </c>
      <c r="AB30" s="19" t="n">
        <v>34882.51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기타비유동부채</t>
        </is>
      </c>
      <c r="E31" s="18" t="n">
        <v>45.73</v>
      </c>
      <c r="F31" s="37" t="n">
        <v>45.73</v>
      </c>
      <c r="G31" s="18" t="n">
        <v>48.47</v>
      </c>
      <c r="H31" s="18" t="n">
        <v>51.21</v>
      </c>
      <c r="I31" s="18" t="n">
        <v>53.94</v>
      </c>
      <c r="J31" s="18" t="n">
        <v>51.52</v>
      </c>
      <c r="K31" s="37" t="n">
        <v>51.52</v>
      </c>
      <c r="L31" s="18" t="n">
        <v>55.27</v>
      </c>
      <c r="M31" s="18" t="n">
        <v>58.5</v>
      </c>
      <c r="N31" s="18" t="n">
        <v>62</v>
      </c>
      <c r="O31" s="18" t="n">
        <v>58.93</v>
      </c>
      <c r="P31" s="37" t="n">
        <v>58.93</v>
      </c>
      <c r="Q31" s="18" t="n">
        <v>62.61</v>
      </c>
      <c r="R31" s="18" t="n">
        <v>66.29000000000001</v>
      </c>
      <c r="S31" s="18" t="n">
        <v>69.98</v>
      </c>
      <c r="U31" s="9" t="n"/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장기매입채무및기타채무</t>
        </is>
      </c>
      <c r="E32" s="18" t="n">
        <v>5000</v>
      </c>
      <c r="F32" s="37" t="n">
        <v>5000</v>
      </c>
      <c r="G32" s="18" t="n">
        <v>4750</v>
      </c>
      <c r="H32" s="18" t="n">
        <v>4500</v>
      </c>
      <c r="K32" s="9" t="n"/>
      <c r="P32" s="9" t="n"/>
      <c r="T32" s="18" t="n">
        <v>60.91</v>
      </c>
      <c r="U32" s="37" t="n">
        <v>60.91</v>
      </c>
      <c r="V32" s="18" t="n">
        <v>64.62</v>
      </c>
      <c r="W32" s="18" t="n">
        <v>68.31999999999999</v>
      </c>
      <c r="X32" s="18" t="n">
        <v>72.03</v>
      </c>
      <c r="Y32" s="18" t="n">
        <v>64.95</v>
      </c>
      <c r="Z32" s="37" t="n">
        <v>64.95</v>
      </c>
      <c r="AA32" s="18" t="n">
        <v>68.78</v>
      </c>
      <c r="AB32" s="19" t="n">
        <v>72.61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확정급여부채</t>
        </is>
      </c>
      <c r="E33" s="18" t="n">
        <v>2363.97</v>
      </c>
      <c r="F33" s="37" t="n">
        <v>2363.97</v>
      </c>
      <c r="G33" s="18" t="n">
        <v>2734.89</v>
      </c>
      <c r="H33" s="18" t="n">
        <v>2424.78</v>
      </c>
      <c r="I33" s="18" t="n">
        <v>3032.34</v>
      </c>
      <c r="K33" s="9" t="n"/>
      <c r="L33" s="18" t="n">
        <v>31.52</v>
      </c>
      <c r="P33" s="9" t="n"/>
      <c r="U33" s="9" t="n"/>
      <c r="Z33" s="9" t="n"/>
      <c r="AB33" s="5" t="n"/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이연법인세부채</t>
        </is>
      </c>
      <c r="E34" s="18" t="n">
        <v>5218.06</v>
      </c>
      <c r="F34" s="37" t="n">
        <v>5218.06</v>
      </c>
      <c r="G34" s="18" t="n">
        <v>4959.19</v>
      </c>
      <c r="H34" s="18" t="n">
        <v>5040.6</v>
      </c>
      <c r="I34" s="18" t="n">
        <v>4636.07</v>
      </c>
      <c r="J34" s="18" t="n">
        <v>5590.98</v>
      </c>
      <c r="K34" s="37" t="n">
        <v>5590.98</v>
      </c>
      <c r="L34" s="18" t="n">
        <v>5866.77</v>
      </c>
      <c r="M34" s="18" t="n">
        <v>6306.13</v>
      </c>
      <c r="N34" s="18" t="n">
        <v>5755.8</v>
      </c>
      <c r="O34" s="18" t="n">
        <v>5394.84</v>
      </c>
      <c r="P34" s="37" t="n">
        <v>5394.84</v>
      </c>
      <c r="Q34" s="18" t="n">
        <v>6262.42</v>
      </c>
      <c r="R34" s="18" t="n">
        <v>6682.58</v>
      </c>
      <c r="S34" s="18" t="n">
        <v>6534.5</v>
      </c>
      <c r="T34" s="18" t="n">
        <v>5398.7</v>
      </c>
      <c r="U34" s="37" t="n">
        <v>5398.7</v>
      </c>
      <c r="V34" s="18" t="n">
        <v>5697.33</v>
      </c>
      <c r="W34" s="18" t="n">
        <v>7038.16</v>
      </c>
      <c r="X34" s="18" t="n">
        <v>11748.2</v>
      </c>
      <c r="Y34" s="18" t="n">
        <v>12654.86</v>
      </c>
      <c r="Z34" s="37" t="n">
        <v>12654.86</v>
      </c>
      <c r="AA34" s="18" t="n">
        <v>15975.27</v>
      </c>
      <c r="AB34" s="19" t="n">
        <v>27930.19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장기충당부채</t>
        </is>
      </c>
      <c r="E35" s="18" t="n">
        <v>2272.36</v>
      </c>
      <c r="F35" s="37" t="n">
        <v>2272.36</v>
      </c>
      <c r="G35" s="18" t="n">
        <v>2322.13</v>
      </c>
      <c r="H35" s="18" t="n">
        <v>2569.93</v>
      </c>
      <c r="I35" s="18" t="n">
        <v>2985.97</v>
      </c>
      <c r="J35" s="18" t="n">
        <v>3334.05</v>
      </c>
      <c r="K35" s="37" t="n">
        <v>3334.05</v>
      </c>
      <c r="L35" s="18" t="n">
        <v>3038.86</v>
      </c>
      <c r="M35" s="18" t="n">
        <v>3336.33</v>
      </c>
      <c r="N35" s="18" t="n">
        <v>3455.91</v>
      </c>
      <c r="O35" s="18" t="n">
        <v>3455.41</v>
      </c>
      <c r="P35" s="37" t="n">
        <v>3455.41</v>
      </c>
      <c r="Q35" s="18" t="n">
        <v>3184.91</v>
      </c>
      <c r="R35" s="18" t="n">
        <v>3901.36</v>
      </c>
      <c r="S35" s="18" t="n">
        <v>3747.9</v>
      </c>
      <c r="T35" s="18" t="n">
        <v>3642.15</v>
      </c>
      <c r="U35" s="37" t="n">
        <v>3642.15</v>
      </c>
      <c r="V35" s="18" t="n">
        <v>3146.15</v>
      </c>
      <c r="W35" s="18" t="n">
        <v>3346.25</v>
      </c>
      <c r="X35" s="18" t="n">
        <v>3513.43</v>
      </c>
      <c r="Y35" s="18" t="n">
        <v>3797.78</v>
      </c>
      <c r="Z35" s="37" t="n">
        <v>3797.78</v>
      </c>
      <c r="AA35" s="18" t="n">
        <v>3405.83</v>
      </c>
      <c r="AB35" s="19" t="n">
        <v>3609.07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기타비유동금융부채</t>
        </is>
      </c>
      <c r="E36" s="18" t="n">
        <v>8478.440000000001</v>
      </c>
      <c r="F36" s="37" t="n">
        <v>8478.440000000001</v>
      </c>
      <c r="G36" s="18" t="n">
        <v>8612.940000000001</v>
      </c>
      <c r="H36" s="18" t="n">
        <v>8602.32</v>
      </c>
      <c r="I36" s="18" t="n">
        <v>8896.969999999999</v>
      </c>
      <c r="J36" s="18" t="n">
        <v>8307.6</v>
      </c>
      <c r="K36" s="37" t="n">
        <v>8307.6</v>
      </c>
      <c r="L36" s="18" t="n">
        <v>8436.110000000001</v>
      </c>
      <c r="M36" s="18" t="n">
        <v>8385.77</v>
      </c>
      <c r="N36" s="18" t="n">
        <v>8829.27</v>
      </c>
      <c r="O36" s="18" t="n">
        <v>7976.81</v>
      </c>
      <c r="P36" s="37" t="n">
        <v>7976.81</v>
      </c>
      <c r="Q36" s="18" t="n">
        <v>7871.94</v>
      </c>
      <c r="R36" s="18" t="n">
        <v>8208.440000000001</v>
      </c>
      <c r="S36" s="18" t="n">
        <v>8105.05</v>
      </c>
      <c r="T36" s="18" t="n">
        <v>5484.4</v>
      </c>
      <c r="U36" s="37" t="n">
        <v>5484.4</v>
      </c>
      <c r="V36" s="18" t="n">
        <v>5546.41</v>
      </c>
      <c r="W36" s="18" t="n">
        <v>5609.84</v>
      </c>
      <c r="X36" s="18" t="n">
        <v>5674.71</v>
      </c>
      <c r="Y36" s="18" t="n">
        <v>61.8</v>
      </c>
      <c r="Z36" s="37" t="n">
        <v>61.8</v>
      </c>
      <c r="AA36" s="18" t="n">
        <v>61.8</v>
      </c>
      <c r="AB36" s="19" t="n">
        <v>61.8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장기금융부채</t>
        </is>
      </c>
      <c r="E37" s="18" t="n">
        <v>8478.440000000001</v>
      </c>
      <c r="F37" s="37" t="n">
        <v>8478.440000000001</v>
      </c>
      <c r="G37" s="18" t="n">
        <v>8612.940000000001</v>
      </c>
      <c r="H37" s="18" t="n">
        <v>8602.32</v>
      </c>
      <c r="I37" s="18" t="n">
        <v>8896.969999999999</v>
      </c>
      <c r="J37" s="18" t="n">
        <v>8307.6</v>
      </c>
      <c r="K37" s="37" t="n">
        <v>8307.6</v>
      </c>
      <c r="L37" s="18" t="n">
        <v>8436.110000000001</v>
      </c>
      <c r="M37" s="18" t="n">
        <v>8385.77</v>
      </c>
      <c r="N37" s="18" t="n">
        <v>8829.27</v>
      </c>
      <c r="O37" s="18" t="n">
        <v>7976.81</v>
      </c>
      <c r="P37" s="37" t="n">
        <v>7976.81</v>
      </c>
      <c r="Q37" s="18" t="n">
        <v>7871.94</v>
      </c>
      <c r="R37" s="18" t="n">
        <v>8208.440000000001</v>
      </c>
      <c r="S37" s="18" t="n">
        <v>8105.05</v>
      </c>
      <c r="T37" s="18" t="n">
        <v>7099.41</v>
      </c>
      <c r="U37" s="37" t="n">
        <v>7099.41</v>
      </c>
      <c r="V37" s="18" t="n">
        <v>7716.46</v>
      </c>
      <c r="W37" s="18" t="n">
        <v>7565.77</v>
      </c>
      <c r="X37" s="18" t="n">
        <v>7731.71</v>
      </c>
      <c r="Y37" s="18" t="n">
        <v>1965.49</v>
      </c>
      <c r="Z37" s="37" t="n">
        <v>1965.49</v>
      </c>
      <c r="AA37" s="18" t="n">
        <v>3222.79</v>
      </c>
      <c r="AB37" s="19" t="n">
        <v>3270.64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부채총계</t>
        </is>
      </c>
      <c r="E38" s="18" t="n">
        <v>52105.61</v>
      </c>
      <c r="F38" s="37" t="n">
        <v>52105.61</v>
      </c>
      <c r="G38" s="18" t="n">
        <v>51986.89</v>
      </c>
      <c r="H38" s="18" t="n">
        <v>53760.34</v>
      </c>
      <c r="I38" s="18" t="n">
        <v>65499.54</v>
      </c>
      <c r="J38" s="18" t="n">
        <v>69762.41</v>
      </c>
      <c r="K38" s="37" t="n">
        <v>69762.41</v>
      </c>
      <c r="L38" s="18" t="n">
        <v>63284.87</v>
      </c>
      <c r="M38" s="18" t="n">
        <v>61595.08</v>
      </c>
      <c r="N38" s="18" t="n">
        <v>56042.94</v>
      </c>
      <c r="O38" s="18" t="n">
        <v>50903.81</v>
      </c>
      <c r="P38" s="37" t="n">
        <v>50903.81</v>
      </c>
      <c r="Q38" s="18" t="n">
        <v>58288.38</v>
      </c>
      <c r="R38" s="18" t="n">
        <v>51812.95</v>
      </c>
      <c r="S38" s="18" t="n">
        <v>52544.16</v>
      </c>
      <c r="T38" s="18" t="n">
        <v>50851.65</v>
      </c>
      <c r="U38" s="37" t="n">
        <v>50851.65</v>
      </c>
      <c r="V38" s="18" t="n">
        <v>61233.39</v>
      </c>
      <c r="W38" s="18" t="n">
        <v>56830.82</v>
      </c>
      <c r="X38" s="18" t="n">
        <v>68224.78999999999</v>
      </c>
      <c r="Y38" s="18" t="n">
        <v>71198.89</v>
      </c>
      <c r="Z38" s="37" t="n">
        <v>71198.89</v>
      </c>
      <c r="AA38" s="18" t="n">
        <v>80036.8</v>
      </c>
      <c r="AB38" s="19" t="n">
        <v>88999.24000000001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지배주주지분</t>
        </is>
      </c>
      <c r="E39" s="18" t="n">
        <v>436133.57</v>
      </c>
      <c r="F39" s="37" t="n">
        <v>436133.57</v>
      </c>
      <c r="G39" s="18" t="n">
        <v>441042.44</v>
      </c>
      <c r="H39" s="18" t="n">
        <v>453310.34</v>
      </c>
      <c r="I39" s="18" t="n">
        <v>472915.85</v>
      </c>
      <c r="J39" s="18" t="n">
        <v>480089.17</v>
      </c>
      <c r="K39" s="37" t="n">
        <v>480089.17</v>
      </c>
      <c r="L39" s="18" t="n">
        <v>495190.25</v>
      </c>
      <c r="M39" s="18" t="n">
        <v>512255.34</v>
      </c>
      <c r="N39" s="18" t="n">
        <v>523726.08</v>
      </c>
      <c r="O39" s="18" t="n">
        <v>528792.38</v>
      </c>
      <c r="P39" s="37" t="n">
        <v>528792.38</v>
      </c>
      <c r="Q39" s="18" t="n">
        <v>540739.24</v>
      </c>
      <c r="R39" s="18" t="n">
        <v>550003.28</v>
      </c>
      <c r="S39" s="18" t="n">
        <v>557094.14</v>
      </c>
      <c r="T39" s="18" t="n">
        <v>566047.08</v>
      </c>
      <c r="U39" s="37" t="n">
        <v>566047.08</v>
      </c>
      <c r="V39" s="18" t="n">
        <v>570009.76</v>
      </c>
      <c r="W39" s="18" t="n">
        <v>584929.49</v>
      </c>
      <c r="X39" s="18" t="n">
        <v>613745.74</v>
      </c>
      <c r="Y39" s="18" t="n">
        <v>624576.99</v>
      </c>
      <c r="Z39" s="37" t="n">
        <v>624576.99</v>
      </c>
      <c r="AA39" s="18" t="n">
        <v>646534.42</v>
      </c>
      <c r="AB39" s="19" t="n">
        <v>706581.84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자본금</t>
        </is>
      </c>
      <c r="E40" s="18" t="n">
        <v>13250</v>
      </c>
      <c r="F40" s="37" t="n">
        <v>13250</v>
      </c>
      <c r="G40" s="18" t="n">
        <v>13250</v>
      </c>
      <c r="H40" s="18" t="n">
        <v>13250</v>
      </c>
      <c r="I40" s="18" t="n">
        <v>13250</v>
      </c>
      <c r="J40" s="18" t="n">
        <v>13250</v>
      </c>
      <c r="K40" s="37" t="n">
        <v>13250</v>
      </c>
      <c r="L40" s="18" t="n">
        <v>13250</v>
      </c>
      <c r="M40" s="18" t="n">
        <v>13250</v>
      </c>
      <c r="N40" s="18" t="n">
        <v>13250</v>
      </c>
      <c r="O40" s="18" t="n">
        <v>13250</v>
      </c>
      <c r="P40" s="37" t="n">
        <v>13250</v>
      </c>
      <c r="Q40" s="18" t="n">
        <v>13250</v>
      </c>
      <c r="R40" s="18" t="n">
        <v>13250</v>
      </c>
      <c r="S40" s="18" t="n">
        <v>13250</v>
      </c>
      <c r="T40" s="18" t="n">
        <v>13250</v>
      </c>
      <c r="U40" s="37" t="n">
        <v>13250</v>
      </c>
      <c r="V40" s="18" t="n">
        <v>13250</v>
      </c>
      <c r="W40" s="18" t="n">
        <v>13250</v>
      </c>
      <c r="X40" s="18" t="n">
        <v>13250</v>
      </c>
      <c r="Y40" s="18" t="n">
        <v>13250</v>
      </c>
      <c r="Z40" s="37" t="n">
        <v>13250</v>
      </c>
      <c r="AA40" s="18" t="n">
        <v>13250</v>
      </c>
      <c r="AB40" s="19" t="n">
        <v>13250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자본잉여금</t>
        </is>
      </c>
      <c r="E41" s="18" t="n">
        <v>34375.54</v>
      </c>
      <c r="F41" s="37" t="n">
        <v>34375.54</v>
      </c>
      <c r="G41" s="18" t="n">
        <v>34375.54</v>
      </c>
      <c r="H41" s="18" t="n">
        <v>34784.92</v>
      </c>
      <c r="I41" s="18" t="n">
        <v>45779.77</v>
      </c>
      <c r="J41" s="18" t="n">
        <v>44320.38</v>
      </c>
      <c r="K41" s="37" t="n">
        <v>44320.38</v>
      </c>
      <c r="L41" s="18" t="n">
        <v>44320.38</v>
      </c>
      <c r="M41" s="18" t="n">
        <v>44308.98</v>
      </c>
      <c r="N41" s="18" t="n">
        <v>44308.88</v>
      </c>
      <c r="O41" s="18" t="n">
        <v>44277.12</v>
      </c>
      <c r="P41" s="37" t="n">
        <v>44277.12</v>
      </c>
      <c r="Q41" s="18" t="n">
        <v>44302.68</v>
      </c>
      <c r="R41" s="18" t="n">
        <v>44302.68</v>
      </c>
      <c r="S41" s="18" t="n">
        <v>44302.68</v>
      </c>
      <c r="T41" s="18" t="n">
        <v>44302.68</v>
      </c>
      <c r="U41" s="37" t="n">
        <v>44302.68</v>
      </c>
      <c r="V41" s="18" t="n">
        <v>44302.68</v>
      </c>
      <c r="W41" s="18" t="n">
        <v>27302.68</v>
      </c>
      <c r="X41" s="18" t="n">
        <v>27302.68</v>
      </c>
      <c r="Y41" s="18" t="n">
        <v>27302.68</v>
      </c>
      <c r="Z41" s="37" t="n">
        <v>27302.68</v>
      </c>
      <c r="AA41" s="18" t="n">
        <v>27302.68</v>
      </c>
      <c r="AB41" s="19" t="n">
        <v>27302.68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기타자본</t>
        </is>
      </c>
      <c r="E42" s="18" t="n">
        <v>-11255.45</v>
      </c>
      <c r="F42" s="37" t="n">
        <v>-11255.45</v>
      </c>
      <c r="G42" s="18" t="n">
        <v>-11257.16</v>
      </c>
      <c r="H42" s="18" t="n">
        <v>-11255.45</v>
      </c>
      <c r="I42" s="18" t="n">
        <v>-11255.45</v>
      </c>
      <c r="J42" s="18" t="n">
        <v>-11255.45</v>
      </c>
      <c r="K42" s="37" t="n">
        <v>-11255.45</v>
      </c>
      <c r="L42" s="18" t="n">
        <v>-11255.45</v>
      </c>
      <c r="M42" s="18" t="n">
        <v>-11255.45</v>
      </c>
      <c r="N42" s="18" t="n">
        <v>-11255.45</v>
      </c>
      <c r="O42" s="18" t="n">
        <v>-11278.62</v>
      </c>
      <c r="P42" s="37" t="n">
        <v>-11278.62</v>
      </c>
      <c r="Q42" s="18" t="n">
        <v>-11328.2</v>
      </c>
      <c r="R42" s="18" t="n">
        <v>-12134.06</v>
      </c>
      <c r="S42" s="18" t="n">
        <v>-12134.63</v>
      </c>
      <c r="T42" s="18" t="n">
        <v>-12122.1</v>
      </c>
      <c r="U42" s="37" t="n">
        <v>-12122.1</v>
      </c>
      <c r="V42" s="18" t="n">
        <v>-12122.1</v>
      </c>
      <c r="W42" s="18" t="n">
        <v>-12122.1</v>
      </c>
      <c r="X42" s="18" t="n">
        <v>-12122.1</v>
      </c>
      <c r="Y42" s="18" t="n">
        <v>-12122.1</v>
      </c>
      <c r="Z42" s="37" t="n">
        <v>-12122.1</v>
      </c>
      <c r="AA42" s="18" t="n">
        <v>-899.48</v>
      </c>
      <c r="AB42" s="19" t="n">
        <v>-5070.18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기타포괄이익누계액</t>
        </is>
      </c>
      <c r="E43" s="18" t="n">
        <v>-1522.12</v>
      </c>
      <c r="F43" s="37" t="n">
        <v>-1522.12</v>
      </c>
      <c r="G43" s="18" t="n">
        <v>-1519.52</v>
      </c>
      <c r="H43" s="18" t="n">
        <v>-1475.46</v>
      </c>
      <c r="I43" s="18" t="n">
        <v>-1428.98</v>
      </c>
      <c r="J43" s="18" t="n">
        <v>-1519.39</v>
      </c>
      <c r="K43" s="37" t="n">
        <v>-1519.39</v>
      </c>
      <c r="L43" s="18" t="n">
        <v>-1495.33</v>
      </c>
      <c r="M43" s="18" t="n">
        <v>-1503.6</v>
      </c>
      <c r="N43" s="18" t="n">
        <v>-1493.84</v>
      </c>
      <c r="O43" s="18" t="n">
        <v>-1832.13</v>
      </c>
      <c r="P43" s="37" t="n">
        <v>-1832.13</v>
      </c>
      <c r="Q43" s="18" t="n">
        <v>-1791.93</v>
      </c>
      <c r="R43" s="18" t="n">
        <v>-1757.16</v>
      </c>
      <c r="S43" s="18" t="n">
        <v>-1801.34</v>
      </c>
      <c r="T43" s="18" t="n">
        <v>-1415.75</v>
      </c>
      <c r="U43" s="37" t="n">
        <v>-1415.75</v>
      </c>
      <c r="V43" s="18" t="n">
        <v>-1419.23</v>
      </c>
      <c r="W43" s="18" t="n">
        <v>-1586.87</v>
      </c>
      <c r="X43" s="18" t="n">
        <v>-1517.88</v>
      </c>
      <c r="Y43" s="18" t="n">
        <v>-1236.66</v>
      </c>
      <c r="Z43" s="37" t="n">
        <v>-1236.66</v>
      </c>
      <c r="AA43" s="18" t="n">
        <v>-1104.03</v>
      </c>
      <c r="AB43" s="19" t="n">
        <v>-1101.56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이익잉여금</t>
        </is>
      </c>
      <c r="E44" s="18" t="n">
        <v>401285.6</v>
      </c>
      <c r="F44" s="37" t="n">
        <v>401285.6</v>
      </c>
      <c r="G44" s="18" t="n">
        <v>406193.58</v>
      </c>
      <c r="H44" s="18" t="n">
        <v>418006.33</v>
      </c>
      <c r="I44" s="18" t="n">
        <v>426570.51</v>
      </c>
      <c r="J44" s="18" t="n">
        <v>435293.62</v>
      </c>
      <c r="K44" s="37" t="n">
        <v>435293.62</v>
      </c>
      <c r="L44" s="18" t="n">
        <v>450370.64</v>
      </c>
      <c r="M44" s="18" t="n">
        <v>467455.41</v>
      </c>
      <c r="N44" s="18" t="n">
        <v>478916.47</v>
      </c>
      <c r="O44" s="18" t="n">
        <v>484376.01</v>
      </c>
      <c r="P44" s="37" t="n">
        <v>484376.01</v>
      </c>
      <c r="Q44" s="18" t="n">
        <v>496306.69</v>
      </c>
      <c r="R44" s="18" t="n">
        <v>506341.83</v>
      </c>
      <c r="S44" s="18" t="n">
        <v>513477.42</v>
      </c>
      <c r="T44" s="18" t="n">
        <v>522032.24</v>
      </c>
      <c r="U44" s="37" t="n">
        <v>522032.24</v>
      </c>
      <c r="V44" s="18" t="n">
        <v>525998.41</v>
      </c>
      <c r="W44" s="18" t="n">
        <v>558085.77</v>
      </c>
      <c r="X44" s="18" t="n">
        <v>586833.04</v>
      </c>
      <c r="Y44" s="18" t="n">
        <v>597383.0699999999</v>
      </c>
      <c r="Z44" s="37" t="n">
        <v>597383.0699999999</v>
      </c>
      <c r="AA44" s="18" t="n">
        <v>607985.25</v>
      </c>
      <c r="AB44" s="19" t="n">
        <v>672200.9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비지배주주지분</t>
        </is>
      </c>
      <c r="E45" s="18" t="n">
        <v>16947.27</v>
      </c>
      <c r="F45" s="37" t="n">
        <v>16947.27</v>
      </c>
      <c r="G45" s="18" t="n">
        <v>17841.68</v>
      </c>
      <c r="H45" s="18" t="n">
        <v>19198.69</v>
      </c>
      <c r="I45" s="18" t="n">
        <v>42918.15</v>
      </c>
      <c r="J45" s="18" t="n">
        <v>44143.56</v>
      </c>
      <c r="K45" s="37" t="n">
        <v>44143.56</v>
      </c>
      <c r="L45" s="18" t="n">
        <v>45705.45</v>
      </c>
      <c r="M45" s="18" t="n">
        <v>46312.12</v>
      </c>
      <c r="N45" s="18" t="n">
        <v>46493.98</v>
      </c>
      <c r="O45" s="18" t="n">
        <v>46599.05</v>
      </c>
      <c r="P45" s="37" t="n">
        <v>46599.05</v>
      </c>
      <c r="Q45" s="18" t="n">
        <v>46160.35</v>
      </c>
      <c r="R45" s="18" t="n">
        <v>42929.07</v>
      </c>
      <c r="S45" s="18" t="n">
        <v>42802.99</v>
      </c>
      <c r="T45" s="18" t="n">
        <v>43440.29</v>
      </c>
      <c r="U45" s="37" t="n">
        <v>43440.29</v>
      </c>
      <c r="V45" s="18" t="n">
        <v>43459.24</v>
      </c>
      <c r="W45" s="18" t="n">
        <v>41904.88</v>
      </c>
      <c r="X45" s="18" t="n">
        <v>42775.41</v>
      </c>
      <c r="Y45" s="18" t="n">
        <v>45039.74</v>
      </c>
      <c r="Z45" s="37" t="n">
        <v>45039.74</v>
      </c>
      <c r="AA45" s="18" t="n">
        <v>46985.82</v>
      </c>
      <c r="AB45" s="19" t="n">
        <v>55166.8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자본총계</t>
        </is>
      </c>
      <c r="E46" s="18" t="n">
        <v>453080.84</v>
      </c>
      <c r="F46" s="37" t="n">
        <v>453080.84</v>
      </c>
      <c r="G46" s="18" t="n">
        <v>458884.12</v>
      </c>
      <c r="H46" s="18" t="n">
        <v>472509.03</v>
      </c>
      <c r="I46" s="18" t="n">
        <v>515834.01</v>
      </c>
      <c r="J46" s="18" t="n">
        <v>524232.74</v>
      </c>
      <c r="K46" s="37" t="n">
        <v>524232.74</v>
      </c>
      <c r="L46" s="18" t="n">
        <v>540895.7</v>
      </c>
      <c r="M46" s="18" t="n">
        <v>558567.46</v>
      </c>
      <c r="N46" s="18" t="n">
        <v>570220.0600000001</v>
      </c>
      <c r="O46" s="18" t="n">
        <v>575391.4300000001</v>
      </c>
      <c r="P46" s="37" t="n">
        <v>575391.4300000001</v>
      </c>
      <c r="Q46" s="18" t="n">
        <v>586899.6</v>
      </c>
      <c r="R46" s="18" t="n">
        <v>592932.36</v>
      </c>
      <c r="S46" s="18" t="n">
        <v>599897.13</v>
      </c>
      <c r="T46" s="18" t="n">
        <v>609487.37</v>
      </c>
      <c r="U46" s="37" t="n">
        <v>609487.37</v>
      </c>
      <c r="V46" s="18" t="n">
        <v>613469</v>
      </c>
      <c r="W46" s="18" t="n">
        <v>626834.36</v>
      </c>
      <c r="X46" s="18" t="n">
        <v>656521.15</v>
      </c>
      <c r="Y46" s="18" t="n">
        <v>669616.73</v>
      </c>
      <c r="Z46" s="37" t="n">
        <v>669616.73</v>
      </c>
      <c r="AA46" s="18" t="n">
        <v>693520.25</v>
      </c>
      <c r="AB46" s="19" t="n">
        <v>761748.64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부채와자본총계</t>
        </is>
      </c>
      <c r="E47" s="18" t="n">
        <v>505186.45</v>
      </c>
      <c r="F47" s="37" t="n">
        <v>505186.45</v>
      </c>
      <c r="G47" s="18" t="n">
        <v>510871.01</v>
      </c>
      <c r="H47" s="18" t="n">
        <v>526269.36</v>
      </c>
      <c r="I47" s="18" t="n">
        <v>581333.54</v>
      </c>
      <c r="J47" s="18" t="n">
        <v>593995.15</v>
      </c>
      <c r="K47" s="37" t="n">
        <v>593995.15</v>
      </c>
      <c r="L47" s="18" t="n">
        <v>604180.5699999999</v>
      </c>
      <c r="M47" s="18" t="n">
        <v>620162.54</v>
      </c>
      <c r="N47" s="18" t="n">
        <v>626263</v>
      </c>
      <c r="O47" s="18" t="n">
        <v>626295.25</v>
      </c>
      <c r="P47" s="37" t="n">
        <v>626295.25</v>
      </c>
      <c r="Q47" s="18" t="n">
        <v>645187.97</v>
      </c>
      <c r="R47" s="18" t="n">
        <v>644745.3100000001</v>
      </c>
      <c r="S47" s="18" t="n">
        <v>652441.28</v>
      </c>
      <c r="T47" s="18" t="n">
        <v>660339.01</v>
      </c>
      <c r="U47" s="37" t="n">
        <v>660339.01</v>
      </c>
      <c r="V47" s="18" t="n">
        <v>674702.39</v>
      </c>
      <c r="W47" s="18" t="n">
        <v>683665.1800000001</v>
      </c>
      <c r="X47" s="18" t="n">
        <v>724745.95</v>
      </c>
      <c r="Y47" s="18" t="n">
        <v>740815.62</v>
      </c>
      <c r="Z47" s="37" t="n">
        <v>740815.62</v>
      </c>
      <c r="AA47" s="18" t="n">
        <v>773557.05</v>
      </c>
      <c r="AB47" s="19" t="n">
        <v>850747.88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83844.95</v>
      </c>
      <c r="F48" s="37" t="n">
        <v>83844.95</v>
      </c>
      <c r="G48" s="18" t="n">
        <v>79747.31</v>
      </c>
      <c r="H48" s="18" t="n">
        <v>78391.92999999999</v>
      </c>
      <c r="I48" s="18" t="n">
        <v>118669.74</v>
      </c>
      <c r="J48" s="18" t="n">
        <v>115415.03</v>
      </c>
      <c r="K48" s="37" t="n">
        <v>115415.03</v>
      </c>
      <c r="L48" s="18" t="n">
        <v>117021.66</v>
      </c>
      <c r="M48" s="18" t="n">
        <v>137360.48</v>
      </c>
      <c r="N48" s="18" t="n">
        <v>112642.49</v>
      </c>
      <c r="O48" s="18" t="n">
        <v>127996.52</v>
      </c>
      <c r="P48" s="37" t="n">
        <v>127996.52</v>
      </c>
      <c r="Q48" s="18" t="n">
        <v>154327.57</v>
      </c>
      <c r="R48" s="18" t="n">
        <v>135389.44</v>
      </c>
      <c r="S48" s="18" t="n">
        <v>156522.19</v>
      </c>
      <c r="T48" s="18" t="n">
        <v>117204.9</v>
      </c>
      <c r="U48" s="37" t="n">
        <v>117204.9</v>
      </c>
      <c r="V48" s="18" t="n">
        <v>125189.4</v>
      </c>
      <c r="W48" s="18" t="n">
        <v>117443.18</v>
      </c>
      <c r="X48" s="18" t="n">
        <v>101403.82</v>
      </c>
      <c r="Y48" s="18" t="n">
        <v>96975.94</v>
      </c>
      <c r="Z48" s="37" t="n">
        <v>96975.94</v>
      </c>
      <c r="AA48" s="18" t="n">
        <v>105401.94</v>
      </c>
      <c r="AB48" s="19" t="n">
        <v>115562.67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장기차입금</t>
        </is>
      </c>
      <c r="E49" s="18" t="n">
        <v>4000</v>
      </c>
      <c r="F49" s="37" t="n">
        <v>4000</v>
      </c>
      <c r="G49" s="18" t="n">
        <v>3750</v>
      </c>
      <c r="H49" s="18" t="n">
        <v>3500</v>
      </c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총차입금</t>
        </is>
      </c>
      <c r="E50" s="18" t="n">
        <v>4000</v>
      </c>
      <c r="F50" s="37" t="n">
        <v>4000</v>
      </c>
      <c r="G50" s="18" t="n">
        <v>3750</v>
      </c>
      <c r="H50" s="18" t="n">
        <v>3500</v>
      </c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순차입금</t>
        </is>
      </c>
      <c r="E51" s="18" t="n">
        <v>-44876.08</v>
      </c>
      <c r="F51" s="37" t="n">
        <v>-44876.08</v>
      </c>
      <c r="G51" s="18" t="n">
        <v>-37244.22</v>
      </c>
      <c r="H51" s="18" t="n">
        <v>-36174.31</v>
      </c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단기투자자산(공정가치)</t>
        </is>
      </c>
      <c r="F52" s="9" t="n"/>
      <c r="K52" s="9" t="n"/>
      <c r="P52" s="9" t="n"/>
      <c r="T52" s="18" t="n">
        <v>53613.58</v>
      </c>
      <c r="U52" s="37" t="n">
        <v>53613.58</v>
      </c>
      <c r="V52" s="18" t="n">
        <v>54498.12</v>
      </c>
      <c r="W52" s="18" t="n">
        <v>59044.85</v>
      </c>
      <c r="X52" s="18" t="n">
        <v>109623.91</v>
      </c>
      <c r="Y52" s="18" t="n">
        <v>130373.46</v>
      </c>
      <c r="Z52" s="37" t="n">
        <v>130373.46</v>
      </c>
      <c r="AA52" s="18" t="n">
        <v>158873.61</v>
      </c>
      <c r="AB52" s="19" t="n">
        <v>217568.54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사용권자산</t>
        </is>
      </c>
      <c r="F53" s="9" t="n"/>
      <c r="K53" s="9" t="n"/>
      <c r="P53" s="9" t="n"/>
      <c r="T53" s="18" t="n">
        <v>2638.79</v>
      </c>
      <c r="U53" s="37" t="n">
        <v>2638.79</v>
      </c>
      <c r="V53" s="18" t="n">
        <v>3439.48</v>
      </c>
      <c r="W53" s="18" t="n">
        <v>3126.72</v>
      </c>
      <c r="X53" s="18" t="n">
        <v>3252.51</v>
      </c>
      <c r="Y53" s="18" t="n">
        <v>3090.54</v>
      </c>
      <c r="Z53" s="37" t="n">
        <v>3090.54</v>
      </c>
      <c r="AA53" s="18" t="n">
        <v>4604.31</v>
      </c>
      <c r="AB53" s="19" t="n">
        <v>4734.63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유동리스부채</t>
        </is>
      </c>
      <c r="F54" s="9" t="n"/>
      <c r="K54" s="9" t="n"/>
      <c r="P54" s="9" t="n"/>
      <c r="T54" s="18" t="n">
        <v>1151.44</v>
      </c>
      <c r="U54" s="37" t="n">
        <v>1151.44</v>
      </c>
      <c r="V54" s="18" t="n">
        <v>1414.29</v>
      </c>
      <c r="W54" s="18" t="n">
        <v>1327.45</v>
      </c>
      <c r="X54" s="18" t="n">
        <v>1360.65</v>
      </c>
      <c r="Y54" s="18" t="n">
        <v>1352.7</v>
      </c>
      <c r="Z54" s="37" t="n">
        <v>1352.7</v>
      </c>
      <c r="AA54" s="18" t="n">
        <v>1644.11</v>
      </c>
      <c r="AB54" s="19" t="n">
        <v>1705.66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리스부채</t>
        </is>
      </c>
      <c r="F55" s="9" t="n"/>
      <c r="K55" s="9" t="n"/>
      <c r="P55" s="9" t="n"/>
      <c r="T55" s="18" t="n">
        <v>2766.45</v>
      </c>
      <c r="U55" s="37" t="n">
        <v>2766.45</v>
      </c>
      <c r="V55" s="18" t="n">
        <v>3584.34</v>
      </c>
      <c r="W55" s="18" t="n">
        <v>3283.38</v>
      </c>
      <c r="X55" s="18" t="n">
        <v>3417.65</v>
      </c>
      <c r="Y55" s="18" t="n">
        <v>3256.39</v>
      </c>
      <c r="Z55" s="37" t="n">
        <v>3256.39</v>
      </c>
      <c r="AA55" s="18" t="n">
        <v>4805.1</v>
      </c>
      <c r="AB55" s="19" t="n">
        <v>4914.5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비유동리스부채</t>
        </is>
      </c>
      <c r="F56" s="9" t="n"/>
      <c r="K56" s="9" t="n"/>
      <c r="P56" s="9" t="n"/>
      <c r="T56" s="18" t="n">
        <v>1615.01</v>
      </c>
      <c r="U56" s="37" t="n">
        <v>1615.01</v>
      </c>
      <c r="V56" s="18" t="n">
        <v>2170.05</v>
      </c>
      <c r="W56" s="18" t="n">
        <v>1955.93</v>
      </c>
      <c r="X56" s="18" t="n">
        <v>2057</v>
      </c>
      <c r="Y56" s="18" t="n">
        <v>1903.69</v>
      </c>
      <c r="Z56" s="37" t="n">
        <v>1903.69</v>
      </c>
      <c r="AA56" s="18" t="n">
        <v>3160.99</v>
      </c>
      <c r="AB56" s="19" t="n">
        <v>3208.84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계약부채</t>
        </is>
      </c>
      <c r="F57" s="9" t="n"/>
      <c r="K57" s="9" t="n"/>
      <c r="P57" s="9" t="n"/>
      <c r="U57" s="9" t="n"/>
      <c r="X57" s="18" t="n">
        <v>1320.13</v>
      </c>
      <c r="Y57" s="18" t="n">
        <v>801.74</v>
      </c>
      <c r="Z57" s="37" t="n">
        <v>801.74</v>
      </c>
      <c r="AA57" s="18" t="n">
        <v>1895.62</v>
      </c>
      <c r="AB57" s="19" t="n">
        <v>1504.19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45882.65</v>
      </c>
      <c r="F58" s="9" t="n"/>
      <c r="G58" s="18" t="n">
        <v>49064.7</v>
      </c>
      <c r="H58" s="18" t="n">
        <v>56489.03</v>
      </c>
      <c r="I58" s="18" t="n">
        <v>67935.28999999999</v>
      </c>
      <c r="J58" s="18" t="n">
        <v>76253.64</v>
      </c>
      <c r="K58" s="37" t="n">
        <v>249742.66</v>
      </c>
      <c r="L58" s="18" t="n">
        <v>83913.27</v>
      </c>
      <c r="M58" s="18" t="n">
        <v>82223.61</v>
      </c>
      <c r="N58" s="18" t="n">
        <v>74590.25999999999</v>
      </c>
      <c r="O58" s="18" t="n">
        <v>71340.33</v>
      </c>
      <c r="P58" s="37" t="n">
        <v>312067.47</v>
      </c>
      <c r="Q58" s="18" t="n">
        <v>73365.32000000001</v>
      </c>
      <c r="R58" s="18" t="n">
        <v>65538.32000000001</v>
      </c>
      <c r="S58" s="18" t="n">
        <v>61753.24</v>
      </c>
      <c r="T58" s="18" t="n">
        <v>66153.12</v>
      </c>
      <c r="U58" s="37" t="n">
        <v>266810</v>
      </c>
      <c r="V58" s="18" t="n">
        <v>62634.58</v>
      </c>
      <c r="W58" s="18" t="n">
        <v>72315.64999999999</v>
      </c>
      <c r="X58" s="18" t="n">
        <v>81415.38</v>
      </c>
      <c r="Y58" s="18" t="n">
        <v>80600.08</v>
      </c>
      <c r="Z58" s="37" t="n">
        <v>296965.69</v>
      </c>
      <c r="AA58" s="18" t="n">
        <v>82275.27</v>
      </c>
      <c r="AB58" s="19" t="n">
        <v>83745.57000000001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37012.44</v>
      </c>
      <c r="F59" s="9" t="n"/>
      <c r="G59" s="18" t="n">
        <v>36564.72</v>
      </c>
      <c r="H59" s="18" t="n">
        <v>38230.42</v>
      </c>
      <c r="I59" s="18" t="n">
        <v>47429.38</v>
      </c>
      <c r="J59" s="18" t="n">
        <v>53222.48</v>
      </c>
      <c r="K59" s="37" t="n">
        <v>175447</v>
      </c>
      <c r="L59" s="18" t="n">
        <v>56254.84</v>
      </c>
      <c r="M59" s="18" t="n">
        <v>56080.44</v>
      </c>
      <c r="N59" s="18" t="n">
        <v>54689.85</v>
      </c>
      <c r="O59" s="18" t="n">
        <v>55531.31</v>
      </c>
      <c r="P59" s="37" t="n">
        <v>222556.44</v>
      </c>
      <c r="Q59" s="18" t="n">
        <v>53405.49</v>
      </c>
      <c r="R59" s="18" t="n">
        <v>46487.78</v>
      </c>
      <c r="S59" s="18" t="n">
        <v>46526.64</v>
      </c>
      <c r="T59" s="18" t="n">
        <v>48189.7</v>
      </c>
      <c r="U59" s="37" t="n">
        <v>194609.61</v>
      </c>
      <c r="V59" s="18" t="n">
        <v>47288.56</v>
      </c>
      <c r="W59" s="18" t="n">
        <v>54547.78</v>
      </c>
      <c r="X59" s="18" t="n">
        <v>56421</v>
      </c>
      <c r="Y59" s="18" t="n">
        <v>52772.88</v>
      </c>
      <c r="Z59" s="37" t="n">
        <v>211030.22</v>
      </c>
      <c r="AA59" s="18" t="n">
        <v>58641.44</v>
      </c>
      <c r="AB59" s="19" t="n">
        <v>59864.13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8870.209999999999</v>
      </c>
      <c r="F60" s="9" t="n"/>
      <c r="G60" s="18" t="n">
        <v>12499.98</v>
      </c>
      <c r="H60" s="18" t="n">
        <v>18258.61</v>
      </c>
      <c r="I60" s="18" t="n">
        <v>20505.91</v>
      </c>
      <c r="J60" s="18" t="n">
        <v>23031.17</v>
      </c>
      <c r="K60" s="37" t="n">
        <v>74295.67</v>
      </c>
      <c r="L60" s="18" t="n">
        <v>27658.43</v>
      </c>
      <c r="M60" s="18" t="n">
        <v>26143.17</v>
      </c>
      <c r="N60" s="18" t="n">
        <v>19900.41</v>
      </c>
      <c r="O60" s="18" t="n">
        <v>15809.02</v>
      </c>
      <c r="P60" s="37" t="n">
        <v>89511.03</v>
      </c>
      <c r="Q60" s="18" t="n">
        <v>19959.83</v>
      </c>
      <c r="R60" s="18" t="n">
        <v>19050.54</v>
      </c>
      <c r="S60" s="18" t="n">
        <v>15226.6</v>
      </c>
      <c r="T60" s="18" t="n">
        <v>17963.42</v>
      </c>
      <c r="U60" s="37" t="n">
        <v>72200.39</v>
      </c>
      <c r="V60" s="18" t="n">
        <v>15346.02</v>
      </c>
      <c r="W60" s="18" t="n">
        <v>17767.87</v>
      </c>
      <c r="X60" s="18" t="n">
        <v>24994.38</v>
      </c>
      <c r="Y60" s="18" t="n">
        <v>27827.21</v>
      </c>
      <c r="Z60" s="37" t="n">
        <v>85935.48</v>
      </c>
      <c r="AA60" s="18" t="n">
        <v>23633.82</v>
      </c>
      <c r="AB60" s="19" t="n">
        <v>23881.45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5948.72</v>
      </c>
      <c r="F61" s="9" t="n"/>
      <c r="G61" s="18" t="n">
        <v>5931.15</v>
      </c>
      <c r="H61" s="18" t="n">
        <v>6353.48</v>
      </c>
      <c r="I61" s="18" t="n">
        <v>10123.24</v>
      </c>
      <c r="J61" s="18" t="n">
        <v>6537.75</v>
      </c>
      <c r="K61" s="37" t="n">
        <v>28945.62</v>
      </c>
      <c r="L61" s="18" t="n">
        <v>7733.11</v>
      </c>
      <c r="M61" s="18" t="n">
        <v>8076.09</v>
      </c>
      <c r="N61" s="18" t="n">
        <v>7662.17</v>
      </c>
      <c r="O61" s="18" t="n">
        <v>8315.57</v>
      </c>
      <c r="P61" s="37" t="n">
        <v>31786.94</v>
      </c>
      <c r="Q61" s="18" t="n">
        <v>7106.06</v>
      </c>
      <c r="R61" s="18" t="n">
        <v>9233.620000000001</v>
      </c>
      <c r="S61" s="18" t="n">
        <v>7648.5</v>
      </c>
      <c r="T61" s="18" t="n">
        <v>8339.25</v>
      </c>
      <c r="U61" s="37" t="n">
        <v>32327.43</v>
      </c>
      <c r="V61" s="18" t="n">
        <v>7942.22</v>
      </c>
      <c r="W61" s="18" t="n">
        <v>10111.09</v>
      </c>
      <c r="X61" s="18" t="n">
        <v>13425.57</v>
      </c>
      <c r="Y61" s="18" t="n">
        <v>15721.75</v>
      </c>
      <c r="Z61" s="37" t="n">
        <v>47200.63</v>
      </c>
      <c r="AA61" s="18" t="n">
        <v>14284.12</v>
      </c>
      <c r="AB61" s="19" t="n">
        <v>16669.62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2921.49</v>
      </c>
      <c r="F62" s="9" t="n"/>
      <c r="G62" s="18" t="n">
        <v>6568.84</v>
      </c>
      <c r="H62" s="18" t="n">
        <v>11905.14</v>
      </c>
      <c r="I62" s="18" t="n">
        <v>10382.66</v>
      </c>
      <c r="J62" s="18" t="n">
        <v>16493.41</v>
      </c>
      <c r="K62" s="37" t="n">
        <v>45350.05</v>
      </c>
      <c r="L62" s="18" t="n">
        <v>19925.32</v>
      </c>
      <c r="M62" s="18" t="n">
        <v>18067.08</v>
      </c>
      <c r="N62" s="18" t="n">
        <v>12238.24</v>
      </c>
      <c r="O62" s="18" t="n">
        <v>7493.46</v>
      </c>
      <c r="P62" s="37" t="n">
        <v>57724.1</v>
      </c>
      <c r="Q62" s="18" t="n">
        <v>12853.77</v>
      </c>
      <c r="R62" s="18" t="n">
        <v>9816.92</v>
      </c>
      <c r="S62" s="18" t="n">
        <v>7578.1</v>
      </c>
      <c r="T62" s="18" t="n">
        <v>9624.16</v>
      </c>
      <c r="U62" s="37" t="n">
        <v>39872.95</v>
      </c>
      <c r="V62" s="18" t="n">
        <v>7403.81</v>
      </c>
      <c r="W62" s="18" t="n">
        <v>7656.78</v>
      </c>
      <c r="X62" s="18" t="n">
        <v>11568.8</v>
      </c>
      <c r="Y62" s="18" t="n">
        <v>12105.46</v>
      </c>
      <c r="Z62" s="37" t="n">
        <v>38734.85</v>
      </c>
      <c r="AA62" s="18" t="n">
        <v>9349.700000000001</v>
      </c>
      <c r="AB62" s="19" t="n">
        <v>7211.82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기타영업외수익</t>
        </is>
      </c>
      <c r="E63" s="18" t="n">
        <v>478.77</v>
      </c>
      <c r="F63" s="9" t="n"/>
      <c r="G63" s="18" t="n">
        <v>482.47</v>
      </c>
      <c r="H63" s="18" t="n">
        <v>1305.08</v>
      </c>
      <c r="I63" s="18" t="n">
        <v>339.84</v>
      </c>
      <c r="J63" s="18" t="n">
        <v>259.28</v>
      </c>
      <c r="K63" s="37" t="n">
        <v>2386.67</v>
      </c>
      <c r="L63" s="18" t="n">
        <v>335.84</v>
      </c>
      <c r="M63" s="18" t="n">
        <v>460.18</v>
      </c>
      <c r="N63" s="18" t="n">
        <v>968.0599999999999</v>
      </c>
      <c r="O63" s="18" t="n">
        <v>-152.64</v>
      </c>
      <c r="P63" s="37" t="n">
        <v>1611.44</v>
      </c>
      <c r="Q63" s="18" t="n">
        <v>112.72</v>
      </c>
      <c r="R63" s="18" t="n">
        <v>178.67</v>
      </c>
      <c r="S63" s="18" t="n">
        <v>179.06</v>
      </c>
      <c r="T63" s="18" t="n">
        <v>240.15</v>
      </c>
      <c r="U63" s="37" t="n">
        <v>710.6</v>
      </c>
      <c r="V63" s="18" t="n">
        <v>566.63</v>
      </c>
      <c r="W63" s="18" t="n">
        <v>558.59</v>
      </c>
      <c r="X63" s="18" t="n">
        <v>928</v>
      </c>
      <c r="Y63" s="18" t="n">
        <v>666.39</v>
      </c>
      <c r="Z63" s="37" t="n">
        <v>2719.61</v>
      </c>
      <c r="AA63" s="18" t="n">
        <v>1066.97</v>
      </c>
      <c r="AB63" s="19" t="n">
        <v>641.84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기타영업외비용</t>
        </is>
      </c>
      <c r="E64" s="18" t="n">
        <v>25.43</v>
      </c>
      <c r="F64" s="9" t="n"/>
      <c r="G64" s="18" t="n">
        <v>244.51</v>
      </c>
      <c r="H64" s="18" t="n">
        <v>-106.32</v>
      </c>
      <c r="I64" s="18" t="n">
        <v>88.86</v>
      </c>
      <c r="J64" s="18" t="n">
        <v>1889.29</v>
      </c>
      <c r="K64" s="37" t="n">
        <v>2116.34</v>
      </c>
      <c r="L64" s="18" t="n">
        <v>171.77</v>
      </c>
      <c r="M64" s="18" t="n">
        <v>537.6799999999999</v>
      </c>
      <c r="N64" s="18" t="n">
        <v>195.44</v>
      </c>
      <c r="O64" s="18" t="n">
        <v>4.59</v>
      </c>
      <c r="P64" s="37" t="n">
        <v>909.48</v>
      </c>
      <c r="Q64" s="18" t="n">
        <v>410.44</v>
      </c>
      <c r="R64" s="18" t="n">
        <v>-47.08</v>
      </c>
      <c r="S64" s="18" t="n">
        <v>81.19</v>
      </c>
      <c r="T64" s="18" t="n">
        <v>147.42</v>
      </c>
      <c r="U64" s="37" t="n">
        <v>591.97</v>
      </c>
      <c r="V64" s="18" t="n">
        <v>116.74</v>
      </c>
      <c r="W64" s="18" t="n">
        <v>184.95</v>
      </c>
      <c r="X64" s="18" t="n">
        <v>677.87</v>
      </c>
      <c r="Y64" s="18" t="n">
        <v>10322.95</v>
      </c>
      <c r="Z64" s="37" t="n">
        <v>11302.51</v>
      </c>
      <c r="AA64" s="18" t="n">
        <v>960.45</v>
      </c>
      <c r="AB64" s="19" t="n">
        <v>282.84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금융수익</t>
        </is>
      </c>
      <c r="E65" s="18" t="n">
        <v>770.33</v>
      </c>
      <c r="F65" s="9" t="n"/>
      <c r="G65" s="18" t="n">
        <v>3512.23</v>
      </c>
      <c r="H65" s="18" t="n">
        <v>4195.95</v>
      </c>
      <c r="I65" s="18" t="n">
        <v>10259.75</v>
      </c>
      <c r="J65" s="18" t="n">
        <v>-4003.6</v>
      </c>
      <c r="K65" s="37" t="n">
        <v>13964.33</v>
      </c>
      <c r="L65" s="18" t="n">
        <v>7817.51</v>
      </c>
      <c r="M65" s="18" t="n">
        <v>4464.17</v>
      </c>
      <c r="N65" s="18" t="n">
        <v>2517.25</v>
      </c>
      <c r="O65" s="18" t="n">
        <v>2899.46</v>
      </c>
      <c r="P65" s="37" t="n">
        <v>17698.39</v>
      </c>
      <c r="Q65" s="18" t="n">
        <v>10812</v>
      </c>
      <c r="R65" s="18" t="n">
        <v>4485.77</v>
      </c>
      <c r="S65" s="18" t="n">
        <v>2333.37</v>
      </c>
      <c r="T65" s="18" t="n">
        <v>7696.02</v>
      </c>
      <c r="U65" s="37" t="n">
        <v>25327.16</v>
      </c>
      <c r="V65" s="18" t="n">
        <v>7084.71</v>
      </c>
      <c r="W65" s="18" t="n">
        <v>13490.28</v>
      </c>
      <c r="X65" s="18" t="n">
        <v>26858.27</v>
      </c>
      <c r="Y65" s="18" t="n">
        <v>15673.01</v>
      </c>
      <c r="Z65" s="37" t="n">
        <v>63106.27</v>
      </c>
      <c r="AA65" s="18" t="n">
        <v>35321.92</v>
      </c>
      <c r="AB65" s="19" t="n">
        <v>82809.39999999999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금융비용</t>
        </is>
      </c>
      <c r="E66" s="18" t="n">
        <v>538.9</v>
      </c>
      <c r="F66" s="9" t="n"/>
      <c r="G66" s="18" t="n">
        <v>636.5700000000001</v>
      </c>
      <c r="H66" s="18" t="n">
        <v>1591.73</v>
      </c>
      <c r="I66" s="18" t="n">
        <v>2561.97</v>
      </c>
      <c r="J66" s="18" t="n">
        <v>8006.81</v>
      </c>
      <c r="K66" s="37" t="n">
        <v>12797.08</v>
      </c>
      <c r="L66" s="18" t="n">
        <v>1731.28</v>
      </c>
      <c r="M66" s="18" t="n">
        <v>746.6</v>
      </c>
      <c r="N66" s="18" t="n">
        <v>558.53</v>
      </c>
      <c r="O66" s="18" t="n">
        <v>2442.93</v>
      </c>
      <c r="P66" s="37" t="n">
        <v>5479.34</v>
      </c>
      <c r="Q66" s="18" t="n">
        <v>2306.16</v>
      </c>
      <c r="R66" s="18" t="n">
        <v>1397.9</v>
      </c>
      <c r="S66" s="18" t="n">
        <v>1522.56</v>
      </c>
      <c r="T66" s="18" t="n">
        <v>2261.07</v>
      </c>
      <c r="U66" s="37" t="n">
        <v>7487.69</v>
      </c>
      <c r="V66" s="18" t="n">
        <v>2061.08</v>
      </c>
      <c r="W66" s="18" t="n">
        <v>4368.27</v>
      </c>
      <c r="X66" s="18" t="n">
        <v>-983.17</v>
      </c>
      <c r="Y66" s="18" t="n">
        <v>1619.17</v>
      </c>
      <c r="Z66" s="37" t="n">
        <v>7065.35</v>
      </c>
      <c r="AA66" s="18" t="n">
        <v>7309.55</v>
      </c>
      <c r="AB66" s="19" t="n">
        <v>3747.48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법인세비용차감전계속사업이익</t>
        </is>
      </c>
      <c r="E67" s="18" t="n">
        <v>3606.26</v>
      </c>
      <c r="F67" s="9" t="n"/>
      <c r="G67" s="18" t="n">
        <v>9682.459999999999</v>
      </c>
      <c r="H67" s="18" t="n">
        <v>15920.75</v>
      </c>
      <c r="I67" s="18" t="n">
        <v>18331.43</v>
      </c>
      <c r="J67" s="18" t="n">
        <v>2852.99</v>
      </c>
      <c r="K67" s="37" t="n">
        <v>46787.63</v>
      </c>
      <c r="L67" s="18" t="n">
        <v>26175.63</v>
      </c>
      <c r="M67" s="18" t="n">
        <v>21707.16</v>
      </c>
      <c r="N67" s="18" t="n">
        <v>14969.58</v>
      </c>
      <c r="O67" s="18" t="n">
        <v>7792.76</v>
      </c>
      <c r="P67" s="37" t="n">
        <v>70645.13</v>
      </c>
      <c r="Q67" s="18" t="n">
        <v>21061.89</v>
      </c>
      <c r="R67" s="18" t="n">
        <v>13130.54</v>
      </c>
      <c r="S67" s="18" t="n">
        <v>8486.780000000001</v>
      </c>
      <c r="T67" s="18" t="n">
        <v>15151.85</v>
      </c>
      <c r="U67" s="37" t="n">
        <v>57831.06</v>
      </c>
      <c r="V67" s="18" t="n">
        <v>12877.33</v>
      </c>
      <c r="W67" s="18" t="n">
        <v>17152.43</v>
      </c>
      <c r="X67" s="18" t="n">
        <v>39660.37</v>
      </c>
      <c r="Y67" s="18" t="n">
        <v>16502.73</v>
      </c>
      <c r="Z67" s="37" t="n">
        <v>86192.86</v>
      </c>
      <c r="AA67" s="18" t="n">
        <v>37468.59</v>
      </c>
      <c r="AB67" s="19" t="n">
        <v>86632.74000000001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법인세비용</t>
        </is>
      </c>
      <c r="E68" s="18" t="n">
        <v>1125.74</v>
      </c>
      <c r="F68" s="9" t="n"/>
      <c r="G68" s="18" t="n">
        <v>1146.91</v>
      </c>
      <c r="H68" s="18" t="n">
        <v>3506.48</v>
      </c>
      <c r="I68" s="18" t="n">
        <v>9648.940000000001</v>
      </c>
      <c r="J68" s="18" t="n">
        <v>-4298.14</v>
      </c>
      <c r="K68" s="37" t="n">
        <v>10004.19</v>
      </c>
      <c r="L68" s="18" t="n">
        <v>5311.76</v>
      </c>
      <c r="M68" s="18" t="n">
        <v>4111.79</v>
      </c>
      <c r="N68" s="18" t="n">
        <v>3360.53</v>
      </c>
      <c r="O68" s="18" t="n">
        <v>-267.39</v>
      </c>
      <c r="P68" s="37" t="n">
        <v>12516.69</v>
      </c>
      <c r="Q68" s="18" t="n">
        <v>4395.65</v>
      </c>
      <c r="R68" s="18" t="n">
        <v>2682.23</v>
      </c>
      <c r="S68" s="18" t="n">
        <v>1605.3</v>
      </c>
      <c r="T68" s="18" t="n">
        <v>3026.99</v>
      </c>
      <c r="U68" s="37" t="n">
        <v>11710.17</v>
      </c>
      <c r="V68" s="18" t="n">
        <v>2639.24</v>
      </c>
      <c r="W68" s="18" t="n">
        <v>3769.95</v>
      </c>
      <c r="X68" s="18" t="n">
        <v>9931.77</v>
      </c>
      <c r="Y68" s="18" t="n">
        <v>4337.47</v>
      </c>
      <c r="Z68" s="37" t="n">
        <v>20678.43</v>
      </c>
      <c r="AA68" s="18" t="n">
        <v>8649.040000000001</v>
      </c>
      <c r="AB68" s="19" t="n">
        <v>17687.2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당기순이익</t>
        </is>
      </c>
      <c r="E69" s="18" t="n">
        <v>2480.52</v>
      </c>
      <c r="F69" s="9" t="n"/>
      <c r="G69" s="18" t="n">
        <v>8535.549999999999</v>
      </c>
      <c r="H69" s="18" t="n">
        <v>12414.27</v>
      </c>
      <c r="I69" s="18" t="n">
        <v>8682.49</v>
      </c>
      <c r="J69" s="18" t="n">
        <v>7151.13</v>
      </c>
      <c r="K69" s="37" t="n">
        <v>36783.44</v>
      </c>
      <c r="L69" s="18" t="n">
        <v>20863.87</v>
      </c>
      <c r="M69" s="18" t="n">
        <v>17595.37</v>
      </c>
      <c r="N69" s="18" t="n">
        <v>11609.05</v>
      </c>
      <c r="O69" s="18" t="n">
        <v>8060.14</v>
      </c>
      <c r="P69" s="37" t="n">
        <v>58128.43</v>
      </c>
      <c r="Q69" s="18" t="n">
        <v>16666.25</v>
      </c>
      <c r="R69" s="18" t="n">
        <v>10448.31</v>
      </c>
      <c r="S69" s="18" t="n">
        <v>6881.48</v>
      </c>
      <c r="T69" s="18" t="n">
        <v>12124.87</v>
      </c>
      <c r="U69" s="37" t="n">
        <v>46120.91</v>
      </c>
      <c r="V69" s="18" t="n">
        <v>10238.09</v>
      </c>
      <c r="W69" s="18" t="n">
        <v>13382.48</v>
      </c>
      <c r="X69" s="18" t="n">
        <v>29728.6</v>
      </c>
      <c r="Y69" s="18" t="n">
        <v>12165.26</v>
      </c>
      <c r="Z69" s="37" t="n">
        <v>65514.43</v>
      </c>
      <c r="AA69" s="18" t="n">
        <v>28819.55</v>
      </c>
      <c r="AB69" s="19" t="n">
        <v>68945.53999999999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(지배주주지분)당기순이익</t>
        </is>
      </c>
      <c r="E70" s="18" t="n">
        <v>2916.2</v>
      </c>
      <c r="F70" s="9" t="n"/>
      <c r="G70" s="18" t="n">
        <v>7686.48</v>
      </c>
      <c r="H70" s="18" t="n">
        <v>12085.03</v>
      </c>
      <c r="I70" s="18" t="n">
        <v>8694.860000000001</v>
      </c>
      <c r="J70" s="18" t="n">
        <v>7304.46</v>
      </c>
      <c r="K70" s="37" t="n">
        <v>35770.83</v>
      </c>
      <c r="L70" s="18" t="n">
        <v>19387.48</v>
      </c>
      <c r="M70" s="18" t="n">
        <v>17036.94</v>
      </c>
      <c r="N70" s="18" t="n">
        <v>11490.11</v>
      </c>
      <c r="O70" s="18" t="n">
        <v>7161.49</v>
      </c>
      <c r="P70" s="37" t="n">
        <v>55076.02</v>
      </c>
      <c r="Q70" s="18" t="n">
        <v>16191.87</v>
      </c>
      <c r="R70" s="18" t="n">
        <v>10064.02</v>
      </c>
      <c r="S70" s="18" t="n">
        <v>6939.94</v>
      </c>
      <c r="T70" s="18" t="n">
        <v>11715.77</v>
      </c>
      <c r="U70" s="37" t="n">
        <v>44911.6</v>
      </c>
      <c r="V70" s="18" t="n">
        <v>10213.76</v>
      </c>
      <c r="W70" s="18" t="n">
        <v>14678.05</v>
      </c>
      <c r="X70" s="18" t="n">
        <v>28964.57</v>
      </c>
      <c r="Y70" s="18" t="n">
        <v>10016.8</v>
      </c>
      <c r="Z70" s="37" t="n">
        <v>63873.18</v>
      </c>
      <c r="AA70" s="18" t="n">
        <v>26989.72</v>
      </c>
      <c r="AB70" s="19" t="n">
        <v>58909.58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(비지배주주지분)당기순이익</t>
        </is>
      </c>
      <c r="E71" s="18" t="n">
        <v>-435.68</v>
      </c>
      <c r="F71" s="9" t="n"/>
      <c r="G71" s="18" t="n">
        <v>849.0700000000001</v>
      </c>
      <c r="H71" s="18" t="n">
        <v>329.24</v>
      </c>
      <c r="I71" s="18" t="n">
        <v>-12.37</v>
      </c>
      <c r="J71" s="18" t="n">
        <v>-153.33</v>
      </c>
      <c r="K71" s="37" t="n">
        <v>1012.61</v>
      </c>
      <c r="L71" s="18" t="n">
        <v>1476.39</v>
      </c>
      <c r="M71" s="18" t="n">
        <v>558.4299999999999</v>
      </c>
      <c r="N71" s="18" t="n">
        <v>118.94</v>
      </c>
      <c r="O71" s="18" t="n">
        <v>898.65</v>
      </c>
      <c r="P71" s="37" t="n">
        <v>3052.41</v>
      </c>
      <c r="Q71" s="18" t="n">
        <v>474.37</v>
      </c>
      <c r="R71" s="18" t="n">
        <v>384.29</v>
      </c>
      <c r="S71" s="18" t="n">
        <v>-58.45</v>
      </c>
      <c r="T71" s="18" t="n">
        <v>409.1</v>
      </c>
      <c r="U71" s="37" t="n">
        <v>1209.31</v>
      </c>
      <c r="V71" s="18" t="n">
        <v>24.33</v>
      </c>
      <c r="W71" s="18" t="n">
        <v>-1295.57</v>
      </c>
      <c r="X71" s="18" t="n">
        <v>764.03</v>
      </c>
      <c r="Y71" s="18" t="n">
        <v>2148.46</v>
      </c>
      <c r="Z71" s="37" t="n">
        <v>1641.25</v>
      </c>
      <c r="AA71" s="18" t="n">
        <v>1829.83</v>
      </c>
      <c r="AB71" s="19" t="n">
        <v>10035.95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3318.49</v>
      </c>
      <c r="F72" s="9" t="n"/>
      <c r="G72" s="18" t="n">
        <v>8351.93</v>
      </c>
      <c r="H72" s="18" t="n">
        <v>12228.43</v>
      </c>
      <c r="I72" s="18" t="n">
        <v>8703.23</v>
      </c>
      <c r="J72" s="18" t="n">
        <v>8351.950000000001</v>
      </c>
      <c r="K72" s="37" t="n">
        <v>37635.54</v>
      </c>
      <c r="L72" s="18" t="n">
        <v>21014.39</v>
      </c>
      <c r="M72" s="18" t="n">
        <v>17621.37</v>
      </c>
      <c r="N72" s="18" t="n">
        <v>11605.81</v>
      </c>
      <c r="O72" s="18" t="n">
        <v>5990.33</v>
      </c>
      <c r="P72" s="37" t="n">
        <v>56231.9</v>
      </c>
      <c r="Q72" s="18" t="n">
        <v>16907.47</v>
      </c>
      <c r="R72" s="18" t="n">
        <v>10505.12</v>
      </c>
      <c r="S72" s="18" t="n">
        <v>6964.77</v>
      </c>
      <c r="T72" s="18" t="n">
        <v>9590.24</v>
      </c>
      <c r="U72" s="37" t="n">
        <v>43967.6</v>
      </c>
      <c r="V72" s="18" t="n">
        <v>10448.45</v>
      </c>
      <c r="W72" s="18" t="n">
        <v>13365.36</v>
      </c>
      <c r="X72" s="18" t="n">
        <v>37058.96</v>
      </c>
      <c r="Y72" s="18" t="n">
        <v>13095.58</v>
      </c>
      <c r="Z72" s="37" t="n">
        <v>73968.35000000001</v>
      </c>
      <c r="AA72" s="18" t="n">
        <v>30458.83</v>
      </c>
      <c r="AB72" s="19" t="n">
        <v>74245.49000000001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금융손익</t>
        </is>
      </c>
      <c r="E73" s="18" t="n">
        <v>231.43</v>
      </c>
      <c r="F73" s="9" t="n"/>
      <c r="G73" s="18" t="n">
        <v>2875.66</v>
      </c>
      <c r="H73" s="18" t="n">
        <v>2604.22</v>
      </c>
      <c r="I73" s="18" t="n">
        <v>7697.78</v>
      </c>
      <c r="J73" s="18" t="n">
        <v>-12010.41</v>
      </c>
      <c r="K73" s="37" t="n">
        <v>1167.25</v>
      </c>
      <c r="L73" s="18" t="n">
        <v>6086.23</v>
      </c>
      <c r="M73" s="18" t="n">
        <v>3717.57</v>
      </c>
      <c r="N73" s="18" t="n">
        <v>1958.72</v>
      </c>
      <c r="O73" s="18" t="n">
        <v>456.53</v>
      </c>
      <c r="P73" s="37" t="n">
        <v>12219.05</v>
      </c>
      <c r="Q73" s="18" t="n">
        <v>8505.84</v>
      </c>
      <c r="R73" s="18" t="n">
        <v>3087.87</v>
      </c>
      <c r="S73" s="18" t="n">
        <v>810.8099999999999</v>
      </c>
      <c r="T73" s="18" t="n">
        <v>5434.95</v>
      </c>
      <c r="U73" s="37" t="n">
        <v>17839.47</v>
      </c>
      <c r="V73" s="18" t="n">
        <v>5023.63</v>
      </c>
      <c r="W73" s="18" t="n">
        <v>9122.01</v>
      </c>
      <c r="X73" s="18" t="n">
        <v>27841.44</v>
      </c>
      <c r="Y73" s="18" t="n">
        <v>14053.84</v>
      </c>
      <c r="Z73" s="37" t="n">
        <v>56040.92</v>
      </c>
      <c r="AA73" s="18" t="n">
        <v>28012.37</v>
      </c>
      <c r="AB73" s="19" t="n">
        <v>79061.92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기타영업외손익</t>
        </is>
      </c>
      <c r="E74" s="18" t="n">
        <v>453.34</v>
      </c>
      <c r="F74" s="9" t="n"/>
      <c r="G74" s="18" t="n">
        <v>237.96</v>
      </c>
      <c r="H74" s="18" t="n">
        <v>1411.4</v>
      </c>
      <c r="I74" s="18" t="n">
        <v>250.98</v>
      </c>
      <c r="J74" s="18" t="n">
        <v>-1630.01</v>
      </c>
      <c r="K74" s="37" t="n">
        <v>270.33</v>
      </c>
      <c r="L74" s="18" t="n">
        <v>164.07</v>
      </c>
      <c r="M74" s="18" t="n">
        <v>-77.5</v>
      </c>
      <c r="N74" s="18" t="n">
        <v>772.62</v>
      </c>
      <c r="O74" s="18" t="n">
        <v>-157.23</v>
      </c>
      <c r="P74" s="37" t="n">
        <v>701.96</v>
      </c>
      <c r="Q74" s="18" t="n">
        <v>-297.72</v>
      </c>
      <c r="R74" s="18" t="n">
        <v>225.75</v>
      </c>
      <c r="S74" s="18" t="n">
        <v>97.87</v>
      </c>
      <c r="T74" s="18" t="n">
        <v>92.73</v>
      </c>
      <c r="U74" s="37" t="n">
        <v>118.63</v>
      </c>
      <c r="V74" s="18" t="n">
        <v>449.89</v>
      </c>
      <c r="W74" s="18" t="n">
        <v>373.64</v>
      </c>
      <c r="X74" s="18" t="n">
        <v>250.13</v>
      </c>
      <c r="Y74" s="18" t="n">
        <v>-9656.559999999999</v>
      </c>
      <c r="Z74" s="37" t="n">
        <v>-8582.9</v>
      </c>
      <c r="AA74" s="18" t="n">
        <v>106.52</v>
      </c>
      <c r="AB74" s="19" t="n">
        <v>359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계속사업이익</t>
        </is>
      </c>
      <c r="E75" s="18" t="n">
        <v>2480.52</v>
      </c>
      <c r="F75" s="9" t="n"/>
      <c r="G75" s="18" t="n">
        <v>8535.549999999999</v>
      </c>
      <c r="H75" s="18" t="n">
        <v>12414.27</v>
      </c>
      <c r="I75" s="18" t="n">
        <v>8682.49</v>
      </c>
      <c r="J75" s="18" t="n">
        <v>7151.13</v>
      </c>
      <c r="K75" s="37" t="n">
        <v>36783.44</v>
      </c>
      <c r="L75" s="18" t="n">
        <v>20863.87</v>
      </c>
      <c r="M75" s="18" t="n">
        <v>17595.37</v>
      </c>
      <c r="N75" s="18" t="n">
        <v>11609.05</v>
      </c>
      <c r="O75" s="18" t="n">
        <v>8060.14</v>
      </c>
      <c r="P75" s="37" t="n">
        <v>58128.43</v>
      </c>
      <c r="Q75" s="18" t="n">
        <v>16666.25</v>
      </c>
      <c r="R75" s="18" t="n">
        <v>10448.31</v>
      </c>
      <c r="S75" s="18" t="n">
        <v>6881.48</v>
      </c>
      <c r="T75" s="18" t="n">
        <v>12124.87</v>
      </c>
      <c r="U75" s="37" t="n">
        <v>46120.91</v>
      </c>
      <c r="V75" s="18" t="n">
        <v>10238.09</v>
      </c>
      <c r="W75" s="18" t="n">
        <v>13382.48</v>
      </c>
      <c r="X75" s="18" t="n">
        <v>29728.6</v>
      </c>
      <c r="Y75" s="18" t="n">
        <v>12165.26</v>
      </c>
      <c r="Z75" s="37" t="n">
        <v>65514.43</v>
      </c>
      <c r="AA75" s="18" t="n">
        <v>28819.55</v>
      </c>
      <c r="AB75" s="19" t="n">
        <v>68945.53999999999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이자수익</t>
        </is>
      </c>
      <c r="F76" s="9" t="n"/>
      <c r="G76" s="18" t="n">
        <v>165.75</v>
      </c>
      <c r="H76" s="18" t="n">
        <v>25.55</v>
      </c>
      <c r="I76" s="18" t="n">
        <v>103.69</v>
      </c>
      <c r="J76" s="18" t="n">
        <v>904.0700000000001</v>
      </c>
      <c r="K76" s="37" t="n">
        <v>1199.06</v>
      </c>
      <c r="L76" s="18" t="n">
        <v>1282.93</v>
      </c>
      <c r="M76" s="18" t="n">
        <v>1141.47</v>
      </c>
      <c r="N76" s="18" t="n">
        <v>1017.33</v>
      </c>
      <c r="O76" s="18" t="n">
        <v>1229.47</v>
      </c>
      <c r="P76" s="37" t="n">
        <v>4671.2</v>
      </c>
      <c r="Q76" s="18" t="n">
        <v>1224.13</v>
      </c>
      <c r="R76" s="18" t="n">
        <v>1177.4</v>
      </c>
      <c r="S76" s="18" t="n">
        <v>1598.08</v>
      </c>
      <c r="T76" s="18" t="n">
        <v>1055.31</v>
      </c>
      <c r="U76" s="37" t="n">
        <v>5054.92</v>
      </c>
      <c r="V76" s="18" t="n">
        <v>1109.68</v>
      </c>
      <c r="W76" s="18" t="n">
        <v>1068.14</v>
      </c>
      <c r="X76" s="18" t="n">
        <v>896.13</v>
      </c>
      <c r="Y76" s="18" t="n">
        <v>622.78</v>
      </c>
      <c r="Z76" s="37" t="n">
        <v>3696.73</v>
      </c>
      <c r="AA76" s="18" t="n">
        <v>528.01</v>
      </c>
      <c r="AB76" s="19" t="n">
        <v>853.8200000000001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이자비용</t>
        </is>
      </c>
      <c r="F77" s="9" t="n"/>
      <c r="G77" s="18" t="n">
        <v>177.14</v>
      </c>
      <c r="H77" s="18" t="n">
        <v>-9.039999999999999</v>
      </c>
      <c r="I77" s="18" t="n">
        <v>-4.18</v>
      </c>
      <c r="J77" s="18" t="n">
        <v>479.37</v>
      </c>
      <c r="K77" s="37" t="n">
        <v>643.29</v>
      </c>
      <c r="L77" s="18" t="n">
        <v>140.93</v>
      </c>
      <c r="M77" s="18" t="n">
        <v>332.32</v>
      </c>
      <c r="N77" s="18" t="n">
        <v>-20.45</v>
      </c>
      <c r="O77" s="18" t="n">
        <v>310.13</v>
      </c>
      <c r="P77" s="37" t="n">
        <v>762.9299999999999</v>
      </c>
      <c r="Q77" s="18" t="n">
        <v>151.88</v>
      </c>
      <c r="R77" s="18" t="n">
        <v>149.55</v>
      </c>
      <c r="S77" s="18" t="n">
        <v>136.27</v>
      </c>
      <c r="T77" s="18" t="n">
        <v>163.6</v>
      </c>
      <c r="U77" s="37" t="n">
        <v>601.3</v>
      </c>
      <c r="V77" s="18" t="n">
        <v>156.64</v>
      </c>
      <c r="W77" s="18" t="n">
        <v>144.95</v>
      </c>
      <c r="X77" s="18" t="n">
        <v>148.26</v>
      </c>
      <c r="Y77" s="18" t="n">
        <v>148.88</v>
      </c>
      <c r="Z77" s="37" t="n">
        <v>598.73</v>
      </c>
      <c r="AA77" s="18" t="n">
        <v>151.66</v>
      </c>
      <c r="AB77" s="19" t="n">
        <v>153.64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외환차익</t>
        </is>
      </c>
      <c r="F78" s="9" t="n"/>
      <c r="G78" s="18" t="n">
        <v>924.3099999999999</v>
      </c>
      <c r="H78" s="18" t="n">
        <v>1182.64</v>
      </c>
      <c r="I78" s="18" t="n">
        <v>2840.75</v>
      </c>
      <c r="J78" s="18" t="n">
        <v>6333.05</v>
      </c>
      <c r="K78" s="37" t="n">
        <v>11280.75</v>
      </c>
      <c r="L78" s="18" t="n">
        <v>1819.42</v>
      </c>
      <c r="M78" s="18" t="n">
        <v>1733.56</v>
      </c>
      <c r="N78" s="18" t="n">
        <v>1240.01</v>
      </c>
      <c r="O78" s="18" t="n">
        <v>1043.99</v>
      </c>
      <c r="P78" s="37" t="n">
        <v>5836.98</v>
      </c>
      <c r="Q78" s="18" t="n">
        <v>1781.18</v>
      </c>
      <c r="R78" s="18" t="n">
        <v>1633.34</v>
      </c>
      <c r="S78" s="18" t="n">
        <v>519.0700000000001</v>
      </c>
      <c r="T78" s="18" t="n">
        <v>2549.83</v>
      </c>
      <c r="U78" s="37" t="n">
        <v>6483.42</v>
      </c>
      <c r="V78" s="18" t="n">
        <v>371.65</v>
      </c>
      <c r="W78" s="18" t="n">
        <v>483.76</v>
      </c>
      <c r="X78" s="18" t="n">
        <v>660.52</v>
      </c>
      <c r="Y78" s="18" t="n">
        <v>2118.01</v>
      </c>
      <c r="Z78" s="37" t="n">
        <v>3633.94</v>
      </c>
      <c r="AA78" s="18" t="n">
        <v>1706.57</v>
      </c>
      <c r="AB78" s="19" t="n">
        <v>1905.71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외환차손</t>
        </is>
      </c>
      <c r="F79" s="9" t="n"/>
      <c r="G79" s="18" t="n">
        <v>19.6</v>
      </c>
      <c r="H79" s="18" t="n">
        <v>190.38</v>
      </c>
      <c r="I79" s="18" t="n">
        <v>-14.66</v>
      </c>
      <c r="J79" s="18" t="n">
        <v>2864.67</v>
      </c>
      <c r="K79" s="37" t="n">
        <v>3059.99</v>
      </c>
      <c r="L79" s="18" t="n">
        <v>791.9299999999999</v>
      </c>
      <c r="M79" s="18" t="n">
        <v>528.62</v>
      </c>
      <c r="N79" s="18" t="n">
        <v>695.13</v>
      </c>
      <c r="O79" s="18" t="n">
        <v>748.8099999999999</v>
      </c>
      <c r="P79" s="37" t="n">
        <v>2764.49</v>
      </c>
      <c r="Q79" s="18" t="n">
        <v>111.51</v>
      </c>
      <c r="R79" s="18" t="n">
        <v>275</v>
      </c>
      <c r="S79" s="18" t="n">
        <v>573.4299999999999</v>
      </c>
      <c r="T79" s="18" t="n">
        <v>552.41</v>
      </c>
      <c r="U79" s="37" t="n">
        <v>1512.35</v>
      </c>
      <c r="V79" s="18" t="n">
        <v>702.1799999999999</v>
      </c>
      <c r="W79" s="18" t="n">
        <v>1284.27</v>
      </c>
      <c r="X79" s="18" t="n">
        <v>920.1</v>
      </c>
      <c r="Y79" s="18" t="n">
        <v>516.37</v>
      </c>
      <c r="Z79" s="37" t="n">
        <v>3422.92</v>
      </c>
      <c r="AA79" s="18" t="n">
        <v>436.52</v>
      </c>
      <c r="AB79" s="19" t="n">
        <v>478.36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외화환산이익</t>
        </is>
      </c>
      <c r="F80" s="9" t="n"/>
      <c r="G80" s="18" t="n">
        <v>983.49</v>
      </c>
      <c r="H80" s="18" t="n">
        <v>2011.79</v>
      </c>
      <c r="I80" s="18" t="n">
        <v>1877.92</v>
      </c>
      <c r="J80" s="18" t="n">
        <v>-4108.45</v>
      </c>
      <c r="K80" s="37" t="n">
        <v>764.75</v>
      </c>
      <c r="L80" s="18" t="n">
        <v>1887.06</v>
      </c>
      <c r="M80" s="18" t="n">
        <v>-238.72</v>
      </c>
      <c r="N80" s="18" t="n">
        <v>822.4</v>
      </c>
      <c r="O80" s="18" t="n">
        <v>-1620.7</v>
      </c>
      <c r="P80" s="37" t="n">
        <v>850.04</v>
      </c>
      <c r="Q80" s="18" t="n">
        <v>1842.94</v>
      </c>
      <c r="R80" s="18" t="n">
        <v>897.55</v>
      </c>
      <c r="S80" s="18" t="n">
        <v>-1904.5</v>
      </c>
      <c r="T80" s="18" t="n">
        <v>3387.41</v>
      </c>
      <c r="U80" s="37" t="n">
        <v>4223.4</v>
      </c>
      <c r="V80" s="18" t="n">
        <v>699.77</v>
      </c>
      <c r="W80" s="18" t="n">
        <v>-68.48</v>
      </c>
      <c r="X80" s="18" t="n">
        <v>440.43</v>
      </c>
      <c r="Y80" s="18" t="n">
        <v>100.27</v>
      </c>
      <c r="Z80" s="37" t="n">
        <v>1171.99</v>
      </c>
      <c r="AA80" s="18" t="n">
        <v>2804.1</v>
      </c>
      <c r="AB80" s="19" t="n">
        <v>293.97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외화환산손실</t>
        </is>
      </c>
      <c r="F81" s="9" t="n"/>
      <c r="G81" s="18" t="n">
        <v>198.77</v>
      </c>
      <c r="H81" s="18" t="n">
        <v>-88.63</v>
      </c>
      <c r="I81" s="18" t="n">
        <v>-197.18</v>
      </c>
      <c r="J81" s="18" t="n">
        <v>4710.8</v>
      </c>
      <c r="K81" s="37" t="n">
        <v>4623.76</v>
      </c>
      <c r="L81" s="18" t="n">
        <v>76.23</v>
      </c>
      <c r="M81" s="18" t="n">
        <v>216.15</v>
      </c>
      <c r="N81" s="18" t="n">
        <v>-173.54</v>
      </c>
      <c r="O81" s="18" t="n">
        <v>1092.8</v>
      </c>
      <c r="P81" s="37" t="n">
        <v>1211.64</v>
      </c>
      <c r="Q81" s="18" t="n">
        <v>84.18000000000001</v>
      </c>
      <c r="R81" s="18" t="n">
        <v>134.63</v>
      </c>
      <c r="S81" s="18" t="n">
        <v>868.14</v>
      </c>
      <c r="T81" s="18" t="n">
        <v>-641.15</v>
      </c>
      <c r="U81" s="37" t="n">
        <v>445.8</v>
      </c>
      <c r="V81" s="18" t="n">
        <v>108.74</v>
      </c>
      <c r="W81" s="18" t="n">
        <v>3043.05</v>
      </c>
      <c r="X81" s="18" t="n">
        <v>-2108.69</v>
      </c>
      <c r="Y81" s="18" t="n">
        <v>-129.72</v>
      </c>
      <c r="Z81" s="37" t="n">
        <v>913.38</v>
      </c>
      <c r="AA81" s="18" t="n">
        <v>301.88</v>
      </c>
      <c r="AB81" s="19" t="n">
        <v>-33.85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이자손익</t>
        </is>
      </c>
      <c r="F82" s="9" t="n"/>
      <c r="G82" s="18" t="n">
        <v>-11.39</v>
      </c>
      <c r="H82" s="18" t="n">
        <v>34.59</v>
      </c>
      <c r="I82" s="18" t="n">
        <v>107.87</v>
      </c>
      <c r="J82" s="18" t="n">
        <v>424.7</v>
      </c>
      <c r="K82" s="37" t="n">
        <v>555.77</v>
      </c>
      <c r="L82" s="18" t="n">
        <v>1142</v>
      </c>
      <c r="M82" s="18" t="n">
        <v>809.15</v>
      </c>
      <c r="N82" s="18" t="n">
        <v>1037.78</v>
      </c>
      <c r="O82" s="18" t="n">
        <v>919.34</v>
      </c>
      <c r="P82" s="37" t="n">
        <v>3908.27</v>
      </c>
      <c r="Q82" s="18" t="n">
        <v>1072.25</v>
      </c>
      <c r="R82" s="18" t="n">
        <v>1027.85</v>
      </c>
      <c r="S82" s="18" t="n">
        <v>1461.81</v>
      </c>
      <c r="T82" s="18" t="n">
        <v>891.71</v>
      </c>
      <c r="U82" s="37" t="n">
        <v>4453.62</v>
      </c>
      <c r="V82" s="18" t="n">
        <v>953.04</v>
      </c>
      <c r="W82" s="18" t="n">
        <v>923.1900000000001</v>
      </c>
      <c r="X82" s="18" t="n">
        <v>747.87</v>
      </c>
      <c r="Y82" s="18" t="n">
        <v>473.9</v>
      </c>
      <c r="Z82" s="37" t="n">
        <v>3098</v>
      </c>
      <c r="AA82" s="18" t="n">
        <v>376.35</v>
      </c>
      <c r="AB82" s="19" t="n">
        <v>700.1799999999999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배당금수익</t>
        </is>
      </c>
      <c r="F83" s="9" t="n"/>
      <c r="I83" s="18" t="n">
        <v>-230.49</v>
      </c>
      <c r="J83" s="18" t="n">
        <v>250.3</v>
      </c>
      <c r="K83" s="9" t="n"/>
      <c r="L83" s="18" t="n">
        <v>247.41</v>
      </c>
      <c r="M83" s="18" t="n">
        <v>0</v>
      </c>
      <c r="N83" s="18" t="n">
        <v>230.36</v>
      </c>
      <c r="O83" s="18" t="n">
        <v>419.19</v>
      </c>
      <c r="P83" s="37" t="n">
        <v>896.96</v>
      </c>
      <c r="Q83" s="18" t="n">
        <v>2171.45</v>
      </c>
      <c r="R83" s="18" t="n">
        <v>1030.02</v>
      </c>
      <c r="S83" s="18" t="n">
        <v>390.64</v>
      </c>
      <c r="T83" s="18" t="n">
        <v>578.59</v>
      </c>
      <c r="U83" s="37" t="n">
        <v>4170.7</v>
      </c>
      <c r="V83" s="18" t="n">
        <v>1143</v>
      </c>
      <c r="W83" s="18" t="n">
        <v>1996.34</v>
      </c>
      <c r="X83" s="18" t="n">
        <v>1572.58</v>
      </c>
      <c r="Y83" s="18" t="n">
        <v>1539.32</v>
      </c>
      <c r="Z83" s="37" t="n">
        <v>6251.24</v>
      </c>
      <c r="AA83" s="18" t="n">
        <v>8560.67</v>
      </c>
      <c r="AB83" s="19" t="n">
        <v>13138.22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파생상품손실</t>
        </is>
      </c>
      <c r="F84" s="9" t="n"/>
      <c r="J84" s="18" t="n">
        <v>-917.24</v>
      </c>
      <c r="K84" s="9" t="n"/>
      <c r="L84" s="18" t="n">
        <v>91.55</v>
      </c>
      <c r="M84" s="18" t="n">
        <v>19.3</v>
      </c>
      <c r="N84" s="18" t="n">
        <v>0</v>
      </c>
      <c r="O84" s="18" t="n">
        <v>0</v>
      </c>
      <c r="P84" s="37" t="n">
        <v>110.85</v>
      </c>
      <c r="U84" s="9" t="n"/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파생상품이익</t>
        </is>
      </c>
      <c r="F85" s="9" t="n"/>
      <c r="K85" s="9" t="n"/>
      <c r="L85" s="18" t="n">
        <v>27.5</v>
      </c>
      <c r="M85" s="18" t="n">
        <v>0</v>
      </c>
      <c r="N85" s="18" t="n">
        <v>0</v>
      </c>
      <c r="O85" s="18" t="n">
        <v>0</v>
      </c>
      <c r="P85" s="37" t="n">
        <v>27.5</v>
      </c>
      <c r="U85" s="9" t="n"/>
      <c r="Z85" s="9" t="n"/>
      <c r="AB85" s="5" t="n"/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영업활동으로인한현금흐름</t>
        </is>
      </c>
      <c r="E86" s="18" t="n">
        <v>5631.88</v>
      </c>
      <c r="F86" s="9" t="n"/>
      <c r="G86" s="18" t="n">
        <v>1308.85</v>
      </c>
      <c r="H86" s="18" t="n">
        <v>7559.13</v>
      </c>
      <c r="I86" s="18" t="n">
        <v>19713.69</v>
      </c>
      <c r="J86" s="18" t="n">
        <v>17724.36</v>
      </c>
      <c r="K86" s="37" t="n">
        <v>46306.03</v>
      </c>
      <c r="L86" s="18" t="n">
        <v>8744.18</v>
      </c>
      <c r="M86" s="18" t="n">
        <v>17711.67</v>
      </c>
      <c r="N86" s="18" t="n">
        <v>18769.41</v>
      </c>
      <c r="O86" s="18" t="n">
        <v>9110.219999999999</v>
      </c>
      <c r="P86" s="37" t="n">
        <v>54335.48</v>
      </c>
      <c r="Q86" s="18" t="n">
        <v>30487.9</v>
      </c>
      <c r="R86" s="18" t="n">
        <v>7843.26</v>
      </c>
      <c r="S86" s="18" t="n">
        <v>8998.17</v>
      </c>
      <c r="T86" s="18" t="n">
        <v>11905.71</v>
      </c>
      <c r="U86" s="37" t="n">
        <v>59235.04</v>
      </c>
      <c r="V86" s="18" t="n">
        <v>12123.88</v>
      </c>
      <c r="W86" s="18" t="n">
        <v>-4130.61</v>
      </c>
      <c r="X86" s="18" t="n">
        <v>3252.87</v>
      </c>
      <c r="Y86" s="18" t="n">
        <v>8119.54</v>
      </c>
      <c r="Z86" s="37" t="n">
        <v>19365.68</v>
      </c>
      <c r="AA86" s="18" t="n">
        <v>15166.52</v>
      </c>
      <c r="AB86" s="19" t="n">
        <v>23690.2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법인세납부(CF)</t>
        </is>
      </c>
      <c r="E87" s="18" t="n">
        <v>-14.38</v>
      </c>
      <c r="F87" s="9" t="n"/>
      <c r="G87" s="18" t="n">
        <v>-1143.05</v>
      </c>
      <c r="H87" s="18" t="n">
        <v>-1450.86</v>
      </c>
      <c r="I87" s="18" t="n">
        <v>-1331.31</v>
      </c>
      <c r="J87" s="18" t="n">
        <v>-50.52</v>
      </c>
      <c r="K87" s="37" t="n">
        <v>-3975.74</v>
      </c>
      <c r="L87" s="18" t="n">
        <v>-4298.49</v>
      </c>
      <c r="M87" s="18" t="n">
        <v>-4579.57</v>
      </c>
      <c r="N87" s="18" t="n">
        <v>-2458.53</v>
      </c>
      <c r="O87" s="18" t="n">
        <v>-2257.13</v>
      </c>
      <c r="P87" s="37" t="n">
        <v>-13593.72</v>
      </c>
      <c r="Q87" s="18" t="n">
        <v>-33.48</v>
      </c>
      <c r="R87" s="18" t="n">
        <v>-8200.08</v>
      </c>
      <c r="S87" s="18" t="n">
        <v>-3112.13</v>
      </c>
      <c r="T87" s="18" t="n">
        <v>-3147.12</v>
      </c>
      <c r="U87" s="37" t="n">
        <v>-14492.81</v>
      </c>
      <c r="V87" s="18" t="n">
        <v>-1958.87</v>
      </c>
      <c r="W87" s="18" t="n">
        <v>-2800.01</v>
      </c>
      <c r="X87" s="18" t="n">
        <v>-1806.14</v>
      </c>
      <c r="Y87" s="18" t="n">
        <v>-4762.65</v>
      </c>
      <c r="Z87" s="37" t="n">
        <v>-11327.67</v>
      </c>
      <c r="AA87" s="18" t="n">
        <v>-3404.59</v>
      </c>
      <c r="AB87" s="19" t="n">
        <v>-3446.91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투자활동으로인한현금흐름</t>
        </is>
      </c>
      <c r="E88" s="18" t="n">
        <v>-4821.21</v>
      </c>
      <c r="F88" s="9" t="n"/>
      <c r="G88" s="18" t="n">
        <v>-9050.98</v>
      </c>
      <c r="H88" s="18" t="n">
        <v>-7501.76</v>
      </c>
      <c r="I88" s="18" t="n">
        <v>-23861.58</v>
      </c>
      <c r="J88" s="18" t="n">
        <v>-22154.8</v>
      </c>
      <c r="K88" s="37" t="n">
        <v>-62569.12</v>
      </c>
      <c r="L88" s="18" t="n">
        <v>-18693.6</v>
      </c>
      <c r="M88" s="18" t="n">
        <v>-10389.25</v>
      </c>
      <c r="N88" s="18" t="n">
        <v>-31607.3</v>
      </c>
      <c r="O88" s="18" t="n">
        <v>-2384.59</v>
      </c>
      <c r="P88" s="37" t="n">
        <v>-63074.74</v>
      </c>
      <c r="Q88" s="18" t="n">
        <v>-7862.3</v>
      </c>
      <c r="R88" s="18" t="n">
        <v>-22384.81</v>
      </c>
      <c r="S88" s="18" t="n">
        <v>2712.94</v>
      </c>
      <c r="T88" s="18" t="n">
        <v>-18234.75</v>
      </c>
      <c r="U88" s="37" t="n">
        <v>-45768.92</v>
      </c>
      <c r="V88" s="18" t="n">
        <v>-8948.629999999999</v>
      </c>
      <c r="W88" s="18" t="n">
        <v>6042.23</v>
      </c>
      <c r="X88" s="18" t="n">
        <v>6871.48</v>
      </c>
      <c r="Y88" s="18" t="n">
        <v>-2917.41</v>
      </c>
      <c r="Z88" s="37" t="n">
        <v>1047.67</v>
      </c>
      <c r="AA88" s="18" t="n">
        <v>-7548.33</v>
      </c>
      <c r="AB88" s="19" t="n">
        <v>-3526.6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유형자산의감소</t>
        </is>
      </c>
      <c r="E89" s="18" t="n">
        <v>218.08</v>
      </c>
      <c r="F89" s="9" t="n"/>
      <c r="G89" s="18" t="n">
        <v>3</v>
      </c>
      <c r="H89" s="18" t="n">
        <v>48.41</v>
      </c>
      <c r="J89" s="18" t="n">
        <v>183.33</v>
      </c>
      <c r="K89" s="9" t="n"/>
      <c r="L89" s="18" t="n">
        <v>30</v>
      </c>
      <c r="M89" s="18" t="n">
        <v>2</v>
      </c>
      <c r="N89" s="18" t="n">
        <v>22.19</v>
      </c>
      <c r="O89" s="18" t="n">
        <v>4.8</v>
      </c>
      <c r="P89" s="37" t="n">
        <v>58.99</v>
      </c>
      <c r="Q89" s="18" t="n">
        <v>31.38</v>
      </c>
      <c r="R89" s="18" t="n">
        <v>15.47</v>
      </c>
      <c r="S89" s="18" t="n">
        <v>12.38</v>
      </c>
      <c r="T89" s="18" t="n">
        <v>3.7</v>
      </c>
      <c r="U89" s="37" t="n">
        <v>62.93</v>
      </c>
      <c r="V89" s="18" t="n">
        <v>34.55</v>
      </c>
      <c r="W89" s="18" t="n">
        <v>65.51000000000001</v>
      </c>
      <c r="X89" s="18" t="n">
        <v>3.4</v>
      </c>
      <c r="Y89" s="18" t="n">
        <v>0</v>
      </c>
      <c r="Z89" s="37" t="n">
        <v>103.46</v>
      </c>
      <c r="AA89" s="18" t="n">
        <v>17.19</v>
      </c>
      <c r="AB89" s="19" t="n">
        <v>49.23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CAPEX</t>
        </is>
      </c>
      <c r="E90" s="18" t="n">
        <v>21.76</v>
      </c>
      <c r="F90" s="9" t="n"/>
      <c r="G90" s="18" t="n">
        <v>1478.05</v>
      </c>
      <c r="H90" s="18" t="n">
        <v>3027</v>
      </c>
      <c r="I90" s="18" t="n">
        <v>867.86</v>
      </c>
      <c r="J90" s="18" t="n">
        <v>1824.02</v>
      </c>
      <c r="K90" s="37" t="n">
        <v>7196.93</v>
      </c>
      <c r="L90" s="18" t="n">
        <v>2952.28</v>
      </c>
      <c r="M90" s="18" t="n">
        <v>5562.44</v>
      </c>
      <c r="N90" s="18" t="n">
        <v>6195.16</v>
      </c>
      <c r="O90" s="18" t="n">
        <v>5569.21</v>
      </c>
      <c r="P90" s="37" t="n">
        <v>20279.09</v>
      </c>
      <c r="Q90" s="18" t="n">
        <v>3225.73</v>
      </c>
      <c r="R90" s="18" t="n">
        <v>2368.39</v>
      </c>
      <c r="S90" s="18" t="n">
        <v>3537</v>
      </c>
      <c r="T90" s="18" t="n">
        <v>4178.41</v>
      </c>
      <c r="U90" s="37" t="n">
        <v>13309.53</v>
      </c>
      <c r="V90" s="18" t="n">
        <v>4577.35</v>
      </c>
      <c r="W90" s="18" t="n">
        <v>4107.83</v>
      </c>
      <c r="X90" s="18" t="n">
        <v>3738.06</v>
      </c>
      <c r="Y90" s="18" t="n">
        <v>2183.45</v>
      </c>
      <c r="Z90" s="37" t="n">
        <v>14606.69</v>
      </c>
      <c r="AA90" s="18" t="n">
        <v>1423.82</v>
      </c>
      <c r="AB90" s="19" t="n">
        <v>799.4299999999999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무형자산의증가</t>
        </is>
      </c>
      <c r="E91" s="18" t="n">
        <v>36</v>
      </c>
      <c r="F91" s="9" t="n"/>
      <c r="G91" s="18" t="n">
        <v>24</v>
      </c>
      <c r="H91" s="18" t="n">
        <v>0</v>
      </c>
      <c r="I91" s="18" t="n">
        <v>40.5</v>
      </c>
      <c r="K91" s="9" t="n"/>
      <c r="L91" s="18" t="n">
        <v>18.9</v>
      </c>
      <c r="M91" s="18" t="n">
        <v>51.4</v>
      </c>
      <c r="N91" s="18" t="n">
        <v>0</v>
      </c>
      <c r="O91" s="18" t="n">
        <v>0</v>
      </c>
      <c r="P91" s="37" t="n">
        <v>70.3</v>
      </c>
      <c r="S91" s="18" t="n">
        <v>1.65</v>
      </c>
      <c r="T91" s="18" t="n">
        <v>1.85</v>
      </c>
      <c r="U91" s="9" t="n"/>
      <c r="Z91" s="9" t="n"/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재무활동으로인한현금흐름</t>
        </is>
      </c>
      <c r="E92" s="18" t="n">
        <v>-1351.47</v>
      </c>
      <c r="F92" s="9" t="n"/>
      <c r="G92" s="18" t="n">
        <v>-424.8</v>
      </c>
      <c r="H92" s="18" t="n">
        <v>-1645.65</v>
      </c>
      <c r="I92" s="18" t="n">
        <v>28642.64</v>
      </c>
      <c r="J92" s="18" t="n">
        <v>-3846.38</v>
      </c>
      <c r="K92" s="37" t="n">
        <v>22725.81</v>
      </c>
      <c r="L92" s="18" t="n">
        <v>-291</v>
      </c>
      <c r="M92" s="18" t="n">
        <v>-4749.92</v>
      </c>
      <c r="N92" s="18" t="n">
        <v>-333.15</v>
      </c>
      <c r="O92" s="18" t="n">
        <v>-2157.11</v>
      </c>
      <c r="P92" s="37" t="n">
        <v>-7531.18</v>
      </c>
      <c r="Q92" s="18" t="n">
        <v>-1353.79</v>
      </c>
      <c r="R92" s="18" t="n">
        <v>-9374.719999999999</v>
      </c>
      <c r="S92" s="18" t="n">
        <v>-416.38</v>
      </c>
      <c r="T92" s="18" t="n">
        <v>-1384.92</v>
      </c>
      <c r="U92" s="37" t="n">
        <v>-12529.81</v>
      </c>
      <c r="V92" s="18" t="n">
        <v>-455.2</v>
      </c>
      <c r="W92" s="18" t="n">
        <v>-6925.51</v>
      </c>
      <c r="X92" s="18" t="n">
        <v>-7838.35</v>
      </c>
      <c r="Y92" s="18" t="n">
        <v>-1504.48</v>
      </c>
      <c r="Z92" s="37" t="n">
        <v>-16723.54</v>
      </c>
      <c r="AA92" s="18" t="n">
        <v>-495.43</v>
      </c>
      <c r="AB92" s="19" t="n">
        <v>-13109.61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단기차입금의증가</t>
        </is>
      </c>
      <c r="E93" s="18" t="n">
        <v>0</v>
      </c>
      <c r="F93" s="9" t="n"/>
      <c r="G93" s="18" t="n">
        <v>10.57</v>
      </c>
      <c r="H93" s="18" t="n">
        <v>181.42</v>
      </c>
      <c r="K93" s="9" t="n"/>
      <c r="N93" s="18" t="n">
        <v>0</v>
      </c>
      <c r="O93" s="18" t="n">
        <v>0</v>
      </c>
      <c r="P93" s="9" t="n"/>
      <c r="U93" s="9" t="n"/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배당금지급</t>
        </is>
      </c>
      <c r="E94" s="18" t="n">
        <v>0</v>
      </c>
      <c r="F94" s="9" t="n"/>
      <c r="I94" s="18" t="n">
        <v>0</v>
      </c>
      <c r="J94" s="18" t="n">
        <v>0</v>
      </c>
      <c r="K94" s="9" t="n"/>
      <c r="N94" s="18" t="n">
        <v>0</v>
      </c>
      <c r="O94" s="18" t="n">
        <v>0</v>
      </c>
      <c r="P94" s="9" t="n"/>
      <c r="S94" s="18" t="n">
        <v>0</v>
      </c>
      <c r="T94" s="18" t="n">
        <v>0</v>
      </c>
      <c r="U94" s="9" t="n"/>
      <c r="X94" s="18" t="n">
        <v>7372.16</v>
      </c>
      <c r="Y94" s="18" t="n">
        <v>0</v>
      </c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현금및현금성자산의증감</t>
        </is>
      </c>
      <c r="E95" s="18" t="n">
        <v>-1636.57</v>
      </c>
      <c r="F95" s="9" t="n"/>
      <c r="G95" s="18" t="n">
        <v>-16406.27</v>
      </c>
      <c r="H95" s="18" t="n">
        <v>-2846.87</v>
      </c>
      <c r="I95" s="18" t="n">
        <v>49325.89</v>
      </c>
      <c r="J95" s="18" t="n">
        <v>-18521.09</v>
      </c>
      <c r="K95" s="37" t="n">
        <v>11551.66</v>
      </c>
      <c r="L95" s="18" t="n">
        <v>-20317.01</v>
      </c>
      <c r="M95" s="18" t="n">
        <v>5055.22</v>
      </c>
      <c r="N95" s="18" t="n">
        <v>-26298.31</v>
      </c>
      <c r="O95" s="18" t="n">
        <v>8933.99</v>
      </c>
      <c r="P95" s="37" t="n">
        <v>-32626.11</v>
      </c>
      <c r="Q95" s="18" t="n">
        <v>42695.19</v>
      </c>
      <c r="R95" s="18" t="n">
        <v>-47790.68</v>
      </c>
      <c r="S95" s="18" t="n">
        <v>13696.15</v>
      </c>
      <c r="T95" s="18" t="n">
        <v>-7411.07</v>
      </c>
      <c r="U95" s="37" t="n">
        <v>1189.59</v>
      </c>
      <c r="V95" s="18" t="n">
        <v>2744.21</v>
      </c>
      <c r="W95" s="18" t="n">
        <v>-5207.97</v>
      </c>
      <c r="X95" s="18" t="n">
        <v>2378.55</v>
      </c>
      <c r="Y95" s="18" t="n">
        <v>3619.03</v>
      </c>
      <c r="Z95" s="37" t="n">
        <v>3533.82</v>
      </c>
      <c r="AA95" s="18" t="n">
        <v>7392.62</v>
      </c>
      <c r="AB95" s="19" t="n">
        <v>7159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기말현금및현금성자산</t>
        </is>
      </c>
      <c r="E96" s="18" t="n">
        <v>-9182.83</v>
      </c>
      <c r="F96" s="9" t="n"/>
      <c r="G96" s="18" t="n">
        <v>33900.03</v>
      </c>
      <c r="H96" s="18" t="n">
        <v>-1258.59</v>
      </c>
      <c r="I96" s="18" t="n">
        <v>24831.14</v>
      </c>
      <c r="J96" s="18" t="n">
        <v>-10244.28</v>
      </c>
      <c r="K96" s="37" t="n">
        <v>47228.3</v>
      </c>
      <c r="L96" s="18" t="n">
        <v>37151.72</v>
      </c>
      <c r="M96" s="18" t="n">
        <v>2482.7</v>
      </c>
      <c r="N96" s="18" t="n">
        <v>-13127.26</v>
      </c>
      <c r="O96" s="18" t="n">
        <v>4365.47</v>
      </c>
      <c r="P96" s="37" t="n">
        <v>30872.63</v>
      </c>
      <c r="Q96" s="18" t="n">
        <v>52296.02</v>
      </c>
      <c r="R96" s="18" t="n">
        <v>-23874.41</v>
      </c>
      <c r="S96" s="18" t="n">
        <v>11051.68</v>
      </c>
      <c r="T96" s="18" t="n">
        <v>-7411.07</v>
      </c>
      <c r="U96" s="37" t="n">
        <v>32062.22</v>
      </c>
      <c r="V96" s="18" t="n">
        <v>34806.43</v>
      </c>
      <c r="W96" s="18" t="n">
        <v>-5207.97</v>
      </c>
      <c r="X96" s="18" t="n">
        <v>2378.55</v>
      </c>
      <c r="Y96" s="18" t="n">
        <v>3619.03</v>
      </c>
      <c r="Z96" s="37" t="n">
        <v>35596.04</v>
      </c>
      <c r="AA96" s="18" t="n">
        <v>42988.67</v>
      </c>
      <c r="AB96" s="19" t="n">
        <v>7158.99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유형자산의증가</t>
        </is>
      </c>
      <c r="F97" s="9" t="n"/>
      <c r="G97" s="18" t="n">
        <v>1454.05</v>
      </c>
      <c r="H97" s="18" t="n">
        <v>3027</v>
      </c>
      <c r="I97" s="18" t="n">
        <v>827.36</v>
      </c>
      <c r="J97" s="18" t="n">
        <v>1837.62</v>
      </c>
      <c r="K97" s="37" t="n">
        <v>7146.03</v>
      </c>
      <c r="L97" s="18" t="n">
        <v>2933.38</v>
      </c>
      <c r="M97" s="18" t="n">
        <v>5511.04</v>
      </c>
      <c r="N97" s="18" t="n">
        <v>6195.16</v>
      </c>
      <c r="O97" s="18" t="n">
        <v>5569.21</v>
      </c>
      <c r="P97" s="37" t="n">
        <v>20208.79</v>
      </c>
      <c r="Q97" s="18" t="n">
        <v>3225.73</v>
      </c>
      <c r="R97" s="18" t="n">
        <v>2354.09</v>
      </c>
      <c r="S97" s="18" t="n">
        <v>3535.35</v>
      </c>
      <c r="T97" s="18" t="n">
        <v>4176.56</v>
      </c>
      <c r="U97" s="37" t="n">
        <v>13291.73</v>
      </c>
      <c r="V97" s="18" t="n">
        <v>4577.35</v>
      </c>
      <c r="W97" s="18" t="n">
        <v>4107.83</v>
      </c>
      <c r="X97" s="18" t="n">
        <v>3738.06</v>
      </c>
      <c r="Y97" s="18" t="n">
        <v>1926.92</v>
      </c>
      <c r="Z97" s="37" t="n">
        <v>14350.16</v>
      </c>
      <c r="AA97" s="18" t="n">
        <v>1423.82</v>
      </c>
      <c r="AB97" s="19" t="n">
        <v>795.6799999999999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장기차입금의증가</t>
        </is>
      </c>
      <c r="F98" s="9" t="n"/>
      <c r="G98" s="18" t="n">
        <v>12.59</v>
      </c>
      <c r="K98" s="9" t="n"/>
      <c r="P98" s="9" t="n"/>
      <c r="U98" s="9" t="n"/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배당금수취(CF)</t>
        </is>
      </c>
      <c r="F99" s="9" t="n"/>
      <c r="I99" s="18" t="n">
        <v>19.81</v>
      </c>
      <c r="J99" s="18" t="n">
        <v>0</v>
      </c>
      <c r="K99" s="9" t="n"/>
      <c r="L99" s="18" t="n">
        <v>247.41</v>
      </c>
      <c r="M99" s="18" t="n">
        <v>0</v>
      </c>
      <c r="N99" s="18" t="n">
        <v>230.36</v>
      </c>
      <c r="O99" s="18" t="n">
        <v>419.19</v>
      </c>
      <c r="P99" s="37" t="n">
        <v>896.96</v>
      </c>
      <c r="Q99" s="18" t="n">
        <v>2171.45</v>
      </c>
      <c r="R99" s="18" t="n">
        <v>1030.02</v>
      </c>
      <c r="S99" s="18" t="n">
        <v>390.64</v>
      </c>
      <c r="T99" s="18" t="n">
        <v>578.59</v>
      </c>
      <c r="U99" s="37" t="n">
        <v>4170.7</v>
      </c>
      <c r="V99" s="18" t="n">
        <v>1143</v>
      </c>
      <c r="W99" s="18" t="n">
        <v>1996.34</v>
      </c>
      <c r="X99" s="18" t="n">
        <v>1572.58</v>
      </c>
      <c r="Y99" s="18" t="n">
        <v>1539.32</v>
      </c>
      <c r="Z99" s="37" t="n">
        <v>6251.24</v>
      </c>
      <c r="AA99" s="18" t="n">
        <v>8560.67</v>
      </c>
      <c r="AB99" s="19" t="n">
        <v>13138.22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단기차입금의감소</t>
        </is>
      </c>
      <c r="F100" s="9" t="n"/>
      <c r="I100" s="18" t="n">
        <v>500</v>
      </c>
      <c r="J100" s="18" t="n">
        <v>47.64</v>
      </c>
      <c r="K100" s="9" t="n"/>
      <c r="N100" s="18" t="n">
        <v>0</v>
      </c>
      <c r="O100" s="18" t="n">
        <v>0</v>
      </c>
      <c r="P100" s="9" t="n"/>
      <c r="U100" s="9" t="n"/>
      <c r="Z100" s="9" t="n"/>
      <c r="AB100" s="5" t="n"/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장기차입금의감소</t>
        </is>
      </c>
      <c r="F101" s="9" t="n"/>
      <c r="J101" s="18" t="n">
        <v>0</v>
      </c>
      <c r="K101" s="9" t="n"/>
      <c r="P101" s="9" t="n"/>
      <c r="S101" s="18" t="n">
        <v>0.65</v>
      </c>
      <c r="T101" s="18" t="n">
        <v>1.15</v>
      </c>
      <c r="U101" s="9" t="n"/>
      <c r="X101" s="18" t="n">
        <v>0</v>
      </c>
      <c r="Y101" s="18" t="n">
        <v>0</v>
      </c>
      <c r="Z101" s="9" t="n"/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이자수취(CF)</t>
        </is>
      </c>
      <c r="F102" s="9" t="n"/>
      <c r="K102" s="9" t="n"/>
      <c r="O102" s="18" t="n">
        <v>1356.08</v>
      </c>
      <c r="P102" s="9" t="n"/>
      <c r="Q102" s="18" t="n">
        <v>1441.54</v>
      </c>
      <c r="R102" s="18" t="n">
        <v>975</v>
      </c>
      <c r="S102" s="18" t="n">
        <v>1706.58</v>
      </c>
      <c r="T102" s="18" t="n">
        <v>933.8200000000001</v>
      </c>
      <c r="U102" s="37" t="n">
        <v>5056.94</v>
      </c>
      <c r="V102" s="18" t="n">
        <v>1328.75</v>
      </c>
      <c r="W102" s="18" t="n">
        <v>776.8099999999999</v>
      </c>
      <c r="X102" s="18" t="n">
        <v>1028.13</v>
      </c>
      <c r="Y102" s="18" t="n">
        <v>717.54</v>
      </c>
      <c r="Z102" s="37" t="n">
        <v>3851.23</v>
      </c>
      <c r="AA102" s="18" t="n">
        <v>855.0599999999999</v>
      </c>
      <c r="AB102" s="19" t="n">
        <v>773.92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리스부채의상환</t>
        </is>
      </c>
      <c r="F103" s="9" t="n"/>
      <c r="K103" s="9" t="n"/>
      <c r="P103" s="9" t="n"/>
      <c r="U103" s="9" t="n"/>
      <c r="V103" s="18" t="n">
        <v>455.2</v>
      </c>
      <c r="W103" s="18" t="n">
        <v>458.7</v>
      </c>
      <c r="X103" s="18" t="n">
        <v>466.18</v>
      </c>
      <c r="Y103" s="18" t="n">
        <v>464.65</v>
      </c>
      <c r="Z103" s="37" t="n">
        <v>1844.73</v>
      </c>
      <c r="AA103" s="18" t="n">
        <v>495.43</v>
      </c>
      <c r="AB103" s="19" t="n">
        <v>537.2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태광(별)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216266.88</v>
      </c>
      <c r="F5" s="37" t="n">
        <v>216266.88</v>
      </c>
      <c r="G5" s="18" t="n">
        <v>214975.2</v>
      </c>
      <c r="H5" s="18" t="n">
        <v>228355.5</v>
      </c>
      <c r="I5" s="18" t="n">
        <v>253029.84</v>
      </c>
      <c r="J5" s="18" t="n">
        <v>269367.92</v>
      </c>
      <c r="K5" s="37" t="n">
        <v>269367.92</v>
      </c>
      <c r="L5" s="18" t="n">
        <v>266800.19</v>
      </c>
      <c r="M5" s="18" t="n">
        <v>254925.99</v>
      </c>
      <c r="N5" s="18" t="n">
        <v>263511.68</v>
      </c>
      <c r="O5" s="18" t="n">
        <v>252239.34</v>
      </c>
      <c r="P5" s="37" t="n">
        <v>252239.34</v>
      </c>
      <c r="Q5" s="18" t="n">
        <v>260332.03</v>
      </c>
      <c r="R5" s="18" t="n">
        <v>246927.63</v>
      </c>
      <c r="S5" s="18" t="n">
        <v>244137.34</v>
      </c>
      <c r="T5" s="18" t="n">
        <v>261536.48</v>
      </c>
      <c r="U5" s="37" t="n">
        <v>261536.48</v>
      </c>
      <c r="V5" s="18" t="n">
        <v>268912.84</v>
      </c>
      <c r="W5" s="18" t="n">
        <v>280361.68</v>
      </c>
      <c r="X5" s="18" t="n">
        <v>335292.26</v>
      </c>
      <c r="Y5" s="18" t="n">
        <v>368106.62</v>
      </c>
      <c r="Z5" s="37" t="n">
        <v>368106.62</v>
      </c>
      <c r="AA5" s="18" t="n">
        <v>393664.84</v>
      </c>
      <c r="AB5" s="19" t="n">
        <v>440749.32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37489.7</v>
      </c>
      <c r="F6" s="37" t="n">
        <v>37489.7</v>
      </c>
      <c r="G6" s="18" t="n">
        <v>29916.02</v>
      </c>
      <c r="H6" s="18" t="n">
        <v>25450.98</v>
      </c>
      <c r="I6" s="18" t="n">
        <v>36545.66</v>
      </c>
      <c r="J6" s="18" t="n">
        <v>39788.18</v>
      </c>
      <c r="K6" s="37" t="n">
        <v>39788.18</v>
      </c>
      <c r="L6" s="18" t="n">
        <v>29508.58</v>
      </c>
      <c r="M6" s="18" t="n">
        <v>31670.32</v>
      </c>
      <c r="N6" s="18" t="n">
        <v>19613.33</v>
      </c>
      <c r="O6" s="18" t="n">
        <v>20700.49</v>
      </c>
      <c r="P6" s="37" t="n">
        <v>20700.49</v>
      </c>
      <c r="Q6" s="18" t="n">
        <v>35597.96</v>
      </c>
      <c r="R6" s="18" t="n">
        <v>15490.5</v>
      </c>
      <c r="S6" s="18" t="n">
        <v>22021.93</v>
      </c>
      <c r="T6" s="18" t="n">
        <v>21625.67</v>
      </c>
      <c r="U6" s="37" t="n">
        <v>21625.67</v>
      </c>
      <c r="V6" s="18" t="n">
        <v>23963.95</v>
      </c>
      <c r="W6" s="18" t="n">
        <v>19334.72</v>
      </c>
      <c r="X6" s="18" t="n">
        <v>24067.15</v>
      </c>
      <c r="Y6" s="18" t="n">
        <v>28880.08</v>
      </c>
      <c r="Z6" s="37" t="n">
        <v>28880.08</v>
      </c>
      <c r="AA6" s="18" t="n">
        <v>37649.52</v>
      </c>
      <c r="AB6" s="19" t="n">
        <v>39460.64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6585.65</v>
      </c>
      <c r="F7" s="37" t="n">
        <v>6585.65</v>
      </c>
      <c r="G7" s="18" t="n">
        <v>6529.55</v>
      </c>
      <c r="H7" s="18" t="n">
        <v>6457.87</v>
      </c>
      <c r="I7" s="18" t="n">
        <v>6956.18</v>
      </c>
      <c r="J7" s="18" t="n">
        <v>6375.6</v>
      </c>
      <c r="K7" s="37" t="n">
        <v>6375.6</v>
      </c>
      <c r="L7" s="18" t="n">
        <v>16504.43</v>
      </c>
      <c r="M7" s="18" t="n">
        <v>16536.09</v>
      </c>
      <c r="N7" s="18" t="n">
        <v>16648.66</v>
      </c>
      <c r="O7" s="18" t="n">
        <v>16634.68</v>
      </c>
      <c r="P7" s="37" t="n">
        <v>16634.68</v>
      </c>
      <c r="Q7" s="18" t="n">
        <v>16862.13</v>
      </c>
      <c r="R7" s="18" t="n">
        <v>17017.16</v>
      </c>
      <c r="S7" s="18" t="n">
        <v>16762.67</v>
      </c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6585.65</v>
      </c>
      <c r="F8" s="37" t="n">
        <v>6585.65</v>
      </c>
      <c r="G8" s="18" t="n">
        <v>6529.55</v>
      </c>
      <c r="H8" s="18" t="n">
        <v>6457.87</v>
      </c>
      <c r="I8" s="18" t="n">
        <v>6956.18</v>
      </c>
      <c r="J8" s="18" t="n">
        <v>6375.6</v>
      </c>
      <c r="K8" s="37" t="n">
        <v>6375.6</v>
      </c>
      <c r="L8" s="18" t="n">
        <v>16504.43</v>
      </c>
      <c r="M8" s="18" t="n">
        <v>16536.09</v>
      </c>
      <c r="N8" s="18" t="n">
        <v>16648.66</v>
      </c>
      <c r="O8" s="18" t="n">
        <v>16634.68</v>
      </c>
      <c r="P8" s="37" t="n">
        <v>16634.68</v>
      </c>
      <c r="Q8" s="18" t="n">
        <v>16862.13</v>
      </c>
      <c r="R8" s="18" t="n">
        <v>17017.16</v>
      </c>
      <c r="S8" s="18" t="n">
        <v>16762.67</v>
      </c>
      <c r="U8" s="9" t="n"/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45948.44</v>
      </c>
      <c r="F9" s="37" t="n">
        <v>45948.44</v>
      </c>
      <c r="G9" s="18" t="n">
        <v>52738.11</v>
      </c>
      <c r="H9" s="18" t="n">
        <v>65252.23</v>
      </c>
      <c r="I9" s="18" t="n">
        <v>68804.28999999999</v>
      </c>
      <c r="J9" s="18" t="n">
        <v>62842.59</v>
      </c>
      <c r="K9" s="37" t="n">
        <v>62842.59</v>
      </c>
      <c r="L9" s="18" t="n">
        <v>65893.48</v>
      </c>
      <c r="M9" s="18" t="n">
        <v>64984.57</v>
      </c>
      <c r="N9" s="18" t="n">
        <v>57663.87</v>
      </c>
      <c r="O9" s="18" t="n">
        <v>51334.22</v>
      </c>
      <c r="P9" s="37" t="n">
        <v>51334.22</v>
      </c>
      <c r="Q9" s="18" t="n">
        <v>54386.89</v>
      </c>
      <c r="R9" s="18" t="n">
        <v>48870.27</v>
      </c>
      <c r="S9" s="18" t="n">
        <v>52314.45</v>
      </c>
      <c r="T9" s="18" t="n">
        <v>52927.05</v>
      </c>
      <c r="U9" s="37" t="n">
        <v>52927.05</v>
      </c>
      <c r="V9" s="18" t="n">
        <v>49379.11</v>
      </c>
      <c r="W9" s="18" t="n">
        <v>57833.43</v>
      </c>
      <c r="X9" s="18" t="n">
        <v>65071.86</v>
      </c>
      <c r="Y9" s="18" t="n">
        <v>64161.59</v>
      </c>
      <c r="Z9" s="37" t="n">
        <v>64161.59</v>
      </c>
      <c r="AA9" s="18" t="n">
        <v>68792.58</v>
      </c>
      <c r="AB9" s="19" t="n">
        <v>71044.57000000001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기타유동금융자산</t>
        </is>
      </c>
      <c r="E10" s="18" t="n">
        <v>5737.56</v>
      </c>
      <c r="F10" s="37" t="n">
        <v>5737.56</v>
      </c>
      <c r="G10" s="18" t="n">
        <v>9786.469999999999</v>
      </c>
      <c r="H10" s="18" t="n">
        <v>11722.97</v>
      </c>
      <c r="I10" s="18" t="n">
        <v>18801.63</v>
      </c>
      <c r="J10" s="18" t="n">
        <v>30546.47</v>
      </c>
      <c r="K10" s="37" t="n">
        <v>30546.47</v>
      </c>
      <c r="L10" s="18" t="n">
        <v>29866.72</v>
      </c>
      <c r="M10" s="18" t="n">
        <v>15575.32</v>
      </c>
      <c r="N10" s="18" t="n">
        <v>45056.97</v>
      </c>
      <c r="O10" s="18" t="n">
        <v>41655.73</v>
      </c>
      <c r="P10" s="37" t="n">
        <v>41655.73</v>
      </c>
      <c r="Q10" s="18" t="n">
        <v>42016.51</v>
      </c>
      <c r="R10" s="18" t="n">
        <v>51298.44</v>
      </c>
      <c r="S10" s="18" t="n">
        <v>37568.32</v>
      </c>
      <c r="T10" s="18" t="n">
        <v>16933.52</v>
      </c>
      <c r="U10" s="37" t="n">
        <v>16933.52</v>
      </c>
      <c r="V10" s="18" t="n">
        <v>18494.5</v>
      </c>
      <c r="W10" s="18" t="n">
        <v>18120.16</v>
      </c>
      <c r="X10" s="18" t="n">
        <v>18275.88</v>
      </c>
      <c r="Y10" s="18" t="n">
        <v>17008.4</v>
      </c>
      <c r="Z10" s="37" t="n">
        <v>17008.4</v>
      </c>
      <c r="AA10" s="18" t="n">
        <v>9008.4</v>
      </c>
      <c r="AB10" s="19" t="n">
        <v>9008.4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120039.24</v>
      </c>
      <c r="F11" s="37" t="n">
        <v>120039.24</v>
      </c>
      <c r="G11" s="18" t="n">
        <v>115498.07</v>
      </c>
      <c r="H11" s="18" t="n">
        <v>119253.71</v>
      </c>
      <c r="I11" s="18" t="n">
        <v>121721.79</v>
      </c>
      <c r="J11" s="18" t="n">
        <v>127844.22</v>
      </c>
      <c r="K11" s="37" t="n">
        <v>127844.22</v>
      </c>
      <c r="L11" s="18" t="n">
        <v>123341.21</v>
      </c>
      <c r="M11" s="18" t="n">
        <v>124651.95</v>
      </c>
      <c r="N11" s="18" t="n">
        <v>123665.12</v>
      </c>
      <c r="O11" s="18" t="n">
        <v>121315.29</v>
      </c>
      <c r="P11" s="37" t="n">
        <v>121315.29</v>
      </c>
      <c r="Q11" s="18" t="n">
        <v>110644.13</v>
      </c>
      <c r="R11" s="18" t="n">
        <v>113427.13</v>
      </c>
      <c r="S11" s="18" t="n">
        <v>113797.91</v>
      </c>
      <c r="T11" s="18" t="n">
        <v>119159.76</v>
      </c>
      <c r="U11" s="37" t="n">
        <v>119159.76</v>
      </c>
      <c r="V11" s="18" t="n">
        <v>125225.5</v>
      </c>
      <c r="W11" s="18" t="n">
        <v>132493.72</v>
      </c>
      <c r="X11" s="18" t="n">
        <v>137226.58</v>
      </c>
      <c r="Y11" s="18" t="n">
        <v>147949.81</v>
      </c>
      <c r="Z11" s="37" t="n">
        <v>147949.81</v>
      </c>
      <c r="AA11" s="18" t="n">
        <v>142619.85</v>
      </c>
      <c r="AB11" s="19" t="n">
        <v>137098.48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466.3</v>
      </c>
      <c r="F12" s="37" t="n">
        <v>466.3</v>
      </c>
      <c r="G12" s="18" t="n">
        <v>506.98</v>
      </c>
      <c r="H12" s="18" t="n">
        <v>217.75</v>
      </c>
      <c r="I12" s="18" t="n">
        <v>200.29</v>
      </c>
      <c r="J12" s="18" t="n">
        <v>1970.86</v>
      </c>
      <c r="K12" s="37" t="n">
        <v>1970.86</v>
      </c>
      <c r="L12" s="18" t="n">
        <v>1685.76</v>
      </c>
      <c r="M12" s="18" t="n">
        <v>1507.74</v>
      </c>
      <c r="N12" s="18" t="n">
        <v>863.74</v>
      </c>
      <c r="O12" s="18" t="n">
        <v>598.9299999999999</v>
      </c>
      <c r="P12" s="37" t="n">
        <v>598.9299999999999</v>
      </c>
      <c r="Q12" s="18" t="n">
        <v>824.42</v>
      </c>
      <c r="R12" s="18" t="n">
        <v>824.14</v>
      </c>
      <c r="S12" s="18" t="n">
        <v>1672.06</v>
      </c>
      <c r="T12" s="18" t="n">
        <v>1653.28</v>
      </c>
      <c r="U12" s="37" t="n">
        <v>1653.28</v>
      </c>
      <c r="V12" s="18" t="n">
        <v>1874.39</v>
      </c>
      <c r="W12" s="18" t="n">
        <v>1607.05</v>
      </c>
      <c r="X12" s="18" t="n">
        <v>899.23</v>
      </c>
      <c r="Y12" s="18" t="n">
        <v>2080.87</v>
      </c>
      <c r="Z12" s="37" t="n">
        <v>2080.87</v>
      </c>
      <c r="AA12" s="18" t="n">
        <v>2740.17</v>
      </c>
      <c r="AB12" s="19" t="n">
        <v>2132.1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246467.93</v>
      </c>
      <c r="F13" s="37" t="n">
        <v>246467.93</v>
      </c>
      <c r="G13" s="18" t="n">
        <v>252380.03</v>
      </c>
      <c r="H13" s="18" t="n">
        <v>252842.58</v>
      </c>
      <c r="I13" s="18" t="n">
        <v>254228.23</v>
      </c>
      <c r="J13" s="18" t="n">
        <v>251200.6</v>
      </c>
      <c r="K13" s="37" t="n">
        <v>251200.6</v>
      </c>
      <c r="L13" s="18" t="n">
        <v>262434.85</v>
      </c>
      <c r="M13" s="18" t="n">
        <v>288830.9</v>
      </c>
      <c r="N13" s="18" t="n">
        <v>286843.69</v>
      </c>
      <c r="O13" s="18" t="n">
        <v>298038.31</v>
      </c>
      <c r="P13" s="37" t="n">
        <v>298038.31</v>
      </c>
      <c r="Q13" s="18" t="n">
        <v>308984.17</v>
      </c>
      <c r="R13" s="18" t="n">
        <v>326067.52</v>
      </c>
      <c r="S13" s="18" t="n">
        <v>336956.34</v>
      </c>
      <c r="T13" s="18" t="n">
        <v>326436.28</v>
      </c>
      <c r="U13" s="37" t="n">
        <v>326436.28</v>
      </c>
      <c r="V13" s="18" t="n">
        <v>332729.75</v>
      </c>
      <c r="W13" s="18" t="n">
        <v>332718.52</v>
      </c>
      <c r="X13" s="18" t="n">
        <v>316392.82</v>
      </c>
      <c r="Y13" s="18" t="n">
        <v>305286.45</v>
      </c>
      <c r="Z13" s="37" t="n">
        <v>305286.45</v>
      </c>
      <c r="AA13" s="18" t="n">
        <v>307690.72</v>
      </c>
      <c r="AB13" s="19" t="n">
        <v>316830.95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33277.24</v>
      </c>
      <c r="F14" s="37" t="n">
        <v>33277.24</v>
      </c>
      <c r="G14" s="18" t="n">
        <v>37556.45</v>
      </c>
      <c r="H14" s="18" t="n">
        <v>37415.98</v>
      </c>
      <c r="I14" s="18" t="n">
        <v>37424.34</v>
      </c>
      <c r="J14" s="18" t="n">
        <v>32837.94</v>
      </c>
      <c r="K14" s="37" t="n">
        <v>32837.94</v>
      </c>
      <c r="L14" s="18" t="n">
        <v>41708.87</v>
      </c>
      <c r="M14" s="18" t="n">
        <v>63100.53</v>
      </c>
      <c r="N14" s="18" t="n">
        <v>51231.81</v>
      </c>
      <c r="O14" s="18" t="n">
        <v>59953.28</v>
      </c>
      <c r="P14" s="37" t="n">
        <v>59953.28</v>
      </c>
      <c r="Q14" s="18" t="n">
        <v>68501.38</v>
      </c>
      <c r="R14" s="18" t="n">
        <v>77323.75999999999</v>
      </c>
      <c r="S14" s="18" t="n">
        <v>87997.39999999999</v>
      </c>
      <c r="T14" s="18" t="n">
        <v>79403.14999999999</v>
      </c>
      <c r="U14" s="37" t="n">
        <v>79403.14999999999</v>
      </c>
      <c r="V14" s="18" t="n">
        <v>83343.44</v>
      </c>
      <c r="W14" s="18" t="n">
        <v>80805.19</v>
      </c>
      <c r="X14" s="18" t="n">
        <v>60404.52</v>
      </c>
      <c r="Y14" s="18" t="n">
        <v>52357.61</v>
      </c>
      <c r="Z14" s="37" t="n">
        <v>52357.61</v>
      </c>
      <c r="AA14" s="18" t="n">
        <v>53390.98</v>
      </c>
      <c r="AB14" s="19" t="n">
        <v>58335.37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103316.89</v>
      </c>
      <c r="F15" s="37" t="n">
        <v>103316.89</v>
      </c>
      <c r="G15" s="18" t="n">
        <v>107596.1</v>
      </c>
      <c r="H15" s="18" t="n">
        <v>107455.63</v>
      </c>
      <c r="I15" s="18" t="n">
        <v>107463.99</v>
      </c>
      <c r="J15" s="18" t="n">
        <v>102877.59</v>
      </c>
      <c r="K15" s="37" t="n">
        <v>102877.59</v>
      </c>
      <c r="L15" s="18" t="n">
        <v>111748.52</v>
      </c>
      <c r="M15" s="18" t="n">
        <v>133140.18</v>
      </c>
      <c r="N15" s="18" t="n">
        <v>121271.46</v>
      </c>
      <c r="O15" s="18" t="n">
        <v>129992.93</v>
      </c>
      <c r="P15" s="37" t="n">
        <v>129992.93</v>
      </c>
      <c r="Q15" s="18" t="n">
        <v>138541.03</v>
      </c>
      <c r="R15" s="18" t="n">
        <v>151063.41</v>
      </c>
      <c r="S15" s="18" t="n">
        <v>161737.05</v>
      </c>
      <c r="T15" s="18" t="n">
        <v>153142.8</v>
      </c>
      <c r="U15" s="37" t="n">
        <v>153142.8</v>
      </c>
      <c r="V15" s="18" t="n">
        <v>157083.09</v>
      </c>
      <c r="W15" s="18" t="n">
        <v>154544.84</v>
      </c>
      <c r="X15" s="18" t="n">
        <v>134144.17</v>
      </c>
      <c r="Y15" s="18" t="n">
        <v>126097.26</v>
      </c>
      <c r="Z15" s="37" t="n">
        <v>126097.26</v>
      </c>
      <c r="AA15" s="18" t="n">
        <v>127130.63</v>
      </c>
      <c r="AB15" s="19" t="n">
        <v>58335.37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5889.27</v>
      </c>
      <c r="F16" s="37" t="n">
        <v>5889.27</v>
      </c>
      <c r="G16" s="18" t="n">
        <v>8043.78</v>
      </c>
      <c r="H16" s="18" t="n">
        <v>8941.51</v>
      </c>
      <c r="I16" s="18" t="n">
        <v>10721.97</v>
      </c>
      <c r="J16" s="18" t="n">
        <v>10504.61</v>
      </c>
      <c r="K16" s="37" t="n">
        <v>10504.61</v>
      </c>
      <c r="L16" s="18" t="n">
        <v>11348.22</v>
      </c>
      <c r="M16" s="18" t="n">
        <v>11599.63</v>
      </c>
      <c r="N16" s="18" t="n">
        <v>13513.58</v>
      </c>
      <c r="O16" s="18" t="n">
        <v>13952.92</v>
      </c>
      <c r="P16" s="37" t="n">
        <v>13952.92</v>
      </c>
      <c r="Q16" s="18" t="n">
        <v>14738.07</v>
      </c>
      <c r="R16" s="18" t="n">
        <v>14754.24</v>
      </c>
      <c r="T16" s="18" t="n">
        <v>11255.92</v>
      </c>
      <c r="U16" s="37" t="n">
        <v>11255.92</v>
      </c>
      <c r="V16" s="18" t="n">
        <v>10655.96</v>
      </c>
      <c r="W16" s="18" t="n">
        <v>11252</v>
      </c>
      <c r="X16" s="18" t="n">
        <v>1761.31</v>
      </c>
      <c r="Y16" s="18" t="n">
        <v>1720.51</v>
      </c>
      <c r="Z16" s="37" t="n">
        <v>1720.51</v>
      </c>
      <c r="AA16" s="18" t="n">
        <v>3454.27</v>
      </c>
      <c r="AB16" s="19" t="n">
        <v>3709.83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기타비유동자산</t>
        </is>
      </c>
      <c r="E17" s="18" t="n">
        <v>1164.57</v>
      </c>
      <c r="F17" s="37" t="n">
        <v>1164.57</v>
      </c>
      <c r="G17" s="18" t="n">
        <v>1196.62</v>
      </c>
      <c r="H17" s="18" t="n">
        <v>1066.56</v>
      </c>
      <c r="I17" s="18" t="n">
        <v>995.42</v>
      </c>
      <c r="J17" s="18" t="n">
        <v>1255.51</v>
      </c>
      <c r="K17" s="37" t="n">
        <v>1255.51</v>
      </c>
      <c r="L17" s="18" t="n">
        <v>1524.25</v>
      </c>
      <c r="M17" s="18" t="n">
        <v>1479.78</v>
      </c>
      <c r="N17" s="18" t="n">
        <v>1979</v>
      </c>
      <c r="O17" s="18" t="n">
        <v>1944.23</v>
      </c>
      <c r="P17" s="37" t="n">
        <v>1944.23</v>
      </c>
      <c r="Q17" s="18" t="n">
        <v>1860.68</v>
      </c>
      <c r="R17" s="18" t="n">
        <v>2011.91</v>
      </c>
      <c r="S17" s="18" t="n">
        <v>1911.07</v>
      </c>
      <c r="T17" s="18" t="n">
        <v>1829.93</v>
      </c>
      <c r="U17" s="37" t="n">
        <v>1829.93</v>
      </c>
      <c r="V17" s="18" t="n">
        <v>1907.94</v>
      </c>
      <c r="W17" s="18" t="n">
        <v>1848.08</v>
      </c>
      <c r="X17" s="18" t="n">
        <v>5739.76</v>
      </c>
      <c r="Y17" s="18" t="n">
        <v>5759.79</v>
      </c>
      <c r="Z17" s="37" t="n">
        <v>5759.79</v>
      </c>
      <c r="AA17" s="18" t="n">
        <v>1911.23</v>
      </c>
      <c r="AB17" s="19" t="n">
        <v>1981.67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139708.68</v>
      </c>
      <c r="F18" s="37" t="n">
        <v>139708.68</v>
      </c>
      <c r="G18" s="18" t="n">
        <v>139166.76</v>
      </c>
      <c r="H18" s="18" t="n">
        <v>139038.85</v>
      </c>
      <c r="I18" s="18" t="n">
        <v>138743.56</v>
      </c>
      <c r="J18" s="18" t="n">
        <v>138613.55</v>
      </c>
      <c r="K18" s="37" t="n">
        <v>138613.55</v>
      </c>
      <c r="L18" s="18" t="n">
        <v>140027.41</v>
      </c>
      <c r="M18" s="18" t="n">
        <v>143002.93</v>
      </c>
      <c r="N18" s="18" t="n">
        <v>147055.07</v>
      </c>
      <c r="O18" s="18" t="n">
        <v>149674.51</v>
      </c>
      <c r="P18" s="37" t="n">
        <v>149674.51</v>
      </c>
      <c r="Q18" s="18" t="n">
        <v>151213.23</v>
      </c>
      <c r="R18" s="18" t="n">
        <v>152845.27</v>
      </c>
      <c r="S18" s="18" t="n">
        <v>153867.02</v>
      </c>
      <c r="T18" s="18" t="n">
        <v>155040.96</v>
      </c>
      <c r="U18" s="37" t="n">
        <v>155040.96</v>
      </c>
      <c r="V18" s="18" t="n">
        <v>157950.18</v>
      </c>
      <c r="W18" s="18" t="n">
        <v>159916.59</v>
      </c>
      <c r="X18" s="18" t="n">
        <v>160993.62</v>
      </c>
      <c r="Y18" s="18" t="n">
        <v>160098.52</v>
      </c>
      <c r="Z18" s="37" t="n">
        <v>160098.52</v>
      </c>
      <c r="AA18" s="18" t="n">
        <v>158984.2</v>
      </c>
      <c r="AB18" s="19" t="n">
        <v>157675.49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1700.65</v>
      </c>
      <c r="F19" s="37" t="n">
        <v>1700.65</v>
      </c>
      <c r="G19" s="18" t="n">
        <v>1688.9</v>
      </c>
      <c r="H19" s="18" t="n">
        <v>1652.16</v>
      </c>
      <c r="I19" s="18" t="n">
        <v>1615.41</v>
      </c>
      <c r="J19" s="18" t="n">
        <v>1610.98</v>
      </c>
      <c r="K19" s="37" t="n">
        <v>1610.98</v>
      </c>
      <c r="L19" s="18" t="n">
        <v>1572.18</v>
      </c>
      <c r="M19" s="18" t="n">
        <v>1568.85</v>
      </c>
      <c r="N19" s="18" t="n">
        <v>1530.55</v>
      </c>
      <c r="O19" s="18" t="n">
        <v>1493.51</v>
      </c>
      <c r="P19" s="37" t="n">
        <v>1493.51</v>
      </c>
      <c r="Q19" s="18" t="n">
        <v>1456.48</v>
      </c>
      <c r="R19" s="18" t="n">
        <v>1420.14</v>
      </c>
      <c r="S19" s="18" t="n">
        <v>1387.81</v>
      </c>
      <c r="T19" s="18" t="n">
        <v>1355.55</v>
      </c>
      <c r="U19" s="37" t="n">
        <v>1355.55</v>
      </c>
      <c r="V19" s="18" t="n">
        <v>1321.45</v>
      </c>
      <c r="W19" s="18" t="n">
        <v>1345.9</v>
      </c>
      <c r="X19" s="18" t="n">
        <v>1335.27</v>
      </c>
      <c r="Y19" s="18" t="n">
        <v>1439.21</v>
      </c>
      <c r="Z19" s="37" t="n">
        <v>1439.21</v>
      </c>
      <c r="AA19" s="18" t="n">
        <v>1430.15</v>
      </c>
      <c r="AB19" s="19" t="n">
        <v>1422.09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70039.64999999999</v>
      </c>
      <c r="F20" s="37" t="n">
        <v>70039.64999999999</v>
      </c>
      <c r="G20" s="18" t="n">
        <v>70039.64999999999</v>
      </c>
      <c r="H20" s="18" t="n">
        <v>70039.64999999999</v>
      </c>
      <c r="I20" s="18" t="n">
        <v>70039.64999999999</v>
      </c>
      <c r="J20" s="18" t="n">
        <v>70039.64999999999</v>
      </c>
      <c r="K20" s="37" t="n">
        <v>70039.64999999999</v>
      </c>
      <c r="L20" s="18" t="n">
        <v>70039.64999999999</v>
      </c>
      <c r="M20" s="18" t="n">
        <v>70039.64999999999</v>
      </c>
      <c r="N20" s="18" t="n">
        <v>70039.64999999999</v>
      </c>
      <c r="O20" s="18" t="n">
        <v>70039.64999999999</v>
      </c>
      <c r="P20" s="37" t="n">
        <v>70039.64999999999</v>
      </c>
      <c r="Q20" s="18" t="n">
        <v>70039.64999999999</v>
      </c>
      <c r="R20" s="18" t="n">
        <v>73739.64999999999</v>
      </c>
      <c r="S20" s="18" t="n">
        <v>73739.64999999999</v>
      </c>
      <c r="T20" s="18" t="n">
        <v>73739.64999999999</v>
      </c>
      <c r="U20" s="37" t="n">
        <v>73739.64999999999</v>
      </c>
      <c r="V20" s="18" t="n">
        <v>73739.64999999999</v>
      </c>
      <c r="W20" s="18" t="n">
        <v>73739.64999999999</v>
      </c>
      <c r="X20" s="18" t="n">
        <v>73739.64999999999</v>
      </c>
      <c r="Y20" s="18" t="n">
        <v>73739.64999999999</v>
      </c>
      <c r="Z20" s="37" t="n">
        <v>73739.64999999999</v>
      </c>
      <c r="AA20" s="18" t="n">
        <v>73739.64999999999</v>
      </c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462734.81</v>
      </c>
      <c r="F21" s="37" t="n">
        <v>462734.81</v>
      </c>
      <c r="G21" s="18" t="n">
        <v>467355.24</v>
      </c>
      <c r="H21" s="18" t="n">
        <v>481198.08</v>
      </c>
      <c r="I21" s="18" t="n">
        <v>507258.07</v>
      </c>
      <c r="J21" s="18" t="n">
        <v>520568.52</v>
      </c>
      <c r="K21" s="37" t="n">
        <v>520568.52</v>
      </c>
      <c r="L21" s="18" t="n">
        <v>529235.03</v>
      </c>
      <c r="M21" s="18" t="n">
        <v>543756.89</v>
      </c>
      <c r="N21" s="18" t="n">
        <v>550355.37</v>
      </c>
      <c r="O21" s="18" t="n">
        <v>550277.65</v>
      </c>
      <c r="P21" s="37" t="n">
        <v>550277.65</v>
      </c>
      <c r="Q21" s="18" t="n">
        <v>569316.2</v>
      </c>
      <c r="R21" s="18" t="n">
        <v>572995.16</v>
      </c>
      <c r="S21" s="18" t="n">
        <v>581093.6800000001</v>
      </c>
      <c r="T21" s="18" t="n">
        <v>587972.75</v>
      </c>
      <c r="U21" s="37" t="n">
        <v>587972.75</v>
      </c>
      <c r="V21" s="18" t="n">
        <v>601642.59</v>
      </c>
      <c r="W21" s="18" t="n">
        <v>613080.2</v>
      </c>
      <c r="X21" s="18" t="n">
        <v>651685.08</v>
      </c>
      <c r="Y21" s="18" t="n">
        <v>673393.0699999999</v>
      </c>
      <c r="Z21" s="37" t="n">
        <v>673393.0699999999</v>
      </c>
      <c r="AA21" s="18" t="n">
        <v>701355.5600000001</v>
      </c>
      <c r="AB21" s="19" t="n">
        <v>757580.27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21820.91</v>
      </c>
      <c r="F22" s="37" t="n">
        <v>21820.91</v>
      </c>
      <c r="G22" s="18" t="n">
        <v>22046.69</v>
      </c>
      <c r="H22" s="18" t="n">
        <v>24592.52</v>
      </c>
      <c r="I22" s="18" t="n">
        <v>40546.26</v>
      </c>
      <c r="J22" s="18" t="n">
        <v>46500.55</v>
      </c>
      <c r="K22" s="37" t="n">
        <v>46500.55</v>
      </c>
      <c r="L22" s="18" t="n">
        <v>40621.84</v>
      </c>
      <c r="M22" s="18" t="n">
        <v>37465.71</v>
      </c>
      <c r="N22" s="18" t="n">
        <v>32707.27</v>
      </c>
      <c r="O22" s="18" t="n">
        <v>28354.97</v>
      </c>
      <c r="P22" s="37" t="n">
        <v>28354.97</v>
      </c>
      <c r="Q22" s="18" t="n">
        <v>35050.96</v>
      </c>
      <c r="R22" s="18" t="n">
        <v>27670.93</v>
      </c>
      <c r="S22" s="18" t="n">
        <v>28846.86</v>
      </c>
      <c r="T22" s="18" t="n">
        <v>28308.13</v>
      </c>
      <c r="U22" s="37" t="n">
        <v>28308.13</v>
      </c>
      <c r="V22" s="18" t="n">
        <v>37927.34</v>
      </c>
      <c r="W22" s="18" t="n">
        <v>32084.26</v>
      </c>
      <c r="X22" s="18" t="n">
        <v>37364.16</v>
      </c>
      <c r="Y22" s="18" t="n">
        <v>41007.91</v>
      </c>
      <c r="Z22" s="37" t="n">
        <v>41007.91</v>
      </c>
      <c r="AA22" s="18" t="n">
        <v>45146.79</v>
      </c>
      <c r="AB22" s="19" t="n">
        <v>40554.04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17163.12</v>
      </c>
      <c r="F23" s="37" t="n">
        <v>17163.12</v>
      </c>
      <c r="G23" s="18" t="n">
        <v>14271.6</v>
      </c>
      <c r="H23" s="18" t="n">
        <v>17556.15</v>
      </c>
      <c r="I23" s="18" t="n">
        <v>19129.69</v>
      </c>
      <c r="J23" s="18" t="n">
        <v>29964.03</v>
      </c>
      <c r="K23" s="37" t="n">
        <v>29964.03</v>
      </c>
      <c r="L23" s="18" t="n">
        <v>23355.93</v>
      </c>
      <c r="M23" s="18" t="n">
        <v>25733.33</v>
      </c>
      <c r="N23" s="18" t="n">
        <v>20576.96</v>
      </c>
      <c r="O23" s="18" t="n">
        <v>17996.19</v>
      </c>
      <c r="P23" s="37" t="n">
        <v>17996.19</v>
      </c>
      <c r="Q23" s="18" t="n">
        <v>17134.08</v>
      </c>
      <c r="R23" s="18" t="n">
        <v>20388.99</v>
      </c>
      <c r="S23" s="18" t="n">
        <v>21861.23</v>
      </c>
      <c r="T23" s="18" t="n">
        <v>20573</v>
      </c>
      <c r="U23" s="37" t="n">
        <v>20573</v>
      </c>
      <c r="V23" s="18" t="n">
        <v>24350.96</v>
      </c>
      <c r="W23" s="18" t="n">
        <v>25541.23</v>
      </c>
      <c r="X23" s="18" t="n">
        <v>25467.13</v>
      </c>
      <c r="Y23" s="18" t="n">
        <v>29743.51</v>
      </c>
      <c r="Z23" s="37" t="n">
        <v>29743.51</v>
      </c>
      <c r="AA23" s="18" t="n">
        <v>24389.23</v>
      </c>
      <c r="AB23" s="19" t="n">
        <v>23188.75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기타유동부채</t>
        </is>
      </c>
      <c r="E24" s="18" t="n">
        <v>1210.53</v>
      </c>
      <c r="F24" s="37" t="n">
        <v>1210.53</v>
      </c>
      <c r="G24" s="18" t="n">
        <v>1564.26</v>
      </c>
      <c r="H24" s="18" t="n">
        <v>1558.96</v>
      </c>
      <c r="I24" s="18" t="n">
        <v>5978.7</v>
      </c>
      <c r="J24" s="18" t="n">
        <v>7177.35</v>
      </c>
      <c r="K24" s="37" t="n">
        <v>7177.35</v>
      </c>
      <c r="L24" s="18" t="n">
        <v>2625.22</v>
      </c>
      <c r="M24" s="18" t="n">
        <v>2370.4</v>
      </c>
      <c r="N24" s="18" t="n">
        <v>1155.36</v>
      </c>
      <c r="O24" s="18" t="n">
        <v>1732</v>
      </c>
      <c r="P24" s="37" t="n">
        <v>1732</v>
      </c>
      <c r="Q24" s="18" t="n">
        <v>1494.8</v>
      </c>
      <c r="R24" s="18" t="n">
        <v>1175.51</v>
      </c>
      <c r="S24" s="18" t="n">
        <v>1996.9</v>
      </c>
      <c r="T24" s="18" t="n">
        <v>2603.54</v>
      </c>
      <c r="U24" s="37" t="n">
        <v>2603.54</v>
      </c>
      <c r="V24" s="18" t="n">
        <v>1367</v>
      </c>
      <c r="W24" s="18" t="n">
        <v>1233.83</v>
      </c>
      <c r="X24" s="18" t="n">
        <v>401.76</v>
      </c>
      <c r="Y24" s="18" t="n">
        <v>919.6900000000001</v>
      </c>
      <c r="Z24" s="37" t="n">
        <v>919.6900000000001</v>
      </c>
      <c r="AA24" s="18" t="n">
        <v>510.79</v>
      </c>
      <c r="AB24" s="19" t="n">
        <v>413.62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기타유동금융부채</t>
        </is>
      </c>
      <c r="E25" s="18" t="n">
        <v>455.86</v>
      </c>
      <c r="F25" s="37" t="n">
        <v>455.86</v>
      </c>
      <c r="G25" s="18" t="n">
        <v>3009.64</v>
      </c>
      <c r="H25" s="18" t="n">
        <v>388</v>
      </c>
      <c r="I25" s="18" t="n">
        <v>1661.19</v>
      </c>
      <c r="J25" s="18" t="n">
        <v>494.33</v>
      </c>
      <c r="K25" s="37" t="n">
        <v>494.33</v>
      </c>
      <c r="L25" s="18" t="n">
        <v>4988.85</v>
      </c>
      <c r="M25" s="18" t="n">
        <v>524.0700000000001</v>
      </c>
      <c r="N25" s="18" t="n">
        <v>614.1799999999999</v>
      </c>
      <c r="O25" s="18" t="n">
        <v>620.55</v>
      </c>
      <c r="P25" s="37" t="n">
        <v>620.55</v>
      </c>
      <c r="Q25" s="18" t="n">
        <v>5052.12</v>
      </c>
      <c r="R25" s="18" t="n">
        <v>665.35</v>
      </c>
      <c r="S25" s="18" t="n">
        <v>631.84</v>
      </c>
      <c r="U25" s="9" t="n"/>
      <c r="V25" s="18" t="n">
        <v>6466.81</v>
      </c>
      <c r="X25" s="18" t="n">
        <v>0</v>
      </c>
      <c r="Y25" s="18" t="n">
        <v>0</v>
      </c>
      <c r="Z25" s="37" t="n">
        <v>0</v>
      </c>
      <c r="AA25" s="18" t="n">
        <v>6466.81</v>
      </c>
      <c r="AB25" s="19" t="n">
        <v>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455.86</v>
      </c>
      <c r="F26" s="37" t="n">
        <v>455.86</v>
      </c>
      <c r="G26" s="18" t="n">
        <v>3009.64</v>
      </c>
      <c r="H26" s="18" t="n">
        <v>388</v>
      </c>
      <c r="I26" s="18" t="n">
        <v>1661.19</v>
      </c>
      <c r="J26" s="18" t="n">
        <v>494.33</v>
      </c>
      <c r="K26" s="37" t="n">
        <v>494.33</v>
      </c>
      <c r="L26" s="18" t="n">
        <v>4988.85</v>
      </c>
      <c r="M26" s="18" t="n">
        <v>524.0700000000001</v>
      </c>
      <c r="N26" s="18" t="n">
        <v>614.1799999999999</v>
      </c>
      <c r="O26" s="18" t="n">
        <v>620.55</v>
      </c>
      <c r="P26" s="37" t="n">
        <v>620.55</v>
      </c>
      <c r="Q26" s="18" t="n">
        <v>5052.12</v>
      </c>
      <c r="R26" s="18" t="n">
        <v>665.35</v>
      </c>
      <c r="S26" s="18" t="n">
        <v>631.84</v>
      </c>
      <c r="T26" s="18" t="n">
        <v>622.36</v>
      </c>
      <c r="U26" s="37" t="n">
        <v>622.36</v>
      </c>
      <c r="V26" s="18" t="n">
        <v>7201.84</v>
      </c>
      <c r="W26" s="18" t="n">
        <v>736.9</v>
      </c>
      <c r="X26" s="18" t="n">
        <v>796.45</v>
      </c>
      <c r="Y26" s="18" t="n">
        <v>757.3200000000001</v>
      </c>
      <c r="Z26" s="37" t="n">
        <v>757.3200000000001</v>
      </c>
      <c r="AA26" s="18" t="n">
        <v>7253.06</v>
      </c>
      <c r="AB26" s="19" t="n">
        <v>815.84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2991.41</v>
      </c>
      <c r="F27" s="37" t="n">
        <v>2991.41</v>
      </c>
      <c r="G27" s="18" t="n">
        <v>3201.2</v>
      </c>
      <c r="H27" s="18" t="n">
        <v>5089.41</v>
      </c>
      <c r="I27" s="18" t="n">
        <v>13776.68</v>
      </c>
      <c r="J27" s="18" t="n">
        <v>8864.84</v>
      </c>
      <c r="K27" s="37" t="n">
        <v>8864.84</v>
      </c>
      <c r="L27" s="18" t="n">
        <v>9651.84</v>
      </c>
      <c r="M27" s="18" t="n">
        <v>8837.91</v>
      </c>
      <c r="N27" s="18" t="n">
        <v>10360.76</v>
      </c>
      <c r="O27" s="18" t="n">
        <v>8006.24</v>
      </c>
      <c r="P27" s="37" t="n">
        <v>8006.24</v>
      </c>
      <c r="Q27" s="18" t="n">
        <v>11369.96</v>
      </c>
      <c r="R27" s="18" t="n">
        <v>5441.08</v>
      </c>
      <c r="S27" s="18" t="n">
        <v>4356.89</v>
      </c>
      <c r="T27" s="18" t="n">
        <v>4509.24</v>
      </c>
      <c r="U27" s="37" t="n">
        <v>4509.24</v>
      </c>
      <c r="V27" s="18" t="n">
        <v>5007.54</v>
      </c>
      <c r="W27" s="18" t="n">
        <v>4572.31</v>
      </c>
      <c r="X27" s="18" t="n">
        <v>9973.389999999999</v>
      </c>
      <c r="Y27" s="18" t="n">
        <v>8798.620000000001</v>
      </c>
      <c r="Z27" s="37" t="n">
        <v>8798.620000000001</v>
      </c>
      <c r="AA27" s="18" t="n">
        <v>11116.2</v>
      </c>
      <c r="AB27" s="19" t="n">
        <v>14632.3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7414.36</v>
      </c>
      <c r="F28" s="37" t="n">
        <v>7414.36</v>
      </c>
      <c r="G28" s="18" t="n">
        <v>7855.92</v>
      </c>
      <c r="H28" s="18" t="n">
        <v>7788.83</v>
      </c>
      <c r="I28" s="18" t="n">
        <v>8454.73</v>
      </c>
      <c r="J28" s="18" t="n">
        <v>7133.64</v>
      </c>
      <c r="K28" s="37" t="n">
        <v>7133.64</v>
      </c>
      <c r="L28" s="18" t="n">
        <v>7388.12</v>
      </c>
      <c r="M28" s="18" t="n">
        <v>8172.4</v>
      </c>
      <c r="N28" s="18" t="n">
        <v>8185.14</v>
      </c>
      <c r="O28" s="18" t="n">
        <v>7833.07</v>
      </c>
      <c r="P28" s="37" t="n">
        <v>7833.07</v>
      </c>
      <c r="Q28" s="18" t="n">
        <v>8396.91</v>
      </c>
      <c r="R28" s="18" t="n">
        <v>9706.860000000001</v>
      </c>
      <c r="S28" s="18" t="n">
        <v>9396.1</v>
      </c>
      <c r="T28" s="18" t="n">
        <v>8232.299999999999</v>
      </c>
      <c r="U28" s="37" t="n">
        <v>8232.299999999999</v>
      </c>
      <c r="V28" s="18" t="n">
        <v>8238.82</v>
      </c>
      <c r="W28" s="18" t="n">
        <v>9663.77</v>
      </c>
      <c r="X28" s="18" t="n">
        <v>14580.9</v>
      </c>
      <c r="Y28" s="18" t="n">
        <v>15606.95</v>
      </c>
      <c r="Z28" s="37" t="n">
        <v>15606.95</v>
      </c>
      <c r="AA28" s="18" t="n">
        <v>18629.5</v>
      </c>
      <c r="AB28" s="19" t="n">
        <v>26699.32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확정급여부채</t>
        </is>
      </c>
      <c r="E29" s="18" t="n">
        <v>2327.44</v>
      </c>
      <c r="F29" s="37" t="n">
        <v>2327.44</v>
      </c>
      <c r="G29" s="18" t="n">
        <v>2695.59</v>
      </c>
      <c r="H29" s="18" t="n">
        <v>2380.25</v>
      </c>
      <c r="I29" s="18" t="n">
        <v>2982.58</v>
      </c>
      <c r="K29" s="9" t="n"/>
      <c r="P29" s="9" t="n"/>
      <c r="U29" s="9" t="n"/>
      <c r="V29" s="18" t="n">
        <v>259.86</v>
      </c>
      <c r="W29" s="18" t="n">
        <v>181.27</v>
      </c>
      <c r="X29" s="18" t="n">
        <v>0</v>
      </c>
      <c r="Y29" s="18" t="n">
        <v>0</v>
      </c>
      <c r="Z29" s="37" t="n">
        <v>0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이연법인세부채</t>
        </is>
      </c>
      <c r="E30" s="18" t="n">
        <v>2045.55</v>
      </c>
      <c r="F30" s="37" t="n">
        <v>2045.55</v>
      </c>
      <c r="G30" s="18" t="n">
        <v>1997.64</v>
      </c>
      <c r="H30" s="18" t="n">
        <v>2089</v>
      </c>
      <c r="I30" s="18" t="n">
        <v>1816.58</v>
      </c>
      <c r="J30" s="18" t="n">
        <v>2919.57</v>
      </c>
      <c r="K30" s="37" t="n">
        <v>2919.57</v>
      </c>
      <c r="L30" s="18" t="n">
        <v>3255.76</v>
      </c>
      <c r="M30" s="18" t="n">
        <v>3791.65</v>
      </c>
      <c r="N30" s="18" t="n">
        <v>3267.46</v>
      </c>
      <c r="O30" s="18" t="n">
        <v>2947.94</v>
      </c>
      <c r="P30" s="37" t="n">
        <v>2947.94</v>
      </c>
      <c r="Q30" s="18" t="n">
        <v>3899.14</v>
      </c>
      <c r="R30" s="18" t="n">
        <v>4347.81</v>
      </c>
      <c r="S30" s="18" t="n">
        <v>4254.8</v>
      </c>
      <c r="T30" s="18" t="n">
        <v>3174.24</v>
      </c>
      <c r="U30" s="37" t="n">
        <v>3174.24</v>
      </c>
      <c r="V30" s="18" t="n">
        <v>3537.16</v>
      </c>
      <c r="W30" s="18" t="n">
        <v>4899.83</v>
      </c>
      <c r="X30" s="18" t="n">
        <v>9690.280000000001</v>
      </c>
      <c r="Y30" s="18" t="n">
        <v>10569.41</v>
      </c>
      <c r="Z30" s="37" t="n">
        <v>10569.41</v>
      </c>
      <c r="AA30" s="18" t="n">
        <v>13977.54</v>
      </c>
      <c r="AB30" s="19" t="n">
        <v>21831.48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장기충당부채</t>
        </is>
      </c>
      <c r="E31" s="18" t="n">
        <v>2272.36</v>
      </c>
      <c r="F31" s="37" t="n">
        <v>2272.36</v>
      </c>
      <c r="G31" s="18" t="n">
        <v>2322.13</v>
      </c>
      <c r="H31" s="18" t="n">
        <v>2569.93</v>
      </c>
      <c r="I31" s="18" t="n">
        <v>2985.97</v>
      </c>
      <c r="J31" s="18" t="n">
        <v>3334.05</v>
      </c>
      <c r="K31" s="37" t="n">
        <v>3334.05</v>
      </c>
      <c r="L31" s="18" t="n">
        <v>3038.86</v>
      </c>
      <c r="M31" s="18" t="n">
        <v>3336.33</v>
      </c>
      <c r="N31" s="18" t="n">
        <v>3455.91</v>
      </c>
      <c r="O31" s="18" t="n">
        <v>3455.41</v>
      </c>
      <c r="P31" s="37" t="n">
        <v>3455.41</v>
      </c>
      <c r="Q31" s="18" t="n">
        <v>3184.91</v>
      </c>
      <c r="R31" s="18" t="n">
        <v>3901.36</v>
      </c>
      <c r="S31" s="18" t="n">
        <v>3747.9</v>
      </c>
      <c r="T31" s="18" t="n">
        <v>3642.15</v>
      </c>
      <c r="U31" s="37" t="n">
        <v>3642.15</v>
      </c>
      <c r="V31" s="18" t="n">
        <v>3146.15</v>
      </c>
      <c r="W31" s="18" t="n">
        <v>3346.25</v>
      </c>
      <c r="X31" s="18" t="n">
        <v>3513.43</v>
      </c>
      <c r="Y31" s="18" t="n">
        <v>3797.78</v>
      </c>
      <c r="Z31" s="37" t="n">
        <v>3797.78</v>
      </c>
      <c r="AA31" s="18" t="n">
        <v>3405.83</v>
      </c>
      <c r="AB31" s="19" t="n">
        <v>3609.07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기타비유동금융부채</t>
        </is>
      </c>
      <c r="E32" s="18" t="n">
        <v>769</v>
      </c>
      <c r="F32" s="37" t="n">
        <v>769</v>
      </c>
      <c r="G32" s="18" t="n">
        <v>840.5700000000001</v>
      </c>
      <c r="H32" s="18" t="n">
        <v>749.65</v>
      </c>
      <c r="I32" s="18" t="n">
        <v>669.6</v>
      </c>
      <c r="J32" s="18" t="n">
        <v>880.01</v>
      </c>
      <c r="K32" s="37" t="n">
        <v>880.01</v>
      </c>
      <c r="L32" s="18" t="n">
        <v>1093.5</v>
      </c>
      <c r="M32" s="18" t="n">
        <v>1044.41</v>
      </c>
      <c r="N32" s="18" t="n">
        <v>1461.77</v>
      </c>
      <c r="O32" s="18" t="n">
        <v>1429.72</v>
      </c>
      <c r="P32" s="37" t="n">
        <v>1429.72</v>
      </c>
      <c r="Q32" s="18" t="n">
        <v>1312.86</v>
      </c>
      <c r="R32" s="18" t="n">
        <v>1457.68</v>
      </c>
      <c r="S32" s="18" t="n">
        <v>1393.41</v>
      </c>
      <c r="U32" s="9" t="n"/>
      <c r="Z32" s="9" t="n"/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769</v>
      </c>
      <c r="F33" s="37" t="n">
        <v>769</v>
      </c>
      <c r="G33" s="18" t="n">
        <v>840.5700000000001</v>
      </c>
      <c r="H33" s="18" t="n">
        <v>749.65</v>
      </c>
      <c r="I33" s="18" t="n">
        <v>669.6</v>
      </c>
      <c r="J33" s="18" t="n">
        <v>880.01</v>
      </c>
      <c r="K33" s="37" t="n">
        <v>880.01</v>
      </c>
      <c r="L33" s="18" t="n">
        <v>1093.5</v>
      </c>
      <c r="M33" s="18" t="n">
        <v>1044.41</v>
      </c>
      <c r="N33" s="18" t="n">
        <v>1461.77</v>
      </c>
      <c r="O33" s="18" t="n">
        <v>1429.72</v>
      </c>
      <c r="P33" s="37" t="n">
        <v>1429.72</v>
      </c>
      <c r="Q33" s="18" t="n">
        <v>1312.86</v>
      </c>
      <c r="R33" s="18" t="n">
        <v>1457.68</v>
      </c>
      <c r="S33" s="18" t="n">
        <v>1393.41</v>
      </c>
      <c r="T33" s="18" t="n">
        <v>1326.13</v>
      </c>
      <c r="U33" s="37" t="n">
        <v>1326.13</v>
      </c>
      <c r="V33" s="18" t="n">
        <v>1295.66</v>
      </c>
      <c r="W33" s="18" t="n">
        <v>1236.42</v>
      </c>
      <c r="X33" s="18" t="n">
        <v>1377.19</v>
      </c>
      <c r="Y33" s="18" t="n">
        <v>1239.75</v>
      </c>
      <c r="Z33" s="37" t="n">
        <v>1239.75</v>
      </c>
      <c r="AA33" s="18" t="n">
        <v>1246.13</v>
      </c>
      <c r="AB33" s="19" t="n">
        <v>1258.77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부채총계</t>
        </is>
      </c>
      <c r="E34" s="18" t="n">
        <v>29235.27</v>
      </c>
      <c r="F34" s="37" t="n">
        <v>29235.27</v>
      </c>
      <c r="G34" s="18" t="n">
        <v>29902.62</v>
      </c>
      <c r="H34" s="18" t="n">
        <v>32381.35</v>
      </c>
      <c r="I34" s="18" t="n">
        <v>49000.98</v>
      </c>
      <c r="J34" s="18" t="n">
        <v>53634.18</v>
      </c>
      <c r="K34" s="37" t="n">
        <v>53634.18</v>
      </c>
      <c r="L34" s="18" t="n">
        <v>48009.96</v>
      </c>
      <c r="M34" s="18" t="n">
        <v>45638.1</v>
      </c>
      <c r="N34" s="18" t="n">
        <v>40892.41</v>
      </c>
      <c r="O34" s="18" t="n">
        <v>36188.05</v>
      </c>
      <c r="P34" s="37" t="n">
        <v>36188.05</v>
      </c>
      <c r="Q34" s="18" t="n">
        <v>43447.87</v>
      </c>
      <c r="R34" s="18" t="n">
        <v>37377.78</v>
      </c>
      <c r="S34" s="18" t="n">
        <v>38242.96</v>
      </c>
      <c r="T34" s="18" t="n">
        <v>36540.43</v>
      </c>
      <c r="U34" s="37" t="n">
        <v>36540.43</v>
      </c>
      <c r="V34" s="18" t="n">
        <v>46166.16</v>
      </c>
      <c r="W34" s="18" t="n">
        <v>41748.03</v>
      </c>
      <c r="X34" s="18" t="n">
        <v>51945.06</v>
      </c>
      <c r="Y34" s="18" t="n">
        <v>56614.86</v>
      </c>
      <c r="Z34" s="37" t="n">
        <v>56614.86</v>
      </c>
      <c r="AA34" s="18" t="n">
        <v>63776.29</v>
      </c>
      <c r="AB34" s="19" t="n">
        <v>67253.36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자본금</t>
        </is>
      </c>
      <c r="E35" s="18" t="n">
        <v>13250</v>
      </c>
      <c r="F35" s="37" t="n">
        <v>13250</v>
      </c>
      <c r="G35" s="18" t="n">
        <v>13250</v>
      </c>
      <c r="H35" s="18" t="n">
        <v>13250</v>
      </c>
      <c r="I35" s="18" t="n">
        <v>13250</v>
      </c>
      <c r="J35" s="18" t="n">
        <v>13250</v>
      </c>
      <c r="K35" s="37" t="n">
        <v>13250</v>
      </c>
      <c r="L35" s="18" t="n">
        <v>13250</v>
      </c>
      <c r="M35" s="18" t="n">
        <v>13250</v>
      </c>
      <c r="N35" s="18" t="n">
        <v>13250</v>
      </c>
      <c r="O35" s="18" t="n">
        <v>13250</v>
      </c>
      <c r="P35" s="37" t="n">
        <v>13250</v>
      </c>
      <c r="Q35" s="18" t="n">
        <v>13250</v>
      </c>
      <c r="R35" s="18" t="n">
        <v>13250</v>
      </c>
      <c r="S35" s="18" t="n">
        <v>13250</v>
      </c>
      <c r="T35" s="18" t="n">
        <v>13250</v>
      </c>
      <c r="U35" s="37" t="n">
        <v>13250</v>
      </c>
      <c r="V35" s="18" t="n">
        <v>13250</v>
      </c>
      <c r="W35" s="18" t="n">
        <v>13250</v>
      </c>
      <c r="X35" s="18" t="n">
        <v>13250</v>
      </c>
      <c r="Y35" s="18" t="n">
        <v>13250</v>
      </c>
      <c r="Z35" s="37" t="n">
        <v>13250</v>
      </c>
      <c r="AA35" s="18" t="n">
        <v>13250</v>
      </c>
      <c r="AB35" s="19" t="n">
        <v>13250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자본잉여금</t>
        </is>
      </c>
      <c r="E36" s="18" t="n">
        <v>34425.4</v>
      </c>
      <c r="F36" s="37" t="n">
        <v>34425.4</v>
      </c>
      <c r="G36" s="18" t="n">
        <v>34425.4</v>
      </c>
      <c r="H36" s="18" t="n">
        <v>34425.4</v>
      </c>
      <c r="I36" s="18" t="n">
        <v>34425.4</v>
      </c>
      <c r="J36" s="18" t="n">
        <v>34425.4</v>
      </c>
      <c r="K36" s="37" t="n">
        <v>34425.4</v>
      </c>
      <c r="L36" s="18" t="n">
        <v>34425.4</v>
      </c>
      <c r="M36" s="18" t="n">
        <v>34425.4</v>
      </c>
      <c r="N36" s="18" t="n">
        <v>34425.4</v>
      </c>
      <c r="O36" s="18" t="n">
        <v>34425.4</v>
      </c>
      <c r="P36" s="37" t="n">
        <v>34425.4</v>
      </c>
      <c r="Q36" s="18" t="n">
        <v>34425.4</v>
      </c>
      <c r="R36" s="18" t="n">
        <v>34425.4</v>
      </c>
      <c r="S36" s="18" t="n">
        <v>34425.4</v>
      </c>
      <c r="T36" s="18" t="n">
        <v>34425.4</v>
      </c>
      <c r="U36" s="37" t="n">
        <v>34425.4</v>
      </c>
      <c r="V36" s="18" t="n">
        <v>34425.4</v>
      </c>
      <c r="W36" s="18" t="n">
        <v>17425.4</v>
      </c>
      <c r="X36" s="18" t="n">
        <v>17425.4</v>
      </c>
      <c r="Y36" s="18" t="n">
        <v>17425.4</v>
      </c>
      <c r="Z36" s="37" t="n">
        <v>17425.4</v>
      </c>
      <c r="AA36" s="18" t="n">
        <v>17425.4</v>
      </c>
      <c r="AB36" s="19" t="n">
        <v>17425.4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기타자본</t>
        </is>
      </c>
      <c r="E37" s="18" t="n">
        <v>-11222.62</v>
      </c>
      <c r="F37" s="37" t="n">
        <v>-11222.62</v>
      </c>
      <c r="G37" s="18" t="n">
        <v>-11222.62</v>
      </c>
      <c r="H37" s="18" t="n">
        <v>-11222.62</v>
      </c>
      <c r="I37" s="18" t="n">
        <v>-11222.62</v>
      </c>
      <c r="J37" s="18" t="n">
        <v>-11222.62</v>
      </c>
      <c r="K37" s="37" t="n">
        <v>-11222.62</v>
      </c>
      <c r="L37" s="18" t="n">
        <v>-11222.62</v>
      </c>
      <c r="M37" s="18" t="n">
        <v>-11222.62</v>
      </c>
      <c r="N37" s="18" t="n">
        <v>-11222.62</v>
      </c>
      <c r="O37" s="18" t="n">
        <v>-11222.62</v>
      </c>
      <c r="P37" s="37" t="n">
        <v>-11222.62</v>
      </c>
      <c r="Q37" s="18" t="n">
        <v>-11222.62</v>
      </c>
      <c r="R37" s="18" t="n">
        <v>-11222.62</v>
      </c>
      <c r="S37" s="18" t="n">
        <v>-11222.62</v>
      </c>
      <c r="T37" s="18" t="n">
        <v>-11222.62</v>
      </c>
      <c r="U37" s="37" t="n">
        <v>-11222.62</v>
      </c>
      <c r="V37" s="18" t="n">
        <v>-11222.62</v>
      </c>
      <c r="W37" s="18" t="n">
        <v>-11222.62</v>
      </c>
      <c r="X37" s="18" t="n">
        <v>-11222.62</v>
      </c>
      <c r="Y37" s="18" t="n">
        <v>-11222.62</v>
      </c>
      <c r="Z37" s="37" t="n">
        <v>-11222.62</v>
      </c>
      <c r="AA37" s="18" t="n">
        <v>0</v>
      </c>
      <c r="AB37" s="19" t="n">
        <v>-4658.56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기타포괄이익누계액</t>
        </is>
      </c>
      <c r="E38" s="18" t="n">
        <v>-1541.77</v>
      </c>
      <c r="F38" s="37" t="n">
        <v>-1541.77</v>
      </c>
      <c r="G38" s="18" t="n">
        <v>-1541.77</v>
      </c>
      <c r="H38" s="18" t="n">
        <v>-1541.77</v>
      </c>
      <c r="I38" s="18" t="n">
        <v>-1541.77</v>
      </c>
      <c r="J38" s="18" t="n">
        <v>-1554.05</v>
      </c>
      <c r="K38" s="37" t="n">
        <v>-1554.05</v>
      </c>
      <c r="L38" s="18" t="n">
        <v>-1554.05</v>
      </c>
      <c r="M38" s="18" t="n">
        <v>-1554.05</v>
      </c>
      <c r="N38" s="18" t="n">
        <v>-1554.05</v>
      </c>
      <c r="O38" s="18" t="n">
        <v>-1874.26</v>
      </c>
      <c r="P38" s="37" t="n">
        <v>-1874.26</v>
      </c>
      <c r="Q38" s="18" t="n">
        <v>-1874.26</v>
      </c>
      <c r="R38" s="18" t="n">
        <v>-1874.26</v>
      </c>
      <c r="S38" s="18" t="n">
        <v>-1874.26</v>
      </c>
      <c r="T38" s="18" t="n">
        <v>-1644.6</v>
      </c>
      <c r="U38" s="37" t="n">
        <v>-1644.6</v>
      </c>
      <c r="V38" s="18" t="n">
        <v>-1644.6</v>
      </c>
      <c r="W38" s="18" t="n">
        <v>-1644.6</v>
      </c>
      <c r="X38" s="18" t="n">
        <v>-1644.6</v>
      </c>
      <c r="Y38" s="18" t="n">
        <v>-1437.67</v>
      </c>
      <c r="Z38" s="37" t="n">
        <v>-1437.67</v>
      </c>
      <c r="AA38" s="18" t="n">
        <v>-1437.67</v>
      </c>
      <c r="AB38" s="19" t="n">
        <v>-1437.67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이익잉여금</t>
        </is>
      </c>
      <c r="E39" s="18" t="n">
        <v>398588.53</v>
      </c>
      <c r="F39" s="37" t="n">
        <v>398588.53</v>
      </c>
      <c r="G39" s="18" t="n">
        <v>402541.61</v>
      </c>
      <c r="H39" s="18" t="n">
        <v>413905.71</v>
      </c>
      <c r="I39" s="18" t="n">
        <v>423346.08</v>
      </c>
      <c r="J39" s="18" t="n">
        <v>432035.61</v>
      </c>
      <c r="K39" s="37" t="n">
        <v>432035.61</v>
      </c>
      <c r="L39" s="18" t="n">
        <v>446326.35</v>
      </c>
      <c r="M39" s="18" t="n">
        <v>463220.06</v>
      </c>
      <c r="N39" s="18" t="n">
        <v>474564.24</v>
      </c>
      <c r="O39" s="18" t="n">
        <v>479511.08</v>
      </c>
      <c r="P39" s="37" t="n">
        <v>479511.08</v>
      </c>
      <c r="Q39" s="18" t="n">
        <v>491289.81</v>
      </c>
      <c r="R39" s="18" t="n">
        <v>501038.85</v>
      </c>
      <c r="S39" s="18" t="n">
        <v>508272.2</v>
      </c>
      <c r="T39" s="18" t="n">
        <v>516624.14</v>
      </c>
      <c r="U39" s="37" t="n">
        <v>516624.14</v>
      </c>
      <c r="V39" s="18" t="n">
        <v>520668.25</v>
      </c>
      <c r="W39" s="18" t="n">
        <v>553523.99</v>
      </c>
      <c r="X39" s="18" t="n">
        <v>581931.85</v>
      </c>
      <c r="Y39" s="18" t="n">
        <v>598763.1</v>
      </c>
      <c r="Z39" s="37" t="n">
        <v>598763.1</v>
      </c>
      <c r="AA39" s="18" t="n">
        <v>608341.53</v>
      </c>
      <c r="AB39" s="19" t="n">
        <v>665747.73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자본총계</t>
        </is>
      </c>
      <c r="E40" s="18" t="n">
        <v>433499.54</v>
      </c>
      <c r="F40" s="37" t="n">
        <v>433499.54</v>
      </c>
      <c r="G40" s="18" t="n">
        <v>437452.62</v>
      </c>
      <c r="H40" s="18" t="n">
        <v>448816.73</v>
      </c>
      <c r="I40" s="18" t="n">
        <v>458257.09</v>
      </c>
      <c r="J40" s="18" t="n">
        <v>466934.34</v>
      </c>
      <c r="K40" s="37" t="n">
        <v>466934.34</v>
      </c>
      <c r="L40" s="18" t="n">
        <v>481225.08</v>
      </c>
      <c r="M40" s="18" t="n">
        <v>498118.79</v>
      </c>
      <c r="N40" s="18" t="n">
        <v>509462.96</v>
      </c>
      <c r="O40" s="18" t="n">
        <v>514089.6</v>
      </c>
      <c r="P40" s="37" t="n">
        <v>514089.6</v>
      </c>
      <c r="Q40" s="18" t="n">
        <v>525868.33</v>
      </c>
      <c r="R40" s="18" t="n">
        <v>535617.37</v>
      </c>
      <c r="S40" s="18" t="n">
        <v>542850.72</v>
      </c>
      <c r="T40" s="18" t="n">
        <v>551432.3199999999</v>
      </c>
      <c r="U40" s="37" t="n">
        <v>551432.3199999999</v>
      </c>
      <c r="V40" s="18" t="n">
        <v>555476.42</v>
      </c>
      <c r="W40" s="18" t="n">
        <v>571332.17</v>
      </c>
      <c r="X40" s="18" t="n">
        <v>599740.02</v>
      </c>
      <c r="Y40" s="18" t="n">
        <v>616778.21</v>
      </c>
      <c r="Z40" s="37" t="n">
        <v>616778.21</v>
      </c>
      <c r="AA40" s="18" t="n">
        <v>637579.26</v>
      </c>
      <c r="AB40" s="19" t="n">
        <v>690326.91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부채와자본총계</t>
        </is>
      </c>
      <c r="E41" s="18" t="n">
        <v>462734.81</v>
      </c>
      <c r="F41" s="37" t="n">
        <v>462734.81</v>
      </c>
      <c r="G41" s="18" t="n">
        <v>467355.24</v>
      </c>
      <c r="H41" s="18" t="n">
        <v>481198.08</v>
      </c>
      <c r="I41" s="18" t="n">
        <v>507258.07</v>
      </c>
      <c r="J41" s="18" t="n">
        <v>520568.52</v>
      </c>
      <c r="K41" s="37" t="n">
        <v>520568.52</v>
      </c>
      <c r="L41" s="18" t="n">
        <v>529235.03</v>
      </c>
      <c r="M41" s="18" t="n">
        <v>543756.89</v>
      </c>
      <c r="N41" s="18" t="n">
        <v>550355.37</v>
      </c>
      <c r="O41" s="18" t="n">
        <v>550277.65</v>
      </c>
      <c r="P41" s="37" t="n">
        <v>550277.65</v>
      </c>
      <c r="Q41" s="18" t="n">
        <v>569316.2</v>
      </c>
      <c r="R41" s="18" t="n">
        <v>572995.16</v>
      </c>
      <c r="S41" s="18" t="n">
        <v>581093.6800000001</v>
      </c>
      <c r="T41" s="18" t="n">
        <v>587972.75</v>
      </c>
      <c r="U41" s="37" t="n">
        <v>587972.75</v>
      </c>
      <c r="V41" s="18" t="n">
        <v>601642.59</v>
      </c>
      <c r="W41" s="18" t="n">
        <v>613080.2</v>
      </c>
      <c r="X41" s="18" t="n">
        <v>651685.08</v>
      </c>
      <c r="Y41" s="18" t="n">
        <v>673393.0699999999</v>
      </c>
      <c r="Z41" s="37" t="n">
        <v>673393.0699999999</v>
      </c>
      <c r="AA41" s="18" t="n">
        <v>701355.5600000001</v>
      </c>
      <c r="AB41" s="19" t="n">
        <v>757580.27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지배주주지분</t>
        </is>
      </c>
      <c r="E42" s="18" t="n">
        <v>433499.54</v>
      </c>
      <c r="F42" s="37" t="n">
        <v>433499.54</v>
      </c>
      <c r="G42" s="18" t="n">
        <v>437452.62</v>
      </c>
      <c r="H42" s="18" t="n">
        <v>448816.73</v>
      </c>
      <c r="I42" s="18" t="n">
        <v>458257.09</v>
      </c>
      <c r="J42" s="18" t="n">
        <v>466934.34</v>
      </c>
      <c r="K42" s="37" t="n">
        <v>466934.34</v>
      </c>
      <c r="L42" s="18" t="n">
        <v>481225.08</v>
      </c>
      <c r="M42" s="18" t="n">
        <v>498118.79</v>
      </c>
      <c r="N42" s="18" t="n">
        <v>509462.96</v>
      </c>
      <c r="O42" s="18" t="n">
        <v>514089.6</v>
      </c>
      <c r="P42" s="37" t="n">
        <v>514089.6</v>
      </c>
      <c r="Q42" s="18" t="n">
        <v>525868.33</v>
      </c>
      <c r="R42" s="18" t="n">
        <v>535617.37</v>
      </c>
      <c r="S42" s="18" t="n">
        <v>542850.72</v>
      </c>
      <c r="T42" s="18" t="n">
        <v>551432.3199999999</v>
      </c>
      <c r="U42" s="37" t="n">
        <v>551432.3199999999</v>
      </c>
      <c r="V42" s="18" t="n">
        <v>555476.42</v>
      </c>
      <c r="W42" s="18" t="n">
        <v>571332.17</v>
      </c>
      <c r="X42" s="18" t="n">
        <v>599740.02</v>
      </c>
      <c r="Y42" s="18" t="n">
        <v>616778.21</v>
      </c>
      <c r="Z42" s="37" t="n">
        <v>616778.21</v>
      </c>
      <c r="AA42" s="18" t="n">
        <v>637579.26</v>
      </c>
      <c r="AB42" s="19" t="n">
        <v>690326.91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이자발생자산</t>
        </is>
      </c>
      <c r="E43" s="18" t="n">
        <v>77352.59</v>
      </c>
      <c r="F43" s="37" t="n">
        <v>77352.59</v>
      </c>
      <c r="G43" s="18" t="n">
        <v>74002.02</v>
      </c>
      <c r="H43" s="18" t="n">
        <v>69324.83</v>
      </c>
      <c r="I43" s="18" t="n">
        <v>80926.17999999999</v>
      </c>
      <c r="J43" s="18" t="n">
        <v>79001.72</v>
      </c>
      <c r="K43" s="37" t="n">
        <v>79001.72</v>
      </c>
      <c r="L43" s="18" t="n">
        <v>87721.88</v>
      </c>
      <c r="M43" s="18" t="n">
        <v>111306.94</v>
      </c>
      <c r="N43" s="18" t="n">
        <v>87493.8</v>
      </c>
      <c r="O43" s="18" t="n">
        <v>97288.45</v>
      </c>
      <c r="P43" s="37" t="n">
        <v>97288.45</v>
      </c>
      <c r="Q43" s="18" t="n">
        <v>120961.47</v>
      </c>
      <c r="R43" s="18" t="n">
        <v>109831.42</v>
      </c>
      <c r="S43" s="18" t="n">
        <v>126782</v>
      </c>
      <c r="T43" s="18" t="n">
        <v>101028.82</v>
      </c>
      <c r="U43" s="37" t="n">
        <v>101028.82</v>
      </c>
      <c r="V43" s="18" t="n">
        <v>107307.39</v>
      </c>
      <c r="W43" s="18" t="n">
        <v>100139.91</v>
      </c>
      <c r="X43" s="18" t="n">
        <v>84471.67</v>
      </c>
      <c r="Y43" s="18" t="n">
        <v>81237.69</v>
      </c>
      <c r="Z43" s="37" t="n">
        <v>81237.69</v>
      </c>
      <c r="AA43" s="18" t="n">
        <v>91040.5</v>
      </c>
      <c r="AB43" s="19" t="n">
        <v>97796.00999999999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단기투자자산(공정가치)</t>
        </is>
      </c>
      <c r="F44" s="9" t="n"/>
      <c r="K44" s="9" t="n"/>
      <c r="P44" s="9" t="n"/>
      <c r="T44" s="18" t="n">
        <v>49237.2</v>
      </c>
      <c r="U44" s="37" t="n">
        <v>49237.2</v>
      </c>
      <c r="V44" s="18" t="n">
        <v>49975.4</v>
      </c>
      <c r="W44" s="18" t="n">
        <v>50972.6</v>
      </c>
      <c r="X44" s="18" t="n">
        <v>89751.57000000001</v>
      </c>
      <c r="Y44" s="18" t="n">
        <v>108025.87</v>
      </c>
      <c r="Z44" s="37" t="n">
        <v>108025.87</v>
      </c>
      <c r="AA44" s="18" t="n">
        <v>132854.33</v>
      </c>
      <c r="AB44" s="19" t="n">
        <v>182005.13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사용권자산</t>
        </is>
      </c>
      <c r="F45" s="9" t="n"/>
      <c r="K45" s="9" t="n"/>
      <c r="P45" s="9" t="n"/>
      <c r="T45" s="18" t="n">
        <v>1829.93</v>
      </c>
      <c r="U45" s="37" t="n">
        <v>1829.93</v>
      </c>
      <c r="V45" s="18" t="n">
        <v>1907.94</v>
      </c>
      <c r="W45" s="18" t="n">
        <v>1848.08</v>
      </c>
      <c r="X45" s="18" t="n">
        <v>2046.1</v>
      </c>
      <c r="Y45" s="18" t="n">
        <v>1872.4</v>
      </c>
      <c r="Z45" s="37" t="n">
        <v>1872.4</v>
      </c>
      <c r="AA45" s="18" t="n">
        <v>1911.23</v>
      </c>
      <c r="AB45" s="19" t="n">
        <v>1981.67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유동리스부채</t>
        </is>
      </c>
      <c r="F46" s="9" t="n"/>
      <c r="K46" s="9" t="n"/>
      <c r="P46" s="9" t="n"/>
      <c r="T46" s="18" t="n">
        <v>622.36</v>
      </c>
      <c r="U46" s="37" t="n">
        <v>622.36</v>
      </c>
      <c r="V46" s="18" t="n">
        <v>735.03</v>
      </c>
      <c r="W46" s="18" t="n">
        <v>736.9</v>
      </c>
      <c r="X46" s="18" t="n">
        <v>796.45</v>
      </c>
      <c r="Y46" s="18" t="n">
        <v>757.3200000000001</v>
      </c>
      <c r="Z46" s="37" t="n">
        <v>757.3200000000001</v>
      </c>
      <c r="AA46" s="18" t="n">
        <v>786.25</v>
      </c>
      <c r="AB46" s="19" t="n">
        <v>815.84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리스부채</t>
        </is>
      </c>
      <c r="F47" s="9" t="n"/>
      <c r="K47" s="9" t="n"/>
      <c r="P47" s="9" t="n"/>
      <c r="T47" s="18" t="n">
        <v>1948.49</v>
      </c>
      <c r="U47" s="37" t="n">
        <v>1948.49</v>
      </c>
      <c r="V47" s="18" t="n">
        <v>2030.69</v>
      </c>
      <c r="W47" s="18" t="n">
        <v>1973.32</v>
      </c>
      <c r="X47" s="18" t="n">
        <v>2173.64</v>
      </c>
      <c r="Y47" s="18" t="n">
        <v>1997.07</v>
      </c>
      <c r="Z47" s="37" t="n">
        <v>1997.07</v>
      </c>
      <c r="AA47" s="18" t="n">
        <v>2032.38</v>
      </c>
      <c r="AB47" s="19" t="n">
        <v>2074.61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비유동리스부채</t>
        </is>
      </c>
      <c r="F48" s="9" t="n"/>
      <c r="K48" s="9" t="n"/>
      <c r="P48" s="9" t="n"/>
      <c r="T48" s="18" t="n">
        <v>1326.13</v>
      </c>
      <c r="U48" s="37" t="n">
        <v>1326.13</v>
      </c>
      <c r="V48" s="18" t="n">
        <v>1295.66</v>
      </c>
      <c r="W48" s="18" t="n">
        <v>1236.42</v>
      </c>
      <c r="X48" s="18" t="n">
        <v>1377.19</v>
      </c>
      <c r="Y48" s="18" t="n">
        <v>1239.75</v>
      </c>
      <c r="Z48" s="37" t="n">
        <v>1239.75</v>
      </c>
      <c r="AA48" s="18" t="n">
        <v>1246.13</v>
      </c>
      <c r="AB48" s="19" t="n">
        <v>1258.77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계약부채</t>
        </is>
      </c>
      <c r="F49" s="9" t="n"/>
      <c r="K49" s="9" t="n"/>
      <c r="P49" s="9" t="n"/>
      <c r="U49" s="9" t="n"/>
      <c r="X49" s="18" t="n">
        <v>725.4299999999999</v>
      </c>
      <c r="Y49" s="18" t="n">
        <v>788.77</v>
      </c>
      <c r="Z49" s="37" t="n">
        <v>788.77</v>
      </c>
      <c r="AA49" s="18" t="n">
        <v>1877.51</v>
      </c>
      <c r="AB49" s="19" t="n">
        <v>1503.53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매출액(수익)</t>
        </is>
      </c>
      <c r="E50" s="18" t="n">
        <v>36274.62</v>
      </c>
      <c r="F50" s="9" t="n"/>
      <c r="G50" s="18" t="n">
        <v>39170.41</v>
      </c>
      <c r="H50" s="18" t="n">
        <v>48030.91</v>
      </c>
      <c r="I50" s="18" t="n">
        <v>60280.41</v>
      </c>
      <c r="J50" s="18" t="n">
        <v>66076.73</v>
      </c>
      <c r="K50" s="37" t="n">
        <v>213558.46</v>
      </c>
      <c r="L50" s="18" t="n">
        <v>73148.69</v>
      </c>
      <c r="M50" s="18" t="n">
        <v>71719.92</v>
      </c>
      <c r="N50" s="18" t="n">
        <v>65351.9</v>
      </c>
      <c r="O50" s="18" t="n">
        <v>59697.68</v>
      </c>
      <c r="P50" s="37" t="n">
        <v>269918.19</v>
      </c>
      <c r="Q50" s="18" t="n">
        <v>65354.32</v>
      </c>
      <c r="R50" s="18" t="n">
        <v>56250.03</v>
      </c>
      <c r="S50" s="18" t="n">
        <v>55148.93</v>
      </c>
      <c r="T50" s="18" t="n">
        <v>56313.1</v>
      </c>
      <c r="U50" s="37" t="n">
        <v>233066.38</v>
      </c>
      <c r="V50" s="18" t="n">
        <v>55689.99</v>
      </c>
      <c r="W50" s="18" t="n">
        <v>65648.41</v>
      </c>
      <c r="X50" s="18" t="n">
        <v>72943.47</v>
      </c>
      <c r="Y50" s="18" t="n">
        <v>71335.36</v>
      </c>
      <c r="Z50" s="37" t="n">
        <v>265617.23</v>
      </c>
      <c r="AA50" s="18" t="n">
        <v>73835.10000000001</v>
      </c>
      <c r="AB50" s="19" t="n">
        <v>73223.77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매출원가</t>
        </is>
      </c>
      <c r="E51" s="18" t="n">
        <v>28867.41</v>
      </c>
      <c r="F51" s="9" t="n"/>
      <c r="G51" s="18" t="n">
        <v>30372.89</v>
      </c>
      <c r="H51" s="18" t="n">
        <v>31986.19</v>
      </c>
      <c r="I51" s="18" t="n">
        <v>41374.29</v>
      </c>
      <c r="J51" s="18" t="n">
        <v>45674.48</v>
      </c>
      <c r="K51" s="37" t="n">
        <v>149407.85</v>
      </c>
      <c r="L51" s="18" t="n">
        <v>49373.97</v>
      </c>
      <c r="M51" s="18" t="n">
        <v>47823.52</v>
      </c>
      <c r="N51" s="18" t="n">
        <v>46926.98</v>
      </c>
      <c r="O51" s="18" t="n">
        <v>47011.43</v>
      </c>
      <c r="P51" s="37" t="n">
        <v>191135.9</v>
      </c>
      <c r="Q51" s="18" t="n">
        <v>47213.64</v>
      </c>
      <c r="R51" s="18" t="n">
        <v>39434.43</v>
      </c>
      <c r="S51" s="18" t="n">
        <v>41208.15</v>
      </c>
      <c r="T51" s="18" t="n">
        <v>40226.89</v>
      </c>
      <c r="U51" s="37" t="n">
        <v>168083.11</v>
      </c>
      <c r="V51" s="18" t="n">
        <v>41623.65</v>
      </c>
      <c r="W51" s="18" t="n">
        <v>47461.72</v>
      </c>
      <c r="X51" s="18" t="n">
        <v>49319.52</v>
      </c>
      <c r="Y51" s="18" t="n">
        <v>45462.98</v>
      </c>
      <c r="Z51" s="37" t="n">
        <v>183867.87</v>
      </c>
      <c r="AA51" s="18" t="n">
        <v>50981.11</v>
      </c>
      <c r="AB51" s="19" t="n">
        <v>51720.2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매출총이익</t>
        </is>
      </c>
      <c r="E52" s="18" t="n">
        <v>7407.21</v>
      </c>
      <c r="F52" s="9" t="n"/>
      <c r="G52" s="18" t="n">
        <v>8797.52</v>
      </c>
      <c r="H52" s="18" t="n">
        <v>16044.72</v>
      </c>
      <c r="I52" s="18" t="n">
        <v>18906.12</v>
      </c>
      <c r="J52" s="18" t="n">
        <v>20402.26</v>
      </c>
      <c r="K52" s="37" t="n">
        <v>64150.62</v>
      </c>
      <c r="L52" s="18" t="n">
        <v>23774.72</v>
      </c>
      <c r="M52" s="18" t="n">
        <v>23896.4</v>
      </c>
      <c r="N52" s="18" t="n">
        <v>18424.92</v>
      </c>
      <c r="O52" s="18" t="n">
        <v>12686.25</v>
      </c>
      <c r="P52" s="37" t="n">
        <v>78782.28999999999</v>
      </c>
      <c r="Q52" s="18" t="n">
        <v>18140.68</v>
      </c>
      <c r="R52" s="18" t="n">
        <v>16815.6</v>
      </c>
      <c r="S52" s="18" t="n">
        <v>13940.79</v>
      </c>
      <c r="T52" s="18" t="n">
        <v>16086.22</v>
      </c>
      <c r="U52" s="37" t="n">
        <v>64983.29</v>
      </c>
      <c r="V52" s="18" t="n">
        <v>14066.35</v>
      </c>
      <c r="W52" s="18" t="n">
        <v>18186.69</v>
      </c>
      <c r="X52" s="18" t="n">
        <v>23623.95</v>
      </c>
      <c r="Y52" s="18" t="n">
        <v>25872.37</v>
      </c>
      <c r="Z52" s="37" t="n">
        <v>81749.36</v>
      </c>
      <c r="AA52" s="18" t="n">
        <v>22853.99</v>
      </c>
      <c r="AB52" s="19" t="n">
        <v>21503.57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판관비</t>
        </is>
      </c>
      <c r="E53" s="18" t="n">
        <v>3446.79</v>
      </c>
      <c r="F53" s="9" t="n"/>
      <c r="G53" s="18" t="n">
        <v>3823.57</v>
      </c>
      <c r="H53" s="18" t="n">
        <v>4644.41</v>
      </c>
      <c r="I53" s="18" t="n">
        <v>6787.2</v>
      </c>
      <c r="J53" s="18" t="n">
        <v>4585.33</v>
      </c>
      <c r="K53" s="37" t="n">
        <v>19840.51</v>
      </c>
      <c r="L53" s="18" t="n">
        <v>5491.88</v>
      </c>
      <c r="M53" s="18" t="n">
        <v>6026.11</v>
      </c>
      <c r="N53" s="18" t="n">
        <v>6004.39</v>
      </c>
      <c r="O53" s="18" t="n">
        <v>6005.25</v>
      </c>
      <c r="P53" s="37" t="n">
        <v>23527.63</v>
      </c>
      <c r="Q53" s="18" t="n">
        <v>5163.38</v>
      </c>
      <c r="R53" s="18" t="n">
        <v>7176.61</v>
      </c>
      <c r="S53" s="18" t="n">
        <v>5716.84</v>
      </c>
      <c r="T53" s="18" t="n">
        <v>6435.09</v>
      </c>
      <c r="U53" s="37" t="n">
        <v>24491.92</v>
      </c>
      <c r="V53" s="18" t="n">
        <v>5947.93</v>
      </c>
      <c r="W53" s="18" t="n">
        <v>8194.440000000001</v>
      </c>
      <c r="X53" s="18" t="n">
        <v>11078.09</v>
      </c>
      <c r="Y53" s="18" t="n">
        <v>13368.03</v>
      </c>
      <c r="Z53" s="37" t="n">
        <v>38588.49</v>
      </c>
      <c r="AA53" s="18" t="n">
        <v>11814.33</v>
      </c>
      <c r="AB53" s="19" t="n">
        <v>13713.2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영업이익</t>
        </is>
      </c>
      <c r="E54" s="18" t="n">
        <v>3960.41</v>
      </c>
      <c r="F54" s="9" t="n"/>
      <c r="G54" s="18" t="n">
        <v>4973.94</v>
      </c>
      <c r="H54" s="18" t="n">
        <v>11400.3</v>
      </c>
      <c r="I54" s="18" t="n">
        <v>12118.92</v>
      </c>
      <c r="J54" s="18" t="n">
        <v>15816.92</v>
      </c>
      <c r="K54" s="37" t="n">
        <v>44310.08</v>
      </c>
      <c r="L54" s="18" t="n">
        <v>18282.84</v>
      </c>
      <c r="M54" s="18" t="n">
        <v>17870.29</v>
      </c>
      <c r="N54" s="18" t="n">
        <v>12420.53</v>
      </c>
      <c r="O54" s="18" t="n">
        <v>6681</v>
      </c>
      <c r="P54" s="37" t="n">
        <v>55254.66</v>
      </c>
      <c r="Q54" s="18" t="n">
        <v>12977.3</v>
      </c>
      <c r="R54" s="18" t="n">
        <v>9638.99</v>
      </c>
      <c r="S54" s="18" t="n">
        <v>8223.950000000001</v>
      </c>
      <c r="T54" s="18" t="n">
        <v>9651.120000000001</v>
      </c>
      <c r="U54" s="37" t="n">
        <v>40491.36</v>
      </c>
      <c r="V54" s="18" t="n">
        <v>8118.42</v>
      </c>
      <c r="W54" s="18" t="n">
        <v>9992.25</v>
      </c>
      <c r="X54" s="18" t="n">
        <v>12545.87</v>
      </c>
      <c r="Y54" s="18" t="n">
        <v>12504.35</v>
      </c>
      <c r="Z54" s="37" t="n">
        <v>43160.89</v>
      </c>
      <c r="AA54" s="18" t="n">
        <v>11039.66</v>
      </c>
      <c r="AB54" s="19" t="n">
        <v>7790.37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기타영업외수익</t>
        </is>
      </c>
      <c r="E55" s="18" t="n">
        <v>311.68</v>
      </c>
      <c r="F55" s="9" t="n"/>
      <c r="G55" s="18" t="n">
        <v>426.27</v>
      </c>
      <c r="H55" s="18" t="n">
        <v>1164.65</v>
      </c>
      <c r="I55" s="18" t="n">
        <v>281.86</v>
      </c>
      <c r="J55" s="18" t="n">
        <v>222.04</v>
      </c>
      <c r="K55" s="37" t="n">
        <v>2094.82</v>
      </c>
      <c r="L55" s="18" t="n">
        <v>209.15</v>
      </c>
      <c r="M55" s="18" t="n">
        <v>381.1</v>
      </c>
      <c r="N55" s="18" t="n">
        <v>891.05</v>
      </c>
      <c r="O55" s="18" t="n">
        <v>-334.32</v>
      </c>
      <c r="P55" s="37" t="n">
        <v>1146.98</v>
      </c>
      <c r="Q55" s="18" t="n">
        <v>56.81</v>
      </c>
      <c r="R55" s="18" t="n">
        <v>142.06</v>
      </c>
      <c r="S55" s="18" t="n">
        <v>143.22</v>
      </c>
      <c r="T55" s="18" t="n">
        <v>204.49</v>
      </c>
      <c r="U55" s="37" t="n">
        <v>546.58</v>
      </c>
      <c r="V55" s="18" t="n">
        <v>506.75</v>
      </c>
      <c r="W55" s="18" t="n">
        <v>518.75</v>
      </c>
      <c r="X55" s="18" t="n">
        <v>890.08</v>
      </c>
      <c r="Y55" s="18" t="n">
        <v>583.0700000000001</v>
      </c>
      <c r="Z55" s="37" t="n">
        <v>2498.65</v>
      </c>
      <c r="AA55" s="18" t="n">
        <v>826.04</v>
      </c>
      <c r="AB55" s="19" t="n">
        <v>586.98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기타영업외비용</t>
        </is>
      </c>
      <c r="E56" s="18" t="n">
        <v>17.71</v>
      </c>
      <c r="F56" s="9" t="n"/>
      <c r="G56" s="18" t="n">
        <v>118.36</v>
      </c>
      <c r="H56" s="18" t="n">
        <v>0.42</v>
      </c>
      <c r="I56" s="18" t="n">
        <v>67.42</v>
      </c>
      <c r="J56" s="18" t="n">
        <v>1669.58</v>
      </c>
      <c r="K56" s="37" t="n">
        <v>1855.78</v>
      </c>
      <c r="L56" s="18" t="n">
        <v>55.44</v>
      </c>
      <c r="M56" s="18" t="n">
        <v>486.51</v>
      </c>
      <c r="N56" s="18" t="n">
        <v>21.44</v>
      </c>
      <c r="O56" s="18" t="n">
        <v>63.83</v>
      </c>
      <c r="P56" s="37" t="n">
        <v>627.22</v>
      </c>
      <c r="Q56" s="18" t="n">
        <v>303.6</v>
      </c>
      <c r="R56" s="18" t="n">
        <v>-64.76000000000001</v>
      </c>
      <c r="S56" s="18" t="n">
        <v>77.37</v>
      </c>
      <c r="T56" s="18" t="n">
        <v>94.19</v>
      </c>
      <c r="U56" s="37" t="n">
        <v>410.4</v>
      </c>
      <c r="V56" s="18" t="n">
        <v>108.7</v>
      </c>
      <c r="W56" s="18" t="n">
        <v>186.15</v>
      </c>
      <c r="X56" s="18" t="n">
        <v>675.13</v>
      </c>
      <c r="Y56" s="18" t="n">
        <v>2732.12</v>
      </c>
      <c r="Z56" s="37" t="n">
        <v>3702.1</v>
      </c>
      <c r="AA56" s="18" t="n">
        <v>428.92</v>
      </c>
      <c r="AB56" s="19" t="n">
        <v>249.79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금융수익</t>
        </is>
      </c>
      <c r="E57" s="18" t="n">
        <v>734.64</v>
      </c>
      <c r="F57" s="9" t="n"/>
      <c r="G57" s="18" t="n">
        <v>3282.37</v>
      </c>
      <c r="H57" s="18" t="n">
        <v>3818.37</v>
      </c>
      <c r="I57" s="18" t="n">
        <v>9673.459999999999</v>
      </c>
      <c r="J57" s="18" t="n">
        <v>-3904.21</v>
      </c>
      <c r="K57" s="37" t="n">
        <v>12869.99</v>
      </c>
      <c r="L57" s="18" t="n">
        <v>6999.32</v>
      </c>
      <c r="M57" s="18" t="n">
        <v>3764.45</v>
      </c>
      <c r="N57" s="18" t="n">
        <v>1923.36</v>
      </c>
      <c r="O57" s="18" t="n">
        <v>2478.16</v>
      </c>
      <c r="P57" s="37" t="n">
        <v>15165.29</v>
      </c>
      <c r="Q57" s="18" t="n">
        <v>9957.26</v>
      </c>
      <c r="R57" s="18" t="n">
        <v>3781.56</v>
      </c>
      <c r="S57" s="18" t="n">
        <v>1715.39</v>
      </c>
      <c r="T57" s="18" t="n">
        <v>6518.41</v>
      </c>
      <c r="U57" s="37" t="n">
        <v>21972.62</v>
      </c>
      <c r="V57" s="18" t="n">
        <v>6238.74</v>
      </c>
      <c r="W57" s="18" t="n">
        <v>12508.16</v>
      </c>
      <c r="X57" s="18" t="n">
        <v>24995.23</v>
      </c>
      <c r="Y57" s="18" t="n">
        <v>11740.42</v>
      </c>
      <c r="Z57" s="37" t="n">
        <v>55482.55</v>
      </c>
      <c r="AA57" s="18" t="n">
        <v>30241.84</v>
      </c>
      <c r="AB57" s="19" t="n">
        <v>60846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금융비용</t>
        </is>
      </c>
      <c r="E58" s="18" t="n">
        <v>379.48</v>
      </c>
      <c r="F58" s="9" t="n"/>
      <c r="G58" s="18" t="n">
        <v>478.69</v>
      </c>
      <c r="H58" s="18" t="n">
        <v>1224.48</v>
      </c>
      <c r="I58" s="18" t="n">
        <v>2668.99</v>
      </c>
      <c r="J58" s="18" t="n">
        <v>7334.71</v>
      </c>
      <c r="K58" s="37" t="n">
        <v>11706.87</v>
      </c>
      <c r="L58" s="18" t="n">
        <v>1610.4</v>
      </c>
      <c r="M58" s="18" t="n">
        <v>402.49</v>
      </c>
      <c r="N58" s="18" t="n">
        <v>592.34</v>
      </c>
      <c r="O58" s="18" t="n">
        <v>2054.61</v>
      </c>
      <c r="P58" s="37" t="n">
        <v>4659.84</v>
      </c>
      <c r="Q58" s="18" t="n">
        <v>2144.54</v>
      </c>
      <c r="R58" s="18" t="n">
        <v>1149.43</v>
      </c>
      <c r="S58" s="18" t="n">
        <v>1309.21</v>
      </c>
      <c r="T58" s="18" t="n">
        <v>2046.35</v>
      </c>
      <c r="U58" s="37" t="n">
        <v>6649.53</v>
      </c>
      <c r="V58" s="18" t="n">
        <v>1760.99</v>
      </c>
      <c r="W58" s="18" t="n">
        <v>3717.63</v>
      </c>
      <c r="X58" s="18" t="n">
        <v>-858.76</v>
      </c>
      <c r="Y58" s="18" t="n">
        <v>1597.23</v>
      </c>
      <c r="Z58" s="37" t="n">
        <v>6217.09</v>
      </c>
      <c r="AA58" s="18" t="n">
        <v>6975.99</v>
      </c>
      <c r="AB58" s="19" t="n">
        <v>3407.52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법인세비용차감전계속사업이익</t>
        </is>
      </c>
      <c r="E59" s="18" t="n">
        <v>4609.55</v>
      </c>
      <c r="F59" s="9" t="n"/>
      <c r="G59" s="18" t="n">
        <v>8085.54</v>
      </c>
      <c r="H59" s="18" t="n">
        <v>15158.42</v>
      </c>
      <c r="I59" s="18" t="n">
        <v>19337.83</v>
      </c>
      <c r="J59" s="18" t="n">
        <v>3130.47</v>
      </c>
      <c r="K59" s="37" t="n">
        <v>45712.26</v>
      </c>
      <c r="L59" s="18" t="n">
        <v>23825.46</v>
      </c>
      <c r="M59" s="18" t="n">
        <v>21126.84</v>
      </c>
      <c r="N59" s="18" t="n">
        <v>14621.16</v>
      </c>
      <c r="O59" s="18" t="n">
        <v>6706.4</v>
      </c>
      <c r="P59" s="37" t="n">
        <v>66279.86</v>
      </c>
      <c r="Q59" s="18" t="n">
        <v>20543.23</v>
      </c>
      <c r="R59" s="18" t="n">
        <v>12477.94</v>
      </c>
      <c r="S59" s="18" t="n">
        <v>8695.99</v>
      </c>
      <c r="T59" s="18" t="n">
        <v>14233.5</v>
      </c>
      <c r="U59" s="37" t="n">
        <v>55950.66</v>
      </c>
      <c r="V59" s="18" t="n">
        <v>12994.21</v>
      </c>
      <c r="W59" s="18" t="n">
        <v>19115.37</v>
      </c>
      <c r="X59" s="18" t="n">
        <v>38614.8</v>
      </c>
      <c r="Y59" s="18" t="n">
        <v>20498.5</v>
      </c>
      <c r="Z59" s="37" t="n">
        <v>91222.88</v>
      </c>
      <c r="AA59" s="18" t="n">
        <v>34702.63</v>
      </c>
      <c r="AB59" s="19" t="n">
        <v>65566.03999999999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법인세비용</t>
        </is>
      </c>
      <c r="E60" s="18" t="n">
        <v>1131.76</v>
      </c>
      <c r="F60" s="9" t="n"/>
      <c r="G60" s="18" t="n">
        <v>1353.96</v>
      </c>
      <c r="H60" s="18" t="n">
        <v>3522.04</v>
      </c>
      <c r="I60" s="18" t="n">
        <v>9766.799999999999</v>
      </c>
      <c r="J60" s="18" t="n">
        <v>-4149.26</v>
      </c>
      <c r="K60" s="37" t="n">
        <v>10493.54</v>
      </c>
      <c r="L60" s="18" t="n">
        <v>5224.26</v>
      </c>
      <c r="M60" s="18" t="n">
        <v>4280.96</v>
      </c>
      <c r="N60" s="18" t="n">
        <v>3247.94</v>
      </c>
      <c r="O60" s="18" t="n">
        <v>57.59</v>
      </c>
      <c r="P60" s="37" t="n">
        <v>12810.75</v>
      </c>
      <c r="Q60" s="18" t="n">
        <v>4503.31</v>
      </c>
      <c r="R60" s="18" t="n">
        <v>2700</v>
      </c>
      <c r="S60" s="18" t="n">
        <v>1658.3</v>
      </c>
      <c r="T60" s="18" t="n">
        <v>2720.6</v>
      </c>
      <c r="U60" s="37" t="n">
        <v>11582.21</v>
      </c>
      <c r="V60" s="18" t="n">
        <v>2702.52</v>
      </c>
      <c r="W60" s="18" t="n">
        <v>3668.94</v>
      </c>
      <c r="X60" s="18" t="n">
        <v>9989.65</v>
      </c>
      <c r="Y60" s="18" t="n">
        <v>4200.48</v>
      </c>
      <c r="Z60" s="37" t="n">
        <v>20561.59</v>
      </c>
      <c r="AA60" s="18" t="n">
        <v>8736.66</v>
      </c>
      <c r="AB60" s="19" t="n">
        <v>13465.9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당기순이익</t>
        </is>
      </c>
      <c r="E61" s="18" t="n">
        <v>3477.77</v>
      </c>
      <c r="F61" s="9" t="n"/>
      <c r="G61" s="18" t="n">
        <v>6731.57</v>
      </c>
      <c r="H61" s="18" t="n">
        <v>11636.38</v>
      </c>
      <c r="I61" s="18" t="n">
        <v>9571.040000000001</v>
      </c>
      <c r="J61" s="18" t="n">
        <v>7279.73</v>
      </c>
      <c r="K61" s="37" t="n">
        <v>35218.72</v>
      </c>
      <c r="L61" s="18" t="n">
        <v>18601.2</v>
      </c>
      <c r="M61" s="18" t="n">
        <v>16845.88</v>
      </c>
      <c r="N61" s="18" t="n">
        <v>11373.22</v>
      </c>
      <c r="O61" s="18" t="n">
        <v>6648.8</v>
      </c>
      <c r="P61" s="37" t="n">
        <v>53469.1</v>
      </c>
      <c r="Q61" s="18" t="n">
        <v>16039.91</v>
      </c>
      <c r="R61" s="18" t="n">
        <v>9777.93</v>
      </c>
      <c r="S61" s="18" t="n">
        <v>7037.69</v>
      </c>
      <c r="T61" s="18" t="n">
        <v>11512.89</v>
      </c>
      <c r="U61" s="37" t="n">
        <v>44368.42</v>
      </c>
      <c r="V61" s="18" t="n">
        <v>10291.7</v>
      </c>
      <c r="W61" s="18" t="n">
        <v>15446.44</v>
      </c>
      <c r="X61" s="18" t="n">
        <v>28625.15</v>
      </c>
      <c r="Y61" s="18" t="n">
        <v>16298.02</v>
      </c>
      <c r="Z61" s="37" t="n">
        <v>70661.31</v>
      </c>
      <c r="AA61" s="18" t="n">
        <v>25965.97</v>
      </c>
      <c r="AB61" s="19" t="n">
        <v>52100.14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총포괄손익</t>
        </is>
      </c>
      <c r="E62" s="18" t="n">
        <v>4349.74</v>
      </c>
      <c r="F62" s="9" t="n"/>
      <c r="G62" s="18" t="n">
        <v>6539.8</v>
      </c>
      <c r="H62" s="18" t="n">
        <v>11364.11</v>
      </c>
      <c r="I62" s="18" t="n">
        <v>9440.360000000001</v>
      </c>
      <c r="J62" s="18" t="n">
        <v>8677.25</v>
      </c>
      <c r="K62" s="37" t="n">
        <v>36021.52</v>
      </c>
      <c r="L62" s="18" t="n">
        <v>18688.17</v>
      </c>
      <c r="M62" s="18" t="n">
        <v>16893.71</v>
      </c>
      <c r="N62" s="18" t="n">
        <v>11344.18</v>
      </c>
      <c r="O62" s="18" t="n">
        <v>4626.64</v>
      </c>
      <c r="P62" s="37" t="n">
        <v>51552.7</v>
      </c>
      <c r="Q62" s="18" t="n">
        <v>16176.15</v>
      </c>
      <c r="R62" s="18" t="n">
        <v>9749.049999999999</v>
      </c>
      <c r="S62" s="18" t="n">
        <v>7233.35</v>
      </c>
      <c r="T62" s="18" t="n">
        <v>8581.6</v>
      </c>
      <c r="U62" s="37" t="n">
        <v>41740.15</v>
      </c>
      <c r="V62" s="18" t="n">
        <v>10510.92</v>
      </c>
      <c r="W62" s="18" t="n">
        <v>15855.74</v>
      </c>
      <c r="X62" s="18" t="n">
        <v>35780.02</v>
      </c>
      <c r="Y62" s="18" t="n">
        <v>17038.19</v>
      </c>
      <c r="Z62" s="37" t="n">
        <v>79184.87</v>
      </c>
      <c r="AA62" s="18" t="n">
        <v>27267.86</v>
      </c>
      <c r="AB62" s="19" t="n">
        <v>57406.21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355.16</v>
      </c>
      <c r="F63" s="9" t="n"/>
      <c r="G63" s="18" t="n">
        <v>2803.68</v>
      </c>
      <c r="H63" s="18" t="n">
        <v>2593.89</v>
      </c>
      <c r="I63" s="18" t="n">
        <v>7004.47</v>
      </c>
      <c r="J63" s="18" t="n">
        <v>-11238.92</v>
      </c>
      <c r="K63" s="37" t="n">
        <v>1163.12</v>
      </c>
      <c r="L63" s="18" t="n">
        <v>5388.92</v>
      </c>
      <c r="M63" s="18" t="n">
        <v>3361.96</v>
      </c>
      <c r="N63" s="18" t="n">
        <v>1331.02</v>
      </c>
      <c r="O63" s="18" t="n">
        <v>423.55</v>
      </c>
      <c r="P63" s="37" t="n">
        <v>10505.45</v>
      </c>
      <c r="Q63" s="18" t="n">
        <v>7812.72</v>
      </c>
      <c r="R63" s="18" t="n">
        <v>2632.13</v>
      </c>
      <c r="S63" s="18" t="n">
        <v>406.18</v>
      </c>
      <c r="T63" s="18" t="n">
        <v>4472.06</v>
      </c>
      <c r="U63" s="37" t="n">
        <v>15323.09</v>
      </c>
      <c r="V63" s="18" t="n">
        <v>4477.75</v>
      </c>
      <c r="W63" s="18" t="n">
        <v>8790.530000000001</v>
      </c>
      <c r="X63" s="18" t="n">
        <v>25853.99</v>
      </c>
      <c r="Y63" s="18" t="n">
        <v>10143.19</v>
      </c>
      <c r="Z63" s="37" t="n">
        <v>49265.46</v>
      </c>
      <c r="AA63" s="18" t="n">
        <v>23265.85</v>
      </c>
      <c r="AB63" s="19" t="n">
        <v>57438.48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293.97</v>
      </c>
      <c r="F64" s="9" t="n"/>
      <c r="G64" s="18" t="n">
        <v>307.91</v>
      </c>
      <c r="H64" s="18" t="n">
        <v>1164.23</v>
      </c>
      <c r="I64" s="18" t="n">
        <v>214.44</v>
      </c>
      <c r="J64" s="18" t="n">
        <v>-1447.54</v>
      </c>
      <c r="K64" s="37" t="n">
        <v>239.04</v>
      </c>
      <c r="L64" s="18" t="n">
        <v>153.71</v>
      </c>
      <c r="M64" s="18" t="n">
        <v>-105.41</v>
      </c>
      <c r="N64" s="18" t="n">
        <v>869.61</v>
      </c>
      <c r="O64" s="18" t="n">
        <v>-398.15</v>
      </c>
      <c r="P64" s="37" t="n">
        <v>519.76</v>
      </c>
      <c r="Q64" s="18" t="n">
        <v>-246.79</v>
      </c>
      <c r="R64" s="18" t="n">
        <v>206.82</v>
      </c>
      <c r="S64" s="18" t="n">
        <v>65.84999999999999</v>
      </c>
      <c r="T64" s="18" t="n">
        <v>110.3</v>
      </c>
      <c r="U64" s="37" t="n">
        <v>136.18</v>
      </c>
      <c r="V64" s="18" t="n">
        <v>398.05</v>
      </c>
      <c r="W64" s="18" t="n">
        <v>332.6</v>
      </c>
      <c r="X64" s="18" t="n">
        <v>214.95</v>
      </c>
      <c r="Y64" s="18" t="n">
        <v>-2149.05</v>
      </c>
      <c r="Z64" s="37" t="n">
        <v>-1203.45</v>
      </c>
      <c r="AA64" s="18" t="n">
        <v>397.12</v>
      </c>
      <c r="AB64" s="19" t="n">
        <v>337.19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(지배주주지분)당기순이익</t>
        </is>
      </c>
      <c r="E65" s="18" t="n">
        <v>3477.77</v>
      </c>
      <c r="F65" s="9" t="n"/>
      <c r="G65" s="18" t="n">
        <v>6731.57</v>
      </c>
      <c r="H65" s="18" t="n">
        <v>11636.38</v>
      </c>
      <c r="I65" s="18" t="n">
        <v>9571.040000000001</v>
      </c>
      <c r="J65" s="18" t="n">
        <v>7279.73</v>
      </c>
      <c r="K65" s="37" t="n">
        <v>35218.72</v>
      </c>
      <c r="L65" s="18" t="n">
        <v>18601.2</v>
      </c>
      <c r="M65" s="18" t="n">
        <v>16845.88</v>
      </c>
      <c r="N65" s="18" t="n">
        <v>11373.22</v>
      </c>
      <c r="O65" s="18" t="n">
        <v>6648.8</v>
      </c>
      <c r="P65" s="37" t="n">
        <v>53469.1</v>
      </c>
      <c r="Q65" s="18" t="n">
        <v>16039.91</v>
      </c>
      <c r="R65" s="18" t="n">
        <v>9777.93</v>
      </c>
      <c r="S65" s="18" t="n">
        <v>7037.69</v>
      </c>
      <c r="T65" s="18" t="n">
        <v>11512.89</v>
      </c>
      <c r="U65" s="37" t="n">
        <v>44368.42</v>
      </c>
      <c r="V65" s="18" t="n">
        <v>10291.7</v>
      </c>
      <c r="W65" s="18" t="n">
        <v>15446.44</v>
      </c>
      <c r="X65" s="18" t="n">
        <v>28625.15</v>
      </c>
      <c r="Y65" s="18" t="n">
        <v>16298.02</v>
      </c>
      <c r="Z65" s="37" t="n">
        <v>70661.31</v>
      </c>
      <c r="AA65" s="18" t="n">
        <v>25965.97</v>
      </c>
      <c r="AB65" s="19" t="n">
        <v>52100.14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계속사업이익</t>
        </is>
      </c>
      <c r="E66" s="18" t="n">
        <v>3477.77</v>
      </c>
      <c r="F66" s="9" t="n"/>
      <c r="G66" s="18" t="n">
        <v>6731.57</v>
      </c>
      <c r="H66" s="18" t="n">
        <v>11636.38</v>
      </c>
      <c r="I66" s="18" t="n">
        <v>9571.040000000001</v>
      </c>
      <c r="J66" s="18" t="n">
        <v>7279.73</v>
      </c>
      <c r="K66" s="37" t="n">
        <v>35218.72</v>
      </c>
      <c r="L66" s="18" t="n">
        <v>18601.2</v>
      </c>
      <c r="M66" s="18" t="n">
        <v>16845.88</v>
      </c>
      <c r="N66" s="18" t="n">
        <v>11373.22</v>
      </c>
      <c r="O66" s="18" t="n">
        <v>6648.8</v>
      </c>
      <c r="P66" s="37" t="n">
        <v>53469.1</v>
      </c>
      <c r="Q66" s="18" t="n">
        <v>16039.91</v>
      </c>
      <c r="R66" s="18" t="n">
        <v>9777.93</v>
      </c>
      <c r="S66" s="18" t="n">
        <v>7037.69</v>
      </c>
      <c r="T66" s="18" t="n">
        <v>11512.89</v>
      </c>
      <c r="U66" s="37" t="n">
        <v>44368.42</v>
      </c>
      <c r="V66" s="18" t="n">
        <v>10291.7</v>
      </c>
      <c r="W66" s="18" t="n">
        <v>15446.44</v>
      </c>
      <c r="X66" s="18" t="n">
        <v>28625.15</v>
      </c>
      <c r="Y66" s="18" t="n">
        <v>16298.02</v>
      </c>
      <c r="Z66" s="37" t="n">
        <v>70661.31</v>
      </c>
      <c r="AA66" s="18" t="n">
        <v>25965.97</v>
      </c>
      <c r="AB66" s="19" t="n">
        <v>52100.14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영업활동으로인한현금흐름</t>
        </is>
      </c>
      <c r="E67" s="18" t="n">
        <v>4096.63</v>
      </c>
      <c r="F67" s="9" t="n"/>
      <c r="G67" s="18" t="n">
        <v>784.11</v>
      </c>
      <c r="H67" s="18" t="n">
        <v>3295.66</v>
      </c>
      <c r="I67" s="18" t="n">
        <v>20071.13</v>
      </c>
      <c r="J67" s="18" t="n">
        <v>17155.28</v>
      </c>
      <c r="K67" s="37" t="n">
        <v>41306.18</v>
      </c>
      <c r="L67" s="18" t="n">
        <v>8516.23</v>
      </c>
      <c r="M67" s="18" t="n">
        <v>16794.67</v>
      </c>
      <c r="N67" s="18" t="n">
        <v>15845.72</v>
      </c>
      <c r="O67" s="18" t="n">
        <v>9956.91</v>
      </c>
      <c r="P67" s="37" t="n">
        <v>51113.53</v>
      </c>
      <c r="Q67" s="18" t="n">
        <v>25112.96</v>
      </c>
      <c r="R67" s="18" t="n">
        <v>9256.15</v>
      </c>
      <c r="S67" s="18" t="n">
        <v>5914.62</v>
      </c>
      <c r="T67" s="18" t="n">
        <v>12372.81</v>
      </c>
      <c r="U67" s="37" t="n">
        <v>52656.54</v>
      </c>
      <c r="V67" s="18" t="n">
        <v>10631.9</v>
      </c>
      <c r="W67" s="18" t="n">
        <v>-4454.75</v>
      </c>
      <c r="X67" s="18" t="n">
        <v>2775.07</v>
      </c>
      <c r="Y67" s="18" t="n">
        <v>8726.6</v>
      </c>
      <c r="Z67" s="37" t="n">
        <v>17678.82</v>
      </c>
      <c r="AA67" s="18" t="n">
        <v>18373.41</v>
      </c>
      <c r="AB67" s="19" t="n">
        <v>25851.95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법인세납부(CF)</t>
        </is>
      </c>
      <c r="E68" s="18" t="n">
        <v>-8.529999999999999</v>
      </c>
      <c r="F68" s="9" t="n"/>
      <c r="G68" s="18" t="n">
        <v>-1137.99</v>
      </c>
      <c r="H68" s="18" t="n">
        <v>-1465.68</v>
      </c>
      <c r="I68" s="18" t="n">
        <v>-1315.08</v>
      </c>
      <c r="J68" s="18" t="n">
        <v>-53.75</v>
      </c>
      <c r="K68" s="37" t="n">
        <v>-3972.5</v>
      </c>
      <c r="L68" s="18" t="n">
        <v>-4124.19</v>
      </c>
      <c r="M68" s="18" t="n">
        <v>-4571.5</v>
      </c>
      <c r="N68" s="18" t="n">
        <v>-2241.6</v>
      </c>
      <c r="O68" s="18" t="n">
        <v>-2326.5</v>
      </c>
      <c r="P68" s="37" t="n">
        <v>-13263.79</v>
      </c>
      <c r="Q68" s="18" t="n">
        <v>-224.39</v>
      </c>
      <c r="R68" s="18" t="n">
        <v>-8172.59</v>
      </c>
      <c r="S68" s="18" t="n">
        <v>-2887.2</v>
      </c>
      <c r="T68" s="18" t="n">
        <v>-2874.3</v>
      </c>
      <c r="U68" s="37" t="n">
        <v>-14158.48</v>
      </c>
      <c r="V68" s="18" t="n">
        <v>-1899.22</v>
      </c>
      <c r="W68" s="18" t="n">
        <v>-2849.65</v>
      </c>
      <c r="X68" s="18" t="n">
        <v>-1688.59</v>
      </c>
      <c r="Y68" s="18" t="n">
        <v>-4691.64</v>
      </c>
      <c r="Z68" s="37" t="n">
        <v>-11129.1</v>
      </c>
      <c r="AA68" s="18" t="n">
        <v>-3378.15</v>
      </c>
      <c r="AB68" s="19" t="n">
        <v>-3592.44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투자활동으로인한현금흐름</t>
        </is>
      </c>
      <c r="E69" s="18" t="n">
        <v>-10050.75</v>
      </c>
      <c r="F69" s="9" t="n"/>
      <c r="G69" s="18" t="n">
        <v>-8209.09</v>
      </c>
      <c r="H69" s="18" t="n">
        <v>-5230.23</v>
      </c>
      <c r="I69" s="18" t="n">
        <v>-9193.92</v>
      </c>
      <c r="J69" s="18" t="n">
        <v>-12135.05</v>
      </c>
      <c r="K69" s="37" t="n">
        <v>-34768.29</v>
      </c>
      <c r="L69" s="18" t="n">
        <v>-18705.36</v>
      </c>
      <c r="M69" s="18" t="n">
        <v>-10020.41</v>
      </c>
      <c r="N69" s="18" t="n">
        <v>-27678.66</v>
      </c>
      <c r="O69" s="18" t="n">
        <v>-8524.02</v>
      </c>
      <c r="P69" s="37" t="n">
        <v>-64928.45</v>
      </c>
      <c r="Q69" s="18" t="n">
        <v>-10022.45</v>
      </c>
      <c r="R69" s="18" t="n">
        <v>-24731.51</v>
      </c>
      <c r="S69" s="18" t="n">
        <v>913.11</v>
      </c>
      <c r="T69" s="18" t="n">
        <v>-12622.23</v>
      </c>
      <c r="U69" s="37" t="n">
        <v>-46463.08</v>
      </c>
      <c r="V69" s="18" t="n">
        <v>-8085.98</v>
      </c>
      <c r="W69" s="18" t="n">
        <v>6572.59</v>
      </c>
      <c r="X69" s="18" t="n">
        <v>9558.33</v>
      </c>
      <c r="Y69" s="18" t="n">
        <v>-3510.72</v>
      </c>
      <c r="Z69" s="37" t="n">
        <v>4534.22</v>
      </c>
      <c r="AA69" s="18" t="n">
        <v>-9377.540000000001</v>
      </c>
      <c r="AB69" s="19" t="n">
        <v>-12637.04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유형자산의감소</t>
        </is>
      </c>
      <c r="E70" s="18" t="n">
        <v>32.88</v>
      </c>
      <c r="F70" s="9" t="n"/>
      <c r="G70" s="18" t="n">
        <v>3</v>
      </c>
      <c r="H70" s="18" t="n">
        <v>4</v>
      </c>
      <c r="I70" s="18" t="n">
        <v>6</v>
      </c>
      <c r="J70" s="18" t="n">
        <v>5</v>
      </c>
      <c r="K70" s="37" t="n">
        <v>18</v>
      </c>
      <c r="L70" s="18" t="n">
        <v>30</v>
      </c>
      <c r="M70" s="18" t="n">
        <v>2</v>
      </c>
      <c r="O70" s="18" t="n">
        <v>4.8</v>
      </c>
      <c r="P70" s="9" t="n"/>
      <c r="Q70" s="18" t="n">
        <v>31.38</v>
      </c>
      <c r="R70" s="18" t="n">
        <v>15.47</v>
      </c>
      <c r="S70" s="18" t="n">
        <v>12.38</v>
      </c>
      <c r="T70" s="18" t="n">
        <v>3.7</v>
      </c>
      <c r="U70" s="37" t="n">
        <v>62.93</v>
      </c>
      <c r="V70" s="18" t="n">
        <v>34.55</v>
      </c>
      <c r="W70" s="18" t="n">
        <v>65.51000000000001</v>
      </c>
      <c r="X70" s="18" t="n">
        <v>3</v>
      </c>
      <c r="Y70" s="18" t="n">
        <v>0</v>
      </c>
      <c r="Z70" s="37" t="n">
        <v>103.06</v>
      </c>
      <c r="AA70" s="18" t="n">
        <v>2.73</v>
      </c>
      <c r="AB70" s="19" t="n">
        <v>49.23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유형자산의증가</t>
        </is>
      </c>
      <c r="E71" s="18" t="n">
        <v>192.28</v>
      </c>
      <c r="F71" s="9" t="n"/>
      <c r="G71" s="18" t="n">
        <v>708.39</v>
      </c>
      <c r="H71" s="18" t="n">
        <v>1140.39</v>
      </c>
      <c r="I71" s="18" t="n">
        <v>983.21</v>
      </c>
      <c r="J71" s="18" t="n">
        <v>1190.03</v>
      </c>
      <c r="K71" s="37" t="n">
        <v>4022.02</v>
      </c>
      <c r="L71" s="18" t="n">
        <v>2776.83</v>
      </c>
      <c r="M71" s="18" t="n">
        <v>4342.25</v>
      </c>
      <c r="N71" s="18" t="n">
        <v>5416.5</v>
      </c>
      <c r="O71" s="18" t="n">
        <v>5318.79</v>
      </c>
      <c r="P71" s="37" t="n">
        <v>17854.37</v>
      </c>
      <c r="Q71" s="18" t="n">
        <v>3208.47</v>
      </c>
      <c r="R71" s="18" t="n">
        <v>1775.49</v>
      </c>
      <c r="S71" s="18" t="n">
        <v>3229.06</v>
      </c>
      <c r="T71" s="18" t="n">
        <v>4098.44</v>
      </c>
      <c r="U71" s="37" t="n">
        <v>12311.46</v>
      </c>
      <c r="V71" s="18" t="n">
        <v>4438.64</v>
      </c>
      <c r="W71" s="18" t="n">
        <v>3520.53</v>
      </c>
      <c r="X71" s="18" t="n">
        <v>3304.28</v>
      </c>
      <c r="Y71" s="18" t="n">
        <v>1628.5</v>
      </c>
      <c r="Z71" s="37" t="n">
        <v>12891.95</v>
      </c>
      <c r="AA71" s="18" t="n">
        <v>848.0599999999999</v>
      </c>
      <c r="AB71" s="19" t="n">
        <v>953.45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CAPEX</t>
        </is>
      </c>
      <c r="E72" s="18" t="n">
        <v>212.28</v>
      </c>
      <c r="F72" s="9" t="n"/>
      <c r="G72" s="18" t="n">
        <v>732.39</v>
      </c>
      <c r="H72" s="18" t="n">
        <v>1140.39</v>
      </c>
      <c r="I72" s="18" t="n">
        <v>983.21</v>
      </c>
      <c r="J72" s="18" t="n">
        <v>1206.53</v>
      </c>
      <c r="K72" s="37" t="n">
        <v>4062.52</v>
      </c>
      <c r="L72" s="18" t="n">
        <v>2776.83</v>
      </c>
      <c r="M72" s="18" t="n">
        <v>4378.25</v>
      </c>
      <c r="N72" s="18" t="n">
        <v>5416.5</v>
      </c>
      <c r="O72" s="18" t="n">
        <v>5318.79</v>
      </c>
      <c r="P72" s="37" t="n">
        <v>17890.37</v>
      </c>
      <c r="Q72" s="18" t="n">
        <v>3208.47</v>
      </c>
      <c r="R72" s="18" t="n">
        <v>1775.49</v>
      </c>
      <c r="S72" s="18" t="n">
        <v>3230.71</v>
      </c>
      <c r="T72" s="18" t="n">
        <v>4100.29</v>
      </c>
      <c r="U72" s="37" t="n">
        <v>12314.96</v>
      </c>
      <c r="V72" s="18" t="n">
        <v>4438.64</v>
      </c>
      <c r="W72" s="18" t="n">
        <v>3572.6</v>
      </c>
      <c r="X72" s="18" t="n">
        <v>3278.21</v>
      </c>
      <c r="Y72" s="18" t="n">
        <v>1790.83</v>
      </c>
      <c r="Z72" s="37" t="n">
        <v>13080.28</v>
      </c>
      <c r="AA72" s="18" t="n">
        <v>848.0599999999999</v>
      </c>
      <c r="AB72" s="19" t="n">
        <v>953.45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무형자산의증가</t>
        </is>
      </c>
      <c r="E73" s="18" t="n">
        <v>20</v>
      </c>
      <c r="F73" s="9" t="n"/>
      <c r="G73" s="18" t="n">
        <v>24</v>
      </c>
      <c r="H73" s="18" t="n">
        <v>0</v>
      </c>
      <c r="I73" s="18" t="n">
        <v>0</v>
      </c>
      <c r="J73" s="18" t="n">
        <v>16.5</v>
      </c>
      <c r="K73" s="37" t="n">
        <v>40.5</v>
      </c>
      <c r="N73" s="18" t="n">
        <v>0</v>
      </c>
      <c r="O73" s="18" t="n">
        <v>0</v>
      </c>
      <c r="P73" s="9" t="n"/>
      <c r="T73" s="18" t="n">
        <v>1.85</v>
      </c>
      <c r="U73" s="9" t="n"/>
      <c r="Y73" s="18" t="n">
        <v>162.33</v>
      </c>
      <c r="Z73" s="9" t="n"/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재무활동으로인한현금흐름</t>
        </is>
      </c>
      <c r="E74" s="18" t="n">
        <v>-136.67</v>
      </c>
      <c r="F74" s="9" t="n"/>
      <c r="G74" s="18" t="n">
        <v>-148.2</v>
      </c>
      <c r="H74" s="18" t="n">
        <v>-2737</v>
      </c>
      <c r="I74" s="18" t="n">
        <v>-151.45</v>
      </c>
      <c r="J74" s="18" t="n">
        <v>-152.61</v>
      </c>
      <c r="K74" s="37" t="n">
        <v>-3189.26</v>
      </c>
      <c r="L74" s="18" t="n">
        <v>-161.29</v>
      </c>
      <c r="M74" s="18" t="n">
        <v>-4573.85</v>
      </c>
      <c r="N74" s="18" t="n">
        <v>-196.66</v>
      </c>
      <c r="O74" s="18" t="n">
        <v>-209.47</v>
      </c>
      <c r="P74" s="37" t="n">
        <v>-5141.27</v>
      </c>
      <c r="Q74" s="18" t="n">
        <v>-218.11</v>
      </c>
      <c r="R74" s="18" t="n">
        <v>-4630.38</v>
      </c>
      <c r="S74" s="18" t="n">
        <v>-233.64</v>
      </c>
      <c r="T74" s="18" t="n">
        <v>-231.91</v>
      </c>
      <c r="U74" s="37" t="n">
        <v>-5314.04</v>
      </c>
      <c r="V74" s="18" t="n">
        <v>-233.22</v>
      </c>
      <c r="W74" s="18" t="n">
        <v>-6703.83</v>
      </c>
      <c r="X74" s="18" t="n">
        <v>-7623.73</v>
      </c>
      <c r="Y74" s="18" t="n">
        <v>-255.59</v>
      </c>
      <c r="Z74" s="37" t="n">
        <v>-14816.37</v>
      </c>
      <c r="AA74" s="18" t="n">
        <v>-254.67</v>
      </c>
      <c r="AB74" s="19" t="n">
        <v>-11382.78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단기차입금의감소</t>
        </is>
      </c>
      <c r="E75" s="18" t="n">
        <v>0</v>
      </c>
      <c r="F75" s="9" t="n"/>
      <c r="K75" s="9" t="n"/>
      <c r="L75" s="18" t="n">
        <v>1797.3</v>
      </c>
      <c r="M75" s="18" t="n">
        <v>0</v>
      </c>
      <c r="N75" s="18" t="n">
        <v>0</v>
      </c>
      <c r="O75" s="18" t="n">
        <v>0</v>
      </c>
      <c r="P75" s="37" t="n">
        <v>1797.3</v>
      </c>
      <c r="U75" s="9" t="n"/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배당금지급</t>
        </is>
      </c>
      <c r="E76" s="18" t="n">
        <v>0</v>
      </c>
      <c r="F76" s="9" t="n"/>
      <c r="I76" s="18" t="n">
        <v>0</v>
      </c>
      <c r="J76" s="18" t="n">
        <v>0</v>
      </c>
      <c r="K76" s="9" t="n"/>
      <c r="N76" s="18" t="n">
        <v>0</v>
      </c>
      <c r="O76" s="18" t="n">
        <v>0</v>
      </c>
      <c r="P76" s="9" t="n"/>
      <c r="S76" s="18" t="n">
        <v>0</v>
      </c>
      <c r="T76" s="18" t="n">
        <v>0</v>
      </c>
      <c r="U76" s="9" t="n"/>
      <c r="X76" s="18" t="n">
        <v>7372.16</v>
      </c>
      <c r="Y76" s="18" t="n">
        <v>0</v>
      </c>
      <c r="Z76" s="9" t="n"/>
      <c r="AB76" s="5" t="n"/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현금및현금성자산의증감</t>
        </is>
      </c>
      <c r="E77" s="18" t="n">
        <v>-12738.65</v>
      </c>
      <c r="F77" s="9" t="n"/>
      <c r="G77" s="18" t="n">
        <v>-15146.86</v>
      </c>
      <c r="H77" s="18" t="n">
        <v>-9136.610000000001</v>
      </c>
      <c r="I77" s="18" t="n">
        <v>21820.43</v>
      </c>
      <c r="J77" s="18" t="n">
        <v>8110.14</v>
      </c>
      <c r="K77" s="37" t="n">
        <v>5647.1</v>
      </c>
      <c r="L77" s="18" t="n">
        <v>-20630.02</v>
      </c>
      <c r="M77" s="18" t="n">
        <v>4362.15</v>
      </c>
      <c r="N77" s="18" t="n">
        <v>-24086.58</v>
      </c>
      <c r="O77" s="18" t="n">
        <v>2310.57</v>
      </c>
      <c r="P77" s="37" t="n">
        <v>-38043.88</v>
      </c>
      <c r="Q77" s="18" t="n">
        <v>29769.86</v>
      </c>
      <c r="R77" s="18" t="n">
        <v>-40213.19</v>
      </c>
      <c r="S77" s="18" t="n">
        <v>13125.52</v>
      </c>
      <c r="T77" s="18" t="n">
        <v>-1757.01</v>
      </c>
      <c r="U77" s="37" t="n">
        <v>925.1799999999999</v>
      </c>
      <c r="V77" s="18" t="n">
        <v>2338.28</v>
      </c>
      <c r="W77" s="18" t="n">
        <v>-4629.23</v>
      </c>
      <c r="X77" s="18" t="n">
        <v>4732.43</v>
      </c>
      <c r="Y77" s="18" t="n">
        <v>4812.93</v>
      </c>
      <c r="Z77" s="37" t="n">
        <v>7254.41</v>
      </c>
      <c r="AA77" s="18" t="n">
        <v>8769.440000000001</v>
      </c>
      <c r="AB77" s="19" t="n">
        <v>1811.13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기말현금및현금성자산</t>
        </is>
      </c>
      <c r="E78" s="18" t="n">
        <v>-6647.86</v>
      </c>
      <c r="F78" s="9" t="n"/>
      <c r="G78" s="18" t="n">
        <v>29916.02</v>
      </c>
      <c r="H78" s="18" t="n">
        <v>-4465.04</v>
      </c>
      <c r="I78" s="18" t="n">
        <v>-61996.64</v>
      </c>
      <c r="J78" s="18" t="n">
        <v>76333.84</v>
      </c>
      <c r="K78" s="37" t="n">
        <v>39788.18</v>
      </c>
      <c r="L78" s="18" t="n">
        <v>29508.58</v>
      </c>
      <c r="M78" s="18" t="n">
        <v>2161.74</v>
      </c>
      <c r="N78" s="18" t="n">
        <v>-12056.99</v>
      </c>
      <c r="O78" s="18" t="n">
        <v>1087.16</v>
      </c>
      <c r="P78" s="37" t="n">
        <v>20700.49</v>
      </c>
      <c r="Q78" s="18" t="n">
        <v>35597.96</v>
      </c>
      <c r="R78" s="18" t="n">
        <v>-20107.46</v>
      </c>
      <c r="S78" s="18" t="n">
        <v>6531.43</v>
      </c>
      <c r="T78" s="18" t="n">
        <v>-396.26</v>
      </c>
      <c r="U78" s="37" t="n">
        <v>21625.67</v>
      </c>
      <c r="V78" s="18" t="n">
        <v>23963.95</v>
      </c>
      <c r="W78" s="18" t="n">
        <v>-4629.23</v>
      </c>
      <c r="X78" s="18" t="n">
        <v>4732.43</v>
      </c>
      <c r="Y78" s="18" t="n">
        <v>4812.93</v>
      </c>
      <c r="Z78" s="37" t="n">
        <v>28880.08</v>
      </c>
      <c r="AA78" s="18" t="n">
        <v>37649.52</v>
      </c>
      <c r="AB78" s="19" t="n">
        <v>1811.12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배당금수취(CF)</t>
        </is>
      </c>
      <c r="F79" s="9" t="n"/>
      <c r="I79" s="18" t="n">
        <v>19.81</v>
      </c>
      <c r="J79" s="18" t="n">
        <v>0</v>
      </c>
      <c r="K79" s="9" t="n"/>
      <c r="L79" s="18" t="n">
        <v>247.41</v>
      </c>
      <c r="M79" s="18" t="n">
        <v>0</v>
      </c>
      <c r="N79" s="18" t="n">
        <v>230.36</v>
      </c>
      <c r="O79" s="18" t="n">
        <v>419.19</v>
      </c>
      <c r="P79" s="37" t="n">
        <v>896.96</v>
      </c>
      <c r="Q79" s="18" t="n">
        <v>2171.45</v>
      </c>
      <c r="R79" s="18" t="n">
        <v>1030.02</v>
      </c>
      <c r="S79" s="18" t="n">
        <v>390.64</v>
      </c>
      <c r="T79" s="18" t="n">
        <v>578.59</v>
      </c>
      <c r="U79" s="37" t="n">
        <v>4170.7</v>
      </c>
      <c r="V79" s="18" t="n">
        <v>1143</v>
      </c>
      <c r="W79" s="18" t="n">
        <v>1996.34</v>
      </c>
      <c r="X79" s="18" t="n">
        <v>1566.78</v>
      </c>
      <c r="Y79" s="18" t="n">
        <v>1530.94</v>
      </c>
      <c r="Z79" s="37" t="n">
        <v>6237.06</v>
      </c>
      <c r="AA79" s="18" t="n">
        <v>8560.59</v>
      </c>
      <c r="AB79" s="19" t="n">
        <v>12763.63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단기차입금의증가</t>
        </is>
      </c>
      <c r="F80" s="9" t="n"/>
      <c r="K80" s="9" t="n"/>
      <c r="L80" s="18" t="n">
        <v>1797.3</v>
      </c>
      <c r="M80" s="18" t="n">
        <v>0</v>
      </c>
      <c r="N80" s="18" t="n">
        <v>0</v>
      </c>
      <c r="O80" s="18" t="n">
        <v>0</v>
      </c>
      <c r="P80" s="37" t="n">
        <v>1797.3</v>
      </c>
      <c r="U80" s="9" t="n"/>
      <c r="Z80" s="9" t="n"/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F81" s="9" t="n"/>
      <c r="K81" s="9" t="n"/>
      <c r="O81" s="18" t="n">
        <v>904.46</v>
      </c>
      <c r="P81" s="9" t="n"/>
      <c r="Q81" s="18" t="n">
        <v>1303.2</v>
      </c>
      <c r="R81" s="18" t="n">
        <v>708.24</v>
      </c>
      <c r="S81" s="18" t="n">
        <v>1100.94</v>
      </c>
      <c r="T81" s="18" t="n">
        <v>832.3200000000001</v>
      </c>
      <c r="U81" s="37" t="n">
        <v>3944.7</v>
      </c>
      <c r="V81" s="18" t="n">
        <v>1155.43</v>
      </c>
      <c r="W81" s="18" t="n">
        <v>609.12</v>
      </c>
      <c r="X81" s="18" t="n">
        <v>604.16</v>
      </c>
      <c r="Y81" s="18" t="n">
        <v>551.61</v>
      </c>
      <c r="Z81" s="37" t="n">
        <v>2920.32</v>
      </c>
      <c r="AA81" s="18" t="n">
        <v>790.21</v>
      </c>
      <c r="AB81" s="19" t="n">
        <v>647.53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리스부채의상환</t>
        </is>
      </c>
      <c r="F82" s="9" t="n"/>
      <c r="K82" s="9" t="n"/>
      <c r="P82" s="9" t="n"/>
      <c r="U82" s="9" t="n"/>
      <c r="V82" s="18" t="n">
        <v>233.22</v>
      </c>
      <c r="W82" s="18" t="n">
        <v>237.02</v>
      </c>
      <c r="X82" s="18" t="n">
        <v>251.56</v>
      </c>
      <c r="Y82" s="18" t="n">
        <v>255.6</v>
      </c>
      <c r="Z82" s="37" t="n">
        <v>977.4</v>
      </c>
      <c r="AA82" s="18" t="n">
        <v>254.67</v>
      </c>
      <c r="AB82" s="19" t="n">
        <v>257.41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SUM(G12:J12)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IFERROR((AB27*변수!$D$53-AB25*변수!$D$54)/4,"")</f>
        <v/>
      </c>
      <c r="AD12" s="20">
        <f>IFERROR((AC27*변수!$D$53-AC25*변수!$D$54)/4,"")</f>
        <v/>
      </c>
      <c r="AE12" s="38">
        <f>SUM(AA12:AD12)</f>
        <v/>
      </c>
      <c r="AF12" s="20">
        <f>IFERROR((AD27*변수!$D$53-AD25*변수!$D$54)/4,"")</f>
        <v/>
      </c>
      <c r="AG12" s="20">
        <f>IFERROR((AF27*변수!$D$53-AF25*변수!$D$54)/4,"")</f>
        <v/>
      </c>
      <c r="AH12" s="20">
        <f>IFERROR((AG27*변수!$D$53-AG25*변수!$D$54)/4,"")</f>
        <v/>
      </c>
      <c r="AI12" s="20">
        <f>IFERROR((AH27*변수!$D$53-AH25*변수!$D$54)/4,"")</f>
        <v/>
      </c>
      <c r="AJ12" s="38">
        <f>SUM(AF12:AI12)</f>
        <v/>
      </c>
      <c r="AK12" s="20">
        <f>IFERROR((AI27*변수!$D$53-AI25*변수!$D$54)/4,"")</f>
        <v/>
      </c>
      <c r="AL12" s="20">
        <f>IFERROR((AK27*변수!$D$53-AK25*변수!$D$54)/4,"")</f>
        <v/>
      </c>
      <c r="AM12" s="20">
        <f>IFERROR((AL27*변수!$D$53-AL25*변수!$D$54)/4,"")</f>
        <v/>
      </c>
      <c r="AN12" s="20">
        <f>IFERROR((AM27*변수!$D$53-AM25*변수!$D$54)/4,"")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>
        <f>IFERROR((VLOOKUP("파생상품이익",BS연결,MATCH(L$1,BS연결H,0),0)-VLOOKUP("파생상품손실",BS연결,MATCH(L$1,BS연결H,0),0))/100,"")</f>
        <v/>
      </c>
      <c r="M14" s="18">
        <f>IFERROR((VLOOKUP("파생상품이익",BS연결,MATCH(M$1,BS연결H,0),0)-VLOOKUP("파생상품손실",BS연결,MATCH(M$1,BS연결H,0),0))/100,"")</f>
        <v/>
      </c>
      <c r="N14" s="18">
        <f>IFERROR((VLOOKUP("파생상품이익",BS연결,MATCH(N$1,BS연결H,0),0)-VLOOKUP("파생상품손실",BS연결,MATCH(N$1,BS연결H,0),0))/100,"")</f>
        <v/>
      </c>
      <c r="O14" s="18">
        <f>IFERROR((VLOOKUP("파생상품이익",BS연결,MATCH(O$1,BS연결H,0),0)-VLOOKUP("파생상품손실",BS연결,MATCH(O$1,BS연결H,0),0))/100,"")</f>
        <v/>
      </c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 t="n"/>
      <c r="X14" s="18" t="n"/>
      <c r="Y14" s="18" t="n"/>
      <c r="Z14" s="37">
        <f>SUM(V14:Y14)</f>
        <v/>
      </c>
      <c r="AA14" s="18" t="n"/>
      <c r="AB14" s="19" t="n"/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>
        <f>IFERROR(L11-L12-L13-L14,"")</f>
        <v/>
      </c>
      <c r="M15" s="18">
        <f>IFERROR(M11-M12-M13-M14,"")</f>
        <v/>
      </c>
      <c r="N15" s="18">
        <f>IFERROR(N11-N12-N13-N14,"")</f>
        <v/>
      </c>
      <c r="O15" s="18">
        <f>IFERROR(O11-O12-O13-O14,"")</f>
        <v/>
      </c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 t="n"/>
      <c r="X15" s="18" t="n"/>
      <c r="Y15" s="18" t="n"/>
      <c r="Z15" s="37">
        <f>SUM(V15:Y15)</f>
        <v/>
      </c>
      <c r="AA15" s="18" t="n"/>
      <c r="AB15" s="19" t="n"/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IFERROR(AC9+AC11+AC16,"")</f>
        <v/>
      </c>
      <c r="AD17" s="20">
        <f>IFERROR(AD9+AD11+AD16,"")</f>
        <v/>
      </c>
      <c r="AE17" s="38">
        <f>SUM(AA17:AD17)</f>
        <v/>
      </c>
      <c r="AF17" s="20">
        <f>IFERROR(AF9+AF11+AF16,"")</f>
        <v/>
      </c>
      <c r="AG17" s="20">
        <f>IFERROR(AG9+AG11+AG16,"")</f>
        <v/>
      </c>
      <c r="AH17" s="20">
        <f>IFERROR(AH9+AH11+AH16,"")</f>
        <v/>
      </c>
      <c r="AI17" s="20">
        <f>IFERROR(AI9+AI11+AI16,"")</f>
        <v/>
      </c>
      <c r="AJ17" s="38">
        <f>SUM(AF17:AI17)</f>
        <v/>
      </c>
      <c r="AK17" s="20">
        <f>IFERROR(AK9+AK11+AK16,"")</f>
        <v/>
      </c>
      <c r="AL17" s="20">
        <f>IFERROR(AL9+AL11+AL16,"")</f>
        <v/>
      </c>
      <c r="AM17" s="20">
        <f>IFERROR(AM9+AM11+AM16,"")</f>
        <v/>
      </c>
      <c r="AN17" s="20">
        <f>IFERROR(AN9+AN11+AN16,"")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SUM(L18:O18)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IFERROR(AB22*(1+변수!AC30),"")</f>
        <v/>
      </c>
      <c r="AD22" s="20">
        <f>IFERROR(AC22*(1+변수!AD30),"")</f>
        <v/>
      </c>
      <c r="AE22" s="38">
        <f>AD22</f>
        <v/>
      </c>
      <c r="AF22" s="20">
        <f>IFERROR(AD22*(1+변수!AF30),"")</f>
        <v/>
      </c>
      <c r="AG22" s="20">
        <f>IFERROR(AF22*(1+변수!AG30),"")</f>
        <v/>
      </c>
      <c r="AH22" s="20">
        <f>IFERROR(AG22*(1+변수!AH30),"")</f>
        <v/>
      </c>
      <c r="AI22" s="20">
        <f>IFERROR(AH22*(1+변수!AI30),"")</f>
        <v/>
      </c>
      <c r="AJ22" s="38">
        <f>AI22</f>
        <v/>
      </c>
      <c r="AK22" s="20">
        <f>IFERROR(AI22*(1+변수!AK30),"")</f>
        <v/>
      </c>
      <c r="AL22" s="20">
        <f>IFERROR(AK22*(1+변수!AL30),"")</f>
        <v/>
      </c>
      <c r="AM22" s="20">
        <f>IFERROR(AL22*(1+변수!AM30),"")</f>
        <v/>
      </c>
      <c r="AN22" s="20">
        <f>IFERROR(AM22*(1+변수!AN30),"")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  <c r="AK23" s="20">
        <f>IFERROR(AI23+AK19-변수!AK31,"")</f>
        <v/>
      </c>
      <c r="AL23" s="20">
        <f>IFERROR(AK23+AL19-변수!AL31,"")</f>
        <v/>
      </c>
      <c r="AM23" s="20">
        <f>IFERROR(AL23+AM19-변수!AM31,"")</f>
        <v/>
      </c>
      <c r="AN23" s="20">
        <f>IFERROR(AM23+AN19-변수!AN31,"")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IFERROR(AB24+AC20-변수!AC32,"")</f>
        <v/>
      </c>
      <c r="AD24" s="20">
        <f>IFERROR(AC24+AD20-변수!AD32,"")</f>
        <v/>
      </c>
      <c r="AE24" s="38">
        <f>AD24</f>
        <v/>
      </c>
      <c r="AF24" s="20">
        <f>IFERROR(AD24+AF20-변수!AF32,"")</f>
        <v/>
      </c>
      <c r="AG24" s="20">
        <f>IFERROR(AF24+AG20-변수!AG32,"")</f>
        <v/>
      </c>
      <c r="AH24" s="20">
        <f>IFERROR(AG24+AH20-변수!AH32,"")</f>
        <v/>
      </c>
      <c r="AI24" s="20">
        <f>IFERROR(AH24+AI20-변수!AI32,"")</f>
        <v/>
      </c>
      <c r="AJ24" s="38">
        <f>AI24</f>
        <v/>
      </c>
      <c r="AK24" s="20">
        <f>IFERROR(AI24+AK20-변수!AK32,"")</f>
        <v/>
      </c>
      <c r="AL24" s="20">
        <f>IFERROR(AK24+AL20-변수!AL32,"")</f>
        <v/>
      </c>
      <c r="AM24" s="20">
        <f>IFERROR(AL24+AM20-변수!AM32,"")</f>
        <v/>
      </c>
      <c r="AN24" s="20">
        <f>IFERROR(AM24+AN20-변수!AN32,"")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 t="n"/>
      <c r="J25" s="18" t="n"/>
      <c r="K25" s="37">
        <f>J25</f>
        <v/>
      </c>
      <c r="L25" s="18" t="n"/>
      <c r="M25" s="18" t="n"/>
      <c r="N25" s="18" t="n"/>
      <c r="O25" s="18" t="n"/>
      <c r="P25" s="37">
        <f>O25</f>
        <v/>
      </c>
      <c r="Q25" s="18" t="n"/>
      <c r="R25" s="18" t="n"/>
      <c r="S25" s="18" t="n"/>
      <c r="T25" s="18" t="n"/>
      <c r="U25" s="37">
        <f>T25</f>
        <v/>
      </c>
      <c r="V25" s="18" t="n"/>
      <c r="W25" s="18" t="n"/>
      <c r="X25" s="18" t="n"/>
      <c r="Y25" s="18" t="n"/>
      <c r="Z25" s="37">
        <f>Y25</f>
        <v/>
      </c>
      <c r="AA25" s="18" t="n"/>
      <c r="AB25" s="19" t="n"/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 t="n"/>
      <c r="J26" s="18" t="n"/>
      <c r="K26" s="37">
        <f>J26</f>
        <v/>
      </c>
      <c r="L26" s="18" t="n"/>
      <c r="M26" s="18" t="n"/>
      <c r="N26" s="18" t="n"/>
      <c r="O26" s="18" t="n"/>
      <c r="P26" s="37">
        <f>O26</f>
        <v/>
      </c>
      <c r="Q26" s="18" t="n"/>
      <c r="R26" s="18" t="n"/>
      <c r="S26" s="18" t="n"/>
      <c r="T26" s="18" t="n"/>
      <c r="U26" s="37">
        <f>T26</f>
        <v/>
      </c>
      <c r="V26" s="18" t="n"/>
      <c r="W26" s="18" t="n"/>
      <c r="X26" s="18" t="n"/>
      <c r="Y26" s="18" t="n"/>
      <c r="Z26" s="37">
        <f>Y26</f>
        <v/>
      </c>
      <c r="AA26" s="18" t="n"/>
      <c r="AB26" s="19" t="n"/>
      <c r="AC26" s="20" t="n"/>
      <c r="AD26" s="20" t="n"/>
      <c r="AE26" s="38">
        <f>AD26</f>
        <v/>
      </c>
      <c r="AF26" s="20" t="n"/>
      <c r="AG26" s="20" t="n"/>
      <c r="AH26" s="20" t="n"/>
      <c r="AI26" s="20" t="n"/>
      <c r="AJ26" s="38">
        <f>AI26</f>
        <v/>
      </c>
      <c r="AK26" s="20" t="n"/>
      <c r="AL26" s="20" t="n"/>
      <c r="AM26" s="20" t="n"/>
      <c r="AN26" s="20" t="n"/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IFERROR(X29*(1+변수!AC37),"")</f>
        <v/>
      </c>
      <c r="AD29" s="20">
        <f>IFERROR(Y29*(1+변수!AD37),"")</f>
        <v/>
      </c>
      <c r="AE29" s="38">
        <f>SUM(AA29:AD29)</f>
        <v/>
      </c>
      <c r="AF29" s="20">
        <f>IFERROR(AA29*(1+변수!AF37),"")</f>
        <v/>
      </c>
      <c r="AG29" s="20">
        <f>IFERROR(AB29*(1+변수!AG37),"")</f>
        <v/>
      </c>
      <c r="AH29" s="20">
        <f>IFERROR(AC29*(1+변수!AH37),"")</f>
        <v/>
      </c>
      <c r="AI29" s="20">
        <f>IFERROR(AD29*(1+변수!AI37),"")</f>
        <v/>
      </c>
      <c r="AJ29" s="38">
        <f>SUM(AF29:AI29)</f>
        <v/>
      </c>
      <c r="AK29" s="20">
        <f>IFERROR(AF29*(1+변수!AK37),"")</f>
        <v/>
      </c>
      <c r="AL29" s="20">
        <f>IFERROR(AG29*(1+변수!AL37),"")</f>
        <v/>
      </c>
      <c r="AM29" s="20">
        <f>IFERROR(AH29*(1+변수!AM37),"")</f>
        <v/>
      </c>
      <c r="AN29" s="20">
        <f>IFERROR(AI29*(1+변수!AN37),"")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7" t="n">
        <v>25.867</v>
      </c>
      <c r="F31" s="28">
        <f>E31</f>
        <v/>
      </c>
      <c r="G31" s="27" t="n">
        <v>25.867</v>
      </c>
      <c r="H31" s="27" t="n">
        <v>25.867</v>
      </c>
      <c r="I31" s="27" t="n">
        <v>25.867</v>
      </c>
      <c r="J31" s="27" t="n">
        <v>25.867</v>
      </c>
      <c r="K31" s="28">
        <f>J31</f>
        <v/>
      </c>
      <c r="L31" s="27" t="n">
        <v>25.867</v>
      </c>
      <c r="M31" s="27" t="n">
        <v>25.867</v>
      </c>
      <c r="N31" s="27" t="n">
        <v>25.867</v>
      </c>
      <c r="O31" s="27" t="n">
        <v>25.867</v>
      </c>
      <c r="P31" s="28">
        <f>O31</f>
        <v/>
      </c>
      <c r="Q31" s="27" t="n">
        <v>25.867</v>
      </c>
      <c r="R31" s="27" t="n">
        <v>25.867</v>
      </c>
      <c r="S31" s="27" t="n">
        <v>25.867</v>
      </c>
      <c r="T31" s="27" t="n">
        <v>25.867</v>
      </c>
      <c r="U31" s="28">
        <f>T31</f>
        <v/>
      </c>
      <c r="V31" s="27" t="n">
        <v>25.867</v>
      </c>
      <c r="W31" s="27" t="n">
        <v>25.867</v>
      </c>
      <c r="X31" s="27" t="n">
        <v>25.867</v>
      </c>
      <c r="Y31" s="27" t="n">
        <v>25.867</v>
      </c>
      <c r="Z31" s="28">
        <f>Y31</f>
        <v/>
      </c>
      <c r="AA31" s="27" t="n">
        <v>25.867</v>
      </c>
      <c r="AB31" s="29" t="n">
        <v>25.684</v>
      </c>
      <c r="AC31" s="33">
        <f>IFERROR(AB31*(1+변수!AC39),"")</f>
        <v/>
      </c>
      <c r="AD31" s="33">
        <f>IFERROR(AC31*(1+변수!AD39),"")</f>
        <v/>
      </c>
      <c r="AE31" s="31">
        <f>AD31</f>
        <v/>
      </c>
      <c r="AF31" s="33">
        <f>IFERROR(AD31*(1+변수!AF39),"")</f>
        <v/>
      </c>
      <c r="AG31" s="33">
        <f>IFERROR(AF31*(1+변수!AG39),"")</f>
        <v/>
      </c>
      <c r="AH31" s="33">
        <f>IFERROR(AG31*(1+변수!AH39),"")</f>
        <v/>
      </c>
      <c r="AI31" s="33">
        <f>IFERROR(AH31*(1+변수!AI39),"")</f>
        <v/>
      </c>
      <c r="AJ31" s="31">
        <f>AI31</f>
        <v/>
      </c>
      <c r="AK31" s="33">
        <f>IFERROR(AI31*(1+변수!AK39),"")</f>
        <v/>
      </c>
      <c r="AL31" s="33">
        <f>IFERROR(AK31*(1+변수!AL39),"")</f>
        <v/>
      </c>
      <c r="AM31" s="33">
        <f>IFERROR(AL31*(1+변수!AM39),"")</f>
        <v/>
      </c>
      <c r="AN31" s="33">
        <f>IFERROR(AM31*(1+변수!AN39),"")</f>
        <v/>
      </c>
      <c r="AO31" s="31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IFERROR(E20*100/E31,"")</f>
        <v/>
      </c>
      <c r="F32" s="37" t="n"/>
      <c r="G32" s="18">
        <f>IFERROR(G20*100/G31,"")</f>
        <v/>
      </c>
      <c r="H32" s="18">
        <f>IFERROR(H20*100/H31,"")</f>
        <v/>
      </c>
      <c r="I32" s="18">
        <f>IFERROR(I20*100/I31,"")</f>
        <v/>
      </c>
      <c r="J32" s="18">
        <f>IFERROR(J20*100/J31,"")</f>
        <v/>
      </c>
      <c r="K32" s="37">
        <f>SUM(G32:J32)</f>
        <v/>
      </c>
      <c r="L32" s="18">
        <f>IFERROR(L20*100/L31,"")</f>
        <v/>
      </c>
      <c r="M32" s="18">
        <f>IFERROR(M20*100/M31,"")</f>
        <v/>
      </c>
      <c r="N32" s="18">
        <f>IFERROR(N20*100/N31,"")</f>
        <v/>
      </c>
      <c r="O32" s="18">
        <f>IFERROR(O20*100/O31,"")</f>
        <v/>
      </c>
      <c r="P32" s="37">
        <f>SUM(L32:O32)</f>
        <v/>
      </c>
      <c r="Q32" s="18">
        <f>IFERROR(Q20*100/Q31,"")</f>
        <v/>
      </c>
      <c r="R32" s="18">
        <f>IFERROR(R20*100/R31,"")</f>
        <v/>
      </c>
      <c r="S32" s="18">
        <f>IFERROR(S20*100/S31,"")</f>
        <v/>
      </c>
      <c r="T32" s="18">
        <f>IFERROR(T20*100/T31,"")</f>
        <v/>
      </c>
      <c r="U32" s="37">
        <f>SUM(Q32:T32)</f>
        <v/>
      </c>
      <c r="V32" s="18">
        <f>IFERROR(V20*100/V31,"")</f>
        <v/>
      </c>
      <c r="W32" s="18">
        <f>IFERROR(W20*100/W31,"")</f>
        <v/>
      </c>
      <c r="X32" s="18">
        <f>IFERROR(X20*100/X31,"")</f>
        <v/>
      </c>
      <c r="Y32" s="18">
        <f>IFERROR(Y20*100/Y31,"")</f>
        <v/>
      </c>
      <c r="Z32" s="37">
        <f>SUM(V32:Y32)</f>
        <v/>
      </c>
      <c r="AA32" s="18">
        <f>IFERROR(AA20*100/AA31,"")</f>
        <v/>
      </c>
      <c r="AB32" s="19">
        <f>IFERROR(AB20*100/AB31,"")</f>
        <v/>
      </c>
      <c r="AC32" s="20">
        <f>IFERROR(AC20*100/AC31,"")</f>
        <v/>
      </c>
      <c r="AD32" s="20">
        <f>IFERROR(AD20*100/AD31,"")</f>
        <v/>
      </c>
      <c r="AE32" s="38">
        <f>SUM(AA32:AD32)</f>
        <v/>
      </c>
      <c r="AF32" s="20">
        <f>IFERROR(AF20*100/AF31,"")</f>
        <v/>
      </c>
      <c r="AG32" s="20">
        <f>IFERROR(AG20*100/AG31,"")</f>
        <v/>
      </c>
      <c r="AH32" s="20">
        <f>IFERROR(AH20*100/AH31,"")</f>
        <v/>
      </c>
      <c r="AI32" s="20">
        <f>IFERROR(AI20*100/AI31,"")</f>
        <v/>
      </c>
      <c r="AJ32" s="38">
        <f>SUM(AF32:AI32)</f>
        <v/>
      </c>
      <c r="AK32" s="20">
        <f>IFERROR(AK20*100/AK31,"")</f>
        <v/>
      </c>
      <c r="AL32" s="20">
        <f>IFERROR(AL20*100/AL31,"")</f>
        <v/>
      </c>
      <c r="AM32" s="20">
        <f>IFERROR(AM20*100/AM31,"")</f>
        <v/>
      </c>
      <c r="AN32" s="20">
        <f>IFERROR(AN20*100/AN31,"")</f>
        <v/>
      </c>
      <c r="AO32" s="38">
        <f>SUM(AK32:AN32)</f>
        <v/>
      </c>
    </row>
    <row r="33">
      <c r="A33" s="12" t="inlineStr">
        <is>
          <t>조정EPS</t>
        </is>
      </c>
      <c r="B33" t="inlineStr">
        <is>
          <t>주당</t>
        </is>
      </c>
      <c r="C33" t="inlineStr">
        <is>
          <t>원</t>
        </is>
      </c>
      <c r="D33" t="inlineStr">
        <is>
          <t>조정 EPS(일회성 의심 분기의 초과 비영업손익 세후 차감 — 모델 추정)</t>
        </is>
      </c>
      <c r="E33" s="18">
        <f>IFERROR(E32,"")</f>
        <v/>
      </c>
      <c r="F33" s="37" t="n"/>
      <c r="G33" s="18">
        <f>IFERROR(G32,"")</f>
        <v/>
      </c>
      <c r="H33" s="18">
        <f>IFERROR(H32,"")</f>
        <v/>
      </c>
      <c r="I33" s="18">
        <f>IFERROR(I32,"")</f>
        <v/>
      </c>
      <c r="J33" s="18">
        <f>IFERROR(J32,"")</f>
        <v/>
      </c>
      <c r="K33" s="37">
        <f>SUM(G33:J33)</f>
        <v/>
      </c>
      <c r="L33" s="18">
        <f>IFERROR(L32,"")</f>
        <v/>
      </c>
      <c r="M33" s="18">
        <f>IFERROR(M32,"")</f>
        <v/>
      </c>
      <c r="N33" s="18">
        <f>IFERROR(N32,"")</f>
        <v/>
      </c>
      <c r="O33" s="18">
        <f>IFERROR(O32,"")</f>
        <v/>
      </c>
      <c r="P33" s="37">
        <f>SUM(L33:O33)</f>
        <v/>
      </c>
      <c r="Q33" s="18">
        <f>IFERROR(Q32,"")</f>
        <v/>
      </c>
      <c r="R33" s="18">
        <f>IFERROR(R32,"")</f>
        <v/>
      </c>
      <c r="S33" s="18">
        <f>IFERROR(S32,"")</f>
        <v/>
      </c>
      <c r="T33" s="18">
        <f>IFERROR(T32,"")</f>
        <v/>
      </c>
      <c r="U33" s="37">
        <f>SUM(Q33:T33)</f>
        <v/>
      </c>
      <c r="V33" s="18">
        <f>IFERROR(V32,"")</f>
        <v/>
      </c>
      <c r="W33" s="18">
        <f>IFERROR(W32,"")</f>
        <v/>
      </c>
      <c r="X33" s="18">
        <f>IFERROR(X32,"")</f>
        <v/>
      </c>
      <c r="Y33" s="18">
        <f>IFERROR(Y32,"")</f>
        <v/>
      </c>
      <c r="Z33" s="37">
        <f>SUM(V33:Y33)</f>
        <v/>
      </c>
      <c r="AA33" s="18">
        <f>IFERROR(AA32,"")</f>
        <v/>
      </c>
      <c r="AB33" s="39">
        <f>IFERROR((AB20-(588.5)*(0.8544))*100/AB31,"")</f>
        <v/>
      </c>
      <c r="AC33" s="20">
        <f>IFERROR(AC32,"")</f>
        <v/>
      </c>
      <c r="AD33" s="20">
        <f>IFERROR(AD32,"")</f>
        <v/>
      </c>
      <c r="AE33" s="38">
        <f>SUM(AA33:AD33)</f>
        <v/>
      </c>
      <c r="AF33" s="20">
        <f>IFERROR(AF32,"")</f>
        <v/>
      </c>
      <c r="AG33" s="20">
        <f>IFERROR(AG32,"")</f>
        <v/>
      </c>
      <c r="AH33" s="20">
        <f>IFERROR(AH32,"")</f>
        <v/>
      </c>
      <c r="AI33" s="20">
        <f>IFERROR(AI32,"")</f>
        <v/>
      </c>
      <c r="AJ33" s="38">
        <f>SUM(AF33:AI33)</f>
        <v/>
      </c>
      <c r="AK33" s="20">
        <f>IFERROR(AK32,"")</f>
        <v/>
      </c>
      <c r="AL33" s="20">
        <f>IFERROR(AL32,"")</f>
        <v/>
      </c>
      <c r="AM33" s="20">
        <f>IFERROR(AM32,"")</f>
        <v/>
      </c>
      <c r="AN33" s="20">
        <f>IFERROR(AN32,"")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IFERROR(E24*100/E31,"")</f>
        <v/>
      </c>
      <c r="F34" s="37">
        <f>E34</f>
        <v/>
      </c>
      <c r="G34" s="18">
        <f>IFERROR(G24*100/G31,"")</f>
        <v/>
      </c>
      <c r="H34" s="18">
        <f>IFERROR(H24*100/H31,"")</f>
        <v/>
      </c>
      <c r="I34" s="18">
        <f>IFERROR(I24*100/I31,"")</f>
        <v/>
      </c>
      <c r="J34" s="18">
        <f>IFERROR(J24*100/J31,"")</f>
        <v/>
      </c>
      <c r="K34" s="37">
        <f>J34</f>
        <v/>
      </c>
      <c r="L34" s="18">
        <f>IFERROR(L24*100/L31,"")</f>
        <v/>
      </c>
      <c r="M34" s="18">
        <f>IFERROR(M24*100/M31,"")</f>
        <v/>
      </c>
      <c r="N34" s="18">
        <f>IFERROR(N24*100/N31,"")</f>
        <v/>
      </c>
      <c r="O34" s="18">
        <f>IFERROR(O24*100/O31,"")</f>
        <v/>
      </c>
      <c r="P34" s="37">
        <f>O34</f>
        <v/>
      </c>
      <c r="Q34" s="18">
        <f>IFERROR(Q24*100/Q31,"")</f>
        <v/>
      </c>
      <c r="R34" s="18">
        <f>IFERROR(R24*100/R31,"")</f>
        <v/>
      </c>
      <c r="S34" s="18">
        <f>IFERROR(S24*100/S31,"")</f>
        <v/>
      </c>
      <c r="T34" s="18">
        <f>IFERROR(T24*100/T31,"")</f>
        <v/>
      </c>
      <c r="U34" s="37">
        <f>T34</f>
        <v/>
      </c>
      <c r="V34" s="18">
        <f>IFERROR(V24*100/V31,"")</f>
        <v/>
      </c>
      <c r="W34" s="18">
        <f>IFERROR(W24*100/W31,"")</f>
        <v/>
      </c>
      <c r="X34" s="18">
        <f>IFERROR(X24*100/X31,"")</f>
        <v/>
      </c>
      <c r="Y34" s="18">
        <f>IFERROR(Y24*100/Y31,"")</f>
        <v/>
      </c>
      <c r="Z34" s="37">
        <f>Y34</f>
        <v/>
      </c>
      <c r="AA34" s="18">
        <f>IFERROR(AA24*100/AA31,"")</f>
        <v/>
      </c>
      <c r="AB34" s="19">
        <f>IFERROR(AB24*100/AB31,"")</f>
        <v/>
      </c>
      <c r="AC34" s="20">
        <f>IFERROR(AC24*100/AC31,"")</f>
        <v/>
      </c>
      <c r="AD34" s="20">
        <f>IFERROR(AD24*100/AD31,"")</f>
        <v/>
      </c>
      <c r="AE34" s="38">
        <f>AD34</f>
        <v/>
      </c>
      <c r="AF34" s="20">
        <f>IFERROR(AF24*100/AF31,"")</f>
        <v/>
      </c>
      <c r="AG34" s="20">
        <f>IFERROR(AG24*100/AG31,"")</f>
        <v/>
      </c>
      <c r="AH34" s="20">
        <f>IFERROR(AH24*100/AH31,"")</f>
        <v/>
      </c>
      <c r="AI34" s="20">
        <f>IFERROR(AI24*100/AI31,"")</f>
        <v/>
      </c>
      <c r="AJ34" s="38">
        <f>AI34</f>
        <v/>
      </c>
      <c r="AK34" s="20">
        <f>IFERROR(AK24*100/AK31,"")</f>
        <v/>
      </c>
      <c r="AL34" s="20">
        <f>IFERROR(AL24*100/AL31,"")</f>
        <v/>
      </c>
      <c r="AM34" s="20">
        <f>IFERROR(AM24*100/AM31,"")</f>
        <v/>
      </c>
      <c r="AN34" s="20">
        <f>IFERROR(AN24*100/AN31,"")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100</v>
      </c>
      <c r="F35" s="37" t="n">
        <v>100</v>
      </c>
      <c r="G35" s="18" t="n"/>
      <c r="H35" s="18" t="n"/>
      <c r="I35" s="18" t="n"/>
      <c r="J35" s="18" t="n">
        <v>170</v>
      </c>
      <c r="K35" s="37">
        <f>SUM(G35:J35)</f>
        <v/>
      </c>
      <c r="L35" s="18" t="n"/>
      <c r="M35" s="18" t="n"/>
      <c r="N35" s="18" t="n"/>
      <c r="O35" s="18" t="n">
        <v>170</v>
      </c>
      <c r="P35" s="37">
        <f>SUM(L35:O35)</f>
        <v/>
      </c>
      <c r="Q35" s="18" t="n"/>
      <c r="R35" s="18" t="n"/>
      <c r="S35" s="18" t="n"/>
      <c r="T35" s="18" t="n">
        <v>250</v>
      </c>
      <c r="U35" s="37">
        <f>SUM(Q35:T35)</f>
        <v/>
      </c>
      <c r="V35" s="18" t="n"/>
      <c r="W35" s="18" t="n"/>
      <c r="X35" s="18" t="n"/>
      <c r="Y35" s="18" t="n">
        <v>535</v>
      </c>
      <c r="Z35" s="37">
        <f>SUM(V35:Y35)</f>
        <v/>
      </c>
      <c r="AA35" s="18" t="n"/>
      <c r="AB35" s="19" t="n"/>
      <c r="AC35" s="20" t="n"/>
      <c r="AD35" s="20">
        <f>변수!AD40</f>
        <v/>
      </c>
      <c r="AE35" s="38">
        <f>SUM(AA35:AD35)</f>
        <v/>
      </c>
      <c r="AF35" s="20" t="n"/>
      <c r="AG35" s="20" t="n"/>
      <c r="AH35" s="20" t="n"/>
      <c r="AI35" s="20">
        <f>변수!AI40</f>
        <v/>
      </c>
      <c r="AJ35" s="38">
        <f>SUM(AF35:AI35)</f>
        <v/>
      </c>
      <c r="AK35" s="20" t="n"/>
      <c r="AL35" s="20" t="n"/>
      <c r="AM35" s="20" t="n"/>
      <c r="AN35" s="20">
        <f>변수!AN40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>
        <f>IFERROR(변수!I18/(E32+G32+H32+I32),"")</f>
        <v/>
      </c>
      <c r="J36" s="13">
        <f>IFERROR(변수!J18/(G32+H32+I32+J32),"")</f>
        <v/>
      </c>
      <c r="K36" s="14">
        <f>J36</f>
        <v/>
      </c>
      <c r="L36" s="13">
        <f>IFERROR(변수!L18/(H32+I32+J32+L32),"")</f>
        <v/>
      </c>
      <c r="M36" s="13">
        <f>IFERROR(변수!M18/(I32+J32+L32+M32),"")</f>
        <v/>
      </c>
      <c r="N36" s="13">
        <f>IFERROR(변수!N18/(J32+L32+M32+N32),"")</f>
        <v/>
      </c>
      <c r="O36" s="13">
        <f>IFERROR(변수!O18/(L32+M32+N32+O32),"")</f>
        <v/>
      </c>
      <c r="P36" s="14">
        <f>O36</f>
        <v/>
      </c>
      <c r="Q36" s="13">
        <f>IFERROR(변수!Q18/(M32+N32+O32+Q32),"")</f>
        <v/>
      </c>
      <c r="R36" s="13">
        <f>IFERROR(변수!R18/(N32+O32+Q32+R32),"")</f>
        <v/>
      </c>
      <c r="S36" s="13">
        <f>IFERROR(변수!S18/(O32+Q32+R32+S32),"")</f>
        <v/>
      </c>
      <c r="T36" s="13">
        <f>IFERROR(변수!T18/(Q32+R32+S32+T32),"")</f>
        <v/>
      </c>
      <c r="U36" s="14">
        <f>T36</f>
        <v/>
      </c>
      <c r="V36" s="13">
        <f>IFERROR(변수!V18/(R32+S32+T32+V32),"")</f>
        <v/>
      </c>
      <c r="W36" s="13">
        <f>IFERROR(변수!W18/(S32+T32+V32+W32),"")</f>
        <v/>
      </c>
      <c r="X36" s="13">
        <f>IFERROR(변수!X18/(T32+V32+W32+X32),"")</f>
        <v/>
      </c>
      <c r="Y36" s="13">
        <f>IFERROR(변수!Y18/(V32+W32+X32+Y32),"")</f>
        <v/>
      </c>
      <c r="Z36" s="14">
        <f>Y36</f>
        <v/>
      </c>
      <c r="AA36" s="13">
        <f>IFERROR(변수!AA18/(W32+X32+Y32+AA32),"")</f>
        <v/>
      </c>
      <c r="AB36" s="15">
        <f>IFERROR(변수!AB18/(X32+Y32+AA32+AB32),"")</f>
        <v/>
      </c>
      <c r="AC36" s="40">
        <f>IFERROR(변수!$D$43/(Y32+AA32+AB32+AC32),"")</f>
        <v/>
      </c>
      <c r="AD36" s="40">
        <f>IFERROR(변수!$D$43/(AA32+AB32+AC32+AD32),"")</f>
        <v/>
      </c>
      <c r="AE36" s="41">
        <f>AD36</f>
        <v/>
      </c>
      <c r="AF36" s="40">
        <f>IFERROR(변수!$D$43/(AB32+AC32+AD32+AF32),"")</f>
        <v/>
      </c>
      <c r="AG36" s="40">
        <f>IFERROR(변수!$D$43/(AC32+AD32+AF32+AG32),"")</f>
        <v/>
      </c>
      <c r="AH36" s="40">
        <f>IFERROR(변수!$D$43/(AD32+AF32+AG32+AH32),"")</f>
        <v/>
      </c>
      <c r="AI36" s="40">
        <f>IFERROR(변수!$D$43/(AF32+AG32+AH32+AI32),"")</f>
        <v/>
      </c>
      <c r="AJ36" s="41">
        <f>AI36</f>
        <v/>
      </c>
      <c r="AK36" s="40">
        <f>IFERROR(변수!$D$43/(AG32+AH32+AI32+AK32),"")</f>
        <v/>
      </c>
      <c r="AL36" s="40">
        <f>IFERROR(변수!$D$43/(AH32+AI32+AK32+AL32),"")</f>
        <v/>
      </c>
      <c r="AM36" s="40">
        <f>IFERROR(변수!$D$43/(AI32+AK32+AL32+AM32),"")</f>
        <v/>
      </c>
      <c r="AN36" s="40">
        <f>IFERROR(변수!$D$43/(AK32+AL32+AM32+AN32),"")</f>
        <v/>
      </c>
      <c r="AO36" s="41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40">
        <f>IFERROR(변수!$D$43/AC34,"")</f>
        <v/>
      </c>
      <c r="AD37" s="40">
        <f>IFERROR(변수!$D$43/AD34,"")</f>
        <v/>
      </c>
      <c r="AE37" s="41">
        <f>AD37</f>
        <v/>
      </c>
      <c r="AF37" s="40">
        <f>IFERROR(변수!$D$43/AF34,"")</f>
        <v/>
      </c>
      <c r="AG37" s="40">
        <f>IFERROR(변수!$D$43/AG34,"")</f>
        <v/>
      </c>
      <c r="AH37" s="40">
        <f>IFERROR(변수!$D$43/AH34,"")</f>
        <v/>
      </c>
      <c r="AI37" s="40">
        <f>IFERROR(변수!$D$43/AI34,"")</f>
        <v/>
      </c>
      <c r="AJ37" s="41">
        <f>AI37</f>
        <v/>
      </c>
      <c r="AK37" s="40">
        <f>IFERROR(변수!$D$43/AK34,"")</f>
        <v/>
      </c>
      <c r="AL37" s="40">
        <f>IFERROR(변수!$D$43/AL34,"")</f>
        <v/>
      </c>
      <c r="AM37" s="40">
        <f>IFERROR(변수!$D$43/AM34,"")</f>
        <v/>
      </c>
      <c r="AN37" s="40">
        <f>IFERROR(변수!$D$43/AN34,"")</f>
        <v/>
      </c>
      <c r="AO37" s="41">
        <f>AN37</f>
        <v/>
      </c>
    </row>
    <row r="38">
      <c r="A38" s="12" t="inlineStr">
        <is>
          <t>매출전사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전사(부문 미분리)</t>
        </is>
      </c>
      <c r="E38" s="18" t="n">
        <v>458.83</v>
      </c>
      <c r="F38" s="37" t="n"/>
      <c r="G38" s="18" t="n">
        <v>490.65</v>
      </c>
      <c r="H38" s="18" t="n">
        <v>564.89</v>
      </c>
      <c r="I38" s="18" t="n">
        <v>679.35</v>
      </c>
      <c r="J38" s="18" t="n">
        <v>762.54</v>
      </c>
      <c r="K38" s="37">
        <f>SUM(G38:J38)</f>
        <v/>
      </c>
      <c r="L38" s="18" t="n">
        <v>839.13</v>
      </c>
      <c r="M38" s="18" t="n">
        <v>822.24</v>
      </c>
      <c r="N38" s="18" t="n">
        <v>745.9</v>
      </c>
      <c r="O38" s="18" t="n">
        <v>713.4</v>
      </c>
      <c r="P38" s="37">
        <f>SUM(L38:O38)</f>
        <v/>
      </c>
      <c r="Q38" s="18" t="n">
        <v>733.65</v>
      </c>
      <c r="R38" s="18" t="n">
        <v>655.38</v>
      </c>
      <c r="S38" s="18" t="n">
        <v>617.53</v>
      </c>
      <c r="T38" s="18" t="n">
        <v>661.53</v>
      </c>
      <c r="U38" s="37">
        <f>SUM(Q38:T38)</f>
        <v/>
      </c>
      <c r="V38" s="18" t="n">
        <v>626.35</v>
      </c>
      <c r="W38" s="18" t="n">
        <v>723.16</v>
      </c>
      <c r="X38" s="18" t="n">
        <v>814.15</v>
      </c>
      <c r="Y38" s="18" t="n">
        <v>806</v>
      </c>
      <c r="Z38" s="37">
        <f>SUM(V38:Y38)</f>
        <v/>
      </c>
      <c r="AA38" s="18" t="n">
        <v>822.75</v>
      </c>
      <c r="AB38" s="19" t="n">
        <v>837.46</v>
      </c>
      <c r="AC38" s="20">
        <f>IFERROR(AC5,"")</f>
        <v/>
      </c>
      <c r="AD38" s="20">
        <f>IFERROR(AD5,"")</f>
        <v/>
      </c>
      <c r="AE38" s="38">
        <f>SUM(AA38:AD38)</f>
        <v/>
      </c>
      <c r="AF38" s="20">
        <f>IFERROR(AF5,"")</f>
        <v/>
      </c>
      <c r="AG38" s="20">
        <f>IFERROR(AG5,"")</f>
        <v/>
      </c>
      <c r="AH38" s="20">
        <f>IFERROR(AH5,"")</f>
        <v/>
      </c>
      <c r="AI38" s="20">
        <f>IFERROR(AI5,"")</f>
        <v/>
      </c>
      <c r="AJ38" s="38">
        <f>SUM(AF38:AI38)</f>
        <v/>
      </c>
      <c r="AK38" s="20">
        <f>IFERROR(AK5,"")</f>
        <v/>
      </c>
      <c r="AL38" s="20">
        <f>IFERROR(AL5,"")</f>
        <v/>
      </c>
      <c r="AM38" s="20">
        <f>IFERROR(AM5,"")</f>
        <v/>
      </c>
      <c r="AN38" s="20">
        <f>IFERROR(AN5,"")</f>
        <v/>
      </c>
      <c r="AO38" s="38">
        <f>SUM(AK38:AN38)</f>
        <v/>
      </c>
    </row>
    <row r="39">
      <c r="A39" s="12" t="inlineStr">
        <is>
          <t>OP전사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OP 전사(부문 미분리)</t>
        </is>
      </c>
      <c r="E39" s="18" t="n">
        <v>29.21</v>
      </c>
      <c r="F39" s="37" t="n"/>
      <c r="G39" s="18" t="n">
        <v>65.69</v>
      </c>
      <c r="H39" s="18" t="n">
        <v>119.05</v>
      </c>
      <c r="I39" s="18" t="n">
        <v>103.83</v>
      </c>
      <c r="J39" s="18" t="n">
        <v>164.93</v>
      </c>
      <c r="K39" s="37">
        <f>SUM(G39:J39)</f>
        <v/>
      </c>
      <c r="L39" s="18" t="n">
        <v>199.25</v>
      </c>
      <c r="M39" s="18" t="n">
        <v>180.67</v>
      </c>
      <c r="N39" s="18" t="n">
        <v>122.38</v>
      </c>
      <c r="O39" s="18" t="n">
        <v>74.93000000000001</v>
      </c>
      <c r="P39" s="37">
        <f>SUM(L39:O39)</f>
        <v/>
      </c>
      <c r="Q39" s="18" t="n">
        <v>128.54</v>
      </c>
      <c r="R39" s="18" t="n">
        <v>98.17</v>
      </c>
      <c r="S39" s="18" t="n">
        <v>75.78</v>
      </c>
      <c r="T39" s="18" t="n">
        <v>96.23999999999999</v>
      </c>
      <c r="U39" s="37">
        <f>SUM(Q39:T39)</f>
        <v/>
      </c>
      <c r="V39" s="18" t="n">
        <v>74.04000000000001</v>
      </c>
      <c r="W39" s="18" t="n">
        <v>76.56999999999999</v>
      </c>
      <c r="X39" s="18" t="n">
        <v>115.69</v>
      </c>
      <c r="Y39" s="18" t="n">
        <v>121.05</v>
      </c>
      <c r="Z39" s="37">
        <f>SUM(V39:Y39)</f>
        <v/>
      </c>
      <c r="AA39" s="18" t="n">
        <v>93.5</v>
      </c>
      <c r="AB39" s="19" t="n">
        <v>72.12</v>
      </c>
      <c r="AC39" s="20">
        <f>IFERROR(AC9,"")</f>
        <v/>
      </c>
      <c r="AD39" s="20">
        <f>IFERROR(AD9,"")</f>
        <v/>
      </c>
      <c r="AE39" s="38">
        <f>SUM(AA39:AD39)</f>
        <v/>
      </c>
      <c r="AF39" s="20">
        <f>IFERROR(AF9,"")</f>
        <v/>
      </c>
      <c r="AG39" s="20">
        <f>IFERROR(AG9,"")</f>
        <v/>
      </c>
      <c r="AH39" s="20">
        <f>IFERROR(AH9,"")</f>
        <v/>
      </c>
      <c r="AI39" s="20">
        <f>IFERROR(AI9,"")</f>
        <v/>
      </c>
      <c r="AJ39" s="38">
        <f>SUM(AF39:AI39)</f>
        <v/>
      </c>
      <c r="AK39" s="20">
        <f>IFERROR(AK9,"")</f>
        <v/>
      </c>
      <c r="AL39" s="20">
        <f>IFERROR(AL9,"")</f>
        <v/>
      </c>
      <c r="AM39" s="20">
        <f>IFERROR(AM9,"")</f>
        <v/>
      </c>
      <c r="AN39" s="20">
        <f>IFERROR(AN9,"")</f>
        <v/>
      </c>
      <c r="AO39" s="38">
        <f>SUM(AK39:AN39)</f>
        <v/>
      </c>
    </row>
    <row r="40">
      <c r="B40" s="2" t="inlineStr">
        <is>
          <t>비율(참고)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NPM</t>
        </is>
      </c>
      <c r="C41" t="inlineStr">
        <is>
          <t>%</t>
        </is>
      </c>
      <c r="D41" t="inlineStr">
        <is>
          <t>지배주주순이익 / 매출액</t>
        </is>
      </c>
      <c r="E41" s="21">
        <f>IFERROR(E20/E5,"")</f>
        <v/>
      </c>
      <c r="F41" s="22">
        <f>IFERROR(F20/F5,"")</f>
        <v/>
      </c>
      <c r="G41" s="21">
        <f>IFERROR(G20/G5,"")</f>
        <v/>
      </c>
      <c r="H41" s="21">
        <f>IFERROR(H20/H5,"")</f>
        <v/>
      </c>
      <c r="I41" s="21">
        <f>IFERROR(I20/I5,"")</f>
        <v/>
      </c>
      <c r="J41" s="21">
        <f>IFERROR(J20/J5,"")</f>
        <v/>
      </c>
      <c r="K41" s="22">
        <f>IFERROR(K20/K5,"")</f>
        <v/>
      </c>
      <c r="L41" s="21">
        <f>IFERROR(L20/L5,"")</f>
        <v/>
      </c>
      <c r="M41" s="21">
        <f>IFERROR(M20/M5,"")</f>
        <v/>
      </c>
      <c r="N41" s="21">
        <f>IFERROR(N20/N5,"")</f>
        <v/>
      </c>
      <c r="O41" s="21">
        <f>IFERROR(O20/O5,"")</f>
        <v/>
      </c>
      <c r="P41" s="22">
        <f>IFERROR(P20/P5,"")</f>
        <v/>
      </c>
      <c r="Q41" s="21">
        <f>IFERROR(Q20/Q5,"")</f>
        <v/>
      </c>
      <c r="R41" s="21">
        <f>IFERROR(R20/R5,"")</f>
        <v/>
      </c>
      <c r="S41" s="21">
        <f>IFERROR(S20/S5,"")</f>
        <v/>
      </c>
      <c r="T41" s="21">
        <f>IFERROR(T20/T5,"")</f>
        <v/>
      </c>
      <c r="U41" s="22">
        <f>IFERROR(U20/U5,"")</f>
        <v/>
      </c>
      <c r="V41" s="21">
        <f>IFERROR(V20/V5,"")</f>
        <v/>
      </c>
      <c r="W41" s="21">
        <f>IFERROR(W20/W5,"")</f>
        <v/>
      </c>
      <c r="X41" s="21">
        <f>IFERROR(X20/X5,"")</f>
        <v/>
      </c>
      <c r="Y41" s="21">
        <f>IFERROR(Y20/Y5,"")</f>
        <v/>
      </c>
      <c r="Z41" s="22">
        <f>IFERROR(Z20/Z5,"")</f>
        <v/>
      </c>
      <c r="AA41" s="21">
        <f>IFERROR(AA20/AA5,"")</f>
        <v/>
      </c>
      <c r="AB41" s="23">
        <f>IFERROR(AB20/AB5,"")</f>
        <v/>
      </c>
      <c r="AC41" s="32">
        <f>IFERROR(AC20/AC5,"")</f>
        <v/>
      </c>
      <c r="AD41" s="32">
        <f>IFERROR(AD20/AD5,"")</f>
        <v/>
      </c>
      <c r="AE41" s="25">
        <f>IFERROR(AE20/AE5,"")</f>
        <v/>
      </c>
      <c r="AF41" s="32">
        <f>IFERROR(AF20/AF5,"")</f>
        <v/>
      </c>
      <c r="AG41" s="32">
        <f>IFERROR(AG20/AG5,"")</f>
        <v/>
      </c>
      <c r="AH41" s="32">
        <f>IFERROR(AH20/AH5,"")</f>
        <v/>
      </c>
      <c r="AI41" s="32">
        <f>IFERROR(AI20/AI5,"")</f>
        <v/>
      </c>
      <c r="AJ41" s="25">
        <f>IFERROR(AJ20/AJ5,"")</f>
        <v/>
      </c>
      <c r="AK41" s="32">
        <f>IFERROR(AK20/AK5,"")</f>
        <v/>
      </c>
      <c r="AL41" s="32">
        <f>IFERROR(AL20/AL5,"")</f>
        <v/>
      </c>
      <c r="AM41" s="32">
        <f>IFERROR(AM20/AM5,"")</f>
        <v/>
      </c>
      <c r="AN41" s="32">
        <f>IFERROR(AN20/AN5,"")</f>
        <v/>
      </c>
      <c r="AO41" s="25">
        <f>IFERROR(AO20/AO5,"")</f>
        <v/>
      </c>
    </row>
    <row r="42">
      <c r="A42" s="12" t="inlineStr">
        <is>
          <t>매출원가율</t>
        </is>
      </c>
      <c r="C42" t="inlineStr">
        <is>
          <t>%</t>
        </is>
      </c>
      <c r="D42" t="inlineStr">
        <is>
          <t>매출원가 / 매출액</t>
        </is>
      </c>
      <c r="E42" s="21">
        <f>IFERROR(E6/E5,"")</f>
        <v/>
      </c>
      <c r="F42" s="22">
        <f>IFERROR(F6/F5,"")</f>
        <v/>
      </c>
      <c r="G42" s="21">
        <f>IFERROR(G6/G5,"")</f>
        <v/>
      </c>
      <c r="H42" s="21">
        <f>IFERROR(H6/H5,"")</f>
        <v/>
      </c>
      <c r="I42" s="21">
        <f>IFERROR(I6/I5,"")</f>
        <v/>
      </c>
      <c r="J42" s="21">
        <f>IFERROR(J6/J5,"")</f>
        <v/>
      </c>
      <c r="K42" s="22">
        <f>IFERROR(K6/K5,"")</f>
        <v/>
      </c>
      <c r="L42" s="21">
        <f>IFERROR(L6/L5,"")</f>
        <v/>
      </c>
      <c r="M42" s="21">
        <f>IFERROR(M6/M5,"")</f>
        <v/>
      </c>
      <c r="N42" s="21">
        <f>IFERROR(N6/N5,"")</f>
        <v/>
      </c>
      <c r="O42" s="21">
        <f>IFERROR(O6/O5,"")</f>
        <v/>
      </c>
      <c r="P42" s="22">
        <f>IFERROR(P6/P5,"")</f>
        <v/>
      </c>
      <c r="Q42" s="21">
        <f>IFERROR(Q6/Q5,"")</f>
        <v/>
      </c>
      <c r="R42" s="21">
        <f>IFERROR(R6/R5,"")</f>
        <v/>
      </c>
      <c r="S42" s="21">
        <f>IFERROR(S6/S5,"")</f>
        <v/>
      </c>
      <c r="T42" s="21">
        <f>IFERROR(T6/T5,"")</f>
        <v/>
      </c>
      <c r="U42" s="22">
        <f>IFERROR(U6/U5,"")</f>
        <v/>
      </c>
      <c r="V42" s="21">
        <f>IFERROR(V6/V5,"")</f>
        <v/>
      </c>
      <c r="W42" s="21">
        <f>IFERROR(W6/W5,"")</f>
        <v/>
      </c>
      <c r="X42" s="21">
        <f>IFERROR(X6/X5,"")</f>
        <v/>
      </c>
      <c r="Y42" s="21">
        <f>IFERROR(Y6/Y5,"")</f>
        <v/>
      </c>
      <c r="Z42" s="22">
        <f>IFERROR(Z6/Z5,"")</f>
        <v/>
      </c>
      <c r="AA42" s="21">
        <f>IFERROR(AA6/AA5,"")</f>
        <v/>
      </c>
      <c r="AB42" s="23">
        <f>IFERROR(AB6/AB5,"")</f>
        <v/>
      </c>
      <c r="AC42" s="32">
        <f>IFERROR(AC6/AC5,"")</f>
        <v/>
      </c>
      <c r="AD42" s="32">
        <f>IFERROR(AD6/AD5,"")</f>
        <v/>
      </c>
      <c r="AE42" s="25">
        <f>IFERROR(AE6/AE5,"")</f>
        <v/>
      </c>
      <c r="AF42" s="32">
        <f>IFERROR(AF6/AF5,"")</f>
        <v/>
      </c>
      <c r="AG42" s="32">
        <f>IFERROR(AG6/AG5,"")</f>
        <v/>
      </c>
      <c r="AH42" s="32">
        <f>IFERROR(AH6/AH5,"")</f>
        <v/>
      </c>
      <c r="AI42" s="32">
        <f>IFERROR(AI6/AI5,"")</f>
        <v/>
      </c>
      <c r="AJ42" s="25">
        <f>IFERROR(AJ6/AJ5,"")</f>
        <v/>
      </c>
      <c r="AK42" s="32">
        <f>IFERROR(AK6/AK5,"")</f>
        <v/>
      </c>
      <c r="AL42" s="32">
        <f>IFERROR(AL6/AL5,"")</f>
        <v/>
      </c>
      <c r="AM42" s="32">
        <f>IFERROR(AM6/AM5,"")</f>
        <v/>
      </c>
      <c r="AN42" s="32">
        <f>IFERROR(AN6/AN5,"")</f>
        <v/>
      </c>
      <c r="AO42" s="25">
        <f>IFERROR(AO6/AO5,"")</f>
        <v/>
      </c>
    </row>
    <row r="43">
      <c r="A43" s="12" t="inlineStr">
        <is>
          <t>판관비율</t>
        </is>
      </c>
      <c r="C43" t="inlineStr">
        <is>
          <t>%</t>
        </is>
      </c>
      <c r="D43" t="inlineStr">
        <is>
          <t>판관비 / 매출액</t>
        </is>
      </c>
      <c r="E43" s="21">
        <f>IFERROR(E8/E5,"")</f>
        <v/>
      </c>
      <c r="F43" s="22">
        <f>IFERROR(F8/F5,"")</f>
        <v/>
      </c>
      <c r="G43" s="21">
        <f>IFERROR(G8/G5,"")</f>
        <v/>
      </c>
      <c r="H43" s="21">
        <f>IFERROR(H8/H5,"")</f>
        <v/>
      </c>
      <c r="I43" s="21">
        <f>IFERROR(I8/I5,"")</f>
        <v/>
      </c>
      <c r="J43" s="21">
        <f>IFERROR(J8/J5,"")</f>
        <v/>
      </c>
      <c r="K43" s="22">
        <f>IFERROR(K8/K5,"")</f>
        <v/>
      </c>
      <c r="L43" s="21">
        <f>IFERROR(L8/L5,"")</f>
        <v/>
      </c>
      <c r="M43" s="21">
        <f>IFERROR(M8/M5,"")</f>
        <v/>
      </c>
      <c r="N43" s="21">
        <f>IFERROR(N8/N5,"")</f>
        <v/>
      </c>
      <c r="O43" s="21">
        <f>IFERROR(O8/O5,"")</f>
        <v/>
      </c>
      <c r="P43" s="22">
        <f>IFERROR(P8/P5,"")</f>
        <v/>
      </c>
      <c r="Q43" s="21">
        <f>IFERROR(Q8/Q5,"")</f>
        <v/>
      </c>
      <c r="R43" s="21">
        <f>IFERROR(R8/R5,"")</f>
        <v/>
      </c>
      <c r="S43" s="21">
        <f>IFERROR(S8/S5,"")</f>
        <v/>
      </c>
      <c r="T43" s="21">
        <f>IFERROR(T8/T5,"")</f>
        <v/>
      </c>
      <c r="U43" s="22">
        <f>IFERROR(U8/U5,"")</f>
        <v/>
      </c>
      <c r="V43" s="21">
        <f>IFERROR(V8/V5,"")</f>
        <v/>
      </c>
      <c r="W43" s="21">
        <f>IFERROR(W8/W5,"")</f>
        <v/>
      </c>
      <c r="X43" s="21">
        <f>IFERROR(X8/X5,"")</f>
        <v/>
      </c>
      <c r="Y43" s="21">
        <f>IFERROR(Y8/Y5,"")</f>
        <v/>
      </c>
      <c r="Z43" s="22">
        <f>IFERROR(Z8/Z5,"")</f>
        <v/>
      </c>
      <c r="AA43" s="21">
        <f>IFERROR(AA8/AA5,"")</f>
        <v/>
      </c>
      <c r="AB43" s="23">
        <f>IFERROR(AB8/AB5,"")</f>
        <v/>
      </c>
      <c r="AC43" s="32">
        <f>IFERROR(AC8/AC5,"")</f>
        <v/>
      </c>
      <c r="AD43" s="32">
        <f>IFERROR(AD8/AD5,"")</f>
        <v/>
      </c>
      <c r="AE43" s="25">
        <f>IFERROR(AE8/AE5,"")</f>
        <v/>
      </c>
      <c r="AF43" s="32">
        <f>IFERROR(AF8/AF5,"")</f>
        <v/>
      </c>
      <c r="AG43" s="32">
        <f>IFERROR(AG8/AG5,"")</f>
        <v/>
      </c>
      <c r="AH43" s="32">
        <f>IFERROR(AH8/AH5,"")</f>
        <v/>
      </c>
      <c r="AI43" s="32">
        <f>IFERROR(AI8/AI5,"")</f>
        <v/>
      </c>
      <c r="AJ43" s="25">
        <f>IFERROR(AJ8/AJ5,"")</f>
        <v/>
      </c>
      <c r="AK43" s="32">
        <f>IFERROR(AK8/AK5,"")</f>
        <v/>
      </c>
      <c r="AL43" s="32">
        <f>IFERROR(AL8/AL5,"")</f>
        <v/>
      </c>
      <c r="AM43" s="32">
        <f>IFERROR(AM8/AM5,"")</f>
        <v/>
      </c>
      <c r="AN43" s="32">
        <f>IFERROR(AN8/AN5,"")</f>
        <v/>
      </c>
      <c r="AO43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2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변수!D43</f>
        <v/>
      </c>
      <c r="W2" s="43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4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5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6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6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6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6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6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7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6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6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6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6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6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6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6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6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6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6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6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6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6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6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6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6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6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6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6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6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27">
        <f>IFERROR(VLOOKUP($A31,subQ,MATCH(I$1,SUBQH,0),0),"")</f>
        <v/>
      </c>
      <c r="J31" s="27">
        <f>IFERROR(VLOOKUP($A31,subQ,MATCH(J$1,SUBQH,0),0),"")</f>
        <v/>
      </c>
      <c r="K31" s="27">
        <f>IFERROR(VLOOKUP($A31,subQ,MATCH(K$1,SUBQH,0),0),"")</f>
        <v/>
      </c>
      <c r="L31" s="27">
        <f>IFERROR(VLOOKUP($A31,subQ,MATCH(L$1,SUBQH,0),0),"")</f>
        <v/>
      </c>
      <c r="M31" s="27">
        <f>IFERROR(VLOOKUP($A31,subQ,MATCH(M$1,SUBQH,0),0),"")</f>
        <v/>
      </c>
      <c r="N31" s="27">
        <f>IFERROR(VLOOKUP($A31,subQ,MATCH(N$1,SUBQH,0),0),"")</f>
        <v/>
      </c>
      <c r="O31" s="27">
        <f>IFERROR(VLOOKUP($A31,subQ,MATCH(O$1,SUBQH,0),0),"")</f>
        <v/>
      </c>
      <c r="P31" s="27">
        <f>IFERROR(VLOOKUP($A31,subQ,MATCH(P$1,SUBQH,0),0),"")</f>
        <v/>
      </c>
      <c r="Q31" s="27">
        <f>IFERROR(VLOOKUP($A31,subQ,MATCH(Q$1,SUBQH,0),0),"")</f>
        <v/>
      </c>
      <c r="R31" s="27">
        <f>IFERROR(VLOOKUP($A31,subQ,MATCH(R$1,SUBQH,0),0),"")</f>
        <v/>
      </c>
      <c r="S31" s="27">
        <f>IFERROR(VLOOKUP($A31,subQ,MATCH(S$1,SUBQH,0),0),"")</f>
        <v/>
      </c>
      <c r="T31" s="27">
        <f>IFERROR(VLOOKUP($A31,subQ,MATCH(T$1,SUBQH,0),0),"")</f>
        <v/>
      </c>
      <c r="U31" s="27">
        <f>IFERROR(VLOOKUP($A31,subQ,MATCH(U$1,SUBQH,0),0),"")</f>
        <v/>
      </c>
      <c r="V31" s="27">
        <f>IFERROR(VLOOKUP($A31,subQ,MATCH(V$1,SUBQH,0),0),"")</f>
        <v/>
      </c>
      <c r="W31" s="48">
        <f>IFERROR(VLOOKUP($A31,subQ,MATCH(W$1,SUBQH,0),0),"")</f>
        <v/>
      </c>
      <c r="X31" s="33">
        <f>IFERROR(VLOOKUP($A31,subQ,MATCH(X$1,SUBQH,0),0),"")</f>
        <v/>
      </c>
      <c r="Y31" s="33">
        <f>IFERROR(VLOOKUP($A31,subQ,MATCH(Y$1,SUBQH,0),0),"")</f>
        <v/>
      </c>
      <c r="Z31" s="33">
        <f>IFERROR(VLOOKUP($A31,subQ,MATCH(Z$1,SUBQH,0),0),"")</f>
        <v/>
      </c>
      <c r="AA31" s="33">
        <f>IFERROR(VLOOKUP($A31,subQ,MATCH(AA$1,SUBQH,0),0),"")</f>
        <v/>
      </c>
      <c r="AB31" s="33">
        <f>IFERROR(VLOOKUP($A31,subQ,MATCH(AB$1,SUBQH,0),0),"")</f>
        <v/>
      </c>
      <c r="AC31" s="33">
        <f>IFERROR(VLOOKUP($A31,subQ,MATCH(AC$1,SUBQH,0),0),"")</f>
        <v/>
      </c>
      <c r="AD31" s="33">
        <f>IFERROR(VLOOKUP($A31,subQ,MATCH(AD$1,SUBQH,0),0),"")</f>
        <v/>
      </c>
      <c r="AE31" s="33">
        <f>IFERROR(VLOOKUP($A31,subQ,MATCH(AE$1,SUBQH,0),0),"")</f>
        <v/>
      </c>
      <c r="AF31" s="33">
        <f>IFERROR(VLOOKUP($A31,subQ,MATCH(AF$1,SUBQH,0),0),"")</f>
        <v/>
      </c>
      <c r="AG31" s="33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6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조정EPS</t>
        </is>
      </c>
      <c r="D33" t="inlineStr">
        <is>
          <t>조정 EPS(일회성 의심 분기의 초과 비영업손익 세후 차감 — 모델 추정)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6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6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6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9">
        <f>IFERROR(VLOOKUP($A36,subQ,MATCH(W$1,SUBQH,0),0),"")</f>
        <v/>
      </c>
      <c r="X36" s="40">
        <f>IFERROR(VLOOKUP($A36,subQ,MATCH(X$1,SUBQH,0),0),"")</f>
        <v/>
      </c>
      <c r="Y36" s="40">
        <f>IFERROR(VLOOKUP($A36,subQ,MATCH(Y$1,SUBQH,0),0),"")</f>
        <v/>
      </c>
      <c r="Z36" s="40">
        <f>IFERROR(VLOOKUP($A36,subQ,MATCH(Z$1,SUBQH,0),0),"")</f>
        <v/>
      </c>
      <c r="AA36" s="40">
        <f>IFERROR(VLOOKUP($A36,subQ,MATCH(AA$1,SUBQH,0),0),"")</f>
        <v/>
      </c>
      <c r="AB36" s="40">
        <f>IFERROR(VLOOKUP($A36,subQ,MATCH(AB$1,SUBQH,0),0),"")</f>
        <v/>
      </c>
      <c r="AC36" s="40">
        <f>IFERROR(VLOOKUP($A36,subQ,MATCH(AC$1,SUBQH,0),0),"")</f>
        <v/>
      </c>
      <c r="AD36" s="40">
        <f>IFERROR(VLOOKUP($A36,subQ,MATCH(AD$1,SUBQH,0),0),"")</f>
        <v/>
      </c>
      <c r="AE36" s="40">
        <f>IFERROR(VLOOKUP($A36,subQ,MATCH(AE$1,SUBQH,0),0),"")</f>
        <v/>
      </c>
      <c r="AF36" s="40">
        <f>IFERROR(VLOOKUP($A36,subQ,MATCH(AF$1,SUBQH,0),0),"")</f>
        <v/>
      </c>
      <c r="AG36" s="40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9">
        <f>IFERROR(VLOOKUP($A37,subQ,MATCH(W$1,SUBQH,0),0),"")</f>
        <v/>
      </c>
      <c r="X37" s="40">
        <f>IFERROR(VLOOKUP($A37,subQ,MATCH(X$1,SUBQH,0),0),"")</f>
        <v/>
      </c>
      <c r="Y37" s="40">
        <f>IFERROR(VLOOKUP($A37,subQ,MATCH(Y$1,SUBQH,0),0),"")</f>
        <v/>
      </c>
      <c r="Z37" s="40">
        <f>IFERROR(VLOOKUP($A37,subQ,MATCH(Z$1,SUBQH,0),0),"")</f>
        <v/>
      </c>
      <c r="AA37" s="40">
        <f>IFERROR(VLOOKUP($A37,subQ,MATCH(AA$1,SUBQH,0),0),"")</f>
        <v/>
      </c>
      <c r="AB37" s="40">
        <f>IFERROR(VLOOKUP($A37,subQ,MATCH(AB$1,SUBQH,0),0),"")</f>
        <v/>
      </c>
      <c r="AC37" s="40">
        <f>IFERROR(VLOOKUP($A37,subQ,MATCH(AC$1,SUBQH,0),0),"")</f>
        <v/>
      </c>
      <c r="AD37" s="40">
        <f>IFERROR(VLOOKUP($A37,subQ,MATCH(AD$1,SUBQH,0),0),"")</f>
        <v/>
      </c>
      <c r="AE37" s="40">
        <f>IFERROR(VLOOKUP($A37,subQ,MATCH(AE$1,SUBQH,0),0),"")</f>
        <v/>
      </c>
      <c r="AF37" s="40">
        <f>IFERROR(VLOOKUP($A37,subQ,MATCH(AF$1,SUBQH,0),0),"")</f>
        <v/>
      </c>
      <c r="AG37" s="40">
        <f>IFERROR(VLOOKUP($A37,subQ,MATCH(AG$1,SUBQH,0),0),"")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6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6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21">
        <f>IFERROR(VLOOKUP($A40,subQ,MATCH(I$1,SUBQH,0),0),"")</f>
        <v/>
      </c>
      <c r="J40" s="21">
        <f>IFERROR(VLOOKUP($A40,subQ,MATCH(J$1,SUBQH,0),0),"")</f>
        <v/>
      </c>
      <c r="K40" s="21">
        <f>IFERROR(VLOOKUP($A40,subQ,MATCH(K$1,SUBQH,0),0),"")</f>
        <v/>
      </c>
      <c r="L40" s="21">
        <f>IFERROR(VLOOKUP($A40,subQ,MATCH(L$1,SUBQH,0),0),"")</f>
        <v/>
      </c>
      <c r="M40" s="21">
        <f>IFERROR(VLOOKUP($A40,subQ,MATCH(M$1,SUBQH,0),0),"")</f>
        <v/>
      </c>
      <c r="N40" s="21">
        <f>IFERROR(VLOOKUP($A40,subQ,MATCH(N$1,SUBQH,0),0),"")</f>
        <v/>
      </c>
      <c r="O40" s="21">
        <f>IFERROR(VLOOKUP($A40,subQ,MATCH(O$1,SUBQH,0),0),"")</f>
        <v/>
      </c>
      <c r="P40" s="21">
        <f>IFERROR(VLOOKUP($A40,subQ,MATCH(P$1,SUBQH,0),0),"")</f>
        <v/>
      </c>
      <c r="Q40" s="21">
        <f>IFERROR(VLOOKUP($A40,subQ,MATCH(Q$1,SUBQH,0),0),"")</f>
        <v/>
      </c>
      <c r="R40" s="21">
        <f>IFERROR(VLOOKUP($A40,subQ,MATCH(R$1,SUBQH,0),0),"")</f>
        <v/>
      </c>
      <c r="S40" s="21">
        <f>IFERROR(VLOOKUP($A40,subQ,MATCH(S$1,SUBQH,0),0),"")</f>
        <v/>
      </c>
      <c r="T40" s="21">
        <f>IFERROR(VLOOKUP($A40,subQ,MATCH(T$1,SUBQH,0),0),"")</f>
        <v/>
      </c>
      <c r="U40" s="21">
        <f>IFERROR(VLOOKUP($A40,subQ,MATCH(U$1,SUBQH,0),0),"")</f>
        <v/>
      </c>
      <c r="V40" s="21">
        <f>IFERROR(VLOOKUP($A40,subQ,MATCH(V$1,SUBQH,0),0),"")</f>
        <v/>
      </c>
      <c r="W40" s="47">
        <f>IFERROR(VLOOKUP($A40,subQ,MATCH(W$1,SUBQH,0),0),"")</f>
        <v/>
      </c>
      <c r="X40" s="32">
        <f>IFERROR(VLOOKUP($A40,subQ,MATCH(X$1,SUBQH,0),0),"")</f>
        <v/>
      </c>
      <c r="Y40" s="32">
        <f>IFERROR(VLOOKUP($A40,subQ,MATCH(Y$1,SUBQH,0),0),"")</f>
        <v/>
      </c>
      <c r="Z40" s="32">
        <f>IFERROR(VLOOKUP($A40,subQ,MATCH(Z$1,SUBQH,0),0),"")</f>
        <v/>
      </c>
      <c r="AA40" s="32">
        <f>IFERROR(VLOOKUP($A40,subQ,MATCH(AA$1,SUBQH,0),0),"")</f>
        <v/>
      </c>
      <c r="AB40" s="32">
        <f>IFERROR(VLOOKUP($A40,subQ,MATCH(AB$1,SUBQH,0),0),"")</f>
        <v/>
      </c>
      <c r="AC40" s="32">
        <f>IFERROR(VLOOKUP($A40,subQ,MATCH(AC$1,SUBQH,0),0),"")</f>
        <v/>
      </c>
      <c r="AD40" s="32">
        <f>IFERROR(VLOOKUP($A40,subQ,MATCH(AD$1,SUBQH,0),0),"")</f>
        <v/>
      </c>
      <c r="AE40" s="32">
        <f>IFERROR(VLOOKUP($A40,subQ,MATCH(AE$1,SUBQH,0),0),"")</f>
        <v/>
      </c>
      <c r="AF40" s="32">
        <f>IFERROR(VLOOKUP($A40,subQ,MATCH(AF$1,SUBQH,0),0),"")</f>
        <v/>
      </c>
      <c r="AG40" s="32">
        <f>IFERROR(VLOOKUP($A40,subQ,MATCH(AG$1,SUBQH,0),0),"")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I41" s="21">
        <f>IFERROR(I5/E5-1,"")</f>
        <v/>
      </c>
      <c r="J41" s="21">
        <f>IFERROR(J5/F5-1,"")</f>
        <v/>
      </c>
      <c r="K41" s="21">
        <f>IFERROR(K5/G5-1,"")</f>
        <v/>
      </c>
      <c r="L41" s="21">
        <f>IFERROR(L5/H5-1,"")</f>
        <v/>
      </c>
      <c r="M41" s="21">
        <f>IFERROR(M5/I5-1,"")</f>
        <v/>
      </c>
      <c r="N41" s="21">
        <f>IFERROR(N5/J5-1,"")</f>
        <v/>
      </c>
      <c r="O41" s="21">
        <f>IFERROR(O5/K5-1,"")</f>
        <v/>
      </c>
      <c r="P41" s="21">
        <f>IFERROR(P5/L5-1,"")</f>
        <v/>
      </c>
      <c r="Q41" s="21">
        <f>IFERROR(Q5/M5-1,"")</f>
        <v/>
      </c>
      <c r="R41" s="21">
        <f>IFERROR(R5/N5-1,"")</f>
        <v/>
      </c>
      <c r="S41" s="21">
        <f>IFERROR(S5/O5-1,"")</f>
        <v/>
      </c>
      <c r="T41" s="21">
        <f>IFERROR(T5/P5-1,"")</f>
        <v/>
      </c>
      <c r="U41" s="21">
        <f>IFERROR(U5/Q5-1,"")</f>
        <v/>
      </c>
      <c r="V41" s="21">
        <f>IFERROR(V5/R5-1,"")</f>
        <v/>
      </c>
      <c r="W41" s="47">
        <f>IFERROR(W5/S5-1,"")</f>
        <v/>
      </c>
      <c r="X41" s="32">
        <f>IFERROR(X5/T5-1,"")</f>
        <v/>
      </c>
      <c r="Y41" s="32">
        <f>IFERROR(Y5/U5-1,"")</f>
        <v/>
      </c>
      <c r="Z41" s="32">
        <f>IFERROR(Z5/V5-1,"")</f>
        <v/>
      </c>
      <c r="AA41" s="32">
        <f>IFERROR(AA5/W5-1,"")</f>
        <v/>
      </c>
      <c r="AB41" s="32">
        <f>IFERROR(AB5/X5-1,"")</f>
        <v/>
      </c>
      <c r="AC41" s="32">
        <f>IFERROR(AC5/Y5-1,"")</f>
        <v/>
      </c>
      <c r="AD41" s="32">
        <f>IFERROR(AD5/Z5-1,"")</f>
        <v/>
      </c>
      <c r="AE41" s="32">
        <f>IFERROR(AE5/AA5-1,"")</f>
        <v/>
      </c>
      <c r="AF41" s="32">
        <f>IFERROR(AF5/AB5-1,"")</f>
        <v/>
      </c>
      <c r="AG41" s="32">
        <f>IFERROR(AG5/AC5-1,"")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I42" s="21">
        <f>IFERROR(I9/E9-1,"")</f>
        <v/>
      </c>
      <c r="J42" s="21">
        <f>IFERROR(J9/F9-1,"")</f>
        <v/>
      </c>
      <c r="K42" s="21">
        <f>IFERROR(K9/G9-1,"")</f>
        <v/>
      </c>
      <c r="L42" s="21">
        <f>IFERROR(L9/H9-1,"")</f>
        <v/>
      </c>
      <c r="M42" s="21">
        <f>IFERROR(M9/I9-1,"")</f>
        <v/>
      </c>
      <c r="N42" s="21">
        <f>IFERROR(N9/J9-1,"")</f>
        <v/>
      </c>
      <c r="O42" s="21">
        <f>IFERROR(O9/K9-1,"")</f>
        <v/>
      </c>
      <c r="P42" s="21">
        <f>IFERROR(P9/L9-1,"")</f>
        <v/>
      </c>
      <c r="Q42" s="21">
        <f>IFERROR(Q9/M9-1,"")</f>
        <v/>
      </c>
      <c r="R42" s="21">
        <f>IFERROR(R9/N9-1,"")</f>
        <v/>
      </c>
      <c r="S42" s="21">
        <f>IFERROR(S9/O9-1,"")</f>
        <v/>
      </c>
      <c r="T42" s="21">
        <f>IFERROR(T9/P9-1,"")</f>
        <v/>
      </c>
      <c r="U42" s="21">
        <f>IFERROR(U9/Q9-1,"")</f>
        <v/>
      </c>
      <c r="V42" s="21">
        <f>IFERROR(V9/R9-1,"")</f>
        <v/>
      </c>
      <c r="W42" s="47">
        <f>IFERROR(W9/S9-1,"")</f>
        <v/>
      </c>
      <c r="X42" s="32">
        <f>IFERROR(X9/T9-1,"")</f>
        <v/>
      </c>
      <c r="Y42" s="32">
        <f>IFERROR(Y9/U9-1,"")</f>
        <v/>
      </c>
      <c r="Z42" s="32">
        <f>IFERROR(Z9/V9-1,"")</f>
        <v/>
      </c>
      <c r="AA42" s="32">
        <f>IFERROR(AA9/W9-1,"")</f>
        <v/>
      </c>
      <c r="AB42" s="32">
        <f>IFERROR(AB9/X9-1,"")</f>
        <v/>
      </c>
      <c r="AC42" s="32">
        <f>IFERROR(AC9/Y9-1,"")</f>
        <v/>
      </c>
      <c r="AD42" s="32">
        <f>IFERROR(AD9/Z9-1,"")</f>
        <v/>
      </c>
      <c r="AE42" s="32">
        <f>IFERROR(AE9/AA9-1,"")</f>
        <v/>
      </c>
      <c r="AF42" s="32">
        <f>IFERROR(AF9/AB9-1,"")</f>
        <v/>
      </c>
      <c r="AG42" s="32">
        <f>IFERROR(AG9/AC9-1,"")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I43" s="21">
        <f>IFERROR(I20/E20-1,"")</f>
        <v/>
      </c>
      <c r="J43" s="21">
        <f>IFERROR(J20/F20-1,"")</f>
        <v/>
      </c>
      <c r="K43" s="21">
        <f>IFERROR(K20/G20-1,"")</f>
        <v/>
      </c>
      <c r="L43" s="21">
        <f>IFERROR(L20/H20-1,"")</f>
        <v/>
      </c>
      <c r="M43" s="21">
        <f>IFERROR(M20/I20-1,"")</f>
        <v/>
      </c>
      <c r="N43" s="21">
        <f>IFERROR(N20/J20-1,"")</f>
        <v/>
      </c>
      <c r="O43" s="21">
        <f>IFERROR(O20/K20-1,"")</f>
        <v/>
      </c>
      <c r="P43" s="21">
        <f>IFERROR(P20/L20-1,"")</f>
        <v/>
      </c>
      <c r="Q43" s="21">
        <f>IFERROR(Q20/M20-1,"")</f>
        <v/>
      </c>
      <c r="R43" s="21">
        <f>IFERROR(R20/N20-1,"")</f>
        <v/>
      </c>
      <c r="S43" s="21">
        <f>IFERROR(S20/O20-1,"")</f>
        <v/>
      </c>
      <c r="T43" s="21">
        <f>IFERROR(T20/P20-1,"")</f>
        <v/>
      </c>
      <c r="U43" s="21">
        <f>IFERROR(U20/Q20-1,"")</f>
        <v/>
      </c>
      <c r="V43" s="21">
        <f>IFERROR(V20/R20-1,"")</f>
        <v/>
      </c>
      <c r="W43" s="47">
        <f>IFERROR(W20/S20-1,"")</f>
        <v/>
      </c>
      <c r="X43" s="32">
        <f>IFERROR(X20/T20-1,"")</f>
        <v/>
      </c>
      <c r="Y43" s="32">
        <f>IFERROR(Y20/U20-1,"")</f>
        <v/>
      </c>
      <c r="Z43" s="32">
        <f>IFERROR(Z20/V20-1,"")</f>
        <v/>
      </c>
      <c r="AA43" s="32">
        <f>IFERROR(AA20/W20-1,"")</f>
        <v/>
      </c>
      <c r="AB43" s="32">
        <f>IFERROR(AB20/X20-1,"")</f>
        <v/>
      </c>
      <c r="AC43" s="32">
        <f>IFERROR(AC20/Y20-1,"")</f>
        <v/>
      </c>
      <c r="AD43" s="32">
        <f>IFERROR(AD20/Z20-1,"")</f>
        <v/>
      </c>
      <c r="AE43" s="32">
        <f>IFERROR(AE20/AA20-1,"")</f>
        <v/>
      </c>
      <c r="AF43" s="32">
        <f>IFERROR(AF20/AB20-1,"")</f>
        <v/>
      </c>
      <c r="AG43" s="32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2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변수!D43</f>
        <v/>
      </c>
      <c r="I2" s="43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4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5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6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6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6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6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6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7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6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6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6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6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6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6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6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6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6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6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6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6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6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6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6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6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6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6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6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6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7">
        <f>IFERROR(VLOOKUP($A31,subQ,MATCH(E$1,SUBQH,0),0),"")</f>
        <v/>
      </c>
      <c r="F31" s="27">
        <f>IFERROR(VLOOKUP($A31,subQ,MATCH(F$1,SUBQH,0),0),"")</f>
        <v/>
      </c>
      <c r="G31" s="27">
        <f>IFERROR(VLOOKUP($A31,subQ,MATCH(G$1,SUBQH,0),0),"")</f>
        <v/>
      </c>
      <c r="H31" s="27">
        <f>IFERROR(VLOOKUP($A31,subQ,MATCH(H$1,SUBQH,0),0),"")</f>
        <v/>
      </c>
      <c r="I31" s="48">
        <f>IFERROR(VLOOKUP($A31,subQ,MATCH(I$1,SUBQH,0),0),"")</f>
        <v/>
      </c>
      <c r="J31" s="33">
        <f>IFERROR(VLOOKUP($A31,subQ,MATCH(J$1,SUBQH,0),0),"")</f>
        <v/>
      </c>
      <c r="K31" s="33">
        <f>IFERROR(VLOOKUP($A31,subQ,MATCH(K$1,SUBQH,0),0),"")</f>
        <v/>
      </c>
      <c r="L31" s="33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6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조정EPS</t>
        </is>
      </c>
      <c r="D33" t="inlineStr">
        <is>
          <t>조정 EPS(일회성 의심 분기의 초과 비영업손익 세후 차감 — 모델 추정)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6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6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6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9">
        <f>IFERROR(VLOOKUP($A36,subQ,MATCH(I$1,SUBQH,0),0),"")</f>
        <v/>
      </c>
      <c r="J36" s="40">
        <f>IFERROR(VLOOKUP($A36,subQ,MATCH(J$1,SUBQH,0),0),"")</f>
        <v/>
      </c>
      <c r="K36" s="40">
        <f>IFERROR(VLOOKUP($A36,subQ,MATCH(K$1,SUBQH,0),0),"")</f>
        <v/>
      </c>
      <c r="L36" s="40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9">
        <f>IFERROR(VLOOKUP($A37,subQ,MATCH(I$1,SUBQH,0),0),"")</f>
        <v/>
      </c>
      <c r="J37" s="40">
        <f>IFERROR(VLOOKUP($A37,subQ,MATCH(J$1,SUBQH,0),0),"")</f>
        <v/>
      </c>
      <c r="K37" s="40">
        <f>IFERROR(VLOOKUP($A37,subQ,MATCH(K$1,SUBQH,0),0),"")</f>
        <v/>
      </c>
      <c r="L37" s="40">
        <f>IFERROR(VLOOKUP($A37,subQ,MATCH(L$1,SUBQH,0),0),"")</f>
        <v/>
      </c>
    </row>
    <row r="38">
      <c r="A38" s="12" t="inlineStr">
        <is>
          <t>매출전사</t>
        </is>
      </c>
      <c r="D38" t="inlineStr">
        <is>
          <t>매출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6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OP전사</t>
        </is>
      </c>
      <c r="D39" t="inlineStr">
        <is>
          <t>OP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6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NPM</t>
        </is>
      </c>
      <c r="D40" t="inlineStr">
        <is>
          <t>NPM</t>
        </is>
      </c>
      <c r="E40" s="21">
        <f>IFERROR(VLOOKUP($A40,subQ,MATCH(E$1,SUBQH,0),0),"")</f>
        <v/>
      </c>
      <c r="F40" s="21">
        <f>IFERROR(VLOOKUP($A40,subQ,MATCH(F$1,SUBQH,0),0),"")</f>
        <v/>
      </c>
      <c r="G40" s="21">
        <f>IFERROR(VLOOKUP($A40,subQ,MATCH(G$1,SUBQH,0),0),"")</f>
        <v/>
      </c>
      <c r="H40" s="21">
        <f>IFERROR(VLOOKUP($A40,subQ,MATCH(H$1,SUBQH,0),0),"")</f>
        <v/>
      </c>
      <c r="I40" s="47">
        <f>IFERROR(VLOOKUP($A40,subQ,MATCH(I$1,SUBQH,0),0),"")</f>
        <v/>
      </c>
      <c r="J40" s="32">
        <f>IFERROR(VLOOKUP($A40,subQ,MATCH(J$1,SUBQH,0),0),"")</f>
        <v/>
      </c>
      <c r="K40" s="32">
        <f>IFERROR(VLOOKUP($A40,subQ,MATCH(K$1,SUBQH,0),0),"")</f>
        <v/>
      </c>
      <c r="L40" s="32">
        <f>IFERROR(VLOOKUP($A40,subQ,MATCH(L$1,SUBQH,0),0),"")</f>
        <v/>
      </c>
    </row>
    <row r="41">
      <c r="A41" s="12" t="inlineStr">
        <is>
          <t>매출액 YoY</t>
        </is>
      </c>
      <c r="D41" t="inlineStr">
        <is>
          <t>매출액 YoY</t>
        </is>
      </c>
      <c r="F41" s="21">
        <f>IFERROR(F5/E5-1,"")</f>
        <v/>
      </c>
      <c r="G41" s="21">
        <f>IFERROR(G5/F5-1,"")</f>
        <v/>
      </c>
      <c r="H41" s="21">
        <f>IFERROR(H5/G5-1,"")</f>
        <v/>
      </c>
      <c r="I41" s="47">
        <f>IFERROR(I5/H5-1,"")</f>
        <v/>
      </c>
      <c r="J41" s="32">
        <f>IFERROR(J5/I5-1,"")</f>
        <v/>
      </c>
      <c r="K41" s="32">
        <f>IFERROR(K5/J5-1,"")</f>
        <v/>
      </c>
      <c r="L41" s="32">
        <f>IFERROR(L5/K5-1,"")</f>
        <v/>
      </c>
    </row>
    <row r="42">
      <c r="A42" s="12" t="inlineStr">
        <is>
          <t>영업이익 YoY</t>
        </is>
      </c>
      <c r="D42" t="inlineStr">
        <is>
          <t>영업이익 YoY</t>
        </is>
      </c>
      <c r="F42" s="21">
        <f>IFERROR(F9/E9-1,"")</f>
        <v/>
      </c>
      <c r="G42" s="21">
        <f>IFERROR(G9/F9-1,"")</f>
        <v/>
      </c>
      <c r="H42" s="21">
        <f>IFERROR(H9/G9-1,"")</f>
        <v/>
      </c>
      <c r="I42" s="47">
        <f>IFERROR(I9/H9-1,"")</f>
        <v/>
      </c>
      <c r="J42" s="32">
        <f>IFERROR(J9/I9-1,"")</f>
        <v/>
      </c>
      <c r="K42" s="32">
        <f>IFERROR(K9/J9-1,"")</f>
        <v/>
      </c>
      <c r="L42" s="32">
        <f>IFERROR(L9/K9-1,"")</f>
        <v/>
      </c>
    </row>
    <row r="43">
      <c r="A43" s="12" t="inlineStr">
        <is>
          <t>지배주주순이익 YoY</t>
        </is>
      </c>
      <c r="D43" t="inlineStr">
        <is>
          <t>지배주주순이익 YoY</t>
        </is>
      </c>
      <c r="F43" s="21">
        <f>IFERROR(F20/E20-1,"")</f>
        <v/>
      </c>
      <c r="G43" s="21">
        <f>IFERROR(G20/F20-1,"")</f>
        <v/>
      </c>
      <c r="H43" s="21">
        <f>IFERROR(H20/G20-1,"")</f>
        <v/>
      </c>
      <c r="I43" s="47">
        <f>IFERROR(I20/H20-1,"")</f>
        <v/>
      </c>
      <c r="J43" s="32">
        <f>IFERROR(J20/I20-1,"")</f>
        <v/>
      </c>
      <c r="K43" s="32">
        <f>IFERROR(K20/J20-1,"")</f>
        <v/>
      </c>
      <c r="L43" s="32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변수!D43</f>
        <v/>
      </c>
    </row>
    <row r="2">
      <c r="B2" s="1" t="inlineStr">
        <is>
          <t>기준일</t>
        </is>
      </c>
      <c r="C2">
        <f>변수!D44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0" t="n">
        <v>2025</v>
      </c>
      <c r="E5" s="50" t="n">
        <v>2026</v>
      </c>
      <c r="F5" s="50" t="n">
        <v>2027</v>
      </c>
      <c r="G5" s="50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IFERROR(E7*변수!D49+F7*(1-변수!D49),"")</f>
        <v/>
      </c>
    </row>
    <row r="15">
      <c r="C15" t="inlineStr">
        <is>
          <t>적정가치 @PER_lo</t>
        </is>
      </c>
      <c r="D15" s="27">
        <f>변수!D46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변수!D47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변수!D48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변수!D45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1499.8</v>
      </c>
    </row>
    <row r="30">
      <c r="C30" s="2" t="inlineStr">
        <is>
          <t>bps_latest</t>
        </is>
      </c>
      <c r="D30" t="n">
        <v>27510.3</v>
      </c>
    </row>
    <row r="31">
      <c r="C31" s="2" t="inlineStr">
        <is>
          <t>per_now</t>
        </is>
      </c>
      <c r="D31" t="n">
        <v>17.47</v>
      </c>
    </row>
    <row r="32">
      <c r="C32" s="2" t="inlineStr">
        <is>
          <t>pbr_now</t>
        </is>
      </c>
      <c r="D32" t="n">
        <v>0.95</v>
      </c>
    </row>
    <row r="33">
      <c r="C33" s="2" t="inlineStr">
        <is>
          <t>roe_fwd</t>
        </is>
      </c>
      <c r="D33" t="n">
        <v>0.0545</v>
      </c>
    </row>
    <row r="34">
      <c r="C34" s="2" t="inlineStr">
        <is>
          <t>fair_pbr</t>
        </is>
      </c>
      <c r="D34" t="n">
        <v>0.61</v>
      </c>
    </row>
    <row r="35">
      <c r="C35" s="2" t="inlineStr">
        <is>
          <t>fair_value_pbr</t>
        </is>
      </c>
      <c r="D35" t="n">
        <v>16800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40">
        <f>IFERROR(VLOOKUP($D5,환율,MATCH(X$1,변수H,0),0),"")</f>
        <v/>
      </c>
      <c r="Y5" s="40">
        <f>IFERROR(VLOOKUP($D5,환율,MATCH(Y$1,변수H,0),0),"")</f>
        <v/>
      </c>
      <c r="Z5" s="40">
        <f>IFERROR(VLOOKUP($D5,환율,MATCH(Z$1,변수H,0),0),"")</f>
        <v/>
      </c>
      <c r="AA5" s="40">
        <f>IFERROR(VLOOKUP($D5,환율,MATCH(AA$1,변수H,0),0),"")</f>
        <v/>
      </c>
      <c r="AB5" s="40">
        <f>IFERROR(VLOOKUP($D5,환율,MATCH(AB$1,변수H,0),0),"")</f>
        <v/>
      </c>
      <c r="AC5" s="40">
        <f>IFERROR(VLOOKUP($D5,환율,MATCH(AC$1,변수H,0),0),"")</f>
        <v/>
      </c>
      <c r="AD5" s="40">
        <f>IFERROR(VLOOKUP($D5,환율,MATCH(AD$1,변수H,0),0),"")</f>
        <v/>
      </c>
      <c r="AE5" s="40">
        <f>IFERROR(VLOOKUP($D5,환율,MATCH(AE$1,변수H,0),0),"")</f>
        <v/>
      </c>
      <c r="AF5" s="40">
        <f>IFERROR(VLOOKUP($D5,환율,MATCH(AF$1,변수H,0),0),"")</f>
        <v/>
      </c>
      <c r="AG5" s="40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40">
        <f>IFERROR(VLOOKUP($D7,환율,MATCH(X$1,변수H,0),0),"")</f>
        <v/>
      </c>
      <c r="Y7" s="40">
        <f>IFERROR(VLOOKUP($D7,환율,MATCH(Y$1,변수H,0),0),"")</f>
        <v/>
      </c>
      <c r="Z7" s="40">
        <f>IFERROR(VLOOKUP($D7,환율,MATCH(Z$1,변수H,0),0),"")</f>
        <v/>
      </c>
      <c r="AA7" s="40">
        <f>IFERROR(VLOOKUP($D7,환율,MATCH(AA$1,변수H,0),0),"")</f>
        <v/>
      </c>
      <c r="AB7" s="40">
        <f>IFERROR(VLOOKUP($D7,환율,MATCH(AB$1,변수H,0),0),"")</f>
        <v/>
      </c>
      <c r="AC7" s="40">
        <f>IFERROR(VLOOKUP($D7,환율,MATCH(AC$1,변수H,0),0),"")</f>
        <v/>
      </c>
      <c r="AD7" s="40">
        <f>IFERROR(VLOOKUP($D7,환율,MATCH(AD$1,변수H,0),0),"")</f>
        <v/>
      </c>
      <c r="AE7" s="40">
        <f>IFERROR(VLOOKUP($D7,환율,MATCH(AE$1,변수H,0),0),"")</f>
        <v/>
      </c>
      <c r="AF7" s="40">
        <f>IFERROR(VLOOKUP($D7,환율,MATCH(AF$1,변수H,0),0),"")</f>
        <v/>
      </c>
      <c r="AG7" s="40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40">
        <f>IFERROR(VLOOKUP($D9,환율,MATCH(X$1,변수H,0),0),"")</f>
        <v/>
      </c>
      <c r="Y9" s="40">
        <f>IFERROR(VLOOKUP($D9,환율,MATCH(Y$1,변수H,0),0),"")</f>
        <v/>
      </c>
      <c r="Z9" s="40">
        <f>IFERROR(VLOOKUP($D9,환율,MATCH(Z$1,변수H,0),0),"")</f>
        <v/>
      </c>
      <c r="AA9" s="40">
        <f>IFERROR(VLOOKUP($D9,환율,MATCH(AA$1,변수H,0),0),"")</f>
        <v/>
      </c>
      <c r="AB9" s="40">
        <f>IFERROR(VLOOKUP($D9,환율,MATCH(AB$1,변수H,0),0),"")</f>
        <v/>
      </c>
      <c r="AC9" s="40">
        <f>IFERROR(VLOOKUP($D9,환율,MATCH(AC$1,변수H,0),0),"")</f>
        <v/>
      </c>
      <c r="AD9" s="40">
        <f>IFERROR(VLOOKUP($D9,환율,MATCH(AD$1,변수H,0),0),"")</f>
        <v/>
      </c>
      <c r="AE9" s="40">
        <f>IFERROR(VLOOKUP($D9,환율,MATCH(AE$1,변수H,0),0),"")</f>
        <v/>
      </c>
      <c r="AF9" s="40">
        <f>IFERROR(VLOOKUP($D9,환율,MATCH(AF$1,변수H,0),0),"")</f>
        <v/>
      </c>
      <c r="AG9" s="40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40">
        <f>IFERROR(VLOOKUP($D11,환율,MATCH(X$1,변수H,0),0),"")</f>
        <v/>
      </c>
      <c r="Y11" s="40">
        <f>IFERROR(VLOOKUP($D11,환율,MATCH(Y$1,변수H,0),0),"")</f>
        <v/>
      </c>
      <c r="Z11" s="40">
        <f>IFERROR(VLOOKUP($D11,환율,MATCH(Z$1,변수H,0),0),"")</f>
        <v/>
      </c>
      <c r="AA11" s="40">
        <f>IFERROR(VLOOKUP($D11,환율,MATCH(AA$1,변수H,0),0),"")</f>
        <v/>
      </c>
      <c r="AB11" s="40">
        <f>IFERROR(VLOOKUP($D11,환율,MATCH(AB$1,변수H,0),0),"")</f>
        <v/>
      </c>
      <c r="AC11" s="40">
        <f>IFERROR(VLOOKUP($D11,환율,MATCH(AC$1,변수H,0),0),"")</f>
        <v/>
      </c>
      <c r="AD11" s="40">
        <f>IFERROR(VLOOKUP($D11,환율,MATCH(AD$1,변수H,0),0),"")</f>
        <v/>
      </c>
      <c r="AE11" s="40">
        <f>IFERROR(VLOOKUP($D11,환율,MATCH(AE$1,변수H,0),0),"")</f>
        <v/>
      </c>
      <c r="AF11" s="40">
        <f>IFERROR(VLOOKUP($D11,환율,MATCH(AF$1,변수H,0),0),"")</f>
        <v/>
      </c>
      <c r="AG11" s="40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40">
        <f>IFERROR(VLOOKUP($D13,환율,MATCH(X$1,변수H,0),0),"")</f>
        <v/>
      </c>
      <c r="Y13" s="40">
        <f>IFERROR(VLOOKUP($D13,환율,MATCH(Y$1,변수H,0),0),"")</f>
        <v/>
      </c>
      <c r="Z13" s="40">
        <f>IFERROR(VLOOKUP($D13,환율,MATCH(Z$1,변수H,0),0),"")</f>
        <v/>
      </c>
      <c r="AA13" s="40">
        <f>IFERROR(VLOOKUP($D13,환율,MATCH(AA$1,변수H,0),0),"")</f>
        <v/>
      </c>
      <c r="AB13" s="40">
        <f>IFERROR(VLOOKUP($D13,환율,MATCH(AB$1,변수H,0),0),"")</f>
        <v/>
      </c>
      <c r="AC13" s="40">
        <f>IFERROR(VLOOKUP($D13,환율,MATCH(AC$1,변수H,0),0),"")</f>
        <v/>
      </c>
      <c r="AD13" s="40">
        <f>IFERROR(VLOOKUP($D13,환율,MATCH(AD$1,변수H,0),0),"")</f>
        <v/>
      </c>
      <c r="AE13" s="40">
        <f>IFERROR(VLOOKUP($D13,환율,MATCH(AE$1,변수H,0),0),"")</f>
        <v/>
      </c>
      <c r="AF13" s="40">
        <f>IFERROR(VLOOKUP($D13,환율,MATCH(AF$1,변수H,0),0),"")</f>
        <v/>
      </c>
      <c r="AG13" s="40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변수!D56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