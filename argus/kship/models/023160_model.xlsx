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+7.99억의 50% 초과 → 0(경고)</t>
      </text>
    </comment>
    <comment ref="AD26" authorId="0" shapeId="0">
      <text>
        <t>모델값 역산(implied): 모델 v 그대로
최근 4분기 중위 +20.63억이 이자손익 추정 +7.99억의 50% 초과 → 0(경고)</t>
      </text>
    </comment>
    <comment ref="AF26" authorId="0" shapeId="0">
      <text>
        <t>모델값 역산(implied): 모델 v 그대로
최근 4분기 중위 +20.63억이 이자손익 추정 +7.99억의 50% 초과 → 0(경고)</t>
      </text>
    </comment>
    <comment ref="AG26" authorId="0" shapeId="0">
      <text>
        <t>모델값 역산(implied): 모델 v 그대로
최근 4분기 중위 +20.63억이 이자손익 추정 +7.99억의 50% 초과 → 0(경고)</t>
      </text>
    </comment>
    <comment ref="AH26" authorId="0" shapeId="0">
      <text>
        <t>모델값 역산(implied): 모델 v 그대로
최근 4분기 중위 +20.63억이 이자손익 추정 +7.99억의 50% 초과 → 0(경고)</t>
      </text>
    </comment>
    <comment ref="AI26" authorId="0" shapeId="0">
      <text>
        <t>모델값 역산(implied): 모델 v 그대로
최근 4분기 중위 +20.63억이 이자손익 추정 +7.99억의 50% 초과 → 0(경고)</t>
      </text>
    </comment>
    <comment ref="AK26" authorId="0" shapeId="0">
      <text>
        <t>모델값 역산(implied): 모델 v 그대로
최근 4분기 중위 +20.63억이 이자손익 추정 +7.99억의 50% 초과 → 0(경고)</t>
      </text>
    </comment>
    <comment ref="AL26" authorId="0" shapeId="0">
      <text>
        <t>모델값 역산(implied): 모델 v 그대로
최근 4분기 중위 +20.63억이 이자손익 추정 +7.99억의 50% 초과 → 0(경고)</t>
      </text>
    </comment>
    <comment ref="AM26" authorId="0" shapeId="0">
      <text>
        <t>모델값 역산(implied): 모델 v 그대로
최근 4분기 중위 +20.63억이 이자손익 추정 +7.99억의 50% 초과 → 0(경고)</t>
      </text>
    </comment>
    <comment ref="AN26" authorId="0" shapeId="0">
      <text>
        <t>모델값 역산(implied): 모델 v 그대로
최근 4분기 중위 +20.63억이 이자손익 추정 +7.99억의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535원 유지</t>
      </text>
    </comment>
    <comment ref="AI40" authorId="0" shapeId="0">
      <text>
        <t>모델값 역산(implied): 모델 v 그대로
직전 결산 DPS 535원 유지</t>
      </text>
    </comment>
    <comment ref="AN40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1156억 × 2.77%(주석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1258억 × 2.77%(주석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1361억 × 2.77%(주석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1465억 × 2.77%(주석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1435억 × 2.77%(주석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1551억 × 2.77%(주석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1667억 × 2.77%(주석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1786억 × 2.77%(주석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1769억 × 2.77%(주석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1894억 × 2.77%(주석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1156억 × 2.77%(주석 이자수익 ÷ 평균 이자발생자산(2025Q3~2026Q2)) − 총차입금 0억 × 0.00%(없음) (연율) ÷ 4
[interest]</t>
      </text>
    </comment>
    <comment ref="AD12" authorId="0" shapeId="0">
      <text>
        <t>추정: 이자발생자산 1258억 × 2.77%(주석 이자수익 ÷ 평균 이자발생자산(2025Q3~2026Q2)) − 총차입금 0억 × 0.00%(없음) (연율) ÷ 4
[interest]</t>
      </text>
    </comment>
    <comment ref="AF12" authorId="0" shapeId="0">
      <text>
        <t>추정: 이자발생자산 1361억 × 2.77%(주석 이자수익 ÷ 평균 이자발생자산(2025Q3~2026Q2)) − 총차입금 0억 × 0.00%(없음) (연율) ÷ 4
[interest]</t>
      </text>
    </comment>
    <comment ref="AG12" authorId="0" shapeId="0">
      <text>
        <t>추정: 이자발생자산 1465억 × 2.77%(주석 이자수익 ÷ 평균 이자발생자산(2025Q3~2026Q2)) − 총차입금 0억 × 0.00%(없음) (연율) ÷ 4
[interest]</t>
      </text>
    </comment>
    <comment ref="AH12" authorId="0" shapeId="0">
      <text>
        <t>추정: 이자발생자산 1435억 × 2.77%(주석 이자수익 ÷ 평균 이자발생자산(2025Q3~2026Q2)) − 총차입금 0억 × 0.00%(없음) (연율) ÷ 4
[interest]</t>
      </text>
    </comment>
    <comment ref="AI12" authorId="0" shapeId="0">
      <text>
        <t>추정: 이자발생자산 1551억 × 2.77%(주석 이자수익 ÷ 평균 이자발생자산(2025Q3~2026Q2)) − 총차입금 0억 × 0.00%(없음) (연율) ÷ 4
[interest]</t>
      </text>
    </comment>
    <comment ref="AK12" authorId="0" shapeId="0">
      <text>
        <t>추정: 이자발생자산 1667억 × 2.77%(주석 이자수익 ÷ 평균 이자발생자산(2025Q3~2026Q2)) − 총차입금 0억 × 0.00%(없음) (연율) ÷ 4
[interest]</t>
      </text>
    </comment>
    <comment ref="AL12" authorId="0" shapeId="0">
      <text>
        <t>추정: 이자발생자산 1786억 × 2.77%(주석 이자수익 ÷ 평균 이자발생자산(2025Q3~2026Q2)) − 총차입금 0억 × 0.00%(없음) (연율) ÷ 4
[interest]</t>
      </text>
    </comment>
    <comment ref="AM12" authorId="0" shapeId="0">
      <text>
        <t>추정: 이자발생자산 1769억 × 2.77%(주석 이자수익 ÷ 평균 이자발생자산(2025Q3~2026Q2)) − 총차입금 0억 × 0.00%(없음) (연율) ÷ 4
[interest]</t>
      </text>
    </comment>
    <comment ref="AN12" authorId="0" shapeId="0">
      <text>
        <t>추정: 이자발생자산 1894억 × 2.77%(주석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+7.99억의 50% 초과 → 0(경고)
[abs]</t>
      </text>
    </comment>
    <comment ref="AD15" authorId="0" shapeId="0">
      <text>
        <t>추정: 최근 4분기 중위 +20.63억이 이자손익 추정 +7.99억의 50% 초과 → 0(경고)
[abs]</t>
      </text>
    </comment>
    <comment ref="AF15" authorId="0" shapeId="0">
      <text>
        <t>추정: 최근 4분기 중위 +20.63억이 이자손익 추정 +7.99억의 50% 초과 → 0(경고)
[abs]</t>
      </text>
    </comment>
    <comment ref="AG15" authorId="0" shapeId="0">
      <text>
        <t>추정: 최근 4분기 중위 +20.63억이 이자손익 추정 +7.99억의 50% 초과 → 0(경고)
[abs]</t>
      </text>
    </comment>
    <comment ref="AH15" authorId="0" shapeId="0">
      <text>
        <t>추정: 최근 4분기 중위 +20.63억이 이자손익 추정 +7.99억의 50% 초과 → 0(경고)
[abs]</t>
      </text>
    </comment>
    <comment ref="AI15" authorId="0" shapeId="0">
      <text>
        <t>추정: 최근 4분기 중위 +20.63억이 이자손익 추정 +7.99억의 50% 초과 → 0(경고)
[abs]</t>
      </text>
    </comment>
    <comment ref="AK15" authorId="0" shapeId="0">
      <text>
        <t>추정: 최근 4분기 중위 +20.63억이 이자손익 추정 +7.99억의 50% 초과 → 0(경고)
[abs]</t>
      </text>
    </comment>
    <comment ref="AL15" authorId="0" shapeId="0">
      <text>
        <t>추정: 최근 4분기 중위 +20.63억이 이자손익 추정 +7.99억의 50% 초과 → 0(경고)
[abs]</t>
      </text>
    </comment>
    <comment ref="AM15" authorId="0" shapeId="0">
      <text>
        <t>추정: 최근 4분기 중위 +20.63억이 이자손익 추정 +7.99억의 50% 초과 → 0(경고)
[abs]</t>
      </text>
    </comment>
    <comment ref="AN15" authorId="0" shapeId="0">
      <text>
        <t>추정: 최근 4분기 중위 +20.63억이 이자손익 추정 +7.99억의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B33" authorId="0" shapeId="0">
      <text>
        <t>조정EPS 산식(모델 추정, 일회성 여부·세효과 주석 미확인): 지배NI − 초과 비영업손익 739억 × (1 − 세율 20.4% [분기 유효세율(법인세 177억 ÷ 세전 866억)]) × 지배 비중 0.8544 [그 분기 지배NI/NI] = 86억 ÷ 유통주식수 · 초과 = 비영업손익 794억 − 12분기 기준선 55억 · 보고 EPS 2,294원(EPS 행 불변) · 상수 588.5·0.8544 는 모델 one_offs_detected 값(세전·법인세 셀을 바꿔도 재계산되지 않음)</t>
      </text>
    </comment>
    <comment ref="AC33" authorId="0" shapeId="0">
      <text>
        <t>추정: = EPS(추정 구간은 일회성 미가정)
[identity]</t>
      </text>
    </comment>
    <comment ref="AD33" authorId="0" shapeId="0">
      <text>
        <t>추정: = EPS(추정 구간은 일회성 미가정)
[identity]</t>
      </text>
    </comment>
    <comment ref="AF33" authorId="0" shapeId="0">
      <text>
        <t>추정: = EPS(추정 구간은 일회성 미가정)
[identity]</t>
      </text>
    </comment>
    <comment ref="AG33" authorId="0" shapeId="0">
      <text>
        <t>추정: = EPS(추정 구간은 일회성 미가정)
[identity]</t>
      </text>
    </comment>
    <comment ref="AH33" authorId="0" shapeId="0">
      <text>
        <t>추정: = EPS(추정 구간은 일회성 미가정)
[identity]</t>
      </text>
    </comment>
    <comment ref="AI33" authorId="0" shapeId="0">
      <text>
        <t>추정: = EPS(추정 구간은 일회성 미가정)
[identity]</t>
      </text>
    </comment>
    <comment ref="AK33" authorId="0" shapeId="0">
      <text>
        <t>추정: = EPS(추정 구간은 일회성 미가정)
[identity]</t>
      </text>
    </comment>
    <comment ref="AL33" authorId="0" shapeId="0">
      <text>
        <t>추정: = EPS(추정 구간은 일회성 미가정)
[identity]</t>
      </text>
    </comment>
    <comment ref="AM33" authorId="0" shapeId="0">
      <text>
        <t>추정: = EPS(추정 구간은 일회성 미가정)
[identity]</t>
      </text>
    </comment>
    <comment ref="AN33" authorId="0" shapeId="0">
      <text>
        <t>추정: = EPS(추정 구간은 일회성 미가정)
[identity]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2.77% / 부채 0.00% — 이자손익 = (전분기 이자발생자산 × 자산이자율 − 전분기 총차입금 × 부채이자율)/4, 최소자승 역산(모델 assumptions [0.0277,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2,294→조정 336원)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+8.0억의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25800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24400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26814.3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0.001426637</v>
      </c>
      <c r="AD31" s="30" t="n">
        <v>-0.006432463</v>
      </c>
      <c r="AE31" s="31" t="n"/>
      <c r="AF31" s="30" t="n">
        <v>0.005158254</v>
      </c>
      <c r="AG31" s="30" t="n">
        <v>137.416409925</v>
      </c>
      <c r="AH31" s="30" t="n">
        <v>0.001358742</v>
      </c>
      <c r="AI31" s="30" t="n">
        <v>-0.002688399</v>
      </c>
      <c r="AJ31" s="31" t="n"/>
      <c r="AK31" s="30" t="n">
        <v>-0.003877286</v>
      </c>
      <c r="AL31" s="30" t="n">
        <v>137.41489207</v>
      </c>
      <c r="AM31" s="30" t="n">
        <v>-0.001249449</v>
      </c>
      <c r="AN31" s="30" t="n">
        <v>0.000347983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-0.002710044</v>
      </c>
      <c r="AD32" s="30" t="n">
        <v>-0.002047167</v>
      </c>
      <c r="AE32" s="31" t="n"/>
      <c r="AF32" s="30" t="n">
        <v>0.006312485</v>
      </c>
      <c r="AG32" s="30" t="n">
        <v>137.411845221</v>
      </c>
      <c r="AH32" s="30" t="n">
        <v>0.000648768</v>
      </c>
      <c r="AI32" s="30" t="n">
        <v>0.001121743</v>
      </c>
      <c r="AJ32" s="31" t="n"/>
      <c r="AK32" s="30" t="n">
        <v>-0.007415714</v>
      </c>
      <c r="AL32" s="30" t="n">
        <v>137.413775424</v>
      </c>
      <c r="AM32" s="30" t="n">
        <v>-0.001036902</v>
      </c>
      <c r="AN32" s="30" t="n">
        <v>-0.003067668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0.08884642399999999</v>
      </c>
      <c r="AD35" s="24" t="n">
        <v>0.081284272</v>
      </c>
      <c r="AE35" s="25" t="n"/>
      <c r="AF35" s="24" t="n">
        <v>0.077033324</v>
      </c>
      <c r="AG35" s="24" t="n">
        <v>-0.020670265</v>
      </c>
      <c r="AH35" s="24" t="n">
        <v>0.080935126</v>
      </c>
      <c r="AI35" s="24" t="n">
        <v>0.07458501200000001</v>
      </c>
      <c r="AJ35" s="25" t="n"/>
      <c r="AK35" s="24" t="n">
        <v>0.071123909</v>
      </c>
      <c r="AL35" s="24" t="n">
        <v>-0.009106642</v>
      </c>
      <c r="AM35" s="24" t="n">
        <v>0.07047618999999999</v>
      </c>
      <c r="AN35" s="24" t="n">
        <v>0.06558285899999999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subQ!E35</f>
        <v/>
      </c>
      <c r="F40" s="28">
        <f>subQ!F35</f>
        <v/>
      </c>
      <c r="G40" s="27">
        <f>subQ!G35</f>
        <v/>
      </c>
      <c r="H40" s="27">
        <f>subQ!H35</f>
        <v/>
      </c>
      <c r="I40" s="27">
        <f>subQ!I35</f>
        <v/>
      </c>
      <c r="J40" s="27">
        <f>subQ!J35</f>
        <v/>
      </c>
      <c r="K40" s="28">
        <f>subQ!K35</f>
        <v/>
      </c>
      <c r="L40" s="27">
        <f>subQ!L35</f>
        <v/>
      </c>
      <c r="M40" s="27">
        <f>subQ!M35</f>
        <v/>
      </c>
      <c r="N40" s="27">
        <f>subQ!N35</f>
        <v/>
      </c>
      <c r="O40" s="27">
        <f>subQ!O35</f>
        <v/>
      </c>
      <c r="P40" s="28">
        <f>subQ!P35</f>
        <v/>
      </c>
      <c r="Q40" s="27">
        <f>subQ!Q35</f>
        <v/>
      </c>
      <c r="R40" s="27">
        <f>subQ!R35</f>
        <v/>
      </c>
      <c r="S40" s="27">
        <f>subQ!S35</f>
        <v/>
      </c>
      <c r="T40" s="27">
        <f>subQ!T35</f>
        <v/>
      </c>
      <c r="U40" s="28">
        <f>subQ!U35</f>
        <v/>
      </c>
      <c r="V40" s="27">
        <f>subQ!V35</f>
        <v/>
      </c>
      <c r="W40" s="27">
        <f>subQ!W35</f>
        <v/>
      </c>
      <c r="X40" s="27">
        <f>subQ!X35</f>
        <v/>
      </c>
      <c r="Y40" s="27">
        <f>subQ!Y35</f>
        <v/>
      </c>
      <c r="Z40" s="28">
        <f>subQ!Z35</f>
        <v/>
      </c>
      <c r="AA40" s="27">
        <f>subQ!AA35</f>
        <v/>
      </c>
      <c r="AB40" s="29">
        <f>subQ!AB35</f>
        <v/>
      </c>
      <c r="AC40" s="33" t="n"/>
      <c r="AD40" s="30" t="n">
        <v>535</v>
      </c>
      <c r="AE40" s="31">
        <f>subQ!AE35</f>
        <v/>
      </c>
      <c r="AF40" s="33" t="n"/>
      <c r="AG40" s="33" t="n"/>
      <c r="AH40" s="33" t="n"/>
      <c r="AI40" s="30" t="n">
        <v>535</v>
      </c>
      <c r="AJ40" s="31">
        <f>subQ!AJ35</f>
        <v/>
      </c>
      <c r="AK40" s="33" t="n"/>
      <c r="AL40" s="33" t="n"/>
      <c r="AM40" s="33" t="n"/>
      <c r="AN40" s="30" t="n">
        <v>535</v>
      </c>
      <c r="AO40" s="31">
        <f>subQ!AO35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25800</v>
      </c>
      <c r="E43" s="2" t="inlineStr">
        <is>
          <t>원 — 네이버 정규장 종가(aik 확정종가 대조 · aik 26,250원)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20261013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8.5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0.2125156653534311</v>
      </c>
      <c r="E50" s="2" t="inlineStr">
        <is>
          <t>연결 — 법인세 = MAX(세전,0) × 세율(역산, 재현 오차 ≤ 0.05억 · 모델 assumptions 0.2125) · 최근 12분기 유효세율 21.3%(5~27%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0.1843357257761786</v>
      </c>
      <c r="E51" s="2" t="inlineStr">
        <is>
          <t>연결 — 판관비 = 매출액 × 판관비율(역산, 재현 오차 ≤ 0.05억 · 모델 assumptions 0.1843)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0.9239723919637756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0.02766838073366952</v>
      </c>
      <c r="E53" s="2" t="inlineStr">
        <is>
          <t>연결 — 이자손익 = (전분기 이자발생자산 × 자산이자율 − 전분기 총차입금 × 부채이자율)/4(역산, 재현 오차 ≤ 0.05억 · 모델 assumptions 0.0277)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0.2151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T10" s="18" t="n">
        <v>33518.65</v>
      </c>
      <c r="U10" s="37" t="n">
        <v>33518.65</v>
      </c>
      <c r="V10" s="18" t="n">
        <v>34723.19</v>
      </c>
      <c r="W10" s="18" t="n">
        <v>31218</v>
      </c>
      <c r="X10" s="18" t="n">
        <v>21483.62</v>
      </c>
      <c r="Y10" s="18" t="n">
        <v>20314.31</v>
      </c>
      <c r="Z10" s="37" t="n">
        <v>20314.31</v>
      </c>
      <c r="AA10" s="18" t="n">
        <v>10429.69</v>
      </c>
      <c r="AB10" s="19" t="n">
        <v>14781.62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85142.67999999999</v>
      </c>
      <c r="U15" s="37" t="n">
        <v>85142.67999999999</v>
      </c>
      <c r="V15" s="18" t="n">
        <v>90382.97</v>
      </c>
      <c r="W15" s="18" t="n">
        <v>87844.72</v>
      </c>
      <c r="X15" s="18" t="n">
        <v>69426.81</v>
      </c>
      <c r="Y15" s="18" t="n">
        <v>61379.9</v>
      </c>
      <c r="Z15" s="37" t="n">
        <v>61379.9</v>
      </c>
      <c r="AA15" s="18" t="n">
        <v>62413.27</v>
      </c>
      <c r="AB15" s="19" t="n">
        <v>65415.01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85142.67999999999</v>
      </c>
      <c r="U16" s="37" t="n">
        <v>85142.67999999999</v>
      </c>
      <c r="V16" s="18" t="n">
        <v>90382.97</v>
      </c>
      <c r="W16" s="18" t="n">
        <v>87844.72</v>
      </c>
      <c r="X16" s="18" t="n">
        <v>69426.81</v>
      </c>
      <c r="Y16" s="18" t="n">
        <v>61379.9</v>
      </c>
      <c r="Z16" s="37" t="n">
        <v>61379.9</v>
      </c>
      <c r="AA16" s="18" t="n">
        <v>62413.27</v>
      </c>
      <c r="AB16" s="19" t="n">
        <v>65415.01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117204.9</v>
      </c>
      <c r="U48" s="37" t="n">
        <v>117204.9</v>
      </c>
      <c r="V48" s="18" t="n">
        <v>125189.4</v>
      </c>
      <c r="W48" s="18" t="n">
        <v>117443.18</v>
      </c>
      <c r="X48" s="18" t="n">
        <v>101403.82</v>
      </c>
      <c r="Y48" s="18" t="n">
        <v>96975.94</v>
      </c>
      <c r="Z48" s="37" t="n">
        <v>96975.94</v>
      </c>
      <c r="AA48" s="18" t="n">
        <v>105401.94</v>
      </c>
      <c r="AB48" s="19" t="n">
        <v>115562.67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T10" s="18" t="n">
        <v>16933.52</v>
      </c>
      <c r="U10" s="37" t="n">
        <v>16933.52</v>
      </c>
      <c r="V10" s="18" t="n">
        <v>18494.5</v>
      </c>
      <c r="W10" s="18" t="n">
        <v>18120.16</v>
      </c>
      <c r="X10" s="18" t="n">
        <v>18275.88</v>
      </c>
      <c r="Y10" s="18" t="n">
        <v>17008.4</v>
      </c>
      <c r="Z10" s="37" t="n">
        <v>17008.4</v>
      </c>
      <c r="AA10" s="18" t="n">
        <v>9008.4</v>
      </c>
      <c r="AB10" s="19" t="n">
        <v>9008.4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>
        <f>IFERROR(E32,"")</f>
        <v/>
      </c>
      <c r="F33" s="37" t="n"/>
      <c r="G33" s="18">
        <f>IFERROR(G32,"")</f>
        <v/>
      </c>
      <c r="H33" s="18">
        <f>IFERROR(H32,"")</f>
        <v/>
      </c>
      <c r="I33" s="18">
        <f>IFERROR(I32,"")</f>
        <v/>
      </c>
      <c r="J33" s="18">
        <f>IFERROR(J32,"")</f>
        <v/>
      </c>
      <c r="K33" s="37">
        <f>SUM(G33:J33)</f>
        <v/>
      </c>
      <c r="L33" s="18">
        <f>IFERROR(L32,"")</f>
        <v/>
      </c>
      <c r="M33" s="18">
        <f>IFERROR(M32,"")</f>
        <v/>
      </c>
      <c r="N33" s="18">
        <f>IFERROR(N32,"")</f>
        <v/>
      </c>
      <c r="O33" s="18">
        <f>IFERROR(O32,"")</f>
        <v/>
      </c>
      <c r="P33" s="37">
        <f>SUM(L33:O33)</f>
        <v/>
      </c>
      <c r="Q33" s="18">
        <f>IFERROR(Q32,"")</f>
        <v/>
      </c>
      <c r="R33" s="18">
        <f>IFERROR(R32,"")</f>
        <v/>
      </c>
      <c r="S33" s="18">
        <f>IFERROR(S32,"")</f>
        <v/>
      </c>
      <c r="T33" s="18">
        <f>IFERROR(T32,"")</f>
        <v/>
      </c>
      <c r="U33" s="37">
        <f>SUM(Q33:T33)</f>
        <v/>
      </c>
      <c r="V33" s="18">
        <f>IFERROR(V32,"")</f>
        <v/>
      </c>
      <c r="W33" s="18">
        <f>IFERROR(W32,"")</f>
        <v/>
      </c>
      <c r="X33" s="18">
        <f>IFERROR(X32,"")</f>
        <v/>
      </c>
      <c r="Y33" s="18">
        <f>IFERROR(Y32,"")</f>
        <v/>
      </c>
      <c r="Z33" s="37">
        <f>SUM(V33:Y33)</f>
        <v/>
      </c>
      <c r="AA33" s="18">
        <f>IFERROR(AA32,"")</f>
        <v/>
      </c>
      <c r="AB33" s="39">
        <f>IFERROR((AB20-(588.5)*(0.8544))*100/AB31,"")</f>
        <v/>
      </c>
      <c r="AC33" s="20">
        <f>IFERROR(AC32,"")</f>
        <v/>
      </c>
      <c r="AD33" s="20">
        <f>IFERROR(AD32,"")</f>
        <v/>
      </c>
      <c r="AE33" s="38">
        <f>SUM(AA33:AD33)</f>
        <v/>
      </c>
      <c r="AF33" s="20">
        <f>IFERROR(AF32,"")</f>
        <v/>
      </c>
      <c r="AG33" s="20">
        <f>IFERROR(AG32,"")</f>
        <v/>
      </c>
      <c r="AH33" s="20">
        <f>IFERROR(AH32,"")</f>
        <v/>
      </c>
      <c r="AI33" s="20">
        <f>IFERROR(AI32,"")</f>
        <v/>
      </c>
      <c r="AJ33" s="38">
        <f>SUM(AF33:AI33)</f>
        <v/>
      </c>
      <c r="AK33" s="20">
        <f>IFERROR(AK32,"")</f>
        <v/>
      </c>
      <c r="AL33" s="20">
        <f>IFERROR(AL32,"")</f>
        <v/>
      </c>
      <c r="AM33" s="20">
        <f>IFERROR(AM32,"")</f>
        <v/>
      </c>
      <c r="AN33" s="20">
        <f>IFERROR(AN32,"")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변수!AD40</f>
        <v/>
      </c>
      <c r="AE35" s="38">
        <f>SUM(AA35:AD35)</f>
        <v/>
      </c>
      <c r="AF35" s="20" t="n"/>
      <c r="AG35" s="20" t="n"/>
      <c r="AH35" s="20" t="n"/>
      <c r="AI35" s="20">
        <f>변수!AI40</f>
        <v/>
      </c>
      <c r="AJ35" s="38">
        <f>SUM(AF35:AI35)</f>
        <v/>
      </c>
      <c r="AK35" s="20" t="n"/>
      <c r="AL35" s="20" t="n"/>
      <c r="AM35" s="20" t="n"/>
      <c r="AN35" s="20">
        <f>변수!AN40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IFERROR(변수!$D$43/(Y32+AA32+AB32+AC32),"")</f>
        <v/>
      </c>
      <c r="AD36" s="40">
        <f>IFERROR(변수!$D$43/(AA32+AB32+AC32+AD32),"")</f>
        <v/>
      </c>
      <c r="AE36" s="41">
        <f>AD36</f>
        <v/>
      </c>
      <c r="AF36" s="40">
        <f>IFERROR(변수!$D$43/(AB32+AC32+AD32+AF32),"")</f>
        <v/>
      </c>
      <c r="AG36" s="40">
        <f>IFERROR(변수!$D$43/(AC32+AD32+AF32+AG32),"")</f>
        <v/>
      </c>
      <c r="AH36" s="40">
        <f>IFERROR(변수!$D$43/(AD32+AF32+AG32+AH32),"")</f>
        <v/>
      </c>
      <c r="AI36" s="40">
        <f>IFERROR(변수!$D$43/(AF32+AG32+AH32+AI32),"")</f>
        <v/>
      </c>
      <c r="AJ36" s="41">
        <f>AI36</f>
        <v/>
      </c>
      <c r="AK36" s="40">
        <f>IFERROR(변수!$D$43/(AG32+AH32+AI32+AK32),"")</f>
        <v/>
      </c>
      <c r="AL36" s="40">
        <f>IFERROR(변수!$D$43/(AH32+AI32+AK32+AL32),"")</f>
        <v/>
      </c>
      <c r="AM36" s="40">
        <f>IFERROR(변수!$D$43/(AI32+AK32+AL32+AM32),"")</f>
        <v/>
      </c>
      <c r="AN36" s="40">
        <f>IFERROR(변수!$D$43/(AK32+AL32+AM32+AN32),"")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IFERROR(변수!$D$43/AC34,"")</f>
        <v/>
      </c>
      <c r="AD37" s="40">
        <f>IFERROR(변수!$D$43/AD34,"")</f>
        <v/>
      </c>
      <c r="AE37" s="41">
        <f>AD37</f>
        <v/>
      </c>
      <c r="AF37" s="40">
        <f>IFERROR(변수!$D$43/AF34,"")</f>
        <v/>
      </c>
      <c r="AG37" s="40">
        <f>IFERROR(변수!$D$43/AG34,"")</f>
        <v/>
      </c>
      <c r="AH37" s="40">
        <f>IFERROR(변수!$D$43/AH34,"")</f>
        <v/>
      </c>
      <c r="AI37" s="40">
        <f>IFERROR(변수!$D$43/AI34,"")</f>
        <v/>
      </c>
      <c r="AJ37" s="41">
        <f>AI37</f>
        <v/>
      </c>
      <c r="AK37" s="40">
        <f>IFERROR(변수!$D$43/AK34,"")</f>
        <v/>
      </c>
      <c r="AL37" s="40">
        <f>IFERROR(변수!$D$43/AL34,"")</f>
        <v/>
      </c>
      <c r="AM37" s="40">
        <f>IFERROR(변수!$D$43/AM34,"")</f>
        <v/>
      </c>
      <c r="AN37" s="40">
        <f>IFERROR(변수!$D$43/AN34,"")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3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3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1499.8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17.2</v>
      </c>
    </row>
    <row r="32">
      <c r="C32" s="2" t="inlineStr">
        <is>
          <t>pbr_now</t>
        </is>
      </c>
      <c r="D32" t="n">
        <v>0.9399999999999999</v>
      </c>
    </row>
    <row r="33">
      <c r="C33" s="2" t="inlineStr">
        <is>
          <t>roe_fwd</t>
        </is>
      </c>
      <c r="D33" t="n">
        <v>0.0545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