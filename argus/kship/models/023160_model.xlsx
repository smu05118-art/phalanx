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+8.17억의 50% 초과 → 0(경고)</t>
      </text>
    </comment>
    <comment ref="AD26" authorId="0" shapeId="0">
      <text>
        <t>모델값 역산(implied): 모델 v 그대로
최근 4분기 중위 +20.63억이 이자손익 추정 +8.17억의 50% 초과 → 0(경고)</t>
      </text>
    </comment>
    <comment ref="AF26" authorId="0" shapeId="0">
      <text>
        <t>모델값 역산(implied): 모델 v 그대로
최근 4분기 중위 +20.63억이 이자손익 추정 +8.17억의 50% 초과 → 0(경고)</t>
      </text>
    </comment>
    <comment ref="AG26" authorId="0" shapeId="0">
      <text>
        <t>모델값 역산(implied): 모델 v 그대로
최근 4분기 중위 +20.63억이 이자손익 추정 +8.17억의 50% 초과 → 0(경고)</t>
      </text>
    </comment>
    <comment ref="AH26" authorId="0" shapeId="0">
      <text>
        <t>모델값 역산(implied): 모델 v 그대로
최근 4분기 중위 +20.63억이 이자손익 추정 +8.17억의 50% 초과 → 0(경고)</t>
      </text>
    </comment>
    <comment ref="AI26" authorId="0" shapeId="0">
      <text>
        <t>모델값 역산(implied): 모델 v 그대로
최근 4분기 중위 +20.63억이 이자손익 추정 +8.17억의 50% 초과 → 0(경고)</t>
      </text>
    </comment>
    <comment ref="AK26" authorId="0" shapeId="0">
      <text>
        <t>모델값 역산(implied): 모델 v 그대로
최근 4분기 중위 +20.63억이 이자손익 추정 +8.17억의 50% 초과 → 0(경고)</t>
      </text>
    </comment>
    <comment ref="AL26" authorId="0" shapeId="0">
      <text>
        <t>모델값 역산(implied): 모델 v 그대로
최근 4분기 중위 +20.63억이 이자손익 추정 +8.17억의 50% 초과 → 0(경고)</t>
      </text>
    </comment>
    <comment ref="AM26" authorId="0" shapeId="0">
      <text>
        <t>모델값 역산(implied): 모델 v 그대로
최근 4분기 중위 +20.63억이 이자손익 추정 +8.17억의 50% 초과 → 0(경고)</t>
      </text>
    </comment>
    <comment ref="AN26" authorId="0" shapeId="0">
      <text>
        <t>모델값 역산(implied): 모델 v 그대로
최근 4분기 중위 +20.63억이 이자손익 추정 +8.17억의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535원 유지</t>
      </text>
    </comment>
    <comment ref="AI41" authorId="0" shapeId="0">
      <text>
        <t>모델값 역산(implied): 모델 v 그대로
직전 결산 DPS 535원 유지</t>
      </text>
    </comment>
    <comment ref="AN41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1085억 × 3.01%(주석 이자수익 ÷ 평균 이자발생자산(2025Q3~2026Q2)) − 총차입금 0억 × 0.00%(없음) (연율) ÷ 4
[interest]</t>
      </text>
    </comment>
    <comment ref="AD12" authorId="0" shapeId="0">
      <text>
        <t>추정: 이자발생자산 1188억 × 3.01%(주석 이자수익 ÷ 평균 이자발생자산(2025Q3~2026Q2)) − 총차입금 0억 × 0.00%(없음) (연율) ÷ 4
[interest]</t>
      </text>
    </comment>
    <comment ref="AF12" authorId="0" shapeId="0">
      <text>
        <t>추정: 이자발생자산 1290억 × 3.01%(주석 이자수익 ÷ 평균 이자발생자산(2025Q3~2026Q2)) − 총차입금 0억 × 0.00%(없음) (연율) ÷ 4
[interest]</t>
      </text>
    </comment>
    <comment ref="AG12" authorId="0" shapeId="0">
      <text>
        <t>추정: 이자발생자산 1395억 × 3.01%(주석 이자수익 ÷ 평균 이자발생자산(2025Q3~2026Q2)) − 총차입금 0억 × 0.00%(없음) (연율) ÷ 4
[interest]</t>
      </text>
    </comment>
    <comment ref="AH12" authorId="0" shapeId="0">
      <text>
        <t>추정: 이자발생자산 1365억 × 3.01%(주석 이자수익 ÷ 평균 이자발생자산(2025Q3~2026Q2)) − 총차입금 0억 × 0.00%(없음) (연율) ÷ 4
[interest]</t>
      </text>
    </comment>
    <comment ref="AI12" authorId="0" shapeId="0">
      <text>
        <t>추정: 이자발생자산 1482억 × 3.01%(주석 이자수익 ÷ 평균 이자발생자산(2025Q3~2026Q2)) − 총차입금 0억 × 0.00%(없음) (연율) ÷ 4
[interest]</t>
      </text>
    </comment>
    <comment ref="AK12" authorId="0" shapeId="0">
      <text>
        <t>추정: 이자발생자산 1598억 × 3.01%(주석 이자수익 ÷ 평균 이자발생자산(2025Q3~2026Q2)) − 총차입금 0억 × 0.00%(없음) (연율) ÷ 4
[interest]</t>
      </text>
    </comment>
    <comment ref="AL12" authorId="0" shapeId="0">
      <text>
        <t>추정: 이자발생자산 1717억 × 3.01%(주석 이자수익 ÷ 평균 이자발생자산(2025Q3~2026Q2)) − 총차입금 0억 × 0.00%(없음) (연율) ÷ 4
[interest]</t>
      </text>
    </comment>
    <comment ref="AM12" authorId="0" shapeId="0">
      <text>
        <t>추정: 이자발생자산 1701억 × 3.01%(주석 이자수익 ÷ 평균 이자발생자산(2025Q3~2026Q2)) − 총차입금 0억 × 0.00%(없음) (연율) ÷ 4
[interest]</t>
      </text>
    </comment>
    <comment ref="AN12" authorId="0" shapeId="0">
      <text>
        <t>추정: 이자발생자산 1826억 × 3.01%(주석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+8.17억의 50% 초과 → 0(경고)
[abs]</t>
      </text>
    </comment>
    <comment ref="AD15" authorId="0" shapeId="0">
      <text>
        <t>추정: 최근 4분기 중위 +20.63억이 이자손익 추정 +8.17억의 50% 초과 → 0(경고)
[abs]</t>
      </text>
    </comment>
    <comment ref="AF15" authorId="0" shapeId="0">
      <text>
        <t>추정: 최근 4분기 중위 +20.63억이 이자손익 추정 +8.17억의 50% 초과 → 0(경고)
[abs]</t>
      </text>
    </comment>
    <comment ref="AG15" authorId="0" shapeId="0">
      <text>
        <t>추정: 최근 4분기 중위 +20.63억이 이자손익 추정 +8.17억의 50% 초과 → 0(경고)
[abs]</t>
      </text>
    </comment>
    <comment ref="AH15" authorId="0" shapeId="0">
      <text>
        <t>추정: 최근 4분기 중위 +20.63억이 이자손익 추정 +8.17억의 50% 초과 → 0(경고)
[abs]</t>
      </text>
    </comment>
    <comment ref="AI15" authorId="0" shapeId="0">
      <text>
        <t>추정: 최근 4분기 중위 +20.63억이 이자손익 추정 +8.17억의 50% 초과 → 0(경고)
[abs]</t>
      </text>
    </comment>
    <comment ref="AK15" authorId="0" shapeId="0">
      <text>
        <t>추정: 최근 4분기 중위 +20.63억이 이자손익 추정 +8.17억의 50% 초과 → 0(경고)
[abs]</t>
      </text>
    </comment>
    <comment ref="AL15" authorId="0" shapeId="0">
      <text>
        <t>추정: 최근 4분기 중위 +20.63억이 이자손익 추정 +8.17억의 50% 초과 → 0(경고)
[abs]</t>
      </text>
    </comment>
    <comment ref="AM15" authorId="0" shapeId="0">
      <text>
        <t>추정: 최근 4분기 중위 +20.63억이 이자손익 추정 +8.17억의 50% 초과 → 0(경고)
[abs]</t>
      </text>
    </comment>
    <comment ref="AN15" authorId="0" shapeId="0">
      <text>
        <t>추정: 최근 4분기 중위 +20.63억이 이자손익 추정 +8.17억의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E33" authorId="0" shapeId="0">
      <text>
        <t>실측(계정 매핑 없음(파생·부문·시세 행) — 모델값 직접) — = EPS(일회성 의심 없음)</t>
      </text>
    </comment>
    <comment ref="G33" authorId="0" shapeId="0">
      <text>
        <t>실측(계정 매핑 없음(파생·부문·시세 행) — 모델값 직접) — = EPS(일회성 의심 없음)</t>
      </text>
    </comment>
    <comment ref="H33" authorId="0" shapeId="0">
      <text>
        <t>실측(계정 매핑 없음(파생·부문·시세 행) — 모델값 직접) — = EPS(일회성 의심 없음)</t>
      </text>
    </comment>
    <comment ref="I33" authorId="0" shapeId="0">
      <text>
        <t>실측(계정 매핑 없음(파생·부문·시세 행) — 모델값 직접) — = EPS(일회성 의심 없음)</t>
      </text>
    </comment>
    <comment ref="J33" authorId="0" shapeId="0">
      <text>
        <t>실측(계정 매핑 없음(파생·부문·시세 행) — 모델값 직접) — = EPS(일회성 의심 없음)</t>
      </text>
    </comment>
    <comment ref="L33" authorId="0" shapeId="0">
      <text>
        <t>실측(계정 매핑 없음(파생·부문·시세 행) — 모델값 직접) — = EPS(일회성 의심 없음)</t>
      </text>
    </comment>
    <comment ref="M33" authorId="0" shapeId="0">
      <text>
        <t>실측(계정 매핑 없음(파생·부문·시세 행) — 모델값 직접) — = EPS(일회성 의심 없음)</t>
      </text>
    </comment>
    <comment ref="N33" authorId="0" shapeId="0">
      <text>
        <t>실측(계정 매핑 없음(파생·부문·시세 행) — 모델값 직접) — = EPS(일회성 의심 없음)</t>
      </text>
    </comment>
    <comment ref="O33" authorId="0" shapeId="0">
      <text>
        <t>실측(계정 매핑 없음(파생·부문·시세 행) — 모델값 직접) — = EPS(일회성 의심 없음)</t>
      </text>
    </comment>
    <comment ref="Q33" authorId="0" shapeId="0">
      <text>
        <t>실측(계정 매핑 없음(파생·부문·시세 행) — 모델값 직접) — = EPS(일회성 의심 없음)</t>
      </text>
    </comment>
    <comment ref="R33" authorId="0" shapeId="0">
      <text>
        <t>실측(계정 매핑 없음(파생·부문·시세 행) — 모델값 직접) — = EPS(일회성 의심 없음)</t>
      </text>
    </comment>
    <comment ref="S33" authorId="0" shapeId="0">
      <text>
        <t>실측(계정 매핑 없음(파생·부문·시세 행) — 모델값 직접) — = EPS(일회성 의심 없음)</t>
      </text>
    </comment>
    <comment ref="T33" authorId="0" shapeId="0">
      <text>
        <t>실측(계정 매핑 없음(파생·부문·시세 행) — 모델값 직접) — = EPS(일회성 의심 없음)</t>
      </text>
    </comment>
    <comment ref="V33" authorId="0" shapeId="0">
      <text>
        <t>실측(계정 매핑 없음(파생·부문·시세 행) — 모델값 직접) — = EPS(일회성 의심 없음)</t>
      </text>
    </comment>
    <comment ref="W33" authorId="0" shapeId="0">
      <text>
        <t>실측(계정 매핑 없음(파생·부문·시세 행) — 모델값 직접) — = EPS(일회성 의심 없음)</t>
      </text>
    </comment>
    <comment ref="X33" authorId="0" shapeId="0">
      <text>
        <t>실측(계정 매핑 없음(파생·부문·시세 행) — 모델값 직접) — = EPS(일회성 의심 없음)</t>
      </text>
    </comment>
    <comment ref="Y33" authorId="0" shapeId="0">
      <text>
        <t>실측(계정 매핑 없음(파생·부문·시세 행) — 모델값 직접) — = EPS(일회성 의심 없음)</t>
      </text>
    </comment>
    <comment ref="AA33" authorId="0" shapeId="0">
      <text>
        <t>실측(계정 매핑 없음(파생·부문·시세 행) — 모델값 직접) — = EPS(일회성 의심 없음)</t>
      </text>
    </comment>
    <comment ref="AB33" authorId="0" shapeId="0">
      <text>
        <t>추정(실적 구간 갭필): 지배NI 589억 − (비영업손익 794억 − 12분기 기준선 55억) × (1 − 20.4%, 분기 유효세율(법인세 177억 ÷ 세전 866억)) × 지배 비중 0.85(그 분기 지배NI/NI) = 86억 ÷ 유통주식수 — 일회성 여부·세효과는 주석 미확인(모델 추정); 보고 EPS 2,293.6원</t>
      </text>
    </comment>
    <comment ref="AC33" authorId="0" shapeId="0">
      <text>
        <t>추정: = EPS(추정 구간은 일회성 미가정)
[yoy]</t>
      </text>
    </comment>
    <comment ref="AD33" authorId="0" shapeId="0">
      <text>
        <t>추정: = EPS(추정 구간은 일회성 미가정)
[yoy]</t>
      </text>
    </comment>
    <comment ref="AF33" authorId="0" shapeId="0">
      <text>
        <t>추정: = EPS(추정 구간은 일회성 미가정)
[yoy]</t>
      </text>
    </comment>
    <comment ref="AG33" authorId="0" shapeId="0">
      <text>
        <t>추정: = EPS(추정 구간은 일회성 미가정)
[yoy]</t>
      </text>
    </comment>
    <comment ref="AH33" authorId="0" shapeId="0">
      <text>
        <t>추정: = EPS(추정 구간은 일회성 미가정)
[yoy]</t>
      </text>
    </comment>
    <comment ref="AI33" authorId="0" shapeId="0">
      <text>
        <t>추정: = EPS(추정 구간은 일회성 미가정)
[yoy]</t>
      </text>
    </comment>
    <comment ref="AK33" authorId="0" shapeId="0">
      <text>
        <t>추정: = EPS(추정 구간은 일회성 미가정)
[yoy]</t>
      </text>
    </comment>
    <comment ref="AL33" authorId="0" shapeId="0">
      <text>
        <t>추정: = EPS(추정 구간은 일회성 미가정)
[yoy]</t>
      </text>
    </comment>
    <comment ref="AM33" authorId="0" shapeId="0">
      <text>
        <t>추정: = EPS(추정 구간은 일회성 미가정)
[yoy]</t>
      </text>
    </comment>
    <comment ref="AN33" authorId="0" shapeId="0">
      <text>
        <t>추정: = EPS(추정 구간은 일회성 미가정)
[yoy]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3.01% / 부채 0.00% — 이자손익 = (전분기 이자발생자산 × 자산이자율 − 전분기 총차입금 × 부채이자율)/4, 최소자승 역산(모델 assumptions [0.0301,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+8.2억의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28100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27450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28325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1.566e-05</v>
      </c>
      <c r="AD31" s="30" t="n">
        <v>0.002676685</v>
      </c>
      <c r="AE31" s="31" t="n"/>
      <c r="AF31" s="30" t="n">
        <v>0.004810845</v>
      </c>
      <c r="AG31" s="30" t="n">
        <v>137.408187178</v>
      </c>
      <c r="AH31" s="30" t="n">
        <v>0.000212224</v>
      </c>
      <c r="AI31" s="30" t="n">
        <v>0.003969026</v>
      </c>
      <c r="AJ31" s="31" t="n"/>
      <c r="AK31" s="30" t="n">
        <v>0.000764269</v>
      </c>
      <c r="AL31" s="30" t="n">
        <v>137.409199488</v>
      </c>
      <c r="AM31" s="30" t="n">
        <v>-0.002099733</v>
      </c>
      <c r="AN31" s="30" t="n">
        <v>0.002501488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-0.002147237</v>
      </c>
      <c r="AD32" s="30" t="n">
        <v>0.005186271</v>
      </c>
      <c r="AE32" s="31" t="n"/>
      <c r="AF32" s="30" t="n">
        <v>0.010309962</v>
      </c>
      <c r="AG32" s="30" t="n">
        <v>137.414062151</v>
      </c>
      <c r="AH32" s="30" t="n">
        <v>0.001144535</v>
      </c>
      <c r="AI32" s="30" t="n">
        <v>0.005017083</v>
      </c>
      <c r="AJ32" s="31" t="n"/>
      <c r="AK32" s="30" t="n">
        <v>0.00012658</v>
      </c>
      <c r="AL32" s="30" t="n">
        <v>137.406512239</v>
      </c>
      <c r="AM32" s="30" t="n">
        <v>0.007020497</v>
      </c>
      <c r="AN32" s="30" t="n">
        <v>0.003193351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0.0947771</v>
      </c>
      <c r="AD35" s="24" t="n">
        <v>0.08627338700000001</v>
      </c>
      <c r="AE35" s="25" t="n"/>
      <c r="AF35" s="24" t="n">
        <v>0.081429059</v>
      </c>
      <c r="AG35" s="24" t="n">
        <v>-0.021496205</v>
      </c>
      <c r="AH35" s="24" t="n">
        <v>0.085280631</v>
      </c>
      <c r="AI35" s="24" t="n">
        <v>0.078322849</v>
      </c>
      <c r="AJ35" s="25" t="n"/>
      <c r="AK35" s="24" t="n">
        <v>0.074455433</v>
      </c>
      <c r="AL35" s="24" t="n">
        <v>-0.009204509</v>
      </c>
      <c r="AM35" s="24" t="n">
        <v>0.073579303</v>
      </c>
      <c r="AN35" s="24" t="n">
        <v>0.068306415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-0.669643655</v>
      </c>
      <c r="AD40" s="24" t="n">
        <v>-0.04803719</v>
      </c>
      <c r="AE40" s="25" t="n"/>
      <c r="AF40" s="24" t="n">
        <v>-0.63781867</v>
      </c>
      <c r="AG40" s="24" t="n">
        <v>0.150342364</v>
      </c>
      <c r="AH40" s="24" t="n">
        <v>0.132197891</v>
      </c>
      <c r="AI40" s="24" t="n">
        <v>0.132392838</v>
      </c>
      <c r="AJ40" s="25" t="n"/>
      <c r="AK40" s="24" t="n">
        <v>0.132310135</v>
      </c>
      <c r="AL40" s="24" t="n">
        <v>0.132246377</v>
      </c>
      <c r="AM40" s="24" t="n">
        <v>0.07497612200000001</v>
      </c>
      <c r="AN40" s="24" t="n">
        <v>0.074988021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535</v>
      </c>
      <c r="AE41" s="31">
        <f>subQ!AE35</f>
        <v/>
      </c>
      <c r="AF41" s="33" t="n"/>
      <c r="AG41" s="33" t="n"/>
      <c r="AH41" s="33" t="n"/>
      <c r="AI41" s="30" t="n">
        <v>535</v>
      </c>
      <c r="AJ41" s="31">
        <f>subQ!AJ35</f>
        <v/>
      </c>
      <c r="AK41" s="33" t="n"/>
      <c r="AL41" s="33" t="n"/>
      <c r="AM41" s="33" t="n"/>
      <c r="AN41" s="30" t="n">
        <v>535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28100</v>
      </c>
      <c r="E44" s="2" t="inlineStr">
        <is>
          <t>원 — 네이버 정규장 종가(aik 확정종가 대조 · aik 28,500원)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9.1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0.2125197627776282</v>
      </c>
      <c r="E51" s="2" t="inlineStr">
        <is>
          <t>연결 — 법인세 = MAX(세전,0) × 세율(역산, 재현 오차 ≤ 0.05억 · 모델 assumptions 0.2125) · 최근 12분기 유효세율 21.3%(5~27%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0.1843357257761786</v>
      </c>
      <c r="E52" s="2" t="inlineStr">
        <is>
          <t>연결 — 판관비 = 매출액 × 판관비율(역산, 재현 오차 ≤ 0.05억 · 모델 assumptions 0.1843)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0.923996808725156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0.03012613884061626</v>
      </c>
      <c r="E54" s="2" t="inlineStr">
        <is>
          <t>연결 — 이자손익 = (전분기 이자발생자산 × 자산이자율 − 전분기 총차입금 × 부채이자율)/4(역산, 재현 오차 ≤ 0.05억 · 모델 assumptions 0.0301)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0.2151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7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7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7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7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7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7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IFERROR((AB27*변수!$D$54-AB25*변수!$D$55)/4,"")</f>
        <v/>
      </c>
      <c r="AD12" s="20">
        <f>IFERROR((AC27*변수!$D$54-AC25*변수!$D$55)/4,"")</f>
        <v/>
      </c>
      <c r="AE12" s="38">
        <f>SUM(AA12:AD12)</f>
        <v/>
      </c>
      <c r="AF12" s="20">
        <f>IFERROR((AD27*변수!$D$54-AD25*변수!$D$55)/4,"")</f>
        <v/>
      </c>
      <c r="AG12" s="20">
        <f>IFERROR((AF27*변수!$D$54-AF25*변수!$D$55)/4,"")</f>
        <v/>
      </c>
      <c r="AH12" s="20">
        <f>IFERROR((AG27*변수!$D$54-AG25*변수!$D$55)/4,"")</f>
        <v/>
      </c>
      <c r="AI12" s="20">
        <f>IFERROR((AH27*변수!$D$54-AH25*변수!$D$55)/4,"")</f>
        <v/>
      </c>
      <c r="AJ12" s="38">
        <f>SUM(AF12:AI12)</f>
        <v/>
      </c>
      <c r="AK12" s="20">
        <f>IFERROR((AI27*변수!$D$54-AI25*변수!$D$55)/4,"")</f>
        <v/>
      </c>
      <c r="AL12" s="20">
        <f>IFERROR((AK27*변수!$D$54-AK25*변수!$D$55)/4,"")</f>
        <v/>
      </c>
      <c r="AM12" s="20">
        <f>IFERROR((AL27*변수!$D$54-AL25*변수!$D$55)/4,"")</f>
        <v/>
      </c>
      <c r="AN12" s="20">
        <f>IFERROR((AM27*변수!$D$54-AM25*변수!$D$55)/4,"")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 t="n">
        <v>112.7</v>
      </c>
      <c r="F33" s="37" t="n"/>
      <c r="G33" s="18" t="n">
        <v>297.2</v>
      </c>
      <c r="H33" s="18" t="n">
        <v>467.2</v>
      </c>
      <c r="I33" s="18" t="n">
        <v>336.1</v>
      </c>
      <c r="J33" s="18" t="n">
        <v>282.4</v>
      </c>
      <c r="K33" s="37">
        <f>SUM(G33:J33)</f>
        <v/>
      </c>
      <c r="L33" s="18" t="n">
        <v>749.5</v>
      </c>
      <c r="M33" s="18" t="n">
        <v>658.6</v>
      </c>
      <c r="N33" s="18" t="n">
        <v>444.2</v>
      </c>
      <c r="O33" s="18" t="n">
        <v>276.9</v>
      </c>
      <c r="P33" s="37">
        <f>SUM(L33:O33)</f>
        <v/>
      </c>
      <c r="Q33" s="18" t="n">
        <v>626</v>
      </c>
      <c r="R33" s="18" t="n">
        <v>389.1</v>
      </c>
      <c r="S33" s="18" t="n">
        <v>268.3</v>
      </c>
      <c r="T33" s="18" t="n">
        <v>452.9</v>
      </c>
      <c r="U33" s="37">
        <f>SUM(Q33:T33)</f>
        <v/>
      </c>
      <c r="V33" s="18" t="n">
        <v>394.9</v>
      </c>
      <c r="W33" s="18" t="n">
        <v>567.4</v>
      </c>
      <c r="X33" s="18" t="n">
        <v>1119.7</v>
      </c>
      <c r="Y33" s="18" t="n">
        <v>387.2</v>
      </c>
      <c r="Z33" s="37">
        <f>SUM(V33:Y33)</f>
        <v/>
      </c>
      <c r="AA33" s="18" t="n">
        <v>1043.4</v>
      </c>
      <c r="AB33" s="39" t="n">
        <v>335.9</v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IFERROR(변수!$D$44/(Y32+AA32+AB32+AC32),"")</f>
        <v/>
      </c>
      <c r="AD36" s="40">
        <f>IFERROR(변수!$D$44/(AA32+AB32+AC32+AD32),"")</f>
        <v/>
      </c>
      <c r="AE36" s="41">
        <f>AD36</f>
        <v/>
      </c>
      <c r="AF36" s="40">
        <f>IFERROR(변수!$D$44/(AB32+AC32+AD32+AF32),"")</f>
        <v/>
      </c>
      <c r="AG36" s="40">
        <f>IFERROR(변수!$D$44/(AC32+AD32+AF32+AG32),"")</f>
        <v/>
      </c>
      <c r="AH36" s="40">
        <f>IFERROR(변수!$D$44/(AD32+AF32+AG32+AH32),"")</f>
        <v/>
      </c>
      <c r="AI36" s="40">
        <f>IFERROR(변수!$D$44/(AF32+AG32+AH32+AI32),"")</f>
        <v/>
      </c>
      <c r="AJ36" s="41">
        <f>AI36</f>
        <v/>
      </c>
      <c r="AK36" s="40">
        <f>IFERROR(변수!$D$44/(AG32+AH32+AI32+AK32),"")</f>
        <v/>
      </c>
      <c r="AL36" s="40">
        <f>IFERROR(변수!$D$44/(AH32+AI32+AK32+AL32),"")</f>
        <v/>
      </c>
      <c r="AM36" s="40">
        <f>IFERROR(변수!$D$44/(AI32+AK32+AL32+AM32),"")</f>
        <v/>
      </c>
      <c r="AN36" s="40">
        <f>IFERROR(변수!$D$44/(AK32+AL32+AM32+AN32),"")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IFERROR(변수!$D$44/AC34,"")</f>
        <v/>
      </c>
      <c r="AD37" s="40">
        <f>IFERROR(변수!$D$44/AD34,"")</f>
        <v/>
      </c>
      <c r="AE37" s="41">
        <f>AD37</f>
        <v/>
      </c>
      <c r="AF37" s="40">
        <f>IFERROR(변수!$D$44/AF34,"")</f>
        <v/>
      </c>
      <c r="AG37" s="40">
        <f>IFERROR(변수!$D$44/AG34,"")</f>
        <v/>
      </c>
      <c r="AH37" s="40">
        <f>IFERROR(변수!$D$44/AH34,"")</f>
        <v/>
      </c>
      <c r="AI37" s="40">
        <f>IFERROR(변수!$D$44/AI34,"")</f>
        <v/>
      </c>
      <c r="AJ37" s="41">
        <f>AI37</f>
        <v/>
      </c>
      <c r="AK37" s="40">
        <f>IFERROR(변수!$D$44/AK34,"")</f>
        <v/>
      </c>
      <c r="AL37" s="40">
        <f>IFERROR(변수!$D$44/AL34,"")</f>
        <v/>
      </c>
      <c r="AM37" s="40">
        <f>IFERROR(변수!$D$44/AM34,"")</f>
        <v/>
      </c>
      <c r="AN37" s="40">
        <f>IFERROR(변수!$D$44/AN34,"")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1502.8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18.7</v>
      </c>
    </row>
    <row r="32">
      <c r="C32" s="2" t="inlineStr">
        <is>
          <t>pbr_now</t>
        </is>
      </c>
      <c r="D32" t="n">
        <v>1.02</v>
      </c>
    </row>
    <row r="33">
      <c r="C33" s="2" t="inlineStr">
        <is>
          <t>roe_fwd</t>
        </is>
      </c>
      <c r="D33" t="n">
        <v>0.0546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