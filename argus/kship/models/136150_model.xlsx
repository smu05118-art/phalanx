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모델값 역산(implied): v / 매출액
매출액 × 판관비율 22.81%(최근 4분기 중위)</t>
      </text>
    </comment>
    <comment ref="L22" authorId="0" shapeId="0">
      <text>
        <t>모델값 역산(implied): v / 매출액
매출액 × 판관비율 22.81%(최근 4분기 중위)</t>
      </text>
    </comment>
    <comment ref="N22" authorId="0" shapeId="0">
      <text>
        <t>모델값 역산(implied): v / 매출액
매출액 × 판관비율 22.81%(최근 4분기 중위)</t>
      </text>
    </comment>
    <comment ref="O22" authorId="0" shapeId="0">
      <text>
        <t>모델값 역산(implied): v / 매출액
매출액 × 판관비율 22.81%(최근 4분기 중위)</t>
      </text>
    </comment>
    <comment ref="P22" authorId="0" shapeId="0">
      <text>
        <t>모델값 역산(implied): v / 매출액
매출액 × 판관비율 22.81%(최근 4분기 중위)</t>
      </text>
    </comment>
    <comment ref="Q22" authorId="0" shapeId="0">
      <text>
        <t>모델값 역산(implied): v / 매출액
매출액 × 판관비율 22.81%(최근 4분기 중위)</t>
      </text>
    </comment>
    <comment ref="S22" authorId="0" shapeId="0">
      <text>
        <t>모델값 역산(implied): v / 매출액
매출액 × 판관비율 22.81%(최근 4분기 중위)</t>
      </text>
    </comment>
    <comment ref="T22" authorId="0" shapeId="0">
      <text>
        <t>모델값 역산(implied): v / 매출액
매출액 × 판관비율 22.81%(최근 4분기 중위)</t>
      </text>
    </comment>
    <comment ref="U22" authorId="0" shapeId="0">
      <text>
        <t>모델값 역산(implied): v / 매출액
매출액 × 판관비율 22.81%(최근 4분기 중위)</t>
      </text>
    </comment>
    <comment ref="V22" authorId="0" shapeId="0">
      <text>
        <t>모델값 역산(implied): v / 매출액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v / 전년동기 − 1
최근 5분기 OPM 중위 -20.0% 유지(클립 −20~40%)</t>
      </text>
    </comment>
    <comment ref="L24" authorId="0" shapeId="0">
      <text>
        <t>모델값 역산(implied): v / 전년동기 − 1
최근 5분기 OPM 중위 -20.0% 유지(클립 −20~40%)</t>
      </text>
    </comment>
    <comment ref="N24" authorId="0" shapeId="0">
      <text>
        <t>모델값 역산(implied): v / 전년동기 − 1
최근 5분기 OPM 중위 -20.0% 유지(클립 −20~40%)</t>
      </text>
    </comment>
    <comment ref="O24" authorId="0" shapeId="0">
      <text>
        <t>모델값 역산(implied): v / 전년동기 − 1
최근 5분기 OPM 중위 -20.0% 유지(클립 −20~40%)</t>
      </text>
    </comment>
    <comment ref="P24" authorId="0" shapeId="0">
      <text>
        <t>모델값 역산(implied): v / 전년동기 − 1
최근 5분기 OPM 중위 -20.0% 유지(클립 −20~40%)</t>
      </text>
    </comment>
    <comment ref="Q24" authorId="0" shapeId="0">
      <text>
        <t>모델값 역산(implied): v / 전년동기 − 1
최근 5분기 OPM 중위 -20.0% 유지(클립 −20~40%)</t>
      </text>
    </comment>
    <comment ref="S24" authorId="0" shapeId="0">
      <text>
        <t>모델값 역산(implied): v / 전년동기 − 1
최근 5분기 OPM 중위 -20.0% 유지(클립 −20~40%)</t>
      </text>
    </comment>
    <comment ref="T24" authorId="0" shapeId="0">
      <text>
        <t>모델값 역산(implied): v / 전년동기 − 1
최근 5분기 OPM 중위 -20.0% 유지(클립 −20~40%)</t>
      </text>
    </comment>
    <comment ref="U24" authorId="0" shapeId="0">
      <text>
        <t>모델값 역산(implied): v / 전년동기 − 1
최근 5분기 OPM 중위 -20.0% 유지(클립 −20~40%)</t>
      </text>
    </comment>
    <comment ref="V24" authorId="0" shapeId="0">
      <text>
        <t>모델값 역산(implied): v / 전년동기 − 1
최근 5분기 OPM 중위 -20.0% 유지(클립 −20~40%)</t>
      </text>
    </comment>
    <comment ref="K25" authorId="0" shapeId="0">
      <text>
        <t>모델값 역산(implied): 모델 v 그대로
이자손익 = 이자발생자산 121억 × 1.35% − 총차입금 80억 × 0.00% (연율, CF 실측) ÷ 4; 환·평가손익 0 가정</t>
      </text>
    </comment>
    <comment ref="L25" authorId="0" shapeId="0">
      <text>
        <t>모델값 역산(implied): 모델 v 그대로
이자손익 = 이자발생자산 113억 × 1.35% − 총차입금 80억 × 0.00% (연율, CF 실측) ÷ 4; 환·평가손익 0 가정</t>
      </text>
    </comment>
    <comment ref="N25" authorId="0" shapeId="0">
      <text>
        <t>모델값 역산(implied): 모델 v 그대로
이자손익 = 이자발생자산 90억 × 1.35% − 총차입금 80억 × 0.00% (연율, CF 실측) ÷ 4; 환·평가손익 0 가정</t>
      </text>
    </comment>
    <comment ref="O25" authorId="0" shapeId="0">
      <text>
        <t>모델값 역산(implied): 모델 v 그대로
이자손익 = 이자발생자산 82억 × 1.35% − 총차입금 80억 × 0.00% (연율, CF 실측) ÷ 4; 환·평가손익 0 가정</t>
      </text>
    </comment>
    <comment ref="P25" authorId="0" shapeId="0">
      <text>
        <t>모델값 역산(implied): 모델 v 그대로
이자손익 = 이자발생자산 62억 × 1.35% − 총차입금 80억 × 0.00% (연율, CF 실측) ÷ 4; 환·평가손익 0 가정</t>
      </text>
    </comment>
    <comment ref="Q25" authorId="0" shapeId="0">
      <text>
        <t>모델값 역산(implied): 모델 v 그대로
이자손익 = 이자발생자산 54억 × 1.35% − 총차입금 80억 × 0.00% (연율, CF 실측) ÷ 4; 환·평가손익 0 가정</t>
      </text>
    </comment>
    <comment ref="S25" authorId="0" shapeId="0">
      <text>
        <t>모델값 역산(implied): 모델 v 그대로
이자손익 = 이자발생자산 31억 × 1.35% − 총차입금 80억 × 0.00% (연율, CF 실측) ÷ 4; 환·평가손익 0 가정</t>
      </text>
    </comment>
    <comment ref="T25" authorId="0" shapeId="0">
      <text>
        <t>모델값 역산(implied): 모델 v 그대로
이자손익 = 이자발생자산 23억 × 1.35% − 총차입금 80억 × 0.00% (연율, CF 실측) ÷ 4; 환·평가손익 0 가정</t>
      </text>
    </comment>
    <comment ref="U25" authorId="0" shapeId="0">
      <text>
        <t>모델값 역산(implied): 모델 v 그대로
이자손익 = 이자발생자산 3억 × 1.35% − 총차입금 80억 × 0.00% (연율, CF 실측) ÷ 4; 환·평가손익 0 가정</t>
      </text>
    </comment>
    <comment ref="V25" authorId="0" shapeId="0">
      <text>
        <t>모델값 역산(implied): 모델 v 그대로
이자손익 = 이자발생자산 -5억 × 1.35% − 총차입금 80억 × 0.00% (연율, CF 실측) ÷ 4; 환·평가손익 0 가정</t>
      </text>
    </comment>
    <comment ref="K26" authorId="0" shapeId="0">
      <text>
        <t>모델값 역산(implied): 모델 v 그대로
일회성 미가정 → 0</t>
      </text>
    </comment>
    <comment ref="L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K27" authorId="0" shapeId="0">
      <text>
        <t>모델값 역산(implied): v / 세전이익
max(세전, 0) × 세율 22.0%(세전 합 ≤ 0 → 법정세율 근사 22% 가정)</t>
      </text>
    </comment>
    <comment ref="L27" authorId="0" shapeId="0">
      <text>
        <t>모델값 역산(implied): v / 세전이익
max(세전, 0) × 세율 22.0%(세전 합 ≤ 0 → 법정세율 근사 22% 가정)</t>
      </text>
    </comment>
    <comment ref="N27" authorId="0" shapeId="0">
      <text>
        <t>모델값 역산(implied): v / 세전이익
max(세전, 0) × 세율 22.0%(세전 합 ≤ 0 → 법정세율 근사 22% 가정)</t>
      </text>
    </comment>
    <comment ref="O27" authorId="0" shapeId="0">
      <text>
        <t>모델값 역산(implied): v / 세전이익
max(세전, 0) × 세율 22.0%(세전 합 ≤ 0 → 법정세율 근사 22% 가정)</t>
      </text>
    </comment>
    <comment ref="P27" authorId="0" shapeId="0">
      <text>
        <t>모델값 역산(implied): v / 세전이익
max(세전, 0) × 세율 22.0%(세전 합 ≤ 0 → 법정세율 근사 22% 가정)</t>
      </text>
    </comment>
    <comment ref="Q27" authorId="0" shapeId="0">
      <text>
        <t>모델값 역산(implied): v / 세전이익
max(세전, 0) × 세율 22.0%(세전 합 ≤ 0 → 법정세율 근사 22% 가정)</t>
      </text>
    </comment>
    <comment ref="S27" authorId="0" shapeId="0">
      <text>
        <t>모델값 역산(implied): v / 세전이익
max(세전, 0) × 세율 22.0%(세전 합 ≤ 0 → 법정세율 근사 22% 가정)</t>
      </text>
    </comment>
    <comment ref="T27" authorId="0" shapeId="0">
      <text>
        <t>모델값 역산(implied): v / 세전이익
max(세전, 0) × 세율 22.0%(세전 합 ≤ 0 → 법정세율 근사 22% 가정)</t>
      </text>
    </comment>
    <comment ref="U27" authorId="0" shapeId="0">
      <text>
        <t>모델값 역산(implied): v / 세전이익
max(세전, 0) × 세율 22.0%(세전 합 ≤ 0 → 법정세율 근사 22% 가정)</t>
      </text>
    </comment>
    <comment ref="V27" authorId="0" shapeId="0">
      <text>
        <t>모델값 역산(implied): v / 세전이익
max(세전, 0) × 세율 22.0%(세전 합 ≤ 0 → 법정세율 근사 22% 가정)</t>
      </text>
    </comment>
    <comment ref="K28" authorId="0" shapeId="0">
      <text>
        <t>모델값 역산(implied): v / 당기순이익
당기순이익 × (1 − 비지배 비중 0.0%, 최근 8분기 실측)</t>
      </text>
    </comment>
    <comment ref="L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Q28" authorId="0" shapeId="0">
      <text>
        <t>모델값 역산(implied): v / 당기순이익
당기순이익 × (1 − 비지배 비중 0.0%, 최근 8분기 실측)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U28" authorId="0" shapeId="0">
      <text>
        <t>모델값 역산(implied): v / 당기순이익
당기순이익 × (1 − 비지배 비중 0.0%, 최근 8분기 실측)</t>
      </text>
    </comment>
    <comment ref="V28" authorId="0" shapeId="0">
      <text>
        <t>모델값 역산(implied): v / 당기순이익
당기순이익 × (1 − 비지배 비중 0.0%, 최근 8분기 실측)</t>
      </text>
    </comment>
    <comment ref="K29" authorId="0" shapeId="0">
      <text>
        <t>모델값 역산(implied): v / 전분기 − 1
마지막 실적 유지(가정)</t>
      </text>
    </comment>
    <comment ref="L29" authorId="0" shapeId="0">
      <text>
        <t>모델값 역산(implied): v / 전분기 − 1
마지막 실적 유지(가정)</t>
      </text>
    </comment>
    <comment ref="N29" authorId="0" shapeId="0">
      <text>
        <t>모델값 역산(implied): v / 전분기 − 1
마지막 실적 유지(가정)</t>
      </text>
    </comment>
    <comment ref="O29" authorId="0" shapeId="0">
      <text>
        <t>모델값 역산(implied): v / 전분기 − 1
마지막 실적 유지(가정)</t>
      </text>
    </comment>
    <comment ref="P29" authorId="0" shapeId="0">
      <text>
        <t>모델값 역산(implied): v / 전분기 − 1
마지막 실적 유지(가정)</t>
      </text>
    </comment>
    <comment ref="Q29" authorId="0" shapeId="0">
      <text>
        <t>모델값 역산(implied): v / 전분기 − 1
마지막 실적 유지(가정)</t>
      </text>
    </comment>
    <comment ref="S29" authorId="0" shapeId="0">
      <text>
        <t>모델값 역산(implied): v / 전분기 − 1
마지막 실적 유지(가정)</t>
      </text>
    </comment>
    <comment ref="T29" authorId="0" shapeId="0">
      <text>
        <t>모델값 역산(implied): v / 전분기 − 1
마지막 실적 유지(가정)</t>
      </text>
    </comment>
    <comment ref="U29" authorId="0" shapeId="0">
      <text>
        <t>모델값 역산(implied): v / 전분기 − 1
마지막 실적 유지(가정)</t>
      </text>
    </comment>
    <comment ref="V29" authorId="0" shapeId="0">
      <text>
        <t>모델값 역산(implied): v / 전분기 − 1
마지막 실적 유지(가정)</t>
      </text>
    </comment>
    <comment ref="K30" authorId="0" shapeId="0">
      <text>
        <t>모델값 역산(implied): 전분기 + 당기순이익 − v
전분기 + 당기순이익 − 배당(Q2 지급 가정)</t>
      </text>
    </comment>
    <comment ref="L30" authorId="0" shapeId="0">
      <text>
        <t>모델값 역산(implied): 전분기 + 당기순이익 − v
전분기 + 당기순이익 − 배당(Q2 지급 가정)</t>
      </text>
    </comment>
    <comment ref="N30" authorId="0" shapeId="0">
      <text>
        <t>모델값 역산(implied): 전분기 + 당기순이익 − v
전분기 + 당기순이익 − 배당(Q2 지급 가정)</t>
      </text>
    </comment>
    <comment ref="O30" authorId="0" shapeId="0">
      <text>
        <t>모델값 역산(implied): 전분기 + 당기순이익 − v
전분기 + 당기순이익 − 배당(Q2 지급 가정)</t>
      </text>
    </comment>
    <comment ref="P30" authorId="0" shapeId="0">
      <text>
        <t>모델값 역산(implied): 전분기 + 당기순이익 − v
전분기 + 당기순이익 − 배당(Q2 지급 가정)</t>
      </text>
    </comment>
    <comment ref="Q30" authorId="0" shapeId="0">
      <text>
        <t>모델값 역산(implied): 전분기 + 당기순이익 − v
전분기 + 당기순이익 − 배당(Q2 지급 가정)</t>
      </text>
    </comment>
    <comment ref="S30" authorId="0" shapeId="0">
      <text>
        <t>모델값 역산(implied): 전분기 + 당기순이익 − v
전분기 + 당기순이익 − 배당(Q2 지급 가정)</t>
      </text>
    </comment>
    <comment ref="T30" authorId="0" shapeId="0">
      <text>
        <t>모델값 역산(implied): 전분기 + 당기순이익 − v
전분기 + 당기순이익 − 배당(Q2 지급 가정)</t>
      </text>
    </comment>
    <comment ref="U30" authorId="0" shapeId="0">
      <text>
        <t>모델값 역산(implied): 전분기 + 당기순이익 − v
전분기 + 당기순이익 − 배당(Q2 지급 가정)</t>
      </text>
    </comment>
    <comment ref="V30" authorId="0" shapeId="0">
      <text>
        <t>모델값 역산(implied): 전분기 + 당기순이익 − v
전분기 + 당기순이익 − 배당(Q2 지급 가정)</t>
      </text>
    </comment>
    <comment ref="K31" authorId="0" shapeId="0">
      <text>
        <t>모델값 역산(implied): 전분기 + 지배주주순이익 − v
전분기 + 지배주주순이익 − 배당</t>
      </text>
    </comment>
    <comment ref="L31" authorId="0" shapeId="0">
      <text>
        <t>모델값 역산(implied): 전분기 + 지배주주순이익 − v
전분기 + 지배주주순이익 − 배당</t>
      </text>
    </comment>
    <comment ref="N31" authorId="0" shapeId="0">
      <text>
        <t>모델값 역산(implied): 전분기 + 지배주주순이익 − v
전분기 + 지배주주순이익 − 배당</t>
      </text>
    </comment>
    <comment ref="O31" authorId="0" shapeId="0">
      <text>
        <t>모델값 역산(implied): 전분기 + 지배주주순이익 − v
전분기 + 지배주주순이익 − 배당</t>
      </text>
    </comment>
    <comment ref="P31" authorId="0" shapeId="0">
      <text>
        <t>모델값 역산(implied): 전분기 + 지배주주순이익 − v
전분기 + 지배주주순이익 − 배당</t>
      </text>
    </comment>
    <comment ref="Q31" authorId="0" shapeId="0">
      <text>
        <t>모델값 역산(implied): 전분기 + 지배주주순이익 − v
전분기 + 지배주주순이익 − 배당</t>
      </text>
    </comment>
    <comment ref="S31" authorId="0" shapeId="0">
      <text>
        <t>모델값 역산(implied): 전분기 + 지배주주순이익 − v
전분기 + 지배주주순이익 − 배당</t>
      </text>
    </comment>
    <comment ref="T31" authorId="0" shapeId="0">
      <text>
        <t>모델값 역산(implied): 전분기 + 지배주주순이익 − v
전분기 + 지배주주순이익 − 배당</t>
      </text>
    </comment>
    <comment ref="U31" authorId="0" shapeId="0">
      <text>
        <t>모델값 역산(implied): 전분기 + 지배주주순이익 − v
전분기 + 지배주주순이익 − 배당</t>
      </text>
    </comment>
    <comment ref="V31" authorId="0" shapeId="0">
      <text>
        <t>모델값 역산(implied): 전분기 + 지배주주순이익 − v
전분기 + 지배주주순이익 − 배당</t>
      </text>
    </comment>
    <comment ref="K32" authorId="0" shapeId="0">
      <text>
        <t>모델값 역산(implied): v / 전분기 − 1
마지막 실적 유지(가정)</t>
      </text>
    </comment>
    <comment ref="L32" authorId="0" shapeId="0">
      <text>
        <t>모델값 역산(implied): v / 전분기 − 1
마지막 실적 유지(가정)</t>
      </text>
    </comment>
    <comment ref="N32" authorId="0" shapeId="0">
      <text>
        <t>모델값 역산(implied): v / 전분기 − 1
마지막 실적 유지(가정)</t>
      </text>
    </comment>
    <comment ref="O32" authorId="0" shapeId="0">
      <text>
        <t>모델값 역산(implied): v / 전분기 − 1
마지막 실적 유지(가정)</t>
      </text>
    </comment>
    <comment ref="P32" authorId="0" shapeId="0">
      <text>
        <t>모델값 역산(implied): v / 전분기 − 1
마지막 실적 유지(가정)</t>
      </text>
    </comment>
    <comment ref="Q32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마지막 실적 유지(가정)</t>
      </text>
    </comment>
    <comment ref="T32" authorId="0" shapeId="0">
      <text>
        <t>모델값 역산(implied): v / 전분기 − 1
마지막 실적 유지(가정)</t>
      </text>
    </comment>
    <comment ref="U32" authorId="0" shapeId="0">
      <text>
        <t>모델값 역산(implied): v / 전분기 − 1
마지막 실적 유지(가정)</t>
      </text>
    </comment>
    <comment ref="V32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전분기 − (순이익 − 배당): 순이익 = 순현금 증가 가정(CAPEX≈감가, 운전자본 불변)</t>
      </text>
    </comment>
    <comment ref="L33" authorId="0" shapeId="0">
      <text>
        <t>모델값 역산(implied): v / 전분기 − 1
전분기 − (순이익 − 배당): 순이익 = 순현금 증가 가정(CAPEX≈감가, 운전자본 불변)</t>
      </text>
    </comment>
    <comment ref="N33" authorId="0" shapeId="0">
      <text>
        <t>모델값 역산(implied): v / 전분기 − 1
전분기 − (순이익 − 배당): 순이익 = 순현금 증가 가정(CAPEX≈감가, 운전자본 불변)</t>
      </text>
    </comment>
    <comment ref="O33" authorId="0" shapeId="0">
      <text>
        <t>모델값 역산(implied): v / 전분기 − 1
전분기 − (순이익 − 배당): 순이익 = 순현금 증가 가정(CAPEX≈감가, 운전자본 불변)</t>
      </text>
    </comment>
    <comment ref="P33" authorId="0" shapeId="0">
      <text>
        <t>모델값 역산(implied): v / 전분기 − 1
전분기 − (순이익 − 배당): 순이익 = 순현금 증가 가정(CAPEX≈감가, 운전자본 불변)</t>
      </text>
    </comment>
    <comment ref="Q33" authorId="0" shapeId="0">
      <text>
        <t>모델값 역산(implied): v / 전분기 − 1
전분기 − (순이익 − 배당): 순이익 = 순현금 증가 가정(CAPEX≈감가, 운전자본 불변)</t>
      </text>
    </comment>
    <comment ref="S33" authorId="0" shapeId="0">
      <text>
        <t>모델값 역산(implied): v / 전분기 − 1
전분기 − (순이익 − 배당): 순이익 = 순현금 증가 가정(CAPEX≈감가, 운전자본 불변)</t>
      </text>
    </comment>
    <comment ref="T33" authorId="0" shapeId="0">
      <text>
        <t>모델값 역산(implied): v / 전분기 − 1
전분기 − (순이익 − 배당): 순이익 = 순현금 증가 가정(CAPEX≈감가, 운전자본 불변)</t>
      </text>
    </comment>
    <comment ref="U33" authorId="0" shapeId="0">
      <text>
        <t>모델값 역산(implied): v / 전분기 − 1
전분기 − (순이익 − 배당): 순이익 = 순현금 증가 가정(CAPEX≈감가, 운전자본 불변)</t>
      </text>
    </comment>
    <comment ref="V33" authorId="0" shapeId="0">
      <text>
        <t>모델값 역산(implied): v / 전분기 − 1
전분기 − (순이익 − 배당): 순이익 = 순현금 증가 가정(CAPEX≈감가, 운전자본 불변)</t>
      </text>
    </comment>
    <comment ref="K34" authorId="0" shapeId="0">
      <text>
        <t>모델값 역산(implied): v / 전분기 − 1
전분기 + (순이익 − 배당) — 순차입금 롤과 같은 가정</t>
      </text>
    </comment>
    <comment ref="L34" authorId="0" shapeId="0">
      <text>
        <t>모델값 역산(implied): v / 전분기 − 1
전분기 + (순이익 − 배당) — 순차입금 롤과 같은 가정</t>
      </text>
    </comment>
    <comment ref="N34" authorId="0" shapeId="0">
      <text>
        <t>모델값 역산(implied): v / 전분기 − 1
전분기 + (순이익 − 배당) — 순차입금 롤과 같은 가정</t>
      </text>
    </comment>
    <comment ref="O34" authorId="0" shapeId="0">
      <text>
        <t>모델값 역산(implied): v / 전분기 − 1
전분기 + (순이익 − 배당) — 순차입금 롤과 같은 가정</t>
      </text>
    </comment>
    <comment ref="P34" authorId="0" shapeId="0">
      <text>
        <t>모델값 역산(implied): v / 전분기 − 1
전분기 + (순이익 − 배당) — 순차입금 롤과 같은 가정</t>
      </text>
    </comment>
    <comment ref="Q34" authorId="0" shapeId="0">
      <text>
        <t>모델값 역산(implied): v / 전분기 − 1
전분기 + (순이익 − 배당) — 순차입금 롤과 같은 가정</t>
      </text>
    </comment>
    <comment ref="S34" authorId="0" shapeId="0">
      <text>
        <t>모델값 역산(implied): v / 전분기 − 1
전분기 + (순이익 − 배당) — 순차입금 롤과 같은 가정</t>
      </text>
    </comment>
    <comment ref="T34" authorId="0" shapeId="0">
      <text>
        <t>모델값 역산(implied): v / 전분기 − 1
전분기 + (순이익 − 배당) — 순차입금 롤과 같은 가정</t>
      </text>
    </comment>
    <comment ref="U34" authorId="0" shapeId="0">
      <text>
        <t>모델값 역산(implied): v / 전분기 − 1
전분기 + (순이익 − 배당) — 순차입금 롤과 같은 가정</t>
      </text>
    </comment>
    <comment ref="V34" authorId="0" shapeId="0">
      <text>
        <t>모델값 역산(implied): v / 전분기 − 1
전분기 + (순이익 − 배당) — 순차입금 롤과 같은 가정</t>
      </text>
    </comment>
    <comment ref="K38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v / 전분기 − 1
유통주식수 유지 — fin.shares.common_outstanding(2026Q2)</t>
      </text>
    </comment>
    <comment ref="N38" authorId="0" shapeId="0">
      <text>
        <t>모델값 역산(implied): v / 전분기 − 1
유통주식수 유지 — fin.shares.common_outstanding(2026Q2)</t>
      </text>
    </comment>
    <comment ref="O38" authorId="0" shapeId="0">
      <text>
        <t>모델값 역산(implied): v / 전분기 − 1
유통주식수 유지 — fin.shares.common_outstanding(2026Q2)</t>
      </text>
    </comment>
    <comment ref="P38" authorId="0" shapeId="0">
      <text>
        <t>모델값 역산(implied): v / 전분기 − 1
유통주식수 유지 — fin.shares.common_outstanding(2026Q2)</t>
      </text>
    </comment>
    <comment ref="Q38" authorId="0" shapeId="0">
      <text>
        <t>모델값 역산(implied): v / 전분기 − 1
유통주식수 유지 — fin.shares.common_outstanding(2026Q2)</t>
      </text>
    </comment>
    <comment ref="S38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v / 전분기 − 1
유통주식수 유지 — fin.shares.common_outstanding(2026Q2)</t>
      </text>
    </comment>
    <comment ref="U38" authorId="0" shapeId="0">
      <text>
        <t>모델값 역산(implied): v / 전분기 − 1
유통주식수 유지 — fin.shares.common_outstanding(2026Q2)</t>
      </text>
    </comment>
    <comment ref="V38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v / 전년동기 − 1
현재 종가 ÷ BPS(추정 포함)</t>
      </text>
    </comment>
    <comment ref="L41" authorId="0" shapeId="0">
      <text>
        <t>모델값 역산(implied): v / 전년동기 − 1
현재 종가 ÷ BPS(추정 포함)</t>
      </text>
    </comment>
    <comment ref="N41" authorId="0" shapeId="0">
      <text>
        <t>모델값 역산(implied): v / 전년동기 − 1
현재 종가 ÷ BPS(추정 포함)</t>
      </text>
    </comment>
    <comment ref="O41" authorId="0" shapeId="0">
      <text>
        <t>모델값 역산(implied): v / 전년동기 − 1
현재 종가 ÷ BPS(추정 포함)</t>
      </text>
    </comment>
    <comment ref="P41" authorId="0" shapeId="0">
      <text>
        <t>모델값 역산(implied): v / 전년동기 − 1
현재 종가 ÷ BPS(추정 포함)</t>
      </text>
    </comment>
    <comment ref="Q41" authorId="0" shapeId="0">
      <text>
        <t>모델값 역산(implied): v / 전년동기 − 1
현재 종가 ÷ BPS(추정 포함)</t>
      </text>
    </comment>
    <comment ref="S41" authorId="0" shapeId="0">
      <text>
        <t>모델값 역산(implied): v / 전년동기 − 1
현재 종가 ÷ BPS(추정 포함)</t>
      </text>
    </comment>
    <comment ref="T41" authorId="0" shapeId="0">
      <text>
        <t>모델값 역산(implied): v / 전년동기 − 1
현재 종가 ÷ BPS(추정 포함)</t>
      </text>
    </comment>
    <comment ref="U41" authorId="0" shapeId="0">
      <text>
        <t>모델값 역산(implied): v / 전년동기 − 1
현재 종가 ÷ BPS(추정 포함)</t>
      </text>
    </comment>
    <comment ref="V41" authorId="0" shapeId="0">
      <text>
        <t>모델값 역산(implied): v / 전년동기 − 1
현재 종가 ÷ BPS(추정 포함)</t>
      </text>
    </comment>
    <comment ref="K42" authorId="0" shapeId="0">
      <text>
        <t>모델값 역산(implied): v / 매출액
= 매출액 추정(부문 미분리)</t>
      </text>
    </comment>
    <comment ref="L42" authorId="0" shapeId="0">
      <text>
        <t>모델값 역산(implied): v / 매출액
= 매출액 추정(부문 미분리)</t>
      </text>
    </comment>
    <comment ref="N42" authorId="0" shapeId="0">
      <text>
        <t>모델값 역산(implied): v / 매출액
= 매출액 추정(부문 미분리)</t>
      </text>
    </comment>
    <comment ref="O42" authorId="0" shapeId="0">
      <text>
        <t>모델값 역산(implied): v / 매출액
= 매출액 추정(부문 미분리)</t>
      </text>
    </comment>
    <comment ref="P42" authorId="0" shapeId="0">
      <text>
        <t>모델값 역산(implied): v / 매출액
= 매출액 추정(부문 미분리)</t>
      </text>
    </comment>
    <comment ref="Q42" authorId="0" shapeId="0">
      <text>
        <t>모델값 역산(implied): v / 매출액
= 매출액 추정(부문 미분리)</t>
      </text>
    </comment>
    <comment ref="S42" authorId="0" shapeId="0">
      <text>
        <t>모델값 역산(implied): v / 매출액
= 매출액 추정(부문 미분리)</t>
      </text>
    </comment>
    <comment ref="T42" authorId="0" shapeId="0">
      <text>
        <t>모델값 역산(implied): v / 매출액
= 매출액 추정(부문 미분리)</t>
      </text>
    </comment>
    <comment ref="U42" authorId="0" shapeId="0">
      <text>
        <t>모델값 역산(implied): v / 매출액
= 매출액 추정(부문 미분리)</t>
      </text>
    </comment>
    <comment ref="V42" authorId="0" shapeId="0">
      <text>
        <t>모델값 역산(implied): v / 매출액
= 매출액 추정(부문 미분리)</t>
      </text>
    </comment>
    <comment ref="K43" authorId="0" shapeId="0">
      <text>
        <t>모델값 역산(implied): v / 매출전사
= 매출액 × OPM(부문 미분리)</t>
      </text>
    </comment>
    <comment ref="L43" authorId="0" shapeId="0">
      <text>
        <t>모델값 역산(implied): v / 매출전사
= 매출액 × OPM(부문 미분리)</t>
      </text>
    </comment>
    <comment ref="N43" authorId="0" shapeId="0">
      <text>
        <t>모델값 역산(implied): v / 매출전사
= 매출액 × OPM(부문 미분리)</t>
      </text>
    </comment>
    <comment ref="O43" authorId="0" shapeId="0">
      <text>
        <t>모델값 역산(implied): v / 매출전사
= 매출액 × OPM(부문 미분리)</t>
      </text>
    </comment>
    <comment ref="P43" authorId="0" shapeId="0">
      <text>
        <t>모델값 역산(implied): v / 매출전사
= 매출액 × OPM(부문 미분리)</t>
      </text>
    </comment>
    <comment ref="Q43" authorId="0" shapeId="0">
      <text>
        <t>모델값 역산(implied): v / 매출전사
= 매출액 × OPM(부문 미분리)</t>
      </text>
    </comment>
    <comment ref="S43" authorId="0" shapeId="0">
      <text>
        <t>모델값 역산(implied): v / 매출전사
= 매출액 × OPM(부문 미분리)</t>
      </text>
    </comment>
    <comment ref="T43" authorId="0" shapeId="0">
      <text>
        <t>모델값 역산(implied): v / 매출전사
= 매출액 × OPM(부문 미분리)</t>
      </text>
    </comment>
    <comment ref="U43" authorId="0" shapeId="0">
      <text>
        <t>모델값 역산(implied): v / 매출전사
= 매출액 × OPM(부문 미분리)</t>
      </text>
    </comment>
    <comment ref="V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최근 5분기 OPM 중위 -20.0% 유지(클립 −20~40%)
[yoy]</t>
      </text>
    </comment>
    <comment ref="L10" authorId="0" shapeId="0">
      <text>
        <t>추정: 최근 5분기 OPM 중위 -20.0% 유지(클립 −20~40%)
[yoy]</t>
      </text>
    </comment>
    <comment ref="N10" authorId="0" shapeId="0">
      <text>
        <t>추정: 최근 5분기 OPM 중위 -20.0% 유지(클립 −20~40%)
[yoy]</t>
      </text>
    </comment>
    <comment ref="O10" authorId="0" shapeId="0">
      <text>
        <t>추정: 최근 5분기 OPM 중위 -20.0% 유지(클립 −20~40%)
[yoy]</t>
      </text>
    </comment>
    <comment ref="P10" authorId="0" shapeId="0">
      <text>
        <t>추정: 최근 5분기 OPM 중위 -20.0% 유지(클립 −20~40%)
[yoy]</t>
      </text>
    </comment>
    <comment ref="Q10" authorId="0" shapeId="0">
      <text>
        <t>추정: 최근 5분기 OPM 중위 -20.0% 유지(클립 −20~40%)
[yoy]</t>
      </text>
    </comment>
    <comment ref="S10" authorId="0" shapeId="0">
      <text>
        <t>추정: 최근 5분기 OPM 중위 -20.0% 유지(클립 −20~40%)
[yoy]</t>
      </text>
    </comment>
    <comment ref="T10" authorId="0" shapeId="0">
      <text>
        <t>추정: 최근 5분기 OPM 중위 -20.0% 유지(클립 −20~40%)
[yoy]</t>
      </text>
    </comment>
    <comment ref="U10" authorId="0" shapeId="0">
      <text>
        <t>추정: 최근 5분기 OPM 중위 -20.0% 유지(클립 −20~40%)
[yoy]</t>
      </text>
    </comment>
    <comment ref="V10" authorId="0" shapeId="0">
      <text>
        <t>추정: 최근 5분기 OPM 중위 -20.0% 유지(클립 −20~40%)
[yoy]</t>
      </text>
    </comment>
    <comment ref="K11" authorId="0" shapeId="0">
      <text>
        <t>추정: 이자손익 = 이자발생자산 121억 × 1.35% − 총차입금 80억 × 0.00% (연율, CF 실측) ÷ 4; 환·평가손익 0 가정
[abs]</t>
      </text>
    </comment>
    <comment ref="L11" authorId="0" shapeId="0">
      <text>
        <t>추정: 이자손익 = 이자발생자산 113억 × 1.35% − 총차입금 80억 × 0.00% (연율, CF 실측) ÷ 4; 환·평가손익 0 가정
[abs]</t>
      </text>
    </comment>
    <comment ref="N11" authorId="0" shapeId="0">
      <text>
        <t>추정: 이자손익 = 이자발생자산 90억 × 1.35% − 총차입금 80억 × 0.00% (연율, CF 실측) ÷ 4; 환·평가손익 0 가정
[abs]</t>
      </text>
    </comment>
    <comment ref="O11" authorId="0" shapeId="0">
      <text>
        <t>추정: 이자손익 = 이자발생자산 82억 × 1.35% − 총차입금 80억 × 0.00% (연율, CF 실측) ÷ 4; 환·평가손익 0 가정
[abs]</t>
      </text>
    </comment>
    <comment ref="P11" authorId="0" shapeId="0">
      <text>
        <t>추정: 이자손익 = 이자발생자산 62억 × 1.35% − 총차입금 80억 × 0.00% (연율, CF 실측) ÷ 4; 환·평가손익 0 가정
[abs]</t>
      </text>
    </comment>
    <comment ref="Q11" authorId="0" shapeId="0">
      <text>
        <t>추정: 이자손익 = 이자발생자산 54억 × 1.35% − 총차입금 80억 × 0.00% (연율, CF 실측) ÷ 4; 환·평가손익 0 가정
[abs]</t>
      </text>
    </comment>
    <comment ref="S11" authorId="0" shapeId="0">
      <text>
        <t>추정: 이자손익 = 이자발생자산 31억 × 1.35% − 총차입금 80억 × 0.00% (연율, CF 실측) ÷ 4; 환·평가손익 0 가정
[abs]</t>
      </text>
    </comment>
    <comment ref="T11" authorId="0" shapeId="0">
      <text>
        <t>추정: 이자손익 = 이자발생자산 23억 × 1.35% − 총차입금 80억 × 0.00% (연율, CF 실측) ÷ 4; 환·평가손익 0 가정
[abs]</t>
      </text>
    </comment>
    <comment ref="U11" authorId="0" shapeId="0">
      <text>
        <t>추정: 이자손익 = 이자발생자산 3억 × 1.35% − 총차입금 80억 × 0.00% (연율, CF 실측) ÷ 4; 환·평가손익 0 가정
[abs]</t>
      </text>
    </comment>
    <comment ref="V11" authorId="0" shapeId="0">
      <text>
        <t>추정: 이자손익 = 이자발생자산 -5억 × 1.35% − 총차입금 80억 × 0.00% (연율, CF 실측) ÷ 4; 환·평가손익 0 가정
[abs]</t>
      </text>
    </comment>
    <comment ref="K12" authorId="0" shapeId="0">
      <text>
        <t>추정: 일회성 미가정 → 0
[abs]</t>
      </text>
    </comment>
    <comment ref="L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K13" authorId="0" shapeId="0">
      <text>
        <t>추정: 영업이익 + 금융손익 + 기타영업외 + 지분법 + 환관련(항등식)
[identity]</t>
      </text>
    </comment>
    <comment ref="L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Q13" authorId="0" shapeId="0">
      <text>
        <t>추정: 영업이익 + 금융손익 + 기타영업외 + 지분법 + 환관련(항등식)
[identity]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U13" authorId="0" shapeId="0">
      <text>
        <t>추정: 영업이익 + 금융손익 + 기타영업외 + 지분법 + 환관련(항등식)
[identity]</t>
      </text>
    </comment>
    <comment ref="V13" authorId="0" shapeId="0">
      <text>
        <t>추정: 영업이익 + 금융손익 + 기타영업외 + 지분법 + 환관련(항등식)
[identity]</t>
      </text>
    </comment>
    <comment ref="K14" authorId="0" shapeId="0">
      <text>
        <t>추정: max(세전, 0) × 세율 22.0%(세전 합 ≤ 0 → 법정세율 근사 22% 가정)
[ratio]</t>
      </text>
    </comment>
    <comment ref="L14" authorId="0" shapeId="0">
      <text>
        <t>추정: max(세전, 0) × 세율 22.0%(세전 합 ≤ 0 → 법정세율 근사 22% 가정)
[ratio]</t>
      </text>
    </comment>
    <comment ref="N14" authorId="0" shapeId="0">
      <text>
        <t>추정: max(세전, 0) × 세율 22.0%(세전 합 ≤ 0 → 법정세율 근사 22% 가정)
[ratio]</t>
      </text>
    </comment>
    <comment ref="O14" authorId="0" shapeId="0">
      <text>
        <t>추정: max(세전, 0) × 세율 22.0%(세전 합 ≤ 0 → 법정세율 근사 22% 가정)
[ratio]</t>
      </text>
    </comment>
    <comment ref="P14" authorId="0" shapeId="0">
      <text>
        <t>추정: max(세전, 0) × 세율 22.0%(세전 합 ≤ 0 → 법정세율 근사 22% 가정)
[ratio]</t>
      </text>
    </comment>
    <comment ref="Q14" authorId="0" shapeId="0">
      <text>
        <t>추정: max(세전, 0) × 세율 22.0%(세전 합 ≤ 0 → 법정세율 근사 22% 가정)
[ratio]</t>
      </text>
    </comment>
    <comment ref="S14" authorId="0" shapeId="0">
      <text>
        <t>추정: max(세전, 0) × 세율 22.0%(세전 합 ≤ 0 → 법정세율 근사 22% 가정)
[ratio]</t>
      </text>
    </comment>
    <comment ref="T14" authorId="0" shapeId="0">
      <text>
        <t>추정: max(세전, 0) × 세율 22.0%(세전 합 ≤ 0 → 법정세율 근사 22% 가정)
[ratio]</t>
      </text>
    </comment>
    <comment ref="U14" authorId="0" shapeId="0">
      <text>
        <t>추정: max(세전, 0) × 세율 22.0%(세전 합 ≤ 0 → 법정세율 근사 22% 가정)
[ratio]</t>
      </text>
    </comment>
    <comment ref="V14" authorId="0" shapeId="0">
      <text>
        <t>추정: max(세전, 0) × 세율 22.0%(세전 합 ≤ 0 → 법정세율 근사 22% 가정)
[ratio]</t>
      </text>
    </comment>
    <comment ref="K15" authorId="0" shapeId="0">
      <text>
        <t>추정: 세전이익 − 법인세비용(항등식)
[identity]</t>
      </text>
    </comment>
    <comment ref="L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Q15" authorId="0" shapeId="0">
      <text>
        <t>추정: 세전이익 − 법인세비용(항등식)
[identity]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U15" authorId="0" shapeId="0">
      <text>
        <t>추정: 세전이익 − 법인세비용(항등식)
[identity]</t>
      </text>
    </comment>
    <comment ref="V15" authorId="0" shapeId="0">
      <text>
        <t>추정: 세전이익 − 법인세비용(항등식)
[identity]</t>
      </text>
    </comment>
    <comment ref="K16" authorId="0" shapeId="0">
      <text>
        <t>추정: 당기순이익 × (1 − 비지배 비중 0.0%, 최근 8분기 실측)
[ratio]</t>
      </text>
    </comment>
    <comment ref="L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Q16" authorId="0" shapeId="0">
      <text>
        <t>추정: 당기순이익 × (1 − 비지배 비중 0.0%, 최근 8분기 실측)
[ratio]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U16" authorId="0" shapeId="0">
      <text>
        <t>추정: 당기순이익 × (1 − 비지배 비중 0.0%, 최근 8분기 실측)
[ratio]</t>
      </text>
    </comment>
    <comment ref="V16" authorId="0" shapeId="0">
      <text>
        <t>추정: 당기순이익 × (1 − 비지배 비중 0.0%, 최근 8분기 실측)
[ratio]</t>
      </text>
    </comment>
    <comment ref="H17" authorId="0" shapeId="0">
      <text>
        <t>연간 실측(BS 시트에 2025.12A 없음 — 모델 a 값 직접)</t>
      </text>
    </comment>
    <comment ref="K17" authorId="0" shapeId="0">
      <text>
        <t>추정: 부채총계 + 자본총계(항등식)
[identity]</t>
      </text>
    </comment>
    <comment ref="L17" authorId="0" shapeId="0">
      <text>
        <t>추정: 부채총계 + 자본총계(항등식)
[identity]</t>
      </text>
    </comment>
    <comment ref="N17" authorId="0" shapeId="0">
      <text>
        <t>추정: 부채총계 + 자본총계(항등식)
[identity]</t>
      </text>
    </comment>
    <comment ref="O17" authorId="0" shapeId="0">
      <text>
        <t>추정: 부채총계 + 자본총계(항등식)
[identity]</t>
      </text>
    </comment>
    <comment ref="P17" authorId="0" shapeId="0">
      <text>
        <t>추정: 부채총계 + 자본총계(항등식)
[identity]</t>
      </text>
    </comment>
    <comment ref="Q17" authorId="0" shapeId="0">
      <text>
        <t>추정: 부채총계 + 자본총계(항등식)
[identity]</t>
      </text>
    </comment>
    <comment ref="S17" authorId="0" shapeId="0">
      <text>
        <t>추정: 부채총계 + 자본총계(항등식)
[identity]</t>
      </text>
    </comment>
    <comment ref="T17" authorId="0" shapeId="0">
      <text>
        <t>추정: 부채총계 + 자본총계(항등식)
[identity]</t>
      </text>
    </comment>
    <comment ref="U17" authorId="0" shapeId="0">
      <text>
        <t>추정: 부채총계 + 자본총계(항등식)
[identity]</t>
      </text>
    </comment>
    <comment ref="V17" authorId="0" shapeId="0">
      <text>
        <t>추정: 부채총계 + 자본총계(항등식)
[identity]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마지막 실적 유지(가정)
[qoq]</t>
      </text>
    </comment>
    <comment ref="L18" authorId="0" shapeId="0">
      <text>
        <t>추정: 마지막 실적 유지(가정)
[qoq]</t>
      </text>
    </comment>
    <comment ref="N18" authorId="0" shapeId="0">
      <text>
        <t>추정: 마지막 실적 유지(가정)
[qoq]</t>
      </text>
    </comment>
    <comment ref="O18" authorId="0" shapeId="0">
      <text>
        <t>추정: 마지막 실적 유지(가정)
[qoq]</t>
      </text>
    </comment>
    <comment ref="P18" authorId="0" shapeId="0">
      <text>
        <t>추정: 마지막 실적 유지(가정)
[qoq]</t>
      </text>
    </comment>
    <comment ref="Q18" authorId="0" shapeId="0">
      <text>
        <t>추정: 마지막 실적 유지(가정)
[qoq]</t>
      </text>
    </comment>
    <comment ref="S18" authorId="0" shapeId="0">
      <text>
        <t>추정: 마지막 실적 유지(가정)
[qoq]</t>
      </text>
    </comment>
    <comment ref="T18" authorId="0" shapeId="0">
      <text>
        <t>추정: 마지막 실적 유지(가정)
[qoq]</t>
      </text>
    </comment>
    <comment ref="U18" authorId="0" shapeId="0">
      <text>
        <t>추정: 마지막 실적 유지(가정)
[qoq]</t>
      </text>
    </comment>
    <comment ref="V18" authorId="0" shapeId="0">
      <text>
        <t>추정: 마지막 실적 유지(가정)
[qoq]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전분기 + 당기순이익 − 배당(Q2 지급 가정)
[roll]</t>
      </text>
    </comment>
    <comment ref="L19" authorId="0" shapeId="0">
      <text>
        <t>추정: 전분기 + 당기순이익 − 배당(Q2 지급 가정)
[roll]</t>
      </text>
    </comment>
    <comment ref="N19" authorId="0" shapeId="0">
      <text>
        <t>추정: 전분기 + 당기순이익 − 배당(Q2 지급 가정)
[roll]</t>
      </text>
    </comment>
    <comment ref="O19" authorId="0" shapeId="0">
      <text>
        <t>추정: 전분기 + 당기순이익 − 배당(Q2 지급 가정)
[roll]</t>
      </text>
    </comment>
    <comment ref="P19" authorId="0" shapeId="0">
      <text>
        <t>추정: 전분기 + 당기순이익 − 배당(Q2 지급 가정)
[roll]</t>
      </text>
    </comment>
    <comment ref="Q19" authorId="0" shapeId="0">
      <text>
        <t>추정: 전분기 + 당기순이익 − 배당(Q2 지급 가정)
[roll]</t>
      </text>
    </comment>
    <comment ref="S19" authorId="0" shapeId="0">
      <text>
        <t>추정: 전분기 + 당기순이익 − 배당(Q2 지급 가정)
[roll]</t>
      </text>
    </comment>
    <comment ref="T19" authorId="0" shapeId="0">
      <text>
        <t>추정: 전분기 + 당기순이익 − 배당(Q2 지급 가정)
[roll]</t>
      </text>
    </comment>
    <comment ref="U19" authorId="0" shapeId="0">
      <text>
        <t>추정: 전분기 + 당기순이익 − 배당(Q2 지급 가정)
[roll]</t>
      </text>
    </comment>
    <comment ref="V19" authorId="0" shapeId="0">
      <text>
        <t>추정: 전분기 + 당기순이익 − 배당(Q2 지급 가정)
[roll]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지배주주순이익 − 배당
[roll]</t>
      </text>
    </comment>
    <comment ref="L20" authorId="0" shapeId="0">
      <text>
        <t>추정: 전분기 + 지배주주순이익 − 배당
[roll]</t>
      </text>
    </comment>
    <comment ref="N20" authorId="0" shapeId="0">
      <text>
        <t>추정: 전분기 + 지배주주순이익 − 배당
[roll]</t>
      </text>
    </comment>
    <comment ref="O20" authorId="0" shapeId="0">
      <text>
        <t>추정: 전분기 + 지배주주순이익 − 배당
[roll]</t>
      </text>
    </comment>
    <comment ref="P20" authorId="0" shapeId="0">
      <text>
        <t>추정: 전분기 + 지배주주순이익 − 배당
[roll]</t>
      </text>
    </comment>
    <comment ref="Q20" authorId="0" shapeId="0">
      <text>
        <t>추정: 전분기 + 지배주주순이익 − 배당
[roll]</t>
      </text>
    </comment>
    <comment ref="S20" authorId="0" shapeId="0">
      <text>
        <t>추정: 전분기 + 지배주주순이익 − 배당
[roll]</t>
      </text>
    </comment>
    <comment ref="T20" authorId="0" shapeId="0">
      <text>
        <t>추정: 전분기 + 지배주주순이익 − 배당
[roll]</t>
      </text>
    </comment>
    <comment ref="U20" authorId="0" shapeId="0">
      <text>
        <t>추정: 전분기 + 지배주주순이익 − 배당
[roll]</t>
      </text>
    </comment>
    <comment ref="V20" authorId="0" shapeId="0">
      <text>
        <t>추정: 전분기 + 지배주주순이익 − 배당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마지막 실적 유지(가정)
[qoq]</t>
      </text>
    </comment>
    <comment ref="L21" authorId="0" shapeId="0">
      <text>
        <t>추정: 마지막 실적 유지(가정)
[qoq]</t>
      </text>
    </comment>
    <comment ref="N21" authorId="0" shapeId="0">
      <text>
        <t>추정: 마지막 실적 유지(가정)
[qoq]</t>
      </text>
    </comment>
    <comment ref="O21" authorId="0" shapeId="0">
      <text>
        <t>추정: 마지막 실적 유지(가정)
[qoq]</t>
      </text>
    </comment>
    <comment ref="P21" authorId="0" shapeId="0">
      <text>
        <t>추정: 마지막 실적 유지(가정)
[qoq]</t>
      </text>
    </comment>
    <comment ref="Q21" authorId="0" shapeId="0">
      <text>
        <t>추정: 마지막 실적 유지(가정)
[qoq]</t>
      </text>
    </comment>
    <comment ref="S21" authorId="0" shapeId="0">
      <text>
        <t>추정: 마지막 실적 유지(가정)
[qoq]</t>
      </text>
    </comment>
    <comment ref="T21" authorId="0" shapeId="0">
      <text>
        <t>추정: 마지막 실적 유지(가정)
[qoq]</t>
      </text>
    </comment>
    <comment ref="U21" authorId="0" shapeId="0">
      <text>
        <t>추정: 마지막 실적 유지(가정)
[qoq]</t>
      </text>
    </comment>
    <comment ref="V21" authorId="0" shapeId="0">
      <text>
        <t>추정: 마지막 실적 유지(가정)
[qoq]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전분기 − (순이익 − 배당): 순이익 = 순현금 증가 가정(CAPEX≈감가, 운전자본 불변)
[qoq]</t>
      </text>
    </comment>
    <comment ref="L22" authorId="0" shapeId="0">
      <text>
        <t>추정: 전분기 − (순이익 − 배당): 순이익 = 순현금 증가 가정(CAPEX≈감가, 운전자본 불변)
[qoq]</t>
      </text>
    </comment>
    <comment ref="N22" authorId="0" shapeId="0">
      <text>
        <t>추정: 전분기 − (순이익 − 배당): 순이익 = 순현금 증가 가정(CAPEX≈감가, 운전자본 불변)
[qoq]</t>
      </text>
    </comment>
    <comment ref="O22" authorId="0" shapeId="0">
      <text>
        <t>추정: 전분기 − (순이익 − 배당): 순이익 = 순현금 증가 가정(CAPEX≈감가, 운전자본 불변)
[qoq]</t>
      </text>
    </comment>
    <comment ref="P22" authorId="0" shapeId="0">
      <text>
        <t>추정: 전분기 − (순이익 − 배당): 순이익 = 순현금 증가 가정(CAPEX≈감가, 운전자본 불변)
[qoq]</t>
      </text>
    </comment>
    <comment ref="Q22" authorId="0" shapeId="0">
      <text>
        <t>추정: 전분기 − (순이익 − 배당): 순이익 = 순현금 증가 가정(CAPEX≈감가, 운전자본 불변)
[qoq]</t>
      </text>
    </comment>
    <comment ref="S22" authorId="0" shapeId="0">
      <text>
        <t>추정: 전분기 − (순이익 − 배당): 순이익 = 순현금 증가 가정(CAPEX≈감가, 운전자본 불변)
[qoq]</t>
      </text>
    </comment>
    <comment ref="T22" authorId="0" shapeId="0">
      <text>
        <t>추정: 전분기 − (순이익 − 배당): 순이익 = 순현금 증가 가정(CAPEX≈감가, 운전자본 불변)
[qoq]</t>
      </text>
    </comment>
    <comment ref="U22" authorId="0" shapeId="0">
      <text>
        <t>추정: 전분기 − (순이익 − 배당): 순이익 = 순현금 증가 가정(CAPEX≈감가, 운전자본 불변)
[qoq]</t>
      </text>
    </comment>
    <comment ref="V22" authorId="0" shapeId="0">
      <text>
        <t>추정: 전분기 − (순이익 − 배당): 순이익 = 순현금 증가 가정(CAPEX≈감가, 운전자본 불변)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+ (순이익 − 배당) — 순차입금 롤과 같은 가정
[qoq]</t>
      </text>
    </comment>
    <comment ref="L23" authorId="0" shapeId="0">
      <text>
        <t>추정: 전분기 + (순이익 − 배당) — 순차입금 롤과 같은 가정
[qoq]</t>
      </text>
    </comment>
    <comment ref="N23" authorId="0" shapeId="0">
      <text>
        <t>추정: 전분기 + (순이익 − 배당) — 순차입금 롤과 같은 가정
[qoq]</t>
      </text>
    </comment>
    <comment ref="O23" authorId="0" shapeId="0">
      <text>
        <t>추정: 전분기 + (순이익 − 배당) — 순차입금 롤과 같은 가정
[qoq]</t>
      </text>
    </comment>
    <comment ref="P23" authorId="0" shapeId="0">
      <text>
        <t>추정: 전분기 + (순이익 − 배당) — 순차입금 롤과 같은 가정
[qoq]</t>
      </text>
    </comment>
    <comment ref="Q23" authorId="0" shapeId="0">
      <text>
        <t>추정: 전분기 + (순이익 − 배당) — 순차입금 롤과 같은 가정
[qoq]</t>
      </text>
    </comment>
    <comment ref="S23" authorId="0" shapeId="0">
      <text>
        <t>추정: 전분기 + (순이익 − 배당) — 순차입금 롤과 같은 가정
[qoq]</t>
      </text>
    </comment>
    <comment ref="T23" authorId="0" shapeId="0">
      <text>
        <t>추정: 전분기 + (순이익 − 배당) — 순차입금 롤과 같은 가정
[qoq]</t>
      </text>
    </comment>
    <comment ref="U23" authorId="0" shapeId="0">
      <text>
        <t>추정: 전분기 + (순이익 − 배당) — 순차입금 롤과 같은 가정
[qoq]</t>
      </text>
    </comment>
    <comment ref="V23" authorId="0" shapeId="0">
      <text>
        <t>추정: 전분기 + (순이익 − 배당) — 순차입금 롤과 같은 가정
[qoq]</t>
      </text>
    </comment>
    <comment ref="H24" authorId="0" shapeId="0">
      <text>
        <t>연간 실측(BS 시트에 2025.12A 없음 — 모델 a 값 직접)</t>
      </text>
    </comment>
    <comment ref="E26" authorId="0" shapeId="0">
      <text>
        <t>실측(계정 매핑 없음 — 모델값 직접) — fin.sep.cf.영업활동으로인한현금흐름</t>
      </text>
    </comment>
    <comment ref="F26" authorId="0" shapeId="0">
      <text>
        <t>실측(계정 매핑 없음 — 모델값 직접) — fin.sep.cf.영업활동으로인한현금흐름</t>
      </text>
    </comment>
    <comment ref="G26" authorId="0" shapeId="0">
      <text>
        <t>실측(계정 매핑 없음 — 모델값 직접) — fin.sep.cf.영업활동으로인한현금흐름</t>
      </text>
    </comment>
    <comment ref="I26" authorId="0" shapeId="0">
      <text>
        <t>실측(계정 매핑 없음 — 모델값 직접) — fin.sep.cf.영업활동으로인한현금흐름</t>
      </text>
    </comment>
    <comment ref="J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F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S27" authorId="0" shapeId="0">
      <text>
        <t>추정: 유통주식수 유지 — fin.shares.common_outstanding(2026Q2)
[qoq]</t>
      </text>
    </comment>
    <comment ref="T27" authorId="0" shapeId="0">
      <text>
        <t>추정: 유통주식수 유지 — fin.shares.common_outstanding(2026Q2)
[qoq]</t>
      </text>
    </comment>
    <comment ref="U27" authorId="0" shapeId="0">
      <text>
        <t>추정: 유통주식수 유지 — fin.shares.common_outstanding(2026Q2)
[qoq]</t>
      </text>
    </comment>
    <comment ref="V27" authorId="0" shapeId="0">
      <text>
        <t>추정: 유통주식수 유지 — fin.shares.common_outstanding(2026Q2)
[qoq]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S28" authorId="0" shapeId="0">
      <text>
        <t>추정: 지배주주순이익 ÷ 유통주식수
[per_share]</t>
      </text>
    </comment>
    <comment ref="T28" authorId="0" shapeId="0">
      <text>
        <t>추정: 지배주주순이익 ÷ 유통주식수
[per_share]</t>
      </text>
    </comment>
    <comment ref="U28" authorId="0" shapeId="0">
      <text>
        <t>추정: 지배주주순이익 ÷ 유통주식수
[per_share]</t>
      </text>
    </comment>
    <comment ref="V28" authorId="0" shapeId="0">
      <text>
        <t>추정: 지배주주순이익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S29" authorId="0" shapeId="0">
      <text>
        <t>추정: 지배주주지분 ÷ 유통주식수
[per_share]</t>
      </text>
    </comment>
    <comment ref="T29" authorId="0" shapeId="0">
      <text>
        <t>추정: 지배주주지분 ÷ 유통주식수
[per_share]</t>
      </text>
    </comment>
    <comment ref="U29" authorId="0" shapeId="0">
      <text>
        <t>추정: 지배주주지분 ÷ 유통주식수
[per_share]</t>
      </text>
    </comment>
    <comment ref="V29" authorId="0" shapeId="0">
      <text>
        <t>추정: 지배주주지분 ÷ 유통주식수
[per_share]</t>
      </text>
    </comment>
    <comment ref="G30" authorId="0" shapeId="0">
      <text>
        <t>실측(계정 매핑 없음 — 모델값 직접) — fin.dividend.dps_common(연간, Q4 에 표기)</t>
      </text>
    </comment>
    <comment ref="H30" authorId="0" shapeId="0">
      <text>
        <t>연간(actual) — 분기 미완 연도, 모델 a 값 직접</t>
      </text>
    </comment>
    <comment ref="L30" authorId="0" shapeId="0">
      <text>
        <t>추정(가정 셀 참조 불가 — 기준값 없음, 모델값 직접): 직전 결산 DPS 0원 유지</t>
      </text>
    </comment>
    <comment ref="Q30" authorId="0" shapeId="0">
      <text>
        <t>추정(가정 셀 참조 불가 — 기준값 없음, 모델값 직접): 직전 결산 DPS 0원 유지</t>
      </text>
    </comment>
    <comment ref="V30" authorId="0" shapeId="0">
      <text>
        <t>추정(가정 셀 참조 불가 — 기준값 없음, 모델값 직접): 직전 결산 DPS 0원 유지</t>
      </text>
    </comment>
    <comment ref="J31" authorId="0" shapeId="0">
      <text>
        <t>실측(계정 매핑 없음 — 모델값 직접) — 토스 일봉 분기 평균 ÷ TTM EPS</t>
      </text>
    </comment>
    <comment ref="K31" authorId="0" shapeId="0">
      <text>
        <t>추정(가정 셀 참조 불가 — 기준값 없음, 모델값 직접): 현재 종가 ÷ TTM EPS(추정 포함)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실측(계정 매핑 없음 — 모델값 직접) — 토스 일봉 분기 평균 ÷ BPS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연간(actual) — 분기 미완 연도, 모델 a 값 직접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K32" authorId="0" shapeId="0">
      <text>
        <t>추정: 현재 종가 ÷ BPS(추정 포함)
[yoy]</t>
      </text>
    </comment>
    <comment ref="L32" authorId="0" shapeId="0">
      <text>
        <t>추정: 현재 종가 ÷ BPS(추정 포함)
[yoy]</t>
      </text>
    </comment>
    <comment ref="N32" authorId="0" shapeId="0">
      <text>
        <t>추정: 현재 종가 ÷ BPS(추정 포함)
[yoy]</t>
      </text>
    </comment>
    <comment ref="O32" authorId="0" shapeId="0">
      <text>
        <t>추정: 현재 종가 ÷ BPS(추정 포함)
[yoy]</t>
      </text>
    </comment>
    <comment ref="P32" authorId="0" shapeId="0">
      <text>
        <t>추정: 현재 종가 ÷ BPS(추정 포함)
[yoy]</t>
      </text>
    </comment>
    <comment ref="Q32" authorId="0" shapeId="0">
      <text>
        <t>추정: 현재 종가 ÷ BPS(추정 포함)
[yoy]</t>
      </text>
    </comment>
    <comment ref="S32" authorId="0" shapeId="0">
      <text>
        <t>추정: 현재 종가 ÷ BPS(추정 포함)
[yoy]</t>
      </text>
    </comment>
    <comment ref="T32" authorId="0" shapeId="0">
      <text>
        <t>추정: 현재 종가 ÷ BPS(추정 포함)
[yoy]</t>
      </text>
    </comment>
    <comment ref="U32" authorId="0" shapeId="0">
      <text>
        <t>추정: 현재 종가 ÷ BPS(추정 포함)
[yoy]</t>
      </text>
    </comment>
    <comment ref="V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F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K33" authorId="0" shapeId="0">
      <text>
        <t>추정: = 매출액 추정(부문 미분리)
[ratio]</t>
      </text>
    </comment>
    <comment ref="L33" authorId="0" shapeId="0">
      <text>
        <t>추정: = 매출액 추정(부문 미분리)
[ratio]</t>
      </text>
    </comment>
    <comment ref="N33" authorId="0" shapeId="0">
      <text>
        <t>추정: = 매출액 추정(부문 미분리)
[ratio]</t>
      </text>
    </comment>
    <comment ref="O33" authorId="0" shapeId="0">
      <text>
        <t>추정: = 매출액 추정(부문 미분리)
[ratio]</t>
      </text>
    </comment>
    <comment ref="P33" authorId="0" shapeId="0">
      <text>
        <t>추정: = 매출액 추정(부문 미분리)
[ratio]</t>
      </text>
    </comment>
    <comment ref="Q33" authorId="0" shapeId="0">
      <text>
        <t>추정: = 매출액 추정(부문 미분리)
[ratio]</t>
      </text>
    </comment>
    <comment ref="S33" authorId="0" shapeId="0">
      <text>
        <t>추정: = 매출액 추정(부문 미분리)
[ratio]</t>
      </text>
    </comment>
    <comment ref="T33" authorId="0" shapeId="0">
      <text>
        <t>추정: = 매출액 추정(부문 미분리)
[ratio]</t>
      </text>
    </comment>
    <comment ref="U33" authorId="0" shapeId="0">
      <text>
        <t>추정: = 매출액 추정(부문 미분리)
[ratio]</t>
      </text>
    </comment>
    <comment ref="V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F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K34" authorId="0" shapeId="0">
      <text>
        <t>추정: = 매출액 × OPM(부문 미분리)
[ratio]</t>
      </text>
    </comment>
    <comment ref="L34" authorId="0" shapeId="0">
      <text>
        <t>추정: = 매출액 × OPM(부문 미분리)
[ratio]</t>
      </text>
    </comment>
    <comment ref="N34" authorId="0" shapeId="0">
      <text>
        <t>추정: = 매출액 × OPM(부문 미분리)
[ratio]</t>
      </text>
    </comment>
    <comment ref="O34" authorId="0" shapeId="0">
      <text>
        <t>추정: = 매출액 × OPM(부문 미분리)
[ratio]</t>
      </text>
    </comment>
    <comment ref="P34" authorId="0" shapeId="0">
      <text>
        <t>추정: = 매출액 × OPM(부문 미분리)
[ratio]</t>
      </text>
    </comment>
    <comment ref="Q34" authorId="0" shapeId="0">
      <text>
        <t>추정: = 매출액 × OPM(부문 미분리)
[ratio]</t>
      </text>
    </comment>
    <comment ref="S34" authorId="0" shapeId="0">
      <text>
        <t>추정: = 매출액 × OPM(부문 미분리)
[ratio]</t>
      </text>
    </comment>
    <comment ref="T34" authorId="0" shapeId="0">
      <text>
        <t>추정: = 매출액 × OPM(부문 미분리)
[ratio]</t>
      </text>
    </comment>
    <comment ref="U34" authorId="0" shapeId="0">
      <text>
        <t>추정: = 매출액 × OPM(부문 미분리)
[ratio]</t>
      </text>
    </comment>
    <comment ref="V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assets/models/136150.json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44.7, "op_wape_pct": 116.1,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1419.72</v>
      </c>
      <c r="L6" s="16" t="n">
        <v>1353.36</v>
      </c>
      <c r="M6" s="17" t="n">
        <v>1461.87</v>
      </c>
      <c r="N6" s="16" t="n">
        <v>1353.36</v>
      </c>
      <c r="O6" s="16" t="n">
        <v>1353.36</v>
      </c>
      <c r="P6" s="16" t="n">
        <v>1353.36</v>
      </c>
      <c r="Q6" s="16" t="n">
        <v>1353.36</v>
      </c>
      <c r="R6" s="11" t="n"/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1353.36</v>
      </c>
      <c r="L7" s="16" t="n">
        <v>1353.36</v>
      </c>
      <c r="M7" s="17" t="n">
        <v>1353.36</v>
      </c>
      <c r="N7" s="16" t="n">
        <v>1353.36</v>
      </c>
      <c r="O7" s="16" t="n">
        <v>1353.36</v>
      </c>
      <c r="P7" s="16" t="n">
        <v>1353.36</v>
      </c>
      <c r="Q7" s="16" t="n">
        <v>1353.36</v>
      </c>
      <c r="R7" s="11" t="n"/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890.83</v>
      </c>
      <c r="L8" s="16" t="n">
        <v>861.35</v>
      </c>
      <c r="M8" s="17" t="n">
        <v>922.02</v>
      </c>
      <c r="N8" s="16" t="n">
        <v>861.35</v>
      </c>
      <c r="O8" s="16" t="n">
        <v>861.35</v>
      </c>
      <c r="P8" s="16" t="n">
        <v>861.35</v>
      </c>
      <c r="Q8" s="16" t="n">
        <v>861.35</v>
      </c>
      <c r="R8" s="11" t="n"/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861.35</v>
      </c>
      <c r="L9" s="16" t="n">
        <v>861.35</v>
      </c>
      <c r="M9" s="17" t="n">
        <v>861.35</v>
      </c>
      <c r="N9" s="16" t="n">
        <v>861.35</v>
      </c>
      <c r="O9" s="16" t="n">
        <v>861.35</v>
      </c>
      <c r="P9" s="16" t="n">
        <v>861.35</v>
      </c>
      <c r="Q9" s="16" t="n">
        <v>861.35</v>
      </c>
      <c r="R9" s="11" t="n"/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1633.4</v>
      </c>
      <c r="L10" s="16" t="n">
        <v>1536.74</v>
      </c>
      <c r="M10" s="17" t="n">
        <v>1697.39</v>
      </c>
      <c r="N10" s="16" t="n">
        <v>1536.74</v>
      </c>
      <c r="O10" s="16" t="n">
        <v>1536.74</v>
      </c>
      <c r="P10" s="16" t="n">
        <v>1536.74</v>
      </c>
      <c r="Q10" s="16" t="n">
        <v>1536.74</v>
      </c>
      <c r="R10" s="11" t="n"/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1536.74</v>
      </c>
      <c r="L11" s="16" t="n">
        <v>1536.74</v>
      </c>
      <c r="M11" s="17" t="n">
        <v>1536.74</v>
      </c>
      <c r="N11" s="16" t="n">
        <v>1536.74</v>
      </c>
      <c r="O11" s="16" t="n">
        <v>1536.74</v>
      </c>
      <c r="P11" s="16" t="n">
        <v>1536.74</v>
      </c>
      <c r="Q11" s="16" t="n">
        <v>1536.74</v>
      </c>
      <c r="R11" s="11" t="n"/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210.55</v>
      </c>
      <c r="L12" s="16" t="n">
        <v>201.89</v>
      </c>
      <c r="M12" s="17" t="n">
        <v>214.29</v>
      </c>
      <c r="N12" s="16" t="n">
        <v>201.89</v>
      </c>
      <c r="O12" s="16" t="n">
        <v>201.89</v>
      </c>
      <c r="P12" s="16" t="n">
        <v>201.89</v>
      </c>
      <c r="Q12" s="16" t="n">
        <v>201.89</v>
      </c>
      <c r="R12" s="11" t="n"/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201.89</v>
      </c>
      <c r="L13" s="16" t="n">
        <v>201.89</v>
      </c>
      <c r="M13" s="17" t="n">
        <v>201.89</v>
      </c>
      <c r="N13" s="16" t="n">
        <v>201.89</v>
      </c>
      <c r="O13" s="16" t="n">
        <v>201.89</v>
      </c>
      <c r="P13" s="16" t="n">
        <v>201.89</v>
      </c>
      <c r="Q13" s="16" t="n">
        <v>201.89</v>
      </c>
      <c r="R13" s="11" t="n"/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-5.4e-05</v>
      </c>
      <c r="L21" s="24" t="n">
        <v>-3.7e-05</v>
      </c>
      <c r="M21" s="25" t="n"/>
      <c r="N21" s="24" t="n">
        <v>-0.000113</v>
      </c>
      <c r="O21" s="24" t="n">
        <v>4.4e-05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0.228083</v>
      </c>
      <c r="L22" s="24" t="n">
        <v>0.228081</v>
      </c>
      <c r="M22" s="25">
        <f>IFERROR(subQ!M8/subQ!M5,"")</f>
        <v/>
      </c>
      <c r="N22" s="24" t="n">
        <v>0.228185</v>
      </c>
      <c r="O22" s="24" t="n">
        <v>0.228095</v>
      </c>
      <c r="P22" s="24" t="n">
        <v>0.228083</v>
      </c>
      <c r="Q22" s="24" t="n">
        <v>0.228081</v>
      </c>
      <c r="R22" s="25">
        <f>IFERROR(subQ!R8/subQ!R5,"")</f>
        <v/>
      </c>
      <c r="S22" s="24" t="n">
        <v>0.228185</v>
      </c>
      <c r="T22" s="24" t="n">
        <v>0.228095</v>
      </c>
      <c r="U22" s="24" t="n">
        <v>0.228083</v>
      </c>
      <c r="V22" s="24" t="n">
        <v>0.228081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</v>
      </c>
      <c r="L23" s="24" t="n">
        <v>-0.2</v>
      </c>
      <c r="M23" s="25">
        <f>IFERROR(subQ!M9/subQ!M5,"")</f>
        <v/>
      </c>
      <c r="N23" s="24" t="n">
        <v>-0.2001</v>
      </c>
      <c r="O23" s="24" t="n">
        <v>-0.19996</v>
      </c>
      <c r="P23" s="24" t="n">
        <v>-0.199953</v>
      </c>
      <c r="Q23" s="24" t="n">
        <v>-0.2</v>
      </c>
      <c r="R23" s="25">
        <f>IFERROR(subQ!R9/subQ!R5,"")</f>
        <v/>
      </c>
      <c r="S23" s="24" t="n">
        <v>-0.2001</v>
      </c>
      <c r="T23" s="24" t="n">
        <v>-0.19996</v>
      </c>
      <c r="U23" s="24" t="n">
        <v>-0.199953</v>
      </c>
      <c r="V23" s="24" t="n">
        <v>-0.2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IFERROR(subQ!J36/subQ!E36-1,"")</f>
        <v/>
      </c>
      <c r="K24" s="24" t="n">
        <v>-0.158603</v>
      </c>
      <c r="L24" s="24" t="n">
        <v>-3.457002</v>
      </c>
      <c r="M24" s="25" t="n"/>
      <c r="N24" s="24" t="n">
        <v>-0.6039600000000001</v>
      </c>
      <c r="O24" s="24" t="n">
        <v>-4.669725</v>
      </c>
      <c r="P24" s="24" t="n">
        <v>0</v>
      </c>
      <c r="Q24" s="24" t="n">
        <v>0</v>
      </c>
      <c r="R24" s="25" t="n"/>
      <c r="S24" s="24" t="n">
        <v>0</v>
      </c>
      <c r="T24" s="24" t="n">
        <v>0</v>
      </c>
      <c r="U24" s="24" t="n">
        <v>0</v>
      </c>
      <c r="V24" s="24" t="n">
        <v>0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0.41</v>
      </c>
      <c r="L25" s="29" t="n">
        <v>0.38</v>
      </c>
      <c r="M25" s="30">
        <f>subQ!M11</f>
        <v/>
      </c>
      <c r="N25" s="29" t="n">
        <v>0.3</v>
      </c>
      <c r="O25" s="29" t="n">
        <v>0.28</v>
      </c>
      <c r="P25" s="29" t="n">
        <v>0.21</v>
      </c>
      <c r="Q25" s="29" t="n">
        <v>0.18</v>
      </c>
      <c r="R25" s="30">
        <f>subQ!R11</f>
        <v/>
      </c>
      <c r="S25" s="29" t="n">
        <v>0.11</v>
      </c>
      <c r="T25" s="29" t="n">
        <v>0.08</v>
      </c>
      <c r="U25" s="29" t="n">
        <v>0.01</v>
      </c>
      <c r="V25" s="29" t="n">
        <v>-0.02</v>
      </c>
      <c r="W25" s="30">
        <f>subQ!W11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0</v>
      </c>
      <c r="L26" s="29" t="n">
        <v>0</v>
      </c>
      <c r="M26" s="30">
        <f>subQ!M12</f>
        <v/>
      </c>
      <c r="N26" s="29" t="n">
        <v>0</v>
      </c>
      <c r="O26" s="29" t="n">
        <v>0</v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1">
        <f>IFERROR(subQ!G14/subQ!G13,"")</f>
        <v/>
      </c>
      <c r="H27" s="22">
        <f>IFERROR(subQ!H14/subQ!H13,"")</f>
        <v/>
      </c>
      <c r="I27" s="21">
        <f>IFERROR(subQ!I14/subQ!I13,"")</f>
        <v/>
      </c>
      <c r="J27" s="23">
        <f>IFERROR(subQ!J14/subQ!J13,"")</f>
        <v/>
      </c>
      <c r="K27" s="24" t="n">
        <v>-0</v>
      </c>
      <c r="L27" s="24" t="n">
        <v>-0</v>
      </c>
      <c r="M27" s="25">
        <f>IFERROR(subQ!M14/subQ!M13,"")</f>
        <v/>
      </c>
      <c r="N27" s="24" t="n">
        <v>-0</v>
      </c>
      <c r="O27" s="24" t="n">
        <v>-0</v>
      </c>
      <c r="P27" s="24" t="n">
        <v>-0</v>
      </c>
      <c r="Q27" s="24" t="n">
        <v>-0</v>
      </c>
      <c r="R27" s="25">
        <f>IFERROR(subQ!R14/subQ!R13,"")</f>
        <v/>
      </c>
      <c r="S27" s="24" t="n">
        <v>-0</v>
      </c>
      <c r="T27" s="24" t="n">
        <v>-0</v>
      </c>
      <c r="U27" s="24" t="n">
        <v>-0</v>
      </c>
      <c r="V27" s="24" t="n">
        <v>-0</v>
      </c>
      <c r="W27" s="25">
        <f>IFERROR(subQ!W14/subQ!W13,"")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1">
        <f>IFERROR(subQ!G16/subQ!G15,"")</f>
        <v/>
      </c>
      <c r="H28" s="22">
        <f>IFERROR(subQ!H16/subQ!H15,"")</f>
        <v/>
      </c>
      <c r="I28" s="21">
        <f>IFERROR(subQ!I16/subQ!I15,"")</f>
        <v/>
      </c>
      <c r="J28" s="23">
        <f>IFERROR(subQ!J16/subQ!J15,"")</f>
        <v/>
      </c>
      <c r="K28" s="24" t="n">
        <v>1</v>
      </c>
      <c r="L28" s="24" t="n">
        <v>1</v>
      </c>
      <c r="M28" s="25">
        <f>IFERROR(subQ!M16/subQ!M15,"")</f>
        <v/>
      </c>
      <c r="N28" s="24" t="n">
        <v>1</v>
      </c>
      <c r="O28" s="24" t="n">
        <v>1</v>
      </c>
      <c r="P28" s="24" t="n">
        <v>1</v>
      </c>
      <c r="Q28" s="24" t="n">
        <v>1</v>
      </c>
      <c r="R28" s="25">
        <f>IFERROR(subQ!R16/subQ!R15,"")</f>
        <v/>
      </c>
      <c r="S28" s="24" t="n">
        <v>1</v>
      </c>
      <c r="T28" s="24" t="n">
        <v>1</v>
      </c>
      <c r="U28" s="24" t="n">
        <v>1</v>
      </c>
      <c r="V28" s="24" t="n">
        <v>1</v>
      </c>
      <c r="W28" s="25">
        <f>IFERROR(subQ!W16/subQ!W15,"")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1">
        <f>IFERROR(subQ!F18/subQ!E18-1,"")</f>
        <v/>
      </c>
      <c r="G29" s="21">
        <f>IFERROR(subQ!G18/subQ!F18-1,"")</f>
        <v/>
      </c>
      <c r="H29" s="22" t="n"/>
      <c r="I29" s="21">
        <f>IFERROR(subQ!I18/subQ!G18-1,"")</f>
        <v/>
      </c>
      <c r="J29" s="23">
        <f>IFERROR(subQ!J18/subQ!I18-1,"")</f>
        <v/>
      </c>
      <c r="K29" s="24" t="n">
        <v>-1e-05</v>
      </c>
      <c r="L29" s="24" t="n">
        <v>0</v>
      </c>
      <c r="M29" s="25" t="n"/>
      <c r="N29" s="24" t="n">
        <v>0</v>
      </c>
      <c r="O29" s="24" t="n">
        <v>0</v>
      </c>
      <c r="P29" s="24" t="n">
        <v>0</v>
      </c>
      <c r="Q29" s="24" t="n">
        <v>0</v>
      </c>
      <c r="R29" s="25" t="n"/>
      <c r="S29" s="24" t="n">
        <v>0</v>
      </c>
      <c r="T29" s="24" t="n">
        <v>0</v>
      </c>
      <c r="U29" s="24" t="n">
        <v>0</v>
      </c>
      <c r="V29" s="24" t="n">
        <v>0</v>
      </c>
      <c r="W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6">
        <f>IFERROR(subQ!E19+subQ!F15-subQ!F19,"")</f>
        <v/>
      </c>
      <c r="G30" s="26">
        <f>IFERROR(subQ!F19+subQ!G15-subQ!G19,"")</f>
        <v/>
      </c>
      <c r="H30" s="27" t="n"/>
      <c r="I30" s="26">
        <f>IFERROR(subQ!G19+subQ!I15-subQ!I19,"")</f>
        <v/>
      </c>
      <c r="J30" s="28">
        <f>IFERROR(subQ!I19+subQ!J15-subQ!J19,"")</f>
        <v/>
      </c>
      <c r="K30" s="29" t="n">
        <v>0.0046</v>
      </c>
      <c r="L30" s="29" t="n">
        <v>-0</v>
      </c>
      <c r="M30" s="30" t="n"/>
      <c r="N30" s="29" t="n">
        <v>0</v>
      </c>
      <c r="O30" s="29" t="n">
        <v>0</v>
      </c>
      <c r="P30" s="29" t="n">
        <v>0</v>
      </c>
      <c r="Q30" s="29" t="n">
        <v>0</v>
      </c>
      <c r="R30" s="30" t="n"/>
      <c r="S30" s="29" t="n">
        <v>0</v>
      </c>
      <c r="T30" s="29" t="n">
        <v>0</v>
      </c>
      <c r="U30" s="29" t="n">
        <v>0</v>
      </c>
      <c r="V30" s="29" t="n">
        <v>0</v>
      </c>
      <c r="W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8">
        <f>IFERROR(subQ!I20+subQ!J16-subQ!J20,"")</f>
        <v/>
      </c>
      <c r="K31" s="29" t="n">
        <v>0.0046</v>
      </c>
      <c r="L31" s="29" t="n">
        <v>-0</v>
      </c>
      <c r="M31" s="30" t="n"/>
      <c r="N31" s="29" t="n">
        <v>0</v>
      </c>
      <c r="O31" s="29" t="n">
        <v>0</v>
      </c>
      <c r="P31" s="29" t="n">
        <v>0</v>
      </c>
      <c r="Q31" s="29" t="n">
        <v>0</v>
      </c>
      <c r="R31" s="30" t="n"/>
      <c r="S31" s="29" t="n">
        <v>0</v>
      </c>
      <c r="T31" s="29" t="n">
        <v>0</v>
      </c>
      <c r="U31" s="29" t="n">
        <v>0</v>
      </c>
      <c r="V31" s="29" t="n">
        <v>0</v>
      </c>
      <c r="W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1">
        <f>IFERROR(subQ!F21/subQ!E21-1,"")</f>
        <v/>
      </c>
      <c r="G32" s="21">
        <f>IFERROR(subQ!G21/subQ!F21-1,"")</f>
        <v/>
      </c>
      <c r="H32" s="22" t="n"/>
      <c r="I32" s="21">
        <f>IFERROR(subQ!I21/subQ!G21-1,"")</f>
        <v/>
      </c>
      <c r="J32" s="23">
        <f>IFERROR(subQ!J21/subQ!I21-1,"")</f>
        <v/>
      </c>
      <c r="K32" s="24" t="n">
        <v>0</v>
      </c>
      <c r="L32" s="24" t="n">
        <v>0</v>
      </c>
      <c r="M32" s="25" t="n"/>
      <c r="N32" s="24" t="n">
        <v>0</v>
      </c>
      <c r="O32" s="24" t="n">
        <v>0</v>
      </c>
      <c r="P32" s="24" t="n">
        <v>0</v>
      </c>
      <c r="Q32" s="24" t="n">
        <v>0</v>
      </c>
      <c r="R32" s="25" t="n"/>
      <c r="S32" s="24" t="n">
        <v>0</v>
      </c>
      <c r="T32" s="24" t="n">
        <v>0</v>
      </c>
      <c r="U32" s="24" t="n">
        <v>0</v>
      </c>
      <c r="V32" s="24" t="n">
        <v>0</v>
      </c>
      <c r="W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3">
        <f>IFERROR(subQ!J22/subQ!I22-1,"")</f>
        <v/>
      </c>
      <c r="K33" s="24" t="n">
        <v>-0.858468</v>
      </c>
      <c r="L33" s="24" t="n">
        <v>-17.097015</v>
      </c>
      <c r="M33" s="25" t="n"/>
      <c r="N33" s="24" t="n">
        <v>0.355586</v>
      </c>
      <c r="O33" s="24" t="n">
        <v>0.670999</v>
      </c>
      <c r="P33" s="24" t="n">
        <v>0.170282</v>
      </c>
      <c r="Q33" s="24" t="n">
        <v>0.404162</v>
      </c>
      <c r="R33" s="25" t="n"/>
      <c r="S33" s="24" t="n">
        <v>0.09802</v>
      </c>
      <c r="T33" s="24" t="n">
        <v>0.224932</v>
      </c>
      <c r="U33" s="24" t="n">
        <v>0.07889599999999999</v>
      </c>
      <c r="V33" s="24" t="n">
        <v>0.200069</v>
      </c>
      <c r="W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24" t="n">
        <v>-0.06721199999999999</v>
      </c>
      <c r="L34" s="24" t="n">
        <v>-0.203265</v>
      </c>
      <c r="M34" s="25" t="n"/>
      <c r="N34" s="24" t="n">
        <v>-0.085412</v>
      </c>
      <c r="O34" s="24" t="n">
        <v>-0.239011</v>
      </c>
      <c r="P34" s="24" t="n">
        <v>-0.13312</v>
      </c>
      <c r="Q34" s="24" t="n">
        <v>-0.426541</v>
      </c>
      <c r="R34" s="25" t="n"/>
      <c r="S34" s="24" t="n">
        <v>-0.253299</v>
      </c>
      <c r="T34" s="24" t="n">
        <v>-0.854741</v>
      </c>
      <c r="U34" s="24" t="n">
        <v>-2.52819</v>
      </c>
      <c r="V34" s="24" t="n">
        <v>4.524272</v>
      </c>
      <c r="W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3">
        <f>IFERROR(subQ!J24/subQ!I24-1,"")</f>
        <v/>
      </c>
      <c r="K35" s="31" t="n"/>
      <c r="L35" s="31" t="n"/>
      <c r="M35" s="25" t="n"/>
      <c r="N35" s="31" t="n"/>
      <c r="O35" s="31" t="n"/>
      <c r="P35" s="31" t="n"/>
      <c r="Q35" s="31" t="n"/>
      <c r="R35" s="25" t="n"/>
      <c r="S35" s="31" t="n"/>
      <c r="T35" s="31" t="n"/>
      <c r="U35" s="31" t="n"/>
      <c r="V35" s="31" t="n"/>
      <c r="W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1" t="n"/>
      <c r="G36" s="21" t="n"/>
      <c r="H36" s="22" t="n"/>
      <c r="I36" s="21" t="n"/>
      <c r="J36" s="23">
        <f>IFERROR(subQ!J25/subQ!E25-1,"")</f>
        <v/>
      </c>
      <c r="K36" s="31" t="n"/>
      <c r="L36" s="31" t="n"/>
      <c r="M36" s="25" t="n"/>
      <c r="N36" s="31" t="n"/>
      <c r="O36" s="31" t="n"/>
      <c r="P36" s="31" t="n"/>
      <c r="Q36" s="31" t="n"/>
      <c r="R36" s="25" t="n"/>
      <c r="S36" s="31" t="n"/>
      <c r="T36" s="31" t="n"/>
      <c r="U36" s="31" t="n"/>
      <c r="V36" s="31" t="n"/>
      <c r="W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1" t="n"/>
      <c r="G37" s="21" t="n"/>
      <c r="H37" s="22" t="n"/>
      <c r="I37" s="21" t="n"/>
      <c r="J37" s="23">
        <f>IFERROR(subQ!J26/subQ!E26-1,"")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1">
        <f>IFERROR(subQ!F27/subQ!E27-1,"")</f>
        <v/>
      </c>
      <c r="G38" s="21">
        <f>IFERROR(subQ!G27/subQ!F27-1,"")</f>
        <v/>
      </c>
      <c r="H38" s="22" t="n"/>
      <c r="I38" s="21">
        <f>IFERROR(subQ!I27/subQ!G27-1,"")</f>
        <v/>
      </c>
      <c r="J38" s="23">
        <f>IFERROR(subQ!J27/subQ!I27-1,"")</f>
        <v/>
      </c>
      <c r="K38" s="24" t="n">
        <v>0</v>
      </c>
      <c r="L38" s="24" t="n">
        <v>0</v>
      </c>
      <c r="M38" s="25" t="n"/>
      <c r="N38" s="24" t="n">
        <v>0</v>
      </c>
      <c r="O38" s="24" t="n">
        <v>0</v>
      </c>
      <c r="P38" s="24" t="n">
        <v>0</v>
      </c>
      <c r="Q38" s="24" t="n">
        <v>0</v>
      </c>
      <c r="R38" s="25" t="n"/>
      <c r="S38" s="24" t="n">
        <v>0</v>
      </c>
      <c r="T38" s="24" t="n">
        <v>0</v>
      </c>
      <c r="U38" s="24" t="n">
        <v>0</v>
      </c>
      <c r="V38" s="24" t="n">
        <v>0</v>
      </c>
      <c r="W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1" t="n"/>
      <c r="G39" s="21" t="n"/>
      <c r="H39" s="22" t="n"/>
      <c r="I39" s="21" t="n"/>
      <c r="J39" s="23">
        <f>IFERROR(subQ!J30/subQ!E30-1,"")</f>
        <v/>
      </c>
      <c r="K39" s="31" t="n"/>
      <c r="L39" s="31" t="n"/>
      <c r="M39" s="25" t="n"/>
      <c r="N39" s="31" t="n"/>
      <c r="O39" s="31" t="n"/>
      <c r="P39" s="31" t="n"/>
      <c r="Q39" s="31" t="n"/>
      <c r="R39" s="25" t="n"/>
      <c r="S39" s="31" t="n"/>
      <c r="T39" s="31" t="n"/>
      <c r="U39" s="31" t="n"/>
      <c r="V39" s="31" t="n"/>
      <c r="W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1" t="n"/>
      <c r="G40" s="21" t="n"/>
      <c r="H40" s="22" t="n"/>
      <c r="I40" s="21" t="n"/>
      <c r="J40" s="23">
        <f>IFERROR(subQ!J31/subQ!E31-1,"")</f>
        <v/>
      </c>
      <c r="K40" s="31" t="n"/>
      <c r="L40" s="31" t="n"/>
      <c r="M40" s="25" t="n"/>
      <c r="N40" s="31" t="n"/>
      <c r="O40" s="31" t="n"/>
      <c r="P40" s="31" t="n"/>
      <c r="Q40" s="31" t="n"/>
      <c r="R40" s="25" t="n"/>
      <c r="S40" s="31" t="n"/>
      <c r="T40" s="31" t="n"/>
      <c r="U40" s="31" t="n"/>
      <c r="V40" s="31" t="n"/>
      <c r="W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1" t="n"/>
      <c r="G41" s="21" t="n"/>
      <c r="H41" s="22" t="n"/>
      <c r="I41" s="21" t="n"/>
      <c r="J41" s="23">
        <f>IFERROR(subQ!J32/subQ!E32-1,"")</f>
        <v/>
      </c>
      <c r="K41" s="24" t="n">
        <v>-0.672854</v>
      </c>
      <c r="L41" s="24" t="n">
        <v>-0.580282</v>
      </c>
      <c r="M41" s="25" t="n"/>
      <c r="N41" s="24" t="n">
        <v>-0.520635</v>
      </c>
      <c r="O41" s="24" t="n">
        <v>-0.375494</v>
      </c>
      <c r="P41" s="24" t="n">
        <v>0.141844</v>
      </c>
      <c r="Q41" s="24" t="n">
        <v>0.147651</v>
      </c>
      <c r="R41" s="25" t="n"/>
      <c r="S41" s="24" t="n">
        <v>0.152318</v>
      </c>
      <c r="T41" s="24" t="n">
        <v>0.164557</v>
      </c>
      <c r="U41" s="24" t="n">
        <v>0.167702</v>
      </c>
      <c r="V41" s="24" t="n">
        <v>0.181287</v>
      </c>
      <c r="W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1">
        <f>IFERROR(subQ!F33/subQ!F5,"")</f>
        <v/>
      </c>
      <c r="G42" s="21">
        <f>IFERROR(subQ!G33/subQ!G5,"")</f>
        <v/>
      </c>
      <c r="H42" s="22">
        <f>IFERROR(subQ!H33/subQ!H5,"")</f>
        <v/>
      </c>
      <c r="I42" s="21">
        <f>IFERROR(subQ!I33/subQ!I5,"")</f>
        <v/>
      </c>
      <c r="J42" s="23">
        <f>IFERROR(subQ!J33/subQ!J5,"")</f>
        <v/>
      </c>
      <c r="K42" s="24" t="n">
        <v>1</v>
      </c>
      <c r="L42" s="24" t="n">
        <v>1</v>
      </c>
      <c r="M42" s="25">
        <f>IFERROR(subQ!M33/subQ!M5,"")</f>
        <v/>
      </c>
      <c r="N42" s="24" t="n">
        <v>1</v>
      </c>
      <c r="O42" s="24" t="n">
        <v>1</v>
      </c>
      <c r="P42" s="24" t="n">
        <v>1</v>
      </c>
      <c r="Q42" s="24" t="n">
        <v>1</v>
      </c>
      <c r="R42" s="25">
        <f>IFERROR(subQ!R33/subQ!R5,"")</f>
        <v/>
      </c>
      <c r="S42" s="24" t="n">
        <v>1</v>
      </c>
      <c r="T42" s="24" t="n">
        <v>1</v>
      </c>
      <c r="U42" s="24" t="n">
        <v>1</v>
      </c>
      <c r="V42" s="24" t="n">
        <v>1</v>
      </c>
      <c r="W42" s="25">
        <f>IFERROR(subQ!W33/subQ!W5,"")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1">
        <f>IFERROR(subQ!F34/subQ!F33,"")</f>
        <v/>
      </c>
      <c r="G43" s="21">
        <f>IFERROR(subQ!G34/subQ!G33,"")</f>
        <v/>
      </c>
      <c r="H43" s="22">
        <f>IFERROR(subQ!H34/subQ!H33,"")</f>
        <v/>
      </c>
      <c r="I43" s="21">
        <f>IFERROR(subQ!I34/subQ!I33,"")</f>
        <v/>
      </c>
      <c r="J43" s="23">
        <f>IFERROR(subQ!J34/subQ!J33,"")</f>
        <v/>
      </c>
      <c r="K43" s="24" t="n">
        <v>-0.199953</v>
      </c>
      <c r="L43" s="24" t="n">
        <v>-0.2</v>
      </c>
      <c r="M43" s="25">
        <f>IFERROR(subQ!M34/subQ!M33,"")</f>
        <v/>
      </c>
      <c r="N43" s="24" t="n">
        <v>-0.2001</v>
      </c>
      <c r="O43" s="24" t="n">
        <v>-0.19996</v>
      </c>
      <c r="P43" s="24" t="n">
        <v>-0.199953</v>
      </c>
      <c r="Q43" s="24" t="n">
        <v>-0.2</v>
      </c>
      <c r="R43" s="25">
        <f>IFERROR(subQ!R34/subQ!R33,"")</f>
        <v/>
      </c>
      <c r="S43" s="24" t="n">
        <v>-0.2001</v>
      </c>
      <c r="T43" s="24" t="n">
        <v>-0.19996</v>
      </c>
      <c r="U43" s="24" t="n">
        <v>-0.199953</v>
      </c>
      <c r="V43" s="24" t="n">
        <v>-0.2</v>
      </c>
      <c r="W43" s="25">
        <f>IFERROR(subQ!W34/subQ!W33,"")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8080</v>
      </c>
      <c r="E46" s="2" t="inlineStr">
        <is>
          <t>원 — aikstockdata(금융위 T+1)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1개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</v>
      </c>
      <c r="E53" s="2" t="inlineStr">
        <is>
          <t>법인세율 가정(참고 — 추정 수식은 드라이버 행 참조)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0.2281</v>
      </c>
      <c r="E54" s="2" t="inlineStr">
        <is>
          <t>판관비율 가정(참고)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 가정(참고)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4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4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4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4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4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4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4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4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4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4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4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4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4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4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4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4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4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4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4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4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4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4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4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4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4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4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4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4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4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4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4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4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4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4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4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4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4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4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4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4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4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4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4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-0.3024</v>
      </c>
      <c r="F10" s="18" t="n">
        <v>-0.2377</v>
      </c>
      <c r="G10" s="18" t="n">
        <v>0.0814</v>
      </c>
      <c r="H10" s="34" t="n"/>
      <c r="I10" s="18" t="n">
        <v>-0.505</v>
      </c>
      <c r="J10" s="19" t="n">
        <v>0.0545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4" t="n"/>
      <c r="I12" s="18">
        <f>IFERROR(VLOOKUP($D12,BS별도,MATCH(I$1,BS별도H,0),0)/100,"")</f>
        <v/>
      </c>
      <c r="J12" s="19">
        <f>IFERROR(VLOOKUP($D12,BS별도,MATCH(J$1,BS별도H,0),0)/100,"")</f>
        <v/>
      </c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IFERROR(K9+K11+K12,"")</f>
        <v/>
      </c>
      <c r="L13" s="20">
        <f>IFERROR(L9+L11+L12,"")</f>
        <v/>
      </c>
      <c r="M13" s="35">
        <f>SUM(I13:L13)</f>
        <v/>
      </c>
      <c r="N13" s="20">
        <f>IFERROR(N9+N11+N12,"")</f>
        <v/>
      </c>
      <c r="O13" s="20">
        <f>IFERROR(O9+O11+O12,"")</f>
        <v/>
      </c>
      <c r="P13" s="20">
        <f>IFERROR(P9+P11+P12,"")</f>
        <v/>
      </c>
      <c r="Q13" s="20">
        <f>IFERROR(Q9+Q11+Q12,"")</f>
        <v/>
      </c>
      <c r="R13" s="35">
        <f>SUM(N13:Q13)</f>
        <v/>
      </c>
      <c r="S13" s="20">
        <f>IFERROR(S9+S11+S12,"")</f>
        <v/>
      </c>
      <c r="T13" s="20">
        <f>IFERROR(T9+T11+T12,"")</f>
        <v/>
      </c>
      <c r="U13" s="20">
        <f>IFERROR(U9+U11+U12,"")</f>
        <v/>
      </c>
      <c r="V13" s="20">
        <f>IFERROR(V9+V11+V12,"")</f>
        <v/>
      </c>
      <c r="W13" s="35">
        <f>SUM(S13:V13)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18" t="n"/>
      <c r="G14" s="18">
        <f>IFERROR(VLOOKUP($D14,BS별도,MATCH(G$1,BS별도H,0),0)/100,"")</f>
        <v/>
      </c>
      <c r="H14" s="34" t="n"/>
      <c r="I14" s="18" t="n"/>
      <c r="J14" s="19">
        <f>IFERROR(VLOOKUP($D14,BS별도,MATCH(J$1,BS별도H,0),0)/100,"")</f>
        <v/>
      </c>
      <c r="K14" s="20">
        <f>IFERROR(K13*변수!K27,"")</f>
        <v/>
      </c>
      <c r="L14" s="20">
        <f>IFERROR(L13*변수!L27,"")</f>
        <v/>
      </c>
      <c r="M14" s="35">
        <f>SUM(I14:L14)</f>
        <v/>
      </c>
      <c r="N14" s="20">
        <f>IFERROR(N13*변수!N27,"")</f>
        <v/>
      </c>
      <c r="O14" s="20">
        <f>IFERROR(O13*변수!O27,"")</f>
        <v/>
      </c>
      <c r="P14" s="20">
        <f>IFERROR(P13*변수!P27,"")</f>
        <v/>
      </c>
      <c r="Q14" s="20">
        <f>IFERROR(Q13*변수!Q27,"")</f>
        <v/>
      </c>
      <c r="R14" s="35">
        <f>SUM(N14:Q14)</f>
        <v/>
      </c>
      <c r="S14" s="20">
        <f>IFERROR(S13*변수!S27,"")</f>
        <v/>
      </c>
      <c r="T14" s="20">
        <f>IFERROR(T13*변수!T27,"")</f>
        <v/>
      </c>
      <c r="U14" s="20">
        <f>IFERROR(U13*변수!U27,"")</f>
        <v/>
      </c>
      <c r="V14" s="20">
        <f>IFERROR(V13*변수!V27,"")</f>
        <v/>
      </c>
      <c r="W14" s="35">
        <f>SUM(S14:V14)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4" t="n"/>
      <c r="I15" s="18">
        <f>IFERROR(VLOOKUP($D15,BS별도,MATCH(I$1,BS별도H,0),0)/100,"")</f>
        <v/>
      </c>
      <c r="J15" s="19">
        <f>IFERROR(VLOOKUP($D15,BS별도,MATCH(J$1,BS별도H,0),0)/100,"")</f>
        <v/>
      </c>
      <c r="K15" s="20">
        <f>IFERROR(K13-K14,"")</f>
        <v/>
      </c>
      <c r="L15" s="20">
        <f>IFERROR(L13-L14,"")</f>
        <v/>
      </c>
      <c r="M15" s="35">
        <f>SUM(I15:L15)</f>
        <v/>
      </c>
      <c r="N15" s="20">
        <f>IFERROR(N13-N14,"")</f>
        <v/>
      </c>
      <c r="O15" s="20">
        <f>IFERROR(O13-O14,"")</f>
        <v/>
      </c>
      <c r="P15" s="20">
        <f>IFERROR(P13-P14,"")</f>
        <v/>
      </c>
      <c r="Q15" s="20">
        <f>IFERROR(Q13-Q14,"")</f>
        <v/>
      </c>
      <c r="R15" s="35">
        <f>SUM(N15:Q15)</f>
        <v/>
      </c>
      <c r="S15" s="20">
        <f>IFERROR(S13-S14,"")</f>
        <v/>
      </c>
      <c r="T15" s="20">
        <f>IFERROR(T13-T14,"")</f>
        <v/>
      </c>
      <c r="U15" s="20">
        <f>IFERROR(U13-U14,"")</f>
        <v/>
      </c>
      <c r="V15" s="20">
        <f>IFERROR(V13-V14,"")</f>
        <v/>
      </c>
      <c r="W15" s="35">
        <f>SUM(S15:V15)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IFERROR(K15*변수!K28,"")</f>
        <v/>
      </c>
      <c r="L16" s="20">
        <f>IFERROR(L15*변수!L28,"")</f>
        <v/>
      </c>
      <c r="M16" s="35">
        <f>SUM(I16:L16)</f>
        <v/>
      </c>
      <c r="N16" s="20">
        <f>IFERROR(N15*변수!N28,"")</f>
        <v/>
      </c>
      <c r="O16" s="20">
        <f>IFERROR(O15*변수!O28,"")</f>
        <v/>
      </c>
      <c r="P16" s="20">
        <f>IFERROR(P15*변수!P28,"")</f>
        <v/>
      </c>
      <c r="Q16" s="20">
        <f>IFERROR(Q15*변수!Q28,"")</f>
        <v/>
      </c>
      <c r="R16" s="35">
        <f>SUM(N16:Q16)</f>
        <v/>
      </c>
      <c r="S16" s="20">
        <f>IFERROR(S15*변수!S28,"")</f>
        <v/>
      </c>
      <c r="T16" s="20">
        <f>IFERROR(T15*변수!T28,"")</f>
        <v/>
      </c>
      <c r="U16" s="20">
        <f>IFERROR(U15*변수!U28,"")</f>
        <v/>
      </c>
      <c r="V16" s="20">
        <f>IFERROR(V15*변수!V28,"")</f>
        <v/>
      </c>
      <c r="W16" s="35">
        <f>SUM(S16:V16)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>
        <v>648.01</v>
      </c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IFERROR(K18+K19,"")</f>
        <v/>
      </c>
      <c r="L17" s="20">
        <f>IFERROR(L18+L19,"")</f>
        <v/>
      </c>
      <c r="M17" s="35">
        <f>L17</f>
        <v/>
      </c>
      <c r="N17" s="20">
        <f>IFERROR(N18+N19,"")</f>
        <v/>
      </c>
      <c r="O17" s="20">
        <f>IFERROR(O18+O19,"")</f>
        <v/>
      </c>
      <c r="P17" s="20">
        <f>IFERROR(P18+P19,"")</f>
        <v/>
      </c>
      <c r="Q17" s="20">
        <f>IFERROR(Q18+Q19,"")</f>
        <v/>
      </c>
      <c r="R17" s="35">
        <f>Q17</f>
        <v/>
      </c>
      <c r="S17" s="20">
        <f>IFERROR(S18+S19,"")</f>
        <v/>
      </c>
      <c r="T17" s="20">
        <f>IFERROR(T18+T19,"")</f>
        <v/>
      </c>
      <c r="U17" s="20">
        <f>IFERROR(U18+U19,"")</f>
        <v/>
      </c>
      <c r="V17" s="20">
        <f>IFERROR(V18+V19,"")</f>
        <v/>
      </c>
      <c r="W17" s="35">
        <f>V17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4" t="n">
        <v>165.67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IFERROR(J18*(1+변수!K29),"")</f>
        <v/>
      </c>
      <c r="L18" s="20">
        <f>IFERROR(K18*(1+변수!L29),"")</f>
        <v/>
      </c>
      <c r="M18" s="35">
        <f>L18</f>
        <v/>
      </c>
      <c r="N18" s="20">
        <f>IFERROR(L18*(1+변수!N29),"")</f>
        <v/>
      </c>
      <c r="O18" s="20">
        <f>IFERROR(N18*(1+변수!O29),"")</f>
        <v/>
      </c>
      <c r="P18" s="20">
        <f>IFERROR(O18*(1+변수!P29),"")</f>
        <v/>
      </c>
      <c r="Q18" s="20">
        <f>IFERROR(P18*(1+변수!Q29),"")</f>
        <v/>
      </c>
      <c r="R18" s="35">
        <f>Q18</f>
        <v/>
      </c>
      <c r="S18" s="20">
        <f>IFERROR(Q18*(1+변수!S29),"")</f>
        <v/>
      </c>
      <c r="T18" s="20">
        <f>IFERROR(S18*(1+변수!T29),"")</f>
        <v/>
      </c>
      <c r="U18" s="20">
        <f>IFERROR(T18*(1+변수!U29),"")</f>
        <v/>
      </c>
      <c r="V18" s="20">
        <f>IFERROR(U18*(1+변수!V29),"")</f>
        <v/>
      </c>
      <c r="W18" s="35">
        <f>V18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4" t="n">
        <v>482.35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IFERROR(J19+K15-변수!K30,"")</f>
        <v/>
      </c>
      <c r="L19" s="20">
        <f>IFERROR(K19+L15-변수!L30,"")</f>
        <v/>
      </c>
      <c r="M19" s="35">
        <f>L19</f>
        <v/>
      </c>
      <c r="N19" s="20">
        <f>IFERROR(L19+N15-변수!N30,"")</f>
        <v/>
      </c>
      <c r="O19" s="20">
        <f>IFERROR(N19+O15-변수!O30,"")</f>
        <v/>
      </c>
      <c r="P19" s="20">
        <f>IFERROR(O19+P15-변수!P30,"")</f>
        <v/>
      </c>
      <c r="Q19" s="20">
        <f>IFERROR(P19+Q15-변수!Q30,"")</f>
        <v/>
      </c>
      <c r="R19" s="35">
        <f>Q19</f>
        <v/>
      </c>
      <c r="S19" s="20">
        <f>IFERROR(Q19+S15-변수!S30,"")</f>
        <v/>
      </c>
      <c r="T19" s="20">
        <f>IFERROR(S19+T15-변수!T30,"")</f>
        <v/>
      </c>
      <c r="U19" s="20">
        <f>IFERROR(T19+U15-변수!U30,"")</f>
        <v/>
      </c>
      <c r="V19" s="20">
        <f>IFERROR(U19+V15-변수!V30,"")</f>
        <v/>
      </c>
      <c r="W19" s="35">
        <f>V19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IFERROR(J20+K16-변수!K31,"")</f>
        <v/>
      </c>
      <c r="L20" s="20">
        <f>IFERROR(K20+L16-변수!L31,"")</f>
        <v/>
      </c>
      <c r="M20" s="35">
        <f>L20</f>
        <v/>
      </c>
      <c r="N20" s="20">
        <f>IFERROR(L20+N16-변수!N31,"")</f>
        <v/>
      </c>
      <c r="O20" s="20">
        <f>IFERROR(N20+O16-변수!O31,"")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80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IFERROR(J21*(1+변수!K32),"")</f>
        <v/>
      </c>
      <c r="L21" s="20">
        <f>IFERROR(K21*(1+변수!L32),"")</f>
        <v/>
      </c>
      <c r="M21" s="35">
        <f>L21</f>
        <v/>
      </c>
      <c r="N21" s="20">
        <f>IFERROR(L21*(1+변수!N32),"")</f>
        <v/>
      </c>
      <c r="O21" s="20">
        <f>IFERROR(N21*(1+변수!O32),"")</f>
        <v/>
      </c>
      <c r="P21" s="20">
        <f>IFERROR(O21*(1+변수!P32),"")</f>
        <v/>
      </c>
      <c r="Q21" s="20">
        <f>IFERROR(P21*(1+변수!Q32),"")</f>
        <v/>
      </c>
      <c r="R21" s="35">
        <f>Q21</f>
        <v/>
      </c>
      <c r="S21" s="20">
        <f>IFERROR(Q21*(1+변수!S32),"")</f>
        <v/>
      </c>
      <c r="T21" s="20">
        <f>IFERROR(S21*(1+변수!T32),"")</f>
        <v/>
      </c>
      <c r="U21" s="20">
        <f>IFERROR(T21*(1+변수!U32),"")</f>
        <v/>
      </c>
      <c r="V21" s="20">
        <f>IFERROR(U21*(1+변수!V32),"")</f>
        <v/>
      </c>
      <c r="W21" s="35">
        <f>V21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-17.02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IFERROR(J22*(1+변수!K33),"")</f>
        <v/>
      </c>
      <c r="L22" s="20">
        <f>IFERROR(K22*(1+변수!L33),"")</f>
        <v/>
      </c>
      <c r="M22" s="35">
        <f>L22</f>
        <v/>
      </c>
      <c r="N22" s="20">
        <f>IFERROR(L22*(1+변수!N33),"")</f>
        <v/>
      </c>
      <c r="O22" s="20">
        <f>IFERROR(N22*(1+변수!O33),"")</f>
        <v/>
      </c>
      <c r="P22" s="20">
        <f>IFERROR(O22*(1+변수!P33),"")</f>
        <v/>
      </c>
      <c r="Q22" s="20">
        <f>IFERROR(P22*(1+변수!Q33),"")</f>
        <v/>
      </c>
      <c r="R22" s="35">
        <f>Q22</f>
        <v/>
      </c>
      <c r="S22" s="20">
        <f>IFERROR(Q22*(1+변수!S33),"")</f>
        <v/>
      </c>
      <c r="T22" s="20">
        <f>IFERROR(S22*(1+변수!T33),"")</f>
        <v/>
      </c>
      <c r="U22" s="20">
        <f>IFERROR(T22*(1+변수!U33),"")</f>
        <v/>
      </c>
      <c r="V22" s="20">
        <f>IFERROR(U22*(1+변수!V33),"")</f>
        <v/>
      </c>
      <c r="W22" s="35">
        <f>V22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128.74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IFERROR(J23*(1+변수!K34),"")</f>
        <v/>
      </c>
      <c r="L23" s="20">
        <f>IFERROR(K23*(1+변수!L34),"")</f>
        <v/>
      </c>
      <c r="M23" s="35">
        <f>L23</f>
        <v/>
      </c>
      <c r="N23" s="20">
        <f>IFERROR(L23*(1+변수!N34),"")</f>
        <v/>
      </c>
      <c r="O23" s="20">
        <f>IFERROR(N23*(1+변수!O34),"")</f>
        <v/>
      </c>
      <c r="P23" s="20">
        <f>IFERROR(O23*(1+변수!P34),"")</f>
        <v/>
      </c>
      <c r="Q23" s="20">
        <f>IFERROR(P23*(1+변수!Q34),"")</f>
        <v/>
      </c>
      <c r="R23" s="35">
        <f>Q23</f>
        <v/>
      </c>
      <c r="S23" s="20">
        <f>IFERROR(Q23*(1+변수!S34),"")</f>
        <v/>
      </c>
      <c r="T23" s="20">
        <f>IFERROR(S23*(1+변수!T34),"")</f>
        <v/>
      </c>
      <c r="U23" s="20">
        <f>IFERROR(T23*(1+변수!U34),"")</f>
        <v/>
      </c>
      <c r="V23" s="20">
        <f>IFERROR(U23*(1+변수!V34),"")</f>
        <v/>
      </c>
      <c r="W23" s="35">
        <f>V23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44.28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 t="n"/>
      <c r="L24" s="20" t="n"/>
      <c r="M24" s="35">
        <f>L24</f>
        <v/>
      </c>
      <c r="N24" s="20" t="n"/>
      <c r="O24" s="20" t="n"/>
      <c r="P24" s="20" t="n"/>
      <c r="Q24" s="20" t="n"/>
      <c r="R24" s="35">
        <f>Q24</f>
        <v/>
      </c>
      <c r="S24" s="20" t="n"/>
      <c r="T24" s="20" t="n"/>
      <c r="U24" s="20" t="n"/>
      <c r="V24" s="20" t="n"/>
      <c r="W24" s="35">
        <f>V24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/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5">
        <f>SUM(I25:L25)</f>
        <v/>
      </c>
      <c r="N25" s="20" t="n"/>
      <c r="O25" s="20" t="n"/>
      <c r="P25" s="20" t="n"/>
      <c r="Q25" s="20" t="n"/>
      <c r="R25" s="35">
        <f>SUM(N25:Q25)</f>
        <v/>
      </c>
      <c r="S25" s="20" t="n"/>
      <c r="T25" s="20" t="n"/>
      <c r="U25" s="20" t="n"/>
      <c r="V25" s="20" t="n"/>
      <c r="W25" s="35">
        <f>SUM(S25:V25)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-44.44</v>
      </c>
      <c r="F26" s="18" t="n">
        <v>103.54</v>
      </c>
      <c r="G26" s="18" t="n">
        <v>-85.56</v>
      </c>
      <c r="H26" s="34" t="n"/>
      <c r="I26" s="18" t="n">
        <v>67.47</v>
      </c>
      <c r="J26" s="19" t="n">
        <v>-23.48</v>
      </c>
      <c r="K26" s="20" t="n"/>
      <c r="L26" s="20" t="n"/>
      <c r="M26" s="35">
        <f>SUM(I26:L26)</f>
        <v/>
      </c>
      <c r="N26" s="20" t="n"/>
      <c r="O26" s="20" t="n"/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8.241</v>
      </c>
      <c r="F27" s="26" t="n">
        <v>8.241</v>
      </c>
      <c r="G27" s="26" t="n">
        <v>8.241</v>
      </c>
      <c r="H27" s="27">
        <f>G27</f>
        <v/>
      </c>
      <c r="I27" s="26" t="n">
        <v>8.241</v>
      </c>
      <c r="J27" s="28" t="n">
        <v>8.241</v>
      </c>
      <c r="K27" s="36">
        <f>IFERROR(J27*(1+변수!K38),"")</f>
        <v/>
      </c>
      <c r="L27" s="36">
        <f>IFERROR(K27*(1+변수!L38),"")</f>
        <v/>
      </c>
      <c r="M27" s="30">
        <f>L27</f>
        <v/>
      </c>
      <c r="N27" s="36">
        <f>IFERROR(L27*(1+변수!N38),"")</f>
        <v/>
      </c>
      <c r="O27" s="36">
        <f>IFERROR(N27*(1+변수!O38),"")</f>
        <v/>
      </c>
      <c r="P27" s="36">
        <f>IFERROR(O27*(1+변수!P38),"")</f>
        <v/>
      </c>
      <c r="Q27" s="36">
        <f>IFERROR(P27*(1+변수!Q38),"")</f>
        <v/>
      </c>
      <c r="R27" s="30">
        <f>Q27</f>
        <v/>
      </c>
      <c r="S27" s="36">
        <f>IFERROR(Q27*(1+변수!S38),"")</f>
        <v/>
      </c>
      <c r="T27" s="36">
        <f>IFERROR(S27*(1+변수!T38),"")</f>
        <v/>
      </c>
      <c r="U27" s="36">
        <f>IFERROR(T27*(1+변수!U38),"")</f>
        <v/>
      </c>
      <c r="V27" s="36">
        <f>IFERROR(U27*(1+변수!V38),"")</f>
        <v/>
      </c>
      <c r="W27" s="30">
        <f>V27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18">
        <f>IFERROR(F16*100/F27,"")</f>
        <v/>
      </c>
      <c r="G28" s="18">
        <f>IFERROR(G16*100/G27,"")</f>
        <v/>
      </c>
      <c r="H28" s="34" t="n"/>
      <c r="I28" s="18">
        <f>IFERROR(I16*100/I27,"")</f>
        <v/>
      </c>
      <c r="J28" s="19">
        <f>IFERROR(J16*100/J27,"")</f>
        <v/>
      </c>
      <c r="K28" s="20">
        <f>IFERROR(K16*100/K27,"")</f>
        <v/>
      </c>
      <c r="L28" s="20">
        <f>IFERROR(L16*100/L27,"")</f>
        <v/>
      </c>
      <c r="M28" s="35">
        <f>SUM(I28:L28)</f>
        <v/>
      </c>
      <c r="N28" s="20">
        <f>IFERROR(N16*100/N27,"")</f>
        <v/>
      </c>
      <c r="O28" s="20">
        <f>IFERROR(O16*100/O27,"")</f>
        <v/>
      </c>
      <c r="P28" s="20">
        <f>IFERROR(P16*100/P27,"")</f>
        <v/>
      </c>
      <c r="Q28" s="20">
        <f>IFERROR(Q16*100/Q27,"")</f>
        <v/>
      </c>
      <c r="R28" s="35">
        <f>SUM(N28:Q28)</f>
        <v/>
      </c>
      <c r="S28" s="20">
        <f>IFERROR(S16*100/S27,"")</f>
        <v/>
      </c>
      <c r="T28" s="20">
        <f>IFERROR(T16*100/T27,"")</f>
        <v/>
      </c>
      <c r="U28" s="20">
        <f>IFERROR(U16*100/U27,"")</f>
        <v/>
      </c>
      <c r="V28" s="20">
        <f>IFERROR(V16*100/V27,"")</f>
        <v/>
      </c>
      <c r="W28" s="35">
        <f>SUM(S28:V28)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18">
        <f>IFERROR(F20*100/F27,"")</f>
        <v/>
      </c>
      <c r="G29" s="18">
        <f>IFERROR(G20*100/G27,"")</f>
        <v/>
      </c>
      <c r="H29" s="34">
        <f>G29</f>
        <v/>
      </c>
      <c r="I29" s="18">
        <f>IFERROR(I20*100/I27,"")</f>
        <v/>
      </c>
      <c r="J29" s="19">
        <f>IFERROR(J20*100/J27,"")</f>
        <v/>
      </c>
      <c r="K29" s="20">
        <f>IFERROR(K20*100/K27,"")</f>
        <v/>
      </c>
      <c r="L29" s="20">
        <f>IFERROR(L20*100/L27,"")</f>
        <v/>
      </c>
      <c r="M29" s="35">
        <f>L29</f>
        <v/>
      </c>
      <c r="N29" s="20">
        <f>IFERROR(N20*100/N27,"")</f>
        <v/>
      </c>
      <c r="O29" s="20">
        <f>IFERROR(O20*100/O27,"")</f>
        <v/>
      </c>
      <c r="P29" s="20">
        <f>IFERROR(P20*100/P27,"")</f>
        <v/>
      </c>
      <c r="Q29" s="20">
        <f>IFERROR(Q20*100/Q27,"")</f>
        <v/>
      </c>
      <c r="R29" s="35">
        <f>Q29</f>
        <v/>
      </c>
      <c r="S29" s="20">
        <f>IFERROR(S20*100/S27,"")</f>
        <v/>
      </c>
      <c r="T29" s="20">
        <f>IFERROR(T20*100/T27,"")</f>
        <v/>
      </c>
      <c r="U29" s="20">
        <f>IFERROR(U20*100/U27,"")</f>
        <v/>
      </c>
      <c r="V29" s="20">
        <f>IFERROR(V20*100/V27,"")</f>
        <v/>
      </c>
      <c r="W29" s="35">
        <f>V29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/>
      <c r="F30" s="18" t="n"/>
      <c r="G30" s="18" t="n">
        <v>0</v>
      </c>
      <c r="H30" s="34" t="n">
        <v>0</v>
      </c>
      <c r="I30" s="18" t="n"/>
      <c r="J30" s="19" t="n"/>
      <c r="K30" s="20" t="n"/>
      <c r="L30" s="20" t="n">
        <v>0</v>
      </c>
      <c r="M30" s="35">
        <f>SUM(I30:L30)</f>
        <v/>
      </c>
      <c r="N30" s="20" t="n"/>
      <c r="O30" s="20" t="n"/>
      <c r="P30" s="20" t="n"/>
      <c r="Q30" s="20" t="n">
        <v>0</v>
      </c>
      <c r="R30" s="35">
        <f>SUM(N30:Q30)</f>
        <v/>
      </c>
      <c r="S30" s="20" t="n"/>
      <c r="T30" s="20" t="n"/>
      <c r="U30" s="20" t="n"/>
      <c r="V30" s="20" t="n">
        <v>0</v>
      </c>
      <c r="W30" s="35">
        <f>SUM(S30:V30)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18" t="n"/>
      <c r="G31" s="18" t="n"/>
      <c r="H31" s="34" t="n"/>
      <c r="I31" s="18" t="n"/>
      <c r="J31" s="19" t="n">
        <v>173.69</v>
      </c>
      <c r="K31" s="20" t="n">
        <v>113.96</v>
      </c>
      <c r="L31" s="20" t="n"/>
      <c r="M31" s="35">
        <f>SUM(I31:L31)</f>
        <v/>
      </c>
      <c r="N31" s="20" t="n"/>
      <c r="O31" s="20" t="n"/>
      <c r="P31" s="20" t="n"/>
      <c r="Q31" s="20" t="n"/>
      <c r="R31" s="35">
        <f>SUM(N31:Q31)</f>
        <v/>
      </c>
      <c r="S31" s="20" t="n"/>
      <c r="T31" s="20" t="n"/>
      <c r="U31" s="20" t="n"/>
      <c r="V31" s="20" t="n"/>
      <c r="W31" s="35">
        <f>SUM(S31:V31)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5.02</v>
      </c>
      <c r="F32" s="18" t="n">
        <v>4.31</v>
      </c>
      <c r="G32" s="18" t="n">
        <v>3.55</v>
      </c>
      <c r="H32" s="34" t="n">
        <v>3.14</v>
      </c>
      <c r="I32" s="18" t="n">
        <v>3.15</v>
      </c>
      <c r="J32" s="19" t="n">
        <v>2.53</v>
      </c>
      <c r="K32" s="20">
        <f>IFERROR(F32*(1+변수!K41),"")</f>
        <v/>
      </c>
      <c r="L32" s="20">
        <f>IFERROR(G32*(1+변수!L41),"")</f>
        <v/>
      </c>
      <c r="M32" s="35">
        <f>SUM(I32:L32)</f>
        <v/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68.89</v>
      </c>
      <c r="F33" s="18" t="n">
        <v>42.66</v>
      </c>
      <c r="G33" s="18" t="n">
        <v>116.45</v>
      </c>
      <c r="H33" s="34" t="n"/>
      <c r="I33" s="18" t="n">
        <v>39.88</v>
      </c>
      <c r="J33" s="19" t="n">
        <v>99.52</v>
      </c>
      <c r="K33" s="20">
        <f>IFERROR(K5*변수!K42,"")</f>
        <v/>
      </c>
      <c r="L33" s="20">
        <f>IFERROR(L5*변수!L42,"")</f>
        <v/>
      </c>
      <c r="M33" s="35">
        <f>SUM(I33:L33)</f>
        <v/>
      </c>
      <c r="N33" s="20">
        <f>IFERROR(N5*변수!N42,"")</f>
        <v/>
      </c>
      <c r="O33" s="20">
        <f>IFERROR(O5*변수!O42,"")</f>
        <v/>
      </c>
      <c r="P33" s="20">
        <f>IFERROR(P5*변수!P42,"")</f>
        <v/>
      </c>
      <c r="Q33" s="20">
        <f>IFERROR(Q5*변수!Q42,"")</f>
        <v/>
      </c>
      <c r="R33" s="35">
        <f>SUM(N33:Q33)</f>
        <v/>
      </c>
      <c r="S33" s="20">
        <f>IFERROR(S5*변수!S42,"")</f>
        <v/>
      </c>
      <c r="T33" s="20">
        <f>IFERROR(T5*변수!T42,"")</f>
        <v/>
      </c>
      <c r="U33" s="20">
        <f>IFERROR(U5*변수!U42,"")</f>
        <v/>
      </c>
      <c r="V33" s="20">
        <f>IFERROR(V5*변수!V42,"")</f>
        <v/>
      </c>
      <c r="W33" s="35">
        <f>SUM(S33:V33)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-20.83</v>
      </c>
      <c r="F34" s="18" t="n">
        <v>-10.14</v>
      </c>
      <c r="G34" s="18" t="n">
        <v>9.48</v>
      </c>
      <c r="H34" s="34" t="n"/>
      <c r="I34" s="18" t="n">
        <v>-20.14</v>
      </c>
      <c r="J34" s="19" t="n">
        <v>5.43</v>
      </c>
      <c r="K34" s="20">
        <f>IFERROR(K33*변수!K43,"")</f>
        <v/>
      </c>
      <c r="L34" s="20">
        <f>IFERROR(L33*변수!L43,"")</f>
        <v/>
      </c>
      <c r="M34" s="35">
        <f>SUM(I34:L34)</f>
        <v/>
      </c>
      <c r="N34" s="20">
        <f>IFERROR(N33*변수!N43,"")</f>
        <v/>
      </c>
      <c r="O34" s="20">
        <f>IFERROR(O33*변수!O43,"")</f>
        <v/>
      </c>
      <c r="P34" s="20">
        <f>IFERROR(P33*변수!P43,"")</f>
        <v/>
      </c>
      <c r="Q34" s="20">
        <f>IFERROR(Q33*변수!Q43,"")</f>
        <v/>
      </c>
      <c r="R34" s="35">
        <f>SUM(N34:Q34)</f>
        <v/>
      </c>
      <c r="S34" s="20">
        <f>IFERROR(S33*변수!S43,"")</f>
        <v/>
      </c>
      <c r="T34" s="20">
        <f>IFERROR(T33*변수!T43,"")</f>
        <v/>
      </c>
      <c r="U34" s="20">
        <f>IFERROR(U33*변수!U43,"")</f>
        <v/>
      </c>
      <c r="V34" s="20">
        <f>IFERROR(V33*변수!V43,"")</f>
        <v/>
      </c>
      <c r="W34" s="35">
        <f>SUM(S34:V34)</f>
        <v/>
      </c>
    </row>
    <row r="35">
      <c r="B35" s="2" t="inlineStr">
        <is>
          <t>비율(참고)</t>
        </is>
      </c>
      <c r="H35" s="9" t="n"/>
      <c r="J35" s="5" t="n"/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1">
        <f>IFERROR(F9/F5,"")</f>
        <v/>
      </c>
      <c r="G36" s="21">
        <f>IFERROR(G9/G5,"")</f>
        <v/>
      </c>
      <c r="H36" s="22">
        <f>IFERROR(H9/H5,"")</f>
        <v/>
      </c>
      <c r="I36" s="21">
        <f>IFERROR(I9/I5,"")</f>
        <v/>
      </c>
      <c r="J36" s="23">
        <f>IFERROR(J9/J5,"")</f>
        <v/>
      </c>
      <c r="K36" s="31">
        <f>IFERROR(K9/K5,"")</f>
        <v/>
      </c>
      <c r="L36" s="31">
        <f>IFERROR(L9/L5,"")</f>
        <v/>
      </c>
      <c r="M36" s="25">
        <f>IFERROR(M9/M5,"")</f>
        <v/>
      </c>
      <c r="N36" s="31">
        <f>IFERROR(N9/N5,"")</f>
        <v/>
      </c>
      <c r="O36" s="31">
        <f>IFERROR(O9/O5,"")</f>
        <v/>
      </c>
      <c r="P36" s="31">
        <f>IFERROR(P9/P5,"")</f>
        <v/>
      </c>
      <c r="Q36" s="31">
        <f>IFERROR(Q9/Q5,"")</f>
        <v/>
      </c>
      <c r="R36" s="25">
        <f>IFERROR(R9/R5,"")</f>
        <v/>
      </c>
      <c r="S36" s="31">
        <f>IFERROR(S9/S5,"")</f>
        <v/>
      </c>
      <c r="T36" s="31">
        <f>IFERROR(T9/T5,"")</f>
        <v/>
      </c>
      <c r="U36" s="31">
        <f>IFERROR(U9/U5,"")</f>
        <v/>
      </c>
      <c r="V36" s="31">
        <f>IFERROR(V9/V5,"")</f>
        <v/>
      </c>
      <c r="W36" s="25">
        <f>IFERROR(W9/W5,"")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1">
        <f>IFERROR(F16/F5,"")</f>
        <v/>
      </c>
      <c r="G37" s="21">
        <f>IFERROR(G16/G5,"")</f>
        <v/>
      </c>
      <c r="H37" s="22">
        <f>IFERROR(H16/H5,"")</f>
        <v/>
      </c>
      <c r="I37" s="21">
        <f>IFERROR(I16/I5,"")</f>
        <v/>
      </c>
      <c r="J37" s="23">
        <f>IFERROR(J16/J5,"")</f>
        <v/>
      </c>
      <c r="K37" s="31">
        <f>IFERROR(K16/K5,"")</f>
        <v/>
      </c>
      <c r="L37" s="31">
        <f>IFERROR(L16/L5,"")</f>
        <v/>
      </c>
      <c r="M37" s="25">
        <f>IFERROR(M16/M5,"")</f>
        <v/>
      </c>
      <c r="N37" s="31">
        <f>IFERROR(N16/N5,"")</f>
        <v/>
      </c>
      <c r="O37" s="31">
        <f>IFERROR(O16/O5,"")</f>
        <v/>
      </c>
      <c r="P37" s="31">
        <f>IFERROR(P16/P5,"")</f>
        <v/>
      </c>
      <c r="Q37" s="31">
        <f>IFERROR(Q16/Q5,"")</f>
        <v/>
      </c>
      <c r="R37" s="25">
        <f>IFERROR(R16/R5,"")</f>
        <v/>
      </c>
      <c r="S37" s="31">
        <f>IFERROR(S16/S5,"")</f>
        <v/>
      </c>
      <c r="T37" s="31">
        <f>IFERROR(T16/T5,"")</f>
        <v/>
      </c>
      <c r="U37" s="31">
        <f>IFERROR(U16/U5,"")</f>
        <v/>
      </c>
      <c r="V37" s="31">
        <f>IFERROR(V16/V5,"")</f>
        <v/>
      </c>
      <c r="W37" s="25">
        <f>IFERROR(W16/W5,"")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1">
        <f>IFERROR(K6/K5,"")</f>
        <v/>
      </c>
      <c r="L38" s="31">
        <f>IFERROR(L6/L5,"")</f>
        <v/>
      </c>
      <c r="M38" s="25">
        <f>IFERROR(M6/M5,"")</f>
        <v/>
      </c>
      <c r="N38" s="31">
        <f>IFERROR(N6/N5,"")</f>
        <v/>
      </c>
      <c r="O38" s="31">
        <f>IFERROR(O6/O5,"")</f>
        <v/>
      </c>
      <c r="P38" s="31">
        <f>IFERROR(P6/P5,"")</f>
        <v/>
      </c>
      <c r="Q38" s="31">
        <f>IFERROR(Q6/Q5,"")</f>
        <v/>
      </c>
      <c r="R38" s="25">
        <f>IFERROR(R6/R5,"")</f>
        <v/>
      </c>
      <c r="S38" s="31">
        <f>IFERROR(S6/S5,"")</f>
        <v/>
      </c>
      <c r="T38" s="31">
        <f>IFERROR(T6/T5,"")</f>
        <v/>
      </c>
      <c r="U38" s="31">
        <f>IFERROR(U6/U5,"")</f>
        <v/>
      </c>
      <c r="V38" s="31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1">
        <f>IFERROR(K8/K5,"")</f>
        <v/>
      </c>
      <c r="L39" s="31">
        <f>IFERROR(L8/L5,"")</f>
        <v/>
      </c>
      <c r="M39" s="25">
        <f>IFERROR(M8/M5,"")</f>
        <v/>
      </c>
      <c r="N39" s="31">
        <f>IFERROR(N8/N5,"")</f>
        <v/>
      </c>
      <c r="O39" s="31">
        <f>IFERROR(O8/O5,"")</f>
        <v/>
      </c>
      <c r="P39" s="31">
        <f>IFERROR(P8/P5,"")</f>
        <v/>
      </c>
      <c r="Q39" s="31">
        <f>IFERROR(Q8/Q5,"")</f>
        <v/>
      </c>
      <c r="R39" s="25">
        <f>IFERROR(R8/R5,"")</f>
        <v/>
      </c>
      <c r="S39" s="31">
        <f>IFERROR(S8/S5,"")</f>
        <v/>
      </c>
      <c r="T39" s="31">
        <f>IFERROR(T8/T5,"")</f>
        <v/>
      </c>
      <c r="U39" s="31">
        <f>IFERROR(U8/U5,"")</f>
        <v/>
      </c>
      <c r="V39" s="31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7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0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  <c r="M27" s="36">
        <f>IFERROR(VLOOKUP($A27,subQ,MATCH(M$1,SUBQH,0),0),"")</f>
        <v/>
      </c>
      <c r="N27" s="36">
        <f>IFERROR(VLOOKUP($A27,subQ,MATCH(N$1,SUBQH,0),0),"")</f>
        <v/>
      </c>
      <c r="O27" s="36">
        <f>IFERROR(VLOOKUP($A27,subQ,MATCH(O$1,SUBQH,0),0),"")</f>
        <v/>
      </c>
      <c r="P27" s="36">
        <f>IFERROR(VLOOKUP($A27,subQ,MATCH(P$1,SUBQH,0),0),"")</f>
        <v/>
      </c>
      <c r="Q27" s="36">
        <f>IFERROR(VLOOKUP($A27,subQ,MATCH(Q$1,SUBQH,0),0),"")</f>
        <v/>
      </c>
      <c r="R27" s="36">
        <f>IFERROR(VLOOKUP($A27,subQ,MATCH(R$1,SUBQH,0),0),"")</f>
        <v/>
      </c>
      <c r="S27" s="36">
        <f>IFERROR(VLOOKUP($A27,subQ,MATCH(S$1,SUBQH,0),0),"")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  <c r="M35" s="31">
        <f>IFERROR(VLOOKUP($A35,subQ,MATCH(M$1,SUBQH,0),0),"")</f>
        <v/>
      </c>
      <c r="N35" s="31">
        <f>IFERROR(VLOOKUP($A35,subQ,MATCH(N$1,SUBQH,0),0),"")</f>
        <v/>
      </c>
      <c r="O35" s="31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2">
        <f>IFERROR(I5/E5-1,"")</f>
        <v/>
      </c>
      <c r="J37" s="31">
        <f>IFERROR(J5/F5-1,"")</f>
        <v/>
      </c>
      <c r="K37" s="31">
        <f>IFERROR(K5/G5-1,"")</f>
        <v/>
      </c>
      <c r="L37" s="31">
        <f>IFERROR(L5/H5-1,"")</f>
        <v/>
      </c>
      <c r="M37" s="31">
        <f>IFERROR(M5/I5-1,"")</f>
        <v/>
      </c>
      <c r="N37" s="31">
        <f>IFERROR(N5/J5-1,"")</f>
        <v/>
      </c>
      <c r="O37" s="31">
        <f>IFERROR(O5/K5-1,"")</f>
        <v/>
      </c>
      <c r="P37" s="31">
        <f>IFERROR(P5/L5-1,"")</f>
        <v/>
      </c>
      <c r="Q37" s="31">
        <f>IFERROR(Q5/M5-1,"")</f>
        <v/>
      </c>
      <c r="R37" s="31">
        <f>IFERROR(R5/N5-1,"")</f>
        <v/>
      </c>
      <c r="S37" s="31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2">
        <f>IFERROR(I9/E9-1,"")</f>
        <v/>
      </c>
      <c r="J38" s="31">
        <f>IFERROR(J9/F9-1,"")</f>
        <v/>
      </c>
      <c r="K38" s="31">
        <f>IFERROR(K9/G9-1,"")</f>
        <v/>
      </c>
      <c r="L38" s="31">
        <f>IFERROR(L9/H9-1,"")</f>
        <v/>
      </c>
      <c r="M38" s="31">
        <f>IFERROR(M9/I9-1,"")</f>
        <v/>
      </c>
      <c r="N38" s="31">
        <f>IFERROR(N9/J9-1,"")</f>
        <v/>
      </c>
      <c r="O38" s="31">
        <f>IFERROR(O9/K9-1,"")</f>
        <v/>
      </c>
      <c r="P38" s="31">
        <f>IFERROR(P9/L9-1,"")</f>
        <v/>
      </c>
      <c r="Q38" s="31">
        <f>IFERROR(Q9/M9-1,"")</f>
        <v/>
      </c>
      <c r="R38" s="31">
        <f>IFERROR(R9/N9-1,"")</f>
        <v/>
      </c>
      <c r="S38" s="31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2">
        <f>IFERROR(I16/E16-1,"")</f>
        <v/>
      </c>
      <c r="J39" s="31">
        <f>IFERROR(J16/F16-1,"")</f>
        <v/>
      </c>
      <c r="K39" s="31">
        <f>IFERROR(K16/G16-1,"")</f>
        <v/>
      </c>
      <c r="L39" s="31">
        <f>IFERROR(L16/H16-1,"")</f>
        <v/>
      </c>
      <c r="M39" s="31">
        <f>IFERROR(M16/I16-1,"")</f>
        <v/>
      </c>
      <c r="N39" s="31">
        <f>IFERROR(N16/J16-1,"")</f>
        <v/>
      </c>
      <c r="O39" s="31">
        <f>IFERROR(O16/K16-1,"")</f>
        <v/>
      </c>
      <c r="P39" s="31">
        <f>IFERROR(P16/L16-1,"")</f>
        <v/>
      </c>
      <c r="Q39" s="31">
        <f>IFERROR(Q16/M16-1,"")</f>
        <v/>
      </c>
      <c r="R39" s="31">
        <f>IFERROR(R16/N16-1,"")</f>
        <v/>
      </c>
      <c r="S39" s="31">
        <f>IFERROR(S16/O16-1,"")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43">
        <f>IFERROR(VLOOKUP($A27,subQ,MATCH(E$1,SUBQH,0),0),"")</f>
        <v/>
      </c>
      <c r="F27" s="36">
        <f>IFERROR(VLOOKUP($A27,subQ,MATCH(F$1,SUBQH,0),0),"")</f>
        <v/>
      </c>
      <c r="G27" s="36">
        <f>IFERROR(VLOOKUP($A27,subQ,MATCH(G$1,SUBQH,0),0),"")</f>
        <v/>
      </c>
      <c r="H27" s="36">
        <f>IFERROR(VLOOKUP($A27,subQ,MATCH(H$1,SUBQH,0),0),"")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41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42">
        <f>IFERROR(VLOOKUP($A35,subQ,MATCH(E$1,SUBQH,0),0),"")</f>
        <v/>
      </c>
      <c r="F35" s="31">
        <f>IFERROR(VLOOKUP($A35,subQ,MATCH(F$1,SUBQH,0),0),"")</f>
        <v/>
      </c>
      <c r="G35" s="31">
        <f>IFERROR(VLOOKUP($A35,subQ,MATCH(G$1,SUBQH,0),0),"")</f>
        <v/>
      </c>
      <c r="H35" s="31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2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38" t="n"/>
      <c r="F37" s="31">
        <f>IFERROR(F5/E5-1,"")</f>
        <v/>
      </c>
      <c r="G37" s="31">
        <f>IFERROR(G5/F5-1,"")</f>
        <v/>
      </c>
      <c r="H37" s="31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38" t="n"/>
      <c r="F38" s="31">
        <f>IFERROR(F9/E9-1,"")</f>
        <v/>
      </c>
      <c r="G38" s="31">
        <f>IFERROR(G9/F9-1,"")</f>
        <v/>
      </c>
      <c r="H38" s="31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38" t="n"/>
      <c r="F39" s="31">
        <f>IFERROR(F16/E16-1,"")</f>
        <v/>
      </c>
      <c r="G39" s="31">
        <f>IFERROR(G16/F16-1,"")</f>
        <v/>
      </c>
      <c r="H39" s="31">
        <f>IFERROR(H16/G16-1,"")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