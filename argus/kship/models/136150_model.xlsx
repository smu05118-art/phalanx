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3절 스칼라 '판관비율' 참조 — 숫자로 덮어쓰면 이 분기만 바뀐다
매출액 × 판관비율 22.81%(최근 4분기 중위)</t>
      </text>
    </comment>
    <comment ref="L22" authorId="0" shapeId="0">
      <text>
        <t>3절 스칼라 '판관비율' 참조 — 숫자로 덮어쓰면 이 분기만 바뀐다
매출액 × 판관비율 22.81%(최근 4분기 중위)</t>
      </text>
    </comment>
    <comment ref="N22" authorId="0" shapeId="0">
      <text>
        <t>3절 스칼라 '판관비율' 참조 — 숫자로 덮어쓰면 이 분기만 바뀐다
매출액 × 판관비율 22.81%(최근 4분기 중위)</t>
      </text>
    </comment>
    <comment ref="O22" authorId="0" shapeId="0">
      <text>
        <t>3절 스칼라 '판관비율' 참조 — 숫자로 덮어쓰면 이 분기만 바뀐다
매출액 × 판관비율 22.81%(최근 4분기 중위)</t>
      </text>
    </comment>
    <comment ref="P22" authorId="0" shapeId="0">
      <text>
        <t>3절 스칼라 '판관비율' 참조 — 숫자로 덮어쓰면 이 분기만 바뀐다
매출액 × 판관비율 22.81%(최근 4분기 중위)</t>
      </text>
    </comment>
    <comment ref="Q22" authorId="0" shapeId="0">
      <text>
        <t>3절 스칼라 '판관비율' 참조 — 숫자로 덮어쓰면 이 분기만 바뀐다
매출액 × 판관비율 22.81%(최근 4분기 중위)</t>
      </text>
    </comment>
    <comment ref="S22" authorId="0" shapeId="0">
      <text>
        <t>3절 스칼라 '판관비율' 참조 — 숫자로 덮어쓰면 이 분기만 바뀐다
매출액 × 판관비율 22.81%(최근 4분기 중위)</t>
      </text>
    </comment>
    <comment ref="T22" authorId="0" shapeId="0">
      <text>
        <t>3절 스칼라 '판관비율' 참조 — 숫자로 덮어쓰면 이 분기만 바뀐다
매출액 × 판관비율 22.81%(최근 4분기 중위)</t>
      </text>
    </comment>
    <comment ref="U22" authorId="0" shapeId="0">
      <text>
        <t>3절 스칼라 '판관비율' 참조 — 숫자로 덮어쓰면 이 분기만 바뀐다
매출액 × 판관비율 22.81%(최근 4분기 중위)</t>
      </text>
    </comment>
    <comment ref="V22" authorId="0" shapeId="0">
      <text>
        <t>3절 스칼라 '판관비율' 참조 — 숫자로 덮어쓰면 이 분기만 바뀐다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모델 v 그대로
일회성 미가정 → 0</t>
      </text>
    </comment>
    <comment ref="L24" authorId="0" shapeId="0">
      <text>
        <t>모델값 역산(implied): 모델 v 그대로
일회성 미가정 → 0</t>
      </text>
    </comment>
    <comment ref="N24" authorId="0" shapeId="0">
      <text>
        <t>모델값 역산(implied): 모델 v 그대로
일회성 미가정 → 0</t>
      </text>
    </comment>
    <comment ref="O24" authorId="0" shapeId="0">
      <text>
        <t>모델값 역산(implied): 모델 v 그대로
일회성 미가정 → 0</t>
      </text>
    </comment>
    <comment ref="P24" authorId="0" shapeId="0">
      <text>
        <t>모델값 역산(implied): 모델 v 그대로
일회성 미가정 → 0</t>
      </text>
    </comment>
    <comment ref="Q24" authorId="0" shapeId="0">
      <text>
        <t>모델값 역산(implied): 모델 v 그대로
일회성 미가정 → 0</t>
      </text>
    </comment>
    <comment ref="S24" authorId="0" shapeId="0">
      <text>
        <t>모델값 역산(implied): 모델 v 그대로
일회성 미가정 → 0</t>
      </text>
    </comment>
    <comment ref="T24" authorId="0" shapeId="0">
      <text>
        <t>모델값 역산(implied): 모델 v 그대로
일회성 미가정 → 0</t>
      </text>
    </comment>
    <comment ref="U24" authorId="0" shapeId="0">
      <text>
        <t>모델값 역산(implied): 모델 v 그대로
일회성 미가정 → 0</t>
      </text>
    </comment>
    <comment ref="V24" authorId="0" shapeId="0">
      <text>
        <t>모델값 역산(implied): 모델 v 그대로
일회성 미가정 → 0</t>
      </text>
    </comment>
    <comment ref="K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6" authorId="0" shapeId="0">
      <text>
        <t>3절 스칼라 '지배주주비중' 참조 — 숫자로 덮어쓰면 이 분기만 바뀐다
당기순이익 × (1 − 비지배 비중 0.0%, 최근 8분기 실측)</t>
      </text>
    </comment>
    <comment ref="L26" authorId="0" shapeId="0">
      <text>
        <t>3절 스칼라 '지배주주비중' 참조 — 숫자로 덮어쓰면 이 분기만 바뀐다
당기순이익 × (1 − 비지배 비중 0.0%, 최근 8분기 실측)</t>
      </text>
    </comment>
    <comment ref="N26" authorId="0" shapeId="0">
      <text>
        <t>3절 스칼라 '지배주주비중' 참조 — 숫자로 덮어쓰면 이 분기만 바뀐다
당기순이익 × (1 − 비지배 비중 0.0%, 최근 8분기 실측)</t>
      </text>
    </comment>
    <comment ref="O26" authorId="0" shapeId="0">
      <text>
        <t>3절 스칼라 '지배주주비중' 참조 — 숫자로 덮어쓰면 이 분기만 바뀐다
당기순이익 × (1 − 비지배 비중 0.0%, 최근 8분기 실측)</t>
      </text>
    </comment>
    <comment ref="P26" authorId="0" shapeId="0">
      <text>
        <t>3절 스칼라 '지배주주비중' 참조 — 숫자로 덮어쓰면 이 분기만 바뀐다
당기순이익 × (1 − 비지배 비중 0.0%, 최근 8분기 실측)</t>
      </text>
    </comment>
    <comment ref="Q26" authorId="0" shapeId="0">
      <text>
        <t>3절 스칼라 '지배주주비중' 참조 — 숫자로 덮어쓰면 이 분기만 바뀐다
당기순이익 × (1 − 비지배 비중 0.0%, 최근 8분기 실측)</t>
      </text>
    </comment>
    <comment ref="S26" authorId="0" shapeId="0">
      <text>
        <t>3절 스칼라 '지배주주비중' 참조 — 숫자로 덮어쓰면 이 분기만 바뀐다
당기순이익 × (1 − 비지배 비중 0.0%, 최근 8분기 실측)</t>
      </text>
    </comment>
    <comment ref="T26" authorId="0" shapeId="0">
      <text>
        <t>3절 스칼라 '지배주주비중' 참조 — 숫자로 덮어쓰면 이 분기만 바뀐다
당기순이익 × (1 − 비지배 비중 0.0%, 최근 8분기 실측)</t>
      </text>
    </comment>
    <comment ref="U26" authorId="0" shapeId="0">
      <text>
        <t>3절 스칼라 '지배주주비중' 참조 — 숫자로 덮어쓰면 이 분기만 바뀐다
당기순이익 × (1 − 비지배 비중 0.0%, 최근 8분기 실측)</t>
      </text>
    </comment>
    <comment ref="V26" authorId="0" shapeId="0">
      <text>
        <t>3절 스칼라 '지배주주비중' 참조 — 숫자로 덮어쓰면 이 분기만 바뀐다
당기순이익 × (1 − 비지배 비중 0.0%, 최근 8분기 실측)</t>
      </text>
    </comment>
    <comment ref="K27" authorId="0" shapeId="0">
      <text>
        <t>모델값 역산(implied): v / 전분기 − 1
마지막 실적 유지(가정)</t>
      </text>
    </comment>
    <comment ref="L27" authorId="0" shapeId="0">
      <text>
        <t>모델값 역산(implied): v / 전분기 − 1
마지막 실적 유지(가정)</t>
      </text>
    </comment>
    <comment ref="N27" authorId="0" shapeId="0">
      <text>
        <t>모델값 역산(implied): v / 전분기 − 1
마지막 실적 유지(가정)</t>
      </text>
    </comment>
    <comment ref="O27" authorId="0" shapeId="0">
      <text>
        <t>모델값 역산(implied): v / 전분기 − 1
마지막 실적 유지(가정)</t>
      </text>
    </comment>
    <comment ref="P27" authorId="0" shapeId="0">
      <text>
        <t>모델값 역산(implied): v / 전분기 − 1
마지막 실적 유지(가정)</t>
      </text>
    </comment>
    <comment ref="Q27" authorId="0" shapeId="0">
      <text>
        <t>모델값 역산(implied): v / 전분기 − 1
마지막 실적 유지(가정)</t>
      </text>
    </comment>
    <comment ref="S27" authorId="0" shapeId="0">
      <text>
        <t>모델값 역산(implied): v / 전분기 − 1
마지막 실적 유지(가정)</t>
      </text>
    </comment>
    <comment ref="T27" authorId="0" shapeId="0">
      <text>
        <t>모델값 역산(implied): v / 전분기 − 1
마지막 실적 유지(가정)</t>
      </text>
    </comment>
    <comment ref="U27" authorId="0" shapeId="0">
      <text>
        <t>모델값 역산(implied): v / 전분기 − 1
마지막 실적 유지(가정)</t>
      </text>
    </comment>
    <comment ref="V27" authorId="0" shapeId="0">
      <text>
        <t>모델값 역산(implied): v / 전분기 − 1
마지막 실적 유지(가정)</t>
      </text>
    </comment>
    <comment ref="K28" authorId="0" shapeId="0">
      <text>
        <t>모델값 역산(implied): 전분기(시트값) + 당기순이익(시트 수식값) − v
전분기 + 당기순이익 − 배당(Q2 지급 가정)</t>
      </text>
    </comment>
    <comment ref="L28" authorId="0" shapeId="0">
      <text>
        <t>모델값 역산(implied): 전분기(시트값) + 당기순이익(시트 수식값) − v
전분기 + 당기순이익 − 배당(Q2 지급 가정)</t>
      </text>
    </comment>
    <comment ref="N28" authorId="0" shapeId="0">
      <text>
        <t>모델값 역산(implied): 전분기(시트값) + 당기순이익(시트 수식값) − v
전분기 + 당기순이익 − 배당(Q2 지급 가정)</t>
      </text>
    </comment>
    <comment ref="O28" authorId="0" shapeId="0">
      <text>
        <t>모델값 역산(implied): 전분기(시트값) + 당기순이익(시트 수식값) − v
전분기 + 당기순이익 − 배당(Q2 지급 가정)</t>
      </text>
    </comment>
    <comment ref="P28" authorId="0" shapeId="0">
      <text>
        <t>모델값 역산(implied): 전분기(시트값) + 당기순이익(시트 수식값) − v
전분기 + 당기순이익 − 배당(Q2 지급 가정)</t>
      </text>
    </comment>
    <comment ref="Q28" authorId="0" shapeId="0">
      <text>
        <t>모델값 역산(implied): 전분기(시트값) + 당기순이익(시트 수식값) − v
전분기 + 당기순이익 − 배당(Q2 지급 가정)</t>
      </text>
    </comment>
    <comment ref="S28" authorId="0" shapeId="0">
      <text>
        <t>모델값 역산(implied): 전분기(시트값) + 당기순이익(시트 수식값) − v
전분기 + 당기순이익 − 배당(Q2 지급 가정)</t>
      </text>
    </comment>
    <comment ref="T28" authorId="0" shapeId="0">
      <text>
        <t>모델값 역산(implied): 전분기(시트값) + 당기순이익(시트 수식값) − v
전분기 + 당기순이익 − 배당(Q2 지급 가정)</t>
      </text>
    </comment>
    <comment ref="U28" authorId="0" shapeId="0">
      <text>
        <t>모델값 역산(implied): 전분기(시트값) + 당기순이익(시트 수식값) − v
전분기 + 당기순이익 − 배당(Q2 지급 가정)</t>
      </text>
    </comment>
    <comment ref="V28" authorId="0" shapeId="0">
      <text>
        <t>모델값 역산(implied): 전분기(시트값) + 당기순이익(시트 수식값) − v
전분기 + 당기순이익 − 배당(Q2 지급 가정)</t>
      </text>
    </comment>
    <comment ref="K29" authorId="0" shapeId="0">
      <text>
        <t>모델값 역산(implied): 전분기(시트값) + 지배주주순이익(시트 수식값) − v
전분기 + 지배주주순이익 − 배당</t>
      </text>
    </comment>
    <comment ref="L29" authorId="0" shapeId="0">
      <text>
        <t>모델값 역산(implied): 전분기(시트값) + 지배주주순이익(시트 수식값) − v
전분기 + 지배주주순이익 − 배당</t>
      </text>
    </comment>
    <comment ref="N29" authorId="0" shapeId="0">
      <text>
        <t>모델값 역산(implied): 전분기(시트값) + 지배주주순이익(시트 수식값) − v
전분기 + 지배주주순이익 − 배당</t>
      </text>
    </comment>
    <comment ref="O29" authorId="0" shapeId="0">
      <text>
        <t>모델값 역산(implied): 전분기(시트값) + 지배주주순이익(시트 수식값) − v
전분기 + 지배주주순이익 − 배당</t>
      </text>
    </comment>
    <comment ref="P29" authorId="0" shapeId="0">
      <text>
        <t>모델값 역산(implied): 전분기(시트값) + 지배주주순이익(시트 수식값) − v
전분기 + 지배주주순이익 − 배당</t>
      </text>
    </comment>
    <comment ref="Q29" authorId="0" shapeId="0">
      <text>
        <t>모델값 역산(implied): 전분기(시트값) + 지배주주순이익(시트 수식값) − v
전분기 + 지배주주순이익 − 배당</t>
      </text>
    </comment>
    <comment ref="S29" authorId="0" shapeId="0">
      <text>
        <t>모델값 역산(implied): 전분기(시트값) + 지배주주순이익(시트 수식값) − v
전분기 + 지배주주순이익 − 배당</t>
      </text>
    </comment>
    <comment ref="T29" authorId="0" shapeId="0">
      <text>
        <t>모델값 역산(implied): 전분기(시트값) + 지배주주순이익(시트 수식값) − v
전분기 + 지배주주순이익 − 배당</t>
      </text>
    </comment>
    <comment ref="U29" authorId="0" shapeId="0">
      <text>
        <t>모델값 역산(implied): 전분기(시트값) + 지배주주순이익(시트 수식값) − v
전분기 + 지배주주순이익 − 배당</t>
      </text>
    </comment>
    <comment ref="V29" authorId="0" shapeId="0">
      <text>
        <t>모델값 역산(implied): 전분기(시트값) + 지배주주순이익(시트 수식값) − v
전분기 + 지배주주순이익 − 배당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L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N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O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P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Q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S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T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U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V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K32" authorId="0" shapeId="0">
      <text>
        <t>모델값 역산(implied): v / 전분기 − 1
전분기 + FCF 근사 — 순차입금 롤과 같은 가정</t>
      </text>
    </comment>
    <comment ref="L32" authorId="0" shapeId="0">
      <text>
        <t>모델값 역산(implied): v / 전분기 − 1
전분기 + FCF 근사 — 순차입금 롤과 같은 가정</t>
      </text>
    </comment>
    <comment ref="N32" authorId="0" shapeId="0">
      <text>
        <t>모델값 역산(implied): v / 전분기 − 1
전분기 + FCF 근사 — 순차입금 롤과 같은 가정</t>
      </text>
    </comment>
    <comment ref="O32" authorId="0" shapeId="0">
      <text>
        <t>모델값 역산(implied): v / 전분기 − 1
전분기 + FCF 근사 — 순차입금 롤과 같은 가정</t>
      </text>
    </comment>
    <comment ref="P32" authorId="0" shapeId="0">
      <text>
        <t>모델값 역산(implied): v / 전분기 − 1
전분기 + FCF 근사 — 순차입금 롤과 같은 가정</t>
      </text>
    </comment>
    <comment ref="Q32" authorId="0" shapeId="0">
      <text>
        <t>모델값 역산(implied): v / 전분기 − 1
전분기 + FCF 근사 — 순차입금 롤과 같은 가정</t>
      </text>
    </comment>
    <comment ref="S32" authorId="0" shapeId="0">
      <text>
        <t>모델값 역산(implied): v / 전분기 − 1
전분기 + FCF 근사 — 순차입금 롤과 같은 가정</t>
      </text>
    </comment>
    <comment ref="T32" authorId="0" shapeId="0">
      <text>
        <t>모델값 역산(implied): v / 전분기 − 1
전분기 + FCF 근사 — 순차입금 롤과 같은 가정</t>
      </text>
    </comment>
    <comment ref="U32" authorId="0" shapeId="0">
      <text>
        <t>모델값 역산(implied): v / 전분기 − 1
전분기 + FCF 근사 — 순차입금 롤과 같은 가정</t>
      </text>
    </comment>
    <comment ref="V32" authorId="0" shapeId="0">
      <text>
        <t>모델값 역산(implied): v / 전분기 − 1
전분기 + FCF 근사 — 순차입금 롤과 같은 가정</t>
      </text>
    </comment>
    <comment ref="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6" authorId="0" shapeId="0">
      <text>
        <t>모델값 역산(implied): v / 전분기 − 1
유통주식수 유지 — fin.shares.common_outstanding(2026Q2)</t>
      </text>
    </comment>
    <comment ref="L36" authorId="0" shapeId="0">
      <text>
        <t>모델값 역산(implied): v / 전분기 − 1
유통주식수 유지 — fin.shares.common_outstanding(2026Q2)</t>
      </text>
    </comment>
    <comment ref="N36" authorId="0" shapeId="0">
      <text>
        <t>모델값 역산(implied): v / 전분기 − 1
유통주식수 유지 — fin.shares.common_outstanding(2026Q2)</t>
      </text>
    </comment>
    <comment ref="O36" authorId="0" shapeId="0">
      <text>
        <t>모델값 역산(implied): v / 전분기 − 1
유통주식수 유지 — fin.shares.common_outstanding(2026Q2)</t>
      </text>
    </comment>
    <comment ref="P36" authorId="0" shapeId="0">
      <text>
        <t>모델값 역산(implied): v / 전분기 − 1
유통주식수 유지 — fin.shares.common_outstanding(2026Q2)</t>
      </text>
    </comment>
    <comment ref="Q36" authorId="0" shapeId="0">
      <text>
        <t>모델값 역산(implied): v / 전분기 − 1
유통주식수 유지 — fin.shares.common_outstanding(2026Q2)</t>
      </text>
    </comment>
    <comment ref="S36" authorId="0" shapeId="0">
      <text>
        <t>모델값 역산(implied): v / 전분기 − 1
유통주식수 유지 — fin.shares.common_outstanding(2026Q2)</t>
      </text>
    </comment>
    <comment ref="T36" authorId="0" shapeId="0">
      <text>
        <t>모델값 역산(implied): v / 전분기 − 1
유통주식수 유지 — fin.shares.common_outstanding(2026Q2)</t>
      </text>
    </comment>
    <comment ref="U36" authorId="0" shapeId="0">
      <text>
        <t>모델값 역산(implied): v / 전분기 − 1
유통주식수 유지 — fin.shares.common_outstanding(2026Q2)</t>
      </text>
    </comment>
    <comment ref="V36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모델 v 그대로
직전 결산 DPS 0원 유지</t>
      </text>
    </comment>
    <comment ref="Q37" authorId="0" shapeId="0">
      <text>
        <t>모델값 역산(implied): 모델 v 그대로
직전 결산 DPS 0원 유지</t>
      </text>
    </comment>
    <comment ref="V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K10" authorId="0" shapeId="0">
      <text>
        <t>추정: 최근 5분기 OPM 중위 -20.0% 유지(클립 −20~40%)
[divide]</t>
      </text>
    </comment>
    <comment ref="L10" authorId="0" shapeId="0">
      <text>
        <t>추정: 최근 5분기 OPM 중위 -20.0% 유지(클립 −20~40%)
[divide]</t>
      </text>
    </comment>
    <comment ref="N10" authorId="0" shapeId="0">
      <text>
        <t>추정: 최근 5분기 OPM 중위 -20.0% 유지(클립 −20~40%)
[divide]</t>
      </text>
    </comment>
    <comment ref="O10" authorId="0" shapeId="0">
      <text>
        <t>추정: 최근 5분기 OPM 중위 -20.0% 유지(클립 −20~40%)
[divide]</t>
      </text>
    </comment>
    <comment ref="P10" authorId="0" shapeId="0">
      <text>
        <t>추정: 최근 5분기 OPM 중위 -20.0% 유지(클립 −20~40%)
[divide]</t>
      </text>
    </comment>
    <comment ref="Q10" authorId="0" shapeId="0">
      <text>
        <t>추정: 최근 5분기 OPM 중위 -20.0% 유지(클립 −20~40%)
[divide]</t>
      </text>
    </comment>
    <comment ref="S10" authorId="0" shapeId="0">
      <text>
        <t>추정: 최근 5분기 OPM 중위 -20.0% 유지(클립 −20~40%)
[divide]</t>
      </text>
    </comment>
    <comment ref="T10" authorId="0" shapeId="0">
      <text>
        <t>추정: 최근 5분기 OPM 중위 -20.0% 유지(클립 −20~40%)
[divide]</t>
      </text>
    </comment>
    <comment ref="U10" authorId="0" shapeId="0">
      <text>
        <t>추정: 최근 5분기 OPM 중위 -20.0% 유지(클립 −20~40%)
[divide]</t>
      </text>
    </comment>
    <comment ref="V10" authorId="0" shapeId="0">
      <text>
        <t>추정: 최근 5분기 OPM 중위 -20.0% 유지(클립 −20~40%)
[divide]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[identity]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[interest]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[interest]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[interest]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[interest]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[interest]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[interest]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[interest]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[interest]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[interest]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[interest]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L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N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O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P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Q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S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T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U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V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FCF 근사 — 순차입금 롤과 같은 가정
[qoq]</t>
      </text>
    </comment>
    <comment ref="L24" authorId="0" shapeId="0">
      <text>
        <t>추정: 전분기 + FCF 근사 — 순차입금 롤과 같은 가정
[qoq]</t>
      </text>
    </comment>
    <comment ref="N24" authorId="0" shapeId="0">
      <text>
        <t>추정: 전분기 + FCF 근사 — 순차입금 롤과 같은 가정
[qoq]</t>
      </text>
    </comment>
    <comment ref="O24" authorId="0" shapeId="0">
      <text>
        <t>추정: 전분기 + FCF 근사 — 순차입금 롤과 같은 가정
[qoq]</t>
      </text>
    </comment>
    <comment ref="P24" authorId="0" shapeId="0">
      <text>
        <t>추정: 전분기 + FCF 근사 — 순차입금 롤과 같은 가정
[qoq]</t>
      </text>
    </comment>
    <comment ref="Q24" authorId="0" shapeId="0">
      <text>
        <t>추정: 전분기 + FCF 근사 — 순차입금 롤과 같은 가정
[qoq]</t>
      </text>
    </comment>
    <comment ref="S24" authorId="0" shapeId="0">
      <text>
        <t>추정: 전분기 + FCF 근사 — 순차입금 롤과 같은 가정
[qoq]</t>
      </text>
    </comment>
    <comment ref="T24" authorId="0" shapeId="0">
      <text>
        <t>추정: 전분기 + FCF 근사 — 순차입금 롤과 같은 가정
[qoq]</t>
      </text>
    </comment>
    <comment ref="U24" authorId="0" shapeId="0">
      <text>
        <t>추정: 전분기 + FCF 근사 — 순차입금 롤과 같은 가정
[qoq]</t>
      </text>
    </comment>
    <comment ref="V24" authorId="0" shapeId="0">
      <text>
        <t>추정: 전분기 + FCF 근사 — 순차입금 롤과 같은 가정
[qoq]</t>
      </text>
    </comment>
    <comment ref="H25" authorId="0" shapeId="0">
      <text>
        <t>연간 실측(BS 시트에 2025.12A 없음 — 모델 a 값 직접)</t>
      </text>
    </comment>
    <comment ref="K26" authorId="0" shapeId="0">
      <text>
        <t>추정: 최근 4분기(2025Q3~2026Q2) CAPEX 중위 유지 — 순차입금 롤에 미반영(감가상각비 없음 → CAPEX≈감가 가정)
[yoy]</t>
      </text>
    </comment>
    <comment ref="L26" authorId="0" shapeId="0">
      <text>
        <t>추정: 최근 4분기(2025Q3~2026Q2) CAPEX 중위 유지 — 순차입금 롤에 미반영(감가상각비 없음 → CAPEX≈감가 가정)
[yoy]</t>
      </text>
    </comment>
    <comment ref="N26" authorId="0" shapeId="0">
      <text>
        <t>추정: 최근 4분기(2025Q3~2026Q2) CAPEX 중위 유지 — 순차입금 롤에 미반영(감가상각비 없음 → CAPEX≈감가 가정)
[yoy]</t>
      </text>
    </comment>
    <comment ref="O26" authorId="0" shapeId="0">
      <text>
        <t>추정: 최근 4분기(2025Q3~2026Q2) CAPEX 중위 유지 — 순차입금 롤에 미반영(감가상각비 없음 → CAPEX≈감가 가정)
[yoy]</t>
      </text>
    </comment>
    <comment ref="P26" authorId="0" shapeId="0">
      <text>
        <t>추정: 최근 4분기(2025Q3~2026Q2) CAPEX 중위 유지 — 순차입금 롤에 미반영(감가상각비 없음 → CAPEX≈감가 가정)
[yoy]</t>
      </text>
    </comment>
    <comment ref="Q26" authorId="0" shapeId="0">
      <text>
        <t>추정: 최근 4분기(2025Q3~2026Q2) CAPEX 중위 유지 — 순차입금 롤에 미반영(감가상각비 없음 → CAPEX≈감가 가정)
[yoy]</t>
      </text>
    </comment>
    <comment ref="S26" authorId="0" shapeId="0">
      <text>
        <t>추정: 최근 4분기(2025Q3~2026Q2) CAPEX 중위 유지 — 순차입금 롤에 미반영(감가상각비 없음 → CAPEX≈감가 가정)
[yoy]</t>
      </text>
    </comment>
    <comment ref="T26" authorId="0" shapeId="0">
      <text>
        <t>추정: 최근 4분기(2025Q3~2026Q2) CAPEX 중위 유지 — 순차입금 롤에 미반영(감가상각비 없음 → CAPEX≈감가 가정)
[yoy]</t>
      </text>
    </comment>
    <comment ref="U26" authorId="0" shapeId="0">
      <text>
        <t>추정: 최근 4분기(2025Q3~2026Q2) CAPEX 중위 유지 — 순차입금 롤에 미반영(감가상각비 없음 → CAPEX≈감가 가정)
[yoy]</t>
      </text>
    </comment>
    <comment ref="V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F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없음(파생·부문·시세 행)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0원 유지
[abs]</t>
      </text>
    </comment>
    <comment ref="Q31" authorId="0" shapeId="0">
      <text>
        <t>추정: 직전 결산 DPS 0원 유지
[abs]</t>
      </text>
    </comment>
    <comment ref="V31" authorId="0" shapeId="0">
      <text>
        <t>추정: 직전 결산 DPS 0원 유지
[abs]</t>
      </text>
    </comment>
    <comment ref="K32" authorId="0" shapeId="0">
      <text>
        <t>추정: 현재 종가 ÷ TTM EPS(추정 포함)
[valuation]</t>
      </text>
    </comment>
    <comment ref="K33" authorId="0" shapeId="0">
      <text>
        <t>추정: 현재 종가 ÷ BPS(추정 포함)
[valuation]</t>
      </text>
    </comment>
    <comment ref="L33" authorId="0" shapeId="0">
      <text>
        <t>추정: 현재 종가 ÷ BPS(추정 포함)
[valuation]</t>
      </text>
    </comment>
    <comment ref="N33" authorId="0" shapeId="0">
      <text>
        <t>추정: 현재 종가 ÷ BPS(추정 포함)
[valuation]</t>
      </text>
    </comment>
    <comment ref="O33" authorId="0" shapeId="0">
      <text>
        <t>추정: 현재 종가 ÷ BPS(추정 포함)
[valuation]</t>
      </text>
    </comment>
    <comment ref="P33" authorId="0" shapeId="0">
      <text>
        <t>추정: 현재 종가 ÷ BPS(추정 포함)
[valuation]</t>
      </text>
    </comment>
    <comment ref="Q33" authorId="0" shapeId="0">
      <text>
        <t>추정: 현재 종가 ÷ BPS(추정 포함)
[valuation]</t>
      </text>
    </comment>
    <comment ref="S33" authorId="0" shapeId="0">
      <text>
        <t>추정: 현재 종가 ÷ BPS(추정 포함)
[valuation]</t>
      </text>
    </comment>
    <comment ref="T33" authorId="0" shapeId="0">
      <text>
        <t>추정: 현재 종가 ÷ BPS(추정 포함)
[valuation]</t>
      </text>
    </comment>
    <comment ref="U33" authorId="0" shapeId="0">
      <text>
        <t>추정: 현재 종가 ÷ BPS(추정 포함)
[valuation]</t>
      </text>
    </comment>
    <comment ref="V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F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K34" authorId="0" shapeId="0">
      <text>
        <t>추정: = 매출액 추정(부문 미분리)
[identity]</t>
      </text>
    </comment>
    <comment ref="L34" authorId="0" shapeId="0">
      <text>
        <t>추정: = 매출액 추정(부문 미분리)
[identity]</t>
      </text>
    </comment>
    <comment ref="N34" authorId="0" shapeId="0">
      <text>
        <t>추정: = 매출액 추정(부문 미분리)
[identity]</t>
      </text>
    </comment>
    <comment ref="O34" authorId="0" shapeId="0">
      <text>
        <t>추정: = 매출액 추정(부문 미분리)
[identity]</t>
      </text>
    </comment>
    <comment ref="P34" authorId="0" shapeId="0">
      <text>
        <t>추정: = 매출액 추정(부문 미분리)
[identity]</t>
      </text>
    </comment>
    <comment ref="Q34" authorId="0" shapeId="0">
      <text>
        <t>추정: = 매출액 추정(부문 미분리)
[identity]</t>
      </text>
    </comment>
    <comment ref="S34" authorId="0" shapeId="0">
      <text>
        <t>추정: = 매출액 추정(부문 미분리)
[identity]</t>
      </text>
    </comment>
    <comment ref="T34" authorId="0" shapeId="0">
      <text>
        <t>추정: = 매출액 추정(부문 미분리)
[identity]</t>
      </text>
    </comment>
    <comment ref="U34" authorId="0" shapeId="0">
      <text>
        <t>추정: = 매출액 추정(부문 미분리)
[identity]</t>
      </text>
    </comment>
    <comment ref="V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F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K35" authorId="0" shapeId="0">
      <text>
        <t>추정: = 매출액 × OPM(부문 미분리)
[identity]</t>
      </text>
    </comment>
    <comment ref="L35" authorId="0" shapeId="0">
      <text>
        <t>추정: = 매출액 × OPM(부문 미분리)
[identity]</t>
      </text>
    </comment>
    <comment ref="N35" authorId="0" shapeId="0">
      <text>
        <t>추정: = 매출액 × OPM(부문 미분리)
[identity]</t>
      </text>
    </comment>
    <comment ref="O35" authorId="0" shapeId="0">
      <text>
        <t>추정: = 매출액 × OPM(부문 미분리)
[identity]</t>
      </text>
    </comment>
    <comment ref="P35" authorId="0" shapeId="0">
      <text>
        <t>추정: = 매출액 × OPM(부문 미분리)
[identity]</t>
      </text>
    </comment>
    <comment ref="Q35" authorId="0" shapeId="0">
      <text>
        <t>추정: = 매출액 × OPM(부문 미분리)
[identity]</t>
      </text>
    </comment>
    <comment ref="S35" authorId="0" shapeId="0">
      <text>
        <t>추정: = 매출액 × OPM(부문 미분리)
[identity]</t>
      </text>
    </comment>
    <comment ref="T35" authorId="0" shapeId="0">
      <text>
        <t>추정: = 매출액 × OPM(부문 미분리)
[identity]</t>
      </text>
    </comment>
    <comment ref="U35" authorId="0" shapeId="0">
      <text>
        <t>추정: = 매출액 × OPM(부문 미분리)
[identity]</t>
      </text>
    </comment>
    <comment ref="V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22.81%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1.35% / 부채 0.00% — 이자손익 = (전분기 이자발생자산 × 자산이자율 − 전분기 총차입금 × 부채이자율)/4, 최소자승 역산(모델 assumptions [0.0135,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assets/models/136150.json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0.87 가 단일 검정 5% 임계 r 0.88 미달(n=5)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1348.08</v>
      </c>
      <c r="M6" s="17" t="n">
        <v>1458.99</v>
      </c>
      <c r="N6" s="16" t="n">
        <v>1338.78</v>
      </c>
      <c r="O6" s="16" t="n">
        <v>1338.78</v>
      </c>
      <c r="P6" s="16" t="n">
        <v>1338.78</v>
      </c>
      <c r="Q6" s="16" t="n">
        <v>1338.78</v>
      </c>
      <c r="R6" s="11" t="n"/>
      <c r="S6" s="16" t="n">
        <v>1338.78</v>
      </c>
      <c r="T6" s="16" t="n">
        <v>1338.78</v>
      </c>
      <c r="U6" s="16" t="n">
        <v>1338.78</v>
      </c>
      <c r="V6" s="16" t="n">
        <v>1338.78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1338.78</v>
      </c>
      <c r="M7" s="17" t="n">
        <v>1338.78</v>
      </c>
      <c r="N7" s="16" t="n">
        <v>1338.78</v>
      </c>
      <c r="O7" s="16" t="n">
        <v>1338.78</v>
      </c>
      <c r="P7" s="16" t="n">
        <v>1338.78</v>
      </c>
      <c r="Q7" s="16" t="n">
        <v>1338.78</v>
      </c>
      <c r="R7" s="11" t="n"/>
      <c r="S7" s="16" t="n">
        <v>1338.78</v>
      </c>
      <c r="T7" s="16" t="n">
        <v>1338.78</v>
      </c>
      <c r="U7" s="16" t="n">
        <v>1338.78</v>
      </c>
      <c r="V7" s="16" t="n">
        <v>1338.78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853.26</v>
      </c>
      <c r="M8" s="17" t="n">
        <v>920.3099999999999</v>
      </c>
      <c r="N8" s="16" t="n">
        <v>846.85</v>
      </c>
      <c r="O8" s="16" t="n">
        <v>846.85</v>
      </c>
      <c r="P8" s="16" t="n">
        <v>846.85</v>
      </c>
      <c r="Q8" s="16" t="n">
        <v>846.85</v>
      </c>
      <c r="R8" s="11" t="n"/>
      <c r="S8" s="16" t="n">
        <v>846.85</v>
      </c>
      <c r="T8" s="16" t="n">
        <v>846.85</v>
      </c>
      <c r="U8" s="16" t="n">
        <v>846.85</v>
      </c>
      <c r="V8" s="16" t="n">
        <v>846.85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846.85</v>
      </c>
      <c r="M9" s="17" t="n">
        <v>846.85</v>
      </c>
      <c r="N9" s="16" t="n">
        <v>846.85</v>
      </c>
      <c r="O9" s="16" t="n">
        <v>846.85</v>
      </c>
      <c r="P9" s="16" t="n">
        <v>846.85</v>
      </c>
      <c r="Q9" s="16" t="n">
        <v>846.85</v>
      </c>
      <c r="R9" s="11" t="n"/>
      <c r="S9" s="16" t="n">
        <v>846.85</v>
      </c>
      <c r="T9" s="16" t="n">
        <v>846.85</v>
      </c>
      <c r="U9" s="16" t="n">
        <v>846.85</v>
      </c>
      <c r="V9" s="16" t="n">
        <v>846.85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1516.47</v>
      </c>
      <c r="M10" s="17" t="n">
        <v>1692.86</v>
      </c>
      <c r="N10" s="16" t="n">
        <v>1508.67</v>
      </c>
      <c r="O10" s="16" t="n">
        <v>1508.67</v>
      </c>
      <c r="P10" s="16" t="n">
        <v>1508.67</v>
      </c>
      <c r="Q10" s="16" t="n">
        <v>1508.67</v>
      </c>
      <c r="R10" s="11" t="n"/>
      <c r="S10" s="16" t="n">
        <v>1508.67</v>
      </c>
      <c r="T10" s="16" t="n">
        <v>1508.67</v>
      </c>
      <c r="U10" s="16" t="n">
        <v>1508.67</v>
      </c>
      <c r="V10" s="16" t="n">
        <v>1508.67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1508.67</v>
      </c>
      <c r="M11" s="17" t="n">
        <v>1508.67</v>
      </c>
      <c r="N11" s="16" t="n">
        <v>1508.67</v>
      </c>
      <c r="O11" s="16" t="n">
        <v>1508.67</v>
      </c>
      <c r="P11" s="16" t="n">
        <v>1508.67</v>
      </c>
      <c r="Q11" s="16" t="n">
        <v>1508.67</v>
      </c>
      <c r="R11" s="11" t="n"/>
      <c r="S11" s="16" t="n">
        <v>1508.67</v>
      </c>
      <c r="T11" s="16" t="n">
        <v>1508.67</v>
      </c>
      <c r="U11" s="16" t="n">
        <v>1508.67</v>
      </c>
      <c r="V11" s="16" t="n">
        <v>1508.67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201.07</v>
      </c>
      <c r="M12" s="17" t="n">
        <v>213.96</v>
      </c>
      <c r="N12" s="16" t="n">
        <v>199.68</v>
      </c>
      <c r="O12" s="16" t="n">
        <v>199.68</v>
      </c>
      <c r="P12" s="16" t="n">
        <v>199.68</v>
      </c>
      <c r="Q12" s="16" t="n">
        <v>199.68</v>
      </c>
      <c r="R12" s="11" t="n"/>
      <c r="S12" s="16" t="n">
        <v>199.68</v>
      </c>
      <c r="T12" s="16" t="n">
        <v>199.68</v>
      </c>
      <c r="U12" s="16" t="n">
        <v>199.68</v>
      </c>
      <c r="V12" s="16" t="n">
        <v>199.68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199.68</v>
      </c>
      <c r="M13" s="17" t="n">
        <v>199.68</v>
      </c>
      <c r="N13" s="16" t="n">
        <v>199.68</v>
      </c>
      <c r="O13" s="16" t="n">
        <v>199.68</v>
      </c>
      <c r="P13" s="16" t="n">
        <v>199.68</v>
      </c>
      <c r="Q13" s="16" t="n">
        <v>199.68</v>
      </c>
      <c r="R13" s="11" t="n"/>
      <c r="S13" s="16" t="n">
        <v>199.68</v>
      </c>
      <c r="T13" s="16" t="n">
        <v>199.68</v>
      </c>
      <c r="U13" s="16" t="n">
        <v>199.68</v>
      </c>
      <c r="V13" s="16" t="n">
        <v>199.68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20" t="n">
        <v>12900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20" t="n">
        <v>15020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20" t="n">
        <v>8350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20" t="n">
        <v>12590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-5.3912e-05</v>
      </c>
      <c r="L21" s="24" t="n">
        <v>-3.6924e-05</v>
      </c>
      <c r="M21" s="25" t="n"/>
      <c r="N21" s="24" t="n">
        <v>-0.000112826</v>
      </c>
      <c r="O21" s="24" t="n">
        <v>4.4214e-05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6">
        <f>$D$48</f>
        <v/>
      </c>
      <c r="L22" s="26">
        <f>$D$48</f>
        <v/>
      </c>
      <c r="M22" s="25">
        <f>IFERROR(subQ!M8/subQ!M5,"")</f>
        <v/>
      </c>
      <c r="N22" s="26">
        <f>$D$48</f>
        <v/>
      </c>
      <c r="O22" s="26">
        <f>$D$48</f>
        <v/>
      </c>
      <c r="P22" s="26">
        <f>$D$48</f>
        <v/>
      </c>
      <c r="Q22" s="26">
        <f>$D$48</f>
        <v/>
      </c>
      <c r="R22" s="25">
        <f>IFERROR(subQ!R8/subQ!R5,"")</f>
        <v/>
      </c>
      <c r="S22" s="26">
        <f>$D$48</f>
        <v/>
      </c>
      <c r="T22" s="26">
        <f>$D$48</f>
        <v/>
      </c>
      <c r="U22" s="26">
        <f>$D$48</f>
        <v/>
      </c>
      <c r="V22" s="26">
        <f>$D$48</f>
        <v/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-0.199953118</v>
      </c>
      <c r="L23" s="24" t="n">
        <v>-0.2</v>
      </c>
      <c r="M23" s="25">
        <f>IFERROR(subQ!M9/subQ!M5,"")</f>
        <v/>
      </c>
      <c r="N23" s="24" t="n">
        <v>-0.200100301</v>
      </c>
      <c r="O23" s="24" t="n">
        <v>-0.199959807</v>
      </c>
      <c r="P23" s="24" t="n">
        <v>-0.199953118</v>
      </c>
      <c r="Q23" s="24" t="n">
        <v>-0.2</v>
      </c>
      <c r="R23" s="25">
        <f>IFERROR(subQ!R9/subQ!R5,"")</f>
        <v/>
      </c>
      <c r="S23" s="24" t="n">
        <v>-0.200100301</v>
      </c>
      <c r="T23" s="24" t="n">
        <v>-0.199959807</v>
      </c>
      <c r="U23" s="24" t="n">
        <v>-0.199953118</v>
      </c>
      <c r="V23" s="24" t="n">
        <v>-0.2</v>
      </c>
      <c r="W23" s="25">
        <f>IFERROR(subQ!W9/subQ!W5,"")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9">
        <f>subQ!J13</f>
        <v/>
      </c>
      <c r="K24" s="30" t="n">
        <v>0</v>
      </c>
      <c r="L24" s="30" t="n">
        <v>0</v>
      </c>
      <c r="M24" s="31">
        <f>subQ!M13</f>
        <v/>
      </c>
      <c r="N24" s="30" t="n">
        <v>0</v>
      </c>
      <c r="O24" s="30" t="n">
        <v>0</v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3">
        <f>IFERROR(subQ!J15/subQ!J14,"")</f>
        <v/>
      </c>
      <c r="K25" s="24" t="n">
        <v>-0</v>
      </c>
      <c r="L25" s="24" t="n">
        <v>-0</v>
      </c>
      <c r="M25" s="25">
        <f>IFERROR(subQ!M15/subQ!M14,"")</f>
        <v/>
      </c>
      <c r="N25" s="24" t="n">
        <v>-0</v>
      </c>
      <c r="O25" s="24" t="n">
        <v>-0</v>
      </c>
      <c r="P25" s="24" t="n">
        <v>-0</v>
      </c>
      <c r="Q25" s="24" t="n">
        <v>-0</v>
      </c>
      <c r="R25" s="25">
        <f>IFERROR(subQ!R15/subQ!R14,"")</f>
        <v/>
      </c>
      <c r="S25" s="24" t="n">
        <v>-0</v>
      </c>
      <c r="T25" s="24" t="n">
        <v>-0</v>
      </c>
      <c r="U25" s="24" t="n">
        <v>-0</v>
      </c>
      <c r="V25" s="24" t="n">
        <v>-0</v>
      </c>
      <c r="W25" s="25">
        <f>IFERROR(subQ!W15/subQ!W14,"")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3">
        <f>IFERROR(subQ!J17/subQ!J16,"")</f>
        <v/>
      </c>
      <c r="K26" s="26">
        <f>$D$49</f>
        <v/>
      </c>
      <c r="L26" s="26">
        <f>$D$49</f>
        <v/>
      </c>
      <c r="M26" s="25">
        <f>IFERROR(subQ!M17/subQ!M16,"")</f>
        <v/>
      </c>
      <c r="N26" s="26">
        <f>$D$49</f>
        <v/>
      </c>
      <c r="O26" s="26">
        <f>$D$49</f>
        <v/>
      </c>
      <c r="P26" s="26">
        <f>$D$49</f>
        <v/>
      </c>
      <c r="Q26" s="26">
        <f>$D$49</f>
        <v/>
      </c>
      <c r="R26" s="25">
        <f>IFERROR(subQ!R17/subQ!R16,"")</f>
        <v/>
      </c>
      <c r="S26" s="26">
        <f>$D$49</f>
        <v/>
      </c>
      <c r="T26" s="26">
        <f>$D$49</f>
        <v/>
      </c>
      <c r="U26" s="26">
        <f>$D$49</f>
        <v/>
      </c>
      <c r="V26" s="26">
        <f>$D$49</f>
        <v/>
      </c>
      <c r="W26" s="25">
        <f>IFERROR(subQ!W17/subQ!W16,"")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1">
        <f>IFERROR(subQ!F19/subQ!E19-1,"")</f>
        <v/>
      </c>
      <c r="G27" s="21">
        <f>IFERROR(subQ!G19/subQ!F19-1,"")</f>
        <v/>
      </c>
      <c r="H27" s="22" t="n"/>
      <c r="I27" s="21">
        <f>IFERROR(subQ!I19/subQ!G19-1,"")</f>
        <v/>
      </c>
      <c r="J27" s="23">
        <f>IFERROR(subQ!J19/subQ!I19-1,"")</f>
        <v/>
      </c>
      <c r="K27" s="24" t="n">
        <v>-9.735000000000001e-06</v>
      </c>
      <c r="L27" s="24" t="n">
        <v>0</v>
      </c>
      <c r="M27" s="25" t="n"/>
      <c r="N27" s="24" t="n">
        <v>0</v>
      </c>
      <c r="O27" s="24" t="n">
        <v>0</v>
      </c>
      <c r="P27" s="24" t="n">
        <v>0</v>
      </c>
      <c r="Q27" s="24" t="n">
        <v>0</v>
      </c>
      <c r="R27" s="25" t="n"/>
      <c r="S27" s="24" t="n">
        <v>0</v>
      </c>
      <c r="T27" s="24" t="n">
        <v>0</v>
      </c>
      <c r="U27" s="24" t="n">
        <v>0</v>
      </c>
      <c r="V27" s="24" t="n">
        <v>0</v>
      </c>
      <c r="W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7">
        <f>IFERROR(subQ!E20+subQ!F16-subQ!F20,"")</f>
        <v/>
      </c>
      <c r="G28" s="27">
        <f>IFERROR(subQ!F20+subQ!G16-subQ!G20,"")</f>
        <v/>
      </c>
      <c r="H28" s="28" t="n"/>
      <c r="I28" s="27">
        <f>IFERROR(subQ!G20+subQ!I16-subQ!I20,"")</f>
        <v/>
      </c>
      <c r="J28" s="29">
        <f>IFERROR(subQ!I20+subQ!J16-subQ!J20,"")</f>
        <v/>
      </c>
      <c r="K28" s="30" t="n">
        <v>0.002957824</v>
      </c>
      <c r="L28" s="30" t="n">
        <v>0.000885174</v>
      </c>
      <c r="M28" s="31" t="n"/>
      <c r="N28" s="30" t="n">
        <v>-0.006614541</v>
      </c>
      <c r="O28" s="30" t="n">
        <v>0.007439472</v>
      </c>
      <c r="P28" s="30" t="n">
        <v>0.001035279</v>
      </c>
      <c r="Q28" s="30" t="n">
        <v>0.002890469</v>
      </c>
      <c r="R28" s="31" t="n"/>
      <c r="S28" s="30" t="n">
        <v>-0.005285804</v>
      </c>
      <c r="T28" s="30" t="n">
        <v>-0.001908349</v>
      </c>
      <c r="U28" s="30" t="n">
        <v>0.0010109</v>
      </c>
      <c r="V28" s="30" t="n">
        <v>0.002189532</v>
      </c>
      <c r="W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7">
        <f>IFERROR(subQ!E21+subQ!F17-subQ!F21,"")</f>
        <v/>
      </c>
      <c r="G29" s="27">
        <f>IFERROR(subQ!F21+subQ!G17-subQ!G21,"")</f>
        <v/>
      </c>
      <c r="H29" s="28" t="n"/>
      <c r="I29" s="27">
        <f>IFERROR(subQ!G21+subQ!I17-subQ!I21,"")</f>
        <v/>
      </c>
      <c r="J29" s="29">
        <f>IFERROR(subQ!I21+subQ!J17-subQ!J21,"")</f>
        <v/>
      </c>
      <c r="K29" s="30" t="n">
        <v>0.002957824</v>
      </c>
      <c r="L29" s="30" t="n">
        <v>0.000885174</v>
      </c>
      <c r="M29" s="31" t="n"/>
      <c r="N29" s="30" t="n">
        <v>-0.006614541</v>
      </c>
      <c r="O29" s="30" t="n">
        <v>0.007439472</v>
      </c>
      <c r="P29" s="30" t="n">
        <v>0.001035279</v>
      </c>
      <c r="Q29" s="30" t="n">
        <v>0.002890469</v>
      </c>
      <c r="R29" s="31" t="n"/>
      <c r="S29" s="30" t="n">
        <v>-0.005285804</v>
      </c>
      <c r="T29" s="30" t="n">
        <v>-0.001908349</v>
      </c>
      <c r="U29" s="30" t="n">
        <v>0.0010109</v>
      </c>
      <c r="V29" s="30" t="n">
        <v>0.002189532</v>
      </c>
      <c r="W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1">
        <f>IFERROR(subQ!F22/subQ!E22-1,"")</f>
        <v/>
      </c>
      <c r="G30" s="21">
        <f>IFERROR(subQ!G22/subQ!F22-1,"")</f>
        <v/>
      </c>
      <c r="H30" s="22" t="n"/>
      <c r="I30" s="21">
        <f>IFERROR(subQ!I22/subQ!G22-1,"")</f>
        <v/>
      </c>
      <c r="J30" s="23">
        <f>IFERROR(subQ!J22/subQ!I22-1,"")</f>
        <v/>
      </c>
      <c r="K30" s="24" t="n">
        <v>0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3">
        <f>IFERROR(subQ!J23/subQ!I23-1,"")</f>
        <v/>
      </c>
      <c r="K31" s="24" t="n">
        <v>-0.858467648</v>
      </c>
      <c r="L31" s="24" t="n">
        <v>-17.097014925</v>
      </c>
      <c r="M31" s="25" t="n"/>
      <c r="N31" s="24" t="n">
        <v>0.355586463</v>
      </c>
      <c r="O31" s="24" t="n">
        <v>0.670998632</v>
      </c>
      <c r="P31" s="24" t="n">
        <v>0.17028244</v>
      </c>
      <c r="Q31" s="24" t="n">
        <v>0.404162295</v>
      </c>
      <c r="R31" s="25" t="n"/>
      <c r="S31" s="24" t="n">
        <v>0.098019679</v>
      </c>
      <c r="T31" s="24" t="n">
        <v>0.224931942</v>
      </c>
      <c r="U31" s="24" t="n">
        <v>0.078896194</v>
      </c>
      <c r="V31" s="24" t="n">
        <v>0.200068664</v>
      </c>
      <c r="W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1">
        <f>IFERROR(subQ!F24/subQ!E24-1,"")</f>
        <v/>
      </c>
      <c r="G32" s="21">
        <f>IFERROR(subQ!G24/subQ!F24-1,"")</f>
        <v/>
      </c>
      <c r="H32" s="22" t="n"/>
      <c r="I32" s="21">
        <f>IFERROR(subQ!I24/subQ!G24-1,"")</f>
        <v/>
      </c>
      <c r="J32" s="23">
        <f>IFERROR(subQ!J24/subQ!I24-1,"")</f>
        <v/>
      </c>
      <c r="K32" s="24" t="n">
        <v>-0.06721189</v>
      </c>
      <c r="L32" s="24" t="n">
        <v>-0.203265016</v>
      </c>
      <c r="M32" s="25" t="n"/>
      <c r="N32" s="24" t="n">
        <v>-0.085412027</v>
      </c>
      <c r="O32" s="24" t="n">
        <v>-0.239011324</v>
      </c>
      <c r="P32" s="24" t="n">
        <v>-0.13312</v>
      </c>
      <c r="Q32" s="24" t="n">
        <v>-0.426541159</v>
      </c>
      <c r="R32" s="25" t="n"/>
      <c r="S32" s="24" t="n">
        <v>-0.253299002</v>
      </c>
      <c r="T32" s="24" t="n">
        <v>-0.854741379</v>
      </c>
      <c r="U32" s="24" t="n">
        <v>-2.528189911</v>
      </c>
      <c r="V32" s="24" t="n">
        <v>4.524271845</v>
      </c>
      <c r="W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1">
        <f>IFERROR(subQ!F25/subQ!E25-1,"")</f>
        <v/>
      </c>
      <c r="G33" s="21">
        <f>IFERROR(subQ!G25/subQ!F25-1,"")</f>
        <v/>
      </c>
      <c r="H33" s="22" t="n"/>
      <c r="I33" s="21">
        <f>IFERROR(subQ!I25/subQ!G25-1,"")</f>
        <v/>
      </c>
      <c r="J33" s="23">
        <f>IFERROR(subQ!J25/subQ!I25-1,"")</f>
        <v/>
      </c>
      <c r="K33" s="32" t="n"/>
      <c r="L33" s="32" t="n"/>
      <c r="M33" s="25" t="n"/>
      <c r="N33" s="32" t="n"/>
      <c r="O33" s="32" t="n"/>
      <c r="P33" s="32" t="n"/>
      <c r="Q33" s="32" t="n"/>
      <c r="R33" s="25" t="n"/>
      <c r="S33" s="32" t="n"/>
      <c r="T33" s="32" t="n"/>
      <c r="U33" s="32" t="n"/>
      <c r="V33" s="32" t="n"/>
      <c r="W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1" t="n"/>
      <c r="G34" s="21" t="n"/>
      <c r="H34" s="22" t="n"/>
      <c r="I34" s="21" t="n"/>
      <c r="J34" s="23">
        <f>IFERROR(subQ!J26/subQ!E26-1,"")</f>
        <v/>
      </c>
      <c r="K34" s="24" t="n">
        <v>1.576112412</v>
      </c>
      <c r="L34" s="24" t="n">
        <v>-0.773289365</v>
      </c>
      <c r="M34" s="25" t="n"/>
      <c r="N34" s="24" t="n">
        <v>0.210787012</v>
      </c>
      <c r="O34" s="24" t="n">
        <v>-0.13589945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3">
        <f>IFERROR(subQ!J27/subQ!E27-1,"")</f>
        <v/>
      </c>
      <c r="K35" s="32" t="n"/>
      <c r="L35" s="32" t="n"/>
      <c r="M35" s="25" t="n"/>
      <c r="N35" s="32" t="n"/>
      <c r="O35" s="32" t="n"/>
      <c r="P35" s="32" t="n"/>
      <c r="Q35" s="32" t="n"/>
      <c r="R35" s="25" t="n"/>
      <c r="S35" s="32" t="n"/>
      <c r="T35" s="32" t="n"/>
      <c r="U35" s="32" t="n"/>
      <c r="V35" s="32" t="n"/>
      <c r="W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3">
        <f>IFERROR(subQ!J28/subQ!I28-1,"")</f>
        <v/>
      </c>
      <c r="K36" s="24" t="n">
        <v>0</v>
      </c>
      <c r="L36" s="24" t="n">
        <v>0</v>
      </c>
      <c r="M36" s="25" t="n"/>
      <c r="N36" s="24" t="n">
        <v>0</v>
      </c>
      <c r="O36" s="24" t="n">
        <v>0</v>
      </c>
      <c r="P36" s="24" t="n">
        <v>0</v>
      </c>
      <c r="Q36" s="24" t="n">
        <v>0</v>
      </c>
      <c r="R36" s="25" t="n"/>
      <c r="S36" s="24" t="n">
        <v>0</v>
      </c>
      <c r="T36" s="24" t="n">
        <v>0</v>
      </c>
      <c r="U36" s="24" t="n">
        <v>0</v>
      </c>
      <c r="V36" s="24" t="n">
        <v>0</v>
      </c>
      <c r="W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7">
        <f>subQ!F31</f>
        <v/>
      </c>
      <c r="G37" s="27">
        <f>subQ!G31</f>
        <v/>
      </c>
      <c r="H37" s="28">
        <f>subQ!H31</f>
        <v/>
      </c>
      <c r="I37" s="27">
        <f>subQ!I31</f>
        <v/>
      </c>
      <c r="J37" s="29">
        <f>subQ!J31</f>
        <v/>
      </c>
      <c r="K37" s="33" t="n"/>
      <c r="L37" s="30" t="n">
        <v>0</v>
      </c>
      <c r="M37" s="31">
        <f>subQ!M31</f>
        <v/>
      </c>
      <c r="N37" s="33" t="n"/>
      <c r="O37" s="33" t="n"/>
      <c r="P37" s="33" t="n"/>
      <c r="Q37" s="30" t="n">
        <v>0</v>
      </c>
      <c r="R37" s="31">
        <f>subQ!R31</f>
        <v/>
      </c>
      <c r="S37" s="33" t="n"/>
      <c r="T37" s="33" t="n"/>
      <c r="U37" s="33" t="n"/>
      <c r="V37" s="30" t="n">
        <v>0</v>
      </c>
      <c r="W37" s="31">
        <f>subQ!W31</f>
        <v/>
      </c>
    </row>
    <row r="38"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J39" s="5" t="n"/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12900</v>
      </c>
      <c r="E40" s="2" t="inlineStr">
        <is>
          <t>원 — 네이버 정규장 종가(aik 확정종가 대조 · aik 12,440원)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H41" s="9" t="n"/>
      <c r="J41" s="5" t="n"/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J42" s="5" t="n"/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양(+)EPS 분기 1개 &lt; 4)</t>
        </is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5분기 세전 합 ≤ 0; 세전 &gt; 0 분기 중위 -37.0% 도 5~27% 밖 → 법정세율 근사 22% 가정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0.2280956978297383</v>
      </c>
      <c r="E48" s="2" t="inlineStr">
        <is>
          <t>연결 — 판관비 = 매출액 × 판관비율(역산, 재현 오차 ≤ 0.05억 · 모델 assumptions 0.2281)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0.01353116042259893</v>
      </c>
      <c r="E50" s="2" t="inlineStr">
        <is>
          <t>연결 — 이자손익 = (전분기 이자발생자산 × 자산이자율 − 전분기 총차입금 × 부채이자율)/4(역산, 재현 오차 ≤ 0.05억 · 모델 assumptions 0.0135)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1.945451968849733e-05</v>
      </c>
      <c r="E51" s="2" t="inlineStr">
        <is>
          <t>연결 — 같은 수식의 부채 쪽(총차입금 행이 없으면 0)(역산, 재현 오차 ≤ 0.05억)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7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7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7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7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7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7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7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7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7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7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7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7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7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7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7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7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7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7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7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7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7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7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7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7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7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7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7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7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7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7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7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7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7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7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7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7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7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7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7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7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7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7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7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8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8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8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IFERROR(K12,"")</f>
        <v/>
      </c>
      <c r="L11" s="20">
        <f>IFERROR(L12,"")</f>
        <v/>
      </c>
      <c r="M11" s="38">
        <f>SUM(I11:L11)</f>
        <v/>
      </c>
      <c r="N11" s="20">
        <f>IFERROR(N12,"")</f>
        <v/>
      </c>
      <c r="O11" s="20">
        <f>IFERROR(O12,"")</f>
        <v/>
      </c>
      <c r="P11" s="20">
        <f>IFERROR(P12,"")</f>
        <v/>
      </c>
      <c r="Q11" s="20">
        <f>IFERROR(Q12,"")</f>
        <v/>
      </c>
      <c r="R11" s="38">
        <f>SUM(N11:Q11)</f>
        <v/>
      </c>
      <c r="S11" s="20">
        <f>IFERROR(S12,"")</f>
        <v/>
      </c>
      <c r="T11" s="20">
        <f>IFERROR(T12,"")</f>
        <v/>
      </c>
      <c r="U11" s="20">
        <f>IFERROR(U12,"")</f>
        <v/>
      </c>
      <c r="V11" s="20">
        <f>IFERROR(V12,"")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7" t="n"/>
      <c r="I12" s="18" t="n"/>
      <c r="J12" s="19" t="n"/>
      <c r="K12" s="20">
        <f>IFERROR((J24*변수!$D$50-J22*변수!$D$51)/4,"")</f>
        <v/>
      </c>
      <c r="L12" s="20">
        <f>IFERROR((K24*변수!$D$50-K22*변수!$D$51)/4,"")</f>
        <v/>
      </c>
      <c r="M12" s="38">
        <f>SUM(I12:L12)</f>
        <v/>
      </c>
      <c r="N12" s="20">
        <f>IFERROR((L24*변수!$D$50-L22*변수!$D$51)/4,"")</f>
        <v/>
      </c>
      <c r="O12" s="20">
        <f>IFERROR((N24*변수!$D$50-N22*변수!$D$51)/4,"")</f>
        <v/>
      </c>
      <c r="P12" s="20">
        <f>IFERROR((O24*변수!$D$50-O22*변수!$D$51)/4,"")</f>
        <v/>
      </c>
      <c r="Q12" s="20">
        <f>IFERROR((P24*변수!$D$50-P22*변수!$D$51)/4,"")</f>
        <v/>
      </c>
      <c r="R12" s="38">
        <f>SUM(N12:Q12)</f>
        <v/>
      </c>
      <c r="S12" s="20">
        <f>IFERROR((Q24*변수!$D$50-Q22*변수!$D$51)/4,"")</f>
        <v/>
      </c>
      <c r="T12" s="20">
        <f>IFERROR((S24*변수!$D$50-S22*변수!$D$51)/4,"")</f>
        <v/>
      </c>
      <c r="U12" s="20">
        <f>IFERROR((T24*변수!$D$50-T22*변수!$D$51)/4,"")</f>
        <v/>
      </c>
      <c r="V12" s="20">
        <f>IFERROR((U24*변수!$D$50-U22*변수!$D$51)/4,"")</f>
        <v/>
      </c>
      <c r="W12" s="38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변수!K24</f>
        <v/>
      </c>
      <c r="L13" s="20">
        <f>변수!L24</f>
        <v/>
      </c>
      <c r="M13" s="38">
        <f>SUM(I13:L13)</f>
        <v/>
      </c>
      <c r="N13" s="20">
        <f>변수!N24</f>
        <v/>
      </c>
      <c r="O13" s="20">
        <f>변수!O24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8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8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8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7" t="n"/>
      <c r="I15" s="18" t="n"/>
      <c r="J15" s="19">
        <f>IFERROR(VLOOKUP($D15,BS별도,MATCH(J$1,BS별도H,0),0)/100,"")</f>
        <v/>
      </c>
      <c r="K15" s="20">
        <f>IFERROR(K14*변수!K25,"")</f>
        <v/>
      </c>
      <c r="L15" s="20">
        <f>IFERROR(L14*변수!L25,"")</f>
        <v/>
      </c>
      <c r="M15" s="38">
        <f>SUM(I15:L15)</f>
        <v/>
      </c>
      <c r="N15" s="20">
        <f>IFERROR(N14*변수!N25,"")</f>
        <v/>
      </c>
      <c r="O15" s="20">
        <f>IFERROR(O14*변수!O25,"")</f>
        <v/>
      </c>
      <c r="P15" s="20">
        <f>IFERROR(P14*변수!P25,"")</f>
        <v/>
      </c>
      <c r="Q15" s="20">
        <f>IFERROR(Q14*변수!Q25,"")</f>
        <v/>
      </c>
      <c r="R15" s="38">
        <f>SUM(N15:Q15)</f>
        <v/>
      </c>
      <c r="S15" s="20">
        <f>IFERROR(S14*변수!S25,"")</f>
        <v/>
      </c>
      <c r="T15" s="20">
        <f>IFERROR(T14*변수!T25,"")</f>
        <v/>
      </c>
      <c r="U15" s="20">
        <f>IFERROR(U14*변수!U25,"")</f>
        <v/>
      </c>
      <c r="V15" s="20">
        <f>IFERROR(V14*변수!V25,"")</f>
        <v/>
      </c>
      <c r="W15" s="38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8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8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8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IFERROR(K16*변수!K26,"")</f>
        <v/>
      </c>
      <c r="L17" s="20">
        <f>IFERROR(L16*변수!L26,"")</f>
        <v/>
      </c>
      <c r="M17" s="38">
        <f>SUM(I17:L17)</f>
        <v/>
      </c>
      <c r="N17" s="20">
        <f>IFERROR(N16*변수!N26,"")</f>
        <v/>
      </c>
      <c r="O17" s="20">
        <f>IFERROR(O16*변수!O26,"")</f>
        <v/>
      </c>
      <c r="P17" s="20">
        <f>IFERROR(P16*변수!P26,"")</f>
        <v/>
      </c>
      <c r="Q17" s="20">
        <f>IFERROR(Q16*변수!Q26,"")</f>
        <v/>
      </c>
      <c r="R17" s="38">
        <f>SUM(N17:Q17)</f>
        <v/>
      </c>
      <c r="S17" s="20">
        <f>IFERROR(S16*변수!S26,"")</f>
        <v/>
      </c>
      <c r="T17" s="20">
        <f>IFERROR(T16*변수!T26,"")</f>
        <v/>
      </c>
      <c r="U17" s="20">
        <f>IFERROR(U16*변수!U26,"")</f>
        <v/>
      </c>
      <c r="V17" s="20">
        <f>IFERROR(V16*변수!V26,"")</f>
        <v/>
      </c>
      <c r="W17" s="38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8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8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8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7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IFERROR(J19*(1+변수!K27),"")</f>
        <v/>
      </c>
      <c r="L19" s="20">
        <f>IFERROR(K19*(1+변수!L27),"")</f>
        <v/>
      </c>
      <c r="M19" s="38">
        <f>L19</f>
        <v/>
      </c>
      <c r="N19" s="20">
        <f>IFERROR(L19*(1+변수!N27),"")</f>
        <v/>
      </c>
      <c r="O19" s="20">
        <f>IFERROR(N19*(1+변수!O27),"")</f>
        <v/>
      </c>
      <c r="P19" s="20">
        <f>IFERROR(O19*(1+변수!P27),"")</f>
        <v/>
      </c>
      <c r="Q19" s="20">
        <f>IFERROR(P19*(1+변수!Q27),"")</f>
        <v/>
      </c>
      <c r="R19" s="38">
        <f>Q19</f>
        <v/>
      </c>
      <c r="S19" s="20">
        <f>IFERROR(Q19*(1+변수!S27),"")</f>
        <v/>
      </c>
      <c r="T19" s="20">
        <f>IFERROR(S19*(1+변수!T27),"")</f>
        <v/>
      </c>
      <c r="U19" s="20">
        <f>IFERROR(T19*(1+변수!U27),"")</f>
        <v/>
      </c>
      <c r="V19" s="20">
        <f>IFERROR(U19*(1+변수!V27),"")</f>
        <v/>
      </c>
      <c r="W19" s="38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IFERROR(J20+K16-변수!K28,"")</f>
        <v/>
      </c>
      <c r="L20" s="20">
        <f>IFERROR(K20+L16-변수!L28,"")</f>
        <v/>
      </c>
      <c r="M20" s="38">
        <f>L20</f>
        <v/>
      </c>
      <c r="N20" s="20">
        <f>IFERROR(L20+N16-변수!N28,"")</f>
        <v/>
      </c>
      <c r="O20" s="20">
        <f>IFERROR(N20+O16-변수!O28,"")</f>
        <v/>
      </c>
      <c r="P20" s="20">
        <f>IFERROR(O20+P16-변수!P28,"")</f>
        <v/>
      </c>
      <c r="Q20" s="20">
        <f>IFERROR(P20+Q16-변수!Q28,"")</f>
        <v/>
      </c>
      <c r="R20" s="38">
        <f>Q20</f>
        <v/>
      </c>
      <c r="S20" s="20">
        <f>IFERROR(Q20+S16-변수!S28,"")</f>
        <v/>
      </c>
      <c r="T20" s="20">
        <f>IFERROR(S20+T16-변수!T28,"")</f>
        <v/>
      </c>
      <c r="U20" s="20">
        <f>IFERROR(T20+U16-변수!U28,"")</f>
        <v/>
      </c>
      <c r="V20" s="20">
        <f>IFERROR(U20+V16-변수!V28,"")</f>
        <v/>
      </c>
      <c r="W20" s="38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IFERROR(J21+K17-변수!K29,"")</f>
        <v/>
      </c>
      <c r="L21" s="20">
        <f>IFERROR(K21+L17-변수!L29,"")</f>
        <v/>
      </c>
      <c r="M21" s="38">
        <f>L21</f>
        <v/>
      </c>
      <c r="N21" s="20">
        <f>IFERROR(L21+N17-변수!N29,"")</f>
        <v/>
      </c>
      <c r="O21" s="20">
        <f>IFERROR(N21+O17-변수!O29,"")</f>
        <v/>
      </c>
      <c r="P21" s="20">
        <f>IFERROR(O21+P17-변수!P29,"")</f>
        <v/>
      </c>
      <c r="Q21" s="20">
        <f>IFERROR(P21+Q17-변수!Q29,"")</f>
        <v/>
      </c>
      <c r="R21" s="38">
        <f>Q21</f>
        <v/>
      </c>
      <c r="S21" s="20">
        <f>IFERROR(Q21+S17-변수!S29,"")</f>
        <v/>
      </c>
      <c r="T21" s="20">
        <f>IFERROR(S21+T17-변수!T29,"")</f>
        <v/>
      </c>
      <c r="U21" s="20">
        <f>IFERROR(T21+U17-변수!U29,"")</f>
        <v/>
      </c>
      <c r="V21" s="20">
        <f>IFERROR(U21+V17-변수!V29,"")</f>
        <v/>
      </c>
      <c r="W21" s="38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IFERROR(J22*(1+변수!K30),"")</f>
        <v/>
      </c>
      <c r="L22" s="20">
        <f>IFERROR(K22*(1+변수!L30),"")</f>
        <v/>
      </c>
      <c r="M22" s="38">
        <f>L22</f>
        <v/>
      </c>
      <c r="N22" s="20">
        <f>IFERROR(L22*(1+변수!N30),"")</f>
        <v/>
      </c>
      <c r="O22" s="20">
        <f>IFERROR(N22*(1+변수!O30),"")</f>
        <v/>
      </c>
      <c r="P22" s="20">
        <f>IFERROR(O22*(1+변수!P30),"")</f>
        <v/>
      </c>
      <c r="Q22" s="20">
        <f>IFERROR(P22*(1+변수!Q30),"")</f>
        <v/>
      </c>
      <c r="R22" s="38">
        <f>Q22</f>
        <v/>
      </c>
      <c r="S22" s="20">
        <f>IFERROR(Q22*(1+변수!S30),"")</f>
        <v/>
      </c>
      <c r="T22" s="20">
        <f>IFERROR(S22*(1+변수!T30),"")</f>
        <v/>
      </c>
      <c r="U22" s="20">
        <f>IFERROR(T22*(1+변수!U30),"")</f>
        <v/>
      </c>
      <c r="V22" s="20">
        <f>IFERROR(U22*(1+변수!V30),"")</f>
        <v/>
      </c>
      <c r="W22" s="38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IFERROR(J23*(1+변수!K31),"")</f>
        <v/>
      </c>
      <c r="L23" s="20">
        <f>IFERROR(K23*(1+변수!L31),"")</f>
        <v/>
      </c>
      <c r="M23" s="38">
        <f>L23</f>
        <v/>
      </c>
      <c r="N23" s="20">
        <f>IFERROR(L23*(1+변수!N31),"")</f>
        <v/>
      </c>
      <c r="O23" s="20">
        <f>IFERROR(N23*(1+변수!O31),"")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IFERROR(J24*(1+변수!K32),"")</f>
        <v/>
      </c>
      <c r="L24" s="20">
        <f>IFERROR(K24*(1+변수!L32),"")</f>
        <v/>
      </c>
      <c r="M24" s="38">
        <f>L24</f>
        <v/>
      </c>
      <c r="N24" s="20">
        <f>IFERROR(L24*(1+변수!N32),"")</f>
        <v/>
      </c>
      <c r="O24" s="20">
        <f>IFERROR(N24*(1+변수!O32),"")</f>
        <v/>
      </c>
      <c r="P24" s="20">
        <f>IFERROR(O24*(1+변수!P32),"")</f>
        <v/>
      </c>
      <c r="Q24" s="20">
        <f>IFERROR(P24*(1+변수!Q32),"")</f>
        <v/>
      </c>
      <c r="R24" s="38">
        <f>Q24</f>
        <v/>
      </c>
      <c r="S24" s="20">
        <f>IFERROR(Q24*(1+변수!S32),"")</f>
        <v/>
      </c>
      <c r="T24" s="20">
        <f>IFERROR(S24*(1+변수!T32),"")</f>
        <v/>
      </c>
      <c r="U24" s="20">
        <f>IFERROR(T24*(1+변수!U32),"")</f>
        <v/>
      </c>
      <c r="V24" s="20">
        <f>IFERROR(U24*(1+변수!V32),"")</f>
        <v/>
      </c>
      <c r="W24" s="38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8">
        <f>L25</f>
        <v/>
      </c>
      <c r="N25" s="20" t="n"/>
      <c r="O25" s="20" t="n"/>
      <c r="P25" s="20" t="n"/>
      <c r="Q25" s="20" t="n"/>
      <c r="R25" s="38">
        <f>Q25</f>
        <v/>
      </c>
      <c r="S25" s="20" t="n"/>
      <c r="T25" s="20" t="n"/>
      <c r="U25" s="20" t="n"/>
      <c r="V25" s="20" t="n"/>
      <c r="W25" s="38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>
        <f>IFERROR(F26*(1+변수!K34),"")</f>
        <v/>
      </c>
      <c r="L26" s="20">
        <f>IFERROR(G26*(1+변수!L34),"")</f>
        <v/>
      </c>
      <c r="M26" s="38">
        <f>SUM(I26:L26)</f>
        <v/>
      </c>
      <c r="N26" s="20">
        <f>IFERROR(I26*(1+변수!N34),"")</f>
        <v/>
      </c>
      <c r="O26" s="20">
        <f>IFERROR(J26*(1+변수!O34),"")</f>
        <v/>
      </c>
      <c r="P26" s="20">
        <f>IFERROR(K26*(1+변수!P34),"")</f>
        <v/>
      </c>
      <c r="Q26" s="20">
        <f>IFERROR(L26*(1+변수!Q34),"")</f>
        <v/>
      </c>
      <c r="R26" s="38">
        <f>SUM(N26:Q26)</f>
        <v/>
      </c>
      <c r="S26" s="20">
        <f>IFERROR(N26*(1+변수!S34),"")</f>
        <v/>
      </c>
      <c r="T26" s="20">
        <f>IFERROR(O26*(1+변수!T34),"")</f>
        <v/>
      </c>
      <c r="U26" s="20">
        <f>IFERROR(P26*(1+변수!U34),"")</f>
        <v/>
      </c>
      <c r="V26" s="20">
        <f>IFERROR(Q26*(1+변수!V34),"")</f>
        <v/>
      </c>
      <c r="W26" s="38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/>
      <c r="I27" s="18">
        <f>IFERROR(VLOOKUP($D27,BS별도,MATCH(I$1,BS별도H,0),0)/100,"")</f>
        <v/>
      </c>
      <c r="J27" s="19">
        <f>IFERROR(VLOOKUP($D27,BS별도,MATCH(J$1,BS별도H,0),0)/100,"")</f>
        <v/>
      </c>
      <c r="K27" s="20" t="n"/>
      <c r="L27" s="20" t="n"/>
      <c r="M27" s="38">
        <f>SUM(I27:L27)</f>
        <v/>
      </c>
      <c r="N27" s="20" t="n"/>
      <c r="O27" s="20" t="n"/>
      <c r="P27" s="20" t="n"/>
      <c r="Q27" s="20" t="n"/>
      <c r="R27" s="38">
        <f>SUM(N27:Q27)</f>
        <v/>
      </c>
      <c r="S27" s="20" t="n"/>
      <c r="T27" s="20" t="n"/>
      <c r="U27" s="20" t="n"/>
      <c r="V27" s="20" t="n"/>
      <c r="W27" s="38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8.241</v>
      </c>
      <c r="F28" s="27" t="n">
        <v>8.241</v>
      </c>
      <c r="G28" s="27" t="n">
        <v>8.241</v>
      </c>
      <c r="H28" s="28">
        <f>G28</f>
        <v/>
      </c>
      <c r="I28" s="27" t="n">
        <v>8.241</v>
      </c>
      <c r="J28" s="29" t="n">
        <v>8.241</v>
      </c>
      <c r="K28" s="33">
        <f>IFERROR(J28*(1+변수!K36),"")</f>
        <v/>
      </c>
      <c r="L28" s="33">
        <f>IFERROR(K28*(1+변수!L36),"")</f>
        <v/>
      </c>
      <c r="M28" s="31">
        <f>L28</f>
        <v/>
      </c>
      <c r="N28" s="33">
        <f>IFERROR(L28*(1+변수!N36),"")</f>
        <v/>
      </c>
      <c r="O28" s="33">
        <f>IFERROR(N28*(1+변수!O36),"")</f>
        <v/>
      </c>
      <c r="P28" s="33">
        <f>IFERROR(O28*(1+변수!P36),"")</f>
        <v/>
      </c>
      <c r="Q28" s="33">
        <f>IFERROR(P28*(1+변수!Q36),"")</f>
        <v/>
      </c>
      <c r="R28" s="31">
        <f>Q28</f>
        <v/>
      </c>
      <c r="S28" s="33">
        <f>IFERROR(Q28*(1+변수!S36),"")</f>
        <v/>
      </c>
      <c r="T28" s="33">
        <f>IFERROR(S28*(1+변수!T36),"")</f>
        <v/>
      </c>
      <c r="U28" s="33">
        <f>IFERROR(T28*(1+변수!U36),"")</f>
        <v/>
      </c>
      <c r="V28" s="33">
        <f>IFERROR(U28*(1+변수!V36),"")</f>
        <v/>
      </c>
      <c r="W28" s="31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7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8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8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8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7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8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8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8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7" t="n">
        <v>0</v>
      </c>
      <c r="I31" s="18" t="n"/>
      <c r="J31" s="19" t="n"/>
      <c r="K31" s="20" t="n"/>
      <c r="L31" s="20">
        <f>변수!L37</f>
        <v/>
      </c>
      <c r="M31" s="38">
        <f>SUM(I31:L31)</f>
        <v/>
      </c>
      <c r="N31" s="20" t="n"/>
      <c r="O31" s="20" t="n"/>
      <c r="P31" s="20" t="n"/>
      <c r="Q31" s="20">
        <f>변수!Q37</f>
        <v/>
      </c>
      <c r="R31" s="38">
        <f>SUM(N31:Q31)</f>
        <v/>
      </c>
      <c r="S31" s="20" t="n"/>
      <c r="T31" s="20" t="n"/>
      <c r="U31" s="20" t="n"/>
      <c r="V31" s="20">
        <f>변수!V37</f>
        <v/>
      </c>
      <c r="W31" s="38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3" t="n"/>
      <c r="G32" s="13" t="n"/>
      <c r="H32" s="14">
        <f>G32</f>
        <v/>
      </c>
      <c r="I32" s="13" t="n"/>
      <c r="J32" s="15">
        <f>IFERROR(변수!J18/(F29+G29+I29+J29),"")</f>
        <v/>
      </c>
      <c r="K32" s="39">
        <f>IFERROR(변수!$D$40/(G29+I29+J29+K29),"")</f>
        <v/>
      </c>
      <c r="L32" s="39" t="n"/>
      <c r="M32" s="40">
        <f>L32</f>
        <v/>
      </c>
      <c r="N32" s="39" t="n"/>
      <c r="O32" s="39" t="n"/>
      <c r="P32" s="39" t="n"/>
      <c r="Q32" s="39" t="n"/>
      <c r="R32" s="40">
        <f>Q32</f>
        <v/>
      </c>
      <c r="S32" s="39" t="n"/>
      <c r="T32" s="39" t="n"/>
      <c r="U32" s="39" t="n"/>
      <c r="V32" s="39" t="n"/>
      <c r="W32" s="40">
        <f>V32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3">
        <f>IFERROR(변수!F18/F30,"")</f>
        <v/>
      </c>
      <c r="G33" s="13">
        <f>IFERROR(변수!G18/G30,"")</f>
        <v/>
      </c>
      <c r="H33" s="14">
        <f>G33</f>
        <v/>
      </c>
      <c r="I33" s="13">
        <f>IFERROR(변수!I18/I30,"")</f>
        <v/>
      </c>
      <c r="J33" s="15">
        <f>IFERROR(변수!J18/J30,"")</f>
        <v/>
      </c>
      <c r="K33" s="39">
        <f>IFERROR(변수!$D$40/K30,"")</f>
        <v/>
      </c>
      <c r="L33" s="39">
        <f>IFERROR(변수!$D$40/L30,"")</f>
        <v/>
      </c>
      <c r="M33" s="40">
        <f>L33</f>
        <v/>
      </c>
      <c r="N33" s="39">
        <f>IFERROR(변수!$D$40/N30,"")</f>
        <v/>
      </c>
      <c r="O33" s="39">
        <f>IFERROR(변수!$D$40/O30,"")</f>
        <v/>
      </c>
      <c r="P33" s="39">
        <f>IFERROR(변수!$D$40/P30,"")</f>
        <v/>
      </c>
      <c r="Q33" s="39">
        <f>IFERROR(변수!$D$40/Q30,"")</f>
        <v/>
      </c>
      <c r="R33" s="40">
        <f>Q33</f>
        <v/>
      </c>
      <c r="S33" s="39">
        <f>IFERROR(변수!$D$40/S30,"")</f>
        <v/>
      </c>
      <c r="T33" s="39">
        <f>IFERROR(변수!$D$40/T30,"")</f>
        <v/>
      </c>
      <c r="U33" s="39">
        <f>IFERROR(변수!$D$40/U30,"")</f>
        <v/>
      </c>
      <c r="V33" s="39">
        <f>IFERROR(변수!$D$40/V30,"")</f>
        <v/>
      </c>
      <c r="W33" s="40">
        <f>V33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7" t="n"/>
      <c r="I34" s="18" t="n">
        <v>39.88</v>
      </c>
      <c r="J34" s="19" t="n">
        <v>99.52</v>
      </c>
      <c r="K34" s="20">
        <f>IFERROR(K5,"")</f>
        <v/>
      </c>
      <c r="L34" s="20">
        <f>IFERROR(L5,"")</f>
        <v/>
      </c>
      <c r="M34" s="38">
        <f>SUM(I34:L34)</f>
        <v/>
      </c>
      <c r="N34" s="20">
        <f>IFERROR(N5,"")</f>
        <v/>
      </c>
      <c r="O34" s="20">
        <f>IFERROR(O5,"")</f>
        <v/>
      </c>
      <c r="P34" s="20">
        <f>IFERROR(P5,"")</f>
        <v/>
      </c>
      <c r="Q34" s="20">
        <f>IFERROR(Q5,"")</f>
        <v/>
      </c>
      <c r="R34" s="38">
        <f>SUM(N34:Q34)</f>
        <v/>
      </c>
      <c r="S34" s="20">
        <f>IFERROR(S5,"")</f>
        <v/>
      </c>
      <c r="T34" s="20">
        <f>IFERROR(T5,"")</f>
        <v/>
      </c>
      <c r="U34" s="20">
        <f>IFERROR(U5,"")</f>
        <v/>
      </c>
      <c r="V34" s="20">
        <f>IFERROR(V5,"")</f>
        <v/>
      </c>
      <c r="W34" s="38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7" t="n"/>
      <c r="I35" s="18" t="n">
        <v>-20.14</v>
      </c>
      <c r="J35" s="19" t="n">
        <v>5.43</v>
      </c>
      <c r="K35" s="20">
        <f>IFERROR(K9,"")</f>
        <v/>
      </c>
      <c r="L35" s="20">
        <f>IFERROR(L9,"")</f>
        <v/>
      </c>
      <c r="M35" s="38">
        <f>SUM(I35:L35)</f>
        <v/>
      </c>
      <c r="N35" s="20">
        <f>IFERROR(N9,"")</f>
        <v/>
      </c>
      <c r="O35" s="20">
        <f>IFERROR(O9,"")</f>
        <v/>
      </c>
      <c r="P35" s="20">
        <f>IFERROR(P9,"")</f>
        <v/>
      </c>
      <c r="Q35" s="20">
        <f>IFERROR(Q9,"")</f>
        <v/>
      </c>
      <c r="R35" s="38">
        <f>SUM(N35:Q35)</f>
        <v/>
      </c>
      <c r="S35" s="20">
        <f>IFERROR(S9,"")</f>
        <v/>
      </c>
      <c r="T35" s="20">
        <f>IFERROR(T9,"")</f>
        <v/>
      </c>
      <c r="U35" s="20">
        <f>IFERROR(U9,"")</f>
        <v/>
      </c>
      <c r="V35" s="20">
        <f>IFERROR(V9,"")</f>
        <v/>
      </c>
      <c r="W35" s="38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1">
        <f>IFERROR(F17/F5,"")</f>
        <v/>
      </c>
      <c r="G37" s="21">
        <f>IFERROR(G17/G5,"")</f>
        <v/>
      </c>
      <c r="H37" s="22">
        <f>IFERROR(H17/H5,"")</f>
        <v/>
      </c>
      <c r="I37" s="21">
        <f>IFERROR(I17/I5,"")</f>
        <v/>
      </c>
      <c r="J37" s="23">
        <f>IFERROR(J17/J5,"")</f>
        <v/>
      </c>
      <c r="K37" s="32">
        <f>IFERROR(K17/K5,"")</f>
        <v/>
      </c>
      <c r="L37" s="32">
        <f>IFERROR(L17/L5,"")</f>
        <v/>
      </c>
      <c r="M37" s="25">
        <f>IFERROR(M17/M5,"")</f>
        <v/>
      </c>
      <c r="N37" s="32">
        <f>IFERROR(N17/N5,"")</f>
        <v/>
      </c>
      <c r="O37" s="32">
        <f>IFERROR(O17/O5,"")</f>
        <v/>
      </c>
      <c r="P37" s="32">
        <f>IFERROR(P17/P5,"")</f>
        <v/>
      </c>
      <c r="Q37" s="32">
        <f>IFERROR(Q17/Q5,"")</f>
        <v/>
      </c>
      <c r="R37" s="25">
        <f>IFERROR(R17/R5,"")</f>
        <v/>
      </c>
      <c r="S37" s="32">
        <f>IFERROR(S17/S5,"")</f>
        <v/>
      </c>
      <c r="T37" s="32">
        <f>IFERROR(T17/T5,"")</f>
        <v/>
      </c>
      <c r="U37" s="32">
        <f>IFERROR(U17/U5,"")</f>
        <v/>
      </c>
      <c r="V37" s="32">
        <f>IFERROR(V17/V5,"")</f>
        <v/>
      </c>
      <c r="W37" s="25">
        <f>IFERROR(W17/W5,"")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2">
        <f>IFERROR(K6/K5,"")</f>
        <v/>
      </c>
      <c r="L38" s="32">
        <f>IFERROR(L6/L5,"")</f>
        <v/>
      </c>
      <c r="M38" s="25">
        <f>IFERROR(M6/M5,"")</f>
        <v/>
      </c>
      <c r="N38" s="32">
        <f>IFERROR(N6/N5,"")</f>
        <v/>
      </c>
      <c r="O38" s="32">
        <f>IFERROR(O6/O5,"")</f>
        <v/>
      </c>
      <c r="P38" s="32">
        <f>IFERROR(P6/P5,"")</f>
        <v/>
      </c>
      <c r="Q38" s="32">
        <f>IFERROR(Q6/Q5,"")</f>
        <v/>
      </c>
      <c r="R38" s="25">
        <f>IFERROR(R6/R5,"")</f>
        <v/>
      </c>
      <c r="S38" s="32">
        <f>IFERROR(S6/S5,"")</f>
        <v/>
      </c>
      <c r="T38" s="32">
        <f>IFERROR(T6/T5,"")</f>
        <v/>
      </c>
      <c r="U38" s="32">
        <f>IFERROR(U6/U5,"")</f>
        <v/>
      </c>
      <c r="V38" s="32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2">
        <f>IFERROR(K8/K5,"")</f>
        <v/>
      </c>
      <c r="L39" s="32">
        <f>IFERROR(L8/L5,"")</f>
        <v/>
      </c>
      <c r="M39" s="25">
        <f>IFERROR(M8/M5,"")</f>
        <v/>
      </c>
      <c r="N39" s="32">
        <f>IFERROR(N8/N5,"")</f>
        <v/>
      </c>
      <c r="O39" s="32">
        <f>IFERROR(O8/O5,"")</f>
        <v/>
      </c>
      <c r="P39" s="32">
        <f>IFERROR(P8/P5,"")</f>
        <v/>
      </c>
      <c r="Q39" s="32">
        <f>IFERROR(Q8/Q5,"")</f>
        <v/>
      </c>
      <c r="R39" s="25">
        <f>IFERROR(R8/R5,"")</f>
        <v/>
      </c>
      <c r="S39" s="32">
        <f>IFERROR(S8/S5,"")</f>
        <v/>
      </c>
      <c r="T39" s="32">
        <f>IFERROR(T8/T5,"")</f>
        <v/>
      </c>
      <c r="U39" s="32">
        <f>IFERROR(U8/U5,"")</f>
        <v/>
      </c>
      <c r="V39" s="32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1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4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  <c r="M28" s="33">
        <f>IFERROR(VLOOKUP($A28,subQ,MATCH(M$1,SUBQH,0),0),"")</f>
        <v/>
      </c>
      <c r="N28" s="33">
        <f>IFERROR(VLOOKUP($A28,subQ,MATCH(N$1,SUBQH,0),0),"")</f>
        <v/>
      </c>
      <c r="O28" s="33">
        <f>IFERROR(VLOOKUP($A28,subQ,MATCH(O$1,SUBQH,0),0),"")</f>
        <v/>
      </c>
      <c r="P28" s="33">
        <f>IFERROR(VLOOKUP($A28,subQ,MATCH(P$1,SUBQH,0),0),"")</f>
        <v/>
      </c>
      <c r="Q28" s="33">
        <f>IFERROR(VLOOKUP($A28,subQ,MATCH(Q$1,SUBQH,0),0),"")</f>
        <v/>
      </c>
      <c r="R28" s="33">
        <f>IFERROR(VLOOKUP($A28,subQ,MATCH(R$1,SUBQH,0),0),"")</f>
        <v/>
      </c>
      <c r="S28" s="33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  <c r="M32" s="39">
        <f>IFERROR(VLOOKUP($A32,subQ,MATCH(M$1,SUBQH,0),0),"")</f>
        <v/>
      </c>
      <c r="N32" s="39">
        <f>IFERROR(VLOOKUP($A32,subQ,MATCH(N$1,SUBQH,0),0),"")</f>
        <v/>
      </c>
      <c r="O32" s="39">
        <f>IFERROR(VLOOKUP($A32,subQ,MATCH(O$1,SUBQH,0),0),"")</f>
        <v/>
      </c>
      <c r="P32" s="39">
        <f>IFERROR(VLOOKUP($A32,subQ,MATCH(P$1,SUBQH,0),0),"")</f>
        <v/>
      </c>
      <c r="Q32" s="39">
        <f>IFERROR(VLOOKUP($A32,subQ,MATCH(Q$1,SUBQH,0),0),"")</f>
        <v/>
      </c>
      <c r="R32" s="39">
        <f>IFERROR(VLOOKUP($A32,subQ,MATCH(R$1,SUBQH,0),0),"")</f>
        <v/>
      </c>
      <c r="S32" s="39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  <c r="M33" s="39">
        <f>IFERROR(VLOOKUP($A33,subQ,MATCH(M$1,SUBQH,0),0),"")</f>
        <v/>
      </c>
      <c r="N33" s="39">
        <f>IFERROR(VLOOKUP($A33,subQ,MATCH(N$1,SUBQH,0),0),"")</f>
        <v/>
      </c>
      <c r="O33" s="39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  <c r="M36" s="32">
        <f>IFERROR(VLOOKUP($A36,subQ,MATCH(M$1,SUBQH,0),0),"")</f>
        <v/>
      </c>
      <c r="N36" s="32">
        <f>IFERROR(VLOOKUP($A36,subQ,MATCH(N$1,SUBQH,0),0),"")</f>
        <v/>
      </c>
      <c r="O36" s="32">
        <f>IFERROR(VLOOKUP($A36,subQ,MATCH(O$1,SUBQH,0),0),"")</f>
        <v/>
      </c>
      <c r="P36" s="32">
        <f>IFERROR(VLOOKUP($A36,subQ,MATCH(P$1,SUBQH,0),0),"")</f>
        <v/>
      </c>
      <c r="Q36" s="32">
        <f>IFERROR(VLOOKUP($A36,subQ,MATCH(Q$1,SUBQH,0),0),"")</f>
        <v/>
      </c>
      <c r="R36" s="32">
        <f>IFERROR(VLOOKUP($A36,subQ,MATCH(R$1,SUBQH,0),0),"")</f>
        <v/>
      </c>
      <c r="S36" s="32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6">
        <f>IFERROR(I5/E5-1,"")</f>
        <v/>
      </c>
      <c r="J37" s="32">
        <f>IFERROR(J5/F5-1,"")</f>
        <v/>
      </c>
      <c r="K37" s="32">
        <f>IFERROR(K5/G5-1,"")</f>
        <v/>
      </c>
      <c r="L37" s="32">
        <f>IFERROR(L5/H5-1,"")</f>
        <v/>
      </c>
      <c r="M37" s="32">
        <f>IFERROR(M5/I5-1,"")</f>
        <v/>
      </c>
      <c r="N37" s="32">
        <f>IFERROR(N5/J5-1,"")</f>
        <v/>
      </c>
      <c r="O37" s="32">
        <f>IFERROR(O5/K5-1,"")</f>
        <v/>
      </c>
      <c r="P37" s="32">
        <f>IFERROR(P5/L5-1,"")</f>
        <v/>
      </c>
      <c r="Q37" s="32">
        <f>IFERROR(Q5/M5-1,"")</f>
        <v/>
      </c>
      <c r="R37" s="32">
        <f>IFERROR(R5/N5-1,"")</f>
        <v/>
      </c>
      <c r="S37" s="32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6">
        <f>IFERROR(I9/E9-1,"")</f>
        <v/>
      </c>
      <c r="J38" s="32">
        <f>IFERROR(J9/F9-1,"")</f>
        <v/>
      </c>
      <c r="K38" s="32">
        <f>IFERROR(K9/G9-1,"")</f>
        <v/>
      </c>
      <c r="L38" s="32">
        <f>IFERROR(L9/H9-1,"")</f>
        <v/>
      </c>
      <c r="M38" s="32">
        <f>IFERROR(M9/I9-1,"")</f>
        <v/>
      </c>
      <c r="N38" s="32">
        <f>IFERROR(N9/J9-1,"")</f>
        <v/>
      </c>
      <c r="O38" s="32">
        <f>IFERROR(O9/K9-1,"")</f>
        <v/>
      </c>
      <c r="P38" s="32">
        <f>IFERROR(P9/L9-1,"")</f>
        <v/>
      </c>
      <c r="Q38" s="32">
        <f>IFERROR(Q9/M9-1,"")</f>
        <v/>
      </c>
      <c r="R38" s="32">
        <f>IFERROR(R9/N9-1,"")</f>
        <v/>
      </c>
      <c r="S38" s="32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6">
        <f>IFERROR(I17/E17-1,"")</f>
        <v/>
      </c>
      <c r="J39" s="32">
        <f>IFERROR(J17/F17-1,"")</f>
        <v/>
      </c>
      <c r="K39" s="32">
        <f>IFERROR(K17/G17-1,"")</f>
        <v/>
      </c>
      <c r="L39" s="32">
        <f>IFERROR(L17/H17-1,"")</f>
        <v/>
      </c>
      <c r="M39" s="32">
        <f>IFERROR(M17/I17-1,"")</f>
        <v/>
      </c>
      <c r="N39" s="32">
        <f>IFERROR(N17/J17-1,"")</f>
        <v/>
      </c>
      <c r="O39" s="32">
        <f>IFERROR(O17/K17-1,"")</f>
        <v/>
      </c>
      <c r="P39" s="32">
        <f>IFERROR(P17/L17-1,"")</f>
        <v/>
      </c>
      <c r="Q39" s="32">
        <f>IFERROR(Q17/M17-1,"")</f>
        <v/>
      </c>
      <c r="R39" s="32">
        <f>IFERROR(R17/N17-1,"")</f>
        <v/>
      </c>
      <c r="S39" s="32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변수!D40</f>
        <v/>
      </c>
      <c r="E2" s="42" t="n"/>
    </row>
    <row r="3">
      <c r="C3" t="inlineStr">
        <is>
          <t>기준일:</t>
        </is>
      </c>
      <c r="D3" t="inlineStr">
        <is>
          <t>20261007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7">
        <f>IFERROR(VLOOKUP($A28,subQ,MATCH(E$1,SUBQH,0),0),"")</f>
        <v/>
      </c>
      <c r="F28" s="33">
        <f>IFERROR(VLOOKUP($A28,subQ,MATCH(F$1,SUBQH,0),0),"")</f>
        <v/>
      </c>
      <c r="G28" s="33">
        <f>IFERROR(VLOOKUP($A28,subQ,MATCH(G$1,SUBQH,0),0),"")</f>
        <v/>
      </c>
      <c r="H28" s="33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8">
        <f>IFERROR(VLOOKUP($A32,subQ,MATCH(E$1,SUBQH,0),0),"")</f>
        <v/>
      </c>
      <c r="F32" s="39">
        <f>IFERROR(VLOOKUP($A32,subQ,MATCH(F$1,SUBQH,0),0),"")</f>
        <v/>
      </c>
      <c r="G32" s="39">
        <f>IFERROR(VLOOKUP($A32,subQ,MATCH(G$1,SUBQH,0),0),"")</f>
        <v/>
      </c>
      <c r="H32" s="39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8">
        <f>IFERROR(VLOOKUP($A33,subQ,MATCH(E$1,SUBQH,0),0),"")</f>
        <v/>
      </c>
      <c r="F33" s="39">
        <f>IFERROR(VLOOKUP($A33,subQ,MATCH(F$1,SUBQH,0),0),"")</f>
        <v/>
      </c>
      <c r="G33" s="39">
        <f>IFERROR(VLOOKUP($A33,subQ,MATCH(G$1,SUBQH,0),0),"")</f>
        <v/>
      </c>
      <c r="H33" s="39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6">
        <f>IFERROR(VLOOKUP($A36,subQ,MATCH(E$1,SUBQH,0),0),"")</f>
        <v/>
      </c>
      <c r="F36" s="32">
        <f>IFERROR(VLOOKUP($A36,subQ,MATCH(F$1,SUBQH,0),0),"")</f>
        <v/>
      </c>
      <c r="G36" s="32">
        <f>IFERROR(VLOOKUP($A36,subQ,MATCH(G$1,SUBQH,0),0),"")</f>
        <v/>
      </c>
      <c r="H36" s="32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42" t="n"/>
      <c r="F37" s="32">
        <f>IFERROR(F5/E5-1,"")</f>
        <v/>
      </c>
      <c r="G37" s="32">
        <f>IFERROR(G5/F5-1,"")</f>
        <v/>
      </c>
      <c r="H37" s="32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42" t="n"/>
      <c r="F38" s="32">
        <f>IFERROR(F9/E9-1,"")</f>
        <v/>
      </c>
      <c r="G38" s="32">
        <f>IFERROR(G9/F9-1,"")</f>
        <v/>
      </c>
      <c r="H38" s="32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42" t="n"/>
      <c r="F39" s="32">
        <f>IFERROR(F17/E17-1,"")</f>
        <v/>
      </c>
      <c r="G39" s="32">
        <f>IFERROR(G17/F17-1,"")</f>
        <v/>
      </c>
      <c r="H39" s="32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2.22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