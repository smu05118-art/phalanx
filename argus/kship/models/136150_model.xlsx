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변수!$C$1:$W$1</definedName>
    <definedName name="환율">변수!$C$6:$W$13</definedName>
    <definedName name="BS연결H">BS연결!$C$1:$W$1</definedName>
    <definedName name="BS연결">BS연결!$C$5:$W$5</definedName>
    <definedName name="BS별도H">BS별도!$C$1:$W$1</definedName>
    <definedName name="BS별도">BS별도!$C$5:$W$76</definedName>
    <definedName name="SUBQH">subQ!$A$1:$W$1</definedName>
    <definedName name="subQ">subQ!$A$5:$W$39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K6" authorId="0" shapeId="0">
      <text>
        <t>모델 assumptions.fx — 가정 — 마지막 ECB 관측치를 2028Q4 까지 평평하게 둔다. 선도환율·컨센서스 아님.</t>
      </text>
    </comment>
    <comment ref="L6" authorId="0" shapeId="0">
      <text>
        <t>모델 assumptions.fx — 가정 — 마지막 ECB 관측치를 2028Q4 까지 평평하게 둔다. 선도환율·컨센서스 아님.</t>
      </text>
    </comment>
    <comment ref="N6" authorId="0" shapeId="0">
      <text>
        <t>모델 assumptions.fx — 가정 — 마지막 ECB 관측치를 2028Q4 까지 평평하게 둔다. 선도환율·컨센서스 아님.</t>
      </text>
    </comment>
    <comment ref="O6" authorId="0" shapeId="0">
      <text>
        <t>모델 assumptions.fx — 가정 — 마지막 ECB 관측치를 2028Q4 까지 평평하게 둔다. 선도환율·컨센서스 아님.</t>
      </text>
    </comment>
    <comment ref="P6" authorId="0" shapeId="0">
      <text>
        <t>모델 assumptions.fx — 가정 — 마지막 ECB 관측치를 2028Q4 까지 평평하게 둔다. 선도환율·컨센서스 아님.</t>
      </text>
    </comment>
    <comment ref="Q6" authorId="0" shapeId="0">
      <text>
        <t>모델 assumptions.fx — 가정 — 마지막 ECB 관측치를 2028Q4 까지 평평하게 둔다. 선도환율·컨센서스 아님.</t>
      </text>
    </comment>
    <comment ref="S6" authorId="0" shapeId="0">
      <text>
        <t>모델 assumptions.fx — 가정 — 마지막 ECB 관측치를 2028Q4 까지 평평하게 둔다. 선도환율·컨센서스 아님.</t>
      </text>
    </comment>
    <comment ref="T6" authorId="0" shapeId="0">
      <text>
        <t>모델 assumptions.fx — 가정 — 마지막 ECB 관측치를 2028Q4 까지 평평하게 둔다. 선도환율·컨센서스 아님.</t>
      </text>
    </comment>
    <comment ref="U6" authorId="0" shapeId="0">
      <text>
        <t>모델 assumptions.fx — 가정 — 마지막 ECB 관측치를 2028Q4 까지 평평하게 둔다. 선도환율·컨센서스 아님.</t>
      </text>
    </comment>
    <comment ref="V6" authorId="0" shapeId="0">
      <text>
        <t>모델 assumptions.fx — 가정 — 마지막 ECB 관측치를 2028Q4 까지 평평하게 둔다. 선도환율·컨센서스 아님.</t>
      </text>
    </comment>
    <comment ref="K7" authorId="0" shapeId="0">
      <text>
        <t>모델 assumptions.fx — 가정 — 마지막 ECB 관측치를 2028Q4 까지 평평하게 둔다. 선도환율·컨센서스 아님.</t>
      </text>
    </comment>
    <comment ref="L7" authorId="0" shapeId="0">
      <text>
        <t>모델 assumptions.fx — 가정 — 마지막 ECB 관측치를 2028Q4 까지 평평하게 둔다. 선도환율·컨센서스 아님.</t>
      </text>
    </comment>
    <comment ref="N7" authorId="0" shapeId="0">
      <text>
        <t>모델 assumptions.fx — 가정 — 마지막 ECB 관측치를 2028Q4 까지 평평하게 둔다. 선도환율·컨센서스 아님.</t>
      </text>
    </comment>
    <comment ref="O7" authorId="0" shapeId="0">
      <text>
        <t>모델 assumptions.fx — 가정 — 마지막 ECB 관측치를 2028Q4 까지 평평하게 둔다. 선도환율·컨센서스 아님.</t>
      </text>
    </comment>
    <comment ref="P7" authorId="0" shapeId="0">
      <text>
        <t>모델 assumptions.fx — 가정 — 마지막 ECB 관측치를 2028Q4 까지 평평하게 둔다. 선도환율·컨센서스 아님.</t>
      </text>
    </comment>
    <comment ref="Q7" authorId="0" shapeId="0">
      <text>
        <t>모델 assumptions.fx — 가정 — 마지막 ECB 관측치를 2028Q4 까지 평평하게 둔다. 선도환율·컨센서스 아님.</t>
      </text>
    </comment>
    <comment ref="S7" authorId="0" shapeId="0">
      <text>
        <t>모델 assumptions.fx — 가정 — 마지막 ECB 관측치를 2028Q4 까지 평평하게 둔다. 선도환율·컨센서스 아님.</t>
      </text>
    </comment>
    <comment ref="T7" authorId="0" shapeId="0">
      <text>
        <t>모델 assumptions.fx — 가정 — 마지막 ECB 관측치를 2028Q4 까지 평평하게 둔다. 선도환율·컨센서스 아님.</t>
      </text>
    </comment>
    <comment ref="U7" authorId="0" shapeId="0">
      <text>
        <t>모델 assumptions.fx — 가정 — 마지막 ECB 관측치를 2028Q4 까지 평평하게 둔다. 선도환율·컨센서스 아님.</t>
      </text>
    </comment>
    <comment ref="V7" authorId="0" shapeId="0">
      <text>
        <t>모델 assumptions.fx — 가정 — 마지막 ECB 관측치를 2028Q4 까지 평평하게 둔다. 선도환율·컨센서스 아님.</t>
      </text>
    </comment>
    <comment ref="L8" authorId="0" shapeId="0">
      <text>
        <t>fx.json quarters(partial — 분기 진행 중 실측 평균)</t>
      </text>
    </comment>
    <comment ref="N8" authorId="0" shapeId="0">
      <text>
        <t>fx.json forward(flat_last_end) — 가정</t>
      </text>
    </comment>
    <comment ref="O8" authorId="0" shapeId="0">
      <text>
        <t>fx.json forward(flat_last_end) — 가정</t>
      </text>
    </comment>
    <comment ref="P8" authorId="0" shapeId="0">
      <text>
        <t>fx.json forward(flat_last_end) — 가정</t>
      </text>
    </comment>
    <comment ref="Q8" authorId="0" shapeId="0">
      <text>
        <t>fx.json forward(flat_last_end) — 가정</t>
      </text>
    </comment>
    <comment ref="S8" authorId="0" shapeId="0">
      <text>
        <t>fx.json forward(flat_last_end) — 가정</t>
      </text>
    </comment>
    <comment ref="T8" authorId="0" shapeId="0">
      <text>
        <t>fx.json forward(flat_last_end) — 가정</t>
      </text>
    </comment>
    <comment ref="U8" authorId="0" shapeId="0">
      <text>
        <t>fx.json forward(flat_last_end) — 가정</t>
      </text>
    </comment>
    <comment ref="V8" authorId="0" shapeId="0">
      <text>
        <t>fx.json forward(flat_last_end) — 가정</t>
      </text>
    </comment>
    <comment ref="L9" authorId="0" shapeId="0">
      <text>
        <t>fx.json quarters(partial — 분기 진행 중 실측 평균)</t>
      </text>
    </comment>
    <comment ref="N9" authorId="0" shapeId="0">
      <text>
        <t>fx.json forward(flat_last_end) — 가정</t>
      </text>
    </comment>
    <comment ref="O9" authorId="0" shapeId="0">
      <text>
        <t>fx.json forward(flat_last_end) — 가정</t>
      </text>
    </comment>
    <comment ref="P9" authorId="0" shapeId="0">
      <text>
        <t>fx.json forward(flat_last_end) — 가정</t>
      </text>
    </comment>
    <comment ref="Q9" authorId="0" shapeId="0">
      <text>
        <t>fx.json forward(flat_last_end) — 가정</t>
      </text>
    </comment>
    <comment ref="S9" authorId="0" shapeId="0">
      <text>
        <t>fx.json forward(flat_last_end) — 가정</t>
      </text>
    </comment>
    <comment ref="T9" authorId="0" shapeId="0">
      <text>
        <t>fx.json forward(flat_last_end) — 가정</t>
      </text>
    </comment>
    <comment ref="U9" authorId="0" shapeId="0">
      <text>
        <t>fx.json forward(flat_last_end) — 가정</t>
      </text>
    </comment>
    <comment ref="V9" authorId="0" shapeId="0">
      <text>
        <t>fx.json forward(flat_last_end) — 가정</t>
      </text>
    </comment>
    <comment ref="L10" authorId="0" shapeId="0">
      <text>
        <t>fx.json quarters(partial — 분기 진행 중 실측 평균)</t>
      </text>
    </comment>
    <comment ref="N10" authorId="0" shapeId="0">
      <text>
        <t>fx.json forward(flat_last_end) — 가정</t>
      </text>
    </comment>
    <comment ref="O10" authorId="0" shapeId="0">
      <text>
        <t>fx.json forward(flat_last_end) — 가정</t>
      </text>
    </comment>
    <comment ref="P10" authorId="0" shapeId="0">
      <text>
        <t>fx.json forward(flat_last_end) — 가정</t>
      </text>
    </comment>
    <comment ref="Q10" authorId="0" shapeId="0">
      <text>
        <t>fx.json forward(flat_last_end) — 가정</t>
      </text>
    </comment>
    <comment ref="S10" authorId="0" shapeId="0">
      <text>
        <t>fx.json forward(flat_last_end) — 가정</t>
      </text>
    </comment>
    <comment ref="T10" authorId="0" shapeId="0">
      <text>
        <t>fx.json forward(flat_last_end) — 가정</t>
      </text>
    </comment>
    <comment ref="U10" authorId="0" shapeId="0">
      <text>
        <t>fx.json forward(flat_last_end) — 가정</t>
      </text>
    </comment>
    <comment ref="V10" authorId="0" shapeId="0">
      <text>
        <t>fx.json forward(flat_last_end) — 가정</t>
      </text>
    </comment>
    <comment ref="L11" authorId="0" shapeId="0">
      <text>
        <t>fx.json quarters(partial — 분기 진행 중 실측 평균)</t>
      </text>
    </comment>
    <comment ref="N11" authorId="0" shapeId="0">
      <text>
        <t>fx.json forward(flat_last_end) — 가정</t>
      </text>
    </comment>
    <comment ref="O11" authorId="0" shapeId="0">
      <text>
        <t>fx.json forward(flat_last_end) — 가정</t>
      </text>
    </comment>
    <comment ref="P11" authorId="0" shapeId="0">
      <text>
        <t>fx.json forward(flat_last_end) — 가정</t>
      </text>
    </comment>
    <comment ref="Q11" authorId="0" shapeId="0">
      <text>
        <t>fx.json forward(flat_last_end) — 가정</t>
      </text>
    </comment>
    <comment ref="S11" authorId="0" shapeId="0">
      <text>
        <t>fx.json forward(flat_last_end) — 가정</t>
      </text>
    </comment>
    <comment ref="T11" authorId="0" shapeId="0">
      <text>
        <t>fx.json forward(flat_last_end) — 가정</t>
      </text>
    </comment>
    <comment ref="U11" authorId="0" shapeId="0">
      <text>
        <t>fx.json forward(flat_last_end) — 가정</t>
      </text>
    </comment>
    <comment ref="V11" authorId="0" shapeId="0">
      <text>
        <t>fx.json forward(flat_last_end) — 가정</t>
      </text>
    </comment>
    <comment ref="L12" authorId="0" shapeId="0">
      <text>
        <t>fx.json quarters(partial — 분기 진행 중 실측 평균)</t>
      </text>
    </comment>
    <comment ref="N12" authorId="0" shapeId="0">
      <text>
        <t>fx.json forward(flat_last_end) — 가정</t>
      </text>
    </comment>
    <comment ref="O12" authorId="0" shapeId="0">
      <text>
        <t>fx.json forward(flat_last_end) — 가정</t>
      </text>
    </comment>
    <comment ref="P12" authorId="0" shapeId="0">
      <text>
        <t>fx.json forward(flat_last_end) — 가정</t>
      </text>
    </comment>
    <comment ref="Q12" authorId="0" shapeId="0">
      <text>
        <t>fx.json forward(flat_last_end) — 가정</t>
      </text>
    </comment>
    <comment ref="S12" authorId="0" shapeId="0">
      <text>
        <t>fx.json forward(flat_last_end) — 가정</t>
      </text>
    </comment>
    <comment ref="T12" authorId="0" shapeId="0">
      <text>
        <t>fx.json forward(flat_last_end) — 가정</t>
      </text>
    </comment>
    <comment ref="U12" authorId="0" shapeId="0">
      <text>
        <t>fx.json forward(flat_last_end) — 가정</t>
      </text>
    </comment>
    <comment ref="V12" authorId="0" shapeId="0">
      <text>
        <t>fx.json forward(flat_last_end) — 가정</t>
      </text>
    </comment>
    <comment ref="L13" authorId="0" shapeId="0">
      <text>
        <t>fx.json quarters(partial — 분기 진행 중 실측 평균)</t>
      </text>
    </comment>
    <comment ref="N13" authorId="0" shapeId="0">
      <text>
        <t>fx.json forward(flat_last_end) — 가정</t>
      </text>
    </comment>
    <comment ref="O13" authorId="0" shapeId="0">
      <text>
        <t>fx.json forward(flat_last_end) — 가정</t>
      </text>
    </comment>
    <comment ref="P13" authorId="0" shapeId="0">
      <text>
        <t>fx.json forward(flat_last_end) — 가정</t>
      </text>
    </comment>
    <comment ref="Q13" authorId="0" shapeId="0">
      <text>
        <t>fx.json forward(flat_last_end) — 가정</t>
      </text>
    </comment>
    <comment ref="S13" authorId="0" shapeId="0">
      <text>
        <t>fx.json forward(flat_last_end) — 가정</t>
      </text>
    </comment>
    <comment ref="T13" authorId="0" shapeId="0">
      <text>
        <t>fx.json forward(flat_last_end) — 가정</t>
      </text>
    </comment>
    <comment ref="U13" authorId="0" shapeId="0">
      <text>
        <t>fx.json forward(flat_last_end) — 가정</t>
      </text>
    </comment>
    <comment ref="V13" authorId="0" shapeId="0">
      <text>
        <t>fx.json forward(flat_last_end) — 가정</t>
      </text>
    </comment>
    <comment ref="L15" authorId="0" shapeId="0">
      <text>
        <t>분기 진행 중(partial) — aikstockdata/토스 일봉</t>
      </text>
    </comment>
    <comment ref="L16" authorId="0" shapeId="0">
      <text>
        <t>분기 진행 중(partial) — aikstockdata/토스 일봉</t>
      </text>
    </comment>
    <comment ref="L17" authorId="0" shapeId="0">
      <text>
        <t>분기 진행 중(partial) — aikstockdata/토스 일봉</t>
      </text>
    </comment>
    <comment ref="L18" authorId="0" shapeId="0">
      <text>
        <t>분기 진행 중(partial) — aikstockdata/토스 일봉</t>
      </text>
    </comment>
    <comment ref="K21" authorId="0" shapeId="0">
      <text>
        <t>모델값 역산(implied): v / 전년동기 − 1
전년동기 × (1+0.0%) — g=최근 4분기 합 YoY 0.0% 클립(−30~+50%), 연차별 절반 감쇠(가정)</t>
      </text>
    </comment>
    <comment ref="L21" authorId="0" shapeId="0">
      <text>
        <t>모델값 역산(implied): v / 전년동기 − 1
전년동기 × (1+0.0%) — g=최근 4분기 합 YoY 0.0% 클립(−30~+50%), 연차별 절반 감쇠(가정)</t>
      </text>
    </comment>
    <comment ref="N21" authorId="0" shapeId="0">
      <text>
        <t>모델값 역산(implied): v / 전년동기 − 1
전년동기 × (1+0.0%) — g=최근 4분기 합 YoY 0.0% 클립(−30~+50%), 연차별 절반 감쇠(가정)</t>
      </text>
    </comment>
    <comment ref="O21" authorId="0" shapeId="0">
      <text>
        <t>모델값 역산(implied): v / 전년동기 − 1
전년동기 × (1+0.0%) — g=최근 4분기 합 YoY 0.0% 클립(−30~+50%), 연차별 절반 감쇠(가정)</t>
      </text>
    </comment>
    <comment ref="P21" authorId="0" shapeId="0">
      <text>
        <t>모델값 역산(implied): v / 전년동기 − 1
전년동기 × (1+0.0%) — g=최근 4분기 합 YoY 0.0% 클립(−30~+50%), 연차별 절반 감쇠(가정)</t>
      </text>
    </comment>
    <comment ref="Q21" authorId="0" shapeId="0">
      <text>
        <t>모델값 역산(implied): v / 전년동기 − 1
전년동기 × (1+0.0%) — g=최근 4분기 합 YoY 0.0% 클립(−30~+50%), 연차별 절반 감쇠(가정)</t>
      </text>
    </comment>
    <comment ref="S21" authorId="0" shapeId="0">
      <text>
        <t>모델값 역산(implied): v / 전년동기 − 1
전년동기 × (1+0.0%) — g=최근 4분기 합 YoY 0.0% 클립(−30~+50%), 연차별 절반 감쇠(가정)</t>
      </text>
    </comment>
    <comment ref="T21" authorId="0" shapeId="0">
      <text>
        <t>모델값 역산(implied): v / 전년동기 − 1
전년동기 × (1+0.0%) — g=최근 4분기 합 YoY 0.0% 클립(−30~+50%), 연차별 절반 감쇠(가정)</t>
      </text>
    </comment>
    <comment ref="U21" authorId="0" shapeId="0">
      <text>
        <t>모델값 역산(implied): v / 전년동기 − 1
전년동기 × (1+0.0%) — g=최근 4분기 합 YoY 0.0% 클립(−30~+50%), 연차별 절반 감쇠(가정)</t>
      </text>
    </comment>
    <comment ref="V21" authorId="0" shapeId="0">
      <text>
        <t>모델값 역산(implied): v / 전년동기 − 1
전년동기 × (1+0.0%) — g=최근 4분기 합 YoY 0.0% 클립(−30~+50%), 연차별 절반 감쇠(가정)</t>
      </text>
    </comment>
    <comment ref="K22" authorId="0" shapeId="0">
      <text>
        <t>3절 스칼라 '판관비율' 참조 — 숫자로 덮어쓰면 이 분기만 바뀐다
매출액 × 판관비율 22.81%(최근 4분기 중위)</t>
      </text>
    </comment>
    <comment ref="L22" authorId="0" shapeId="0">
      <text>
        <t>3절 스칼라 '판관비율' 참조 — 숫자로 덮어쓰면 이 분기만 바뀐다
매출액 × 판관비율 22.81%(최근 4분기 중위)</t>
      </text>
    </comment>
    <comment ref="N22" authorId="0" shapeId="0">
      <text>
        <t>3절 스칼라 '판관비율' 참조 — 숫자로 덮어쓰면 이 분기만 바뀐다
매출액 × 판관비율 22.81%(최근 4분기 중위)</t>
      </text>
    </comment>
    <comment ref="O22" authorId="0" shapeId="0">
      <text>
        <t>3절 스칼라 '판관비율' 참조 — 숫자로 덮어쓰면 이 분기만 바뀐다
매출액 × 판관비율 22.81%(최근 4분기 중위)</t>
      </text>
    </comment>
    <comment ref="P22" authorId="0" shapeId="0">
      <text>
        <t>3절 스칼라 '판관비율' 참조 — 숫자로 덮어쓰면 이 분기만 바뀐다
매출액 × 판관비율 22.81%(최근 4분기 중위)</t>
      </text>
    </comment>
    <comment ref="Q22" authorId="0" shapeId="0">
      <text>
        <t>3절 스칼라 '판관비율' 참조 — 숫자로 덮어쓰면 이 분기만 바뀐다
매출액 × 판관비율 22.81%(최근 4분기 중위)</t>
      </text>
    </comment>
    <comment ref="S22" authorId="0" shapeId="0">
      <text>
        <t>3절 스칼라 '판관비율' 참조 — 숫자로 덮어쓰면 이 분기만 바뀐다
매출액 × 판관비율 22.81%(최근 4분기 중위)</t>
      </text>
    </comment>
    <comment ref="T22" authorId="0" shapeId="0">
      <text>
        <t>3절 스칼라 '판관비율' 참조 — 숫자로 덮어쓰면 이 분기만 바뀐다
매출액 × 판관비율 22.81%(최근 4분기 중위)</t>
      </text>
    </comment>
    <comment ref="U22" authorId="0" shapeId="0">
      <text>
        <t>3절 스칼라 '판관비율' 참조 — 숫자로 덮어쓰면 이 분기만 바뀐다
매출액 × 판관비율 22.81%(최근 4분기 중위)</t>
      </text>
    </comment>
    <comment ref="V22" authorId="0" shapeId="0">
      <text>
        <t>3절 스칼라 '판관비율' 참조 — 숫자로 덮어쓰면 이 분기만 바뀐다
매출액 × 판관비율 22.81%(최근 4분기 중위)</t>
      </text>
    </comment>
    <comment ref="K23" authorId="0" shapeId="0">
      <text>
        <t>모델값 역산(implied): v / 매출액
매출액 × OPM(최근 5분기 OPM 중위 -20.0% 유지(클립 −20~40%))</t>
      </text>
    </comment>
    <comment ref="L23" authorId="0" shapeId="0">
      <text>
        <t>모델값 역산(implied): v / 매출액
매출액 × OPM(최근 5분기 OPM 중위 -20.0% 유지(클립 −20~40%))</t>
      </text>
    </comment>
    <comment ref="N23" authorId="0" shapeId="0">
      <text>
        <t>모델값 역산(implied): v / 매출액
매출액 × OPM(최근 5분기 OPM 중위 -20.0% 유지(클립 −20~40%))</t>
      </text>
    </comment>
    <comment ref="O23" authorId="0" shapeId="0">
      <text>
        <t>모델값 역산(implied): v / 매출액
매출액 × OPM(최근 5분기 OPM 중위 -20.0% 유지(클립 −20~40%))</t>
      </text>
    </comment>
    <comment ref="P23" authorId="0" shapeId="0">
      <text>
        <t>모델값 역산(implied): v / 매출액
매출액 × OPM(최근 5분기 OPM 중위 -20.0% 유지(클립 −20~40%))</t>
      </text>
    </comment>
    <comment ref="Q23" authorId="0" shapeId="0">
      <text>
        <t>모델값 역산(implied): v / 매출액
매출액 × OPM(최근 5분기 OPM 중위 -20.0% 유지(클립 −20~40%))</t>
      </text>
    </comment>
    <comment ref="S23" authorId="0" shapeId="0">
      <text>
        <t>모델값 역산(implied): v / 매출액
매출액 × OPM(최근 5분기 OPM 중위 -20.0% 유지(클립 −20~40%))</t>
      </text>
    </comment>
    <comment ref="T23" authorId="0" shapeId="0">
      <text>
        <t>모델값 역산(implied): v / 매출액
매출액 × OPM(최근 5분기 OPM 중위 -20.0% 유지(클립 −20~40%))</t>
      </text>
    </comment>
    <comment ref="U23" authorId="0" shapeId="0">
      <text>
        <t>모델값 역산(implied): v / 매출액
매출액 × OPM(최근 5분기 OPM 중위 -20.0% 유지(클립 −20~40%))</t>
      </text>
    </comment>
    <comment ref="V23" authorId="0" shapeId="0">
      <text>
        <t>모델값 역산(implied): v / 매출액
매출액 × OPM(최근 5분기 OPM 중위 -20.0% 유지(클립 −20~40%))</t>
      </text>
    </comment>
    <comment ref="K24" authorId="0" shapeId="0">
      <text>
        <t>모델값 역산(implied): 모델 v 그대로
일회성 미가정 → 0</t>
      </text>
    </comment>
    <comment ref="L24" authorId="0" shapeId="0">
      <text>
        <t>모델값 역산(implied): 모델 v 그대로
일회성 미가정 → 0</t>
      </text>
    </comment>
    <comment ref="N24" authorId="0" shapeId="0">
      <text>
        <t>모델값 역산(implied): 모델 v 그대로
일회성 미가정 → 0</t>
      </text>
    </comment>
    <comment ref="O24" authorId="0" shapeId="0">
      <text>
        <t>모델값 역산(implied): 모델 v 그대로
일회성 미가정 → 0</t>
      </text>
    </comment>
    <comment ref="P24" authorId="0" shapeId="0">
      <text>
        <t>모델값 역산(implied): 모델 v 그대로
일회성 미가정 → 0</t>
      </text>
    </comment>
    <comment ref="Q24" authorId="0" shapeId="0">
      <text>
        <t>모델값 역산(implied): 모델 v 그대로
일회성 미가정 → 0</t>
      </text>
    </comment>
    <comment ref="S24" authorId="0" shapeId="0">
      <text>
        <t>모델값 역산(implied): 모델 v 그대로
일회성 미가정 → 0</t>
      </text>
    </comment>
    <comment ref="T24" authorId="0" shapeId="0">
      <text>
        <t>모델값 역산(implied): 모델 v 그대로
일회성 미가정 → 0</t>
      </text>
    </comment>
    <comment ref="U24" authorId="0" shapeId="0">
      <text>
        <t>모델값 역산(implied): 모델 v 그대로
일회성 미가정 → 0</t>
      </text>
    </comment>
    <comment ref="V24" authorId="0" shapeId="0">
      <text>
        <t>모델값 역산(implied): 모델 v 그대로
일회성 미가정 → 0</t>
      </text>
    </comment>
    <comment ref="K25" authorId="0" shapeId="0">
      <text>
        <t>모델값 역산(implied): v / 세전이익
max(세전, 0) × 세율 22.0%(최근 5분기 세전 합 ≤ 0; 세전 &gt; 0 분기 중위 -37.0% 도 5~27% 밖 → 법정세율 근사 22% 가정)</t>
      </text>
    </comment>
    <comment ref="L25" authorId="0" shapeId="0">
      <text>
        <t>모델값 역산(implied): v / 세전이익
max(세전, 0) × 세율 22.0%(최근 5분기 세전 합 ≤ 0; 세전 &gt; 0 분기 중위 -37.0% 도 5~27% 밖 → 법정세율 근사 22% 가정)</t>
      </text>
    </comment>
    <comment ref="N25" authorId="0" shapeId="0">
      <text>
        <t>모델값 역산(implied): v / 세전이익
max(세전, 0) × 세율 22.0%(최근 5분기 세전 합 ≤ 0; 세전 &gt; 0 분기 중위 -37.0% 도 5~27% 밖 → 법정세율 근사 22% 가정)</t>
      </text>
    </comment>
    <comment ref="O25" authorId="0" shapeId="0">
      <text>
        <t>모델값 역산(implied): v / 세전이익
max(세전, 0) × 세율 22.0%(최근 5분기 세전 합 ≤ 0; 세전 &gt; 0 분기 중위 -37.0% 도 5~27% 밖 → 법정세율 근사 22% 가정)</t>
      </text>
    </comment>
    <comment ref="P25" authorId="0" shapeId="0">
      <text>
        <t>모델값 역산(implied): v / 세전이익
max(세전, 0) × 세율 22.0%(최근 5분기 세전 합 ≤ 0; 세전 &gt; 0 분기 중위 -37.0% 도 5~27% 밖 → 법정세율 근사 22% 가정)</t>
      </text>
    </comment>
    <comment ref="Q25" authorId="0" shapeId="0">
      <text>
        <t>모델값 역산(implied): v / 세전이익
max(세전, 0) × 세율 22.0%(최근 5분기 세전 합 ≤ 0; 세전 &gt; 0 분기 중위 -37.0% 도 5~27% 밖 → 법정세율 근사 22% 가정)</t>
      </text>
    </comment>
    <comment ref="S25" authorId="0" shapeId="0">
      <text>
        <t>모델값 역산(implied): v / 세전이익
max(세전, 0) × 세율 22.0%(최근 5분기 세전 합 ≤ 0; 세전 &gt; 0 분기 중위 -37.0% 도 5~27% 밖 → 법정세율 근사 22% 가정)</t>
      </text>
    </comment>
    <comment ref="T25" authorId="0" shapeId="0">
      <text>
        <t>모델값 역산(implied): v / 세전이익
max(세전, 0) × 세율 22.0%(최근 5분기 세전 합 ≤ 0; 세전 &gt; 0 분기 중위 -37.0% 도 5~27% 밖 → 법정세율 근사 22% 가정)</t>
      </text>
    </comment>
    <comment ref="U25" authorId="0" shapeId="0">
      <text>
        <t>모델값 역산(implied): v / 세전이익
max(세전, 0) × 세율 22.0%(최근 5분기 세전 합 ≤ 0; 세전 &gt; 0 분기 중위 -37.0% 도 5~27% 밖 → 법정세율 근사 22% 가정)</t>
      </text>
    </comment>
    <comment ref="V25" authorId="0" shapeId="0">
      <text>
        <t>모델값 역산(implied): v / 세전이익
max(세전, 0) × 세율 22.0%(최근 5분기 세전 합 ≤ 0; 세전 &gt; 0 분기 중위 -37.0% 도 5~27% 밖 → 법정세율 근사 22% 가정)</t>
      </text>
    </comment>
    <comment ref="K26" authorId="0" shapeId="0">
      <text>
        <t>3절 스칼라 '지배주주비중' 참조 — 숫자로 덮어쓰면 이 분기만 바뀐다
당기순이익 × (1 − 비지배 비중 0.0%, 최근 8분기 실측)</t>
      </text>
    </comment>
    <comment ref="L26" authorId="0" shapeId="0">
      <text>
        <t>3절 스칼라 '지배주주비중' 참조 — 숫자로 덮어쓰면 이 분기만 바뀐다
당기순이익 × (1 − 비지배 비중 0.0%, 최근 8분기 실측)</t>
      </text>
    </comment>
    <comment ref="N26" authorId="0" shapeId="0">
      <text>
        <t>3절 스칼라 '지배주주비중' 참조 — 숫자로 덮어쓰면 이 분기만 바뀐다
당기순이익 × (1 − 비지배 비중 0.0%, 최근 8분기 실측)</t>
      </text>
    </comment>
    <comment ref="O26" authorId="0" shapeId="0">
      <text>
        <t>3절 스칼라 '지배주주비중' 참조 — 숫자로 덮어쓰면 이 분기만 바뀐다
당기순이익 × (1 − 비지배 비중 0.0%, 최근 8분기 실측)</t>
      </text>
    </comment>
    <comment ref="P26" authorId="0" shapeId="0">
      <text>
        <t>3절 스칼라 '지배주주비중' 참조 — 숫자로 덮어쓰면 이 분기만 바뀐다
당기순이익 × (1 − 비지배 비중 0.0%, 최근 8분기 실측)</t>
      </text>
    </comment>
    <comment ref="Q26" authorId="0" shapeId="0">
      <text>
        <t>3절 스칼라 '지배주주비중' 참조 — 숫자로 덮어쓰면 이 분기만 바뀐다
당기순이익 × (1 − 비지배 비중 0.0%, 최근 8분기 실측)</t>
      </text>
    </comment>
    <comment ref="S26" authorId="0" shapeId="0">
      <text>
        <t>3절 스칼라 '지배주주비중' 참조 — 숫자로 덮어쓰면 이 분기만 바뀐다
당기순이익 × (1 − 비지배 비중 0.0%, 최근 8분기 실측)</t>
      </text>
    </comment>
    <comment ref="T26" authorId="0" shapeId="0">
      <text>
        <t>3절 스칼라 '지배주주비중' 참조 — 숫자로 덮어쓰면 이 분기만 바뀐다
당기순이익 × (1 − 비지배 비중 0.0%, 최근 8분기 실측)</t>
      </text>
    </comment>
    <comment ref="U26" authorId="0" shapeId="0">
      <text>
        <t>3절 스칼라 '지배주주비중' 참조 — 숫자로 덮어쓰면 이 분기만 바뀐다
당기순이익 × (1 − 비지배 비중 0.0%, 최근 8분기 실측)</t>
      </text>
    </comment>
    <comment ref="V26" authorId="0" shapeId="0">
      <text>
        <t>3절 스칼라 '지배주주비중' 참조 — 숫자로 덮어쓰면 이 분기만 바뀐다
당기순이익 × (1 − 비지배 비중 0.0%, 최근 8분기 실측)</t>
      </text>
    </comment>
    <comment ref="K27" authorId="0" shapeId="0">
      <text>
        <t>모델값 역산(implied): v / 전분기 − 1
마지막 실적 유지(가정)</t>
      </text>
    </comment>
    <comment ref="L27" authorId="0" shapeId="0">
      <text>
        <t>모델값 역산(implied): v / 전분기 − 1
마지막 실적 유지(가정)</t>
      </text>
    </comment>
    <comment ref="N27" authorId="0" shapeId="0">
      <text>
        <t>모델값 역산(implied): v / 전분기 − 1
마지막 실적 유지(가정)</t>
      </text>
    </comment>
    <comment ref="O27" authorId="0" shapeId="0">
      <text>
        <t>모델값 역산(implied): v / 전분기 − 1
마지막 실적 유지(가정)</t>
      </text>
    </comment>
    <comment ref="P27" authorId="0" shapeId="0">
      <text>
        <t>모델값 역산(implied): v / 전분기 − 1
마지막 실적 유지(가정)</t>
      </text>
    </comment>
    <comment ref="Q27" authorId="0" shapeId="0">
      <text>
        <t>모델값 역산(implied): v / 전분기 − 1
마지막 실적 유지(가정)</t>
      </text>
    </comment>
    <comment ref="S27" authorId="0" shapeId="0">
      <text>
        <t>모델값 역산(implied): v / 전분기 − 1
마지막 실적 유지(가정)</t>
      </text>
    </comment>
    <comment ref="T27" authorId="0" shapeId="0">
      <text>
        <t>모델값 역산(implied): v / 전분기 − 1
마지막 실적 유지(가정)</t>
      </text>
    </comment>
    <comment ref="U27" authorId="0" shapeId="0">
      <text>
        <t>모델값 역산(implied): v / 전분기 − 1
마지막 실적 유지(가정)</t>
      </text>
    </comment>
    <comment ref="V27" authorId="0" shapeId="0">
      <text>
        <t>모델값 역산(implied): v / 전분기 − 1
마지막 실적 유지(가정)</t>
      </text>
    </comment>
    <comment ref="K28" authorId="0" shapeId="0">
      <text>
        <t>모델값 역산(implied): 전분기(시트값) + 당기순이익(시트 수식값) − v
전분기 + 당기순이익 − 배당(Q2 지급 가정)</t>
      </text>
    </comment>
    <comment ref="L28" authorId="0" shapeId="0">
      <text>
        <t>모델값 역산(implied): 전분기(시트값) + 당기순이익(시트 수식값) − v
전분기 + 당기순이익 − 배당(Q2 지급 가정)</t>
      </text>
    </comment>
    <comment ref="N28" authorId="0" shapeId="0">
      <text>
        <t>모델값 역산(implied): 전분기(시트값) + 당기순이익(시트 수식값) − v
전분기 + 당기순이익 − 배당(Q2 지급 가정)</t>
      </text>
    </comment>
    <comment ref="O28" authorId="0" shapeId="0">
      <text>
        <t>모델값 역산(implied): 전분기(시트값) + 당기순이익(시트 수식값) − v
전분기 + 당기순이익 − 배당(Q2 지급 가정)</t>
      </text>
    </comment>
    <comment ref="P28" authorId="0" shapeId="0">
      <text>
        <t>모델값 역산(implied): 전분기(시트값) + 당기순이익(시트 수식값) − v
전분기 + 당기순이익 − 배당(Q2 지급 가정)</t>
      </text>
    </comment>
    <comment ref="Q28" authorId="0" shapeId="0">
      <text>
        <t>모델값 역산(implied): 전분기(시트값) + 당기순이익(시트 수식값) − v
전분기 + 당기순이익 − 배당(Q2 지급 가정)</t>
      </text>
    </comment>
    <comment ref="S28" authorId="0" shapeId="0">
      <text>
        <t>모델값 역산(implied): 전분기(시트값) + 당기순이익(시트 수식값) − v
전분기 + 당기순이익 − 배당(Q2 지급 가정)</t>
      </text>
    </comment>
    <comment ref="T28" authorId="0" shapeId="0">
      <text>
        <t>모델값 역산(implied): 전분기(시트값) + 당기순이익(시트 수식값) − v
전분기 + 당기순이익 − 배당(Q2 지급 가정)</t>
      </text>
    </comment>
    <comment ref="U28" authorId="0" shapeId="0">
      <text>
        <t>모델값 역산(implied): 전분기(시트값) + 당기순이익(시트 수식값) − v
전분기 + 당기순이익 − 배당(Q2 지급 가정)</t>
      </text>
    </comment>
    <comment ref="V28" authorId="0" shapeId="0">
      <text>
        <t>모델값 역산(implied): 전분기(시트값) + 당기순이익(시트 수식값) − v
전분기 + 당기순이익 − 배당(Q2 지급 가정)</t>
      </text>
    </comment>
    <comment ref="K29" authorId="0" shapeId="0">
      <text>
        <t>모델값 역산(implied): 전분기(시트값) + 지배주주순이익(시트 수식값) − v
전분기 + 지배주주순이익 − 배당</t>
      </text>
    </comment>
    <comment ref="L29" authorId="0" shapeId="0">
      <text>
        <t>모델값 역산(implied): 전분기(시트값) + 지배주주순이익(시트 수식값) − v
전분기 + 지배주주순이익 − 배당</t>
      </text>
    </comment>
    <comment ref="N29" authorId="0" shapeId="0">
      <text>
        <t>모델값 역산(implied): 전분기(시트값) + 지배주주순이익(시트 수식값) − v
전분기 + 지배주주순이익 − 배당</t>
      </text>
    </comment>
    <comment ref="O29" authorId="0" shapeId="0">
      <text>
        <t>모델값 역산(implied): 전분기(시트값) + 지배주주순이익(시트 수식값) − v
전분기 + 지배주주순이익 − 배당</t>
      </text>
    </comment>
    <comment ref="P29" authorId="0" shapeId="0">
      <text>
        <t>모델값 역산(implied): 전분기(시트값) + 지배주주순이익(시트 수식값) − v
전분기 + 지배주주순이익 − 배당</t>
      </text>
    </comment>
    <comment ref="Q29" authorId="0" shapeId="0">
      <text>
        <t>모델값 역산(implied): 전분기(시트값) + 지배주주순이익(시트 수식값) − v
전분기 + 지배주주순이익 − 배당</t>
      </text>
    </comment>
    <comment ref="S29" authorId="0" shapeId="0">
      <text>
        <t>모델값 역산(implied): 전분기(시트값) + 지배주주순이익(시트 수식값) − v
전분기 + 지배주주순이익 − 배당</t>
      </text>
    </comment>
    <comment ref="T29" authorId="0" shapeId="0">
      <text>
        <t>모델값 역산(implied): 전분기(시트값) + 지배주주순이익(시트 수식값) − v
전분기 + 지배주주순이익 − 배당</t>
      </text>
    </comment>
    <comment ref="U29" authorId="0" shapeId="0">
      <text>
        <t>모델값 역산(implied): 전분기(시트값) + 지배주주순이익(시트 수식값) − v
전분기 + 지배주주순이익 − 배당</t>
      </text>
    </comment>
    <comment ref="V29" authorId="0" shapeId="0">
      <text>
        <t>모델값 역산(implied): 전분기(시트값) + 지배주주순이익(시트 수식값) − v
전분기 + 지배주주순이익 − 배당</t>
      </text>
    </comment>
    <comment ref="K30" authorId="0" shapeId="0">
      <text>
        <t>모델값 역산(implied): v / 전분기 − 1
마지막 실적 유지(가정)</t>
      </text>
    </comment>
    <comment ref="L30" authorId="0" shapeId="0">
      <text>
        <t>모델값 역산(implied): v / 전분기 − 1
마지막 실적 유지(가정)</t>
      </text>
    </comment>
    <comment ref="N30" authorId="0" shapeId="0">
      <text>
        <t>모델값 역산(implied): v / 전분기 − 1
마지막 실적 유지(가정)</t>
      </text>
    </comment>
    <comment ref="O30" authorId="0" shapeId="0">
      <text>
        <t>모델값 역산(implied): v / 전분기 − 1
마지막 실적 유지(가정)</t>
      </text>
    </comment>
    <comment ref="P30" authorId="0" shapeId="0">
      <text>
        <t>모델값 역산(implied): v / 전분기 − 1
마지막 실적 유지(가정)</t>
      </text>
    </comment>
    <comment ref="Q30" authorId="0" shapeId="0">
      <text>
        <t>모델값 역산(implied): v / 전분기 − 1
마지막 실적 유지(가정)</t>
      </text>
    </comment>
    <comment ref="S30" authorId="0" shapeId="0">
      <text>
        <t>모델값 역산(implied): v / 전분기 − 1
마지막 실적 유지(가정)</t>
      </text>
    </comment>
    <comment ref="T30" authorId="0" shapeId="0">
      <text>
        <t>모델값 역산(implied): v / 전분기 − 1
마지막 실적 유지(가정)</t>
      </text>
    </comment>
    <comment ref="U30" authorId="0" shapeId="0">
      <text>
        <t>모델값 역산(implied): v / 전분기 − 1
마지막 실적 유지(가정)</t>
      </text>
    </comment>
    <comment ref="V30" authorId="0" shapeId="0">
      <text>
        <t>모델값 역산(implied): v / 전분기 − 1
마지막 실적 유지(가정)</t>
      </text>
    </comment>
    <comment ref="K31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L31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N31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O31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P31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Q31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S31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T31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U31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V31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K32" authorId="0" shapeId="0">
      <text>
        <t>모델값 역산(implied): v / 전분기 − 1
전분기 + FCF 근사 — 순차입금 롤과 같은 가정</t>
      </text>
    </comment>
    <comment ref="L32" authorId="0" shapeId="0">
      <text>
        <t>모델값 역산(implied): v / 전분기 − 1
전분기 + FCF 근사 — 순차입금 롤과 같은 가정</t>
      </text>
    </comment>
    <comment ref="N32" authorId="0" shapeId="0">
      <text>
        <t>모델값 역산(implied): v / 전분기 − 1
전분기 + FCF 근사 — 순차입금 롤과 같은 가정</t>
      </text>
    </comment>
    <comment ref="O32" authorId="0" shapeId="0">
      <text>
        <t>모델값 역산(implied): v / 전분기 − 1
전분기 + FCF 근사 — 순차입금 롤과 같은 가정</t>
      </text>
    </comment>
    <comment ref="P32" authorId="0" shapeId="0">
      <text>
        <t>모델값 역산(implied): v / 전분기 − 1
전분기 + FCF 근사 — 순차입금 롤과 같은 가정</t>
      </text>
    </comment>
    <comment ref="Q32" authorId="0" shapeId="0">
      <text>
        <t>모델값 역산(implied): v / 전분기 − 1
전분기 + FCF 근사 — 순차입금 롤과 같은 가정</t>
      </text>
    </comment>
    <comment ref="S32" authorId="0" shapeId="0">
      <text>
        <t>모델값 역산(implied): v / 전분기 − 1
전분기 + FCF 근사 — 순차입금 롤과 같은 가정</t>
      </text>
    </comment>
    <comment ref="T32" authorId="0" shapeId="0">
      <text>
        <t>모델값 역산(implied): v / 전분기 − 1
전분기 + FCF 근사 — 순차입금 롤과 같은 가정</t>
      </text>
    </comment>
    <comment ref="U32" authorId="0" shapeId="0">
      <text>
        <t>모델값 역산(implied): v / 전분기 − 1
전분기 + FCF 근사 — 순차입금 롤과 같은 가정</t>
      </text>
    </comment>
    <comment ref="V32" authorId="0" shapeId="0">
      <text>
        <t>모델값 역산(implied): v / 전분기 − 1
전분기 + FCF 근사 — 순차입금 롤과 같은 가정</t>
      </text>
    </comment>
    <comment ref="K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L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N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O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P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Q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S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T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U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V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K36" authorId="0" shapeId="0">
      <text>
        <t>모델값 역산(implied): v / 전분기 − 1
유통주식수 유지 — fin.shares.common_outstanding(2026Q2)</t>
      </text>
    </comment>
    <comment ref="L36" authorId="0" shapeId="0">
      <text>
        <t>모델값 역산(implied): v / 전분기 − 1
유통주식수 유지 — fin.shares.common_outstanding(2026Q2)</t>
      </text>
    </comment>
    <comment ref="N36" authorId="0" shapeId="0">
      <text>
        <t>모델값 역산(implied): v / 전분기 − 1
유통주식수 유지 — fin.shares.common_outstanding(2026Q2)</t>
      </text>
    </comment>
    <comment ref="O36" authorId="0" shapeId="0">
      <text>
        <t>모델값 역산(implied): v / 전분기 − 1
유통주식수 유지 — fin.shares.common_outstanding(2026Q2)</t>
      </text>
    </comment>
    <comment ref="P36" authorId="0" shapeId="0">
      <text>
        <t>모델값 역산(implied): v / 전분기 − 1
유통주식수 유지 — fin.shares.common_outstanding(2026Q2)</t>
      </text>
    </comment>
    <comment ref="Q36" authorId="0" shapeId="0">
      <text>
        <t>모델값 역산(implied): v / 전분기 − 1
유통주식수 유지 — fin.shares.common_outstanding(2026Q2)</t>
      </text>
    </comment>
    <comment ref="S36" authorId="0" shapeId="0">
      <text>
        <t>모델값 역산(implied): v / 전분기 − 1
유통주식수 유지 — fin.shares.common_outstanding(2026Q2)</t>
      </text>
    </comment>
    <comment ref="T36" authorId="0" shapeId="0">
      <text>
        <t>모델값 역산(implied): v / 전분기 − 1
유통주식수 유지 — fin.shares.common_outstanding(2026Q2)</t>
      </text>
    </comment>
    <comment ref="U36" authorId="0" shapeId="0">
      <text>
        <t>모델값 역산(implied): v / 전분기 − 1
유통주식수 유지 — fin.shares.common_outstanding(2026Q2)</t>
      </text>
    </comment>
    <comment ref="V36" authorId="0" shapeId="0">
      <text>
        <t>모델값 역산(implied): v / 전분기 − 1
유통주식수 유지 — fin.shares.common_outstanding(2026Q2)</t>
      </text>
    </comment>
    <comment ref="L37" authorId="0" shapeId="0">
      <text>
        <t>모델값 역산(implied): 모델 v 그대로
직전 결산 DPS 0원 유지</t>
      </text>
    </comment>
    <comment ref="Q37" authorId="0" shapeId="0">
      <text>
        <t>모델값 역산(implied): 모델 v 그대로
직전 결산 DPS 0원 유지</t>
      </text>
    </comment>
    <comment ref="V37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K5" authorId="0" shapeId="0">
      <text>
        <t>추정: 전년동기 × (1+0.0%) — g=최근 4분기 합 YoY 0.0% 클립(−30~+50%), 연차별 절반 감쇠(가정)
[yoy]</t>
      </text>
    </comment>
    <comment ref="L5" authorId="0" shapeId="0">
      <text>
        <t>추정: 전년동기 × (1+0.0%) — g=최근 4분기 합 YoY 0.0% 클립(−30~+50%), 연차별 절반 감쇠(가정)
[yoy]</t>
      </text>
    </comment>
    <comment ref="N5" authorId="0" shapeId="0">
      <text>
        <t>추정: 전년동기 × (1+0.0%) — g=최근 4분기 합 YoY 0.0% 클립(−30~+50%), 연차별 절반 감쇠(가정)
[yoy]</t>
      </text>
    </comment>
    <comment ref="O5" authorId="0" shapeId="0">
      <text>
        <t>추정: 전년동기 × (1+0.0%) — g=최근 4분기 합 YoY 0.0% 클립(−30~+50%), 연차별 절반 감쇠(가정)
[yoy]</t>
      </text>
    </comment>
    <comment ref="P5" authorId="0" shapeId="0">
      <text>
        <t>추정: 전년동기 × (1+0.0%) — g=최근 4분기 합 YoY 0.0% 클립(−30~+50%), 연차별 절반 감쇠(가정)
[yoy]</t>
      </text>
    </comment>
    <comment ref="Q5" authorId="0" shapeId="0">
      <text>
        <t>추정: 전년동기 × (1+0.0%) — g=최근 4분기 합 YoY 0.0% 클립(−30~+50%), 연차별 절반 감쇠(가정)
[yoy]</t>
      </text>
    </comment>
    <comment ref="S5" authorId="0" shapeId="0">
      <text>
        <t>추정: 전년동기 × (1+0.0%) — g=최근 4분기 합 YoY 0.0% 클립(−30~+50%), 연차별 절반 감쇠(가정)
[yoy]</t>
      </text>
    </comment>
    <comment ref="T5" authorId="0" shapeId="0">
      <text>
        <t>추정: 전년동기 × (1+0.0%) — g=최근 4분기 합 YoY 0.0% 클립(−30~+50%), 연차별 절반 감쇠(가정)
[yoy]</t>
      </text>
    </comment>
    <comment ref="U5" authorId="0" shapeId="0">
      <text>
        <t>추정: 전년동기 × (1+0.0%) — g=최근 4분기 합 YoY 0.0% 클립(−30~+50%), 연차별 절반 감쇠(가정)
[yoy]</t>
      </text>
    </comment>
    <comment ref="V5" authorId="0" shapeId="0">
      <text>
        <t>추정: 전년동기 × (1+0.0%) — g=최근 4분기 합 YoY 0.0% 클립(−30~+50%), 연차별 절반 감쇠(가정)
[yoy]</t>
      </text>
    </comment>
    <comment ref="K6" authorId="0" shapeId="0">
      <text>
        <t>추정: 매출액 − 매출총이익(항등식)
[identity]</t>
      </text>
    </comment>
    <comment ref="L6" authorId="0" shapeId="0">
      <text>
        <t>추정: 매출액 − 매출총이익(항등식)
[identity]</t>
      </text>
    </comment>
    <comment ref="N6" authorId="0" shapeId="0">
      <text>
        <t>추정: 매출액 − 매출총이익(항등식)
[identity]</t>
      </text>
    </comment>
    <comment ref="O6" authorId="0" shapeId="0">
      <text>
        <t>추정: 매출액 − 매출총이익(항등식)
[identity]</t>
      </text>
    </comment>
    <comment ref="P6" authorId="0" shapeId="0">
      <text>
        <t>추정: 매출액 − 매출총이익(항등식)
[identity]</t>
      </text>
    </comment>
    <comment ref="Q6" authorId="0" shapeId="0">
      <text>
        <t>추정: 매출액 − 매출총이익(항등식)
[identity]</t>
      </text>
    </comment>
    <comment ref="S6" authorId="0" shapeId="0">
      <text>
        <t>추정: 매출액 − 매출총이익(항등식)
[identity]</t>
      </text>
    </comment>
    <comment ref="T6" authorId="0" shapeId="0">
      <text>
        <t>추정: 매출액 − 매출총이익(항등식)
[identity]</t>
      </text>
    </comment>
    <comment ref="U6" authorId="0" shapeId="0">
      <text>
        <t>추정: 매출액 − 매출총이익(항등식)
[identity]</t>
      </text>
    </comment>
    <comment ref="V6" authorId="0" shapeId="0">
      <text>
        <t>추정: 매출액 − 매출총이익(항등식)
[identity]</t>
      </text>
    </comment>
    <comment ref="K7" authorId="0" shapeId="0">
      <text>
        <t>추정: 영업이익 + 판관비 − 기타영업손익(항등식)
[identity]</t>
      </text>
    </comment>
    <comment ref="L7" authorId="0" shapeId="0">
      <text>
        <t>추정: 영업이익 + 판관비 − 기타영업손익(항등식)
[identity]</t>
      </text>
    </comment>
    <comment ref="N7" authorId="0" shapeId="0">
      <text>
        <t>추정: 영업이익 + 판관비 − 기타영업손익(항등식)
[identity]</t>
      </text>
    </comment>
    <comment ref="O7" authorId="0" shapeId="0">
      <text>
        <t>추정: 영업이익 + 판관비 − 기타영업손익(항등식)
[identity]</t>
      </text>
    </comment>
    <comment ref="P7" authorId="0" shapeId="0">
      <text>
        <t>추정: 영업이익 + 판관비 − 기타영업손익(항등식)
[identity]</t>
      </text>
    </comment>
    <comment ref="Q7" authorId="0" shapeId="0">
      <text>
        <t>추정: 영업이익 + 판관비 − 기타영업손익(항등식)
[identity]</t>
      </text>
    </comment>
    <comment ref="S7" authorId="0" shapeId="0">
      <text>
        <t>추정: 영업이익 + 판관비 − 기타영업손익(항등식)
[identity]</t>
      </text>
    </comment>
    <comment ref="T7" authorId="0" shapeId="0">
      <text>
        <t>추정: 영업이익 + 판관비 − 기타영업손익(항등식)
[identity]</t>
      </text>
    </comment>
    <comment ref="U7" authorId="0" shapeId="0">
      <text>
        <t>추정: 영업이익 + 판관비 − 기타영업손익(항등식)
[identity]</t>
      </text>
    </comment>
    <comment ref="V7" authorId="0" shapeId="0">
      <text>
        <t>추정: 영업이익 + 판관비 − 기타영업손익(항등식)
[identity]</t>
      </text>
    </comment>
    <comment ref="K8" authorId="0" shapeId="0">
      <text>
        <t>추정: 매출액 × 판관비율 22.81%(최근 4분기 중위)
[ratio]</t>
      </text>
    </comment>
    <comment ref="L8" authorId="0" shapeId="0">
      <text>
        <t>추정: 매출액 × 판관비율 22.81%(최근 4분기 중위)
[ratio]</t>
      </text>
    </comment>
    <comment ref="N8" authorId="0" shapeId="0">
      <text>
        <t>추정: 매출액 × 판관비율 22.81%(최근 4분기 중위)
[ratio]</t>
      </text>
    </comment>
    <comment ref="O8" authorId="0" shapeId="0">
      <text>
        <t>추정: 매출액 × 판관비율 22.81%(최근 4분기 중위)
[ratio]</t>
      </text>
    </comment>
    <comment ref="P8" authorId="0" shapeId="0">
      <text>
        <t>추정: 매출액 × 판관비율 22.81%(최근 4분기 중위)
[ratio]</t>
      </text>
    </comment>
    <comment ref="Q8" authorId="0" shapeId="0">
      <text>
        <t>추정: 매출액 × 판관비율 22.81%(최근 4분기 중위)
[ratio]</t>
      </text>
    </comment>
    <comment ref="S8" authorId="0" shapeId="0">
      <text>
        <t>추정: 매출액 × 판관비율 22.81%(최근 4분기 중위)
[ratio]</t>
      </text>
    </comment>
    <comment ref="T8" authorId="0" shapeId="0">
      <text>
        <t>추정: 매출액 × 판관비율 22.81%(최근 4분기 중위)
[ratio]</t>
      </text>
    </comment>
    <comment ref="U8" authorId="0" shapeId="0">
      <text>
        <t>추정: 매출액 × 판관비율 22.81%(최근 4분기 중위)
[ratio]</t>
      </text>
    </comment>
    <comment ref="V8" authorId="0" shapeId="0">
      <text>
        <t>추정: 매출액 × 판관비율 22.81%(최근 4분기 중위)
[ratio]</t>
      </text>
    </comment>
    <comment ref="K9" authorId="0" shapeId="0">
      <text>
        <t>추정: 매출액 × OPM(최근 5분기 OPM 중위 -20.0% 유지(클립 −20~40%))
[ratio]</t>
      </text>
    </comment>
    <comment ref="L9" authorId="0" shapeId="0">
      <text>
        <t>추정: 매출액 × OPM(최근 5분기 OPM 중위 -20.0% 유지(클립 −20~40%))
[ratio]</t>
      </text>
    </comment>
    <comment ref="N9" authorId="0" shapeId="0">
      <text>
        <t>추정: 매출액 × OPM(최근 5분기 OPM 중위 -20.0% 유지(클립 −20~40%))
[ratio]</t>
      </text>
    </comment>
    <comment ref="O9" authorId="0" shapeId="0">
      <text>
        <t>추정: 매출액 × OPM(최근 5분기 OPM 중위 -20.0% 유지(클립 −20~40%))
[ratio]</t>
      </text>
    </comment>
    <comment ref="P9" authorId="0" shapeId="0">
      <text>
        <t>추정: 매출액 × OPM(최근 5분기 OPM 중위 -20.0% 유지(클립 −20~40%))
[ratio]</t>
      </text>
    </comment>
    <comment ref="Q9" authorId="0" shapeId="0">
      <text>
        <t>추정: 매출액 × OPM(최근 5분기 OPM 중위 -20.0% 유지(클립 −20~40%))
[ratio]</t>
      </text>
    </comment>
    <comment ref="S9" authorId="0" shapeId="0">
      <text>
        <t>추정: 매출액 × OPM(최근 5분기 OPM 중위 -20.0% 유지(클립 −20~40%))
[ratio]</t>
      </text>
    </comment>
    <comment ref="T9" authorId="0" shapeId="0">
      <text>
        <t>추정: 매출액 × OPM(최근 5분기 OPM 중위 -20.0% 유지(클립 −20~40%))
[ratio]</t>
      </text>
    </comment>
    <comment ref="U9" authorId="0" shapeId="0">
      <text>
        <t>추정: 매출액 × OPM(최근 5분기 OPM 중위 -20.0% 유지(클립 −20~40%))
[ratio]</t>
      </text>
    </comment>
    <comment ref="V9" authorId="0" shapeId="0">
      <text>
        <t>추정: 매출액 × OPM(최근 5분기 OPM 중위 -20.0% 유지(클립 −20~40%))
[ratio]</t>
      </text>
    </comment>
    <comment ref="K10" authorId="0" shapeId="0">
      <text>
        <t>추정: 최근 5분기 OPM 중위 -20.0% 유지(클립 −20~40%)
[divide]</t>
      </text>
    </comment>
    <comment ref="L10" authorId="0" shapeId="0">
      <text>
        <t>추정: 최근 5분기 OPM 중위 -20.0% 유지(클립 −20~40%)
[divide]</t>
      </text>
    </comment>
    <comment ref="N10" authorId="0" shapeId="0">
      <text>
        <t>추정: 최근 5분기 OPM 중위 -20.0% 유지(클립 −20~40%)
[divide]</t>
      </text>
    </comment>
    <comment ref="O10" authorId="0" shapeId="0">
      <text>
        <t>추정: 최근 5분기 OPM 중위 -20.0% 유지(클립 −20~40%)
[divide]</t>
      </text>
    </comment>
    <comment ref="P10" authorId="0" shapeId="0">
      <text>
        <t>추정: 최근 5분기 OPM 중위 -20.0% 유지(클립 −20~40%)
[divide]</t>
      </text>
    </comment>
    <comment ref="Q10" authorId="0" shapeId="0">
      <text>
        <t>추정: 최근 5분기 OPM 중위 -20.0% 유지(클립 −20~40%)
[divide]</t>
      </text>
    </comment>
    <comment ref="S10" authorId="0" shapeId="0">
      <text>
        <t>추정: 최근 5분기 OPM 중위 -20.0% 유지(클립 −20~40%)
[divide]</t>
      </text>
    </comment>
    <comment ref="T10" authorId="0" shapeId="0">
      <text>
        <t>추정: 최근 5분기 OPM 중위 -20.0% 유지(클립 −20~40%)
[divide]</t>
      </text>
    </comment>
    <comment ref="U10" authorId="0" shapeId="0">
      <text>
        <t>추정: 최근 5분기 OPM 중위 -20.0% 유지(클립 −20~40%)
[divide]</t>
      </text>
    </comment>
    <comment ref="V10" authorId="0" shapeId="0">
      <text>
        <t>추정: 최근 5분기 OPM 중위 -20.0% 유지(클립 −20~40%)
[divide]</t>
      </text>
    </comment>
    <comment ref="K11" authorId="0" shapeId="0">
      <text>
        <t>추정: 이자손익 + 외환손익 0 + 파생상품손익 0 + 기타금융손익 +0.00억(잔차 실측 0분기 &lt; 4 → 0) (항등식); 이자손익 = 이자발생자산 121억 × 1.35%(CF 이자수취 ÷ 평균 이자발생자산(2025Q3~2026Q2; 주석 이자수익 0분기 &lt; 4)) − 총차입금 80억 × 0.00%(없음) (연율) ÷ 4; 환율 효과는 환관련손익 행 별도
[identity]</t>
      </text>
    </comment>
    <comment ref="L11" authorId="0" shapeId="0">
      <text>
        <t>추정: 이자손익 + 외환손익 0 + 파생상품손익 0 + 기타금융손익 +0.00억(잔차 실측 0분기 &lt; 4 → 0) (항등식); 이자손익 = 이자발생자산 113억 × 1.35%(CF 이자수취 ÷ 평균 이자발생자산(2025Q3~2026Q2; 주석 이자수익 0분기 &lt; 4)) − 총차입금 80억 × 0.00%(없음) (연율) ÷ 4; 환율 효과는 환관련손익 행 별도
[identity]</t>
      </text>
    </comment>
    <comment ref="N11" authorId="0" shapeId="0">
      <text>
        <t>추정: 이자손익 + 외환손익 0 + 파생상품손익 0 + 기타금융손익 +0.00억(잔차 실측 0분기 &lt; 4 → 0) (항등식); 이자손익 = 이자발생자산 90억 × 1.35%(CF 이자수취 ÷ 평균 이자발생자산(2025Q3~2026Q2; 주석 이자수익 0분기 &lt; 4)) − 총차입금 80억 × 0.00%(없음) (연율) ÷ 4; 환율 효과는 환관련손익 행 별도
[identity]</t>
      </text>
    </comment>
    <comment ref="O11" authorId="0" shapeId="0">
      <text>
        <t>추정: 이자손익 + 외환손익 0 + 파생상품손익 0 + 기타금융손익 +0.00억(잔차 실측 0분기 &lt; 4 → 0) (항등식); 이자손익 = 이자발생자산 82억 × 1.35%(CF 이자수취 ÷ 평균 이자발생자산(2025Q3~2026Q2; 주석 이자수익 0분기 &lt; 4)) − 총차입금 80억 × 0.00%(없음) (연율) ÷ 4; 환율 효과는 환관련손익 행 별도
[identity]</t>
      </text>
    </comment>
    <comment ref="P11" authorId="0" shapeId="0">
      <text>
        <t>추정: 이자손익 + 외환손익 0 + 파생상품손익 0 + 기타금융손익 +0.00억(잔차 실측 0분기 &lt; 4 → 0) (항등식); 이자손익 = 이자발생자산 62억 × 1.35%(CF 이자수취 ÷ 평균 이자발생자산(2025Q3~2026Q2; 주석 이자수익 0분기 &lt; 4)) − 총차입금 80억 × 0.00%(없음) (연율) ÷ 4; 환율 효과는 환관련손익 행 별도
[identity]</t>
      </text>
    </comment>
    <comment ref="Q11" authorId="0" shapeId="0">
      <text>
        <t>추정: 이자손익 + 외환손익 0 + 파생상품손익 0 + 기타금융손익 +0.00억(잔차 실측 0분기 &lt; 4 → 0) (항등식); 이자손익 = 이자발생자산 54억 × 1.35%(CF 이자수취 ÷ 평균 이자발생자산(2025Q3~2026Q2; 주석 이자수익 0분기 &lt; 4)) − 총차입금 80억 × 0.00%(없음) (연율) ÷ 4; 환율 효과는 환관련손익 행 별도
[identity]</t>
      </text>
    </comment>
    <comment ref="S11" authorId="0" shapeId="0">
      <text>
        <t>추정: 이자손익 + 외환손익 0 + 파생상품손익 0 + 기타금융손익 +0.00억(잔차 실측 0분기 &lt; 4 → 0) (항등식); 이자손익 = 이자발생자산 31억 × 1.35%(CF 이자수취 ÷ 평균 이자발생자산(2025Q3~2026Q2; 주석 이자수익 0분기 &lt; 4)) − 총차입금 80억 × 0.00%(없음) (연율) ÷ 4; 환율 효과는 환관련손익 행 별도
[identity]</t>
      </text>
    </comment>
    <comment ref="T11" authorId="0" shapeId="0">
      <text>
        <t>추정: 이자손익 + 외환손익 0 + 파생상품손익 0 + 기타금융손익 +0.00억(잔차 실측 0분기 &lt; 4 → 0) (항등식); 이자손익 = 이자발생자산 23억 × 1.35%(CF 이자수취 ÷ 평균 이자발생자산(2025Q3~2026Q2; 주석 이자수익 0분기 &lt; 4)) − 총차입금 80억 × 0.00%(없음) (연율) ÷ 4; 환율 효과는 환관련손익 행 별도
[identity]</t>
      </text>
    </comment>
    <comment ref="U11" authorId="0" shapeId="0">
      <text>
        <t>추정: 이자손익 + 외환손익 0 + 파생상품손익 0 + 기타금융손익 +0.00억(잔차 실측 0분기 &lt; 4 → 0) (항등식); 이자손익 = 이자발생자산 3억 × 1.35%(CF 이자수취 ÷ 평균 이자발생자산(2025Q3~2026Q2; 주석 이자수익 0분기 &lt; 4)) − 총차입금 80억 × 0.00%(없음) (연율) ÷ 4; 환율 효과는 환관련손익 행 별도
[identity]</t>
      </text>
    </comment>
    <comment ref="V11" authorId="0" shapeId="0">
      <text>
        <t>추정: 이자손익 + 외환손익 0 + 파생상품손익 0 + 기타금융손익 +0.00억(잔차 실측 0분기 &lt; 4 → 0) (항등식); 이자손익 = 이자발생자산 -5억 × 1.35%(CF 이자수취 ÷ 평균 이자발생자산(2025Q3~2026Q2; 주석 이자수익 0분기 &lt; 4)) − 총차입금 80억 × 0.00%(없음) (연율) ÷ 4; 환율 효과는 환관련손익 행 별도
[identity]</t>
      </text>
    </comment>
    <comment ref="K12" authorId="0" shapeId="0">
      <text>
        <t>추정: 이자발생자산 121억 × 1.35%(CF 이자수취 ÷ 평균 이자발생자산(2025Q3~2026Q2; 주석 이자수익 0분기 &lt; 4)) − 총차입금 80억 × 0.00%(없음) (연율) ÷ 4
[interest]</t>
      </text>
    </comment>
    <comment ref="L12" authorId="0" shapeId="0">
      <text>
        <t>추정: 이자발생자산 113억 × 1.35%(CF 이자수취 ÷ 평균 이자발생자산(2025Q3~2026Q2; 주석 이자수익 0분기 &lt; 4)) − 총차입금 80억 × 0.00%(없음) (연율) ÷ 4
[interest]</t>
      </text>
    </comment>
    <comment ref="N12" authorId="0" shapeId="0">
      <text>
        <t>추정: 이자발생자산 90억 × 1.35%(CF 이자수취 ÷ 평균 이자발생자산(2025Q3~2026Q2; 주석 이자수익 0분기 &lt; 4)) − 총차입금 80억 × 0.00%(없음) (연율) ÷ 4
[interest]</t>
      </text>
    </comment>
    <comment ref="O12" authorId="0" shapeId="0">
      <text>
        <t>추정: 이자발생자산 82억 × 1.35%(CF 이자수취 ÷ 평균 이자발생자산(2025Q3~2026Q2; 주석 이자수익 0분기 &lt; 4)) − 총차입금 80억 × 0.00%(없음) (연율) ÷ 4
[interest]</t>
      </text>
    </comment>
    <comment ref="P12" authorId="0" shapeId="0">
      <text>
        <t>추정: 이자발생자산 62억 × 1.35%(CF 이자수취 ÷ 평균 이자발생자산(2025Q3~2026Q2; 주석 이자수익 0분기 &lt; 4)) − 총차입금 80억 × 0.00%(없음) (연율) ÷ 4
[interest]</t>
      </text>
    </comment>
    <comment ref="Q12" authorId="0" shapeId="0">
      <text>
        <t>추정: 이자발생자산 54억 × 1.35%(CF 이자수취 ÷ 평균 이자발생자산(2025Q3~2026Q2; 주석 이자수익 0분기 &lt; 4)) − 총차입금 80억 × 0.00%(없음) (연율) ÷ 4
[interest]</t>
      </text>
    </comment>
    <comment ref="S12" authorId="0" shapeId="0">
      <text>
        <t>추정: 이자발생자산 31억 × 1.35%(CF 이자수취 ÷ 평균 이자발생자산(2025Q3~2026Q2; 주석 이자수익 0분기 &lt; 4)) − 총차입금 80억 × 0.00%(없음) (연율) ÷ 4
[interest]</t>
      </text>
    </comment>
    <comment ref="T12" authorId="0" shapeId="0">
      <text>
        <t>추정: 이자발생자산 23억 × 1.35%(CF 이자수취 ÷ 평균 이자발생자산(2025Q3~2026Q2; 주석 이자수익 0분기 &lt; 4)) − 총차입금 80억 × 0.00%(없음) (연율) ÷ 4
[interest]</t>
      </text>
    </comment>
    <comment ref="U12" authorId="0" shapeId="0">
      <text>
        <t>추정: 이자발생자산 3억 × 1.35%(CF 이자수취 ÷ 평균 이자발생자산(2025Q3~2026Q2; 주석 이자수익 0분기 &lt; 4)) − 총차입금 80억 × 0.00%(없음) (연율) ÷ 4
[interest]</t>
      </text>
    </comment>
    <comment ref="V12" authorId="0" shapeId="0">
      <text>
        <t>추정: 이자발생자산 -5억 × 1.35%(CF 이자수취 ÷ 평균 이자발생자산(2025Q3~2026Q2; 주석 이자수익 0분기 &lt; 4)) − 총차입금 80억 × 0.00%(없음) (연율) ÷ 4
[interest]</t>
      </text>
    </comment>
    <comment ref="K13" authorId="0" shapeId="0">
      <text>
        <t>추정: 일회성 미가정 → 0
[abs]</t>
      </text>
    </comment>
    <comment ref="L13" authorId="0" shapeId="0">
      <text>
        <t>추정: 일회성 미가정 → 0
[abs]</t>
      </text>
    </comment>
    <comment ref="N13" authorId="0" shapeId="0">
      <text>
        <t>추정: 일회성 미가정 → 0
[abs]</t>
      </text>
    </comment>
    <comment ref="O13" authorId="0" shapeId="0">
      <text>
        <t>추정: 일회성 미가정 → 0
[abs]</t>
      </text>
    </comment>
    <comment ref="P13" authorId="0" shapeId="0">
      <text>
        <t>추정: 일회성 미가정 → 0
[abs]</t>
      </text>
    </comment>
    <comment ref="Q13" authorId="0" shapeId="0">
      <text>
        <t>추정: 일회성 미가정 → 0
[abs]</t>
      </text>
    </comment>
    <comment ref="S13" authorId="0" shapeId="0">
      <text>
        <t>추정: 일회성 미가정 → 0
[abs]</t>
      </text>
    </comment>
    <comment ref="T13" authorId="0" shapeId="0">
      <text>
        <t>추정: 일회성 미가정 → 0
[abs]</t>
      </text>
    </comment>
    <comment ref="U13" authorId="0" shapeId="0">
      <text>
        <t>추정: 일회성 미가정 → 0
[abs]</t>
      </text>
    </comment>
    <comment ref="V13" authorId="0" shapeId="0">
      <text>
        <t>추정: 일회성 미가정 → 0
[abs]</t>
      </text>
    </comment>
    <comment ref="K14" authorId="0" shapeId="0">
      <text>
        <t>추정: 영업이익 + 금융손익 + 기타영업외 + 지분법 + 환관련(항등식)
[identity]</t>
      </text>
    </comment>
    <comment ref="L14" authorId="0" shapeId="0">
      <text>
        <t>추정: 영업이익 + 금융손익 + 기타영업외 + 지분법 + 환관련(항등식)
[identity]</t>
      </text>
    </comment>
    <comment ref="N14" authorId="0" shapeId="0">
      <text>
        <t>추정: 영업이익 + 금융손익 + 기타영업외 + 지분법 + 환관련(항등식)
[identity]</t>
      </text>
    </comment>
    <comment ref="O14" authorId="0" shapeId="0">
      <text>
        <t>추정: 영업이익 + 금융손익 + 기타영업외 + 지분법 + 환관련(항등식)
[identity]</t>
      </text>
    </comment>
    <comment ref="P14" authorId="0" shapeId="0">
      <text>
        <t>추정: 영업이익 + 금융손익 + 기타영업외 + 지분법 + 환관련(항등식)
[identity]</t>
      </text>
    </comment>
    <comment ref="Q14" authorId="0" shapeId="0">
      <text>
        <t>추정: 영업이익 + 금융손익 + 기타영업외 + 지분법 + 환관련(항등식)
[identity]</t>
      </text>
    </comment>
    <comment ref="S14" authorId="0" shapeId="0">
      <text>
        <t>추정: 영업이익 + 금융손익 + 기타영업외 + 지분법 + 환관련(항등식)
[identity]</t>
      </text>
    </comment>
    <comment ref="T14" authorId="0" shapeId="0">
      <text>
        <t>추정: 영업이익 + 금융손익 + 기타영업외 + 지분법 + 환관련(항등식)
[identity]</t>
      </text>
    </comment>
    <comment ref="U14" authorId="0" shapeId="0">
      <text>
        <t>추정: 영업이익 + 금융손익 + 기타영업외 + 지분법 + 환관련(항등식)
[identity]</t>
      </text>
    </comment>
    <comment ref="V14" authorId="0" shapeId="0">
      <text>
        <t>추정: 영업이익 + 금융손익 + 기타영업외 + 지분법 + 환관련(항등식)
[identity]</t>
      </text>
    </comment>
    <comment ref="K15" authorId="0" shapeId="0">
      <text>
        <t>추정: max(세전, 0) × 세율 22.0%(최근 5분기 세전 합 ≤ 0; 세전 &gt; 0 분기 중위 -37.0% 도 5~27% 밖 → 법정세율 근사 22% 가정)
[ratio]</t>
      </text>
    </comment>
    <comment ref="L15" authorId="0" shapeId="0">
      <text>
        <t>추정: max(세전, 0) × 세율 22.0%(최근 5분기 세전 합 ≤ 0; 세전 &gt; 0 분기 중위 -37.0% 도 5~27% 밖 → 법정세율 근사 22% 가정)
[ratio]</t>
      </text>
    </comment>
    <comment ref="N15" authorId="0" shapeId="0">
      <text>
        <t>추정: max(세전, 0) × 세율 22.0%(최근 5분기 세전 합 ≤ 0; 세전 &gt; 0 분기 중위 -37.0% 도 5~27% 밖 → 법정세율 근사 22% 가정)
[ratio]</t>
      </text>
    </comment>
    <comment ref="O15" authorId="0" shapeId="0">
      <text>
        <t>추정: max(세전, 0) × 세율 22.0%(최근 5분기 세전 합 ≤ 0; 세전 &gt; 0 분기 중위 -37.0% 도 5~27% 밖 → 법정세율 근사 22% 가정)
[ratio]</t>
      </text>
    </comment>
    <comment ref="P15" authorId="0" shapeId="0">
      <text>
        <t>추정: max(세전, 0) × 세율 22.0%(최근 5분기 세전 합 ≤ 0; 세전 &gt; 0 분기 중위 -37.0% 도 5~27% 밖 → 법정세율 근사 22% 가정)
[ratio]</t>
      </text>
    </comment>
    <comment ref="Q15" authorId="0" shapeId="0">
      <text>
        <t>추정: max(세전, 0) × 세율 22.0%(최근 5분기 세전 합 ≤ 0; 세전 &gt; 0 분기 중위 -37.0% 도 5~27% 밖 → 법정세율 근사 22% 가정)
[ratio]</t>
      </text>
    </comment>
    <comment ref="S15" authorId="0" shapeId="0">
      <text>
        <t>추정: max(세전, 0) × 세율 22.0%(최근 5분기 세전 합 ≤ 0; 세전 &gt; 0 분기 중위 -37.0% 도 5~27% 밖 → 법정세율 근사 22% 가정)
[ratio]</t>
      </text>
    </comment>
    <comment ref="T15" authorId="0" shapeId="0">
      <text>
        <t>추정: max(세전, 0) × 세율 22.0%(최근 5분기 세전 합 ≤ 0; 세전 &gt; 0 분기 중위 -37.0% 도 5~27% 밖 → 법정세율 근사 22% 가정)
[ratio]</t>
      </text>
    </comment>
    <comment ref="U15" authorId="0" shapeId="0">
      <text>
        <t>추정: max(세전, 0) × 세율 22.0%(최근 5분기 세전 합 ≤ 0; 세전 &gt; 0 분기 중위 -37.0% 도 5~27% 밖 → 법정세율 근사 22% 가정)
[ratio]</t>
      </text>
    </comment>
    <comment ref="V15" authorId="0" shapeId="0">
      <text>
        <t>추정: max(세전, 0) × 세율 22.0%(최근 5분기 세전 합 ≤ 0; 세전 &gt; 0 분기 중위 -37.0% 도 5~27% 밖 → 법정세율 근사 22% 가정)
[ratio]</t>
      </text>
    </comment>
    <comment ref="K16" authorId="0" shapeId="0">
      <text>
        <t>추정: 세전이익 − 법인세비용(항등식)
[identity]</t>
      </text>
    </comment>
    <comment ref="L16" authorId="0" shapeId="0">
      <text>
        <t>추정: 세전이익 − 법인세비용(항등식)
[identity]</t>
      </text>
    </comment>
    <comment ref="N16" authorId="0" shapeId="0">
      <text>
        <t>추정: 세전이익 − 법인세비용(항등식)
[identity]</t>
      </text>
    </comment>
    <comment ref="O16" authorId="0" shapeId="0">
      <text>
        <t>추정: 세전이익 − 법인세비용(항등식)
[identity]</t>
      </text>
    </comment>
    <comment ref="P16" authorId="0" shapeId="0">
      <text>
        <t>추정: 세전이익 − 법인세비용(항등식)
[identity]</t>
      </text>
    </comment>
    <comment ref="Q16" authorId="0" shapeId="0">
      <text>
        <t>추정: 세전이익 − 법인세비용(항등식)
[identity]</t>
      </text>
    </comment>
    <comment ref="S16" authorId="0" shapeId="0">
      <text>
        <t>추정: 세전이익 − 법인세비용(항등식)
[identity]</t>
      </text>
    </comment>
    <comment ref="T16" authorId="0" shapeId="0">
      <text>
        <t>추정: 세전이익 − 법인세비용(항등식)
[identity]</t>
      </text>
    </comment>
    <comment ref="U16" authorId="0" shapeId="0">
      <text>
        <t>추정: 세전이익 − 법인세비용(항등식)
[identity]</t>
      </text>
    </comment>
    <comment ref="V16" authorId="0" shapeId="0">
      <text>
        <t>추정: 세전이익 − 법인세비용(항등식)
[identity]</t>
      </text>
    </comment>
    <comment ref="K17" authorId="0" shapeId="0">
      <text>
        <t>추정: 당기순이익 × (1 − 비지배 비중 0.0%, 최근 8분기 실측)
[ratio]</t>
      </text>
    </comment>
    <comment ref="L17" authorId="0" shapeId="0">
      <text>
        <t>추정: 당기순이익 × (1 − 비지배 비중 0.0%, 최근 8분기 실측)
[ratio]</t>
      </text>
    </comment>
    <comment ref="N17" authorId="0" shapeId="0">
      <text>
        <t>추정: 당기순이익 × (1 − 비지배 비중 0.0%, 최근 8분기 실측)
[ratio]</t>
      </text>
    </comment>
    <comment ref="O17" authorId="0" shapeId="0">
      <text>
        <t>추정: 당기순이익 × (1 − 비지배 비중 0.0%, 최근 8분기 실측)
[ratio]</t>
      </text>
    </comment>
    <comment ref="P17" authorId="0" shapeId="0">
      <text>
        <t>추정: 당기순이익 × (1 − 비지배 비중 0.0%, 최근 8분기 실측)
[ratio]</t>
      </text>
    </comment>
    <comment ref="Q17" authorId="0" shapeId="0">
      <text>
        <t>추정: 당기순이익 × (1 − 비지배 비중 0.0%, 최근 8분기 실측)
[ratio]</t>
      </text>
    </comment>
    <comment ref="S17" authorId="0" shapeId="0">
      <text>
        <t>추정: 당기순이익 × (1 − 비지배 비중 0.0%, 최근 8분기 실측)
[ratio]</t>
      </text>
    </comment>
    <comment ref="T17" authorId="0" shapeId="0">
      <text>
        <t>추정: 당기순이익 × (1 − 비지배 비중 0.0%, 최근 8분기 실측)
[ratio]</t>
      </text>
    </comment>
    <comment ref="U17" authorId="0" shapeId="0">
      <text>
        <t>추정: 당기순이익 × (1 − 비지배 비중 0.0%, 최근 8분기 실측)
[ratio]</t>
      </text>
    </comment>
    <comment ref="V17" authorId="0" shapeId="0">
      <text>
        <t>추정: 당기순이익 × (1 − 비지배 비중 0.0%, 최근 8분기 실측)
[ratio]</t>
      </text>
    </comment>
    <comment ref="H18" authorId="0" shapeId="0">
      <text>
        <t>연간 실측(BS 시트에 2025.12A 없음 — 모델 a 값 직접)</t>
      </text>
    </comment>
    <comment ref="K18" authorId="0" shapeId="0">
      <text>
        <t>추정: 부채총계 + 자본총계(항등식)
[identity]</t>
      </text>
    </comment>
    <comment ref="L18" authorId="0" shapeId="0">
      <text>
        <t>추정: 부채총계 + 자본총계(항등식)
[identity]</t>
      </text>
    </comment>
    <comment ref="N18" authorId="0" shapeId="0">
      <text>
        <t>추정: 부채총계 + 자본총계(항등식)
[identity]</t>
      </text>
    </comment>
    <comment ref="O18" authorId="0" shapeId="0">
      <text>
        <t>추정: 부채총계 + 자본총계(항등식)
[identity]</t>
      </text>
    </comment>
    <comment ref="P18" authorId="0" shapeId="0">
      <text>
        <t>추정: 부채총계 + 자본총계(항등식)
[identity]</t>
      </text>
    </comment>
    <comment ref="Q18" authorId="0" shapeId="0">
      <text>
        <t>추정: 부채총계 + 자본총계(항등식)
[identity]</t>
      </text>
    </comment>
    <comment ref="S18" authorId="0" shapeId="0">
      <text>
        <t>추정: 부채총계 + 자본총계(항등식)
[identity]</t>
      </text>
    </comment>
    <comment ref="T18" authorId="0" shapeId="0">
      <text>
        <t>추정: 부채총계 + 자본총계(항등식)
[identity]</t>
      </text>
    </comment>
    <comment ref="U18" authorId="0" shapeId="0">
      <text>
        <t>추정: 부채총계 + 자본총계(항등식)
[identity]</t>
      </text>
    </comment>
    <comment ref="V18" authorId="0" shapeId="0">
      <text>
        <t>추정: 부채총계 + 자본총계(항등식)
[identity]</t>
      </text>
    </comment>
    <comment ref="H19" authorId="0" shapeId="0">
      <text>
        <t>연간 실측(BS 시트에 2025.12A 없음 — 모델 a 값 직접)</t>
      </text>
    </comment>
    <comment ref="K19" authorId="0" shapeId="0">
      <text>
        <t>추정: 마지막 실적 유지(가정)
[qoq]</t>
      </text>
    </comment>
    <comment ref="L19" authorId="0" shapeId="0">
      <text>
        <t>추정: 마지막 실적 유지(가정)
[qoq]</t>
      </text>
    </comment>
    <comment ref="N19" authorId="0" shapeId="0">
      <text>
        <t>추정: 마지막 실적 유지(가정)
[qoq]</t>
      </text>
    </comment>
    <comment ref="O19" authorId="0" shapeId="0">
      <text>
        <t>추정: 마지막 실적 유지(가정)
[qoq]</t>
      </text>
    </comment>
    <comment ref="P19" authorId="0" shapeId="0">
      <text>
        <t>추정: 마지막 실적 유지(가정)
[qoq]</t>
      </text>
    </comment>
    <comment ref="Q19" authorId="0" shapeId="0">
      <text>
        <t>추정: 마지막 실적 유지(가정)
[qoq]</t>
      </text>
    </comment>
    <comment ref="S19" authorId="0" shapeId="0">
      <text>
        <t>추정: 마지막 실적 유지(가정)
[qoq]</t>
      </text>
    </comment>
    <comment ref="T19" authorId="0" shapeId="0">
      <text>
        <t>추정: 마지막 실적 유지(가정)
[qoq]</t>
      </text>
    </comment>
    <comment ref="U19" authorId="0" shapeId="0">
      <text>
        <t>추정: 마지막 실적 유지(가정)
[qoq]</t>
      </text>
    </comment>
    <comment ref="V19" authorId="0" shapeId="0">
      <text>
        <t>추정: 마지막 실적 유지(가정)
[qoq]</t>
      </text>
    </comment>
    <comment ref="H20" authorId="0" shapeId="0">
      <text>
        <t>연간 실측(BS 시트에 2025.12A 없음 — 모델 a 값 직접)</t>
      </text>
    </comment>
    <comment ref="K20" authorId="0" shapeId="0">
      <text>
        <t>추정: 전분기 + 당기순이익 − 배당(Q2 지급 가정)
[roll]</t>
      </text>
    </comment>
    <comment ref="L20" authorId="0" shapeId="0">
      <text>
        <t>추정: 전분기 + 당기순이익 − 배당(Q2 지급 가정)
[roll]</t>
      </text>
    </comment>
    <comment ref="N20" authorId="0" shapeId="0">
      <text>
        <t>추정: 전분기 + 당기순이익 − 배당(Q2 지급 가정)
[roll]</t>
      </text>
    </comment>
    <comment ref="O20" authorId="0" shapeId="0">
      <text>
        <t>추정: 전분기 + 당기순이익 − 배당(Q2 지급 가정)
[roll]</t>
      </text>
    </comment>
    <comment ref="P20" authorId="0" shapeId="0">
      <text>
        <t>추정: 전분기 + 당기순이익 − 배당(Q2 지급 가정)
[roll]</t>
      </text>
    </comment>
    <comment ref="Q20" authorId="0" shapeId="0">
      <text>
        <t>추정: 전분기 + 당기순이익 − 배당(Q2 지급 가정)
[roll]</t>
      </text>
    </comment>
    <comment ref="S20" authorId="0" shapeId="0">
      <text>
        <t>추정: 전분기 + 당기순이익 − 배당(Q2 지급 가정)
[roll]</t>
      </text>
    </comment>
    <comment ref="T20" authorId="0" shapeId="0">
      <text>
        <t>추정: 전분기 + 당기순이익 − 배당(Q2 지급 가정)
[roll]</t>
      </text>
    </comment>
    <comment ref="U20" authorId="0" shapeId="0">
      <text>
        <t>추정: 전분기 + 당기순이익 − 배당(Q2 지급 가정)
[roll]</t>
      </text>
    </comment>
    <comment ref="V20" authorId="0" shapeId="0">
      <text>
        <t>추정: 전분기 + 당기순이익 − 배당(Q2 지급 가정)
[roll]</t>
      </text>
    </comment>
    <comment ref="H21" authorId="0" shapeId="0">
      <text>
        <t>연간 실측(BS 시트에 2025.12A 없음 — 모델 a 값 직접)</t>
      </text>
    </comment>
    <comment ref="K21" authorId="0" shapeId="0">
      <text>
        <t>추정: 전분기 + 지배주주순이익 − 배당
[roll]</t>
      </text>
    </comment>
    <comment ref="L21" authorId="0" shapeId="0">
      <text>
        <t>추정: 전분기 + 지배주주순이익 − 배당
[roll]</t>
      </text>
    </comment>
    <comment ref="N21" authorId="0" shapeId="0">
      <text>
        <t>추정: 전분기 + 지배주주순이익 − 배당
[roll]</t>
      </text>
    </comment>
    <comment ref="O21" authorId="0" shapeId="0">
      <text>
        <t>추정: 전분기 + 지배주주순이익 − 배당
[roll]</t>
      </text>
    </comment>
    <comment ref="P21" authorId="0" shapeId="0">
      <text>
        <t>추정: 전분기 + 지배주주순이익 − 배당
[roll]</t>
      </text>
    </comment>
    <comment ref="Q21" authorId="0" shapeId="0">
      <text>
        <t>추정: 전분기 + 지배주주순이익 − 배당
[roll]</t>
      </text>
    </comment>
    <comment ref="S21" authorId="0" shapeId="0">
      <text>
        <t>추정: 전분기 + 지배주주순이익 − 배당
[roll]</t>
      </text>
    </comment>
    <comment ref="T21" authorId="0" shapeId="0">
      <text>
        <t>추정: 전분기 + 지배주주순이익 − 배당
[roll]</t>
      </text>
    </comment>
    <comment ref="U21" authorId="0" shapeId="0">
      <text>
        <t>추정: 전분기 + 지배주주순이익 − 배당
[roll]</t>
      </text>
    </comment>
    <comment ref="V21" authorId="0" shapeId="0">
      <text>
        <t>추정: 전분기 + 지배주주순이익 − 배당
[roll]</t>
      </text>
    </comment>
    <comment ref="H22" authorId="0" shapeId="0">
      <text>
        <t>연간 실측(BS 시트에 2025.12A 없음 — 모델 a 값 직접)</t>
      </text>
    </comment>
    <comment ref="K22" authorId="0" shapeId="0">
      <text>
        <t>추정: 마지막 실적 유지(가정)
[qoq]</t>
      </text>
    </comment>
    <comment ref="L22" authorId="0" shapeId="0">
      <text>
        <t>추정: 마지막 실적 유지(가정)
[qoq]</t>
      </text>
    </comment>
    <comment ref="N22" authorId="0" shapeId="0">
      <text>
        <t>추정: 마지막 실적 유지(가정)
[qoq]</t>
      </text>
    </comment>
    <comment ref="O22" authorId="0" shapeId="0">
      <text>
        <t>추정: 마지막 실적 유지(가정)
[qoq]</t>
      </text>
    </comment>
    <comment ref="P22" authorId="0" shapeId="0">
      <text>
        <t>추정: 마지막 실적 유지(가정)
[qoq]</t>
      </text>
    </comment>
    <comment ref="Q22" authorId="0" shapeId="0">
      <text>
        <t>추정: 마지막 실적 유지(가정)
[qoq]</t>
      </text>
    </comment>
    <comment ref="S22" authorId="0" shapeId="0">
      <text>
        <t>추정: 마지막 실적 유지(가정)
[qoq]</t>
      </text>
    </comment>
    <comment ref="T22" authorId="0" shapeId="0">
      <text>
        <t>추정: 마지막 실적 유지(가정)
[qoq]</t>
      </text>
    </comment>
    <comment ref="U22" authorId="0" shapeId="0">
      <text>
        <t>추정: 마지막 실적 유지(가정)
[qoq]</t>
      </text>
    </comment>
    <comment ref="V22" authorId="0" shapeId="0">
      <text>
        <t>추정: 마지막 실적 유지(가정)
[qoq]</t>
      </text>
    </comment>
    <comment ref="H23" authorId="0" shapeId="0">
      <text>
        <t>연간 실측(BS 시트에 2025.12A 없음 — 모델 a 값 직접)</t>
      </text>
    </comment>
    <comment ref="K23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L23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N23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O23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P23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Q23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S23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T23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U23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V23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H24" authorId="0" shapeId="0">
      <text>
        <t>연간 실측(BS 시트에 2025.12A 없음 — 모델 a 값 직접)</t>
      </text>
    </comment>
    <comment ref="K24" authorId="0" shapeId="0">
      <text>
        <t>추정: 전분기 + FCF 근사 — 순차입금 롤과 같은 가정
[qoq]</t>
      </text>
    </comment>
    <comment ref="L24" authorId="0" shapeId="0">
      <text>
        <t>추정: 전분기 + FCF 근사 — 순차입금 롤과 같은 가정
[qoq]</t>
      </text>
    </comment>
    <comment ref="N24" authorId="0" shapeId="0">
      <text>
        <t>추정: 전분기 + FCF 근사 — 순차입금 롤과 같은 가정
[qoq]</t>
      </text>
    </comment>
    <comment ref="O24" authorId="0" shapeId="0">
      <text>
        <t>추정: 전분기 + FCF 근사 — 순차입금 롤과 같은 가정
[qoq]</t>
      </text>
    </comment>
    <comment ref="P24" authorId="0" shapeId="0">
      <text>
        <t>추정: 전분기 + FCF 근사 — 순차입금 롤과 같은 가정
[qoq]</t>
      </text>
    </comment>
    <comment ref="Q24" authorId="0" shapeId="0">
      <text>
        <t>추정: 전분기 + FCF 근사 — 순차입금 롤과 같은 가정
[qoq]</t>
      </text>
    </comment>
    <comment ref="S24" authorId="0" shapeId="0">
      <text>
        <t>추정: 전분기 + FCF 근사 — 순차입금 롤과 같은 가정
[qoq]</t>
      </text>
    </comment>
    <comment ref="T24" authorId="0" shapeId="0">
      <text>
        <t>추정: 전분기 + FCF 근사 — 순차입금 롤과 같은 가정
[qoq]</t>
      </text>
    </comment>
    <comment ref="U24" authorId="0" shapeId="0">
      <text>
        <t>추정: 전분기 + FCF 근사 — 순차입금 롤과 같은 가정
[qoq]</t>
      </text>
    </comment>
    <comment ref="V24" authorId="0" shapeId="0">
      <text>
        <t>추정: 전분기 + FCF 근사 — 순차입금 롤과 같은 가정
[qoq]</t>
      </text>
    </comment>
    <comment ref="H25" authorId="0" shapeId="0">
      <text>
        <t>연간 실측(BS 시트에 2025.12A 없음 — 모델 a 값 직접)</t>
      </text>
    </comment>
    <comment ref="K26" authorId="0" shapeId="0">
      <text>
        <t>추정: 최근 4분기(2025Q3~2026Q2) CAPEX 중위 유지 — 순차입금 롤에 미반영(감가상각비 없음 → CAPEX≈감가 가정)
[yoy]</t>
      </text>
    </comment>
    <comment ref="L26" authorId="0" shapeId="0">
      <text>
        <t>추정: 최근 4분기(2025Q3~2026Q2) CAPEX 중위 유지 — 순차입금 롤에 미반영(감가상각비 없음 → CAPEX≈감가 가정)
[yoy]</t>
      </text>
    </comment>
    <comment ref="N26" authorId="0" shapeId="0">
      <text>
        <t>추정: 최근 4분기(2025Q3~2026Q2) CAPEX 중위 유지 — 순차입금 롤에 미반영(감가상각비 없음 → CAPEX≈감가 가정)
[yoy]</t>
      </text>
    </comment>
    <comment ref="O26" authorId="0" shapeId="0">
      <text>
        <t>추정: 최근 4분기(2025Q3~2026Q2) CAPEX 중위 유지 — 순차입금 롤에 미반영(감가상각비 없음 → CAPEX≈감가 가정)
[yoy]</t>
      </text>
    </comment>
    <comment ref="P26" authorId="0" shapeId="0">
      <text>
        <t>추정: 최근 4분기(2025Q3~2026Q2) CAPEX 중위 유지 — 순차입금 롤에 미반영(감가상각비 없음 → CAPEX≈감가 가정)
[yoy]</t>
      </text>
    </comment>
    <comment ref="Q26" authorId="0" shapeId="0">
      <text>
        <t>추정: 최근 4분기(2025Q3~2026Q2) CAPEX 중위 유지 — 순차입금 롤에 미반영(감가상각비 없음 → CAPEX≈감가 가정)
[yoy]</t>
      </text>
    </comment>
    <comment ref="S26" authorId="0" shapeId="0">
      <text>
        <t>추정: 최근 4분기(2025Q3~2026Q2) CAPEX 중위 유지 — 순차입금 롤에 미반영(감가상각비 없음 → CAPEX≈감가 가정)
[yoy]</t>
      </text>
    </comment>
    <comment ref="T26" authorId="0" shapeId="0">
      <text>
        <t>추정: 최근 4분기(2025Q3~2026Q2) CAPEX 중위 유지 — 순차입금 롤에 미반영(감가상각비 없음 → CAPEX≈감가 가정)
[yoy]</t>
      </text>
    </comment>
    <comment ref="U26" authorId="0" shapeId="0">
      <text>
        <t>추정: 최근 4분기(2025Q3~2026Q2) CAPEX 중위 유지 — 순차입금 롤에 미반영(감가상각비 없음 → CAPEX≈감가 가정)
[yoy]</t>
      </text>
    </comment>
    <comment ref="V26" authorId="0" shapeId="0">
      <text>
        <t>추정: 최근 4분기(2025Q3~2026Q2) CAPEX 중위 유지 — 순차입금 롤에 미반영(감가상각비 없음 → CAPEX≈감가 가정)
[yoy]</t>
      </text>
    </comment>
    <comment ref="E28" authorId="0" shapeId="0">
      <text>
        <t>실측(계정 매핑 없음(파생·부문·시세 행) — 모델값 직접) — fin.shares.common_outstanding</t>
      </text>
    </comment>
    <comment ref="F28" authorId="0" shapeId="0">
      <text>
        <t>실측(계정 매핑 없음(파생·부문·시세 행) — 모델값 직접) — fin.shares.common_outstanding</t>
      </text>
    </comment>
    <comment ref="G28" authorId="0" shapeId="0">
      <text>
        <t>실측(계정 매핑 없음(파생·부문·시세 행) — 모델값 직접) — fin.shares.common_outstanding</t>
      </text>
    </comment>
    <comment ref="I28" authorId="0" shapeId="0">
      <text>
        <t>실측(계정 매핑 없음(파생·부문·시세 행) — 모델값 직접) — fin.shares.common_outstanding</t>
      </text>
    </comment>
    <comment ref="J28" authorId="0" shapeId="0">
      <text>
        <t>실측(계정 매핑 없음(파생·부문·시세 행) — 모델값 직접) — fin.shares.common_outstanding</t>
      </text>
    </comment>
    <comment ref="K28" authorId="0" shapeId="0">
      <text>
        <t>추정: 유통주식수 유지 — fin.shares.common_outstanding(2026Q2)
[qoq]</t>
      </text>
    </comment>
    <comment ref="L28" authorId="0" shapeId="0">
      <text>
        <t>추정: 유통주식수 유지 — fin.shares.common_outstanding(2026Q2)
[qoq]</t>
      </text>
    </comment>
    <comment ref="N28" authorId="0" shapeId="0">
      <text>
        <t>추정: 유통주식수 유지 — fin.shares.common_outstanding(2026Q2)
[qoq]</t>
      </text>
    </comment>
    <comment ref="O28" authorId="0" shapeId="0">
      <text>
        <t>추정: 유통주식수 유지 — fin.shares.common_outstanding(2026Q2)
[qoq]</t>
      </text>
    </comment>
    <comment ref="P28" authorId="0" shapeId="0">
      <text>
        <t>추정: 유통주식수 유지 — fin.shares.common_outstanding(2026Q2)
[qoq]</t>
      </text>
    </comment>
    <comment ref="Q28" authorId="0" shapeId="0">
      <text>
        <t>추정: 유통주식수 유지 — fin.shares.common_outstanding(2026Q2)
[qoq]</t>
      </text>
    </comment>
    <comment ref="S28" authorId="0" shapeId="0">
      <text>
        <t>추정: 유통주식수 유지 — fin.shares.common_outstanding(2026Q2)
[qoq]</t>
      </text>
    </comment>
    <comment ref="T28" authorId="0" shapeId="0">
      <text>
        <t>추정: 유통주식수 유지 — fin.shares.common_outstanding(2026Q2)
[qoq]</t>
      </text>
    </comment>
    <comment ref="U28" authorId="0" shapeId="0">
      <text>
        <t>추정: 유통주식수 유지 — fin.shares.common_outstanding(2026Q2)
[qoq]</t>
      </text>
    </comment>
    <comment ref="V28" authorId="0" shapeId="0">
      <text>
        <t>추정: 유통주식수 유지 — fin.shares.common_outstanding(2026Q2)
[qoq]</t>
      </text>
    </comment>
    <comment ref="K29" authorId="0" shapeId="0">
      <text>
        <t>추정: 지배주주순이익 ÷ 유통주식수
[per_share]</t>
      </text>
    </comment>
    <comment ref="L29" authorId="0" shapeId="0">
      <text>
        <t>추정: 지배주주순이익 ÷ 유통주식수
[per_share]</t>
      </text>
    </comment>
    <comment ref="N29" authorId="0" shapeId="0">
      <text>
        <t>추정: 지배주주순이익 ÷ 유통주식수
[per_share]</t>
      </text>
    </comment>
    <comment ref="O29" authorId="0" shapeId="0">
      <text>
        <t>추정: 지배주주순이익 ÷ 유통주식수
[per_share]</t>
      </text>
    </comment>
    <comment ref="P29" authorId="0" shapeId="0">
      <text>
        <t>추정: 지배주주순이익 ÷ 유통주식수
[per_share]</t>
      </text>
    </comment>
    <comment ref="Q29" authorId="0" shapeId="0">
      <text>
        <t>추정: 지배주주순이익 ÷ 유통주식수
[per_share]</t>
      </text>
    </comment>
    <comment ref="S29" authorId="0" shapeId="0">
      <text>
        <t>추정: 지배주주순이익 ÷ 유통주식수
[per_share]</t>
      </text>
    </comment>
    <comment ref="T29" authorId="0" shapeId="0">
      <text>
        <t>추정: 지배주주순이익 ÷ 유통주식수
[per_share]</t>
      </text>
    </comment>
    <comment ref="U29" authorId="0" shapeId="0">
      <text>
        <t>추정: 지배주주순이익 ÷ 유통주식수
[per_share]</t>
      </text>
    </comment>
    <comment ref="V29" authorId="0" shapeId="0">
      <text>
        <t>추정: 지배주주순이익 ÷ 유통주식수
[per_share]</t>
      </text>
    </comment>
    <comment ref="K30" authorId="0" shapeId="0">
      <text>
        <t>추정: 지배주주지분 ÷ 유통주식수
[per_share]</t>
      </text>
    </comment>
    <comment ref="L30" authorId="0" shapeId="0">
      <text>
        <t>추정: 지배주주지분 ÷ 유통주식수
[per_share]</t>
      </text>
    </comment>
    <comment ref="N30" authorId="0" shapeId="0">
      <text>
        <t>추정: 지배주주지분 ÷ 유통주식수
[per_share]</t>
      </text>
    </comment>
    <comment ref="O30" authorId="0" shapeId="0">
      <text>
        <t>추정: 지배주주지분 ÷ 유통주식수
[per_share]</t>
      </text>
    </comment>
    <comment ref="P30" authorId="0" shapeId="0">
      <text>
        <t>추정: 지배주주지분 ÷ 유통주식수
[per_share]</t>
      </text>
    </comment>
    <comment ref="Q30" authorId="0" shapeId="0">
      <text>
        <t>추정: 지배주주지분 ÷ 유통주식수
[per_share]</t>
      </text>
    </comment>
    <comment ref="S30" authorId="0" shapeId="0">
      <text>
        <t>추정: 지배주주지분 ÷ 유통주식수
[per_share]</t>
      </text>
    </comment>
    <comment ref="T30" authorId="0" shapeId="0">
      <text>
        <t>추정: 지배주주지분 ÷ 유통주식수
[per_share]</t>
      </text>
    </comment>
    <comment ref="U30" authorId="0" shapeId="0">
      <text>
        <t>추정: 지배주주지분 ÷ 유통주식수
[per_share]</t>
      </text>
    </comment>
    <comment ref="V30" authorId="0" shapeId="0">
      <text>
        <t>추정: 지배주주지분 ÷ 유통주식수
[per_share]</t>
      </text>
    </comment>
    <comment ref="G31" authorId="0" shapeId="0">
      <text>
        <t>실측(계정 매핑 없음(파생·부문·시세 행) — 모델값 직접) — fin.dividend.dps_common(연간, Q4 에 표기)</t>
      </text>
    </comment>
    <comment ref="H31" authorId="0" shapeId="0">
      <text>
        <t>연간(actual) — 분기 미완 연도, 모델 a 값 직접</t>
      </text>
    </comment>
    <comment ref="L31" authorId="0" shapeId="0">
      <text>
        <t>추정: 직전 결산 DPS 0원 유지
[abs]</t>
      </text>
    </comment>
    <comment ref="Q31" authorId="0" shapeId="0">
      <text>
        <t>추정: 직전 결산 DPS 0원 유지
[abs]</t>
      </text>
    </comment>
    <comment ref="V31" authorId="0" shapeId="0">
      <text>
        <t>추정: 직전 결산 DPS 0원 유지
[abs]</t>
      </text>
    </comment>
    <comment ref="K32" authorId="0" shapeId="0">
      <text>
        <t>추정: 현재 종가 ÷ TTM EPS(추정 포함)
[valuation]</t>
      </text>
    </comment>
    <comment ref="K33" authorId="0" shapeId="0">
      <text>
        <t>추정: 현재 종가 ÷ BPS(추정 포함)
[valuation]</t>
      </text>
    </comment>
    <comment ref="L33" authorId="0" shapeId="0">
      <text>
        <t>추정: 현재 종가 ÷ BPS(추정 포함)
[valuation]</t>
      </text>
    </comment>
    <comment ref="N33" authorId="0" shapeId="0">
      <text>
        <t>추정: 현재 종가 ÷ BPS(추정 포함)
[valuation]</t>
      </text>
    </comment>
    <comment ref="O33" authorId="0" shapeId="0">
      <text>
        <t>추정: 현재 종가 ÷ BPS(추정 포함)
[valuation]</t>
      </text>
    </comment>
    <comment ref="P33" authorId="0" shapeId="0">
      <text>
        <t>추정: 현재 종가 ÷ BPS(추정 포함)
[valuation]</t>
      </text>
    </comment>
    <comment ref="Q33" authorId="0" shapeId="0">
      <text>
        <t>추정: 현재 종가 ÷ BPS(추정 포함)
[valuation]</t>
      </text>
    </comment>
    <comment ref="S33" authorId="0" shapeId="0">
      <text>
        <t>추정: 현재 종가 ÷ BPS(추정 포함)
[valuation]</t>
      </text>
    </comment>
    <comment ref="T33" authorId="0" shapeId="0">
      <text>
        <t>추정: 현재 종가 ÷ BPS(추정 포함)
[valuation]</t>
      </text>
    </comment>
    <comment ref="U33" authorId="0" shapeId="0">
      <text>
        <t>추정: 현재 종가 ÷ BPS(추정 포함)
[valuation]</t>
      </text>
    </comment>
    <comment ref="V33" authorId="0" shapeId="0">
      <text>
        <t>추정: 현재 종가 ÷ BPS(추정 포함)
[valuation]</t>
      </text>
    </comment>
    <comment ref="E34" authorId="0" shapeId="0">
      <text>
        <t>실측(계정 매핑 없음(파생·부문·시세 행) — 모델값 직접) — = 매출액(부문 미분리)</t>
      </text>
    </comment>
    <comment ref="F34" authorId="0" shapeId="0">
      <text>
        <t>실측(계정 매핑 없음(파생·부문·시세 행) — 모델값 직접) — = 매출액(부문 미분리)</t>
      </text>
    </comment>
    <comment ref="G34" authorId="0" shapeId="0">
      <text>
        <t>실측(계정 매핑 없음(파생·부문·시세 행) — 모델값 직접) — = 매출액(부문 미분리)</t>
      </text>
    </comment>
    <comment ref="I34" authorId="0" shapeId="0">
      <text>
        <t>실측(계정 매핑 없음(파생·부문·시세 행) — 모델값 직접) — = 매출액(부문 미분리)</t>
      </text>
    </comment>
    <comment ref="J34" authorId="0" shapeId="0">
      <text>
        <t>실측(계정 매핑 없음(파생·부문·시세 행) — 모델값 직접) — = 매출액(부문 미분리)</t>
      </text>
    </comment>
    <comment ref="K34" authorId="0" shapeId="0">
      <text>
        <t>추정: = 매출액 추정(부문 미분리)
[identity]</t>
      </text>
    </comment>
    <comment ref="L34" authorId="0" shapeId="0">
      <text>
        <t>추정: = 매출액 추정(부문 미분리)
[identity]</t>
      </text>
    </comment>
    <comment ref="N34" authorId="0" shapeId="0">
      <text>
        <t>추정: = 매출액 추정(부문 미분리)
[identity]</t>
      </text>
    </comment>
    <comment ref="O34" authorId="0" shapeId="0">
      <text>
        <t>추정: = 매출액 추정(부문 미분리)
[identity]</t>
      </text>
    </comment>
    <comment ref="P34" authorId="0" shapeId="0">
      <text>
        <t>추정: = 매출액 추정(부문 미분리)
[identity]</t>
      </text>
    </comment>
    <comment ref="Q34" authorId="0" shapeId="0">
      <text>
        <t>추정: = 매출액 추정(부문 미분리)
[identity]</t>
      </text>
    </comment>
    <comment ref="S34" authorId="0" shapeId="0">
      <text>
        <t>추정: = 매출액 추정(부문 미분리)
[identity]</t>
      </text>
    </comment>
    <comment ref="T34" authorId="0" shapeId="0">
      <text>
        <t>추정: = 매출액 추정(부문 미분리)
[identity]</t>
      </text>
    </comment>
    <comment ref="U34" authorId="0" shapeId="0">
      <text>
        <t>추정: = 매출액 추정(부문 미분리)
[identity]</t>
      </text>
    </comment>
    <comment ref="V34" authorId="0" shapeId="0">
      <text>
        <t>추정: = 매출액 추정(부문 미분리)
[identity]</t>
      </text>
    </comment>
    <comment ref="E35" authorId="0" shapeId="0">
      <text>
        <t>실측(계정 매핑 없음(파생·부문·시세 행) — 모델값 직접) — = 영업이익(부문 미분리)</t>
      </text>
    </comment>
    <comment ref="F35" authorId="0" shapeId="0">
      <text>
        <t>실측(계정 매핑 없음(파생·부문·시세 행) — 모델값 직접) — = 영업이익(부문 미분리)</t>
      </text>
    </comment>
    <comment ref="G35" authorId="0" shapeId="0">
      <text>
        <t>실측(계정 매핑 없음(파생·부문·시세 행) — 모델값 직접) — = 영업이익(부문 미분리)</t>
      </text>
    </comment>
    <comment ref="I35" authorId="0" shapeId="0">
      <text>
        <t>실측(계정 매핑 없음(파생·부문·시세 행) — 모델값 직접) — = 영업이익(부문 미분리)</t>
      </text>
    </comment>
    <comment ref="J35" authorId="0" shapeId="0">
      <text>
        <t>실측(계정 매핑 없음(파생·부문·시세 행) — 모델값 직접) — = 영업이익(부문 미분리)</t>
      </text>
    </comment>
    <comment ref="K35" authorId="0" shapeId="0">
      <text>
        <t>추정: = 매출액 × OPM(부문 미분리)
[identity]</t>
      </text>
    </comment>
    <comment ref="L35" authorId="0" shapeId="0">
      <text>
        <t>추정: = 매출액 × OPM(부문 미분리)
[identity]</t>
      </text>
    </comment>
    <comment ref="N35" authorId="0" shapeId="0">
      <text>
        <t>추정: = 매출액 × OPM(부문 미분리)
[identity]</t>
      </text>
    </comment>
    <comment ref="O35" authorId="0" shapeId="0">
      <text>
        <t>추정: = 매출액 × OPM(부문 미분리)
[identity]</t>
      </text>
    </comment>
    <comment ref="P35" authorId="0" shapeId="0">
      <text>
        <t>추정: = 매출액 × OPM(부문 미분리)
[identity]</t>
      </text>
    </comment>
    <comment ref="Q35" authorId="0" shapeId="0">
      <text>
        <t>추정: = 매출액 × OPM(부문 미분리)
[identity]</t>
      </text>
    </comment>
    <comment ref="S35" authorId="0" shapeId="0">
      <text>
        <t>추정: = 매출액 × OPM(부문 미분리)
[identity]</t>
      </text>
    </comment>
    <comment ref="T35" authorId="0" shapeId="0">
      <text>
        <t>추정: = 매출액 × OPM(부문 미분리)
[identity]</t>
      </text>
    </comment>
    <comment ref="U35" authorId="0" shapeId="0">
      <text>
        <t>추정: = 매출액 × OPM(부문 미분리)
[identity]</t>
      </text>
    </comment>
    <comment ref="V35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원일티엔아이(136150)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22.81%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1.35% / 부채 0.00% — 이자손익 = (전분기 이자발생자산 × 자산이자율 − 전분기 총차입금 × 부채이자율)/4, 최소자승 역산(모델 assumptions [0.0135, None] 는 4자리 반올림이라 그대로 쓰면 ±1억 어긋남) · 출처: {"asset": "CF 이자수취 ÷ 평균 이자발생자산(2025Q3~2026Q2; 주석 이자수익 0분기 &lt; 4)",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8">
      <c r="A28" t="inlineStr">
        <is>
          <t>· 밸류에이션 — PER 밴드 10.0/15.0/20.0배(sector_default(레퍼런스 TP_PE PB 예시 10/15/20배; 과거 양(+)EPS 분기 1개 &lt; 4))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assets/models/136150.json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연동 격자 상관 0.87 가 단일 검정 5% 임계 r 0.88 미달(n=5, n_eff=5) (suppliers_mentions·시차 2·수준·창 8)): 전년동기 × (1+g) 추세 / 감가상각비가 face·CF 에 없음(주석 미파싱) → EBITDA·EV/EBITDA 미산출 / 금융손익 실적→추정 단절: 최근 4분기 실적 +3/+1/+6/+4(중위 +3억) → 추정 2026Q3 +0억(차 -3억, -88%)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44.7, "op_wape_pct": 116.1,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68.89, "rev_act": 42.66, "op_pred": -13.78, "op_act": -10.14}, {"q": "2025Q4", "rev_pred": 68.89, "rev_act": 116.45, "op_pred": -13.78, "op_act": 9.48}, {"q": "2026Q1", "rev_pred": 68.89, "rev_act": 39.88, "op_pred": -13.78, "op_act": -20.14}, {"q": "2026Q2", "rev_pred": 68.89, "rev_act": 99.52, "op_pred": -13.78, "op_act": 5.43}]}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C1" s="2" t="inlineStr">
        <is>
          <t>이름: 변수H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n">
        <v>2025</v>
      </c>
      <c r="I1" s="3" t="inlineStr">
        <is>
          <t>1Q26</t>
        </is>
      </c>
      <c r="J1" s="4" t="inlineStr">
        <is>
          <t>2Q26</t>
        </is>
      </c>
      <c r="K1" s="3" t="inlineStr">
        <is>
          <t>3Q26</t>
        </is>
      </c>
      <c r="L1" s="3" t="inlineStr">
        <is>
          <t>4Q26</t>
        </is>
      </c>
      <c r="M1" s="3" t="n">
        <v>2026</v>
      </c>
      <c r="N1" s="3" t="inlineStr">
        <is>
          <t>1Q27</t>
        </is>
      </c>
      <c r="O1" s="3" t="inlineStr">
        <is>
          <t>2Q27</t>
        </is>
      </c>
      <c r="P1" s="3" t="inlineStr">
        <is>
          <t>3Q27</t>
        </is>
      </c>
      <c r="Q1" s="3" t="inlineStr">
        <is>
          <t>4Q27</t>
        </is>
      </c>
      <c r="R1" s="3" t="n">
        <v>2027</v>
      </c>
      <c r="S1" s="3" t="inlineStr">
        <is>
          <t>1Q28</t>
        </is>
      </c>
      <c r="T1" s="3" t="inlineStr">
        <is>
          <t>2Q28</t>
        </is>
      </c>
      <c r="U1" s="3" t="inlineStr">
        <is>
          <t>3Q28</t>
        </is>
      </c>
      <c r="V1" s="3" t="inlineStr">
        <is>
          <t>4Q28</t>
        </is>
      </c>
      <c r="W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J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6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</row>
    <row r="4"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2025.12A</t>
        </is>
      </c>
      <c r="I4" s="7" t="inlineStr">
        <is>
          <t>2026.03</t>
        </is>
      </c>
      <c r="J4" s="8" t="inlineStr">
        <is>
          <t>2026.06</t>
        </is>
      </c>
      <c r="K4" s="7" t="inlineStr">
        <is>
          <t>2026.09</t>
        </is>
      </c>
      <c r="L4" s="7" t="inlineStr">
        <is>
          <t>2026.12</t>
        </is>
      </c>
      <c r="M4" s="7" t="inlineStr">
        <is>
          <t>2026.12A</t>
        </is>
      </c>
      <c r="N4" s="7" t="inlineStr">
        <is>
          <t>2027.03</t>
        </is>
      </c>
      <c r="O4" s="7" t="inlineStr">
        <is>
          <t>2027.06</t>
        </is>
      </c>
      <c r="P4" s="7" t="inlineStr">
        <is>
          <t>2027.09</t>
        </is>
      </c>
      <c r="Q4" s="7" t="inlineStr">
        <is>
          <t>2027.12</t>
        </is>
      </c>
      <c r="R4" s="7" t="inlineStr">
        <is>
          <t>2027.12A</t>
        </is>
      </c>
      <c r="S4" s="7" t="inlineStr">
        <is>
          <t>2028.03</t>
        </is>
      </c>
      <c r="T4" s="7" t="inlineStr">
        <is>
          <t>2028.06</t>
        </is>
      </c>
      <c r="U4" s="7" t="inlineStr">
        <is>
          <t>2028.09</t>
        </is>
      </c>
      <c r="V4" s="7" t="inlineStr">
        <is>
          <t>2028.12</t>
        </is>
      </c>
      <c r="W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H5" s="9" t="n"/>
      <c r="J5" s="5" t="n"/>
      <c r="K5" s="10" t="n"/>
      <c r="L5" s="10" t="n"/>
      <c r="M5" s="11" t="n"/>
      <c r="N5" s="10" t="n"/>
      <c r="O5" s="10" t="n"/>
      <c r="P5" s="10" t="n"/>
      <c r="Q5" s="10" t="n"/>
      <c r="R5" s="11" t="n"/>
      <c r="S5" s="10" t="n"/>
      <c r="T5" s="10" t="n"/>
      <c r="U5" s="10" t="n"/>
      <c r="V5" s="10" t="n"/>
      <c r="W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1398.52</v>
      </c>
      <c r="F6" s="13" t="n">
        <v>1386.95</v>
      </c>
      <c r="G6" s="13" t="n">
        <v>1449.19</v>
      </c>
      <c r="H6" s="14" t="n">
        <v>1421.52</v>
      </c>
      <c r="I6" s="13" t="n">
        <v>1466.12</v>
      </c>
      <c r="J6" s="15" t="n">
        <v>1501.75</v>
      </c>
      <c r="K6" s="16" t="n">
        <v>1418.75</v>
      </c>
      <c r="L6" s="16" t="n">
        <v>1343.39</v>
      </c>
      <c r="M6" s="17" t="n">
        <v>1456.01</v>
      </c>
      <c r="N6" s="16" t="n">
        <v>1341.45</v>
      </c>
      <c r="O6" s="16" t="n">
        <v>1341.45</v>
      </c>
      <c r="P6" s="16" t="n">
        <v>1341.45</v>
      </c>
      <c r="Q6" s="16" t="n">
        <v>1341.45</v>
      </c>
      <c r="R6" s="11" t="n"/>
      <c r="S6" s="16" t="n">
        <v>1341.45</v>
      </c>
      <c r="T6" s="16" t="n">
        <v>1341.45</v>
      </c>
      <c r="U6" s="16" t="n">
        <v>1341.45</v>
      </c>
      <c r="V6" s="16" t="n">
        <v>1341.45</v>
      </c>
      <c r="W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1355.13</v>
      </c>
      <c r="F7" s="13" t="n">
        <v>1403.67</v>
      </c>
      <c r="G7" s="13" t="n">
        <v>1444.2</v>
      </c>
      <c r="H7" s="14" t="n">
        <v>1444.2</v>
      </c>
      <c r="I7" s="13" t="n">
        <v>1524.8</v>
      </c>
      <c r="J7" s="15" t="n">
        <v>1550.89</v>
      </c>
      <c r="K7" s="16" t="n">
        <v>1355.4</v>
      </c>
      <c r="L7" s="16" t="n">
        <v>1341.45</v>
      </c>
      <c r="M7" s="17" t="n">
        <v>1341.45</v>
      </c>
      <c r="N7" s="16" t="n">
        <v>1341.45</v>
      </c>
      <c r="O7" s="16" t="n">
        <v>1341.45</v>
      </c>
      <c r="P7" s="16" t="n">
        <v>1341.45</v>
      </c>
      <c r="Q7" s="16" t="n">
        <v>1341.45</v>
      </c>
      <c r="R7" s="11" t="n"/>
      <c r="S7" s="16" t="n">
        <v>1341.45</v>
      </c>
      <c r="T7" s="16" t="n">
        <v>1341.45</v>
      </c>
      <c r="U7" s="16" t="n">
        <v>1341.45</v>
      </c>
      <c r="V7" s="16" t="n">
        <v>1341.45</v>
      </c>
      <c r="W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967.92</v>
      </c>
      <c r="F8" s="13" t="n">
        <v>940.3200000000001</v>
      </c>
      <c r="G8" s="13" t="n">
        <v>940.77</v>
      </c>
      <c r="H8" s="14" t="n">
        <v>950.17</v>
      </c>
      <c r="I8" s="13" t="n">
        <v>934.39</v>
      </c>
      <c r="J8" s="15" t="n">
        <v>942.16</v>
      </c>
      <c r="K8" s="16" t="n">
        <v>890.41</v>
      </c>
      <c r="L8" s="16" t="n">
        <v>849.39</v>
      </c>
      <c r="M8" s="17" t="n">
        <v>918.46</v>
      </c>
      <c r="N8" s="16" t="n">
        <v>848.37</v>
      </c>
      <c r="O8" s="16" t="n">
        <v>848.37</v>
      </c>
      <c r="P8" s="16" t="n">
        <v>848.37</v>
      </c>
      <c r="Q8" s="16" t="n">
        <v>848.37</v>
      </c>
      <c r="R8" s="11" t="n"/>
      <c r="S8" s="16" t="n">
        <v>848.37</v>
      </c>
      <c r="T8" s="16" t="n">
        <v>848.37</v>
      </c>
      <c r="U8" s="16" t="n">
        <v>848.37</v>
      </c>
      <c r="V8" s="16" t="n">
        <v>848.37</v>
      </c>
      <c r="W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938.85</v>
      </c>
      <c r="F9" s="13" t="n">
        <v>948.49</v>
      </c>
      <c r="G9" s="13" t="n">
        <v>921.8099999999999</v>
      </c>
      <c r="H9" s="14" t="n">
        <v>921.8099999999999</v>
      </c>
      <c r="I9" s="13" t="n">
        <v>955.99</v>
      </c>
      <c r="J9" s="15" t="n">
        <v>954.75</v>
      </c>
      <c r="K9" s="16" t="n">
        <v>863.3099999999999</v>
      </c>
      <c r="L9" s="16" t="n">
        <v>848.37</v>
      </c>
      <c r="M9" s="17" t="n">
        <v>848.37</v>
      </c>
      <c r="N9" s="16" t="n">
        <v>848.37</v>
      </c>
      <c r="O9" s="16" t="n">
        <v>848.37</v>
      </c>
      <c r="P9" s="16" t="n">
        <v>848.37</v>
      </c>
      <c r="Q9" s="16" t="n">
        <v>848.37</v>
      </c>
      <c r="R9" s="11" t="n"/>
      <c r="S9" s="16" t="n">
        <v>848.37</v>
      </c>
      <c r="T9" s="16" t="n">
        <v>848.37</v>
      </c>
      <c r="U9" s="16" t="n">
        <v>848.37</v>
      </c>
      <c r="V9" s="16" t="n">
        <v>848.37</v>
      </c>
      <c r="W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1585.13</v>
      </c>
      <c r="F10" s="13" t="n">
        <v>1620.04</v>
      </c>
      <c r="G10" s="13" t="n">
        <v>1686.02</v>
      </c>
      <c r="H10" s="14" t="n">
        <v>1605.45</v>
      </c>
      <c r="I10" s="13" t="n">
        <v>1715.47</v>
      </c>
      <c r="J10" s="15" t="n">
        <v>1746.09</v>
      </c>
      <c r="K10" s="16" t="n">
        <v>1631.97</v>
      </c>
      <c r="L10" s="16" t="n">
        <v>1506.62</v>
      </c>
      <c r="M10" s="17" t="n">
        <v>1688.01</v>
      </c>
      <c r="N10" s="16" t="n">
        <v>1500.82</v>
      </c>
      <c r="O10" s="16" t="n">
        <v>1500.82</v>
      </c>
      <c r="P10" s="16" t="n">
        <v>1500.82</v>
      </c>
      <c r="Q10" s="16" t="n">
        <v>1500.82</v>
      </c>
      <c r="R10" s="11" t="n"/>
      <c r="S10" s="16" t="n">
        <v>1500.82</v>
      </c>
      <c r="T10" s="16" t="n">
        <v>1500.82</v>
      </c>
      <c r="U10" s="16" t="n">
        <v>1500.82</v>
      </c>
      <c r="V10" s="16" t="n">
        <v>1500.82</v>
      </c>
      <c r="W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1588.22</v>
      </c>
      <c r="F11" s="13" t="n">
        <v>1648.04</v>
      </c>
      <c r="G11" s="13" t="n">
        <v>1696.94</v>
      </c>
      <c r="H11" s="14" t="n">
        <v>1696.94</v>
      </c>
      <c r="I11" s="13" t="n">
        <v>1753.21</v>
      </c>
      <c r="J11" s="15" t="n">
        <v>1767.09</v>
      </c>
      <c r="K11" s="16" t="n">
        <v>1539.06</v>
      </c>
      <c r="L11" s="16" t="n">
        <v>1500.82</v>
      </c>
      <c r="M11" s="17" t="n">
        <v>1500.82</v>
      </c>
      <c r="N11" s="16" t="n">
        <v>1500.82</v>
      </c>
      <c r="O11" s="16" t="n">
        <v>1500.82</v>
      </c>
      <c r="P11" s="16" t="n">
        <v>1500.82</v>
      </c>
      <c r="Q11" s="16" t="n">
        <v>1500.82</v>
      </c>
      <c r="R11" s="11" t="n"/>
      <c r="S11" s="16" t="n">
        <v>1500.82</v>
      </c>
      <c r="T11" s="16" t="n">
        <v>1500.82</v>
      </c>
      <c r="U11" s="16" t="n">
        <v>1500.82</v>
      </c>
      <c r="V11" s="16" t="n">
        <v>1500.82</v>
      </c>
      <c r="W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193.41</v>
      </c>
      <c r="F12" s="13" t="n">
        <v>193.79</v>
      </c>
      <c r="G12" s="13" t="n">
        <v>204.38</v>
      </c>
      <c r="H12" s="14" t="n">
        <v>197.8</v>
      </c>
      <c r="I12" s="13" t="n">
        <v>211.75</v>
      </c>
      <c r="J12" s="15" t="n">
        <v>220.8</v>
      </c>
      <c r="K12" s="16" t="n">
        <v>210.43</v>
      </c>
      <c r="L12" s="16" t="n">
        <v>200.49</v>
      </c>
      <c r="M12" s="17" t="n">
        <v>213.61</v>
      </c>
      <c r="N12" s="16" t="n">
        <v>200.4</v>
      </c>
      <c r="O12" s="16" t="n">
        <v>200.4</v>
      </c>
      <c r="P12" s="16" t="n">
        <v>200.4</v>
      </c>
      <c r="Q12" s="16" t="n">
        <v>200.4</v>
      </c>
      <c r="R12" s="11" t="n"/>
      <c r="S12" s="16" t="n">
        <v>200.4</v>
      </c>
      <c r="T12" s="16" t="n">
        <v>200.4</v>
      </c>
      <c r="U12" s="16" t="n">
        <v>200.4</v>
      </c>
      <c r="V12" s="16" t="n">
        <v>200.4</v>
      </c>
      <c r="W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189.14</v>
      </c>
      <c r="F13" s="13" t="n">
        <v>197.16</v>
      </c>
      <c r="G13" s="13" t="n">
        <v>206.28</v>
      </c>
      <c r="H13" s="14" t="n">
        <v>206.28</v>
      </c>
      <c r="I13" s="13" t="n">
        <v>220.97</v>
      </c>
      <c r="J13" s="15" t="n">
        <v>228.56</v>
      </c>
      <c r="K13" s="16" t="n">
        <v>202.16</v>
      </c>
      <c r="L13" s="16" t="n">
        <v>200.4</v>
      </c>
      <c r="M13" s="17" t="n">
        <v>200.4</v>
      </c>
      <c r="N13" s="16" t="n">
        <v>200.4</v>
      </c>
      <c r="O13" s="16" t="n">
        <v>200.4</v>
      </c>
      <c r="P13" s="16" t="n">
        <v>200.4</v>
      </c>
      <c r="Q13" s="16" t="n">
        <v>200.4</v>
      </c>
      <c r="R13" s="11" t="n"/>
      <c r="S13" s="16" t="n">
        <v>200.4</v>
      </c>
      <c r="T13" s="16" t="n">
        <v>200.4</v>
      </c>
      <c r="U13" s="16" t="n">
        <v>200.4</v>
      </c>
      <c r="V13" s="16" t="n">
        <v>200.4</v>
      </c>
      <c r="W13" s="11" t="n"/>
    </row>
    <row r="14">
      <c r="B14" s="1" t="inlineStr">
        <is>
          <t>1b. 종가</t>
        </is>
      </c>
      <c r="H14" s="9" t="n"/>
      <c r="J14" s="5" t="n"/>
      <c r="K14" s="10" t="n"/>
      <c r="L14" s="10" t="n"/>
      <c r="M14" s="11" t="n"/>
      <c r="N14" s="10" t="n"/>
      <c r="O14" s="10" t="n"/>
      <c r="P14" s="10" t="n"/>
      <c r="Q14" s="10" t="n"/>
      <c r="R14" s="11" t="n"/>
      <c r="S14" s="10" t="n"/>
      <c r="T14" s="10" t="n"/>
      <c r="U14" s="10" t="n"/>
      <c r="V14" s="10" t="n"/>
      <c r="W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29650</v>
      </c>
      <c r="F15" s="18" t="n">
        <v>22050</v>
      </c>
      <c r="G15" s="18" t="n">
        <v>18390</v>
      </c>
      <c r="H15" s="9" t="n"/>
      <c r="I15" s="18" t="n">
        <v>17190</v>
      </c>
      <c r="J15" s="19" t="n">
        <v>10820</v>
      </c>
      <c r="K15" s="20" t="n">
        <v>8580</v>
      </c>
      <c r="L15" s="20" t="n">
        <v>9860</v>
      </c>
      <c r="M15" s="11" t="n"/>
      <c r="N15" s="10" t="n"/>
      <c r="O15" s="10" t="n"/>
      <c r="P15" s="10" t="n"/>
      <c r="Q15" s="10" t="n"/>
      <c r="R15" s="11" t="n"/>
      <c r="S15" s="10" t="n"/>
      <c r="T15" s="10" t="n"/>
      <c r="U15" s="10" t="n"/>
      <c r="V15" s="10" t="n"/>
      <c r="W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41800</v>
      </c>
      <c r="F16" s="18" t="n">
        <v>29200</v>
      </c>
      <c r="G16" s="18" t="n">
        <v>29150</v>
      </c>
      <c r="H16" s="9" t="n"/>
      <c r="I16" s="18" t="n">
        <v>21900</v>
      </c>
      <c r="J16" s="19" t="n">
        <v>19710</v>
      </c>
      <c r="K16" s="20" t="n">
        <v>12000</v>
      </c>
      <c r="L16" s="20" t="n">
        <v>15020</v>
      </c>
      <c r="M16" s="11" t="n"/>
      <c r="N16" s="10" t="n"/>
      <c r="O16" s="10" t="n"/>
      <c r="P16" s="10" t="n"/>
      <c r="Q16" s="10" t="n"/>
      <c r="R16" s="11" t="n"/>
      <c r="S16" s="10" t="n"/>
      <c r="T16" s="10" t="n"/>
      <c r="U16" s="10" t="n"/>
      <c r="V16" s="10" t="n"/>
      <c r="W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23600</v>
      </c>
      <c r="F17" s="18" t="n">
        <v>18900</v>
      </c>
      <c r="G17" s="18" t="n">
        <v>18170</v>
      </c>
      <c r="H17" s="9" t="n"/>
      <c r="I17" s="18" t="n">
        <v>14000</v>
      </c>
      <c r="J17" s="19" t="n">
        <v>9030</v>
      </c>
      <c r="K17" s="20" t="n">
        <v>5400</v>
      </c>
      <c r="L17" s="20" t="n">
        <v>8350</v>
      </c>
      <c r="M17" s="11" t="n"/>
      <c r="N17" s="10" t="n"/>
      <c r="O17" s="10" t="n"/>
      <c r="P17" s="10" t="n"/>
      <c r="Q17" s="10" t="n"/>
      <c r="R17" s="11" t="n"/>
      <c r="S17" s="10" t="n"/>
      <c r="T17" s="10" t="n"/>
      <c r="U17" s="10" t="n"/>
      <c r="V17" s="10" t="n"/>
      <c r="W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28574.3</v>
      </c>
      <c r="F18" s="18" t="n">
        <v>24211.2</v>
      </c>
      <c r="G18" s="18" t="n">
        <v>20802.2</v>
      </c>
      <c r="H18" s="9" t="n"/>
      <c r="I18" s="18" t="n">
        <v>17932.9</v>
      </c>
      <c r="J18" s="19" t="n">
        <v>14728.7</v>
      </c>
      <c r="K18" s="20" t="n">
        <v>7830.5</v>
      </c>
      <c r="L18" s="20" t="n">
        <v>11665</v>
      </c>
      <c r="M18" s="11" t="n"/>
      <c r="N18" s="10" t="n"/>
      <c r="O18" s="10" t="n"/>
      <c r="P18" s="10" t="n"/>
      <c r="Q18" s="10" t="n"/>
      <c r="R18" s="11" t="n"/>
      <c r="S18" s="10" t="n"/>
      <c r="T18" s="10" t="n"/>
      <c r="U18" s="10" t="n"/>
      <c r="V18" s="10" t="n"/>
      <c r="W18" s="11" t="n"/>
    </row>
    <row r="19">
      <c r="H19" s="9" t="n"/>
      <c r="J19" s="5" t="n"/>
      <c r="K19" s="10" t="n"/>
      <c r="L19" s="10" t="n"/>
      <c r="M19" s="11" t="n"/>
      <c r="N19" s="10" t="n"/>
      <c r="O19" s="10" t="n"/>
      <c r="P19" s="10" t="n"/>
      <c r="Q19" s="10" t="n"/>
      <c r="R19" s="11" t="n"/>
      <c r="S19" s="10" t="n"/>
      <c r="T19" s="10" t="n"/>
      <c r="U19" s="10" t="n"/>
      <c r="V19" s="10" t="n"/>
      <c r="W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H20" s="9" t="n"/>
      <c r="J20" s="5" t="n"/>
      <c r="K20" s="10" t="n"/>
      <c r="L20" s="10" t="n"/>
      <c r="M20" s="11" t="n"/>
      <c r="N20" s="10" t="n"/>
      <c r="O20" s="10" t="n"/>
      <c r="P20" s="10" t="n"/>
      <c r="Q20" s="10" t="n"/>
      <c r="R20" s="11" t="n"/>
      <c r="S20" s="10" t="n"/>
      <c r="T20" s="10" t="n"/>
      <c r="U20" s="10" t="n"/>
      <c r="V20" s="10" t="n"/>
      <c r="W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1" t="n"/>
      <c r="G21" s="21" t="n"/>
      <c r="H21" s="22" t="n"/>
      <c r="I21" s="21" t="n"/>
      <c r="J21" s="23">
        <f>IFERROR(subQ!J5/subQ!E5-1,"")</f>
        <v/>
      </c>
      <c r="K21" s="24" t="n">
        <v>-5.3912e-05</v>
      </c>
      <c r="L21" s="24" t="n">
        <v>-3.6924e-05</v>
      </c>
      <c r="M21" s="25" t="n"/>
      <c r="N21" s="24" t="n">
        <v>-0.000112826</v>
      </c>
      <c r="O21" s="24" t="n">
        <v>4.4214e-05</v>
      </c>
      <c r="P21" s="24" t="n">
        <v>0</v>
      </c>
      <c r="Q21" s="24" t="n">
        <v>0</v>
      </c>
      <c r="R21" s="25" t="n"/>
      <c r="S21" s="24" t="n">
        <v>0</v>
      </c>
      <c r="T21" s="24" t="n">
        <v>0</v>
      </c>
      <c r="U21" s="24" t="n">
        <v>0</v>
      </c>
      <c r="V21" s="24" t="n">
        <v>0</v>
      </c>
      <c r="W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1">
        <f>IFERROR(subQ!F8/subQ!F5,"")</f>
        <v/>
      </c>
      <c r="G22" s="21">
        <f>IFERROR(subQ!G8/subQ!G5,"")</f>
        <v/>
      </c>
      <c r="H22" s="22">
        <f>IFERROR(subQ!H8/subQ!H5,"")</f>
        <v/>
      </c>
      <c r="I22" s="21">
        <f>IFERROR(subQ!I8/subQ!I5,"")</f>
        <v/>
      </c>
      <c r="J22" s="23">
        <f>IFERROR(subQ!J8/subQ!J5,"")</f>
        <v/>
      </c>
      <c r="K22" s="26">
        <f>$D$48</f>
        <v/>
      </c>
      <c r="L22" s="26">
        <f>$D$48</f>
        <v/>
      </c>
      <c r="M22" s="25">
        <f>IFERROR(subQ!M8/subQ!M5,"")</f>
        <v/>
      </c>
      <c r="N22" s="26">
        <f>$D$48</f>
        <v/>
      </c>
      <c r="O22" s="26">
        <f>$D$48</f>
        <v/>
      </c>
      <c r="P22" s="26">
        <f>$D$48</f>
        <v/>
      </c>
      <c r="Q22" s="26">
        <f>$D$48</f>
        <v/>
      </c>
      <c r="R22" s="25">
        <f>IFERROR(subQ!R8/subQ!R5,"")</f>
        <v/>
      </c>
      <c r="S22" s="26">
        <f>$D$48</f>
        <v/>
      </c>
      <c r="T22" s="26">
        <f>$D$48</f>
        <v/>
      </c>
      <c r="U22" s="26">
        <f>$D$48</f>
        <v/>
      </c>
      <c r="V22" s="26">
        <f>$D$48</f>
        <v/>
      </c>
      <c r="W22" s="25">
        <f>IFERROR(subQ!W8/subQ!W5,"")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1">
        <f>IFERROR(subQ!F9/subQ!F5,"")</f>
        <v/>
      </c>
      <c r="G23" s="21">
        <f>IFERROR(subQ!G9/subQ!G5,"")</f>
        <v/>
      </c>
      <c r="H23" s="22">
        <f>IFERROR(subQ!H9/subQ!H5,"")</f>
        <v/>
      </c>
      <c r="I23" s="21">
        <f>IFERROR(subQ!I9/subQ!I5,"")</f>
        <v/>
      </c>
      <c r="J23" s="23">
        <f>IFERROR(subQ!J9/subQ!J5,"")</f>
        <v/>
      </c>
      <c r="K23" s="24" t="n">
        <v>-0.199953118</v>
      </c>
      <c r="L23" s="24" t="n">
        <v>-0.2</v>
      </c>
      <c r="M23" s="25">
        <f>IFERROR(subQ!M9/subQ!M5,"")</f>
        <v/>
      </c>
      <c r="N23" s="24" t="n">
        <v>-0.200100301</v>
      </c>
      <c r="O23" s="24" t="n">
        <v>-0.199959807</v>
      </c>
      <c r="P23" s="24" t="n">
        <v>-0.199953118</v>
      </c>
      <c r="Q23" s="24" t="n">
        <v>-0.2</v>
      </c>
      <c r="R23" s="25">
        <f>IFERROR(subQ!R9/subQ!R5,"")</f>
        <v/>
      </c>
      <c r="S23" s="24" t="n">
        <v>-0.200100301</v>
      </c>
      <c r="T23" s="24" t="n">
        <v>-0.199959807</v>
      </c>
      <c r="U23" s="24" t="n">
        <v>-0.199953118</v>
      </c>
      <c r="V23" s="24" t="n">
        <v>-0.2</v>
      </c>
      <c r="W23" s="25">
        <f>IFERROR(subQ!W9/subQ!W5,"")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7">
        <f>subQ!F13</f>
        <v/>
      </c>
      <c r="G24" s="27">
        <f>subQ!G13</f>
        <v/>
      </c>
      <c r="H24" s="28">
        <f>subQ!H13</f>
        <v/>
      </c>
      <c r="I24" s="27">
        <f>subQ!I13</f>
        <v/>
      </c>
      <c r="J24" s="29">
        <f>subQ!J13</f>
        <v/>
      </c>
      <c r="K24" s="30" t="n">
        <v>0</v>
      </c>
      <c r="L24" s="30" t="n">
        <v>0</v>
      </c>
      <c r="M24" s="31">
        <f>subQ!M13</f>
        <v/>
      </c>
      <c r="N24" s="30" t="n">
        <v>0</v>
      </c>
      <c r="O24" s="30" t="n">
        <v>0</v>
      </c>
      <c r="P24" s="30" t="n">
        <v>0</v>
      </c>
      <c r="Q24" s="30" t="n">
        <v>0</v>
      </c>
      <c r="R24" s="31">
        <f>subQ!R13</f>
        <v/>
      </c>
      <c r="S24" s="30" t="n">
        <v>0</v>
      </c>
      <c r="T24" s="30" t="n">
        <v>0</v>
      </c>
      <c r="U24" s="30" t="n">
        <v>0</v>
      </c>
      <c r="V24" s="30" t="n">
        <v>0</v>
      </c>
      <c r="W24" s="31">
        <f>subQ!W13</f>
        <v/>
      </c>
    </row>
    <row r="25">
      <c r="A25" s="12" t="inlineStr">
        <is>
          <t>drv:법인세비용</t>
        </is>
      </c>
      <c r="B25" s="2" t="inlineStr">
        <is>
          <t>ratio</t>
        </is>
      </c>
      <c r="C25" t="inlineStr">
        <is>
          <t>법인세율(/세전)</t>
        </is>
      </c>
      <c r="E25" s="21">
        <f>IFERROR(subQ!E15/subQ!E14,"")</f>
        <v/>
      </c>
      <c r="F25" s="21">
        <f>IFERROR(subQ!F15/subQ!F14,"")</f>
        <v/>
      </c>
      <c r="G25" s="21">
        <f>IFERROR(subQ!G15/subQ!G14,"")</f>
        <v/>
      </c>
      <c r="H25" s="22">
        <f>IFERROR(subQ!H15/subQ!H14,"")</f>
        <v/>
      </c>
      <c r="I25" s="21">
        <f>IFERROR(subQ!I15/subQ!I14,"")</f>
        <v/>
      </c>
      <c r="J25" s="23">
        <f>IFERROR(subQ!J15/subQ!J14,"")</f>
        <v/>
      </c>
      <c r="K25" s="24" t="n">
        <v>-0</v>
      </c>
      <c r="L25" s="24" t="n">
        <v>-0</v>
      </c>
      <c r="M25" s="25">
        <f>IFERROR(subQ!M15/subQ!M14,"")</f>
        <v/>
      </c>
      <c r="N25" s="24" t="n">
        <v>-0</v>
      </c>
      <c r="O25" s="24" t="n">
        <v>-0</v>
      </c>
      <c r="P25" s="24" t="n">
        <v>-0</v>
      </c>
      <c r="Q25" s="24" t="n">
        <v>-0</v>
      </c>
      <c r="R25" s="25">
        <f>IFERROR(subQ!R15/subQ!R14,"")</f>
        <v/>
      </c>
      <c r="S25" s="24" t="n">
        <v>-0</v>
      </c>
      <c r="T25" s="24" t="n">
        <v>-0</v>
      </c>
      <c r="U25" s="24" t="n">
        <v>-0</v>
      </c>
      <c r="V25" s="24" t="n">
        <v>-0</v>
      </c>
      <c r="W25" s="25">
        <f>IFERROR(subQ!W15/subQ!W14,"")</f>
        <v/>
      </c>
    </row>
    <row r="26">
      <c r="A26" s="12" t="inlineStr">
        <is>
          <t>drv:지배주주순이익</t>
        </is>
      </c>
      <c r="B26" s="2" t="inlineStr">
        <is>
          <t>ratio</t>
        </is>
      </c>
      <c r="C26" t="inlineStr">
        <is>
          <t>지배주주 비중(/당기순이익)</t>
        </is>
      </c>
      <c r="E26" s="21">
        <f>IFERROR(subQ!E17/subQ!E16,"")</f>
        <v/>
      </c>
      <c r="F26" s="21">
        <f>IFERROR(subQ!F17/subQ!F16,"")</f>
        <v/>
      </c>
      <c r="G26" s="21">
        <f>IFERROR(subQ!G17/subQ!G16,"")</f>
        <v/>
      </c>
      <c r="H26" s="22">
        <f>IFERROR(subQ!H17/subQ!H16,"")</f>
        <v/>
      </c>
      <c r="I26" s="21">
        <f>IFERROR(subQ!I17/subQ!I16,"")</f>
        <v/>
      </c>
      <c r="J26" s="23">
        <f>IFERROR(subQ!J17/subQ!J16,"")</f>
        <v/>
      </c>
      <c r="K26" s="26">
        <f>$D$49</f>
        <v/>
      </c>
      <c r="L26" s="26">
        <f>$D$49</f>
        <v/>
      </c>
      <c r="M26" s="25">
        <f>IFERROR(subQ!M17/subQ!M16,"")</f>
        <v/>
      </c>
      <c r="N26" s="26">
        <f>$D$49</f>
        <v/>
      </c>
      <c r="O26" s="26">
        <f>$D$49</f>
        <v/>
      </c>
      <c r="P26" s="26">
        <f>$D$49</f>
        <v/>
      </c>
      <c r="Q26" s="26">
        <f>$D$49</f>
        <v/>
      </c>
      <c r="R26" s="25">
        <f>IFERROR(subQ!R17/subQ!R16,"")</f>
        <v/>
      </c>
      <c r="S26" s="26">
        <f>$D$49</f>
        <v/>
      </c>
      <c r="T26" s="26">
        <f>$D$49</f>
        <v/>
      </c>
      <c r="U26" s="26">
        <f>$D$49</f>
        <v/>
      </c>
      <c r="V26" s="26">
        <f>$D$49</f>
        <v/>
      </c>
      <c r="W26" s="25">
        <f>IFERROR(subQ!W17/subQ!W16,"")</f>
        <v/>
      </c>
    </row>
    <row r="27">
      <c r="A27" s="12" t="inlineStr">
        <is>
          <t>drv:부채총계</t>
        </is>
      </c>
      <c r="B27" s="2" t="inlineStr">
        <is>
          <t>qoq</t>
        </is>
      </c>
      <c r="C27" t="inlineStr">
        <is>
          <t>부채총계 QoQ</t>
        </is>
      </c>
      <c r="E27" s="21" t="n"/>
      <c r="F27" s="21">
        <f>IFERROR(subQ!F19/subQ!E19-1,"")</f>
        <v/>
      </c>
      <c r="G27" s="21">
        <f>IFERROR(subQ!G19/subQ!F19-1,"")</f>
        <v/>
      </c>
      <c r="H27" s="22" t="n"/>
      <c r="I27" s="21">
        <f>IFERROR(subQ!I19/subQ!G19-1,"")</f>
        <v/>
      </c>
      <c r="J27" s="23">
        <f>IFERROR(subQ!J19/subQ!I19-1,"")</f>
        <v/>
      </c>
      <c r="K27" s="24" t="n">
        <v>-9.735000000000001e-06</v>
      </c>
      <c r="L27" s="24" t="n">
        <v>0</v>
      </c>
      <c r="M27" s="25" t="n"/>
      <c r="N27" s="24" t="n">
        <v>0</v>
      </c>
      <c r="O27" s="24" t="n">
        <v>0</v>
      </c>
      <c r="P27" s="24" t="n">
        <v>0</v>
      </c>
      <c r="Q27" s="24" t="n">
        <v>0</v>
      </c>
      <c r="R27" s="25" t="n"/>
      <c r="S27" s="24" t="n">
        <v>0</v>
      </c>
      <c r="T27" s="24" t="n">
        <v>0</v>
      </c>
      <c r="U27" s="24" t="n">
        <v>0</v>
      </c>
      <c r="V27" s="24" t="n">
        <v>0</v>
      </c>
      <c r="W27" s="25" t="n"/>
    </row>
    <row r="28">
      <c r="A28" s="12" t="inlineStr">
        <is>
          <t>drv:자본총계</t>
        </is>
      </c>
      <c r="B28" s="2" t="inlineStr">
        <is>
          <t>roll</t>
        </is>
      </c>
      <c r="C28" t="inlineStr">
        <is>
          <t>자본총계 기타변동(배당 등, 억원)</t>
        </is>
      </c>
      <c r="E28" s="27" t="n"/>
      <c r="F28" s="27">
        <f>IFERROR(subQ!E20+subQ!F16-subQ!F20,"")</f>
        <v/>
      </c>
      <c r="G28" s="27">
        <f>IFERROR(subQ!F20+subQ!G16-subQ!G20,"")</f>
        <v/>
      </c>
      <c r="H28" s="28" t="n"/>
      <c r="I28" s="27">
        <f>IFERROR(subQ!G20+subQ!I16-subQ!I20,"")</f>
        <v/>
      </c>
      <c r="J28" s="29">
        <f>IFERROR(subQ!I20+subQ!J16-subQ!J20,"")</f>
        <v/>
      </c>
      <c r="K28" s="30" t="n">
        <v>0.002957824</v>
      </c>
      <c r="L28" s="30" t="n">
        <v>0.000885174</v>
      </c>
      <c r="M28" s="31" t="n"/>
      <c r="N28" s="30" t="n">
        <v>-0.006614541</v>
      </c>
      <c r="O28" s="30" t="n">
        <v>0.007439472</v>
      </c>
      <c r="P28" s="30" t="n">
        <v>0.001035279</v>
      </c>
      <c r="Q28" s="30" t="n">
        <v>0.002890469</v>
      </c>
      <c r="R28" s="31" t="n"/>
      <c r="S28" s="30" t="n">
        <v>-0.005285804</v>
      </c>
      <c r="T28" s="30" t="n">
        <v>-0.001908349</v>
      </c>
      <c r="U28" s="30" t="n">
        <v>0.0010109</v>
      </c>
      <c r="V28" s="30" t="n">
        <v>0.002189532</v>
      </c>
      <c r="W28" s="31" t="n"/>
    </row>
    <row r="29">
      <c r="A29" s="12" t="inlineStr">
        <is>
          <t>drv:지배주주지분</t>
        </is>
      </c>
      <c r="B29" s="2" t="inlineStr">
        <is>
          <t>roll</t>
        </is>
      </c>
      <c r="C29" t="inlineStr">
        <is>
          <t>지배주주지분 기타변동(배당 등, 억원)</t>
        </is>
      </c>
      <c r="E29" s="27" t="n"/>
      <c r="F29" s="27">
        <f>IFERROR(subQ!E21+subQ!F17-subQ!F21,"")</f>
        <v/>
      </c>
      <c r="G29" s="27">
        <f>IFERROR(subQ!F21+subQ!G17-subQ!G21,"")</f>
        <v/>
      </c>
      <c r="H29" s="28" t="n"/>
      <c r="I29" s="27">
        <f>IFERROR(subQ!G21+subQ!I17-subQ!I21,"")</f>
        <v/>
      </c>
      <c r="J29" s="29">
        <f>IFERROR(subQ!I21+subQ!J17-subQ!J21,"")</f>
        <v/>
      </c>
      <c r="K29" s="30" t="n">
        <v>0.002957824</v>
      </c>
      <c r="L29" s="30" t="n">
        <v>0.000885174</v>
      </c>
      <c r="M29" s="31" t="n"/>
      <c r="N29" s="30" t="n">
        <v>-0.006614541</v>
      </c>
      <c r="O29" s="30" t="n">
        <v>0.007439472</v>
      </c>
      <c r="P29" s="30" t="n">
        <v>0.001035279</v>
      </c>
      <c r="Q29" s="30" t="n">
        <v>0.002890469</v>
      </c>
      <c r="R29" s="31" t="n"/>
      <c r="S29" s="30" t="n">
        <v>-0.005285804</v>
      </c>
      <c r="T29" s="30" t="n">
        <v>-0.001908349</v>
      </c>
      <c r="U29" s="30" t="n">
        <v>0.0010109</v>
      </c>
      <c r="V29" s="30" t="n">
        <v>0.002189532</v>
      </c>
      <c r="W29" s="31" t="n"/>
    </row>
    <row r="30">
      <c r="A30" s="12" t="inlineStr">
        <is>
          <t>drv:총차입금</t>
        </is>
      </c>
      <c r="B30" s="2" t="inlineStr">
        <is>
          <t>qoq</t>
        </is>
      </c>
      <c r="C30" t="inlineStr">
        <is>
          <t>총차입금 QoQ</t>
        </is>
      </c>
      <c r="E30" s="21" t="n"/>
      <c r="F30" s="21">
        <f>IFERROR(subQ!F22/subQ!E22-1,"")</f>
        <v/>
      </c>
      <c r="G30" s="21">
        <f>IFERROR(subQ!G22/subQ!F22-1,"")</f>
        <v/>
      </c>
      <c r="H30" s="22" t="n"/>
      <c r="I30" s="21">
        <f>IFERROR(subQ!I22/subQ!G22-1,"")</f>
        <v/>
      </c>
      <c r="J30" s="23">
        <f>IFERROR(subQ!J22/subQ!I22-1,"")</f>
        <v/>
      </c>
      <c r="K30" s="24" t="n">
        <v>0</v>
      </c>
      <c r="L30" s="24" t="n">
        <v>0</v>
      </c>
      <c r="M30" s="25" t="n"/>
      <c r="N30" s="24" t="n">
        <v>0</v>
      </c>
      <c r="O30" s="24" t="n">
        <v>0</v>
      </c>
      <c r="P30" s="24" t="n">
        <v>0</v>
      </c>
      <c r="Q30" s="24" t="n">
        <v>0</v>
      </c>
      <c r="R30" s="25" t="n"/>
      <c r="S30" s="24" t="n">
        <v>0</v>
      </c>
      <c r="T30" s="24" t="n">
        <v>0</v>
      </c>
      <c r="U30" s="24" t="n">
        <v>0</v>
      </c>
      <c r="V30" s="24" t="n">
        <v>0</v>
      </c>
      <c r="W30" s="25" t="n"/>
    </row>
    <row r="31">
      <c r="A31" s="12" t="inlineStr">
        <is>
          <t>drv:순차입금</t>
        </is>
      </c>
      <c r="B31" s="2" t="inlineStr">
        <is>
          <t>qoq</t>
        </is>
      </c>
      <c r="C31" t="inlineStr">
        <is>
          <t>순차입금 QoQ</t>
        </is>
      </c>
      <c r="E31" s="21" t="n"/>
      <c r="F31" s="21">
        <f>IFERROR(subQ!F23/subQ!E23-1,"")</f>
        <v/>
      </c>
      <c r="G31" s="21">
        <f>IFERROR(subQ!G23/subQ!F23-1,"")</f>
        <v/>
      </c>
      <c r="H31" s="22" t="n"/>
      <c r="I31" s="21">
        <f>IFERROR(subQ!I23/subQ!G23-1,"")</f>
        <v/>
      </c>
      <c r="J31" s="23">
        <f>IFERROR(subQ!J23/subQ!I23-1,"")</f>
        <v/>
      </c>
      <c r="K31" s="24" t="n">
        <v>-0.858467648</v>
      </c>
      <c r="L31" s="24" t="n">
        <v>-17.097014925</v>
      </c>
      <c r="M31" s="25" t="n"/>
      <c r="N31" s="24" t="n">
        <v>0.355586463</v>
      </c>
      <c r="O31" s="24" t="n">
        <v>0.670998632</v>
      </c>
      <c r="P31" s="24" t="n">
        <v>0.17028244</v>
      </c>
      <c r="Q31" s="24" t="n">
        <v>0.404162295</v>
      </c>
      <c r="R31" s="25" t="n"/>
      <c r="S31" s="24" t="n">
        <v>0.098019679</v>
      </c>
      <c r="T31" s="24" t="n">
        <v>0.224931942</v>
      </c>
      <c r="U31" s="24" t="n">
        <v>0.078896194</v>
      </c>
      <c r="V31" s="24" t="n">
        <v>0.200068664</v>
      </c>
      <c r="W31" s="25" t="n"/>
    </row>
    <row r="32">
      <c r="A32" s="12" t="inlineStr">
        <is>
          <t>drv:이자발생자산</t>
        </is>
      </c>
      <c r="B32" s="2" t="inlineStr">
        <is>
          <t>qoq</t>
        </is>
      </c>
      <c r="C32" t="inlineStr">
        <is>
          <t>이자발생자산 QoQ</t>
        </is>
      </c>
      <c r="E32" s="21" t="n"/>
      <c r="F32" s="21">
        <f>IFERROR(subQ!F24/subQ!E24-1,"")</f>
        <v/>
      </c>
      <c r="G32" s="21">
        <f>IFERROR(subQ!G24/subQ!F24-1,"")</f>
        <v/>
      </c>
      <c r="H32" s="22" t="n"/>
      <c r="I32" s="21">
        <f>IFERROR(subQ!I24/subQ!G24-1,"")</f>
        <v/>
      </c>
      <c r="J32" s="23">
        <f>IFERROR(subQ!J24/subQ!I24-1,"")</f>
        <v/>
      </c>
      <c r="K32" s="24" t="n">
        <v>-0.06721189</v>
      </c>
      <c r="L32" s="24" t="n">
        <v>-0.203265016</v>
      </c>
      <c r="M32" s="25" t="n"/>
      <c r="N32" s="24" t="n">
        <v>-0.085412027</v>
      </c>
      <c r="O32" s="24" t="n">
        <v>-0.239011324</v>
      </c>
      <c r="P32" s="24" t="n">
        <v>-0.13312</v>
      </c>
      <c r="Q32" s="24" t="n">
        <v>-0.426541159</v>
      </c>
      <c r="R32" s="25" t="n"/>
      <c r="S32" s="24" t="n">
        <v>-0.253299002</v>
      </c>
      <c r="T32" s="24" t="n">
        <v>-0.854741379</v>
      </c>
      <c r="U32" s="24" t="n">
        <v>-2.528189911</v>
      </c>
      <c r="V32" s="24" t="n">
        <v>4.524271845</v>
      </c>
      <c r="W32" s="25" t="n"/>
    </row>
    <row r="33">
      <c r="A33" s="12" t="inlineStr">
        <is>
          <t>drv:현금및현금성자산</t>
        </is>
      </c>
      <c r="B33" s="2" t="inlineStr">
        <is>
          <t>qoq</t>
        </is>
      </c>
      <c r="C33" t="inlineStr">
        <is>
          <t>현금및현금성자산 QoQ</t>
        </is>
      </c>
      <c r="E33" s="21" t="n"/>
      <c r="F33" s="21">
        <f>IFERROR(subQ!F25/subQ!E25-1,"")</f>
        <v/>
      </c>
      <c r="G33" s="21">
        <f>IFERROR(subQ!G25/subQ!F25-1,"")</f>
        <v/>
      </c>
      <c r="H33" s="22" t="n"/>
      <c r="I33" s="21">
        <f>IFERROR(subQ!I25/subQ!G25-1,"")</f>
        <v/>
      </c>
      <c r="J33" s="23">
        <f>IFERROR(subQ!J25/subQ!I25-1,"")</f>
        <v/>
      </c>
      <c r="K33" s="32" t="n"/>
      <c r="L33" s="32" t="n"/>
      <c r="M33" s="25" t="n"/>
      <c r="N33" s="32" t="n"/>
      <c r="O33" s="32" t="n"/>
      <c r="P33" s="32" t="n"/>
      <c r="Q33" s="32" t="n"/>
      <c r="R33" s="25" t="n"/>
      <c r="S33" s="32" t="n"/>
      <c r="T33" s="32" t="n"/>
      <c r="U33" s="32" t="n"/>
      <c r="V33" s="32" t="n"/>
      <c r="W33" s="25" t="n"/>
    </row>
    <row r="34">
      <c r="A34" s="12" t="inlineStr">
        <is>
          <t>drv:CAPEX</t>
        </is>
      </c>
      <c r="B34" s="2" t="inlineStr">
        <is>
          <t>yoy</t>
        </is>
      </c>
      <c r="C34" t="inlineStr">
        <is>
          <t>CAPEX YoY</t>
        </is>
      </c>
      <c r="E34" s="21" t="n"/>
      <c r="F34" s="21" t="n"/>
      <c r="G34" s="21" t="n"/>
      <c r="H34" s="22" t="n"/>
      <c r="I34" s="21" t="n"/>
      <c r="J34" s="23">
        <f>IFERROR(subQ!J26/subQ!E26-1,"")</f>
        <v/>
      </c>
      <c r="K34" s="24" t="n">
        <v>1.576112412</v>
      </c>
      <c r="L34" s="24" t="n">
        <v>-0.773289365</v>
      </c>
      <c r="M34" s="25" t="n"/>
      <c r="N34" s="24" t="n">
        <v>0.210787012</v>
      </c>
      <c r="O34" s="24" t="n">
        <v>-0.13589945</v>
      </c>
      <c r="P34" s="24" t="n">
        <v>0</v>
      </c>
      <c r="Q34" s="24" t="n">
        <v>0</v>
      </c>
      <c r="R34" s="25" t="n"/>
      <c r="S34" s="24" t="n">
        <v>0</v>
      </c>
      <c r="T34" s="24" t="n">
        <v>0</v>
      </c>
      <c r="U34" s="24" t="n">
        <v>0</v>
      </c>
      <c r="V34" s="24" t="n">
        <v>0</v>
      </c>
      <c r="W34" s="25" t="n"/>
    </row>
    <row r="35">
      <c r="A35" s="12" t="inlineStr">
        <is>
          <t>drv:영업활동현금흐름</t>
        </is>
      </c>
      <c r="B35" s="2" t="inlineStr">
        <is>
          <t>yoy</t>
        </is>
      </c>
      <c r="C35" t="inlineStr">
        <is>
          <t>영업활동현금흐름 YoY</t>
        </is>
      </c>
      <c r="E35" s="21" t="n"/>
      <c r="F35" s="21" t="n"/>
      <c r="G35" s="21" t="n"/>
      <c r="H35" s="22" t="n"/>
      <c r="I35" s="21" t="n"/>
      <c r="J35" s="23">
        <f>IFERROR(subQ!J27/subQ!E27-1,"")</f>
        <v/>
      </c>
      <c r="K35" s="32" t="n"/>
      <c r="L35" s="32" t="n"/>
      <c r="M35" s="25" t="n"/>
      <c r="N35" s="32" t="n"/>
      <c r="O35" s="32" t="n"/>
      <c r="P35" s="32" t="n"/>
      <c r="Q35" s="32" t="n"/>
      <c r="R35" s="25" t="n"/>
      <c r="S35" s="32" t="n"/>
      <c r="T35" s="32" t="n"/>
      <c r="U35" s="32" t="n"/>
      <c r="V35" s="32" t="n"/>
      <c r="W35" s="25" t="n"/>
    </row>
    <row r="36">
      <c r="A36" s="12" t="inlineStr">
        <is>
          <t>drv:주식수</t>
        </is>
      </c>
      <c r="B36" s="2" t="inlineStr">
        <is>
          <t>qoq</t>
        </is>
      </c>
      <c r="C36" t="inlineStr">
        <is>
          <t>주식수 QoQ</t>
        </is>
      </c>
      <c r="E36" s="21" t="n"/>
      <c r="F36" s="21">
        <f>IFERROR(subQ!F28/subQ!E28-1,"")</f>
        <v/>
      </c>
      <c r="G36" s="21">
        <f>IFERROR(subQ!G28/subQ!F28-1,"")</f>
        <v/>
      </c>
      <c r="H36" s="22" t="n"/>
      <c r="I36" s="21">
        <f>IFERROR(subQ!I28/subQ!G28-1,"")</f>
        <v/>
      </c>
      <c r="J36" s="23">
        <f>IFERROR(subQ!J28/subQ!I28-1,"")</f>
        <v/>
      </c>
      <c r="K36" s="24" t="n">
        <v>0</v>
      </c>
      <c r="L36" s="24" t="n">
        <v>0</v>
      </c>
      <c r="M36" s="25" t="n"/>
      <c r="N36" s="24" t="n">
        <v>0</v>
      </c>
      <c r="O36" s="24" t="n">
        <v>0</v>
      </c>
      <c r="P36" s="24" t="n">
        <v>0</v>
      </c>
      <c r="Q36" s="24" t="n">
        <v>0</v>
      </c>
      <c r="R36" s="25" t="n"/>
      <c r="S36" s="24" t="n">
        <v>0</v>
      </c>
      <c r="T36" s="24" t="n">
        <v>0</v>
      </c>
      <c r="U36" s="24" t="n">
        <v>0</v>
      </c>
      <c r="V36" s="24" t="n">
        <v>0</v>
      </c>
      <c r="W36" s="25" t="n"/>
    </row>
    <row r="37">
      <c r="A37" s="12" t="inlineStr">
        <is>
          <t>drv:DPS</t>
        </is>
      </c>
      <c r="B37" s="2" t="inlineStr">
        <is>
          <t>abs</t>
        </is>
      </c>
      <c r="C37" t="inlineStr">
        <is>
          <t>DPS (가정, 원)</t>
        </is>
      </c>
      <c r="E37" s="27">
        <f>subQ!E31</f>
        <v/>
      </c>
      <c r="F37" s="27">
        <f>subQ!F31</f>
        <v/>
      </c>
      <c r="G37" s="27">
        <f>subQ!G31</f>
        <v/>
      </c>
      <c r="H37" s="28">
        <f>subQ!H31</f>
        <v/>
      </c>
      <c r="I37" s="27">
        <f>subQ!I31</f>
        <v/>
      </c>
      <c r="J37" s="29">
        <f>subQ!J31</f>
        <v/>
      </c>
      <c r="K37" s="33" t="n"/>
      <c r="L37" s="30" t="n">
        <v>0</v>
      </c>
      <c r="M37" s="31">
        <f>subQ!M31</f>
        <v/>
      </c>
      <c r="N37" s="33" t="n"/>
      <c r="O37" s="33" t="n"/>
      <c r="P37" s="33" t="n"/>
      <c r="Q37" s="30" t="n">
        <v>0</v>
      </c>
      <c r="R37" s="31">
        <f>subQ!R31</f>
        <v/>
      </c>
      <c r="S37" s="33" t="n"/>
      <c r="T37" s="33" t="n"/>
      <c r="U37" s="33" t="n"/>
      <c r="V37" s="30" t="n">
        <v>0</v>
      </c>
      <c r="W37" s="31">
        <f>subQ!W31</f>
        <v/>
      </c>
    </row>
    <row r="38">
      <c r="H38" s="9" t="n"/>
      <c r="J38" s="5" t="n"/>
      <c r="K38" s="10" t="n"/>
      <c r="L38" s="10" t="n"/>
      <c r="M38" s="11" t="n"/>
      <c r="N38" s="10" t="n"/>
      <c r="O38" s="10" t="n"/>
      <c r="P38" s="10" t="n"/>
      <c r="Q38" s="10" t="n"/>
      <c r="R38" s="11" t="n"/>
      <c r="S38" s="10" t="n"/>
      <c r="T38" s="10" t="n"/>
      <c r="U38" s="10" t="n"/>
      <c r="V38" s="10" t="n"/>
      <c r="W38" s="11" t="n"/>
    </row>
    <row r="39">
      <c r="B39" s="1" t="inlineStr">
        <is>
          <t>3. 밸류에이션·스칼라</t>
        </is>
      </c>
      <c r="C39" s="2" t="inlineStr">
        <is>
          <t>노란 셀 = 가정. '연결' 표시는 추정 전 분기 수식이 이 셀을 참조한다는 뜻</t>
        </is>
      </c>
      <c r="H39" s="9" t="n"/>
      <c r="J39" s="5" t="n"/>
      <c r="K39" s="10" t="n"/>
      <c r="L39" s="10" t="n"/>
      <c r="M39" s="11" t="n"/>
      <c r="N39" s="10" t="n"/>
      <c r="O39" s="10" t="n"/>
      <c r="P39" s="10" t="n"/>
      <c r="Q39" s="10" t="n"/>
      <c r="R39" s="11" t="n"/>
      <c r="S39" s="10" t="n"/>
      <c r="T39" s="10" t="n"/>
      <c r="U39" s="10" t="n"/>
      <c r="V39" s="10" t="n"/>
      <c r="W39" s="11" t="n"/>
    </row>
    <row r="40">
      <c r="A40" s="12" t="inlineStr">
        <is>
          <t>sc:종가</t>
        </is>
      </c>
      <c r="C40" t="inlineStr">
        <is>
          <t>종가</t>
        </is>
      </c>
      <c r="D40" s="34" t="n">
        <v>9860</v>
      </c>
      <c r="E40" s="2" t="inlineStr">
        <is>
          <t>원 — 네이버 정규장 종가(aik 확정종가 대조 · aik 10,650원)</t>
        </is>
      </c>
      <c r="H40" s="9" t="n"/>
      <c r="J40" s="5" t="n"/>
      <c r="K40" s="10" t="n"/>
      <c r="L40" s="10" t="n"/>
      <c r="M40" s="11" t="n"/>
      <c r="N40" s="10" t="n"/>
      <c r="O40" s="10" t="n"/>
      <c r="P40" s="10" t="n"/>
      <c r="Q40" s="10" t="n"/>
      <c r="R40" s="11" t="n"/>
      <c r="S40" s="10" t="n"/>
      <c r="T40" s="10" t="n"/>
      <c r="U40" s="10" t="n"/>
      <c r="V40" s="10" t="n"/>
      <c r="W40" s="11" t="n"/>
    </row>
    <row r="41">
      <c r="A41" s="12" t="inlineStr">
        <is>
          <t>sc:기준일</t>
        </is>
      </c>
      <c r="C41" t="inlineStr">
        <is>
          <t>기준일</t>
        </is>
      </c>
      <c r="D41" s="35" t="inlineStr">
        <is>
          <t>20261014</t>
        </is>
      </c>
      <c r="E41" s="2" t="inlineStr">
        <is>
          <t>종가 기준일</t>
        </is>
      </c>
      <c r="H41" s="9" t="n"/>
      <c r="J41" s="5" t="n"/>
      <c r="K41" s="10" t="n"/>
      <c r="L41" s="10" t="n"/>
      <c r="M41" s="11" t="n"/>
      <c r="N41" s="10" t="n"/>
      <c r="O41" s="10" t="n"/>
      <c r="P41" s="10" t="n"/>
      <c r="Q41" s="10" t="n"/>
      <c r="R41" s="11" t="n"/>
      <c r="S41" s="10" t="n"/>
      <c r="T41" s="10" t="n"/>
      <c r="U41" s="10" t="n"/>
      <c r="V41" s="10" t="n"/>
      <c r="W41" s="11" t="n"/>
    </row>
    <row r="42">
      <c r="A42" s="12" t="inlineStr">
        <is>
          <t>sc:COE</t>
        </is>
      </c>
      <c r="C42" t="inlineStr">
        <is>
          <t>COE</t>
        </is>
      </c>
      <c r="D42" s="24" t="n">
        <v>0.09</v>
      </c>
      <c r="E42" s="2" t="inlineStr">
        <is>
          <t>자기자본비용(가정) — TP 적정 PBR = ROE/COE</t>
        </is>
      </c>
      <c r="H42" s="9" t="n"/>
      <c r="J42" s="5" t="n"/>
      <c r="K42" s="10" t="n"/>
      <c r="L42" s="10" t="n"/>
      <c r="M42" s="11" t="n"/>
      <c r="N42" s="10" t="n"/>
      <c r="O42" s="10" t="n"/>
      <c r="P42" s="10" t="n"/>
      <c r="Q42" s="10" t="n"/>
      <c r="R42" s="11" t="n"/>
      <c r="S42" s="10" t="n"/>
      <c r="T42" s="10" t="n"/>
      <c r="U42" s="10" t="n"/>
      <c r="V42" s="10" t="n"/>
      <c r="W42" s="11" t="n"/>
    </row>
    <row r="43">
      <c r="A43" s="12" t="inlineStr">
        <is>
          <t>sc:PER_lo</t>
        </is>
      </c>
      <c r="C43" t="inlineStr">
        <is>
          <t>PER_lo</t>
        </is>
      </c>
      <c r="D43" s="30" t="n">
        <v>10</v>
      </c>
      <c r="E43" s="2" t="inlineStr">
        <is>
          <t>PER 밴드 하단(배) — sector_default(레퍼런스 TP_PE PB 예시 10/15/20배; 과거 양(+)EPS 분기 1개 &lt; 4)</t>
        </is>
      </c>
      <c r="H43" s="9" t="n"/>
      <c r="J43" s="5" t="n"/>
      <c r="K43" s="10" t="n"/>
      <c r="L43" s="10" t="n"/>
      <c r="M43" s="11" t="n"/>
      <c r="N43" s="10" t="n"/>
      <c r="O43" s="10" t="n"/>
      <c r="P43" s="10" t="n"/>
      <c r="Q43" s="10" t="n"/>
      <c r="R43" s="11" t="n"/>
      <c r="S43" s="10" t="n"/>
      <c r="T43" s="10" t="n"/>
      <c r="U43" s="10" t="n"/>
      <c r="V43" s="10" t="n"/>
      <c r="W43" s="11" t="n"/>
    </row>
    <row r="44">
      <c r="A44" s="12" t="inlineStr">
        <is>
          <t>sc:PER_mid</t>
        </is>
      </c>
      <c r="C44" t="inlineStr">
        <is>
          <t>PER_mid</t>
        </is>
      </c>
      <c r="D44" s="30" t="n">
        <v>15</v>
      </c>
      <c r="E44" s="2" t="inlineStr">
        <is>
          <t>PER 밴드 중단(배)</t>
        </is>
      </c>
      <c r="H44" s="9" t="n"/>
      <c r="J44" s="5" t="n"/>
      <c r="K44" s="10" t="n"/>
      <c r="L44" s="10" t="n"/>
      <c r="M44" s="11" t="n"/>
      <c r="N44" s="10" t="n"/>
      <c r="O44" s="10" t="n"/>
      <c r="P44" s="10" t="n"/>
      <c r="Q44" s="10" t="n"/>
      <c r="R44" s="11" t="n"/>
      <c r="S44" s="10" t="n"/>
      <c r="T44" s="10" t="n"/>
      <c r="U44" s="10" t="n"/>
      <c r="V44" s="10" t="n"/>
      <c r="W44" s="11" t="n"/>
    </row>
    <row r="45">
      <c r="A45" s="12" t="inlineStr">
        <is>
          <t>sc:PER_hi</t>
        </is>
      </c>
      <c r="C45" t="inlineStr">
        <is>
          <t>PER_hi</t>
        </is>
      </c>
      <c r="D45" s="30" t="n">
        <v>20</v>
      </c>
      <c r="E45" s="2" t="inlineStr">
        <is>
          <t>PER 밴드 상단(배)</t>
        </is>
      </c>
      <c r="H45" s="9" t="n"/>
      <c r="J45" s="5" t="n"/>
      <c r="K45" s="10" t="n"/>
      <c r="L45" s="10" t="n"/>
      <c r="M45" s="11" t="n"/>
      <c r="N45" s="10" t="n"/>
      <c r="O45" s="10" t="n"/>
      <c r="P45" s="10" t="n"/>
      <c r="Q45" s="10" t="n"/>
      <c r="R45" s="11" t="n"/>
      <c r="S45" s="10" t="n"/>
      <c r="T45" s="10" t="n"/>
      <c r="U45" s="10" t="n"/>
      <c r="V45" s="10" t="n"/>
      <c r="W45" s="11" t="n"/>
    </row>
    <row r="46">
      <c r="A46" s="12" t="inlineStr">
        <is>
          <t>sc:EPS_Y1가중</t>
        </is>
      </c>
      <c r="C46" t="inlineStr">
        <is>
          <t>EPS_Y1가중</t>
        </is>
      </c>
      <c r="D46" s="24" t="n">
        <v>0.5</v>
      </c>
      <c r="E46" s="2" t="inlineStr">
        <is>
          <t>12M fwd EPS = FY(last_actual연도)E × w + FY+1E × (1−w) — 기준 분기 2Q 이면 0.5(가정)</t>
        </is>
      </c>
      <c r="H46" s="9" t="n"/>
      <c r="J46" s="5" t="n"/>
      <c r="K46" s="10" t="n"/>
      <c r="L46" s="10" t="n"/>
      <c r="M46" s="11" t="n"/>
      <c r="N46" s="10" t="n"/>
      <c r="O46" s="10" t="n"/>
      <c r="P46" s="10" t="n"/>
      <c r="Q46" s="10" t="n"/>
      <c r="R46" s="11" t="n"/>
      <c r="S46" s="10" t="n"/>
      <c r="T46" s="10" t="n"/>
      <c r="U46" s="10" t="n"/>
      <c r="V46" s="10" t="n"/>
      <c r="W46" s="11" t="n"/>
    </row>
    <row r="47">
      <c r="A47" s="12" t="inlineStr">
        <is>
          <t>sc:세율</t>
        </is>
      </c>
      <c r="C47" t="inlineStr">
        <is>
          <t>세율</t>
        </is>
      </c>
      <c r="D47" s="36" t="n">
        <v>0.22</v>
      </c>
      <c r="E47" s="2" t="inlineStr">
        <is>
          <t>참고(연결 안 됨: MAX(세전,0)×단일 세율로 재현 불가(지주 자회사 합산 등) → 분기별 역산) — 모델 assumptions 값 · 최근 5분기 세전 합 ≤ 0; 세전 &gt; 0 분기 중위 -37.0% 도 5~27% 밖 → 법정세율 근사 22% 가정</t>
        </is>
      </c>
      <c r="H47" s="9" t="n"/>
      <c r="J47" s="5" t="n"/>
      <c r="K47" s="10" t="n"/>
      <c r="L47" s="10" t="n"/>
      <c r="M47" s="11" t="n"/>
      <c r="N47" s="10" t="n"/>
      <c r="O47" s="10" t="n"/>
      <c r="P47" s="10" t="n"/>
      <c r="Q47" s="10" t="n"/>
      <c r="R47" s="11" t="n"/>
      <c r="S47" s="10" t="n"/>
      <c r="T47" s="10" t="n"/>
      <c r="U47" s="10" t="n"/>
      <c r="V47" s="10" t="n"/>
      <c r="W47" s="11" t="n"/>
    </row>
    <row r="48">
      <c r="A48" s="12" t="inlineStr">
        <is>
          <t>sc:판관비율</t>
        </is>
      </c>
      <c r="C48" t="inlineStr">
        <is>
          <t>판관비율</t>
        </is>
      </c>
      <c r="D48" s="36" t="n">
        <v>0.2280956978297383</v>
      </c>
      <c r="E48" s="2" t="inlineStr">
        <is>
          <t>연결 — 판관비 = 매출액 × 판관비율(역산, 재현 오차 ≤ 0.05억 · 모델 assumptions 0.2281)</t>
        </is>
      </c>
      <c r="H48" s="9" t="n"/>
      <c r="J48" s="5" t="n"/>
      <c r="K48" s="10" t="n"/>
      <c r="L48" s="10" t="n"/>
      <c r="M48" s="11" t="n"/>
      <c r="N48" s="10" t="n"/>
      <c r="O48" s="10" t="n"/>
      <c r="P48" s="10" t="n"/>
      <c r="Q48" s="10" t="n"/>
      <c r="R48" s="11" t="n"/>
      <c r="S48" s="10" t="n"/>
      <c r="T48" s="10" t="n"/>
      <c r="U48" s="10" t="n"/>
      <c r="V48" s="10" t="n"/>
      <c r="W48" s="11" t="n"/>
    </row>
    <row r="49">
      <c r="A49" s="12" t="inlineStr">
        <is>
          <t>sc:지배주주비중</t>
        </is>
      </c>
      <c r="C49" t="inlineStr">
        <is>
          <t>지배주주비중</t>
        </is>
      </c>
      <c r="D49" s="36" t="n">
        <v>1</v>
      </c>
      <c r="E49" s="2" t="inlineStr">
        <is>
          <t>연결 — 지배주주순이익 = 당기순이익 × 비중(역산, 재현 오차 ≤ 0.05억)</t>
        </is>
      </c>
      <c r="H49" s="9" t="n"/>
      <c r="J49" s="5" t="n"/>
      <c r="K49" s="10" t="n"/>
      <c r="L49" s="10" t="n"/>
      <c r="M49" s="11" t="n"/>
      <c r="N49" s="10" t="n"/>
      <c r="O49" s="10" t="n"/>
      <c r="P49" s="10" t="n"/>
      <c r="Q49" s="10" t="n"/>
      <c r="R49" s="11" t="n"/>
      <c r="S49" s="10" t="n"/>
      <c r="T49" s="10" t="n"/>
      <c r="U49" s="10" t="n"/>
      <c r="V49" s="10" t="n"/>
      <c r="W49" s="11" t="n"/>
    </row>
    <row r="50">
      <c r="A50" s="12" t="inlineStr">
        <is>
          <t>sc:이자율_자산</t>
        </is>
      </c>
      <c r="C50" t="inlineStr">
        <is>
          <t>이자율_자산</t>
        </is>
      </c>
      <c r="D50" s="36" t="n">
        <v>0.01353116042259893</v>
      </c>
      <c r="E50" s="2" t="inlineStr">
        <is>
          <t>연결 — 이자손익 = (전분기 이자발생자산 × 자산이자율 − 전분기 총차입금 × 부채이자율)/4(역산, 재현 오차 ≤ 0.05억 · 모델 assumptions 0.0135)</t>
        </is>
      </c>
      <c r="H50" s="9" t="n"/>
      <c r="J50" s="5" t="n"/>
      <c r="K50" s="10" t="n"/>
      <c r="L50" s="10" t="n"/>
      <c r="M50" s="11" t="n"/>
      <c r="N50" s="10" t="n"/>
      <c r="O50" s="10" t="n"/>
      <c r="P50" s="10" t="n"/>
      <c r="Q50" s="10" t="n"/>
      <c r="R50" s="11" t="n"/>
      <c r="S50" s="10" t="n"/>
      <c r="T50" s="10" t="n"/>
      <c r="U50" s="10" t="n"/>
      <c r="V50" s="10" t="n"/>
      <c r="W50" s="11" t="n"/>
    </row>
    <row r="51">
      <c r="A51" s="12" t="inlineStr">
        <is>
          <t>sc:이자율_부채</t>
        </is>
      </c>
      <c r="C51" t="inlineStr">
        <is>
          <t>이자율_부채</t>
        </is>
      </c>
      <c r="D51" s="36" t="n">
        <v>1.945451968849733e-05</v>
      </c>
      <c r="E51" s="2" t="inlineStr">
        <is>
          <t>연결 — 같은 수식의 부채 쪽(총차입금 행이 없으면 0)(역산, 재현 오차 ≤ 0.05억)</t>
        </is>
      </c>
      <c r="H51" s="9" t="n"/>
      <c r="J51" s="5" t="n"/>
      <c r="K51" s="10" t="n"/>
      <c r="L51" s="10" t="n"/>
      <c r="M51" s="11" t="n"/>
      <c r="N51" s="10" t="n"/>
      <c r="O51" s="10" t="n"/>
      <c r="P51" s="10" t="n"/>
      <c r="Q51" s="10" t="n"/>
      <c r="R51" s="11" t="n"/>
      <c r="S51" s="10" t="n"/>
      <c r="T51" s="10" t="n"/>
      <c r="U51" s="10" t="n"/>
      <c r="V51" s="10" t="n"/>
      <c r="W51" s="11" t="n"/>
    </row>
    <row r="52">
      <c r="A52" s="12" t="inlineStr">
        <is>
          <t>sc:배당성향</t>
        </is>
      </c>
      <c r="C52" t="inlineStr">
        <is>
          <t>배당성향</t>
        </is>
      </c>
      <c r="D52" s="24" t="n"/>
      <c r="E52" s="2" t="inlineStr">
        <is>
          <t>배당성향(참고 — 모델은 직전 DPS 유지·Q2 지급 가정)</t>
        </is>
      </c>
      <c r="H52" s="9" t="n"/>
      <c r="J52" s="5" t="n"/>
      <c r="K52" s="10" t="n"/>
      <c r="L52" s="10" t="n"/>
      <c r="M52" s="11" t="n"/>
      <c r="N52" s="10" t="n"/>
      <c r="O52" s="10" t="n"/>
      <c r="P52" s="10" t="n"/>
      <c r="Q52" s="10" t="n"/>
      <c r="R52" s="11" t="n"/>
      <c r="S52" s="10" t="n"/>
      <c r="T52" s="10" t="n"/>
      <c r="U52" s="10" t="n"/>
      <c r="V52" s="10" t="n"/>
      <c r="W52" s="11" t="n"/>
    </row>
    <row r="53">
      <c r="A53" s="12" t="inlineStr">
        <is>
          <t>sc:외화순노출_백만$</t>
        </is>
      </c>
      <c r="C53" t="inlineStr">
        <is>
          <t>외화순노출_백만$</t>
        </is>
      </c>
      <c r="D53" s="30" t="n"/>
      <c r="E53" s="2" t="inlineStr">
        <is>
          <t>외화 순노출 × Δ기말환율 (외화 시트 방식) — 외화 순노출 미공시(face) → 0 + 표기</t>
        </is>
      </c>
      <c r="H53" s="9" t="n"/>
      <c r="J53" s="5" t="n"/>
      <c r="K53" s="10" t="n"/>
      <c r="L53" s="10" t="n"/>
      <c r="M53" s="11" t="n"/>
      <c r="N53" s="10" t="n"/>
      <c r="O53" s="10" t="n"/>
      <c r="P53" s="10" t="n"/>
      <c r="Q53" s="10" t="n"/>
      <c r="R53" s="11" t="n"/>
      <c r="S53" s="10" t="n"/>
      <c r="T53" s="10" t="n"/>
      <c r="U53" s="10" t="n"/>
      <c r="V53" s="10" t="n"/>
      <c r="W53" s="11" t="n"/>
    </row>
    <row r="54">
      <c r="A54" s="12" t="inlineStr">
        <is>
          <t>sc:헤지비율</t>
        </is>
      </c>
      <c r="C54" t="inlineStr">
        <is>
          <t>헤지비율</t>
        </is>
      </c>
      <c r="D54" s="24" t="n"/>
      <c r="E54" s="2" t="inlineStr">
        <is>
          <t>sls 없음</t>
        </is>
      </c>
      <c r="H54" s="9" t="n"/>
      <c r="J54" s="5" t="n"/>
      <c r="K54" s="10" t="n"/>
      <c r="L54" s="10" t="n"/>
      <c r="M54" s="11" t="n"/>
      <c r="N54" s="10" t="n"/>
      <c r="O54" s="10" t="n"/>
      <c r="P54" s="10" t="n"/>
      <c r="Q54" s="10" t="n"/>
      <c r="R54" s="11" t="n"/>
      <c r="S54" s="10" t="n"/>
      <c r="T54" s="10" t="n"/>
      <c r="U54" s="10" t="n"/>
      <c r="V54" s="10" t="n"/>
      <c r="W54" s="11" t="n"/>
    </row>
    <row r="55">
      <c r="A55" s="12" t="inlineStr">
        <is>
          <t>sc:헤지환율_약정</t>
        </is>
      </c>
      <c r="C55" t="inlineStr">
        <is>
          <t>헤지환율_약정</t>
        </is>
      </c>
      <c r="D55" s="16" t="n"/>
      <c r="E55" s="2" t="inlineStr">
        <is>
          <t>sls 없음</t>
        </is>
      </c>
      <c r="H55" s="9" t="n"/>
      <c r="J55" s="5" t="n"/>
      <c r="K55" s="10" t="n"/>
      <c r="L55" s="10" t="n"/>
      <c r="M55" s="11" t="n"/>
      <c r="N55" s="10" t="n"/>
      <c r="O55" s="10" t="n"/>
      <c r="P55" s="10" t="n"/>
      <c r="Q55" s="10" t="n"/>
      <c r="R55" s="11" t="n"/>
      <c r="S55" s="10" t="n"/>
      <c r="T55" s="10" t="n"/>
      <c r="U55" s="10" t="n"/>
      <c r="V55" s="10" t="n"/>
      <c r="W55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W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n">
        <v>2025</v>
      </c>
      <c r="I1" s="3" t="inlineStr">
        <is>
          <t>1Q26</t>
        </is>
      </c>
      <c r="J1" s="4" t="inlineStr">
        <is>
          <t>2Q26</t>
        </is>
      </c>
      <c r="K1" s="3" t="inlineStr">
        <is>
          <t>3Q26</t>
        </is>
      </c>
      <c r="L1" s="3" t="inlineStr">
        <is>
          <t>4Q26</t>
        </is>
      </c>
      <c r="M1" s="3" t="n">
        <v>2026</v>
      </c>
      <c r="N1" s="3" t="inlineStr">
        <is>
          <t>1Q27</t>
        </is>
      </c>
      <c r="O1" s="3" t="inlineStr">
        <is>
          <t>2Q27</t>
        </is>
      </c>
      <c r="P1" s="3" t="inlineStr">
        <is>
          <t>3Q27</t>
        </is>
      </c>
      <c r="Q1" s="3" t="inlineStr">
        <is>
          <t>4Q27</t>
        </is>
      </c>
      <c r="R1" s="3" t="n">
        <v>2027</v>
      </c>
      <c r="S1" s="3" t="inlineStr">
        <is>
          <t>1Q28</t>
        </is>
      </c>
      <c r="T1" s="3" t="inlineStr">
        <is>
          <t>2Q28</t>
        </is>
      </c>
      <c r="U1" s="3" t="inlineStr">
        <is>
          <t>3Q28</t>
        </is>
      </c>
      <c r="V1" s="3" t="inlineStr">
        <is>
          <t>4Q28</t>
        </is>
      </c>
      <c r="W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J2" s="5" t="n"/>
    </row>
    <row r="3">
      <c r="B3" t="inlineStr">
        <is>
          <t>원일티엔아이(연)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6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2025.12A</t>
        </is>
      </c>
      <c r="I4" s="7" t="inlineStr">
        <is>
          <t>2026.03</t>
        </is>
      </c>
      <c r="J4" s="8" t="inlineStr">
        <is>
          <t>2026.06</t>
        </is>
      </c>
      <c r="K4" s="7" t="inlineStr">
        <is>
          <t>2026.09</t>
        </is>
      </c>
      <c r="L4" s="7" t="inlineStr">
        <is>
          <t>2026.12</t>
        </is>
      </c>
      <c r="M4" s="7" t="inlineStr">
        <is>
          <t>2026.12A</t>
        </is>
      </c>
      <c r="N4" s="7" t="inlineStr">
        <is>
          <t>2027.03</t>
        </is>
      </c>
      <c r="O4" s="7" t="inlineStr">
        <is>
          <t>2027.06</t>
        </is>
      </c>
      <c r="P4" s="7" t="inlineStr">
        <is>
          <t>2027.09</t>
        </is>
      </c>
      <c r="Q4" s="7" t="inlineStr">
        <is>
          <t>2027.12</t>
        </is>
      </c>
      <c r="R4" s="7" t="inlineStr">
        <is>
          <t>2027.12A</t>
        </is>
      </c>
      <c r="S4" s="7" t="inlineStr">
        <is>
          <t>2028.03</t>
        </is>
      </c>
      <c r="T4" s="7" t="inlineStr">
        <is>
          <t>2028.06</t>
        </is>
      </c>
      <c r="U4" s="7" t="inlineStr">
        <is>
          <t>2028.09</t>
        </is>
      </c>
      <c r="V4" s="7" t="inlineStr">
        <is>
          <t>2028.12</t>
        </is>
      </c>
      <c r="W4" s="7" t="inlineStr">
        <is>
          <t>2028.12A</t>
        </is>
      </c>
    </row>
    <row r="5">
      <c r="H5" s="9" t="n"/>
      <c r="J5" s="5" t="n"/>
      <c r="K5" s="10" t="n"/>
      <c r="L5" s="10" t="n"/>
      <c r="M5" s="11" t="n"/>
      <c r="N5" s="10" t="n"/>
      <c r="O5" s="10" t="n"/>
      <c r="P5" s="10" t="n"/>
      <c r="Q5" s="10" t="n"/>
      <c r="R5" s="11" t="n"/>
      <c r="S5" s="10" t="n"/>
      <c r="T5" s="10" t="n"/>
      <c r="U5" s="10" t="n"/>
      <c r="V5" s="10" t="n"/>
      <c r="W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n">
        <v>2025</v>
      </c>
      <c r="I1" s="3" t="inlineStr">
        <is>
          <t>1Q26</t>
        </is>
      </c>
      <c r="J1" s="4" t="inlineStr">
        <is>
          <t>2Q26</t>
        </is>
      </c>
      <c r="K1" s="3" t="inlineStr">
        <is>
          <t>3Q26</t>
        </is>
      </c>
      <c r="L1" s="3" t="inlineStr">
        <is>
          <t>4Q26</t>
        </is>
      </c>
      <c r="M1" s="3" t="n">
        <v>2026</v>
      </c>
      <c r="N1" s="3" t="inlineStr">
        <is>
          <t>1Q27</t>
        </is>
      </c>
      <c r="O1" s="3" t="inlineStr">
        <is>
          <t>2Q27</t>
        </is>
      </c>
      <c r="P1" s="3" t="inlineStr">
        <is>
          <t>3Q27</t>
        </is>
      </c>
      <c r="Q1" s="3" t="inlineStr">
        <is>
          <t>4Q27</t>
        </is>
      </c>
      <c r="R1" s="3" t="n">
        <v>2027</v>
      </c>
      <c r="S1" s="3" t="inlineStr">
        <is>
          <t>1Q28</t>
        </is>
      </c>
      <c r="T1" s="3" t="inlineStr">
        <is>
          <t>2Q28</t>
        </is>
      </c>
      <c r="U1" s="3" t="inlineStr">
        <is>
          <t>3Q28</t>
        </is>
      </c>
      <c r="V1" s="3" t="inlineStr">
        <is>
          <t>4Q28</t>
        </is>
      </c>
      <c r="W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J2" s="5" t="n"/>
    </row>
    <row r="3">
      <c r="B3" t="inlineStr">
        <is>
          <t>원일티엔아이(별)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6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2025.12A</t>
        </is>
      </c>
      <c r="I4" s="7" t="inlineStr">
        <is>
          <t>2026.03</t>
        </is>
      </c>
      <c r="J4" s="8" t="inlineStr">
        <is>
          <t>2026.06</t>
        </is>
      </c>
      <c r="K4" s="7" t="inlineStr">
        <is>
          <t>2026.09</t>
        </is>
      </c>
      <c r="L4" s="7" t="inlineStr">
        <is>
          <t>2026.12</t>
        </is>
      </c>
      <c r="M4" s="7" t="inlineStr">
        <is>
          <t>2026.12A</t>
        </is>
      </c>
      <c r="N4" s="7" t="inlineStr">
        <is>
          <t>2027.03</t>
        </is>
      </c>
      <c r="O4" s="7" t="inlineStr">
        <is>
          <t>2027.06</t>
        </is>
      </c>
      <c r="P4" s="7" t="inlineStr">
        <is>
          <t>2027.09</t>
        </is>
      </c>
      <c r="Q4" s="7" t="inlineStr">
        <is>
          <t>2027.12</t>
        </is>
      </c>
      <c r="R4" s="7" t="inlineStr">
        <is>
          <t>2027.12A</t>
        </is>
      </c>
      <c r="S4" s="7" t="inlineStr">
        <is>
          <t>2028.03</t>
        </is>
      </c>
      <c r="T4" s="7" t="inlineStr">
        <is>
          <t>2028.06</t>
        </is>
      </c>
      <c r="U4" s="7" t="inlineStr">
        <is>
          <t>2028.09</t>
        </is>
      </c>
      <c r="V4" s="7" t="inlineStr">
        <is>
          <t>2028.12</t>
        </is>
      </c>
      <c r="W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37933.84</v>
      </c>
      <c r="F5" s="18" t="n">
        <v>36420.19</v>
      </c>
      <c r="G5" s="18" t="n">
        <v>34371.29</v>
      </c>
      <c r="H5" s="37" t="n">
        <v>34371.29</v>
      </c>
      <c r="I5" s="18" t="n">
        <v>38045.57</v>
      </c>
      <c r="J5" s="19" t="n">
        <v>43632.35</v>
      </c>
      <c r="K5" s="10" t="n"/>
      <c r="L5" s="10" t="n"/>
      <c r="M5" s="11" t="n"/>
      <c r="N5" s="10" t="n"/>
      <c r="O5" s="10" t="n"/>
      <c r="P5" s="10" t="n"/>
      <c r="Q5" s="10" t="n"/>
      <c r="R5" s="11" t="n"/>
      <c r="S5" s="10" t="n"/>
      <c r="T5" s="10" t="n"/>
      <c r="U5" s="10" t="n"/>
      <c r="V5" s="10" t="n"/>
      <c r="W5" s="11" t="n"/>
    </row>
    <row r="6">
      <c r="A6" t="n">
        <v>1</v>
      </c>
      <c r="C6" t="inlineStr">
        <is>
          <t>현금및현금성자산</t>
        </is>
      </c>
      <c r="E6" s="18" t="n">
        <v>3043.13</v>
      </c>
      <c r="F6" s="18" t="n">
        <v>13383.7</v>
      </c>
      <c r="G6" s="18" t="n">
        <v>4428</v>
      </c>
      <c r="H6" s="37" t="n">
        <v>4428</v>
      </c>
      <c r="I6" s="18" t="n">
        <v>11312.96</v>
      </c>
      <c r="J6" s="19" t="n">
        <v>8905.030000000001</v>
      </c>
      <c r="K6" s="10" t="n"/>
      <c r="L6" s="10" t="n"/>
      <c r="M6" s="11" t="n"/>
      <c r="N6" s="10" t="n"/>
      <c r="O6" s="10" t="n"/>
      <c r="P6" s="10" t="n"/>
      <c r="Q6" s="10" t="n"/>
      <c r="R6" s="11" t="n"/>
      <c r="S6" s="10" t="n"/>
      <c r="T6" s="10" t="n"/>
      <c r="U6" s="10" t="n"/>
      <c r="V6" s="10" t="n"/>
      <c r="W6" s="11" t="n"/>
    </row>
    <row r="7">
      <c r="A7" t="n">
        <v>1</v>
      </c>
      <c r="C7" t="inlineStr">
        <is>
          <t>매출채권및기타채권</t>
        </is>
      </c>
      <c r="E7" s="18" t="n">
        <v>18118.45</v>
      </c>
      <c r="F7" s="18" t="n">
        <v>7172.37</v>
      </c>
      <c r="G7" s="18" t="n">
        <v>8838.76</v>
      </c>
      <c r="H7" s="37" t="n">
        <v>8838.76</v>
      </c>
      <c r="I7" s="18" t="n">
        <v>6902.35</v>
      </c>
      <c r="J7" s="19" t="n">
        <v>9924.049999999999</v>
      </c>
      <c r="K7" s="10" t="n"/>
      <c r="L7" s="10" t="n"/>
      <c r="M7" s="11" t="n"/>
      <c r="N7" s="10" t="n"/>
      <c r="O7" s="10" t="n"/>
      <c r="P7" s="10" t="n"/>
      <c r="Q7" s="10" t="n"/>
      <c r="R7" s="11" t="n"/>
      <c r="S7" s="10" t="n"/>
      <c r="T7" s="10" t="n"/>
      <c r="U7" s="10" t="n"/>
      <c r="V7" s="10" t="n"/>
      <c r="W7" s="11" t="n"/>
    </row>
    <row r="8">
      <c r="A8" t="n">
        <v>1</v>
      </c>
      <c r="C8" t="inlineStr">
        <is>
          <t>계약자산</t>
        </is>
      </c>
      <c r="E8" s="18" t="n">
        <v>7715.91</v>
      </c>
      <c r="F8" s="18" t="n">
        <v>5084.23</v>
      </c>
      <c r="G8" s="18" t="n">
        <v>8072.2</v>
      </c>
      <c r="H8" s="37" t="n">
        <v>8072.2</v>
      </c>
      <c r="I8" s="18" t="n">
        <v>9027.610000000001</v>
      </c>
      <c r="J8" s="19" t="n">
        <v>14542.42</v>
      </c>
      <c r="K8" s="10" t="n"/>
      <c r="L8" s="10" t="n"/>
      <c r="M8" s="11" t="n"/>
      <c r="N8" s="10" t="n"/>
      <c r="O8" s="10" t="n"/>
      <c r="P8" s="10" t="n"/>
      <c r="Q8" s="10" t="n"/>
      <c r="R8" s="11" t="n"/>
      <c r="S8" s="10" t="n"/>
      <c r="T8" s="10" t="n"/>
      <c r="U8" s="10" t="n"/>
      <c r="V8" s="10" t="n"/>
      <c r="W8" s="11" t="n"/>
    </row>
    <row r="9">
      <c r="A9" t="n">
        <v>1</v>
      </c>
      <c r="C9" t="inlineStr">
        <is>
          <t>단기금융상품</t>
        </is>
      </c>
      <c r="E9" s="18" t="n">
        <v>2149.76</v>
      </c>
      <c r="F9" s="18" t="n">
        <v>2222.35</v>
      </c>
      <c r="G9" s="18" t="n">
        <v>5274.17</v>
      </c>
      <c r="H9" s="37" t="n">
        <v>5274.17</v>
      </c>
      <c r="J9" s="19" t="n">
        <v>41.75</v>
      </c>
      <c r="K9" s="10" t="n"/>
      <c r="L9" s="10" t="n"/>
      <c r="M9" s="11" t="n"/>
      <c r="N9" s="10" t="n"/>
      <c r="O9" s="10" t="n"/>
      <c r="P9" s="10" t="n"/>
      <c r="Q9" s="10" t="n"/>
      <c r="R9" s="11" t="n"/>
      <c r="S9" s="10" t="n"/>
      <c r="T9" s="10" t="n"/>
      <c r="U9" s="10" t="n"/>
      <c r="V9" s="10" t="n"/>
      <c r="W9" s="11" t="n"/>
    </row>
    <row r="10">
      <c r="A10" t="n">
        <v>1</v>
      </c>
      <c r="C10" t="inlineStr">
        <is>
          <t>단기금융자산</t>
        </is>
      </c>
      <c r="E10" s="18" t="n">
        <v>2149.76</v>
      </c>
      <c r="F10" s="18" t="n">
        <v>2222.35</v>
      </c>
      <c r="G10" s="18" t="n">
        <v>5274.17</v>
      </c>
      <c r="H10" s="37" t="n">
        <v>5274.17</v>
      </c>
      <c r="J10" s="19" t="n">
        <v>41.75</v>
      </c>
      <c r="K10" s="10" t="n"/>
      <c r="L10" s="10" t="n"/>
      <c r="M10" s="11" t="n"/>
      <c r="N10" s="10" t="n"/>
      <c r="O10" s="10" t="n"/>
      <c r="P10" s="10" t="n"/>
      <c r="Q10" s="10" t="n"/>
      <c r="R10" s="11" t="n"/>
      <c r="S10" s="10" t="n"/>
      <c r="T10" s="10" t="n"/>
      <c r="U10" s="10" t="n"/>
      <c r="V10" s="10" t="n"/>
      <c r="W10" s="11" t="n"/>
    </row>
    <row r="11">
      <c r="A11" t="n">
        <v>1</v>
      </c>
      <c r="C11" t="inlineStr">
        <is>
          <t>재고자산</t>
        </is>
      </c>
      <c r="E11" s="18" t="n">
        <v>5429.59</v>
      </c>
      <c r="F11" s="18" t="n">
        <v>5964.96</v>
      </c>
      <c r="G11" s="18" t="n">
        <v>6815.91</v>
      </c>
      <c r="H11" s="37" t="n">
        <v>6815.91</v>
      </c>
      <c r="I11" s="18" t="n">
        <v>7700.64</v>
      </c>
      <c r="J11" s="19" t="n">
        <v>6861.12</v>
      </c>
      <c r="K11" s="10" t="n"/>
      <c r="L11" s="10" t="n"/>
      <c r="M11" s="11" t="n"/>
      <c r="N11" s="10" t="n"/>
      <c r="O11" s="10" t="n"/>
      <c r="P11" s="10" t="n"/>
      <c r="Q11" s="10" t="n"/>
      <c r="R11" s="11" t="n"/>
      <c r="S11" s="10" t="n"/>
      <c r="T11" s="10" t="n"/>
      <c r="U11" s="10" t="n"/>
      <c r="V11" s="10" t="n"/>
      <c r="W11" s="11" t="n"/>
    </row>
    <row r="12">
      <c r="A12" t="n">
        <v>1</v>
      </c>
      <c r="C12" t="inlineStr">
        <is>
          <t>기타유동자산</t>
        </is>
      </c>
      <c r="E12" s="18" t="n">
        <v>1476.99</v>
      </c>
      <c r="F12" s="18" t="n">
        <v>2589.67</v>
      </c>
      <c r="G12" s="18" t="n">
        <v>930.6</v>
      </c>
      <c r="H12" s="37" t="n">
        <v>930.6</v>
      </c>
      <c r="I12" s="18" t="n">
        <v>3070.06</v>
      </c>
      <c r="J12" s="19" t="n">
        <v>3336.16</v>
      </c>
      <c r="K12" s="10" t="n"/>
      <c r="L12" s="10" t="n"/>
      <c r="M12" s="11" t="n"/>
      <c r="N12" s="10" t="n"/>
      <c r="O12" s="10" t="n"/>
      <c r="P12" s="10" t="n"/>
      <c r="Q12" s="10" t="n"/>
      <c r="R12" s="11" t="n"/>
      <c r="S12" s="10" t="n"/>
      <c r="T12" s="10" t="n"/>
      <c r="U12" s="10" t="n"/>
      <c r="V12" s="10" t="n"/>
      <c r="W12" s="11" t="n"/>
    </row>
    <row r="13">
      <c r="A13" t="n">
        <v>1</v>
      </c>
      <c r="C13" t="inlineStr">
        <is>
          <t>비유동자산</t>
        </is>
      </c>
      <c r="E13" s="18" t="n">
        <v>30031.38</v>
      </c>
      <c r="F13" s="18" t="n">
        <v>29926.19</v>
      </c>
      <c r="G13" s="18" t="n">
        <v>30429.99</v>
      </c>
      <c r="H13" s="37" t="n">
        <v>30429.99</v>
      </c>
      <c r="I13" s="18" t="n">
        <v>30103.1</v>
      </c>
      <c r="J13" s="19" t="n">
        <v>29988.35</v>
      </c>
      <c r="K13" s="10" t="n"/>
      <c r="L13" s="10" t="n"/>
      <c r="M13" s="11" t="n"/>
      <c r="N13" s="10" t="n"/>
      <c r="O13" s="10" t="n"/>
      <c r="P13" s="10" t="n"/>
      <c r="Q13" s="10" t="n"/>
      <c r="R13" s="11" t="n"/>
      <c r="S13" s="10" t="n"/>
      <c r="T13" s="10" t="n"/>
      <c r="U13" s="10" t="n"/>
      <c r="V13" s="10" t="n"/>
      <c r="W13" s="11" t="n"/>
    </row>
    <row r="14">
      <c r="A14" t="n">
        <v>1</v>
      </c>
      <c r="C14" t="inlineStr">
        <is>
          <t>장기금융자산</t>
        </is>
      </c>
      <c r="E14" s="18" t="n">
        <v>3033.77</v>
      </c>
      <c r="F14" s="18" t="n">
        <v>3103.46</v>
      </c>
      <c r="G14" s="18" t="n">
        <v>3172.14</v>
      </c>
      <c r="H14" s="37" t="n">
        <v>3172.14</v>
      </c>
      <c r="I14" s="18" t="n">
        <v>3110.12</v>
      </c>
      <c r="J14" s="19" t="n">
        <v>3136.35</v>
      </c>
      <c r="K14" s="10" t="n"/>
      <c r="L14" s="10" t="n"/>
      <c r="M14" s="11" t="n"/>
      <c r="N14" s="10" t="n"/>
      <c r="O14" s="10" t="n"/>
      <c r="P14" s="10" t="n"/>
      <c r="Q14" s="10" t="n"/>
      <c r="R14" s="11" t="n"/>
      <c r="S14" s="10" t="n"/>
      <c r="T14" s="10" t="n"/>
      <c r="U14" s="10" t="n"/>
      <c r="V14" s="10" t="n"/>
      <c r="W14" s="11" t="n"/>
    </row>
    <row r="15">
      <c r="A15" t="n">
        <v>1</v>
      </c>
      <c r="C15" t="inlineStr">
        <is>
          <t>투자자산</t>
        </is>
      </c>
      <c r="E15" s="18" t="n">
        <v>3033.77</v>
      </c>
      <c r="F15" s="18" t="n">
        <v>3103.46</v>
      </c>
      <c r="G15" s="18" t="n">
        <v>3172.14</v>
      </c>
      <c r="H15" s="37" t="n">
        <v>3172.14</v>
      </c>
      <c r="I15" s="18" t="n">
        <v>3110.12</v>
      </c>
      <c r="J15" s="19" t="n">
        <v>3136.35</v>
      </c>
      <c r="K15" s="10" t="n"/>
      <c r="L15" s="10" t="n"/>
      <c r="M15" s="11" t="n"/>
      <c r="N15" s="10" t="n"/>
      <c r="O15" s="10" t="n"/>
      <c r="P15" s="10" t="n"/>
      <c r="Q15" s="10" t="n"/>
      <c r="R15" s="11" t="n"/>
      <c r="S15" s="10" t="n"/>
      <c r="T15" s="10" t="n"/>
      <c r="U15" s="10" t="n"/>
      <c r="V15" s="10" t="n"/>
      <c r="W15" s="11" t="n"/>
    </row>
    <row r="16">
      <c r="A16" t="n">
        <v>1</v>
      </c>
      <c r="C16" t="inlineStr">
        <is>
          <t>유형자산</t>
        </is>
      </c>
      <c r="E16" s="18" t="n">
        <v>20095.9</v>
      </c>
      <c r="F16" s="18" t="n">
        <v>19993.58</v>
      </c>
      <c r="G16" s="18" t="n">
        <v>19889.64</v>
      </c>
      <c r="H16" s="37" t="n">
        <v>19889.64</v>
      </c>
      <c r="I16" s="18" t="n">
        <v>19799.87</v>
      </c>
      <c r="J16" s="19" t="n">
        <v>19715.96</v>
      </c>
      <c r="K16" s="10" t="n"/>
      <c r="L16" s="10" t="n"/>
      <c r="M16" s="11" t="n"/>
      <c r="N16" s="10" t="n"/>
      <c r="O16" s="10" t="n"/>
      <c r="P16" s="10" t="n"/>
      <c r="Q16" s="10" t="n"/>
      <c r="R16" s="11" t="n"/>
      <c r="S16" s="10" t="n"/>
      <c r="T16" s="10" t="n"/>
      <c r="U16" s="10" t="n"/>
      <c r="V16" s="10" t="n"/>
      <c r="W16" s="11" t="n"/>
    </row>
    <row r="17">
      <c r="A17" t="n">
        <v>1</v>
      </c>
      <c r="C17" t="inlineStr">
        <is>
          <t>투자부동산</t>
        </is>
      </c>
      <c r="E17" s="18" t="n">
        <v>539.8200000000001</v>
      </c>
      <c r="F17" s="18" t="n">
        <v>536.04</v>
      </c>
      <c r="G17" s="18" t="n">
        <v>532.25</v>
      </c>
      <c r="H17" s="37" t="n">
        <v>532.25</v>
      </c>
      <c r="I17" s="18" t="n">
        <v>528.47</v>
      </c>
      <c r="J17" s="19" t="n">
        <v>524.6900000000001</v>
      </c>
      <c r="K17" s="10" t="n"/>
      <c r="L17" s="10" t="n"/>
      <c r="M17" s="11" t="n"/>
      <c r="N17" s="10" t="n"/>
      <c r="O17" s="10" t="n"/>
      <c r="P17" s="10" t="n"/>
      <c r="Q17" s="10" t="n"/>
      <c r="R17" s="11" t="n"/>
      <c r="S17" s="10" t="n"/>
      <c r="T17" s="10" t="n"/>
      <c r="U17" s="10" t="n"/>
      <c r="V17" s="10" t="n"/>
      <c r="W17" s="11" t="n"/>
    </row>
    <row r="18">
      <c r="A18" t="n">
        <v>1</v>
      </c>
      <c r="C18" t="inlineStr">
        <is>
          <t>사용권자산</t>
        </is>
      </c>
      <c r="E18" s="18" t="n">
        <v>133.01</v>
      </c>
      <c r="F18" s="18" t="n">
        <v>189.26</v>
      </c>
      <c r="G18" s="18" t="n">
        <v>158.06</v>
      </c>
      <c r="H18" s="37" t="n">
        <v>158.06</v>
      </c>
      <c r="I18" s="18" t="n">
        <v>116.08</v>
      </c>
      <c r="J18" s="19" t="n">
        <v>84.63</v>
      </c>
      <c r="K18" s="10" t="n"/>
      <c r="L18" s="10" t="n"/>
      <c r="M18" s="11" t="n"/>
      <c r="N18" s="10" t="n"/>
      <c r="O18" s="10" t="n"/>
      <c r="P18" s="10" t="n"/>
      <c r="Q18" s="10" t="n"/>
      <c r="R18" s="11" t="n"/>
      <c r="S18" s="10" t="n"/>
      <c r="T18" s="10" t="n"/>
      <c r="U18" s="10" t="n"/>
      <c r="V18" s="10" t="n"/>
      <c r="W18" s="11" t="n"/>
    </row>
    <row r="19">
      <c r="A19" t="n">
        <v>1</v>
      </c>
      <c r="C19" t="inlineStr">
        <is>
          <t>기타비유동자산</t>
        </is>
      </c>
      <c r="E19" s="18" t="n">
        <v>133.01</v>
      </c>
      <c r="F19" s="18" t="n">
        <v>189.26</v>
      </c>
      <c r="G19" s="18" t="n">
        <v>158.06</v>
      </c>
      <c r="H19" s="37" t="n">
        <v>158.06</v>
      </c>
      <c r="I19" s="18" t="n">
        <v>116.08</v>
      </c>
      <c r="J19" s="19" t="n">
        <v>84.63</v>
      </c>
      <c r="K19" s="10" t="n"/>
      <c r="L19" s="10" t="n"/>
      <c r="M19" s="11" t="n"/>
      <c r="N19" s="10" t="n"/>
      <c r="O19" s="10" t="n"/>
      <c r="P19" s="10" t="n"/>
      <c r="Q19" s="10" t="n"/>
      <c r="R19" s="11" t="n"/>
      <c r="S19" s="10" t="n"/>
      <c r="T19" s="10" t="n"/>
      <c r="U19" s="10" t="n"/>
      <c r="V19" s="10" t="n"/>
      <c r="W19" s="11" t="n"/>
    </row>
    <row r="20">
      <c r="A20" t="n">
        <v>1</v>
      </c>
      <c r="C20" t="inlineStr">
        <is>
          <t>무형자산</t>
        </is>
      </c>
      <c r="E20" s="18" t="n">
        <v>5208.36</v>
      </c>
      <c r="F20" s="18" t="n">
        <v>5083.33</v>
      </c>
      <c r="G20" s="18" t="n">
        <v>5043.88</v>
      </c>
      <c r="H20" s="37" t="n">
        <v>5043.88</v>
      </c>
      <c r="I20" s="18" t="n">
        <v>4914.54</v>
      </c>
      <c r="J20" s="19" t="n">
        <v>4785.2</v>
      </c>
      <c r="K20" s="10" t="n"/>
      <c r="L20" s="10" t="n"/>
      <c r="M20" s="11" t="n"/>
      <c r="N20" s="10" t="n"/>
      <c r="O20" s="10" t="n"/>
      <c r="P20" s="10" t="n"/>
      <c r="Q20" s="10" t="n"/>
      <c r="R20" s="11" t="n"/>
      <c r="S20" s="10" t="n"/>
      <c r="T20" s="10" t="n"/>
      <c r="U20" s="10" t="n"/>
      <c r="V20" s="10" t="n"/>
      <c r="W20" s="11" t="n"/>
    </row>
    <row r="21">
      <c r="A21" t="n">
        <v>1</v>
      </c>
      <c r="C21" t="inlineStr">
        <is>
          <t>장기매출채권및기타채권</t>
        </is>
      </c>
      <c r="E21" s="18" t="n">
        <v>27.92</v>
      </c>
      <c r="F21" s="18" t="n">
        <v>27.92</v>
      </c>
      <c r="G21" s="18" t="n">
        <v>20.65</v>
      </c>
      <c r="H21" s="37" t="n">
        <v>20.65</v>
      </c>
      <c r="I21" s="18" t="n">
        <v>20.65</v>
      </c>
      <c r="J21" s="19" t="n">
        <v>56.99</v>
      </c>
      <c r="K21" s="10" t="n"/>
      <c r="L21" s="10" t="n"/>
      <c r="M21" s="11" t="n"/>
      <c r="N21" s="10" t="n"/>
      <c r="O21" s="10" t="n"/>
      <c r="P21" s="10" t="n"/>
      <c r="Q21" s="10" t="n"/>
      <c r="R21" s="11" t="n"/>
      <c r="S21" s="10" t="n"/>
      <c r="T21" s="10" t="n"/>
      <c r="U21" s="10" t="n"/>
      <c r="V21" s="10" t="n"/>
      <c r="W21" s="11" t="n"/>
    </row>
    <row r="22">
      <c r="A22" t="n">
        <v>1</v>
      </c>
      <c r="C22" t="inlineStr">
        <is>
          <t>이연법인세자산</t>
        </is>
      </c>
      <c r="E22" s="18" t="n">
        <v>992.6</v>
      </c>
      <c r="F22" s="18" t="n">
        <v>992.6</v>
      </c>
      <c r="G22" s="18" t="n">
        <v>1613.37</v>
      </c>
      <c r="H22" s="37" t="n">
        <v>1613.37</v>
      </c>
      <c r="I22" s="18" t="n">
        <v>1613.37</v>
      </c>
      <c r="J22" s="19" t="n">
        <v>1684.53</v>
      </c>
      <c r="K22" s="10" t="n"/>
      <c r="L22" s="10" t="n"/>
      <c r="M22" s="11" t="n"/>
      <c r="N22" s="10" t="n"/>
      <c r="O22" s="10" t="n"/>
      <c r="P22" s="10" t="n"/>
      <c r="Q22" s="10" t="n"/>
      <c r="R22" s="11" t="n"/>
      <c r="S22" s="10" t="n"/>
      <c r="T22" s="10" t="n"/>
      <c r="U22" s="10" t="n"/>
      <c r="V22" s="10" t="n"/>
      <c r="W22" s="11" t="n"/>
    </row>
    <row r="23">
      <c r="A23" t="n">
        <v>1</v>
      </c>
      <c r="C23" t="inlineStr">
        <is>
          <t>자산총계</t>
        </is>
      </c>
      <c r="E23" s="18" t="n">
        <v>67965.22</v>
      </c>
      <c r="F23" s="18" t="n">
        <v>66346.38</v>
      </c>
      <c r="G23" s="18" t="n">
        <v>64801.28</v>
      </c>
      <c r="H23" s="37" t="n">
        <v>64801.28</v>
      </c>
      <c r="I23" s="18" t="n">
        <v>68148.67</v>
      </c>
      <c r="J23" s="19" t="n">
        <v>73620.7</v>
      </c>
      <c r="K23" s="10" t="n"/>
      <c r="L23" s="10" t="n"/>
      <c r="M23" s="11" t="n"/>
      <c r="N23" s="10" t="n"/>
      <c r="O23" s="10" t="n"/>
      <c r="P23" s="10" t="n"/>
      <c r="Q23" s="10" t="n"/>
      <c r="R23" s="11" t="n"/>
      <c r="S23" s="10" t="n"/>
      <c r="T23" s="10" t="n"/>
      <c r="U23" s="10" t="n"/>
      <c r="V23" s="10" t="n"/>
      <c r="W23" s="11" t="n"/>
    </row>
    <row r="24">
      <c r="A24" t="n">
        <v>1</v>
      </c>
      <c r="C24" t="inlineStr">
        <is>
          <t>유동부채</t>
        </is>
      </c>
      <c r="E24" s="18" t="n">
        <v>19035.83</v>
      </c>
      <c r="F24" s="18" t="n">
        <v>18046.83</v>
      </c>
      <c r="G24" s="18" t="n">
        <v>15409.19</v>
      </c>
      <c r="H24" s="37" t="n">
        <v>15409.19</v>
      </c>
      <c r="I24" s="18" t="n">
        <v>20064.08</v>
      </c>
      <c r="J24" s="19" t="n">
        <v>24549.72</v>
      </c>
      <c r="K24" s="10" t="n"/>
      <c r="L24" s="10" t="n"/>
      <c r="M24" s="11" t="n"/>
      <c r="N24" s="10" t="n"/>
      <c r="O24" s="10" t="n"/>
      <c r="P24" s="10" t="n"/>
      <c r="Q24" s="10" t="n"/>
      <c r="R24" s="11" t="n"/>
      <c r="S24" s="10" t="n"/>
      <c r="T24" s="10" t="n"/>
      <c r="U24" s="10" t="n"/>
      <c r="V24" s="10" t="n"/>
      <c r="W24" s="11" t="n"/>
    </row>
    <row r="25">
      <c r="A25" t="n">
        <v>1</v>
      </c>
      <c r="C25" t="inlineStr">
        <is>
          <t>매입채무및기타채무</t>
        </is>
      </c>
      <c r="E25" s="18" t="n">
        <v>3032.91</v>
      </c>
      <c r="F25" s="18" t="n">
        <v>3346</v>
      </c>
      <c r="G25" s="18" t="n">
        <v>5196.97</v>
      </c>
      <c r="H25" s="37" t="n">
        <v>5196.97</v>
      </c>
      <c r="I25" s="18" t="n">
        <v>2904.17</v>
      </c>
      <c r="J25" s="19" t="n">
        <v>4478.66</v>
      </c>
      <c r="K25" s="10" t="n"/>
      <c r="L25" s="10" t="n"/>
      <c r="M25" s="11" t="n"/>
      <c r="N25" s="10" t="n"/>
      <c r="O25" s="10" t="n"/>
      <c r="P25" s="10" t="n"/>
      <c r="Q25" s="10" t="n"/>
      <c r="R25" s="11" t="n"/>
      <c r="S25" s="10" t="n"/>
      <c r="T25" s="10" t="n"/>
      <c r="U25" s="10" t="n"/>
      <c r="V25" s="10" t="n"/>
      <c r="W25" s="11" t="n"/>
    </row>
    <row r="26">
      <c r="A26" t="n">
        <v>1</v>
      </c>
      <c r="C26" t="inlineStr">
        <is>
          <t>단기차입금</t>
        </is>
      </c>
      <c r="E26" s="18" t="n">
        <v>8000</v>
      </c>
      <c r="F26" s="18" t="n">
        <v>8000</v>
      </c>
      <c r="G26" s="18" t="n">
        <v>8000</v>
      </c>
      <c r="H26" s="37" t="n">
        <v>8000</v>
      </c>
      <c r="I26" s="18" t="n">
        <v>8000</v>
      </c>
      <c r="J26" s="19" t="n">
        <v>8000</v>
      </c>
      <c r="K26" s="10" t="n"/>
      <c r="L26" s="10" t="n"/>
      <c r="M26" s="11" t="n"/>
      <c r="N26" s="10" t="n"/>
      <c r="O26" s="10" t="n"/>
      <c r="P26" s="10" t="n"/>
      <c r="Q26" s="10" t="n"/>
      <c r="R26" s="11" t="n"/>
      <c r="S26" s="10" t="n"/>
      <c r="T26" s="10" t="n"/>
      <c r="U26" s="10" t="n"/>
      <c r="V26" s="10" t="n"/>
      <c r="W26" s="11" t="n"/>
    </row>
    <row r="27">
      <c r="A27" t="n">
        <v>1</v>
      </c>
      <c r="C27" t="inlineStr">
        <is>
          <t>계약부채</t>
        </is>
      </c>
      <c r="E27" s="18" t="n">
        <v>7067.42</v>
      </c>
      <c r="F27" s="18" t="n">
        <v>6233.41</v>
      </c>
      <c r="G27" s="18" t="n">
        <v>1845.36</v>
      </c>
      <c r="H27" s="37" t="n">
        <v>1845.36</v>
      </c>
      <c r="I27" s="18" t="n">
        <v>8785.200000000001</v>
      </c>
      <c r="J27" s="19" t="n">
        <v>11701.27</v>
      </c>
      <c r="K27" s="10" t="n"/>
      <c r="L27" s="10" t="n"/>
      <c r="M27" s="11" t="n"/>
      <c r="N27" s="10" t="n"/>
      <c r="O27" s="10" t="n"/>
      <c r="P27" s="10" t="n"/>
      <c r="Q27" s="10" t="n"/>
      <c r="R27" s="11" t="n"/>
      <c r="S27" s="10" t="n"/>
      <c r="T27" s="10" t="n"/>
      <c r="U27" s="10" t="n"/>
      <c r="V27" s="10" t="n"/>
      <c r="W27" s="11" t="n"/>
    </row>
    <row r="28">
      <c r="A28" t="n">
        <v>1</v>
      </c>
      <c r="C28" t="inlineStr">
        <is>
          <t>유동리스부채</t>
        </is>
      </c>
      <c r="E28" s="18" t="n">
        <v>69.95</v>
      </c>
      <c r="F28" s="18" t="n">
        <v>140.03</v>
      </c>
      <c r="G28" s="18" t="n">
        <v>121.24</v>
      </c>
      <c r="H28" s="37" t="n">
        <v>121.24</v>
      </c>
      <c r="I28" s="18" t="n">
        <v>89.13</v>
      </c>
      <c r="J28" s="19" t="n">
        <v>66.16</v>
      </c>
      <c r="K28" s="10" t="n"/>
      <c r="L28" s="10" t="n"/>
      <c r="M28" s="11" t="n"/>
      <c r="N28" s="10" t="n"/>
      <c r="O28" s="10" t="n"/>
      <c r="P28" s="10" t="n"/>
      <c r="Q28" s="10" t="n"/>
      <c r="R28" s="11" t="n"/>
      <c r="S28" s="10" t="n"/>
      <c r="T28" s="10" t="n"/>
      <c r="U28" s="10" t="n"/>
      <c r="V28" s="10" t="n"/>
      <c r="W28" s="11" t="n"/>
    </row>
    <row r="29">
      <c r="A29" t="n">
        <v>1</v>
      </c>
      <c r="C29" t="inlineStr">
        <is>
          <t>리스부채</t>
        </is>
      </c>
      <c r="E29" s="18" t="n">
        <v>131.1</v>
      </c>
      <c r="F29" s="18" t="n">
        <v>185.04</v>
      </c>
      <c r="G29" s="18" t="n">
        <v>155.75</v>
      </c>
      <c r="H29" s="37" t="n">
        <v>155.75</v>
      </c>
      <c r="I29" s="18" t="n">
        <v>115.25</v>
      </c>
      <c r="J29" s="19" t="n">
        <v>85.06</v>
      </c>
      <c r="K29" s="10" t="n"/>
      <c r="L29" s="10" t="n"/>
      <c r="M29" s="11" t="n"/>
      <c r="N29" s="10" t="n"/>
      <c r="O29" s="10" t="n"/>
      <c r="P29" s="10" t="n"/>
      <c r="Q29" s="10" t="n"/>
      <c r="R29" s="11" t="n"/>
      <c r="S29" s="10" t="n"/>
      <c r="T29" s="10" t="n"/>
      <c r="U29" s="10" t="n"/>
      <c r="V29" s="10" t="n"/>
      <c r="W29" s="11" t="n"/>
    </row>
    <row r="30">
      <c r="A30" t="n">
        <v>1</v>
      </c>
      <c r="C30" t="inlineStr">
        <is>
          <t>단기금융부채</t>
        </is>
      </c>
      <c r="E30" s="18" t="n">
        <v>69.95</v>
      </c>
      <c r="F30" s="18" t="n">
        <v>140.03</v>
      </c>
      <c r="G30" s="18" t="n">
        <v>121.24</v>
      </c>
      <c r="H30" s="37" t="n">
        <v>121.24</v>
      </c>
      <c r="I30" s="18" t="n">
        <v>89.13</v>
      </c>
      <c r="J30" s="19" t="n">
        <v>66.16</v>
      </c>
      <c r="K30" s="10" t="n"/>
      <c r="L30" s="10" t="n"/>
      <c r="M30" s="11" t="n"/>
      <c r="N30" s="10" t="n"/>
      <c r="O30" s="10" t="n"/>
      <c r="P30" s="10" t="n"/>
      <c r="Q30" s="10" t="n"/>
      <c r="R30" s="11" t="n"/>
      <c r="S30" s="10" t="n"/>
      <c r="T30" s="10" t="n"/>
      <c r="U30" s="10" t="n"/>
      <c r="V30" s="10" t="n"/>
      <c r="W30" s="11" t="n"/>
    </row>
    <row r="31">
      <c r="A31" t="n">
        <v>1</v>
      </c>
      <c r="C31" t="inlineStr">
        <is>
          <t>당기법인세부채(미지급법인세)</t>
        </is>
      </c>
      <c r="E31" s="18" t="n">
        <v>865.55</v>
      </c>
      <c r="F31" s="18" t="n">
        <v>327.39</v>
      </c>
      <c r="H31" s="9" t="n"/>
      <c r="I31" s="18" t="n">
        <v>223.12</v>
      </c>
      <c r="J31" s="19" t="n">
        <v>238.82</v>
      </c>
      <c r="K31" s="10" t="n"/>
      <c r="L31" s="10" t="n"/>
      <c r="M31" s="11" t="n"/>
      <c r="N31" s="10" t="n"/>
      <c r="O31" s="10" t="n"/>
      <c r="P31" s="10" t="n"/>
      <c r="Q31" s="10" t="n"/>
      <c r="R31" s="11" t="n"/>
      <c r="S31" s="10" t="n"/>
      <c r="T31" s="10" t="n"/>
      <c r="U31" s="10" t="n"/>
      <c r="V31" s="10" t="n"/>
      <c r="W31" s="11" t="n"/>
    </row>
    <row r="32">
      <c r="A32" t="n">
        <v>1</v>
      </c>
      <c r="C32" t="inlineStr">
        <is>
          <t>비유동부채</t>
        </is>
      </c>
      <c r="E32" s="18" t="n">
        <v>1979.63</v>
      </c>
      <c r="F32" s="18" t="n">
        <v>2047.65</v>
      </c>
      <c r="G32" s="18" t="n">
        <v>1157.52</v>
      </c>
      <c r="H32" s="37" t="n">
        <v>1157.52</v>
      </c>
      <c r="I32" s="18" t="n">
        <v>1223.83</v>
      </c>
      <c r="J32" s="19" t="n">
        <v>1130.53</v>
      </c>
      <c r="K32" s="10" t="n"/>
      <c r="L32" s="10" t="n"/>
      <c r="M32" s="11" t="n"/>
      <c r="N32" s="10" t="n"/>
      <c r="O32" s="10" t="n"/>
      <c r="P32" s="10" t="n"/>
      <c r="Q32" s="10" t="n"/>
      <c r="R32" s="11" t="n"/>
      <c r="S32" s="10" t="n"/>
      <c r="T32" s="10" t="n"/>
      <c r="U32" s="10" t="n"/>
      <c r="V32" s="10" t="n"/>
      <c r="W32" s="11" t="n"/>
    </row>
    <row r="33">
      <c r="A33" t="n">
        <v>1</v>
      </c>
      <c r="C33" t="inlineStr">
        <is>
          <t>비유동리스부채</t>
        </is>
      </c>
      <c r="E33" s="18" t="n">
        <v>61.15</v>
      </c>
      <c r="F33" s="18" t="n">
        <v>45.01</v>
      </c>
      <c r="G33" s="18" t="n">
        <v>34.51</v>
      </c>
      <c r="H33" s="37" t="n">
        <v>34.51</v>
      </c>
      <c r="I33" s="18" t="n">
        <v>26.12</v>
      </c>
      <c r="J33" s="19" t="n">
        <v>18.9</v>
      </c>
      <c r="K33" s="10" t="n"/>
      <c r="L33" s="10" t="n"/>
      <c r="M33" s="11" t="n"/>
      <c r="N33" s="10" t="n"/>
      <c r="O33" s="10" t="n"/>
      <c r="P33" s="10" t="n"/>
      <c r="Q33" s="10" t="n"/>
      <c r="R33" s="11" t="n"/>
      <c r="S33" s="10" t="n"/>
      <c r="T33" s="10" t="n"/>
      <c r="U33" s="10" t="n"/>
      <c r="V33" s="10" t="n"/>
      <c r="W33" s="11" t="n"/>
    </row>
    <row r="34">
      <c r="A34" t="n">
        <v>1</v>
      </c>
      <c r="C34" t="inlineStr">
        <is>
          <t>장기금융부채</t>
        </is>
      </c>
      <c r="E34" s="18" t="n">
        <v>61.15</v>
      </c>
      <c r="F34" s="18" t="n">
        <v>45.01</v>
      </c>
      <c r="G34" s="18" t="n">
        <v>34.51</v>
      </c>
      <c r="H34" s="37" t="n">
        <v>34.51</v>
      </c>
      <c r="I34" s="18" t="n">
        <v>26.12</v>
      </c>
      <c r="J34" s="19" t="n">
        <v>18.9</v>
      </c>
      <c r="K34" s="10" t="n"/>
      <c r="L34" s="10" t="n"/>
      <c r="M34" s="11" t="n"/>
      <c r="N34" s="10" t="n"/>
      <c r="O34" s="10" t="n"/>
      <c r="P34" s="10" t="n"/>
      <c r="Q34" s="10" t="n"/>
      <c r="R34" s="11" t="n"/>
      <c r="S34" s="10" t="n"/>
      <c r="T34" s="10" t="n"/>
      <c r="U34" s="10" t="n"/>
      <c r="V34" s="10" t="n"/>
      <c r="W34" s="11" t="n"/>
    </row>
    <row r="35">
      <c r="A35" t="n">
        <v>1</v>
      </c>
      <c r="C35" t="inlineStr">
        <is>
          <t>기타비유동부채</t>
        </is>
      </c>
      <c r="E35" s="18" t="n">
        <v>21.2</v>
      </c>
      <c r="F35" s="18" t="n">
        <v>21.2</v>
      </c>
      <c r="G35" s="18" t="n">
        <v>21.2</v>
      </c>
      <c r="H35" s="37" t="n">
        <v>21.2</v>
      </c>
      <c r="I35" s="18" t="n">
        <v>21.2</v>
      </c>
      <c r="J35" s="19" t="n">
        <v>21.2</v>
      </c>
      <c r="K35" s="10" t="n"/>
      <c r="L35" s="10" t="n"/>
      <c r="M35" s="11" t="n"/>
      <c r="N35" s="10" t="n"/>
      <c r="O35" s="10" t="n"/>
      <c r="P35" s="10" t="n"/>
      <c r="Q35" s="10" t="n"/>
      <c r="R35" s="11" t="n"/>
      <c r="S35" s="10" t="n"/>
      <c r="T35" s="10" t="n"/>
      <c r="U35" s="10" t="n"/>
      <c r="V35" s="10" t="n"/>
      <c r="W35" s="11" t="n"/>
    </row>
    <row r="36">
      <c r="A36" t="n">
        <v>1</v>
      </c>
      <c r="C36" t="inlineStr">
        <is>
          <t>부채총계</t>
        </is>
      </c>
      <c r="E36" s="18" t="n">
        <v>21015.46</v>
      </c>
      <c r="F36" s="18" t="n">
        <v>20094.49</v>
      </c>
      <c r="G36" s="18" t="n">
        <v>16566.71</v>
      </c>
      <c r="H36" s="37" t="n">
        <v>16566.71</v>
      </c>
      <c r="I36" s="18" t="n">
        <v>21287.91</v>
      </c>
      <c r="J36" s="19" t="n">
        <v>25680.25</v>
      </c>
      <c r="K36" s="10" t="n"/>
      <c r="L36" s="10" t="n"/>
      <c r="M36" s="11" t="n"/>
      <c r="N36" s="10" t="n"/>
      <c r="O36" s="10" t="n"/>
      <c r="P36" s="10" t="n"/>
      <c r="Q36" s="10" t="n"/>
      <c r="R36" s="11" t="n"/>
      <c r="S36" s="10" t="n"/>
      <c r="T36" s="10" t="n"/>
      <c r="U36" s="10" t="n"/>
      <c r="V36" s="10" t="n"/>
      <c r="W36" s="11" t="n"/>
    </row>
    <row r="37">
      <c r="A37" t="n">
        <v>1</v>
      </c>
      <c r="C37" t="inlineStr">
        <is>
          <t>자본금</t>
        </is>
      </c>
      <c r="E37" s="18" t="n">
        <v>4190.51</v>
      </c>
      <c r="F37" s="18" t="n">
        <v>4190.51</v>
      </c>
      <c r="G37" s="18" t="n">
        <v>4190.51</v>
      </c>
      <c r="H37" s="37" t="n">
        <v>4190.51</v>
      </c>
      <c r="I37" s="18" t="n">
        <v>4190.51</v>
      </c>
      <c r="J37" s="19" t="n">
        <v>4190.51</v>
      </c>
      <c r="K37" s="10" t="n"/>
      <c r="L37" s="10" t="n"/>
      <c r="M37" s="11" t="n"/>
      <c r="N37" s="10" t="n"/>
      <c r="O37" s="10" t="n"/>
      <c r="P37" s="10" t="n"/>
      <c r="Q37" s="10" t="n"/>
      <c r="R37" s="11" t="n"/>
      <c r="S37" s="10" t="n"/>
      <c r="T37" s="10" t="n"/>
      <c r="U37" s="10" t="n"/>
      <c r="V37" s="10" t="n"/>
      <c r="W37" s="11" t="n"/>
    </row>
    <row r="38">
      <c r="A38" t="n">
        <v>1</v>
      </c>
      <c r="C38" t="inlineStr">
        <is>
          <t>자본잉여금</t>
        </is>
      </c>
      <c r="E38" s="18" t="n">
        <v>13591.96</v>
      </c>
      <c r="F38" s="18" t="n">
        <v>13591.96</v>
      </c>
      <c r="G38" s="18" t="n">
        <v>13591.96</v>
      </c>
      <c r="H38" s="37" t="n">
        <v>13591.96</v>
      </c>
      <c r="I38" s="18" t="n">
        <v>13591.96</v>
      </c>
      <c r="J38" s="19" t="n">
        <v>13591.96</v>
      </c>
      <c r="K38" s="10" t="n"/>
      <c r="L38" s="10" t="n"/>
      <c r="M38" s="11" t="n"/>
      <c r="N38" s="10" t="n"/>
      <c r="O38" s="10" t="n"/>
      <c r="P38" s="10" t="n"/>
      <c r="Q38" s="10" t="n"/>
      <c r="R38" s="11" t="n"/>
      <c r="S38" s="10" t="n"/>
      <c r="T38" s="10" t="n"/>
      <c r="U38" s="10" t="n"/>
      <c r="V38" s="10" t="n"/>
      <c r="W38" s="11" t="n"/>
    </row>
    <row r="39">
      <c r="A39" t="n">
        <v>1</v>
      </c>
      <c r="C39" t="inlineStr">
        <is>
          <t>기타자본</t>
        </is>
      </c>
      <c r="E39" s="18" t="n">
        <v>4296.12</v>
      </c>
      <c r="F39" s="18" t="n">
        <v>4296.12</v>
      </c>
      <c r="G39" s="18" t="n">
        <v>4296.12</v>
      </c>
      <c r="H39" s="37" t="n">
        <v>4296.12</v>
      </c>
      <c r="I39" s="18" t="n">
        <v>4296.12</v>
      </c>
      <c r="J39" s="19" t="n">
        <v>4296.12</v>
      </c>
      <c r="K39" s="10" t="n"/>
      <c r="L39" s="10" t="n"/>
      <c r="M39" s="11" t="n"/>
      <c r="N39" s="10" t="n"/>
      <c r="O39" s="10" t="n"/>
      <c r="P39" s="10" t="n"/>
      <c r="Q39" s="10" t="n"/>
      <c r="R39" s="11" t="n"/>
      <c r="S39" s="10" t="n"/>
      <c r="T39" s="10" t="n"/>
      <c r="U39" s="10" t="n"/>
      <c r="V39" s="10" t="n"/>
      <c r="W39" s="11" t="n"/>
    </row>
    <row r="40">
      <c r="A40" t="n">
        <v>1</v>
      </c>
      <c r="C40" t="inlineStr">
        <is>
          <t>이익잉여금</t>
        </is>
      </c>
      <c r="E40" s="18" t="n">
        <v>24871.16</v>
      </c>
      <c r="F40" s="18" t="n">
        <v>24173.3</v>
      </c>
      <c r="G40" s="18" t="n">
        <v>26155.98</v>
      </c>
      <c r="H40" s="37" t="n">
        <v>26155.98</v>
      </c>
      <c r="I40" s="18" t="n">
        <v>24782.17</v>
      </c>
      <c r="J40" s="19" t="n">
        <v>25861.87</v>
      </c>
      <c r="K40" s="10" t="n"/>
      <c r="L40" s="10" t="n"/>
      <c r="M40" s="11" t="n"/>
      <c r="N40" s="10" t="n"/>
      <c r="O40" s="10" t="n"/>
      <c r="P40" s="10" t="n"/>
      <c r="Q40" s="10" t="n"/>
      <c r="R40" s="11" t="n"/>
      <c r="S40" s="10" t="n"/>
      <c r="T40" s="10" t="n"/>
      <c r="U40" s="10" t="n"/>
      <c r="V40" s="10" t="n"/>
      <c r="W40" s="11" t="n"/>
    </row>
    <row r="41">
      <c r="A41" t="n">
        <v>1</v>
      </c>
      <c r="C41" t="inlineStr">
        <is>
          <t>자본총계</t>
        </is>
      </c>
      <c r="E41" s="18" t="n">
        <v>46949.76</v>
      </c>
      <c r="F41" s="18" t="n">
        <v>46251.9</v>
      </c>
      <c r="G41" s="18" t="n">
        <v>48234.57</v>
      </c>
      <c r="H41" s="37" t="n">
        <v>48234.57</v>
      </c>
      <c r="I41" s="18" t="n">
        <v>46860.76</v>
      </c>
      <c r="J41" s="19" t="n">
        <v>47940.46</v>
      </c>
      <c r="K41" s="10" t="n"/>
      <c r="L41" s="10" t="n"/>
      <c r="M41" s="11" t="n"/>
      <c r="N41" s="10" t="n"/>
      <c r="O41" s="10" t="n"/>
      <c r="P41" s="10" t="n"/>
      <c r="Q41" s="10" t="n"/>
      <c r="R41" s="11" t="n"/>
      <c r="S41" s="10" t="n"/>
      <c r="T41" s="10" t="n"/>
      <c r="U41" s="10" t="n"/>
      <c r="V41" s="10" t="n"/>
      <c r="W41" s="11" t="n"/>
    </row>
    <row r="42">
      <c r="A42" t="n">
        <v>1</v>
      </c>
      <c r="C42" t="inlineStr">
        <is>
          <t>부채와자본총계</t>
        </is>
      </c>
      <c r="E42" s="18" t="n">
        <v>67965.22</v>
      </c>
      <c r="F42" s="18" t="n">
        <v>66346.38</v>
      </c>
      <c r="G42" s="18" t="n">
        <v>64801.28</v>
      </c>
      <c r="H42" s="37" t="n">
        <v>64801.28</v>
      </c>
      <c r="I42" s="18" t="n">
        <v>68148.67</v>
      </c>
      <c r="J42" s="19" t="n">
        <v>73620.7</v>
      </c>
      <c r="K42" s="10" t="n"/>
      <c r="L42" s="10" t="n"/>
      <c r="M42" s="11" t="n"/>
      <c r="N42" s="10" t="n"/>
      <c r="O42" s="10" t="n"/>
      <c r="P42" s="10" t="n"/>
      <c r="Q42" s="10" t="n"/>
      <c r="R42" s="11" t="n"/>
      <c r="S42" s="10" t="n"/>
      <c r="T42" s="10" t="n"/>
      <c r="U42" s="10" t="n"/>
      <c r="V42" s="10" t="n"/>
      <c r="W42" s="11" t="n"/>
    </row>
    <row r="43">
      <c r="A43" t="n">
        <v>1</v>
      </c>
      <c r="C43" t="inlineStr">
        <is>
          <t>지배주주지분</t>
        </is>
      </c>
      <c r="E43" s="18" t="n">
        <v>46949.76</v>
      </c>
      <c r="F43" s="18" t="n">
        <v>46251.9</v>
      </c>
      <c r="G43" s="18" t="n">
        <v>48234.57</v>
      </c>
      <c r="H43" s="37" t="n">
        <v>48234.57</v>
      </c>
      <c r="I43" s="18" t="n">
        <v>46860.76</v>
      </c>
      <c r="J43" s="19" t="n">
        <v>47940.46</v>
      </c>
      <c r="K43" s="10" t="n"/>
      <c r="L43" s="10" t="n"/>
      <c r="M43" s="11" t="n"/>
      <c r="N43" s="10" t="n"/>
      <c r="O43" s="10" t="n"/>
      <c r="P43" s="10" t="n"/>
      <c r="Q43" s="10" t="n"/>
      <c r="R43" s="11" t="n"/>
      <c r="S43" s="10" t="n"/>
      <c r="T43" s="10" t="n"/>
      <c r="U43" s="10" t="n"/>
      <c r="V43" s="10" t="n"/>
      <c r="W43" s="11" t="n"/>
    </row>
    <row r="44">
      <c r="A44" t="n">
        <v>1</v>
      </c>
      <c r="C44" t="inlineStr">
        <is>
          <t>총차입금</t>
        </is>
      </c>
      <c r="E44" s="18" t="n">
        <v>8000</v>
      </c>
      <c r="F44" s="18" t="n">
        <v>8000</v>
      </c>
      <c r="G44" s="18" t="n">
        <v>8000</v>
      </c>
      <c r="H44" s="37" t="n">
        <v>8000</v>
      </c>
      <c r="I44" s="18" t="n">
        <v>8000</v>
      </c>
      <c r="J44" s="19" t="n">
        <v>8000</v>
      </c>
      <c r="K44" s="10" t="n"/>
      <c r="L44" s="10" t="n"/>
      <c r="M44" s="11" t="n"/>
      <c r="N44" s="10" t="n"/>
      <c r="O44" s="10" t="n"/>
      <c r="P44" s="10" t="n"/>
      <c r="Q44" s="10" t="n"/>
      <c r="R44" s="11" t="n"/>
      <c r="S44" s="10" t="n"/>
      <c r="T44" s="10" t="n"/>
      <c r="U44" s="10" t="n"/>
      <c r="V44" s="10" t="n"/>
      <c r="W44" s="11" t="n"/>
    </row>
    <row r="45">
      <c r="A45" t="n">
        <v>1</v>
      </c>
      <c r="C45" t="inlineStr">
        <is>
          <t>순차입금</t>
        </is>
      </c>
      <c r="E45" s="18" t="n">
        <v>2807.11</v>
      </c>
      <c r="F45" s="18" t="n">
        <v>-7606.05</v>
      </c>
      <c r="G45" s="18" t="n">
        <v>-1702.17</v>
      </c>
      <c r="H45" s="37" t="n">
        <v>-1702.17</v>
      </c>
      <c r="I45" s="18" t="n">
        <v>-3312.96</v>
      </c>
      <c r="J45" s="19" t="n">
        <v>-946.78</v>
      </c>
      <c r="K45" s="10" t="n"/>
      <c r="L45" s="10" t="n"/>
      <c r="M45" s="11" t="n"/>
      <c r="N45" s="10" t="n"/>
      <c r="O45" s="10" t="n"/>
      <c r="P45" s="10" t="n"/>
      <c r="Q45" s="10" t="n"/>
      <c r="R45" s="11" t="n"/>
      <c r="S45" s="10" t="n"/>
      <c r="T45" s="10" t="n"/>
      <c r="U45" s="10" t="n"/>
      <c r="V45" s="10" t="n"/>
      <c r="W45" s="11" t="n"/>
    </row>
    <row r="46">
      <c r="A46" t="n">
        <v>1</v>
      </c>
      <c r="C46" t="inlineStr">
        <is>
          <t>이자발생자산</t>
        </is>
      </c>
      <c r="E46" s="18" t="n">
        <v>8226.66</v>
      </c>
      <c r="F46" s="18" t="n">
        <v>18709.51</v>
      </c>
      <c r="G46" s="18" t="n">
        <v>12874.31</v>
      </c>
      <c r="H46" s="37" t="n">
        <v>12874.31</v>
      </c>
      <c r="I46" s="18" t="n">
        <v>14423.08</v>
      </c>
      <c r="J46" s="19" t="n">
        <v>12083.13</v>
      </c>
      <c r="K46" s="10" t="n"/>
      <c r="L46" s="10" t="n"/>
      <c r="M46" s="11" t="n"/>
      <c r="N46" s="10" t="n"/>
      <c r="O46" s="10" t="n"/>
      <c r="P46" s="10" t="n"/>
      <c r="Q46" s="10" t="n"/>
      <c r="R46" s="11" t="n"/>
      <c r="S46" s="10" t="n"/>
      <c r="T46" s="10" t="n"/>
      <c r="U46" s="10" t="n"/>
      <c r="V46" s="10" t="n"/>
      <c r="W46" s="11" t="n"/>
    </row>
    <row r="47">
      <c r="A47" t="n">
        <v>1</v>
      </c>
      <c r="C47" t="inlineStr">
        <is>
          <t>당기법인세자산(선급법인세)</t>
        </is>
      </c>
      <c r="F47" s="18" t="n">
        <v>2.92</v>
      </c>
      <c r="G47" s="18" t="n">
        <v>11.65</v>
      </c>
      <c r="H47" s="37" t="n">
        <v>11.65</v>
      </c>
      <c r="I47" s="18" t="n">
        <v>31.95</v>
      </c>
      <c r="J47" s="19" t="n">
        <v>21.83</v>
      </c>
      <c r="K47" s="10" t="n"/>
      <c r="L47" s="10" t="n"/>
      <c r="M47" s="11" t="n"/>
      <c r="N47" s="10" t="n"/>
      <c r="O47" s="10" t="n"/>
      <c r="P47" s="10" t="n"/>
      <c r="Q47" s="10" t="n"/>
      <c r="R47" s="11" t="n"/>
      <c r="S47" s="10" t="n"/>
      <c r="T47" s="10" t="n"/>
      <c r="U47" s="10" t="n"/>
      <c r="V47" s="10" t="n"/>
      <c r="W47" s="11" t="n"/>
    </row>
    <row r="48">
      <c r="A48" t="n">
        <v>1</v>
      </c>
      <c r="C48" t="inlineStr">
        <is>
          <t>기타유동부채</t>
        </is>
      </c>
      <c r="G48" s="18" t="n">
        <v>245.62</v>
      </c>
      <c r="H48" s="37" t="n">
        <v>245.62</v>
      </c>
      <c r="I48" s="18" t="n">
        <v>62.47</v>
      </c>
      <c r="J48" s="19" t="n">
        <v>64.81999999999999</v>
      </c>
      <c r="K48" s="10" t="n"/>
      <c r="L48" s="10" t="n"/>
      <c r="M48" s="11" t="n"/>
      <c r="N48" s="10" t="n"/>
      <c r="O48" s="10" t="n"/>
      <c r="P48" s="10" t="n"/>
      <c r="Q48" s="10" t="n"/>
      <c r="R48" s="11" t="n"/>
      <c r="S48" s="10" t="n"/>
      <c r="T48" s="10" t="n"/>
      <c r="U48" s="10" t="n"/>
      <c r="V48" s="10" t="n"/>
      <c r="W48" s="11" t="n"/>
    </row>
    <row r="49">
      <c r="A49" t="n">
        <v>1</v>
      </c>
      <c r="C49" t="inlineStr">
        <is>
          <t>매출액(수익)</t>
        </is>
      </c>
      <c r="E49" s="18" t="n">
        <v>6888.5</v>
      </c>
      <c r="F49" s="18" t="n">
        <v>4266.23</v>
      </c>
      <c r="G49" s="18" t="n">
        <v>11645.43</v>
      </c>
      <c r="H49" s="9" t="n"/>
      <c r="I49" s="18" t="n">
        <v>3988.45</v>
      </c>
      <c r="J49" s="19" t="n">
        <v>9951.559999999999</v>
      </c>
      <c r="K49" s="10" t="n"/>
      <c r="L49" s="10" t="n"/>
      <c r="M49" s="11" t="n"/>
      <c r="N49" s="10" t="n"/>
      <c r="O49" s="10" t="n"/>
      <c r="P49" s="10" t="n"/>
      <c r="Q49" s="10" t="n"/>
      <c r="R49" s="11" t="n"/>
      <c r="S49" s="10" t="n"/>
      <c r="T49" s="10" t="n"/>
      <c r="U49" s="10" t="n"/>
      <c r="V49" s="10" t="n"/>
      <c r="W49" s="11" t="n"/>
    </row>
    <row r="50">
      <c r="A50" t="n">
        <v>1</v>
      </c>
      <c r="C50" t="inlineStr">
        <is>
          <t>매출원가</t>
        </is>
      </c>
      <c r="E50" s="18" t="n">
        <v>6715.37</v>
      </c>
      <c r="F50" s="18" t="n">
        <v>4021.74</v>
      </c>
      <c r="G50" s="18" t="n">
        <v>8865.34</v>
      </c>
      <c r="H50" s="9" t="n"/>
      <c r="I50" s="18" t="n">
        <v>3869.83</v>
      </c>
      <c r="J50" s="19" t="n">
        <v>7805.55</v>
      </c>
      <c r="K50" s="10" t="n"/>
      <c r="L50" s="10" t="n"/>
      <c r="M50" s="11" t="n"/>
      <c r="N50" s="10" t="n"/>
      <c r="O50" s="10" t="n"/>
      <c r="P50" s="10" t="n"/>
      <c r="Q50" s="10" t="n"/>
      <c r="R50" s="11" t="n"/>
      <c r="S50" s="10" t="n"/>
      <c r="T50" s="10" t="n"/>
      <c r="U50" s="10" t="n"/>
      <c r="V50" s="10" t="n"/>
      <c r="W50" s="11" t="n"/>
    </row>
    <row r="51">
      <c r="A51" t="n">
        <v>1</v>
      </c>
      <c r="C51" t="inlineStr">
        <is>
          <t>매출총이익</t>
        </is>
      </c>
      <c r="E51" s="18" t="n">
        <v>173.12</v>
      </c>
      <c r="F51" s="18" t="n">
        <v>244.49</v>
      </c>
      <c r="G51" s="18" t="n">
        <v>2780.1</v>
      </c>
      <c r="H51" s="9" t="n"/>
      <c r="I51" s="18" t="n">
        <v>118.61</v>
      </c>
      <c r="J51" s="19" t="n">
        <v>2146.02</v>
      </c>
      <c r="K51" s="10" t="n"/>
      <c r="L51" s="10" t="n"/>
      <c r="M51" s="11" t="n"/>
      <c r="N51" s="10" t="n"/>
      <c r="O51" s="10" t="n"/>
      <c r="P51" s="10" t="n"/>
      <c r="Q51" s="10" t="n"/>
      <c r="R51" s="11" t="n"/>
      <c r="S51" s="10" t="n"/>
      <c r="T51" s="10" t="n"/>
      <c r="U51" s="10" t="n"/>
      <c r="V51" s="10" t="n"/>
      <c r="W51" s="11" t="n"/>
    </row>
    <row r="52">
      <c r="A52" t="n">
        <v>1</v>
      </c>
      <c r="C52" t="inlineStr">
        <is>
          <t>판관비</t>
        </is>
      </c>
      <c r="E52" s="18" t="n">
        <v>2256.07</v>
      </c>
      <c r="F52" s="18" t="n">
        <v>1258.7</v>
      </c>
      <c r="G52" s="18" t="n">
        <v>1832.41</v>
      </c>
      <c r="H52" s="9" t="n"/>
      <c r="I52" s="18" t="n">
        <v>2132.7</v>
      </c>
      <c r="J52" s="19" t="n">
        <v>1603.23</v>
      </c>
      <c r="K52" s="10" t="n"/>
      <c r="L52" s="10" t="n"/>
      <c r="M52" s="11" t="n"/>
      <c r="N52" s="10" t="n"/>
      <c r="O52" s="10" t="n"/>
      <c r="P52" s="10" t="n"/>
      <c r="Q52" s="10" t="n"/>
      <c r="R52" s="11" t="n"/>
      <c r="S52" s="10" t="n"/>
      <c r="T52" s="10" t="n"/>
      <c r="U52" s="10" t="n"/>
      <c r="V52" s="10" t="n"/>
      <c r="W52" s="11" t="n"/>
    </row>
    <row r="53">
      <c r="A53" t="n">
        <v>1</v>
      </c>
      <c r="C53" t="inlineStr">
        <is>
          <t>영업이익</t>
        </is>
      </c>
      <c r="E53" s="18" t="n">
        <v>-2082.94</v>
      </c>
      <c r="F53" s="18" t="n">
        <v>-1014.22</v>
      </c>
      <c r="G53" s="18" t="n">
        <v>947.6799999999999</v>
      </c>
      <c r="H53" s="9" t="n"/>
      <c r="I53" s="18" t="n">
        <v>-2014.09</v>
      </c>
      <c r="J53" s="19" t="n">
        <v>542.79</v>
      </c>
      <c r="K53" s="10" t="n"/>
      <c r="L53" s="10" t="n"/>
      <c r="M53" s="11" t="n"/>
      <c r="N53" s="10" t="n"/>
      <c r="O53" s="10" t="n"/>
      <c r="P53" s="10" t="n"/>
      <c r="Q53" s="10" t="n"/>
      <c r="R53" s="11" t="n"/>
      <c r="S53" s="10" t="n"/>
      <c r="T53" s="10" t="n"/>
      <c r="U53" s="10" t="n"/>
      <c r="V53" s="10" t="n"/>
      <c r="W53" s="11" t="n"/>
    </row>
    <row r="54">
      <c r="A54" t="n">
        <v>1</v>
      </c>
      <c r="C54" t="inlineStr">
        <is>
          <t>금융수익</t>
        </is>
      </c>
      <c r="E54" s="18" t="n">
        <v>41.53</v>
      </c>
      <c r="F54" s="18" t="n">
        <v>35.39</v>
      </c>
      <c r="G54" s="18" t="n">
        <v>39.01</v>
      </c>
      <c r="H54" s="9" t="n"/>
      <c r="I54" s="18" t="n">
        <v>947.01</v>
      </c>
      <c r="J54" s="19" t="n">
        <v>309.5</v>
      </c>
      <c r="K54" s="10" t="n"/>
      <c r="L54" s="10" t="n"/>
      <c r="M54" s="11" t="n"/>
      <c r="N54" s="10" t="n"/>
      <c r="O54" s="10" t="n"/>
      <c r="P54" s="10" t="n"/>
      <c r="Q54" s="10" t="n"/>
      <c r="R54" s="11" t="n"/>
      <c r="S54" s="10" t="n"/>
      <c r="T54" s="10" t="n"/>
      <c r="U54" s="10" t="n"/>
      <c r="V54" s="10" t="n"/>
      <c r="W54" s="11" t="n"/>
    </row>
    <row r="55">
      <c r="A55" t="n">
        <v>1</v>
      </c>
      <c r="C55" t="inlineStr">
        <is>
          <t>금융비용</t>
        </is>
      </c>
      <c r="E55" s="18" t="n">
        <v>950.74</v>
      </c>
      <c r="F55" s="18" t="n">
        <v>-265.43</v>
      </c>
      <c r="G55" s="18" t="n">
        <v>-89.08</v>
      </c>
      <c r="H55" s="9" t="n"/>
      <c r="I55" s="18" t="n">
        <v>316.92</v>
      </c>
      <c r="J55" s="19" t="n">
        <v>-55.64</v>
      </c>
      <c r="K55" s="10" t="n"/>
      <c r="L55" s="10" t="n"/>
      <c r="M55" s="11" t="n"/>
      <c r="N55" s="10" t="n"/>
      <c r="O55" s="10" t="n"/>
      <c r="P55" s="10" t="n"/>
      <c r="Q55" s="10" t="n"/>
      <c r="R55" s="11" t="n"/>
      <c r="S55" s="10" t="n"/>
      <c r="T55" s="10" t="n"/>
      <c r="U55" s="10" t="n"/>
      <c r="V55" s="10" t="n"/>
      <c r="W55" s="11" t="n"/>
    </row>
    <row r="56">
      <c r="A56" t="n">
        <v>1</v>
      </c>
      <c r="C56" t="inlineStr">
        <is>
          <t>기타영업외수익</t>
        </is>
      </c>
      <c r="E56" s="18" t="n">
        <v>5.24</v>
      </c>
      <c r="F56" s="18" t="n">
        <v>19.74</v>
      </c>
      <c r="G56" s="18" t="n">
        <v>32.73</v>
      </c>
      <c r="H56" s="9" t="n"/>
      <c r="I56" s="18" t="n">
        <v>10.6</v>
      </c>
      <c r="J56" s="19" t="n">
        <v>19.91</v>
      </c>
      <c r="K56" s="10" t="n"/>
      <c r="L56" s="10" t="n"/>
      <c r="M56" s="11" t="n"/>
      <c r="N56" s="10" t="n"/>
      <c r="O56" s="10" t="n"/>
      <c r="P56" s="10" t="n"/>
      <c r="Q56" s="10" t="n"/>
      <c r="R56" s="11" t="n"/>
      <c r="S56" s="10" t="n"/>
      <c r="T56" s="10" t="n"/>
      <c r="U56" s="10" t="n"/>
      <c r="V56" s="10" t="n"/>
      <c r="W56" s="11" t="n"/>
    </row>
    <row r="57">
      <c r="A57" t="n">
        <v>1</v>
      </c>
      <c r="C57" t="inlineStr">
        <is>
          <t>기타영업외비용</t>
        </is>
      </c>
      <c r="E57" s="18" t="n">
        <v>29.18</v>
      </c>
      <c r="F57" s="18" t="n">
        <v>4.2</v>
      </c>
      <c r="G57" s="18" t="n">
        <v>36.28</v>
      </c>
      <c r="H57" s="9" t="n"/>
      <c r="I57" s="18" t="n">
        <v>0.4</v>
      </c>
      <c r="J57" s="19" t="n">
        <v>8.050000000000001</v>
      </c>
      <c r="K57" s="10" t="n"/>
      <c r="L57" s="10" t="n"/>
      <c r="M57" s="11" t="n"/>
      <c r="N57" s="10" t="n"/>
      <c r="O57" s="10" t="n"/>
      <c r="P57" s="10" t="n"/>
      <c r="Q57" s="10" t="n"/>
      <c r="R57" s="11" t="n"/>
      <c r="S57" s="10" t="n"/>
      <c r="T57" s="10" t="n"/>
      <c r="U57" s="10" t="n"/>
      <c r="V57" s="10" t="n"/>
      <c r="W57" s="11" t="n"/>
    </row>
    <row r="58">
      <c r="A58" t="n">
        <v>1</v>
      </c>
      <c r="C58" t="inlineStr">
        <is>
          <t>법인세비용차감전계속사업이익</t>
        </is>
      </c>
      <c r="E58" s="18" t="n">
        <v>-3016.08</v>
      </c>
      <c r="F58" s="18" t="n">
        <v>-697.86</v>
      </c>
      <c r="G58" s="18" t="n">
        <v>1072.21</v>
      </c>
      <c r="H58" s="9" t="n"/>
      <c r="I58" s="18" t="n">
        <v>-1373.81</v>
      </c>
      <c r="J58" s="19" t="n">
        <v>919.79</v>
      </c>
      <c r="K58" s="10" t="n"/>
      <c r="L58" s="10" t="n"/>
      <c r="M58" s="11" t="n"/>
      <c r="N58" s="10" t="n"/>
      <c r="O58" s="10" t="n"/>
      <c r="P58" s="10" t="n"/>
      <c r="Q58" s="10" t="n"/>
      <c r="R58" s="11" t="n"/>
      <c r="S58" s="10" t="n"/>
      <c r="T58" s="10" t="n"/>
      <c r="U58" s="10" t="n"/>
      <c r="V58" s="10" t="n"/>
      <c r="W58" s="11" t="n"/>
    </row>
    <row r="59">
      <c r="A59" t="n">
        <v>1</v>
      </c>
      <c r="C59" t="inlineStr">
        <is>
          <t>법인세비용</t>
        </is>
      </c>
      <c r="E59" s="18" t="n">
        <v>131.14</v>
      </c>
      <c r="G59" s="18" t="n">
        <v>-687.96</v>
      </c>
      <c r="H59" s="9" t="n"/>
      <c r="J59" s="19" t="n">
        <v>-90.68000000000001</v>
      </c>
      <c r="K59" s="10" t="n"/>
      <c r="L59" s="10" t="n"/>
      <c r="M59" s="11" t="n"/>
      <c r="N59" s="10" t="n"/>
      <c r="O59" s="10" t="n"/>
      <c r="P59" s="10" t="n"/>
      <c r="Q59" s="10" t="n"/>
      <c r="R59" s="11" t="n"/>
      <c r="S59" s="10" t="n"/>
      <c r="T59" s="10" t="n"/>
      <c r="U59" s="10" t="n"/>
      <c r="V59" s="10" t="n"/>
      <c r="W59" s="11" t="n"/>
    </row>
    <row r="60">
      <c r="A60" t="n">
        <v>1</v>
      </c>
      <c r="C60" t="inlineStr">
        <is>
          <t>당기순이익</t>
        </is>
      </c>
      <c r="E60" s="18" t="n">
        <v>-3147.23</v>
      </c>
      <c r="F60" s="18" t="n">
        <v>-697.86</v>
      </c>
      <c r="G60" s="18" t="n">
        <v>1760.17</v>
      </c>
      <c r="H60" s="9" t="n"/>
      <c r="I60" s="18" t="n">
        <v>-1373.81</v>
      </c>
      <c r="J60" s="19" t="n">
        <v>1010.46</v>
      </c>
      <c r="K60" s="10" t="n"/>
      <c r="L60" s="10" t="n"/>
      <c r="M60" s="11" t="n"/>
      <c r="N60" s="10" t="n"/>
      <c r="O60" s="10" t="n"/>
      <c r="P60" s="10" t="n"/>
      <c r="Q60" s="10" t="n"/>
      <c r="R60" s="11" t="n"/>
      <c r="S60" s="10" t="n"/>
      <c r="T60" s="10" t="n"/>
      <c r="U60" s="10" t="n"/>
      <c r="V60" s="10" t="n"/>
      <c r="W60" s="11" t="n"/>
    </row>
    <row r="61">
      <c r="A61" t="n">
        <v>1</v>
      </c>
      <c r="C61" t="inlineStr">
        <is>
          <t>총포괄손익</t>
        </is>
      </c>
      <c r="E61" s="18" t="n">
        <v>-3176.11</v>
      </c>
      <c r="F61" s="18" t="n">
        <v>-697.86</v>
      </c>
      <c r="G61" s="18" t="n">
        <v>1982.67</v>
      </c>
      <c r="H61" s="9" t="n"/>
      <c r="I61" s="18" t="n">
        <v>-1373.81</v>
      </c>
      <c r="J61" s="19" t="n">
        <v>1079.7</v>
      </c>
      <c r="K61" s="10" t="n"/>
      <c r="L61" s="10" t="n"/>
      <c r="M61" s="11" t="n"/>
      <c r="N61" s="10" t="n"/>
      <c r="O61" s="10" t="n"/>
      <c r="P61" s="10" t="n"/>
      <c r="Q61" s="10" t="n"/>
      <c r="R61" s="11" t="n"/>
      <c r="S61" s="10" t="n"/>
      <c r="T61" s="10" t="n"/>
      <c r="U61" s="10" t="n"/>
      <c r="V61" s="10" t="n"/>
      <c r="W61" s="11" t="n"/>
    </row>
    <row r="62">
      <c r="A62" t="n">
        <v>1</v>
      </c>
      <c r="C62" t="inlineStr">
        <is>
          <t>금융손익</t>
        </is>
      </c>
      <c r="E62" s="18" t="n">
        <v>-909.21</v>
      </c>
      <c r="F62" s="18" t="n">
        <v>300.82</v>
      </c>
      <c r="G62" s="18" t="n">
        <v>128.09</v>
      </c>
      <c r="H62" s="9" t="n"/>
      <c r="I62" s="18" t="n">
        <v>630.09</v>
      </c>
      <c r="J62" s="19" t="n">
        <v>365.14</v>
      </c>
      <c r="K62" s="10" t="n"/>
      <c r="L62" s="10" t="n"/>
      <c r="M62" s="11" t="n"/>
      <c r="N62" s="10" t="n"/>
      <c r="O62" s="10" t="n"/>
      <c r="P62" s="10" t="n"/>
      <c r="Q62" s="10" t="n"/>
      <c r="R62" s="11" t="n"/>
      <c r="S62" s="10" t="n"/>
      <c r="T62" s="10" t="n"/>
      <c r="U62" s="10" t="n"/>
      <c r="V62" s="10" t="n"/>
      <c r="W62" s="11" t="n"/>
    </row>
    <row r="63">
      <c r="A63" t="n">
        <v>1</v>
      </c>
      <c r="C63" t="inlineStr">
        <is>
          <t>기타영업외손익</t>
        </is>
      </c>
      <c r="E63" s="18" t="n">
        <v>-23.94</v>
      </c>
      <c r="F63" s="18" t="n">
        <v>15.54</v>
      </c>
      <c r="G63" s="18" t="n">
        <v>-3.55</v>
      </c>
      <c r="H63" s="9" t="n"/>
      <c r="I63" s="18" t="n">
        <v>10.2</v>
      </c>
      <c r="J63" s="19" t="n">
        <v>11.86</v>
      </c>
      <c r="K63" s="10" t="n"/>
      <c r="L63" s="10" t="n"/>
      <c r="M63" s="11" t="n"/>
      <c r="N63" s="10" t="n"/>
      <c r="O63" s="10" t="n"/>
      <c r="P63" s="10" t="n"/>
      <c r="Q63" s="10" t="n"/>
      <c r="R63" s="11" t="n"/>
      <c r="S63" s="10" t="n"/>
      <c r="T63" s="10" t="n"/>
      <c r="U63" s="10" t="n"/>
      <c r="V63" s="10" t="n"/>
      <c r="W63" s="11" t="n"/>
    </row>
    <row r="64">
      <c r="A64" t="n">
        <v>1</v>
      </c>
      <c r="C64" t="inlineStr">
        <is>
          <t>(지배주주지분)당기순이익</t>
        </is>
      </c>
      <c r="E64" s="18" t="n">
        <v>-3147.23</v>
      </c>
      <c r="F64" s="18" t="n">
        <v>-697.86</v>
      </c>
      <c r="G64" s="18" t="n">
        <v>1760.17</v>
      </c>
      <c r="H64" s="9" t="n"/>
      <c r="I64" s="18" t="n">
        <v>-1373.81</v>
      </c>
      <c r="J64" s="19" t="n">
        <v>1010.46</v>
      </c>
      <c r="K64" s="10" t="n"/>
      <c r="L64" s="10" t="n"/>
      <c r="M64" s="11" t="n"/>
      <c r="N64" s="10" t="n"/>
      <c r="O64" s="10" t="n"/>
      <c r="P64" s="10" t="n"/>
      <c r="Q64" s="10" t="n"/>
      <c r="R64" s="11" t="n"/>
      <c r="S64" s="10" t="n"/>
      <c r="T64" s="10" t="n"/>
      <c r="U64" s="10" t="n"/>
      <c r="V64" s="10" t="n"/>
      <c r="W64" s="11" t="n"/>
    </row>
    <row r="65">
      <c r="A65" t="n">
        <v>1</v>
      </c>
      <c r="C65" t="inlineStr">
        <is>
          <t>계속사업이익</t>
        </is>
      </c>
      <c r="E65" s="18" t="n">
        <v>-3147.23</v>
      </c>
      <c r="F65" s="18" t="n">
        <v>-697.86</v>
      </c>
      <c r="G65" s="18" t="n">
        <v>1760.17</v>
      </c>
      <c r="H65" s="9" t="n"/>
      <c r="I65" s="18" t="n">
        <v>-1373.81</v>
      </c>
      <c r="J65" s="19" t="n">
        <v>1010.46</v>
      </c>
      <c r="K65" s="10" t="n"/>
      <c r="L65" s="10" t="n"/>
      <c r="M65" s="11" t="n"/>
      <c r="N65" s="10" t="n"/>
      <c r="O65" s="10" t="n"/>
      <c r="P65" s="10" t="n"/>
      <c r="Q65" s="10" t="n"/>
      <c r="R65" s="11" t="n"/>
      <c r="S65" s="10" t="n"/>
      <c r="T65" s="10" t="n"/>
      <c r="U65" s="10" t="n"/>
      <c r="V65" s="10" t="n"/>
      <c r="W65" s="11" t="n"/>
    </row>
    <row r="66">
      <c r="A66" t="n">
        <v>1</v>
      </c>
      <c r="C66" t="inlineStr">
        <is>
          <t>영업활동으로인한현금흐름</t>
        </is>
      </c>
      <c r="E66" s="18" t="n">
        <v>-4444.18</v>
      </c>
      <c r="F66" s="18" t="n">
        <v>10353.87</v>
      </c>
      <c r="G66" s="18" t="n">
        <v>-8555.92</v>
      </c>
      <c r="H66" s="9" t="n"/>
      <c r="I66" s="18" t="n">
        <v>6747.17</v>
      </c>
      <c r="J66" s="19" t="n">
        <v>-2348.15</v>
      </c>
      <c r="K66" s="10" t="n"/>
      <c r="L66" s="10" t="n"/>
      <c r="M66" s="11" t="n"/>
      <c r="N66" s="10" t="n"/>
      <c r="O66" s="10" t="n"/>
      <c r="P66" s="10" t="n"/>
      <c r="Q66" s="10" t="n"/>
      <c r="R66" s="11" t="n"/>
      <c r="S66" s="10" t="n"/>
      <c r="T66" s="10" t="n"/>
      <c r="U66" s="10" t="n"/>
      <c r="V66" s="10" t="n"/>
      <c r="W66" s="11" t="n"/>
    </row>
    <row r="67">
      <c r="A67" t="n">
        <v>1</v>
      </c>
      <c r="C67" t="inlineStr">
        <is>
          <t>이자수취(CF)</t>
        </is>
      </c>
      <c r="E67" s="18" t="n">
        <v>16.36</v>
      </c>
      <c r="F67" s="18" t="n">
        <v>31.45</v>
      </c>
      <c r="G67" s="18" t="n">
        <v>37.46</v>
      </c>
      <c r="H67" s="9" t="n"/>
      <c r="I67" s="18" t="n">
        <v>109.96</v>
      </c>
      <c r="J67" s="19" t="n">
        <v>17.68</v>
      </c>
      <c r="K67" s="10" t="n"/>
      <c r="L67" s="10" t="n"/>
      <c r="M67" s="11" t="n"/>
      <c r="N67" s="10" t="n"/>
      <c r="O67" s="10" t="n"/>
      <c r="P67" s="10" t="n"/>
      <c r="Q67" s="10" t="n"/>
      <c r="R67" s="11" t="n"/>
      <c r="S67" s="10" t="n"/>
      <c r="T67" s="10" t="n"/>
      <c r="U67" s="10" t="n"/>
      <c r="V67" s="10" t="n"/>
      <c r="W67" s="11" t="n"/>
    </row>
    <row r="68">
      <c r="A68" t="n">
        <v>1</v>
      </c>
      <c r="C68" t="inlineStr">
        <is>
          <t>법인세납부(CF)</t>
        </is>
      </c>
      <c r="E68" s="18" t="n">
        <v>838.71</v>
      </c>
      <c r="F68" s="18" t="n">
        <v>-796.0599999999999</v>
      </c>
      <c r="G68" s="18" t="n">
        <v>4.94</v>
      </c>
      <c r="H68" s="9" t="n"/>
      <c r="I68" s="18" t="n">
        <v>-20.3</v>
      </c>
      <c r="J68" s="19" t="n">
        <v>31.95</v>
      </c>
      <c r="K68" s="10" t="n"/>
      <c r="L68" s="10" t="n"/>
      <c r="M68" s="11" t="n"/>
      <c r="N68" s="10" t="n"/>
      <c r="O68" s="10" t="n"/>
      <c r="P68" s="10" t="n"/>
      <c r="Q68" s="10" t="n"/>
      <c r="R68" s="11" t="n"/>
      <c r="S68" s="10" t="n"/>
      <c r="T68" s="10" t="n"/>
      <c r="U68" s="10" t="n"/>
      <c r="V68" s="10" t="n"/>
      <c r="W68" s="11" t="n"/>
    </row>
    <row r="69">
      <c r="A69" t="n">
        <v>1</v>
      </c>
      <c r="C69" t="inlineStr">
        <is>
          <t>투자활동으로인한현금흐름</t>
        </is>
      </c>
      <c r="E69" s="18" t="n">
        <v>-344.12</v>
      </c>
      <c r="F69" s="18" t="n">
        <v>4.45</v>
      </c>
      <c r="G69" s="18" t="n">
        <v>-96.83</v>
      </c>
      <c r="H69" s="9" t="n"/>
      <c r="I69" s="18" t="n">
        <v>-19.17</v>
      </c>
      <c r="J69" s="19" t="n">
        <v>-21.61</v>
      </c>
      <c r="K69" s="10" t="n"/>
      <c r="L69" s="10" t="n"/>
      <c r="M69" s="11" t="n"/>
      <c r="N69" s="10" t="n"/>
      <c r="O69" s="10" t="n"/>
      <c r="P69" s="10" t="n"/>
      <c r="Q69" s="10" t="n"/>
      <c r="R69" s="11" t="n"/>
      <c r="S69" s="10" t="n"/>
      <c r="T69" s="10" t="n"/>
      <c r="U69" s="10" t="n"/>
      <c r="V69" s="10" t="n"/>
      <c r="W69" s="11" t="n"/>
    </row>
    <row r="70">
      <c r="A70" t="n">
        <v>1</v>
      </c>
      <c r="C70" t="inlineStr">
        <is>
          <t>유형자산의증가</t>
        </is>
      </c>
      <c r="E70" s="18" t="n">
        <v>26.98</v>
      </c>
      <c r="F70" s="18" t="n">
        <v>8.539999999999999</v>
      </c>
      <c r="G70" s="18" t="n">
        <v>7.57</v>
      </c>
      <c r="H70" s="9" t="n"/>
      <c r="I70" s="18" t="n">
        <v>18.17</v>
      </c>
      <c r="J70" s="19" t="n">
        <v>25.46</v>
      </c>
      <c r="K70" s="10" t="n"/>
      <c r="L70" s="10" t="n"/>
      <c r="M70" s="11" t="n"/>
      <c r="N70" s="10" t="n"/>
      <c r="O70" s="10" t="n"/>
      <c r="P70" s="10" t="n"/>
      <c r="Q70" s="10" t="n"/>
      <c r="R70" s="11" t="n"/>
      <c r="S70" s="10" t="n"/>
      <c r="T70" s="10" t="n"/>
      <c r="U70" s="10" t="n"/>
      <c r="V70" s="10" t="n"/>
      <c r="W70" s="11" t="n"/>
    </row>
    <row r="71">
      <c r="A71" t="n">
        <v>1</v>
      </c>
      <c r="C71" t="inlineStr">
        <is>
          <t>CAPEX</t>
        </is>
      </c>
      <c r="E71" s="18" t="n">
        <v>26.98</v>
      </c>
      <c r="F71" s="18" t="n">
        <v>8.539999999999999</v>
      </c>
      <c r="G71" s="18" t="n">
        <v>97.04000000000001</v>
      </c>
      <c r="H71" s="9" t="n"/>
      <c r="I71" s="18" t="n">
        <v>18.17</v>
      </c>
      <c r="J71" s="19" t="n">
        <v>25.46</v>
      </c>
      <c r="K71" s="10" t="n"/>
      <c r="L71" s="10" t="n"/>
      <c r="M71" s="11" t="n"/>
      <c r="N71" s="10" t="n"/>
      <c r="O71" s="10" t="n"/>
      <c r="P71" s="10" t="n"/>
      <c r="Q71" s="10" t="n"/>
      <c r="R71" s="11" t="n"/>
      <c r="S71" s="10" t="n"/>
      <c r="T71" s="10" t="n"/>
      <c r="U71" s="10" t="n"/>
      <c r="V71" s="10" t="n"/>
      <c r="W71" s="11" t="n"/>
    </row>
    <row r="72">
      <c r="A72" t="n">
        <v>1</v>
      </c>
      <c r="C72" t="inlineStr">
        <is>
          <t>재무활동으로인한현금흐름</t>
        </is>
      </c>
      <c r="E72" s="18" t="n">
        <v>7077.42</v>
      </c>
      <c r="F72" s="18" t="n">
        <v>-39.27</v>
      </c>
      <c r="G72" s="18" t="n">
        <v>-300.07</v>
      </c>
      <c r="H72" s="9" t="n"/>
      <c r="I72" s="18" t="n">
        <v>-70.5</v>
      </c>
      <c r="J72" s="19" t="n">
        <v>-41.15</v>
      </c>
      <c r="K72" s="10" t="n"/>
      <c r="L72" s="10" t="n"/>
      <c r="M72" s="11" t="n"/>
      <c r="N72" s="10" t="n"/>
      <c r="O72" s="10" t="n"/>
      <c r="P72" s="10" t="n"/>
      <c r="Q72" s="10" t="n"/>
      <c r="R72" s="11" t="n"/>
      <c r="S72" s="10" t="n"/>
      <c r="T72" s="10" t="n"/>
      <c r="U72" s="10" t="n"/>
      <c r="V72" s="10" t="n"/>
      <c r="W72" s="11" t="n"/>
    </row>
    <row r="73">
      <c r="A73" t="n">
        <v>1</v>
      </c>
      <c r="C73" t="inlineStr">
        <is>
          <t>단기차입금의감소</t>
        </is>
      </c>
      <c r="E73" s="18" t="n">
        <v>29052.1</v>
      </c>
      <c r="F73" s="18" t="n">
        <v>0</v>
      </c>
      <c r="G73" s="18" t="n">
        <v>0</v>
      </c>
      <c r="H73" s="9" t="n"/>
      <c r="J73" s="5" t="n"/>
      <c r="K73" s="10" t="n"/>
      <c r="L73" s="10" t="n"/>
      <c r="M73" s="11" t="n"/>
      <c r="N73" s="10" t="n"/>
      <c r="O73" s="10" t="n"/>
      <c r="P73" s="10" t="n"/>
      <c r="Q73" s="10" t="n"/>
      <c r="R73" s="11" t="n"/>
      <c r="S73" s="10" t="n"/>
      <c r="T73" s="10" t="n"/>
      <c r="U73" s="10" t="n"/>
      <c r="V73" s="10" t="n"/>
      <c r="W73" s="11" t="n"/>
    </row>
    <row r="74">
      <c r="A74" t="n">
        <v>1</v>
      </c>
      <c r="C74" t="inlineStr">
        <is>
          <t>현금및현금성자산의증감</t>
        </is>
      </c>
      <c r="E74" s="18" t="n">
        <v>2269.12</v>
      </c>
      <c r="F74" s="18" t="n">
        <v>10340.57</v>
      </c>
      <c r="G74" s="18" t="n">
        <v>-8955.690000000001</v>
      </c>
      <c r="H74" s="9" t="n"/>
      <c r="I74" s="18" t="n">
        <v>6884.95</v>
      </c>
      <c r="J74" s="19" t="n">
        <v>-2407.92</v>
      </c>
      <c r="K74" s="10" t="n"/>
      <c r="L74" s="10" t="n"/>
      <c r="M74" s="11" t="n"/>
      <c r="N74" s="10" t="n"/>
      <c r="O74" s="10" t="n"/>
      <c r="P74" s="10" t="n"/>
      <c r="Q74" s="10" t="n"/>
      <c r="R74" s="11" t="n"/>
      <c r="S74" s="10" t="n"/>
      <c r="T74" s="10" t="n"/>
      <c r="U74" s="10" t="n"/>
      <c r="V74" s="10" t="n"/>
      <c r="W74" s="11" t="n"/>
    </row>
    <row r="75">
      <c r="A75" t="n">
        <v>1</v>
      </c>
      <c r="C75" t="inlineStr">
        <is>
          <t>기말현금및현금성자산</t>
        </is>
      </c>
      <c r="E75" s="18" t="n">
        <v>2269.12</v>
      </c>
      <c r="F75" s="18" t="n">
        <v>10340.57</v>
      </c>
      <c r="G75" s="18" t="n">
        <v>-8955.700000000001</v>
      </c>
      <c r="H75" s="9" t="n"/>
      <c r="I75" s="18" t="n">
        <v>11312.96</v>
      </c>
      <c r="J75" s="19" t="n">
        <v>-2407.93</v>
      </c>
      <c r="K75" s="10" t="n"/>
      <c r="L75" s="10" t="n"/>
      <c r="M75" s="11" t="n"/>
      <c r="N75" s="10" t="n"/>
      <c r="O75" s="10" t="n"/>
      <c r="P75" s="10" t="n"/>
      <c r="Q75" s="10" t="n"/>
      <c r="R75" s="11" t="n"/>
      <c r="S75" s="10" t="n"/>
      <c r="T75" s="10" t="n"/>
      <c r="U75" s="10" t="n"/>
      <c r="V75" s="10" t="n"/>
      <c r="W75" s="11" t="n"/>
    </row>
    <row r="76">
      <c r="A76" t="n">
        <v>1</v>
      </c>
      <c r="C76" t="inlineStr">
        <is>
          <t>단기차입금의증가</t>
        </is>
      </c>
      <c r="F76" s="18" t="n">
        <v>0</v>
      </c>
      <c r="G76" s="18" t="n">
        <v>0</v>
      </c>
      <c r="H76" s="9" t="n"/>
      <c r="J76" s="5" t="n"/>
      <c r="K76" s="10" t="n"/>
      <c r="L76" s="10" t="n"/>
      <c r="M76" s="11" t="n"/>
      <c r="N76" s="10" t="n"/>
      <c r="O76" s="10" t="n"/>
      <c r="P76" s="10" t="n"/>
      <c r="Q76" s="10" t="n"/>
      <c r="R76" s="11" t="n"/>
      <c r="S76" s="10" t="n"/>
      <c r="T76" s="10" t="n"/>
      <c r="U76" s="10" t="n"/>
      <c r="V76" s="10" t="n"/>
      <c r="W76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n">
        <v>2025</v>
      </c>
      <c r="I1" s="3" t="inlineStr">
        <is>
          <t>1Q26</t>
        </is>
      </c>
      <c r="J1" s="4" t="inlineStr">
        <is>
          <t>2Q26</t>
        </is>
      </c>
      <c r="K1" s="3" t="inlineStr">
        <is>
          <t>3Q26</t>
        </is>
      </c>
      <c r="L1" s="3" t="inlineStr">
        <is>
          <t>4Q26</t>
        </is>
      </c>
      <c r="M1" s="3" t="n">
        <v>2026</v>
      </c>
      <c r="N1" s="3" t="inlineStr">
        <is>
          <t>1Q27</t>
        </is>
      </c>
      <c r="O1" s="3" t="inlineStr">
        <is>
          <t>2Q27</t>
        </is>
      </c>
      <c r="P1" s="3" t="inlineStr">
        <is>
          <t>3Q27</t>
        </is>
      </c>
      <c r="Q1" s="3" t="inlineStr">
        <is>
          <t>4Q27</t>
        </is>
      </c>
      <c r="R1" s="3" t="n">
        <v>2027</v>
      </c>
      <c r="S1" s="3" t="inlineStr">
        <is>
          <t>1Q28</t>
        </is>
      </c>
      <c r="T1" s="3" t="inlineStr">
        <is>
          <t>2Q28</t>
        </is>
      </c>
      <c r="U1" s="3" t="inlineStr">
        <is>
          <t>3Q28</t>
        </is>
      </c>
      <c r="V1" s="3" t="inlineStr">
        <is>
          <t>4Q28</t>
        </is>
      </c>
      <c r="W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J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6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</row>
    <row r="4"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2025.12A</t>
        </is>
      </c>
      <c r="I4" s="7" t="inlineStr">
        <is>
          <t>2026.03</t>
        </is>
      </c>
      <c r="J4" s="8" t="inlineStr">
        <is>
          <t>2026.06</t>
        </is>
      </c>
      <c r="K4" s="7" t="inlineStr">
        <is>
          <t>2026.09</t>
        </is>
      </c>
      <c r="L4" s="7" t="inlineStr">
        <is>
          <t>2026.12</t>
        </is>
      </c>
      <c r="M4" s="7" t="inlineStr">
        <is>
          <t>2026.12A</t>
        </is>
      </c>
      <c r="N4" s="7" t="inlineStr">
        <is>
          <t>2027.03</t>
        </is>
      </c>
      <c r="O4" s="7" t="inlineStr">
        <is>
          <t>2027.06</t>
        </is>
      </c>
      <c r="P4" s="7" t="inlineStr">
        <is>
          <t>2027.09</t>
        </is>
      </c>
      <c r="Q4" s="7" t="inlineStr">
        <is>
          <t>2027.12</t>
        </is>
      </c>
      <c r="R4" s="7" t="inlineStr">
        <is>
          <t>2027.12A</t>
        </is>
      </c>
      <c r="S4" s="7" t="inlineStr">
        <is>
          <t>2028.03</t>
        </is>
      </c>
      <c r="T4" s="7" t="inlineStr">
        <is>
          <t>2028.06</t>
        </is>
      </c>
      <c r="U4" s="7" t="inlineStr">
        <is>
          <t>2028.09</t>
        </is>
      </c>
      <c r="V4" s="7" t="inlineStr">
        <is>
          <t>2028.12</t>
        </is>
      </c>
      <c r="W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18">
        <f>IFERROR(VLOOKUP($D5,BS별도,MATCH(F$1,BS별도H,0),0)/100,"")</f>
        <v/>
      </c>
      <c r="G5" s="18">
        <f>IFERROR(VLOOKUP($D5,BS별도,MATCH(G$1,BS별도H,0),0)/100,"")</f>
        <v/>
      </c>
      <c r="H5" s="37" t="n"/>
      <c r="I5" s="18">
        <f>IFERROR(VLOOKUP($D5,BS별도,MATCH(I$1,BS별도H,0),0)/100,"")</f>
        <v/>
      </c>
      <c r="J5" s="19">
        <f>IFERROR(VLOOKUP($D5,BS별도,MATCH(J$1,BS별도H,0),0)/100,"")</f>
        <v/>
      </c>
      <c r="K5" s="20">
        <f>IFERROR(F5*(1+변수!K21),"")</f>
        <v/>
      </c>
      <c r="L5" s="20">
        <f>IFERROR(G5*(1+변수!L21),"")</f>
        <v/>
      </c>
      <c r="M5" s="38">
        <f>SUM(I5:L5)</f>
        <v/>
      </c>
      <c r="N5" s="20">
        <f>IFERROR(I5*(1+변수!N21),"")</f>
        <v/>
      </c>
      <c r="O5" s="20">
        <f>IFERROR(J5*(1+변수!O21),"")</f>
        <v/>
      </c>
      <c r="P5" s="20">
        <f>IFERROR(K5*(1+변수!P21),"")</f>
        <v/>
      </c>
      <c r="Q5" s="20">
        <f>IFERROR(L5*(1+변수!Q21),"")</f>
        <v/>
      </c>
      <c r="R5" s="38">
        <f>SUM(N5:Q5)</f>
        <v/>
      </c>
      <c r="S5" s="20">
        <f>IFERROR(N5*(1+변수!S21),"")</f>
        <v/>
      </c>
      <c r="T5" s="20">
        <f>IFERROR(O5*(1+변수!T21),"")</f>
        <v/>
      </c>
      <c r="U5" s="20">
        <f>IFERROR(P5*(1+변수!U21),"")</f>
        <v/>
      </c>
      <c r="V5" s="20">
        <f>IFERROR(Q5*(1+변수!V21),"")</f>
        <v/>
      </c>
      <c r="W5" s="38">
        <f>SUM(S5:V5)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18">
        <f>IFERROR(VLOOKUP($D6,BS별도,MATCH(F$1,BS별도H,0),0)/100,"")</f>
        <v/>
      </c>
      <c r="G6" s="18">
        <f>IFERROR(VLOOKUP($D6,BS별도,MATCH(G$1,BS별도H,0),0)/100,"")</f>
        <v/>
      </c>
      <c r="H6" s="37" t="n"/>
      <c r="I6" s="18">
        <f>IFERROR(VLOOKUP($D6,BS별도,MATCH(I$1,BS별도H,0),0)/100,"")</f>
        <v/>
      </c>
      <c r="J6" s="19">
        <f>IFERROR(VLOOKUP($D6,BS별도,MATCH(J$1,BS별도H,0),0)/100,"")</f>
        <v/>
      </c>
      <c r="K6" s="20">
        <f>IFERROR(K5-K7,"")</f>
        <v/>
      </c>
      <c r="L6" s="20">
        <f>IFERROR(L5-L7,"")</f>
        <v/>
      </c>
      <c r="M6" s="38">
        <f>SUM(I6:L6)</f>
        <v/>
      </c>
      <c r="N6" s="20">
        <f>IFERROR(N5-N7,"")</f>
        <v/>
      </c>
      <c r="O6" s="20">
        <f>IFERROR(O5-O7,"")</f>
        <v/>
      </c>
      <c r="P6" s="20">
        <f>IFERROR(P5-P7,"")</f>
        <v/>
      </c>
      <c r="Q6" s="20">
        <f>IFERROR(Q5-Q7,"")</f>
        <v/>
      </c>
      <c r="R6" s="38">
        <f>SUM(N6:Q6)</f>
        <v/>
      </c>
      <c r="S6" s="20">
        <f>IFERROR(S5-S7,"")</f>
        <v/>
      </c>
      <c r="T6" s="20">
        <f>IFERROR(T5-T7,"")</f>
        <v/>
      </c>
      <c r="U6" s="20">
        <f>IFERROR(U5-U7,"")</f>
        <v/>
      </c>
      <c r="V6" s="20">
        <f>IFERROR(V5-V7,"")</f>
        <v/>
      </c>
      <c r="W6" s="38">
        <f>SUM(S6:V6)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18">
        <f>IFERROR(VLOOKUP($D7,BS별도,MATCH(F$1,BS별도H,0),0)/100,"")</f>
        <v/>
      </c>
      <c r="G7" s="18">
        <f>IFERROR(VLOOKUP($D7,BS별도,MATCH(G$1,BS별도H,0),0)/100,"")</f>
        <v/>
      </c>
      <c r="H7" s="37" t="n"/>
      <c r="I7" s="18">
        <f>IFERROR(VLOOKUP($D7,BS별도,MATCH(I$1,BS별도H,0),0)/100,"")</f>
        <v/>
      </c>
      <c r="J7" s="19">
        <f>IFERROR(VLOOKUP($D7,BS별도,MATCH(J$1,BS별도H,0),0)/100,"")</f>
        <v/>
      </c>
      <c r="K7" s="20">
        <f>IFERROR(K9+K8,"")</f>
        <v/>
      </c>
      <c r="L7" s="20">
        <f>IFERROR(L9+L8,"")</f>
        <v/>
      </c>
      <c r="M7" s="38">
        <f>SUM(I7:L7)</f>
        <v/>
      </c>
      <c r="N7" s="20">
        <f>IFERROR(N9+N8,"")</f>
        <v/>
      </c>
      <c r="O7" s="20">
        <f>IFERROR(O9+O8,"")</f>
        <v/>
      </c>
      <c r="P7" s="20">
        <f>IFERROR(P9+P8,"")</f>
        <v/>
      </c>
      <c r="Q7" s="20">
        <f>IFERROR(Q9+Q8,"")</f>
        <v/>
      </c>
      <c r="R7" s="38">
        <f>SUM(N7:Q7)</f>
        <v/>
      </c>
      <c r="S7" s="20">
        <f>IFERROR(S9+S8,"")</f>
        <v/>
      </c>
      <c r="T7" s="20">
        <f>IFERROR(T9+T8,"")</f>
        <v/>
      </c>
      <c r="U7" s="20">
        <f>IFERROR(U9+U8,"")</f>
        <v/>
      </c>
      <c r="V7" s="20">
        <f>IFERROR(V9+V8,"")</f>
        <v/>
      </c>
      <c r="W7" s="38">
        <f>SUM(S7:V7)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18">
        <f>IFERROR(VLOOKUP($D8,BS별도,MATCH(F$1,BS별도H,0),0)/100,"")</f>
        <v/>
      </c>
      <c r="G8" s="18">
        <f>IFERROR(VLOOKUP($D8,BS별도,MATCH(G$1,BS별도H,0),0)/100,"")</f>
        <v/>
      </c>
      <c r="H8" s="37" t="n"/>
      <c r="I8" s="18">
        <f>IFERROR(VLOOKUP($D8,BS별도,MATCH(I$1,BS별도H,0),0)/100,"")</f>
        <v/>
      </c>
      <c r="J8" s="19">
        <f>IFERROR(VLOOKUP($D8,BS별도,MATCH(J$1,BS별도H,0),0)/100,"")</f>
        <v/>
      </c>
      <c r="K8" s="20">
        <f>IFERROR(K5*변수!K22,"")</f>
        <v/>
      </c>
      <c r="L8" s="20">
        <f>IFERROR(L5*변수!L22,"")</f>
        <v/>
      </c>
      <c r="M8" s="38">
        <f>SUM(I8:L8)</f>
        <v/>
      </c>
      <c r="N8" s="20">
        <f>IFERROR(N5*변수!N22,"")</f>
        <v/>
      </c>
      <c r="O8" s="20">
        <f>IFERROR(O5*변수!O22,"")</f>
        <v/>
      </c>
      <c r="P8" s="20">
        <f>IFERROR(P5*변수!P22,"")</f>
        <v/>
      </c>
      <c r="Q8" s="20">
        <f>IFERROR(Q5*변수!Q22,"")</f>
        <v/>
      </c>
      <c r="R8" s="38">
        <f>SUM(N8:Q8)</f>
        <v/>
      </c>
      <c r="S8" s="20">
        <f>IFERROR(S5*변수!S22,"")</f>
        <v/>
      </c>
      <c r="T8" s="20">
        <f>IFERROR(T5*변수!T22,"")</f>
        <v/>
      </c>
      <c r="U8" s="20">
        <f>IFERROR(U5*변수!U22,"")</f>
        <v/>
      </c>
      <c r="V8" s="20">
        <f>IFERROR(V5*변수!V22,"")</f>
        <v/>
      </c>
      <c r="W8" s="38">
        <f>SUM(S8:V8)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18">
        <f>IFERROR(VLOOKUP($D9,BS별도,MATCH(F$1,BS별도H,0),0)/100,"")</f>
        <v/>
      </c>
      <c r="G9" s="18">
        <f>IFERROR(VLOOKUP($D9,BS별도,MATCH(G$1,BS별도H,0),0)/100,"")</f>
        <v/>
      </c>
      <c r="H9" s="37" t="n"/>
      <c r="I9" s="18">
        <f>IFERROR(VLOOKUP($D9,BS별도,MATCH(I$1,BS별도H,0),0)/100,"")</f>
        <v/>
      </c>
      <c r="J9" s="19">
        <f>IFERROR(VLOOKUP($D9,BS별도,MATCH(J$1,BS별도H,0),0)/100,"")</f>
        <v/>
      </c>
      <c r="K9" s="20">
        <f>IFERROR(K5*변수!K23,"")</f>
        <v/>
      </c>
      <c r="L9" s="20">
        <f>IFERROR(L5*변수!L23,"")</f>
        <v/>
      </c>
      <c r="M9" s="38">
        <f>SUM(I9:L9)</f>
        <v/>
      </c>
      <c r="N9" s="20">
        <f>IFERROR(N5*변수!N23,"")</f>
        <v/>
      </c>
      <c r="O9" s="20">
        <f>IFERROR(O5*변수!O23,"")</f>
        <v/>
      </c>
      <c r="P9" s="20">
        <f>IFERROR(P5*변수!P23,"")</f>
        <v/>
      </c>
      <c r="Q9" s="20">
        <f>IFERROR(Q5*변수!Q23,"")</f>
        <v/>
      </c>
      <c r="R9" s="38">
        <f>SUM(N9:Q9)</f>
        <v/>
      </c>
      <c r="S9" s="20">
        <f>IFERROR(S5*변수!S23,"")</f>
        <v/>
      </c>
      <c r="T9" s="20">
        <f>IFERROR(T5*변수!T23,"")</f>
        <v/>
      </c>
      <c r="U9" s="20">
        <f>IFERROR(U5*변수!U23,"")</f>
        <v/>
      </c>
      <c r="V9" s="20">
        <f>IFERROR(V5*변수!V23,"")</f>
        <v/>
      </c>
      <c r="W9" s="38">
        <f>SUM(S9:V9)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1">
        <f>IFERROR(F9/F5,"")</f>
        <v/>
      </c>
      <c r="G10" s="21">
        <f>IFERROR(G9/G5,"")</f>
        <v/>
      </c>
      <c r="H10" s="22" t="n"/>
      <c r="I10" s="21">
        <f>IFERROR(I9/I5,"")</f>
        <v/>
      </c>
      <c r="J10" s="23">
        <f>IFERROR(J9/J5,"")</f>
        <v/>
      </c>
      <c r="K10" s="32">
        <f>IFERROR(K9/K5,"")</f>
        <v/>
      </c>
      <c r="L10" s="32">
        <f>IFERROR(L9/L5,"")</f>
        <v/>
      </c>
      <c r="M10" s="25">
        <f>IFERROR(M9/M5,"")</f>
        <v/>
      </c>
      <c r="N10" s="32">
        <f>IFERROR(N9/N5,"")</f>
        <v/>
      </c>
      <c r="O10" s="32">
        <f>IFERROR(O9/O5,"")</f>
        <v/>
      </c>
      <c r="P10" s="32">
        <f>IFERROR(P9/P5,"")</f>
        <v/>
      </c>
      <c r="Q10" s="32">
        <f>IFERROR(Q9/Q5,"")</f>
        <v/>
      </c>
      <c r="R10" s="25">
        <f>IFERROR(R9/R5,"")</f>
        <v/>
      </c>
      <c r="S10" s="32">
        <f>IFERROR(S9/S5,"")</f>
        <v/>
      </c>
      <c r="T10" s="32">
        <f>IFERROR(T9/T5,"")</f>
        <v/>
      </c>
      <c r="U10" s="32">
        <f>IFERROR(U9/U5,"")</f>
        <v/>
      </c>
      <c r="V10" s="32">
        <f>IFERROR(V9/V5,"")</f>
        <v/>
      </c>
      <c r="W10" s="25">
        <f>IFERROR(W9/W5,"")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18">
        <f>IFERROR(VLOOKUP($D11,BS별도,MATCH(F$1,BS별도H,0),0)/100,"")</f>
        <v/>
      </c>
      <c r="G11" s="18">
        <f>IFERROR(VLOOKUP($D11,BS별도,MATCH(G$1,BS별도H,0),0)/100,"")</f>
        <v/>
      </c>
      <c r="H11" s="37" t="n"/>
      <c r="I11" s="18">
        <f>IFERROR(VLOOKUP($D11,BS별도,MATCH(I$1,BS별도H,0),0)/100,"")</f>
        <v/>
      </c>
      <c r="J11" s="19">
        <f>IFERROR(VLOOKUP($D11,BS별도,MATCH(J$1,BS별도H,0),0)/100,"")</f>
        <v/>
      </c>
      <c r="K11" s="20">
        <f>IFERROR(K12,"")</f>
        <v/>
      </c>
      <c r="L11" s="20">
        <f>IFERROR(L12,"")</f>
        <v/>
      </c>
      <c r="M11" s="38">
        <f>SUM(I11:L11)</f>
        <v/>
      </c>
      <c r="N11" s="20">
        <f>IFERROR(N12,"")</f>
        <v/>
      </c>
      <c r="O11" s="20">
        <f>IFERROR(O12,"")</f>
        <v/>
      </c>
      <c r="P11" s="20">
        <f>IFERROR(P12,"")</f>
        <v/>
      </c>
      <c r="Q11" s="20">
        <f>IFERROR(Q12,"")</f>
        <v/>
      </c>
      <c r="R11" s="38">
        <f>SUM(N11:Q11)</f>
        <v/>
      </c>
      <c r="S11" s="20">
        <f>IFERROR(S12,"")</f>
        <v/>
      </c>
      <c r="T11" s="20">
        <f>IFERROR(T12,"")</f>
        <v/>
      </c>
      <c r="U11" s="20">
        <f>IFERROR(U12,"")</f>
        <v/>
      </c>
      <c r="V11" s="20">
        <f>IFERROR(V12,"")</f>
        <v/>
      </c>
      <c r="W11" s="38">
        <f>SUM(S11:V11)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18" t="n"/>
      <c r="G12" s="18" t="n"/>
      <c r="H12" s="37" t="n"/>
      <c r="I12" s="18" t="n"/>
      <c r="J12" s="19" t="n"/>
      <c r="K12" s="20">
        <f>IFERROR((J24*변수!$D$50-J22*변수!$D$51)/4,"")</f>
        <v/>
      </c>
      <c r="L12" s="20">
        <f>IFERROR((K24*변수!$D$50-K22*변수!$D$51)/4,"")</f>
        <v/>
      </c>
      <c r="M12" s="38">
        <f>SUM(I12:L12)</f>
        <v/>
      </c>
      <c r="N12" s="20">
        <f>IFERROR((L24*변수!$D$50-L22*변수!$D$51)/4,"")</f>
        <v/>
      </c>
      <c r="O12" s="20">
        <f>IFERROR((N24*변수!$D$50-N22*변수!$D$51)/4,"")</f>
        <v/>
      </c>
      <c r="P12" s="20">
        <f>IFERROR((O24*변수!$D$50-O22*변수!$D$51)/4,"")</f>
        <v/>
      </c>
      <c r="Q12" s="20">
        <f>IFERROR((P24*변수!$D$50-P22*변수!$D$51)/4,"")</f>
        <v/>
      </c>
      <c r="R12" s="38">
        <f>SUM(N12:Q12)</f>
        <v/>
      </c>
      <c r="S12" s="20">
        <f>IFERROR((Q24*변수!$D$50-Q22*변수!$D$51)/4,"")</f>
        <v/>
      </c>
      <c r="T12" s="20">
        <f>IFERROR((S24*변수!$D$50-S22*변수!$D$51)/4,"")</f>
        <v/>
      </c>
      <c r="U12" s="20">
        <f>IFERROR((T24*변수!$D$50-T22*변수!$D$51)/4,"")</f>
        <v/>
      </c>
      <c r="V12" s="20">
        <f>IFERROR((U24*변수!$D$50-U22*변수!$D$51)/4,"")</f>
        <v/>
      </c>
      <c r="W12" s="38">
        <f>SUM(S12:V12)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IFERROR(VLOOKUP($D13,BS별도,MATCH(E$1,BS별도H,0),0)/100,"")</f>
        <v/>
      </c>
      <c r="F13" s="18">
        <f>IFERROR(VLOOKUP($D13,BS별도,MATCH(F$1,BS별도H,0),0)/100,"")</f>
        <v/>
      </c>
      <c r="G13" s="18">
        <f>IFERROR(VLOOKUP($D13,BS별도,MATCH(G$1,BS별도H,0),0)/100,"")</f>
        <v/>
      </c>
      <c r="H13" s="37" t="n"/>
      <c r="I13" s="18">
        <f>IFERROR(VLOOKUP($D13,BS별도,MATCH(I$1,BS별도H,0),0)/100,"")</f>
        <v/>
      </c>
      <c r="J13" s="19">
        <f>IFERROR(VLOOKUP($D13,BS별도,MATCH(J$1,BS별도H,0),0)/100,"")</f>
        <v/>
      </c>
      <c r="K13" s="20">
        <f>변수!K24</f>
        <v/>
      </c>
      <c r="L13" s="20">
        <f>변수!L24</f>
        <v/>
      </c>
      <c r="M13" s="38">
        <f>SUM(I13:L13)</f>
        <v/>
      </c>
      <c r="N13" s="20">
        <f>변수!N24</f>
        <v/>
      </c>
      <c r="O13" s="20">
        <f>변수!O24</f>
        <v/>
      </c>
      <c r="P13" s="20">
        <f>변수!P24</f>
        <v/>
      </c>
      <c r="Q13" s="20">
        <f>변수!Q24</f>
        <v/>
      </c>
      <c r="R13" s="38">
        <f>SUM(N13:Q13)</f>
        <v/>
      </c>
      <c r="S13" s="20">
        <f>변수!S24</f>
        <v/>
      </c>
      <c r="T13" s="20">
        <f>변수!T24</f>
        <v/>
      </c>
      <c r="U13" s="20">
        <f>변수!U24</f>
        <v/>
      </c>
      <c r="V13" s="20">
        <f>변수!V24</f>
        <v/>
      </c>
      <c r="W13" s="38">
        <f>SUM(S13:V13)</f>
        <v/>
      </c>
    </row>
    <row r="14">
      <c r="A14" s="12" t="inlineStr">
        <is>
          <t>세전이익</t>
        </is>
      </c>
      <c r="B14" t="inlineStr">
        <is>
          <t>손익</t>
        </is>
      </c>
      <c r="C14" t="inlineStr">
        <is>
          <t>억원</t>
        </is>
      </c>
      <c r="D14" t="inlineStr">
        <is>
          <t>법인세비용차감전계속사업이익</t>
        </is>
      </c>
      <c r="E14" s="18">
        <f>IFERROR(VLOOKUP($D14,BS별도,MATCH(E$1,BS별도H,0),0)/100,"")</f>
        <v/>
      </c>
      <c r="F14" s="18">
        <f>IFERROR(VLOOKUP($D14,BS별도,MATCH(F$1,BS별도H,0),0)/100,"")</f>
        <v/>
      </c>
      <c r="G14" s="18">
        <f>IFERROR(VLOOKUP($D14,BS별도,MATCH(G$1,BS별도H,0),0)/100,"")</f>
        <v/>
      </c>
      <c r="H14" s="37" t="n"/>
      <c r="I14" s="18">
        <f>IFERROR(VLOOKUP($D14,BS별도,MATCH(I$1,BS별도H,0),0)/100,"")</f>
        <v/>
      </c>
      <c r="J14" s="19">
        <f>IFERROR(VLOOKUP($D14,BS별도,MATCH(J$1,BS별도H,0),0)/100,"")</f>
        <v/>
      </c>
      <c r="K14" s="20">
        <f>IFERROR(K9+K11+K13,"")</f>
        <v/>
      </c>
      <c r="L14" s="20">
        <f>IFERROR(L9+L11+L13,"")</f>
        <v/>
      </c>
      <c r="M14" s="38">
        <f>SUM(I14:L14)</f>
        <v/>
      </c>
      <c r="N14" s="20">
        <f>IFERROR(N9+N11+N13,"")</f>
        <v/>
      </c>
      <c r="O14" s="20">
        <f>IFERROR(O9+O11+O13,"")</f>
        <v/>
      </c>
      <c r="P14" s="20">
        <f>IFERROR(P9+P11+P13,"")</f>
        <v/>
      </c>
      <c r="Q14" s="20">
        <f>IFERROR(Q9+Q11+Q13,"")</f>
        <v/>
      </c>
      <c r="R14" s="38">
        <f>SUM(N14:Q14)</f>
        <v/>
      </c>
      <c r="S14" s="20">
        <f>IFERROR(S9+S11+S13,"")</f>
        <v/>
      </c>
      <c r="T14" s="20">
        <f>IFERROR(T9+T11+T13,"")</f>
        <v/>
      </c>
      <c r="U14" s="20">
        <f>IFERROR(U9+U11+U13,"")</f>
        <v/>
      </c>
      <c r="V14" s="20">
        <f>IFERROR(V9+V11+V13,"")</f>
        <v/>
      </c>
      <c r="W14" s="38">
        <f>SUM(S14:V14)</f>
        <v/>
      </c>
    </row>
    <row r="15">
      <c r="A15" s="12" t="inlineStr">
        <is>
          <t>법인세비용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</t>
        </is>
      </c>
      <c r="E15" s="18">
        <f>IFERROR(VLOOKUP($D15,BS별도,MATCH(E$1,BS별도H,0),0)/100,"")</f>
        <v/>
      </c>
      <c r="F15" s="18" t="n"/>
      <c r="G15" s="18">
        <f>IFERROR(VLOOKUP($D15,BS별도,MATCH(G$1,BS별도H,0),0)/100,"")</f>
        <v/>
      </c>
      <c r="H15" s="37" t="n"/>
      <c r="I15" s="18" t="n"/>
      <c r="J15" s="19">
        <f>IFERROR(VLOOKUP($D15,BS별도,MATCH(J$1,BS별도H,0),0)/100,"")</f>
        <v/>
      </c>
      <c r="K15" s="20">
        <f>IFERROR(K14*변수!K25,"")</f>
        <v/>
      </c>
      <c r="L15" s="20">
        <f>IFERROR(L14*변수!L25,"")</f>
        <v/>
      </c>
      <c r="M15" s="38">
        <f>SUM(I15:L15)</f>
        <v/>
      </c>
      <c r="N15" s="20">
        <f>IFERROR(N14*변수!N25,"")</f>
        <v/>
      </c>
      <c r="O15" s="20">
        <f>IFERROR(O14*변수!O25,"")</f>
        <v/>
      </c>
      <c r="P15" s="20">
        <f>IFERROR(P14*변수!P25,"")</f>
        <v/>
      </c>
      <c r="Q15" s="20">
        <f>IFERROR(Q14*변수!Q25,"")</f>
        <v/>
      </c>
      <c r="R15" s="38">
        <f>SUM(N15:Q15)</f>
        <v/>
      </c>
      <c r="S15" s="20">
        <f>IFERROR(S14*변수!S25,"")</f>
        <v/>
      </c>
      <c r="T15" s="20">
        <f>IFERROR(T14*변수!T25,"")</f>
        <v/>
      </c>
      <c r="U15" s="20">
        <f>IFERROR(U14*변수!U25,"")</f>
        <v/>
      </c>
      <c r="V15" s="20">
        <f>IFERROR(V14*변수!V25,"")</f>
        <v/>
      </c>
      <c r="W15" s="38">
        <f>SUM(S15:V15)</f>
        <v/>
      </c>
    </row>
    <row r="16">
      <c r="A16" s="12" t="inlineStr">
        <is>
          <t>당기순이익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당기순이익</t>
        </is>
      </c>
      <c r="E16" s="18">
        <f>IFERROR(VLOOKUP($D16,BS별도,MATCH(E$1,BS별도H,0),0)/100,"")</f>
        <v/>
      </c>
      <c r="F16" s="18">
        <f>IFERROR(VLOOKUP($D16,BS별도,MATCH(F$1,BS별도H,0),0)/100,"")</f>
        <v/>
      </c>
      <c r="G16" s="18">
        <f>IFERROR(VLOOKUP($D16,BS별도,MATCH(G$1,BS별도H,0),0)/100,"")</f>
        <v/>
      </c>
      <c r="H16" s="37" t="n"/>
      <c r="I16" s="18">
        <f>IFERROR(VLOOKUP($D16,BS별도,MATCH(I$1,BS별도H,0),0)/100,"")</f>
        <v/>
      </c>
      <c r="J16" s="19">
        <f>IFERROR(VLOOKUP($D16,BS별도,MATCH(J$1,BS별도H,0),0)/100,"")</f>
        <v/>
      </c>
      <c r="K16" s="20">
        <f>IFERROR(K14-K15,"")</f>
        <v/>
      </c>
      <c r="L16" s="20">
        <f>IFERROR(L14-L15,"")</f>
        <v/>
      </c>
      <c r="M16" s="38">
        <f>SUM(I16:L16)</f>
        <v/>
      </c>
      <c r="N16" s="20">
        <f>IFERROR(N14-N15,"")</f>
        <v/>
      </c>
      <c r="O16" s="20">
        <f>IFERROR(O14-O15,"")</f>
        <v/>
      </c>
      <c r="P16" s="20">
        <f>IFERROR(P14-P15,"")</f>
        <v/>
      </c>
      <c r="Q16" s="20">
        <f>IFERROR(Q14-Q15,"")</f>
        <v/>
      </c>
      <c r="R16" s="38">
        <f>SUM(N16:Q16)</f>
        <v/>
      </c>
      <c r="S16" s="20">
        <f>IFERROR(S14-S15,"")</f>
        <v/>
      </c>
      <c r="T16" s="20">
        <f>IFERROR(T14-T15,"")</f>
        <v/>
      </c>
      <c r="U16" s="20">
        <f>IFERROR(U14-U15,"")</f>
        <v/>
      </c>
      <c r="V16" s="20">
        <f>IFERROR(V14-V15,"")</f>
        <v/>
      </c>
      <c r="W16" s="38">
        <f>SUM(S16:V16)</f>
        <v/>
      </c>
    </row>
    <row r="17">
      <c r="A17" s="12" t="inlineStr">
        <is>
          <t>지배주주순이익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(지배주주지분)당기순이익</t>
        </is>
      </c>
      <c r="E17" s="18">
        <f>IFERROR(VLOOKUP($D17,BS별도,MATCH(E$1,BS별도H,0),0)/100,"")</f>
        <v/>
      </c>
      <c r="F17" s="18">
        <f>IFERROR(VLOOKUP($D17,BS별도,MATCH(F$1,BS별도H,0),0)/100,"")</f>
        <v/>
      </c>
      <c r="G17" s="18">
        <f>IFERROR(VLOOKUP($D17,BS별도,MATCH(G$1,BS별도H,0),0)/100,"")</f>
        <v/>
      </c>
      <c r="H17" s="37" t="n"/>
      <c r="I17" s="18">
        <f>IFERROR(VLOOKUP($D17,BS별도,MATCH(I$1,BS별도H,0),0)/100,"")</f>
        <v/>
      </c>
      <c r="J17" s="19">
        <f>IFERROR(VLOOKUP($D17,BS별도,MATCH(J$1,BS별도H,0),0)/100,"")</f>
        <v/>
      </c>
      <c r="K17" s="20">
        <f>IFERROR(K16*변수!K26,"")</f>
        <v/>
      </c>
      <c r="L17" s="20">
        <f>IFERROR(L16*변수!L26,"")</f>
        <v/>
      </c>
      <c r="M17" s="38">
        <f>SUM(I17:L17)</f>
        <v/>
      </c>
      <c r="N17" s="20">
        <f>IFERROR(N16*변수!N26,"")</f>
        <v/>
      </c>
      <c r="O17" s="20">
        <f>IFERROR(O16*변수!O26,"")</f>
        <v/>
      </c>
      <c r="P17" s="20">
        <f>IFERROR(P16*변수!P26,"")</f>
        <v/>
      </c>
      <c r="Q17" s="20">
        <f>IFERROR(Q16*변수!Q26,"")</f>
        <v/>
      </c>
      <c r="R17" s="38">
        <f>SUM(N17:Q17)</f>
        <v/>
      </c>
      <c r="S17" s="20">
        <f>IFERROR(S16*변수!S26,"")</f>
        <v/>
      </c>
      <c r="T17" s="20">
        <f>IFERROR(T16*변수!T26,"")</f>
        <v/>
      </c>
      <c r="U17" s="20">
        <f>IFERROR(U16*변수!U26,"")</f>
        <v/>
      </c>
      <c r="V17" s="20">
        <f>IFERROR(V16*변수!V26,"")</f>
        <v/>
      </c>
      <c r="W17" s="38">
        <f>SUM(S17:V17)</f>
        <v/>
      </c>
    </row>
    <row r="18">
      <c r="A18" s="12" t="inlineStr">
        <is>
          <t>자산총계</t>
        </is>
      </c>
      <c r="B18" t="inlineStr">
        <is>
          <t>재무상태</t>
        </is>
      </c>
      <c r="C18" t="inlineStr">
        <is>
          <t>억원</t>
        </is>
      </c>
      <c r="D18" t="inlineStr">
        <is>
          <t>자산총계</t>
        </is>
      </c>
      <c r="E18" s="18">
        <f>IFERROR(VLOOKUP($D18,BS별도,MATCH(E$1,BS별도H,0),0)/100,"")</f>
        <v/>
      </c>
      <c r="F18" s="18">
        <f>IFERROR(VLOOKUP($D18,BS별도,MATCH(F$1,BS별도H,0),0)/100,"")</f>
        <v/>
      </c>
      <c r="G18" s="18">
        <f>IFERROR(VLOOKUP($D18,BS별도,MATCH(G$1,BS별도H,0),0)/100,"")</f>
        <v/>
      </c>
      <c r="H18" s="37" t="n">
        <v>648.01</v>
      </c>
      <c r="I18" s="18">
        <f>IFERROR(VLOOKUP($D18,BS별도,MATCH(I$1,BS별도H,0),0)/100,"")</f>
        <v/>
      </c>
      <c r="J18" s="19">
        <f>IFERROR(VLOOKUP($D18,BS별도,MATCH(J$1,BS별도H,0),0)/100,"")</f>
        <v/>
      </c>
      <c r="K18" s="20">
        <f>IFERROR(K19+K20,"")</f>
        <v/>
      </c>
      <c r="L18" s="20">
        <f>IFERROR(L19+L20,"")</f>
        <v/>
      </c>
      <c r="M18" s="38">
        <f>L18</f>
        <v/>
      </c>
      <c r="N18" s="20">
        <f>IFERROR(N19+N20,"")</f>
        <v/>
      </c>
      <c r="O18" s="20">
        <f>IFERROR(O19+O20,"")</f>
        <v/>
      </c>
      <c r="P18" s="20">
        <f>IFERROR(P19+P20,"")</f>
        <v/>
      </c>
      <c r="Q18" s="20">
        <f>IFERROR(Q19+Q20,"")</f>
        <v/>
      </c>
      <c r="R18" s="38">
        <f>Q18</f>
        <v/>
      </c>
      <c r="S18" s="20">
        <f>IFERROR(S19+S20,"")</f>
        <v/>
      </c>
      <c r="T18" s="20">
        <f>IFERROR(T19+T20,"")</f>
        <v/>
      </c>
      <c r="U18" s="20">
        <f>IFERROR(U19+U20,"")</f>
        <v/>
      </c>
      <c r="V18" s="20">
        <f>IFERROR(V19+V20,"")</f>
        <v/>
      </c>
      <c r="W18" s="38">
        <f>V18</f>
        <v/>
      </c>
    </row>
    <row r="19">
      <c r="A19" s="12" t="inlineStr">
        <is>
          <t>부채총계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부채총계</t>
        </is>
      </c>
      <c r="E19" s="18">
        <f>IFERROR(VLOOKUP($D19,BS별도,MATCH(E$1,BS별도H,0),0)/100,"")</f>
        <v/>
      </c>
      <c r="F19" s="18">
        <f>IFERROR(VLOOKUP($D19,BS별도,MATCH(F$1,BS별도H,0),0)/100,"")</f>
        <v/>
      </c>
      <c r="G19" s="18">
        <f>IFERROR(VLOOKUP($D19,BS별도,MATCH(G$1,BS별도H,0),0)/100,"")</f>
        <v/>
      </c>
      <c r="H19" s="37" t="n">
        <v>165.67</v>
      </c>
      <c r="I19" s="18">
        <f>IFERROR(VLOOKUP($D19,BS별도,MATCH(I$1,BS별도H,0),0)/100,"")</f>
        <v/>
      </c>
      <c r="J19" s="19">
        <f>IFERROR(VLOOKUP($D19,BS별도,MATCH(J$1,BS별도H,0),0)/100,"")</f>
        <v/>
      </c>
      <c r="K19" s="20">
        <f>IFERROR(J19*(1+변수!K27),"")</f>
        <v/>
      </c>
      <c r="L19" s="20">
        <f>IFERROR(K19*(1+변수!L27),"")</f>
        <v/>
      </c>
      <c r="M19" s="38">
        <f>L19</f>
        <v/>
      </c>
      <c r="N19" s="20">
        <f>IFERROR(L19*(1+변수!N27),"")</f>
        <v/>
      </c>
      <c r="O19" s="20">
        <f>IFERROR(N19*(1+변수!O27),"")</f>
        <v/>
      </c>
      <c r="P19" s="20">
        <f>IFERROR(O19*(1+변수!P27),"")</f>
        <v/>
      </c>
      <c r="Q19" s="20">
        <f>IFERROR(P19*(1+변수!Q27),"")</f>
        <v/>
      </c>
      <c r="R19" s="38">
        <f>Q19</f>
        <v/>
      </c>
      <c r="S19" s="20">
        <f>IFERROR(Q19*(1+변수!S27),"")</f>
        <v/>
      </c>
      <c r="T19" s="20">
        <f>IFERROR(S19*(1+변수!T27),"")</f>
        <v/>
      </c>
      <c r="U19" s="20">
        <f>IFERROR(T19*(1+변수!U27),"")</f>
        <v/>
      </c>
      <c r="V19" s="20">
        <f>IFERROR(U19*(1+변수!V27),"")</f>
        <v/>
      </c>
      <c r="W19" s="38">
        <f>V19</f>
        <v/>
      </c>
    </row>
    <row r="20">
      <c r="A20" s="12" t="inlineStr">
        <is>
          <t>자본총계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자본총계</t>
        </is>
      </c>
      <c r="E20" s="18">
        <f>IFERROR(VLOOKUP($D20,BS별도,MATCH(E$1,BS별도H,0),0)/100,"")</f>
        <v/>
      </c>
      <c r="F20" s="18">
        <f>IFERROR(VLOOKUP($D20,BS별도,MATCH(F$1,BS별도H,0),0)/100,"")</f>
        <v/>
      </c>
      <c r="G20" s="18">
        <f>IFERROR(VLOOKUP($D20,BS별도,MATCH(G$1,BS별도H,0),0)/100,"")</f>
        <v/>
      </c>
      <c r="H20" s="37" t="n">
        <v>482.35</v>
      </c>
      <c r="I20" s="18">
        <f>IFERROR(VLOOKUP($D20,BS별도,MATCH(I$1,BS별도H,0),0)/100,"")</f>
        <v/>
      </c>
      <c r="J20" s="19">
        <f>IFERROR(VLOOKUP($D20,BS별도,MATCH(J$1,BS별도H,0),0)/100,"")</f>
        <v/>
      </c>
      <c r="K20" s="20">
        <f>IFERROR(J20+K16-변수!K28,"")</f>
        <v/>
      </c>
      <c r="L20" s="20">
        <f>IFERROR(K20+L16-변수!L28,"")</f>
        <v/>
      </c>
      <c r="M20" s="38">
        <f>L20</f>
        <v/>
      </c>
      <c r="N20" s="20">
        <f>IFERROR(L20+N16-변수!N28,"")</f>
        <v/>
      </c>
      <c r="O20" s="20">
        <f>IFERROR(N20+O16-변수!O28,"")</f>
        <v/>
      </c>
      <c r="P20" s="20">
        <f>IFERROR(O20+P16-변수!P28,"")</f>
        <v/>
      </c>
      <c r="Q20" s="20">
        <f>IFERROR(P20+Q16-변수!Q28,"")</f>
        <v/>
      </c>
      <c r="R20" s="38">
        <f>Q20</f>
        <v/>
      </c>
      <c r="S20" s="20">
        <f>IFERROR(Q20+S16-변수!S28,"")</f>
        <v/>
      </c>
      <c r="T20" s="20">
        <f>IFERROR(S20+T16-변수!T28,"")</f>
        <v/>
      </c>
      <c r="U20" s="20">
        <f>IFERROR(T20+U16-변수!U28,"")</f>
        <v/>
      </c>
      <c r="V20" s="20">
        <f>IFERROR(U20+V16-변수!V28,"")</f>
        <v/>
      </c>
      <c r="W20" s="38">
        <f>V20</f>
        <v/>
      </c>
    </row>
    <row r="21">
      <c r="A21" s="12" t="inlineStr">
        <is>
          <t>지배주주지분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지배주주지분</t>
        </is>
      </c>
      <c r="E21" s="18">
        <f>IFERROR(VLOOKUP($D21,BS별도,MATCH(E$1,BS별도H,0),0)/100,"")</f>
        <v/>
      </c>
      <c r="F21" s="18">
        <f>IFERROR(VLOOKUP($D21,BS별도,MATCH(F$1,BS별도H,0),0)/100,"")</f>
        <v/>
      </c>
      <c r="G21" s="18">
        <f>IFERROR(VLOOKUP($D21,BS별도,MATCH(G$1,BS별도H,0),0)/100,"")</f>
        <v/>
      </c>
      <c r="H21" s="37" t="n">
        <v>482.35</v>
      </c>
      <c r="I21" s="18">
        <f>IFERROR(VLOOKUP($D21,BS별도,MATCH(I$1,BS별도H,0),0)/100,"")</f>
        <v/>
      </c>
      <c r="J21" s="19">
        <f>IFERROR(VLOOKUP($D21,BS별도,MATCH(J$1,BS별도H,0),0)/100,"")</f>
        <v/>
      </c>
      <c r="K21" s="20">
        <f>IFERROR(J21+K17-변수!K29,"")</f>
        <v/>
      </c>
      <c r="L21" s="20">
        <f>IFERROR(K21+L17-변수!L29,"")</f>
        <v/>
      </c>
      <c r="M21" s="38">
        <f>L21</f>
        <v/>
      </c>
      <c r="N21" s="20">
        <f>IFERROR(L21+N17-변수!N29,"")</f>
        <v/>
      </c>
      <c r="O21" s="20">
        <f>IFERROR(N21+O17-변수!O29,"")</f>
        <v/>
      </c>
      <c r="P21" s="20">
        <f>IFERROR(O21+P17-변수!P29,"")</f>
        <v/>
      </c>
      <c r="Q21" s="20">
        <f>IFERROR(P21+Q17-변수!Q29,"")</f>
        <v/>
      </c>
      <c r="R21" s="38">
        <f>Q21</f>
        <v/>
      </c>
      <c r="S21" s="20">
        <f>IFERROR(Q21+S17-변수!S29,"")</f>
        <v/>
      </c>
      <c r="T21" s="20">
        <f>IFERROR(S21+T17-변수!T29,"")</f>
        <v/>
      </c>
      <c r="U21" s="20">
        <f>IFERROR(T21+U17-변수!U29,"")</f>
        <v/>
      </c>
      <c r="V21" s="20">
        <f>IFERROR(U21+V17-변수!V29,"")</f>
        <v/>
      </c>
      <c r="W21" s="38">
        <f>V21</f>
        <v/>
      </c>
    </row>
    <row r="22">
      <c r="A22" s="12" t="inlineStr">
        <is>
          <t>총차입금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총차입금</t>
        </is>
      </c>
      <c r="E22" s="18">
        <f>IFERROR(VLOOKUP($D22,BS별도,MATCH(E$1,BS별도H,0),0)/100,"")</f>
        <v/>
      </c>
      <c r="F22" s="18">
        <f>IFERROR(VLOOKUP($D22,BS별도,MATCH(F$1,BS별도H,0),0)/100,"")</f>
        <v/>
      </c>
      <c r="G22" s="18">
        <f>IFERROR(VLOOKUP($D22,BS별도,MATCH(G$1,BS별도H,0),0)/100,"")</f>
        <v/>
      </c>
      <c r="H22" s="37" t="n">
        <v>80</v>
      </c>
      <c r="I22" s="18">
        <f>IFERROR(VLOOKUP($D22,BS별도,MATCH(I$1,BS별도H,0),0)/100,"")</f>
        <v/>
      </c>
      <c r="J22" s="19">
        <f>IFERROR(VLOOKUP($D22,BS별도,MATCH(J$1,BS별도H,0),0)/100,"")</f>
        <v/>
      </c>
      <c r="K22" s="20">
        <f>IFERROR(J22*(1+변수!K30),"")</f>
        <v/>
      </c>
      <c r="L22" s="20">
        <f>IFERROR(K22*(1+변수!L30),"")</f>
        <v/>
      </c>
      <c r="M22" s="38">
        <f>L22</f>
        <v/>
      </c>
      <c r="N22" s="20">
        <f>IFERROR(L22*(1+변수!N30),"")</f>
        <v/>
      </c>
      <c r="O22" s="20">
        <f>IFERROR(N22*(1+변수!O30),"")</f>
        <v/>
      </c>
      <c r="P22" s="20">
        <f>IFERROR(O22*(1+변수!P30),"")</f>
        <v/>
      </c>
      <c r="Q22" s="20">
        <f>IFERROR(P22*(1+변수!Q30),"")</f>
        <v/>
      </c>
      <c r="R22" s="38">
        <f>Q22</f>
        <v/>
      </c>
      <c r="S22" s="20">
        <f>IFERROR(Q22*(1+변수!S30),"")</f>
        <v/>
      </c>
      <c r="T22" s="20">
        <f>IFERROR(S22*(1+변수!T30),"")</f>
        <v/>
      </c>
      <c r="U22" s="20">
        <f>IFERROR(T22*(1+변수!U30),"")</f>
        <v/>
      </c>
      <c r="V22" s="20">
        <f>IFERROR(U22*(1+변수!V30),"")</f>
        <v/>
      </c>
      <c r="W22" s="38">
        <f>V22</f>
        <v/>
      </c>
    </row>
    <row r="23">
      <c r="A23" s="12" t="inlineStr">
        <is>
          <t>순차입금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순차입금</t>
        </is>
      </c>
      <c r="E23" s="18">
        <f>IFERROR(VLOOKUP($D23,BS별도,MATCH(E$1,BS별도H,0),0)/100,"")</f>
        <v/>
      </c>
      <c r="F23" s="18">
        <f>IFERROR(VLOOKUP($D23,BS별도,MATCH(F$1,BS별도H,0),0)/100,"")</f>
        <v/>
      </c>
      <c r="G23" s="18">
        <f>IFERROR(VLOOKUP($D23,BS별도,MATCH(G$1,BS별도H,0),0)/100,"")</f>
        <v/>
      </c>
      <c r="H23" s="37" t="n">
        <v>-17.02</v>
      </c>
      <c r="I23" s="18">
        <f>IFERROR(VLOOKUP($D23,BS별도,MATCH(I$1,BS별도H,0),0)/100,"")</f>
        <v/>
      </c>
      <c r="J23" s="19">
        <f>IFERROR(VLOOKUP($D23,BS별도,MATCH(J$1,BS별도H,0),0)/100,"")</f>
        <v/>
      </c>
      <c r="K23" s="20">
        <f>IFERROR(J23*(1+변수!K31),"")</f>
        <v/>
      </c>
      <c r="L23" s="20">
        <f>IFERROR(K23*(1+변수!L31),"")</f>
        <v/>
      </c>
      <c r="M23" s="38">
        <f>L23</f>
        <v/>
      </c>
      <c r="N23" s="20">
        <f>IFERROR(L23*(1+변수!N31),"")</f>
        <v/>
      </c>
      <c r="O23" s="20">
        <f>IFERROR(N23*(1+변수!O31),"")</f>
        <v/>
      </c>
      <c r="P23" s="20">
        <f>IFERROR(O23*(1+변수!P31),"")</f>
        <v/>
      </c>
      <c r="Q23" s="20">
        <f>IFERROR(P23*(1+변수!Q31),"")</f>
        <v/>
      </c>
      <c r="R23" s="38">
        <f>Q23</f>
        <v/>
      </c>
      <c r="S23" s="20">
        <f>IFERROR(Q23*(1+변수!S31),"")</f>
        <v/>
      </c>
      <c r="T23" s="20">
        <f>IFERROR(S23*(1+변수!T31),"")</f>
        <v/>
      </c>
      <c r="U23" s="20">
        <f>IFERROR(T23*(1+변수!U31),"")</f>
        <v/>
      </c>
      <c r="V23" s="20">
        <f>IFERROR(U23*(1+변수!V31),"")</f>
        <v/>
      </c>
      <c r="W23" s="38">
        <f>V23</f>
        <v/>
      </c>
    </row>
    <row r="24">
      <c r="A24" s="12" t="inlineStr">
        <is>
          <t>이자발생자산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이자발생자산</t>
        </is>
      </c>
      <c r="E24" s="18">
        <f>IFERROR(VLOOKUP($D24,BS별도,MATCH(E$1,BS별도H,0),0)/100,"")</f>
        <v/>
      </c>
      <c r="F24" s="18">
        <f>IFERROR(VLOOKUP($D24,BS별도,MATCH(F$1,BS별도H,0),0)/100,"")</f>
        <v/>
      </c>
      <c r="G24" s="18">
        <f>IFERROR(VLOOKUP($D24,BS별도,MATCH(G$1,BS별도H,0),0)/100,"")</f>
        <v/>
      </c>
      <c r="H24" s="37" t="n">
        <v>128.74</v>
      </c>
      <c r="I24" s="18">
        <f>IFERROR(VLOOKUP($D24,BS별도,MATCH(I$1,BS별도H,0),0)/100,"")</f>
        <v/>
      </c>
      <c r="J24" s="19">
        <f>IFERROR(VLOOKUP($D24,BS별도,MATCH(J$1,BS별도H,0),0)/100,"")</f>
        <v/>
      </c>
      <c r="K24" s="20">
        <f>IFERROR(J24*(1+변수!K32),"")</f>
        <v/>
      </c>
      <c r="L24" s="20">
        <f>IFERROR(K24*(1+변수!L32),"")</f>
        <v/>
      </c>
      <c r="M24" s="38">
        <f>L24</f>
        <v/>
      </c>
      <c r="N24" s="20">
        <f>IFERROR(L24*(1+변수!N32),"")</f>
        <v/>
      </c>
      <c r="O24" s="20">
        <f>IFERROR(N24*(1+변수!O32),"")</f>
        <v/>
      </c>
      <c r="P24" s="20">
        <f>IFERROR(O24*(1+변수!P32),"")</f>
        <v/>
      </c>
      <c r="Q24" s="20">
        <f>IFERROR(P24*(1+변수!Q32),"")</f>
        <v/>
      </c>
      <c r="R24" s="38">
        <f>Q24</f>
        <v/>
      </c>
      <c r="S24" s="20">
        <f>IFERROR(Q24*(1+변수!S32),"")</f>
        <v/>
      </c>
      <c r="T24" s="20">
        <f>IFERROR(S24*(1+변수!T32),"")</f>
        <v/>
      </c>
      <c r="U24" s="20">
        <f>IFERROR(T24*(1+변수!U32),"")</f>
        <v/>
      </c>
      <c r="V24" s="20">
        <f>IFERROR(U24*(1+변수!V32),"")</f>
        <v/>
      </c>
      <c r="W24" s="38">
        <f>V24</f>
        <v/>
      </c>
    </row>
    <row r="25">
      <c r="A25" s="12" t="inlineStr">
        <is>
          <t>현금및현금성자산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현금및현금성자산</t>
        </is>
      </c>
      <c r="E25" s="18">
        <f>IFERROR(VLOOKUP($D25,BS별도,MATCH(E$1,BS별도H,0),0)/100,"")</f>
        <v/>
      </c>
      <c r="F25" s="18">
        <f>IFERROR(VLOOKUP($D25,BS별도,MATCH(F$1,BS별도H,0),0)/100,"")</f>
        <v/>
      </c>
      <c r="G25" s="18">
        <f>IFERROR(VLOOKUP($D25,BS별도,MATCH(G$1,BS별도H,0),0)/100,"")</f>
        <v/>
      </c>
      <c r="H25" s="37" t="n">
        <v>44.28</v>
      </c>
      <c r="I25" s="18">
        <f>IFERROR(VLOOKUP($D25,BS별도,MATCH(I$1,BS별도H,0),0)/100,"")</f>
        <v/>
      </c>
      <c r="J25" s="19">
        <f>IFERROR(VLOOKUP($D25,BS별도,MATCH(J$1,BS별도H,0),0)/100,"")</f>
        <v/>
      </c>
      <c r="K25" s="20" t="n"/>
      <c r="L25" s="20" t="n"/>
      <c r="M25" s="38">
        <f>L25</f>
        <v/>
      </c>
      <c r="N25" s="20" t="n"/>
      <c r="O25" s="20" t="n"/>
      <c r="P25" s="20" t="n"/>
      <c r="Q25" s="20" t="n"/>
      <c r="R25" s="38">
        <f>Q25</f>
        <v/>
      </c>
      <c r="S25" s="20" t="n"/>
      <c r="T25" s="20" t="n"/>
      <c r="U25" s="20" t="n"/>
      <c r="V25" s="20" t="n"/>
      <c r="W25" s="38">
        <f>V25</f>
        <v/>
      </c>
    </row>
    <row r="26">
      <c r="A26" s="12" t="inlineStr">
        <is>
          <t>CAPEX</t>
        </is>
      </c>
      <c r="B26" t="inlineStr">
        <is>
          <t>현금흐름</t>
        </is>
      </c>
      <c r="C26" t="inlineStr">
        <is>
          <t>억원</t>
        </is>
      </c>
      <c r="D26" t="inlineStr">
        <is>
          <t>CAPEX</t>
        </is>
      </c>
      <c r="E26" s="18">
        <f>IFERROR(VLOOKUP($D26,BS별도,MATCH(E$1,BS별도H,0),0)/100,"")</f>
        <v/>
      </c>
      <c r="F26" s="18">
        <f>IFERROR(VLOOKUP($D26,BS별도,MATCH(F$1,BS별도H,0),0)/100,"")</f>
        <v/>
      </c>
      <c r="G26" s="18">
        <f>IFERROR(VLOOKUP($D26,BS별도,MATCH(G$1,BS별도H,0),0)/100,"")</f>
        <v/>
      </c>
      <c r="H26" s="37" t="n"/>
      <c r="I26" s="18">
        <f>IFERROR(VLOOKUP($D26,BS별도,MATCH(I$1,BS별도H,0),0)/100,"")</f>
        <v/>
      </c>
      <c r="J26" s="19">
        <f>IFERROR(VLOOKUP($D26,BS별도,MATCH(J$1,BS별도H,0),0)/100,"")</f>
        <v/>
      </c>
      <c r="K26" s="20">
        <f>IFERROR(F26*(1+변수!K34),"")</f>
        <v/>
      </c>
      <c r="L26" s="20">
        <f>IFERROR(G26*(1+변수!L34),"")</f>
        <v/>
      </c>
      <c r="M26" s="38">
        <f>SUM(I26:L26)</f>
        <v/>
      </c>
      <c r="N26" s="20">
        <f>IFERROR(I26*(1+변수!N34),"")</f>
        <v/>
      </c>
      <c r="O26" s="20">
        <f>IFERROR(J26*(1+변수!O34),"")</f>
        <v/>
      </c>
      <c r="P26" s="20">
        <f>IFERROR(K26*(1+변수!P34),"")</f>
        <v/>
      </c>
      <c r="Q26" s="20">
        <f>IFERROR(L26*(1+변수!Q34),"")</f>
        <v/>
      </c>
      <c r="R26" s="38">
        <f>SUM(N26:Q26)</f>
        <v/>
      </c>
      <c r="S26" s="20">
        <f>IFERROR(N26*(1+변수!S34),"")</f>
        <v/>
      </c>
      <c r="T26" s="20">
        <f>IFERROR(O26*(1+변수!T34),"")</f>
        <v/>
      </c>
      <c r="U26" s="20">
        <f>IFERROR(P26*(1+변수!U34),"")</f>
        <v/>
      </c>
      <c r="V26" s="20">
        <f>IFERROR(Q26*(1+변수!V34),"")</f>
        <v/>
      </c>
      <c r="W26" s="38">
        <f>SUM(S26:V26)</f>
        <v/>
      </c>
    </row>
    <row r="27">
      <c r="A27" s="12" t="inlineStr">
        <is>
          <t>영업활동현금흐름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영업활동으로인한현금흐름</t>
        </is>
      </c>
      <c r="E27" s="18">
        <f>IFERROR(VLOOKUP($D27,BS별도,MATCH(E$1,BS별도H,0),0)/100,"")</f>
        <v/>
      </c>
      <c r="F27" s="18">
        <f>IFERROR(VLOOKUP($D27,BS별도,MATCH(F$1,BS별도H,0),0)/100,"")</f>
        <v/>
      </c>
      <c r="G27" s="18">
        <f>IFERROR(VLOOKUP($D27,BS별도,MATCH(G$1,BS별도H,0),0)/100,"")</f>
        <v/>
      </c>
      <c r="H27" s="37" t="n"/>
      <c r="I27" s="18">
        <f>IFERROR(VLOOKUP($D27,BS별도,MATCH(I$1,BS별도H,0),0)/100,"")</f>
        <v/>
      </c>
      <c r="J27" s="19">
        <f>IFERROR(VLOOKUP($D27,BS별도,MATCH(J$1,BS별도H,0),0)/100,"")</f>
        <v/>
      </c>
      <c r="K27" s="20" t="n"/>
      <c r="L27" s="20" t="n"/>
      <c r="M27" s="38">
        <f>SUM(I27:L27)</f>
        <v/>
      </c>
      <c r="N27" s="20" t="n"/>
      <c r="O27" s="20" t="n"/>
      <c r="P27" s="20" t="n"/>
      <c r="Q27" s="20" t="n"/>
      <c r="R27" s="38">
        <f>SUM(N27:Q27)</f>
        <v/>
      </c>
      <c r="S27" s="20" t="n"/>
      <c r="T27" s="20" t="n"/>
      <c r="U27" s="20" t="n"/>
      <c r="V27" s="20" t="n"/>
      <c r="W27" s="38">
        <f>SUM(S27:V27)</f>
        <v/>
      </c>
    </row>
    <row r="28">
      <c r="A28" s="12" t="inlineStr">
        <is>
          <t>주식수</t>
        </is>
      </c>
      <c r="B28" t="inlineStr">
        <is>
          <t>주당</t>
        </is>
      </c>
      <c r="C28" t="inlineStr">
        <is>
          <t>백만주</t>
        </is>
      </c>
      <c r="D28" t="inlineStr">
        <is>
          <t>유통주식수</t>
        </is>
      </c>
      <c r="E28" s="27" t="n">
        <v>8.241</v>
      </c>
      <c r="F28" s="27" t="n">
        <v>8.241</v>
      </c>
      <c r="G28" s="27" t="n">
        <v>8.241</v>
      </c>
      <c r="H28" s="28">
        <f>G28</f>
        <v/>
      </c>
      <c r="I28" s="27" t="n">
        <v>8.241</v>
      </c>
      <c r="J28" s="29" t="n">
        <v>8.241</v>
      </c>
      <c r="K28" s="33">
        <f>IFERROR(J28*(1+변수!K36),"")</f>
        <v/>
      </c>
      <c r="L28" s="33">
        <f>IFERROR(K28*(1+변수!L36),"")</f>
        <v/>
      </c>
      <c r="M28" s="31">
        <f>L28</f>
        <v/>
      </c>
      <c r="N28" s="33">
        <f>IFERROR(L28*(1+변수!N36),"")</f>
        <v/>
      </c>
      <c r="O28" s="33">
        <f>IFERROR(N28*(1+변수!O36),"")</f>
        <v/>
      </c>
      <c r="P28" s="33">
        <f>IFERROR(O28*(1+변수!P36),"")</f>
        <v/>
      </c>
      <c r="Q28" s="33">
        <f>IFERROR(P28*(1+변수!Q36),"")</f>
        <v/>
      </c>
      <c r="R28" s="31">
        <f>Q28</f>
        <v/>
      </c>
      <c r="S28" s="33">
        <f>IFERROR(Q28*(1+변수!S36),"")</f>
        <v/>
      </c>
      <c r="T28" s="33">
        <f>IFERROR(S28*(1+변수!T36),"")</f>
        <v/>
      </c>
      <c r="U28" s="33">
        <f>IFERROR(T28*(1+변수!U36),"")</f>
        <v/>
      </c>
      <c r="V28" s="33">
        <f>IFERROR(U28*(1+변수!V36),"")</f>
        <v/>
      </c>
      <c r="W28" s="31">
        <f>V28</f>
        <v/>
      </c>
    </row>
    <row r="29">
      <c r="A29" s="12" t="inlineStr">
        <is>
          <t>EPS</t>
        </is>
      </c>
      <c r="B29" t="inlineStr">
        <is>
          <t>주당</t>
        </is>
      </c>
      <c r="C29" t="inlineStr">
        <is>
          <t>원</t>
        </is>
      </c>
      <c r="D29" t="inlineStr">
        <is>
          <t>EPS</t>
        </is>
      </c>
      <c r="E29" s="18">
        <f>IFERROR(E17*100/E28,"")</f>
        <v/>
      </c>
      <c r="F29" s="18">
        <f>IFERROR(F17*100/F28,"")</f>
        <v/>
      </c>
      <c r="G29" s="18">
        <f>IFERROR(G17*100/G28,"")</f>
        <v/>
      </c>
      <c r="H29" s="37" t="n"/>
      <c r="I29" s="18">
        <f>IFERROR(I17*100/I28,"")</f>
        <v/>
      </c>
      <c r="J29" s="19">
        <f>IFERROR(J17*100/J28,"")</f>
        <v/>
      </c>
      <c r="K29" s="20">
        <f>IFERROR(K17*100/K28,"")</f>
        <v/>
      </c>
      <c r="L29" s="20">
        <f>IFERROR(L17*100/L28,"")</f>
        <v/>
      </c>
      <c r="M29" s="38">
        <f>SUM(I29:L29)</f>
        <v/>
      </c>
      <c r="N29" s="20">
        <f>IFERROR(N17*100/N28,"")</f>
        <v/>
      </c>
      <c r="O29" s="20">
        <f>IFERROR(O17*100/O28,"")</f>
        <v/>
      </c>
      <c r="P29" s="20">
        <f>IFERROR(P17*100/P28,"")</f>
        <v/>
      </c>
      <c r="Q29" s="20">
        <f>IFERROR(Q17*100/Q28,"")</f>
        <v/>
      </c>
      <c r="R29" s="38">
        <f>SUM(N29:Q29)</f>
        <v/>
      </c>
      <c r="S29" s="20">
        <f>IFERROR(S17*100/S28,"")</f>
        <v/>
      </c>
      <c r="T29" s="20">
        <f>IFERROR(T17*100/T28,"")</f>
        <v/>
      </c>
      <c r="U29" s="20">
        <f>IFERROR(U17*100/U28,"")</f>
        <v/>
      </c>
      <c r="V29" s="20">
        <f>IFERROR(V17*100/V28,"")</f>
        <v/>
      </c>
      <c r="W29" s="38">
        <f>SUM(S29:V29)</f>
        <v/>
      </c>
    </row>
    <row r="30">
      <c r="A30" s="12" t="inlineStr">
        <is>
          <t>BPS</t>
        </is>
      </c>
      <c r="B30" t="inlineStr">
        <is>
          <t>주당</t>
        </is>
      </c>
      <c r="C30" t="inlineStr">
        <is>
          <t>원</t>
        </is>
      </c>
      <c r="D30" t="inlineStr">
        <is>
          <t>BPS</t>
        </is>
      </c>
      <c r="E30" s="18">
        <f>IFERROR(E21*100/E28,"")</f>
        <v/>
      </c>
      <c r="F30" s="18">
        <f>IFERROR(F21*100/F28,"")</f>
        <v/>
      </c>
      <c r="G30" s="18">
        <f>IFERROR(G21*100/G28,"")</f>
        <v/>
      </c>
      <c r="H30" s="37">
        <f>G30</f>
        <v/>
      </c>
      <c r="I30" s="18">
        <f>IFERROR(I21*100/I28,"")</f>
        <v/>
      </c>
      <c r="J30" s="19">
        <f>IFERROR(J21*100/J28,"")</f>
        <v/>
      </c>
      <c r="K30" s="20">
        <f>IFERROR(K21*100/K28,"")</f>
        <v/>
      </c>
      <c r="L30" s="20">
        <f>IFERROR(L21*100/L28,"")</f>
        <v/>
      </c>
      <c r="M30" s="38">
        <f>L30</f>
        <v/>
      </c>
      <c r="N30" s="20">
        <f>IFERROR(N21*100/N28,"")</f>
        <v/>
      </c>
      <c r="O30" s="20">
        <f>IFERROR(O21*100/O28,"")</f>
        <v/>
      </c>
      <c r="P30" s="20">
        <f>IFERROR(P21*100/P28,"")</f>
        <v/>
      </c>
      <c r="Q30" s="20">
        <f>IFERROR(Q21*100/Q28,"")</f>
        <v/>
      </c>
      <c r="R30" s="38">
        <f>Q30</f>
        <v/>
      </c>
      <c r="S30" s="20">
        <f>IFERROR(S21*100/S28,"")</f>
        <v/>
      </c>
      <c r="T30" s="20">
        <f>IFERROR(T21*100/T28,"")</f>
        <v/>
      </c>
      <c r="U30" s="20">
        <f>IFERROR(U21*100/U28,"")</f>
        <v/>
      </c>
      <c r="V30" s="20">
        <f>IFERROR(V21*100/V28,"")</f>
        <v/>
      </c>
      <c r="W30" s="38">
        <f>V30</f>
        <v/>
      </c>
    </row>
    <row r="31">
      <c r="A31" s="12" t="inlineStr">
        <is>
          <t>DPS</t>
        </is>
      </c>
      <c r="B31" t="inlineStr">
        <is>
          <t>주당</t>
        </is>
      </c>
      <c r="C31" t="inlineStr">
        <is>
          <t>원</t>
        </is>
      </c>
      <c r="D31" t="inlineStr">
        <is>
          <t>DPS(보통주)</t>
        </is>
      </c>
      <c r="E31" s="18" t="n"/>
      <c r="F31" s="18" t="n"/>
      <c r="G31" s="18" t="n">
        <v>0</v>
      </c>
      <c r="H31" s="37" t="n">
        <v>0</v>
      </c>
      <c r="I31" s="18" t="n"/>
      <c r="J31" s="19" t="n"/>
      <c r="K31" s="20" t="n"/>
      <c r="L31" s="20">
        <f>변수!L37</f>
        <v/>
      </c>
      <c r="M31" s="38">
        <f>SUM(I31:L31)</f>
        <v/>
      </c>
      <c r="N31" s="20" t="n"/>
      <c r="O31" s="20" t="n"/>
      <c r="P31" s="20" t="n"/>
      <c r="Q31" s="20">
        <f>변수!Q37</f>
        <v/>
      </c>
      <c r="R31" s="38">
        <f>SUM(N31:Q31)</f>
        <v/>
      </c>
      <c r="S31" s="20" t="n"/>
      <c r="T31" s="20" t="n"/>
      <c r="U31" s="20" t="n"/>
      <c r="V31" s="20">
        <f>변수!V37</f>
        <v/>
      </c>
      <c r="W31" s="38">
        <f>SUM(S31:V31)</f>
        <v/>
      </c>
    </row>
    <row r="32">
      <c r="A32" s="12" t="inlineStr">
        <is>
          <t>PER</t>
        </is>
      </c>
      <c r="B32" t="inlineStr">
        <is>
          <t>주당</t>
        </is>
      </c>
      <c r="C32" t="inlineStr">
        <is>
          <t>배</t>
        </is>
      </c>
      <c r="D32" t="inlineStr">
        <is>
          <t>PER</t>
        </is>
      </c>
      <c r="E32" s="13" t="n"/>
      <c r="F32" s="13" t="n"/>
      <c r="G32" s="13" t="n"/>
      <c r="H32" s="14">
        <f>G32</f>
        <v/>
      </c>
      <c r="I32" s="13" t="n"/>
      <c r="J32" s="15">
        <f>IFERROR(변수!J18/(F29+G29+I29+J29),"")</f>
        <v/>
      </c>
      <c r="K32" s="39">
        <f>IFERROR(변수!$D$40/(G29+I29+J29+K29),"")</f>
        <v/>
      </c>
      <c r="L32" s="39" t="n"/>
      <c r="M32" s="40">
        <f>L32</f>
        <v/>
      </c>
      <c r="N32" s="39" t="n"/>
      <c r="O32" s="39" t="n"/>
      <c r="P32" s="39" t="n"/>
      <c r="Q32" s="39" t="n"/>
      <c r="R32" s="40">
        <f>Q32</f>
        <v/>
      </c>
      <c r="S32" s="39" t="n"/>
      <c r="T32" s="39" t="n"/>
      <c r="U32" s="39" t="n"/>
      <c r="V32" s="39" t="n"/>
      <c r="W32" s="40">
        <f>V32</f>
        <v/>
      </c>
    </row>
    <row r="33">
      <c r="A33" s="12" t="inlineStr">
        <is>
          <t>PBR</t>
        </is>
      </c>
      <c r="B33" t="inlineStr">
        <is>
          <t>주당</t>
        </is>
      </c>
      <c r="C33" t="inlineStr">
        <is>
          <t>배</t>
        </is>
      </c>
      <c r="D33" t="inlineStr">
        <is>
          <t>PBR</t>
        </is>
      </c>
      <c r="E33" s="13">
        <f>IFERROR(변수!E18/E30,"")</f>
        <v/>
      </c>
      <c r="F33" s="13">
        <f>IFERROR(변수!F18/F30,"")</f>
        <v/>
      </c>
      <c r="G33" s="13">
        <f>IFERROR(변수!G18/G30,"")</f>
        <v/>
      </c>
      <c r="H33" s="14">
        <f>G33</f>
        <v/>
      </c>
      <c r="I33" s="13">
        <f>IFERROR(변수!I18/I30,"")</f>
        <v/>
      </c>
      <c r="J33" s="15">
        <f>IFERROR(변수!J18/J30,"")</f>
        <v/>
      </c>
      <c r="K33" s="39">
        <f>IFERROR(변수!$D$40/K30,"")</f>
        <v/>
      </c>
      <c r="L33" s="39">
        <f>IFERROR(변수!$D$40/L30,"")</f>
        <v/>
      </c>
      <c r="M33" s="40">
        <f>L33</f>
        <v/>
      </c>
      <c r="N33" s="39">
        <f>IFERROR(변수!$D$40/N30,"")</f>
        <v/>
      </c>
      <c r="O33" s="39">
        <f>IFERROR(변수!$D$40/O30,"")</f>
        <v/>
      </c>
      <c r="P33" s="39">
        <f>IFERROR(변수!$D$40/P30,"")</f>
        <v/>
      </c>
      <c r="Q33" s="39">
        <f>IFERROR(변수!$D$40/Q30,"")</f>
        <v/>
      </c>
      <c r="R33" s="40">
        <f>Q33</f>
        <v/>
      </c>
      <c r="S33" s="39">
        <f>IFERROR(변수!$D$40/S30,"")</f>
        <v/>
      </c>
      <c r="T33" s="39">
        <f>IFERROR(변수!$D$40/T30,"")</f>
        <v/>
      </c>
      <c r="U33" s="39">
        <f>IFERROR(변수!$D$40/U30,"")</f>
        <v/>
      </c>
      <c r="V33" s="39">
        <f>IFERROR(변수!$D$40/V30,"")</f>
        <v/>
      </c>
      <c r="W33" s="40">
        <f>V33</f>
        <v/>
      </c>
    </row>
    <row r="34">
      <c r="A34" s="12" t="inlineStr">
        <is>
          <t>매출전사</t>
        </is>
      </c>
      <c r="B34" t="inlineStr">
        <is>
          <t>사업부</t>
        </is>
      </c>
      <c r="C34" t="inlineStr">
        <is>
          <t>억원</t>
        </is>
      </c>
      <c r="D34" t="inlineStr">
        <is>
          <t>매출 전사(부문 미분리)</t>
        </is>
      </c>
      <c r="E34" s="18" t="n">
        <v>68.89</v>
      </c>
      <c r="F34" s="18" t="n">
        <v>42.66</v>
      </c>
      <c r="G34" s="18" t="n">
        <v>116.45</v>
      </c>
      <c r="H34" s="37" t="n"/>
      <c r="I34" s="18" t="n">
        <v>39.88</v>
      </c>
      <c r="J34" s="19" t="n">
        <v>99.52</v>
      </c>
      <c r="K34" s="20">
        <f>IFERROR(K5,"")</f>
        <v/>
      </c>
      <c r="L34" s="20">
        <f>IFERROR(L5,"")</f>
        <v/>
      </c>
      <c r="M34" s="38">
        <f>SUM(I34:L34)</f>
        <v/>
      </c>
      <c r="N34" s="20">
        <f>IFERROR(N5,"")</f>
        <v/>
      </c>
      <c r="O34" s="20">
        <f>IFERROR(O5,"")</f>
        <v/>
      </c>
      <c r="P34" s="20">
        <f>IFERROR(P5,"")</f>
        <v/>
      </c>
      <c r="Q34" s="20">
        <f>IFERROR(Q5,"")</f>
        <v/>
      </c>
      <c r="R34" s="38">
        <f>SUM(N34:Q34)</f>
        <v/>
      </c>
      <c r="S34" s="20">
        <f>IFERROR(S5,"")</f>
        <v/>
      </c>
      <c r="T34" s="20">
        <f>IFERROR(T5,"")</f>
        <v/>
      </c>
      <c r="U34" s="20">
        <f>IFERROR(U5,"")</f>
        <v/>
      </c>
      <c r="V34" s="20">
        <f>IFERROR(V5,"")</f>
        <v/>
      </c>
      <c r="W34" s="38">
        <f>SUM(S34:V34)</f>
        <v/>
      </c>
    </row>
    <row r="35">
      <c r="A35" s="12" t="inlineStr">
        <is>
          <t>OP전사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OP 전사(부문 미분리)</t>
        </is>
      </c>
      <c r="E35" s="18" t="n">
        <v>-20.83</v>
      </c>
      <c r="F35" s="18" t="n">
        <v>-10.14</v>
      </c>
      <c r="G35" s="18" t="n">
        <v>9.48</v>
      </c>
      <c r="H35" s="37" t="n"/>
      <c r="I35" s="18" t="n">
        <v>-20.14</v>
      </c>
      <c r="J35" s="19" t="n">
        <v>5.43</v>
      </c>
      <c r="K35" s="20">
        <f>IFERROR(K9,"")</f>
        <v/>
      </c>
      <c r="L35" s="20">
        <f>IFERROR(L9,"")</f>
        <v/>
      </c>
      <c r="M35" s="38">
        <f>SUM(I35:L35)</f>
        <v/>
      </c>
      <c r="N35" s="20">
        <f>IFERROR(N9,"")</f>
        <v/>
      </c>
      <c r="O35" s="20">
        <f>IFERROR(O9,"")</f>
        <v/>
      </c>
      <c r="P35" s="20">
        <f>IFERROR(P9,"")</f>
        <v/>
      </c>
      <c r="Q35" s="20">
        <f>IFERROR(Q9,"")</f>
        <v/>
      </c>
      <c r="R35" s="38">
        <f>SUM(N35:Q35)</f>
        <v/>
      </c>
      <c r="S35" s="20">
        <f>IFERROR(S9,"")</f>
        <v/>
      </c>
      <c r="T35" s="20">
        <f>IFERROR(T9,"")</f>
        <v/>
      </c>
      <c r="U35" s="20">
        <f>IFERROR(U9,"")</f>
        <v/>
      </c>
      <c r="V35" s="20">
        <f>IFERROR(V9,"")</f>
        <v/>
      </c>
      <c r="W35" s="38">
        <f>SUM(S35:V35)</f>
        <v/>
      </c>
    </row>
    <row r="36">
      <c r="B36" s="2" t="inlineStr">
        <is>
          <t>비율(참고)</t>
        </is>
      </c>
      <c r="H36" s="9" t="n"/>
      <c r="J36" s="5" t="n"/>
      <c r="K36" s="10" t="n"/>
      <c r="L36" s="10" t="n"/>
      <c r="M36" s="11" t="n"/>
      <c r="N36" s="10" t="n"/>
      <c r="O36" s="10" t="n"/>
      <c r="P36" s="10" t="n"/>
      <c r="Q36" s="10" t="n"/>
      <c r="R36" s="11" t="n"/>
      <c r="S36" s="10" t="n"/>
      <c r="T36" s="10" t="n"/>
      <c r="U36" s="10" t="n"/>
      <c r="V36" s="10" t="n"/>
      <c r="W36" s="11" t="n"/>
    </row>
    <row r="37">
      <c r="A37" s="12" t="inlineStr">
        <is>
          <t>NPM</t>
        </is>
      </c>
      <c r="C37" t="inlineStr">
        <is>
          <t>%</t>
        </is>
      </c>
      <c r="D37" t="inlineStr">
        <is>
          <t>지배주주순이익 / 매출액</t>
        </is>
      </c>
      <c r="E37" s="21">
        <f>IFERROR(E17/E5,"")</f>
        <v/>
      </c>
      <c r="F37" s="21">
        <f>IFERROR(F17/F5,"")</f>
        <v/>
      </c>
      <c r="G37" s="21">
        <f>IFERROR(G17/G5,"")</f>
        <v/>
      </c>
      <c r="H37" s="22">
        <f>IFERROR(H17/H5,"")</f>
        <v/>
      </c>
      <c r="I37" s="21">
        <f>IFERROR(I17/I5,"")</f>
        <v/>
      </c>
      <c r="J37" s="23">
        <f>IFERROR(J17/J5,"")</f>
        <v/>
      </c>
      <c r="K37" s="32">
        <f>IFERROR(K17/K5,"")</f>
        <v/>
      </c>
      <c r="L37" s="32">
        <f>IFERROR(L17/L5,"")</f>
        <v/>
      </c>
      <c r="M37" s="25">
        <f>IFERROR(M17/M5,"")</f>
        <v/>
      </c>
      <c r="N37" s="32">
        <f>IFERROR(N17/N5,"")</f>
        <v/>
      </c>
      <c r="O37" s="32">
        <f>IFERROR(O17/O5,"")</f>
        <v/>
      </c>
      <c r="P37" s="32">
        <f>IFERROR(P17/P5,"")</f>
        <v/>
      </c>
      <c r="Q37" s="32">
        <f>IFERROR(Q17/Q5,"")</f>
        <v/>
      </c>
      <c r="R37" s="25">
        <f>IFERROR(R17/R5,"")</f>
        <v/>
      </c>
      <c r="S37" s="32">
        <f>IFERROR(S17/S5,"")</f>
        <v/>
      </c>
      <c r="T37" s="32">
        <f>IFERROR(T17/T5,"")</f>
        <v/>
      </c>
      <c r="U37" s="32">
        <f>IFERROR(U17/U5,"")</f>
        <v/>
      </c>
      <c r="V37" s="32">
        <f>IFERROR(V17/V5,"")</f>
        <v/>
      </c>
      <c r="W37" s="25">
        <f>IFERROR(W17/W5,"")</f>
        <v/>
      </c>
    </row>
    <row r="38">
      <c r="A38" s="12" t="inlineStr">
        <is>
          <t>매출원가율</t>
        </is>
      </c>
      <c r="C38" t="inlineStr">
        <is>
          <t>%</t>
        </is>
      </c>
      <c r="D38" t="inlineStr">
        <is>
          <t>매출원가 / 매출액</t>
        </is>
      </c>
      <c r="E38" s="21">
        <f>IFERROR(E6/E5,"")</f>
        <v/>
      </c>
      <c r="F38" s="21">
        <f>IFERROR(F6/F5,"")</f>
        <v/>
      </c>
      <c r="G38" s="21">
        <f>IFERROR(G6/G5,"")</f>
        <v/>
      </c>
      <c r="H38" s="22">
        <f>IFERROR(H6/H5,"")</f>
        <v/>
      </c>
      <c r="I38" s="21">
        <f>IFERROR(I6/I5,"")</f>
        <v/>
      </c>
      <c r="J38" s="23">
        <f>IFERROR(J6/J5,"")</f>
        <v/>
      </c>
      <c r="K38" s="32">
        <f>IFERROR(K6/K5,"")</f>
        <v/>
      </c>
      <c r="L38" s="32">
        <f>IFERROR(L6/L5,"")</f>
        <v/>
      </c>
      <c r="M38" s="25">
        <f>IFERROR(M6/M5,"")</f>
        <v/>
      </c>
      <c r="N38" s="32">
        <f>IFERROR(N6/N5,"")</f>
        <v/>
      </c>
      <c r="O38" s="32">
        <f>IFERROR(O6/O5,"")</f>
        <v/>
      </c>
      <c r="P38" s="32">
        <f>IFERROR(P6/P5,"")</f>
        <v/>
      </c>
      <c r="Q38" s="32">
        <f>IFERROR(Q6/Q5,"")</f>
        <v/>
      </c>
      <c r="R38" s="25">
        <f>IFERROR(R6/R5,"")</f>
        <v/>
      </c>
      <c r="S38" s="32">
        <f>IFERROR(S6/S5,"")</f>
        <v/>
      </c>
      <c r="T38" s="32">
        <f>IFERROR(T6/T5,"")</f>
        <v/>
      </c>
      <c r="U38" s="32">
        <f>IFERROR(U6/U5,"")</f>
        <v/>
      </c>
      <c r="V38" s="32">
        <f>IFERROR(V6/V5,"")</f>
        <v/>
      </c>
      <c r="W38" s="25">
        <f>IFERROR(W6/W5,"")</f>
        <v/>
      </c>
    </row>
    <row r="39">
      <c r="A39" s="12" t="inlineStr">
        <is>
          <t>판관비율</t>
        </is>
      </c>
      <c r="C39" t="inlineStr">
        <is>
          <t>%</t>
        </is>
      </c>
      <c r="D39" t="inlineStr">
        <is>
          <t>판관비 / 매출액</t>
        </is>
      </c>
      <c r="E39" s="21">
        <f>IFERROR(E8/E5,"")</f>
        <v/>
      </c>
      <c r="F39" s="21">
        <f>IFERROR(F8/F5,"")</f>
        <v/>
      </c>
      <c r="G39" s="21">
        <f>IFERROR(G8/G5,"")</f>
        <v/>
      </c>
      <c r="H39" s="22">
        <f>IFERROR(H8/H5,"")</f>
        <v/>
      </c>
      <c r="I39" s="21">
        <f>IFERROR(I8/I5,"")</f>
        <v/>
      </c>
      <c r="J39" s="23">
        <f>IFERROR(J8/J5,"")</f>
        <v/>
      </c>
      <c r="K39" s="32">
        <f>IFERROR(K8/K5,"")</f>
        <v/>
      </c>
      <c r="L39" s="32">
        <f>IFERROR(L8/L5,"")</f>
        <v/>
      </c>
      <c r="M39" s="25">
        <f>IFERROR(M8/M5,"")</f>
        <v/>
      </c>
      <c r="N39" s="32">
        <f>IFERROR(N8/N5,"")</f>
        <v/>
      </c>
      <c r="O39" s="32">
        <f>IFERROR(O8/O5,"")</f>
        <v/>
      </c>
      <c r="P39" s="32">
        <f>IFERROR(P8/P5,"")</f>
        <v/>
      </c>
      <c r="Q39" s="32">
        <f>IFERROR(Q8/Q5,"")</f>
        <v/>
      </c>
      <c r="R39" s="25">
        <f>IFERROR(R8/R5,"")</f>
        <v/>
      </c>
      <c r="S39" s="32">
        <f>IFERROR(S8/S5,"")</f>
        <v/>
      </c>
      <c r="T39" s="32">
        <f>IFERROR(T8/T5,"")</f>
        <v/>
      </c>
      <c r="U39" s="32">
        <f>IFERROR(U8/U5,"")</f>
        <v/>
      </c>
      <c r="V39" s="32">
        <f>IFERROR(V8/V5,"")</f>
        <v/>
      </c>
      <c r="W39" s="25">
        <f>IFERROR(W8/W5,"")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C1" s="2" t="inlineStr">
        <is>
          <t>이름: 분기H — subQ 를 이름으로 VLOOKUP(억원)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inlineStr">
        <is>
          <t>1Q26</t>
        </is>
      </c>
      <c r="I1" s="41" t="inlineStr">
        <is>
          <t>2Q26</t>
        </is>
      </c>
      <c r="J1" s="3" t="inlineStr">
        <is>
          <t>3Q26</t>
        </is>
      </c>
      <c r="K1" s="3" t="inlineStr">
        <is>
          <t>4Q26</t>
        </is>
      </c>
      <c r="L1" s="3" t="inlineStr">
        <is>
          <t>1Q27</t>
        </is>
      </c>
      <c r="M1" s="3" t="inlineStr">
        <is>
          <t>2Q27</t>
        </is>
      </c>
      <c r="N1" s="3" t="inlineStr">
        <is>
          <t>3Q27</t>
        </is>
      </c>
      <c r="O1" s="3" t="inlineStr">
        <is>
          <t>4Q27</t>
        </is>
      </c>
      <c r="P1" s="3" t="inlineStr">
        <is>
          <t>1Q28</t>
        </is>
      </c>
      <c r="Q1" s="3" t="inlineStr">
        <is>
          <t>2Q28</t>
        </is>
      </c>
      <c r="R1" s="3" t="inlineStr">
        <is>
          <t>3Q28</t>
        </is>
      </c>
      <c r="S1" s="3" t="inlineStr">
        <is>
          <t>4Q28</t>
        </is>
      </c>
    </row>
    <row r="2">
      <c r="C2" t="inlineStr">
        <is>
          <t>종가:</t>
        </is>
      </c>
      <c r="D2" s="18">
        <f>변수!D40</f>
        <v/>
      </c>
      <c r="I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</row>
    <row r="4"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2026.03</t>
        </is>
      </c>
      <c r="I4" s="44" t="inlineStr">
        <is>
          <t>2026.06</t>
        </is>
      </c>
      <c r="J4" s="7" t="inlineStr">
        <is>
          <t>2026.09</t>
        </is>
      </c>
      <c r="K4" s="7" t="inlineStr">
        <is>
          <t>2026.12</t>
        </is>
      </c>
      <c r="L4" s="7" t="inlineStr">
        <is>
          <t>2027.03</t>
        </is>
      </c>
      <c r="M4" s="7" t="inlineStr">
        <is>
          <t>2027.06</t>
        </is>
      </c>
      <c r="N4" s="7" t="inlineStr">
        <is>
          <t>2027.09</t>
        </is>
      </c>
      <c r="O4" s="7" t="inlineStr">
        <is>
          <t>2027.12</t>
        </is>
      </c>
      <c r="P4" s="7" t="inlineStr">
        <is>
          <t>2028.03</t>
        </is>
      </c>
      <c r="Q4" s="7" t="inlineStr">
        <is>
          <t>2028.06</t>
        </is>
      </c>
      <c r="R4" s="7" t="inlineStr">
        <is>
          <t>2028.09</t>
        </is>
      </c>
      <c r="S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  <c r="M5" s="20">
        <f>IFERROR(VLOOKUP($A5,subQ,MATCH(M$1,SUBQH,0),0),"")</f>
        <v/>
      </c>
      <c r="N5" s="20">
        <f>IFERROR(VLOOKUP($A5,subQ,MATCH(N$1,SUBQH,0),0),"")</f>
        <v/>
      </c>
      <c r="O5" s="20">
        <f>IFERROR(VLOOKUP($A5,subQ,MATCH(O$1,SUBQH,0),0),"")</f>
        <v/>
      </c>
      <c r="P5" s="20">
        <f>IFERROR(VLOOKUP($A5,subQ,MATCH(P$1,SUBQH,0),0),"")</f>
        <v/>
      </c>
      <c r="Q5" s="20">
        <f>IFERROR(VLOOKUP($A5,subQ,MATCH(Q$1,SUBQH,0),0),"")</f>
        <v/>
      </c>
      <c r="R5" s="20">
        <f>IFERROR(VLOOKUP($A5,subQ,MATCH(R$1,SUBQH,0),0),"")</f>
        <v/>
      </c>
      <c r="S5" s="20">
        <f>IFERROR(VLOOKUP($A5,subQ,MATCH(S$1,SUBQH,0),0),"")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  <c r="M6" s="20">
        <f>IFERROR(VLOOKUP($A6,subQ,MATCH(M$1,SUBQH,0),0),"")</f>
        <v/>
      </c>
      <c r="N6" s="20">
        <f>IFERROR(VLOOKUP($A6,subQ,MATCH(N$1,SUBQH,0),0),"")</f>
        <v/>
      </c>
      <c r="O6" s="20">
        <f>IFERROR(VLOOKUP($A6,subQ,MATCH(O$1,SUBQH,0),0),"")</f>
        <v/>
      </c>
      <c r="P6" s="20">
        <f>IFERROR(VLOOKUP($A6,subQ,MATCH(P$1,SUBQH,0),0),"")</f>
        <v/>
      </c>
      <c r="Q6" s="20">
        <f>IFERROR(VLOOKUP($A6,subQ,MATCH(Q$1,SUBQH,0),0),"")</f>
        <v/>
      </c>
      <c r="R6" s="20">
        <f>IFERROR(VLOOKUP($A6,subQ,MATCH(R$1,SUBQH,0),0),"")</f>
        <v/>
      </c>
      <c r="S6" s="20">
        <f>IFERROR(VLOOKUP($A6,subQ,MATCH(S$1,SUBQH,0),0),"")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  <c r="M7" s="20">
        <f>IFERROR(VLOOKUP($A7,subQ,MATCH(M$1,SUBQH,0),0),"")</f>
        <v/>
      </c>
      <c r="N7" s="20">
        <f>IFERROR(VLOOKUP($A7,subQ,MATCH(N$1,SUBQH,0),0),"")</f>
        <v/>
      </c>
      <c r="O7" s="20">
        <f>IFERROR(VLOOKUP($A7,subQ,MATCH(O$1,SUBQH,0),0),"")</f>
        <v/>
      </c>
      <c r="P7" s="20">
        <f>IFERROR(VLOOKUP($A7,subQ,MATCH(P$1,SUBQH,0),0),"")</f>
        <v/>
      </c>
      <c r="Q7" s="20">
        <f>IFERROR(VLOOKUP($A7,subQ,MATCH(Q$1,SUBQH,0),0),"")</f>
        <v/>
      </c>
      <c r="R7" s="20">
        <f>IFERROR(VLOOKUP($A7,subQ,MATCH(R$1,SUBQH,0),0),"")</f>
        <v/>
      </c>
      <c r="S7" s="20">
        <f>IFERROR(VLOOKUP($A7,subQ,MATCH(S$1,SUBQH,0),0),"")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  <c r="M8" s="20">
        <f>IFERROR(VLOOKUP($A8,subQ,MATCH(M$1,SUBQH,0),0),"")</f>
        <v/>
      </c>
      <c r="N8" s="20">
        <f>IFERROR(VLOOKUP($A8,subQ,MATCH(N$1,SUBQH,0),0),"")</f>
        <v/>
      </c>
      <c r="O8" s="20">
        <f>IFERROR(VLOOKUP($A8,subQ,MATCH(O$1,SUBQH,0),0),"")</f>
        <v/>
      </c>
      <c r="P8" s="20">
        <f>IFERROR(VLOOKUP($A8,subQ,MATCH(P$1,SUBQH,0),0),"")</f>
        <v/>
      </c>
      <c r="Q8" s="20">
        <f>IFERROR(VLOOKUP($A8,subQ,MATCH(Q$1,SUBQH,0),0),"")</f>
        <v/>
      </c>
      <c r="R8" s="20">
        <f>IFERROR(VLOOKUP($A8,subQ,MATCH(R$1,SUBQH,0),0),"")</f>
        <v/>
      </c>
      <c r="S8" s="20">
        <f>IFERROR(VLOOKUP($A8,subQ,MATCH(S$1,SUBQH,0),0),"")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  <c r="M9" s="20">
        <f>IFERROR(VLOOKUP($A9,subQ,MATCH(M$1,SUBQH,0),0),"")</f>
        <v/>
      </c>
      <c r="N9" s="20">
        <f>IFERROR(VLOOKUP($A9,subQ,MATCH(N$1,SUBQH,0),0),"")</f>
        <v/>
      </c>
      <c r="O9" s="20">
        <f>IFERROR(VLOOKUP($A9,subQ,MATCH(O$1,SUBQH,0),0),"")</f>
        <v/>
      </c>
      <c r="P9" s="20">
        <f>IFERROR(VLOOKUP($A9,subQ,MATCH(P$1,SUBQH,0),0),"")</f>
        <v/>
      </c>
      <c r="Q9" s="20">
        <f>IFERROR(VLOOKUP($A9,subQ,MATCH(Q$1,SUBQH,0),0),"")</f>
        <v/>
      </c>
      <c r="R9" s="20">
        <f>IFERROR(VLOOKUP($A9,subQ,MATCH(R$1,SUBQH,0),0),"")</f>
        <v/>
      </c>
      <c r="S9" s="20">
        <f>IFERROR(VLOOKUP($A9,subQ,MATCH(S$1,SUBQH,0),0),"")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  <c r="M10" s="32">
        <f>IFERROR(VLOOKUP($A10,subQ,MATCH(M$1,SUBQH,0),0),"")</f>
        <v/>
      </c>
      <c r="N10" s="32">
        <f>IFERROR(VLOOKUP($A10,subQ,MATCH(N$1,SUBQH,0),0),"")</f>
        <v/>
      </c>
      <c r="O10" s="32">
        <f>IFERROR(VLOOKUP($A10,subQ,MATCH(O$1,SUBQH,0),0),"")</f>
        <v/>
      </c>
      <c r="P10" s="32">
        <f>IFERROR(VLOOKUP($A10,subQ,MATCH(P$1,SUBQH,0),0),"")</f>
        <v/>
      </c>
      <c r="Q10" s="32">
        <f>IFERROR(VLOOKUP($A10,subQ,MATCH(Q$1,SUBQH,0),0),"")</f>
        <v/>
      </c>
      <c r="R10" s="32">
        <f>IFERROR(VLOOKUP($A10,subQ,MATCH(R$1,SUBQH,0),0),"")</f>
        <v/>
      </c>
      <c r="S10" s="32">
        <f>IFERROR(VLOOKUP($A10,subQ,MATCH(S$1,SUBQH,0),0),"")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  <c r="M11" s="20">
        <f>IFERROR(VLOOKUP($A11,subQ,MATCH(M$1,SUBQH,0),0),"")</f>
        <v/>
      </c>
      <c r="N11" s="20">
        <f>IFERROR(VLOOKUP($A11,subQ,MATCH(N$1,SUBQH,0),0),"")</f>
        <v/>
      </c>
      <c r="O11" s="20">
        <f>IFERROR(VLOOKUP($A11,subQ,MATCH(O$1,SUBQH,0),0),"")</f>
        <v/>
      </c>
      <c r="P11" s="20">
        <f>IFERROR(VLOOKUP($A11,subQ,MATCH(P$1,SUBQH,0),0),"")</f>
        <v/>
      </c>
      <c r="Q11" s="20">
        <f>IFERROR(VLOOKUP($A11,subQ,MATCH(Q$1,SUBQH,0),0),"")</f>
        <v/>
      </c>
      <c r="R11" s="20">
        <f>IFERROR(VLOOKUP($A11,subQ,MATCH(R$1,SUBQH,0),0),"")</f>
        <v/>
      </c>
      <c r="S11" s="20">
        <f>IFERROR(VLOOKUP($A11,subQ,MATCH(S$1,SUBQH,0),0),"")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  <c r="M12" s="20">
        <f>IFERROR(VLOOKUP($A12,subQ,MATCH(M$1,SUBQH,0),0),"")</f>
        <v/>
      </c>
      <c r="N12" s="20">
        <f>IFERROR(VLOOKUP($A12,subQ,MATCH(N$1,SUBQH,0),0),"")</f>
        <v/>
      </c>
      <c r="O12" s="20">
        <f>IFERROR(VLOOKUP($A12,subQ,MATCH(O$1,SUBQH,0),0),"")</f>
        <v/>
      </c>
      <c r="P12" s="20">
        <f>IFERROR(VLOOKUP($A12,subQ,MATCH(P$1,SUBQH,0),0),"")</f>
        <v/>
      </c>
      <c r="Q12" s="20">
        <f>IFERROR(VLOOKUP($A12,subQ,MATCH(Q$1,SUBQH,0),0),"")</f>
        <v/>
      </c>
      <c r="R12" s="20">
        <f>IFERROR(VLOOKUP($A12,subQ,MATCH(R$1,SUBQH,0),0),"")</f>
        <v/>
      </c>
      <c r="S12" s="20">
        <f>IFERROR(VLOOKUP($A12,subQ,MATCH(S$1,SUBQH,0),0),"")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  <c r="M13" s="20">
        <f>IFERROR(VLOOKUP($A13,subQ,MATCH(M$1,SUBQH,0),0),"")</f>
        <v/>
      </c>
      <c r="N13" s="20">
        <f>IFERROR(VLOOKUP($A13,subQ,MATCH(N$1,SUBQH,0),0),"")</f>
        <v/>
      </c>
      <c r="O13" s="20">
        <f>IFERROR(VLOOKUP($A13,subQ,MATCH(O$1,SUBQH,0),0),"")</f>
        <v/>
      </c>
      <c r="P13" s="20">
        <f>IFERROR(VLOOKUP($A13,subQ,MATCH(P$1,SUBQH,0),0),"")</f>
        <v/>
      </c>
      <c r="Q13" s="20">
        <f>IFERROR(VLOOKUP($A13,subQ,MATCH(Q$1,SUBQH,0),0),"")</f>
        <v/>
      </c>
      <c r="R13" s="20">
        <f>IFERROR(VLOOKUP($A13,subQ,MATCH(R$1,SUBQH,0),0),"")</f>
        <v/>
      </c>
      <c r="S13" s="20">
        <f>IFERROR(VLOOKUP($A13,subQ,MATCH(S$1,SUBQH,0),0),"")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  <c r="M14" s="20">
        <f>IFERROR(VLOOKUP($A14,subQ,MATCH(M$1,SUBQH,0),0),"")</f>
        <v/>
      </c>
      <c r="N14" s="20">
        <f>IFERROR(VLOOKUP($A14,subQ,MATCH(N$1,SUBQH,0),0),"")</f>
        <v/>
      </c>
      <c r="O14" s="20">
        <f>IFERROR(VLOOKUP($A14,subQ,MATCH(O$1,SUBQH,0),0),"")</f>
        <v/>
      </c>
      <c r="P14" s="20">
        <f>IFERROR(VLOOKUP($A14,subQ,MATCH(P$1,SUBQH,0),0),"")</f>
        <v/>
      </c>
      <c r="Q14" s="20">
        <f>IFERROR(VLOOKUP($A14,subQ,MATCH(Q$1,SUBQH,0),0),"")</f>
        <v/>
      </c>
      <c r="R14" s="20">
        <f>IFERROR(VLOOKUP($A14,subQ,MATCH(R$1,SUBQH,0),0),"")</f>
        <v/>
      </c>
      <c r="S14" s="20">
        <f>IFERROR(VLOOKUP($A14,subQ,MATCH(S$1,SUBQH,0),0),"")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  <c r="M15" s="20">
        <f>IFERROR(VLOOKUP($A15,subQ,MATCH(M$1,SUBQH,0),0),"")</f>
        <v/>
      </c>
      <c r="N15" s="20">
        <f>IFERROR(VLOOKUP($A15,subQ,MATCH(N$1,SUBQH,0),0),"")</f>
        <v/>
      </c>
      <c r="O15" s="20">
        <f>IFERROR(VLOOKUP($A15,subQ,MATCH(O$1,SUBQH,0),0),"")</f>
        <v/>
      </c>
      <c r="P15" s="20">
        <f>IFERROR(VLOOKUP($A15,subQ,MATCH(P$1,SUBQH,0),0),"")</f>
        <v/>
      </c>
      <c r="Q15" s="20">
        <f>IFERROR(VLOOKUP($A15,subQ,MATCH(Q$1,SUBQH,0),0),"")</f>
        <v/>
      </c>
      <c r="R15" s="20">
        <f>IFERROR(VLOOKUP($A15,subQ,MATCH(R$1,SUBQH,0),0),"")</f>
        <v/>
      </c>
      <c r="S15" s="20">
        <f>IFERROR(VLOOKUP($A15,subQ,MATCH(S$1,SUBQH,0),0),"")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  <c r="M16" s="20">
        <f>IFERROR(VLOOKUP($A16,subQ,MATCH(M$1,SUBQH,0),0),"")</f>
        <v/>
      </c>
      <c r="N16" s="20">
        <f>IFERROR(VLOOKUP($A16,subQ,MATCH(N$1,SUBQH,0),0),"")</f>
        <v/>
      </c>
      <c r="O16" s="20">
        <f>IFERROR(VLOOKUP($A16,subQ,MATCH(O$1,SUBQH,0),0),"")</f>
        <v/>
      </c>
      <c r="P16" s="20">
        <f>IFERROR(VLOOKUP($A16,subQ,MATCH(P$1,SUBQH,0),0),"")</f>
        <v/>
      </c>
      <c r="Q16" s="20">
        <f>IFERROR(VLOOKUP($A16,subQ,MATCH(Q$1,SUBQH,0),0),"")</f>
        <v/>
      </c>
      <c r="R16" s="20">
        <f>IFERROR(VLOOKUP($A16,subQ,MATCH(R$1,SUBQH,0),0),"")</f>
        <v/>
      </c>
      <c r="S16" s="20">
        <f>IFERROR(VLOOKUP($A16,subQ,MATCH(S$1,SUBQH,0),0),"")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  <c r="M17" s="20">
        <f>IFERROR(VLOOKUP($A17,subQ,MATCH(M$1,SUBQH,0),0),"")</f>
        <v/>
      </c>
      <c r="N17" s="20">
        <f>IFERROR(VLOOKUP($A17,subQ,MATCH(N$1,SUBQH,0),0),"")</f>
        <v/>
      </c>
      <c r="O17" s="20">
        <f>IFERROR(VLOOKUP($A17,subQ,MATCH(O$1,SUBQH,0),0),"")</f>
        <v/>
      </c>
      <c r="P17" s="20">
        <f>IFERROR(VLOOKUP($A17,subQ,MATCH(P$1,SUBQH,0),0),"")</f>
        <v/>
      </c>
      <c r="Q17" s="20">
        <f>IFERROR(VLOOKUP($A17,subQ,MATCH(Q$1,SUBQH,0),0),"")</f>
        <v/>
      </c>
      <c r="R17" s="20">
        <f>IFERROR(VLOOKUP($A17,subQ,MATCH(R$1,SUBQH,0),0),"")</f>
        <v/>
      </c>
      <c r="S17" s="20">
        <f>IFERROR(VLOOKUP($A17,subQ,MATCH(S$1,SUBQH,0),0),"")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  <c r="M18" s="20">
        <f>IFERROR(VLOOKUP($A18,subQ,MATCH(M$1,SUBQH,0),0),"")</f>
        <v/>
      </c>
      <c r="N18" s="20">
        <f>IFERROR(VLOOKUP($A18,subQ,MATCH(N$1,SUBQH,0),0),"")</f>
        <v/>
      </c>
      <c r="O18" s="20">
        <f>IFERROR(VLOOKUP($A18,subQ,MATCH(O$1,SUBQH,0),0),"")</f>
        <v/>
      </c>
      <c r="P18" s="20">
        <f>IFERROR(VLOOKUP($A18,subQ,MATCH(P$1,SUBQH,0),0),"")</f>
        <v/>
      </c>
      <c r="Q18" s="20">
        <f>IFERROR(VLOOKUP($A18,subQ,MATCH(Q$1,SUBQH,0),0),"")</f>
        <v/>
      </c>
      <c r="R18" s="20">
        <f>IFERROR(VLOOKUP($A18,subQ,MATCH(R$1,SUBQH,0),0),"")</f>
        <v/>
      </c>
      <c r="S18" s="20">
        <f>IFERROR(VLOOKUP($A18,subQ,MATCH(S$1,SUBQH,0),0),"")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  <c r="M19" s="20">
        <f>IFERROR(VLOOKUP($A19,subQ,MATCH(M$1,SUBQH,0),0),"")</f>
        <v/>
      </c>
      <c r="N19" s="20">
        <f>IFERROR(VLOOKUP($A19,subQ,MATCH(N$1,SUBQH,0),0),"")</f>
        <v/>
      </c>
      <c r="O19" s="20">
        <f>IFERROR(VLOOKUP($A19,subQ,MATCH(O$1,SUBQH,0),0),"")</f>
        <v/>
      </c>
      <c r="P19" s="20">
        <f>IFERROR(VLOOKUP($A19,subQ,MATCH(P$1,SUBQH,0),0),"")</f>
        <v/>
      </c>
      <c r="Q19" s="20">
        <f>IFERROR(VLOOKUP($A19,subQ,MATCH(Q$1,SUBQH,0),0),"")</f>
        <v/>
      </c>
      <c r="R19" s="20">
        <f>IFERROR(VLOOKUP($A19,subQ,MATCH(R$1,SUBQH,0),0),"")</f>
        <v/>
      </c>
      <c r="S19" s="20">
        <f>IFERROR(VLOOKUP($A19,subQ,MATCH(S$1,SUBQH,0),0),"")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  <c r="M20" s="20">
        <f>IFERROR(VLOOKUP($A20,subQ,MATCH(M$1,SUBQH,0),0),"")</f>
        <v/>
      </c>
      <c r="N20" s="20">
        <f>IFERROR(VLOOKUP($A20,subQ,MATCH(N$1,SUBQH,0),0),"")</f>
        <v/>
      </c>
      <c r="O20" s="20">
        <f>IFERROR(VLOOKUP($A20,subQ,MATCH(O$1,SUBQH,0),0),"")</f>
        <v/>
      </c>
      <c r="P20" s="20">
        <f>IFERROR(VLOOKUP($A20,subQ,MATCH(P$1,SUBQH,0),0),"")</f>
        <v/>
      </c>
      <c r="Q20" s="20">
        <f>IFERROR(VLOOKUP($A20,subQ,MATCH(Q$1,SUBQH,0),0),"")</f>
        <v/>
      </c>
      <c r="R20" s="20">
        <f>IFERROR(VLOOKUP($A20,subQ,MATCH(R$1,SUBQH,0),0),"")</f>
        <v/>
      </c>
      <c r="S20" s="20">
        <f>IFERROR(VLOOKUP($A20,subQ,MATCH(S$1,SUBQH,0),0),"")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  <c r="M21" s="20">
        <f>IFERROR(VLOOKUP($A21,subQ,MATCH(M$1,SUBQH,0),0),"")</f>
        <v/>
      </c>
      <c r="N21" s="20">
        <f>IFERROR(VLOOKUP($A21,subQ,MATCH(N$1,SUBQH,0),0),"")</f>
        <v/>
      </c>
      <c r="O21" s="20">
        <f>IFERROR(VLOOKUP($A21,subQ,MATCH(O$1,SUBQH,0),0),"")</f>
        <v/>
      </c>
      <c r="P21" s="20">
        <f>IFERROR(VLOOKUP($A21,subQ,MATCH(P$1,SUBQH,0),0),"")</f>
        <v/>
      </c>
      <c r="Q21" s="20">
        <f>IFERROR(VLOOKUP($A21,subQ,MATCH(Q$1,SUBQH,0),0),"")</f>
        <v/>
      </c>
      <c r="R21" s="20">
        <f>IFERROR(VLOOKUP($A21,subQ,MATCH(R$1,SUBQH,0),0),"")</f>
        <v/>
      </c>
      <c r="S21" s="20">
        <f>IFERROR(VLOOKUP($A21,subQ,MATCH(S$1,SUBQH,0),0),"")</f>
        <v/>
      </c>
    </row>
    <row r="22">
      <c r="A22" s="12" t="inlineStr">
        <is>
          <t>총차입금</t>
        </is>
      </c>
      <c r="D22" t="inlineStr">
        <is>
          <t>총차입금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  <c r="M22" s="20">
        <f>IFERROR(VLOOKUP($A22,subQ,MATCH(M$1,SUBQH,0),0),"")</f>
        <v/>
      </c>
      <c r="N22" s="20">
        <f>IFERROR(VLOOKUP($A22,subQ,MATCH(N$1,SUBQH,0),0),"")</f>
        <v/>
      </c>
      <c r="O22" s="20">
        <f>IFERROR(VLOOKUP($A22,subQ,MATCH(O$1,SUBQH,0),0),"")</f>
        <v/>
      </c>
      <c r="P22" s="20">
        <f>IFERROR(VLOOKUP($A22,subQ,MATCH(P$1,SUBQH,0),0),"")</f>
        <v/>
      </c>
      <c r="Q22" s="20">
        <f>IFERROR(VLOOKUP($A22,subQ,MATCH(Q$1,SUBQH,0),0),"")</f>
        <v/>
      </c>
      <c r="R22" s="20">
        <f>IFERROR(VLOOKUP($A22,subQ,MATCH(R$1,SUBQH,0),0),"")</f>
        <v/>
      </c>
      <c r="S22" s="20">
        <f>IFERROR(VLOOKUP($A22,subQ,MATCH(S$1,SUBQH,0),0),"")</f>
        <v/>
      </c>
    </row>
    <row r="23">
      <c r="A23" s="12" t="inlineStr">
        <is>
          <t>순차입금</t>
        </is>
      </c>
      <c r="D23" t="inlineStr">
        <is>
          <t>순차입금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  <c r="M23" s="20">
        <f>IFERROR(VLOOKUP($A23,subQ,MATCH(M$1,SUBQH,0),0),"")</f>
        <v/>
      </c>
      <c r="N23" s="20">
        <f>IFERROR(VLOOKUP($A23,subQ,MATCH(N$1,SUBQH,0),0),"")</f>
        <v/>
      </c>
      <c r="O23" s="20">
        <f>IFERROR(VLOOKUP($A23,subQ,MATCH(O$1,SUBQH,0),0),"")</f>
        <v/>
      </c>
      <c r="P23" s="20">
        <f>IFERROR(VLOOKUP($A23,subQ,MATCH(P$1,SUBQH,0),0),"")</f>
        <v/>
      </c>
      <c r="Q23" s="20">
        <f>IFERROR(VLOOKUP($A23,subQ,MATCH(Q$1,SUBQH,0),0),"")</f>
        <v/>
      </c>
      <c r="R23" s="20">
        <f>IFERROR(VLOOKUP($A23,subQ,MATCH(R$1,SUBQH,0),0),"")</f>
        <v/>
      </c>
      <c r="S23" s="20">
        <f>IFERROR(VLOOKUP($A23,subQ,MATCH(S$1,SUBQH,0),0),"")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  <c r="M24" s="20">
        <f>IFERROR(VLOOKUP($A24,subQ,MATCH(M$1,SUBQH,0),0),"")</f>
        <v/>
      </c>
      <c r="N24" s="20">
        <f>IFERROR(VLOOKUP($A24,subQ,MATCH(N$1,SUBQH,0),0),"")</f>
        <v/>
      </c>
      <c r="O24" s="20">
        <f>IFERROR(VLOOKUP($A24,subQ,MATCH(O$1,SUBQH,0),0),"")</f>
        <v/>
      </c>
      <c r="P24" s="20">
        <f>IFERROR(VLOOKUP($A24,subQ,MATCH(P$1,SUBQH,0),0),"")</f>
        <v/>
      </c>
      <c r="Q24" s="20">
        <f>IFERROR(VLOOKUP($A24,subQ,MATCH(Q$1,SUBQH,0),0),"")</f>
        <v/>
      </c>
      <c r="R24" s="20">
        <f>IFERROR(VLOOKUP($A24,subQ,MATCH(R$1,SUBQH,0),0),"")</f>
        <v/>
      </c>
      <c r="S24" s="20">
        <f>IFERROR(VLOOKUP($A24,subQ,MATCH(S$1,SUBQH,0),0),"")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  <c r="M25" s="20">
        <f>IFERROR(VLOOKUP($A25,subQ,MATCH(M$1,SUBQH,0),0),"")</f>
        <v/>
      </c>
      <c r="N25" s="20">
        <f>IFERROR(VLOOKUP($A25,subQ,MATCH(N$1,SUBQH,0),0),"")</f>
        <v/>
      </c>
      <c r="O25" s="20">
        <f>IFERROR(VLOOKUP($A25,subQ,MATCH(O$1,SUBQH,0),0),"")</f>
        <v/>
      </c>
      <c r="P25" s="20">
        <f>IFERROR(VLOOKUP($A25,subQ,MATCH(P$1,SUBQH,0),0),"")</f>
        <v/>
      </c>
      <c r="Q25" s="20">
        <f>IFERROR(VLOOKUP($A25,subQ,MATCH(Q$1,SUBQH,0),0),"")</f>
        <v/>
      </c>
      <c r="R25" s="20">
        <f>IFERROR(VLOOKUP($A25,subQ,MATCH(R$1,SUBQH,0),0),"")</f>
        <v/>
      </c>
      <c r="S25" s="20">
        <f>IFERROR(VLOOKUP($A25,subQ,MATCH(S$1,SUBQH,0),0),"")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  <c r="M26" s="20">
        <f>IFERROR(VLOOKUP($A26,subQ,MATCH(M$1,SUBQH,0),0),"")</f>
        <v/>
      </c>
      <c r="N26" s="20">
        <f>IFERROR(VLOOKUP($A26,subQ,MATCH(N$1,SUBQH,0),0),"")</f>
        <v/>
      </c>
      <c r="O26" s="20">
        <f>IFERROR(VLOOKUP($A26,subQ,MATCH(O$1,SUBQH,0),0),"")</f>
        <v/>
      </c>
      <c r="P26" s="20">
        <f>IFERROR(VLOOKUP($A26,subQ,MATCH(P$1,SUBQH,0),0),"")</f>
        <v/>
      </c>
      <c r="Q26" s="20">
        <f>IFERROR(VLOOKUP($A26,subQ,MATCH(Q$1,SUBQH,0),0),"")</f>
        <v/>
      </c>
      <c r="R26" s="20">
        <f>IFERROR(VLOOKUP($A26,subQ,MATCH(R$1,SUBQH,0),0),"")</f>
        <v/>
      </c>
      <c r="S26" s="20">
        <f>IFERROR(VLOOKUP($A26,subQ,MATCH(S$1,SUBQH,0),0),"")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  <c r="M27" s="20">
        <f>IFERROR(VLOOKUP($A27,subQ,MATCH(M$1,SUBQH,0),0),"")</f>
        <v/>
      </c>
      <c r="N27" s="20">
        <f>IFERROR(VLOOKUP($A27,subQ,MATCH(N$1,SUBQH,0),0),"")</f>
        <v/>
      </c>
      <c r="O27" s="20">
        <f>IFERROR(VLOOKUP($A27,subQ,MATCH(O$1,SUBQH,0),0),"")</f>
        <v/>
      </c>
      <c r="P27" s="20">
        <f>IFERROR(VLOOKUP($A27,subQ,MATCH(P$1,SUBQH,0),0),"")</f>
        <v/>
      </c>
      <c r="Q27" s="20">
        <f>IFERROR(VLOOKUP($A27,subQ,MATCH(Q$1,SUBQH,0),0),"")</f>
        <v/>
      </c>
      <c r="R27" s="20">
        <f>IFERROR(VLOOKUP($A27,subQ,MATCH(R$1,SUBQH,0),0),"")</f>
        <v/>
      </c>
      <c r="S27" s="20">
        <f>IFERROR(VLOOKUP($A27,subQ,MATCH(S$1,SUBQH,0),0),"")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47">
        <f>IFERROR(VLOOKUP($A28,subQ,MATCH(I$1,SUBQH,0),0),"")</f>
        <v/>
      </c>
      <c r="J28" s="33">
        <f>IFERROR(VLOOKUP($A28,subQ,MATCH(J$1,SUBQH,0),0),"")</f>
        <v/>
      </c>
      <c r="K28" s="33">
        <f>IFERROR(VLOOKUP($A28,subQ,MATCH(K$1,SUBQH,0),0),"")</f>
        <v/>
      </c>
      <c r="L28" s="33">
        <f>IFERROR(VLOOKUP($A28,subQ,MATCH(L$1,SUBQH,0),0),"")</f>
        <v/>
      </c>
      <c r="M28" s="33">
        <f>IFERROR(VLOOKUP($A28,subQ,MATCH(M$1,SUBQH,0),0),"")</f>
        <v/>
      </c>
      <c r="N28" s="33">
        <f>IFERROR(VLOOKUP($A28,subQ,MATCH(N$1,SUBQH,0),0),"")</f>
        <v/>
      </c>
      <c r="O28" s="33">
        <f>IFERROR(VLOOKUP($A28,subQ,MATCH(O$1,SUBQH,0),0),"")</f>
        <v/>
      </c>
      <c r="P28" s="33">
        <f>IFERROR(VLOOKUP($A28,subQ,MATCH(P$1,SUBQH,0),0),"")</f>
        <v/>
      </c>
      <c r="Q28" s="33">
        <f>IFERROR(VLOOKUP($A28,subQ,MATCH(Q$1,SUBQH,0),0),"")</f>
        <v/>
      </c>
      <c r="R28" s="33">
        <f>IFERROR(VLOOKUP($A28,subQ,MATCH(R$1,SUBQH,0),0),"")</f>
        <v/>
      </c>
      <c r="S28" s="33">
        <f>IFERROR(VLOOKUP($A28,subQ,MATCH(S$1,SUBQH,0),0),"")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  <c r="M29" s="20">
        <f>IFERROR(VLOOKUP($A29,subQ,MATCH(M$1,SUBQH,0),0),"")</f>
        <v/>
      </c>
      <c r="N29" s="20">
        <f>IFERROR(VLOOKUP($A29,subQ,MATCH(N$1,SUBQH,0),0),"")</f>
        <v/>
      </c>
      <c r="O29" s="20">
        <f>IFERROR(VLOOKUP($A29,subQ,MATCH(O$1,SUBQH,0),0),"")</f>
        <v/>
      </c>
      <c r="P29" s="20">
        <f>IFERROR(VLOOKUP($A29,subQ,MATCH(P$1,SUBQH,0),0),"")</f>
        <v/>
      </c>
      <c r="Q29" s="20">
        <f>IFERROR(VLOOKUP($A29,subQ,MATCH(Q$1,SUBQH,0),0),"")</f>
        <v/>
      </c>
      <c r="R29" s="20">
        <f>IFERROR(VLOOKUP($A29,subQ,MATCH(R$1,SUBQH,0),0),"")</f>
        <v/>
      </c>
      <c r="S29" s="20">
        <f>IFERROR(VLOOKUP($A29,subQ,MATCH(S$1,SUBQH,0),0),"")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  <c r="M30" s="20">
        <f>IFERROR(VLOOKUP($A30,subQ,MATCH(M$1,SUBQH,0),0),"")</f>
        <v/>
      </c>
      <c r="N30" s="20">
        <f>IFERROR(VLOOKUP($A30,subQ,MATCH(N$1,SUBQH,0),0),"")</f>
        <v/>
      </c>
      <c r="O30" s="20">
        <f>IFERROR(VLOOKUP($A30,subQ,MATCH(O$1,SUBQH,0),0),"")</f>
        <v/>
      </c>
      <c r="P30" s="20">
        <f>IFERROR(VLOOKUP($A30,subQ,MATCH(P$1,SUBQH,0),0),"")</f>
        <v/>
      </c>
      <c r="Q30" s="20">
        <f>IFERROR(VLOOKUP($A30,subQ,MATCH(Q$1,SUBQH,0),0),"")</f>
        <v/>
      </c>
      <c r="R30" s="20">
        <f>IFERROR(VLOOKUP($A30,subQ,MATCH(R$1,SUBQH,0),0),"")</f>
        <v/>
      </c>
      <c r="S30" s="20">
        <f>IFERROR(VLOOKUP($A30,subQ,MATCH(S$1,SUBQH,0),0),"")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  <c r="M31" s="20">
        <f>IFERROR(VLOOKUP($A31,subQ,MATCH(M$1,SUBQH,0),0),"")</f>
        <v/>
      </c>
      <c r="N31" s="20">
        <f>IFERROR(VLOOKUP($A31,subQ,MATCH(N$1,SUBQH,0),0),"")</f>
        <v/>
      </c>
      <c r="O31" s="20">
        <f>IFERROR(VLOOKUP($A31,subQ,MATCH(O$1,SUBQH,0),0),"")</f>
        <v/>
      </c>
      <c r="P31" s="20">
        <f>IFERROR(VLOOKUP($A31,subQ,MATCH(P$1,SUBQH,0),0),"")</f>
        <v/>
      </c>
      <c r="Q31" s="20">
        <f>IFERROR(VLOOKUP($A31,subQ,MATCH(Q$1,SUBQH,0),0),"")</f>
        <v/>
      </c>
      <c r="R31" s="20">
        <f>IFERROR(VLOOKUP($A31,subQ,MATCH(R$1,SUBQH,0),0),"")</f>
        <v/>
      </c>
      <c r="S31" s="20">
        <f>IFERROR(VLOOKUP($A31,subQ,MATCH(S$1,SUBQH,0),0),"")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48">
        <f>IFERROR(VLOOKUP($A32,subQ,MATCH(I$1,SUBQH,0),0),"")</f>
        <v/>
      </c>
      <c r="J32" s="39">
        <f>IFERROR(VLOOKUP($A32,subQ,MATCH(J$1,SUBQH,0),0),"")</f>
        <v/>
      </c>
      <c r="K32" s="39">
        <f>IFERROR(VLOOKUP($A32,subQ,MATCH(K$1,SUBQH,0),0),"")</f>
        <v/>
      </c>
      <c r="L32" s="39">
        <f>IFERROR(VLOOKUP($A32,subQ,MATCH(L$1,SUBQH,0),0),"")</f>
        <v/>
      </c>
      <c r="M32" s="39">
        <f>IFERROR(VLOOKUP($A32,subQ,MATCH(M$1,SUBQH,0),0),"")</f>
        <v/>
      </c>
      <c r="N32" s="39">
        <f>IFERROR(VLOOKUP($A32,subQ,MATCH(N$1,SUBQH,0),0),"")</f>
        <v/>
      </c>
      <c r="O32" s="39">
        <f>IFERROR(VLOOKUP($A32,subQ,MATCH(O$1,SUBQH,0),0),"")</f>
        <v/>
      </c>
      <c r="P32" s="39">
        <f>IFERROR(VLOOKUP($A32,subQ,MATCH(P$1,SUBQH,0),0),"")</f>
        <v/>
      </c>
      <c r="Q32" s="39">
        <f>IFERROR(VLOOKUP($A32,subQ,MATCH(Q$1,SUBQH,0),0),"")</f>
        <v/>
      </c>
      <c r="R32" s="39">
        <f>IFERROR(VLOOKUP($A32,subQ,MATCH(R$1,SUBQH,0),0),"")</f>
        <v/>
      </c>
      <c r="S32" s="39">
        <f>IFERROR(VLOOKUP($A32,subQ,MATCH(S$1,SUBQH,0),0),"")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48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  <c r="L33" s="39">
        <f>IFERROR(VLOOKUP($A33,subQ,MATCH(L$1,SUBQH,0),0),"")</f>
        <v/>
      </c>
      <c r="M33" s="39">
        <f>IFERROR(VLOOKUP($A33,subQ,MATCH(M$1,SUBQH,0),0),"")</f>
        <v/>
      </c>
      <c r="N33" s="39">
        <f>IFERROR(VLOOKUP($A33,subQ,MATCH(N$1,SUBQH,0),0),"")</f>
        <v/>
      </c>
      <c r="O33" s="39">
        <f>IFERROR(VLOOKUP($A33,subQ,MATCH(O$1,SUBQH,0),0),"")</f>
        <v/>
      </c>
      <c r="P33" s="39">
        <f>IFERROR(VLOOKUP($A33,subQ,MATCH(P$1,SUBQH,0),0),"")</f>
        <v/>
      </c>
      <c r="Q33" s="39">
        <f>IFERROR(VLOOKUP($A33,subQ,MATCH(Q$1,SUBQH,0),0),"")</f>
        <v/>
      </c>
      <c r="R33" s="39">
        <f>IFERROR(VLOOKUP($A33,subQ,MATCH(R$1,SUBQH,0),0),"")</f>
        <v/>
      </c>
      <c r="S33" s="39">
        <f>IFERROR(VLOOKUP($A33,subQ,MATCH(S$1,SUBQH,0),0),"")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  <c r="M34" s="20">
        <f>IFERROR(VLOOKUP($A34,subQ,MATCH(M$1,SUBQH,0),0),"")</f>
        <v/>
      </c>
      <c r="N34" s="20">
        <f>IFERROR(VLOOKUP($A34,subQ,MATCH(N$1,SUBQH,0),0),"")</f>
        <v/>
      </c>
      <c r="O34" s="20">
        <f>IFERROR(VLOOKUP($A34,subQ,MATCH(O$1,SUBQH,0),0),"")</f>
        <v/>
      </c>
      <c r="P34" s="20">
        <f>IFERROR(VLOOKUP($A34,subQ,MATCH(P$1,SUBQH,0),0),"")</f>
        <v/>
      </c>
      <c r="Q34" s="20">
        <f>IFERROR(VLOOKUP($A34,subQ,MATCH(Q$1,SUBQH,0),0),"")</f>
        <v/>
      </c>
      <c r="R34" s="20">
        <f>IFERROR(VLOOKUP($A34,subQ,MATCH(R$1,SUBQH,0),0),"")</f>
        <v/>
      </c>
      <c r="S34" s="20">
        <f>IFERROR(VLOOKUP($A34,subQ,MATCH(S$1,SUBQH,0),0),"")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  <c r="M35" s="20">
        <f>IFERROR(VLOOKUP($A35,subQ,MATCH(M$1,SUBQH,0),0),"")</f>
        <v/>
      </c>
      <c r="N35" s="20">
        <f>IFERROR(VLOOKUP($A35,subQ,MATCH(N$1,SUBQH,0),0),"")</f>
        <v/>
      </c>
      <c r="O35" s="20">
        <f>IFERROR(VLOOKUP($A35,subQ,MATCH(O$1,SUBQH,0),0),"")</f>
        <v/>
      </c>
      <c r="P35" s="20">
        <f>IFERROR(VLOOKUP($A35,subQ,MATCH(P$1,SUBQH,0),0),"")</f>
        <v/>
      </c>
      <c r="Q35" s="20">
        <f>IFERROR(VLOOKUP($A35,subQ,MATCH(Q$1,SUBQH,0),0),"")</f>
        <v/>
      </c>
      <c r="R35" s="20">
        <f>IFERROR(VLOOKUP($A35,subQ,MATCH(R$1,SUBQH,0),0),"")</f>
        <v/>
      </c>
      <c r="S35" s="20">
        <f>IFERROR(VLOOKUP($A35,subQ,MATCH(S$1,SUBQH,0),0),"")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46">
        <f>IFERROR(VLOOKUP($A36,subQ,MATCH(I$1,SUBQH,0),0),"")</f>
        <v/>
      </c>
      <c r="J36" s="32">
        <f>IFERROR(VLOOKUP($A36,subQ,MATCH(J$1,SUBQH,0),0),"")</f>
        <v/>
      </c>
      <c r="K36" s="32">
        <f>IFERROR(VLOOKUP($A36,subQ,MATCH(K$1,SUBQH,0),0),"")</f>
        <v/>
      </c>
      <c r="L36" s="32">
        <f>IFERROR(VLOOKUP($A36,subQ,MATCH(L$1,SUBQH,0),0),"")</f>
        <v/>
      </c>
      <c r="M36" s="32">
        <f>IFERROR(VLOOKUP($A36,subQ,MATCH(M$1,SUBQH,0),0),"")</f>
        <v/>
      </c>
      <c r="N36" s="32">
        <f>IFERROR(VLOOKUP($A36,subQ,MATCH(N$1,SUBQH,0),0),"")</f>
        <v/>
      </c>
      <c r="O36" s="32">
        <f>IFERROR(VLOOKUP($A36,subQ,MATCH(O$1,SUBQH,0),0),"")</f>
        <v/>
      </c>
      <c r="P36" s="32">
        <f>IFERROR(VLOOKUP($A36,subQ,MATCH(P$1,SUBQH,0),0),"")</f>
        <v/>
      </c>
      <c r="Q36" s="32">
        <f>IFERROR(VLOOKUP($A36,subQ,MATCH(Q$1,SUBQH,0),0),"")</f>
        <v/>
      </c>
      <c r="R36" s="32">
        <f>IFERROR(VLOOKUP($A36,subQ,MATCH(R$1,SUBQH,0),0),"")</f>
        <v/>
      </c>
      <c r="S36" s="32">
        <f>IFERROR(VLOOKUP($A36,subQ,MATCH(S$1,SUBQH,0),0),"")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I37" s="46">
        <f>IFERROR(I5/E5-1,"")</f>
        <v/>
      </c>
      <c r="J37" s="32">
        <f>IFERROR(J5/F5-1,"")</f>
        <v/>
      </c>
      <c r="K37" s="32">
        <f>IFERROR(K5/G5-1,"")</f>
        <v/>
      </c>
      <c r="L37" s="32">
        <f>IFERROR(L5/H5-1,"")</f>
        <v/>
      </c>
      <c r="M37" s="32">
        <f>IFERROR(M5/I5-1,"")</f>
        <v/>
      </c>
      <c r="N37" s="32">
        <f>IFERROR(N5/J5-1,"")</f>
        <v/>
      </c>
      <c r="O37" s="32">
        <f>IFERROR(O5/K5-1,"")</f>
        <v/>
      </c>
      <c r="P37" s="32">
        <f>IFERROR(P5/L5-1,"")</f>
        <v/>
      </c>
      <c r="Q37" s="32">
        <f>IFERROR(Q5/M5-1,"")</f>
        <v/>
      </c>
      <c r="R37" s="32">
        <f>IFERROR(R5/N5-1,"")</f>
        <v/>
      </c>
      <c r="S37" s="32">
        <f>IFERROR(S5/O5-1,"")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I38" s="46">
        <f>IFERROR(I9/E9-1,"")</f>
        <v/>
      </c>
      <c r="J38" s="32">
        <f>IFERROR(J9/F9-1,"")</f>
        <v/>
      </c>
      <c r="K38" s="32">
        <f>IFERROR(K9/G9-1,"")</f>
        <v/>
      </c>
      <c r="L38" s="32">
        <f>IFERROR(L9/H9-1,"")</f>
        <v/>
      </c>
      <c r="M38" s="32">
        <f>IFERROR(M9/I9-1,"")</f>
        <v/>
      </c>
      <c r="N38" s="32">
        <f>IFERROR(N9/J9-1,"")</f>
        <v/>
      </c>
      <c r="O38" s="32">
        <f>IFERROR(O9/K9-1,"")</f>
        <v/>
      </c>
      <c r="P38" s="32">
        <f>IFERROR(P9/L9-1,"")</f>
        <v/>
      </c>
      <c r="Q38" s="32">
        <f>IFERROR(Q9/M9-1,"")</f>
        <v/>
      </c>
      <c r="R38" s="32">
        <f>IFERROR(R9/N9-1,"")</f>
        <v/>
      </c>
      <c r="S38" s="32">
        <f>IFERROR(S9/O9-1,"")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I39" s="46">
        <f>IFERROR(I17/E17-1,"")</f>
        <v/>
      </c>
      <c r="J39" s="32">
        <f>IFERROR(J17/F17-1,"")</f>
        <v/>
      </c>
      <c r="K39" s="32">
        <f>IFERROR(K17/G17-1,"")</f>
        <v/>
      </c>
      <c r="L39" s="32">
        <f>IFERROR(L17/H17-1,"")</f>
        <v/>
      </c>
      <c r="M39" s="32">
        <f>IFERROR(M17/I17-1,"")</f>
        <v/>
      </c>
      <c r="N39" s="32">
        <f>IFERROR(N17/J17-1,"")</f>
        <v/>
      </c>
      <c r="O39" s="32">
        <f>IFERROR(O17/K17-1,"")</f>
        <v/>
      </c>
      <c r="P39" s="32">
        <f>IFERROR(P17/L17-1,"")</f>
        <v/>
      </c>
      <c r="Q39" s="32">
        <f>IFERROR(Q17/M17-1,"")</f>
        <v/>
      </c>
      <c r="R39" s="32">
        <f>IFERROR(R17/N17-1,"")</f>
        <v/>
      </c>
      <c r="S39" s="32">
        <f>IFERROR(S17/O17-1,"")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C1" s="2" t="inlineStr">
        <is>
          <t>이름: 연간예상H — subQ 를 이름으로 VLOOKUP(억원)</t>
        </is>
      </c>
      <c r="E1" s="41" t="n">
        <v>2025</v>
      </c>
      <c r="F1" s="3" t="n">
        <v>2026</v>
      </c>
      <c r="G1" s="3" t="n">
        <v>2027</v>
      </c>
      <c r="H1" s="3" t="n">
        <v>2028</v>
      </c>
    </row>
    <row r="2">
      <c r="C2" t="inlineStr">
        <is>
          <t>종가:</t>
        </is>
      </c>
      <c r="D2" s="18">
        <f>변수!D40</f>
        <v/>
      </c>
      <c r="E2" s="42" t="n"/>
    </row>
    <row r="3">
      <c r="C3" t="inlineStr">
        <is>
          <t>기준일:</t>
        </is>
      </c>
      <c r="D3" t="inlineStr">
        <is>
          <t>20261014</t>
        </is>
      </c>
      <c r="E3" s="43" t="n">
        <v>1</v>
      </c>
      <c r="F3" s="2" t="n">
        <v>2</v>
      </c>
      <c r="G3" s="2" t="n">
        <v>3</v>
      </c>
      <c r="H3" s="2" t="n">
        <v>4</v>
      </c>
    </row>
    <row r="4">
      <c r="E4" s="44" t="inlineStr">
        <is>
          <t>2025.12A</t>
        </is>
      </c>
      <c r="F4" s="7" t="inlineStr">
        <is>
          <t>2026.12A</t>
        </is>
      </c>
      <c r="G4" s="7" t="inlineStr">
        <is>
          <t>2027.12A</t>
        </is>
      </c>
      <c r="H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45">
        <f>IFERROR(VLOOKUP($A5,subQ,MATCH(E$1,SUBQH,0),0),"")</f>
        <v/>
      </c>
      <c r="F5" s="20">
        <f>IFERROR(VLOOKUP($A5,subQ,MATCH(F$1,SUBQH,0),0),"")</f>
        <v/>
      </c>
      <c r="G5" s="20">
        <f>IFERROR(VLOOKUP($A5,subQ,MATCH(G$1,SUBQH,0),0),"")</f>
        <v/>
      </c>
      <c r="H5" s="20">
        <f>IFERROR(VLOOKUP($A5,subQ,MATCH(H$1,SUBQH,0),0),"")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45">
        <f>IFERROR(VLOOKUP($A6,subQ,MATCH(E$1,SUBQH,0),0),"")</f>
        <v/>
      </c>
      <c r="F6" s="20">
        <f>IFERROR(VLOOKUP($A6,subQ,MATCH(F$1,SUBQH,0),0),"")</f>
        <v/>
      </c>
      <c r="G6" s="20">
        <f>IFERROR(VLOOKUP($A6,subQ,MATCH(G$1,SUBQH,0),0),"")</f>
        <v/>
      </c>
      <c r="H6" s="20">
        <f>IFERROR(VLOOKUP($A6,subQ,MATCH(H$1,SUBQH,0),0),"")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45">
        <f>IFERROR(VLOOKUP($A7,subQ,MATCH(E$1,SUBQH,0),0),"")</f>
        <v/>
      </c>
      <c r="F7" s="20">
        <f>IFERROR(VLOOKUP($A7,subQ,MATCH(F$1,SUBQH,0),0),"")</f>
        <v/>
      </c>
      <c r="G7" s="20">
        <f>IFERROR(VLOOKUP($A7,subQ,MATCH(G$1,SUBQH,0),0),"")</f>
        <v/>
      </c>
      <c r="H7" s="20">
        <f>IFERROR(VLOOKUP($A7,subQ,MATCH(H$1,SUBQH,0),0),"")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45">
        <f>IFERROR(VLOOKUP($A8,subQ,MATCH(E$1,SUBQH,0),0),"")</f>
        <v/>
      </c>
      <c r="F8" s="20">
        <f>IFERROR(VLOOKUP($A8,subQ,MATCH(F$1,SUBQH,0),0),"")</f>
        <v/>
      </c>
      <c r="G8" s="20">
        <f>IFERROR(VLOOKUP($A8,subQ,MATCH(G$1,SUBQH,0),0),"")</f>
        <v/>
      </c>
      <c r="H8" s="20">
        <f>IFERROR(VLOOKUP($A8,subQ,MATCH(H$1,SUBQH,0),0),"")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45">
        <f>IFERROR(VLOOKUP($A9,subQ,MATCH(E$1,SUBQH,0),0),"")</f>
        <v/>
      </c>
      <c r="F9" s="20">
        <f>IFERROR(VLOOKUP($A9,subQ,MATCH(F$1,SUBQH,0),0),"")</f>
        <v/>
      </c>
      <c r="G9" s="20">
        <f>IFERROR(VLOOKUP($A9,subQ,MATCH(G$1,SUBQH,0),0),"")</f>
        <v/>
      </c>
      <c r="H9" s="20">
        <f>IFERROR(VLOOKUP($A9,subQ,MATCH(H$1,SUBQH,0),0),"")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46">
        <f>IFERROR(VLOOKUP($A10,subQ,MATCH(E$1,SUBQH,0),0),"")</f>
        <v/>
      </c>
      <c r="F10" s="32">
        <f>IFERROR(VLOOKUP($A10,subQ,MATCH(F$1,SUBQH,0),0),"")</f>
        <v/>
      </c>
      <c r="G10" s="32">
        <f>IFERROR(VLOOKUP($A10,subQ,MATCH(G$1,SUBQH,0),0),"")</f>
        <v/>
      </c>
      <c r="H10" s="32">
        <f>IFERROR(VLOOKUP($A10,subQ,MATCH(H$1,SUBQH,0),0),"")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45">
        <f>IFERROR(VLOOKUP($A11,subQ,MATCH(E$1,SUBQH,0),0),"")</f>
        <v/>
      </c>
      <c r="F11" s="20">
        <f>IFERROR(VLOOKUP($A11,subQ,MATCH(F$1,SUBQH,0),0),"")</f>
        <v/>
      </c>
      <c r="G11" s="20">
        <f>IFERROR(VLOOKUP($A11,subQ,MATCH(G$1,SUBQH,0),0),"")</f>
        <v/>
      </c>
      <c r="H11" s="20">
        <f>IFERROR(VLOOKUP($A11,subQ,MATCH(H$1,SUBQH,0),0),"")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45">
        <f>IFERROR(VLOOKUP($A12,subQ,MATCH(E$1,SUBQH,0),0),"")</f>
        <v/>
      </c>
      <c r="F12" s="20">
        <f>IFERROR(VLOOKUP($A12,subQ,MATCH(F$1,SUBQH,0),0),"")</f>
        <v/>
      </c>
      <c r="G12" s="20">
        <f>IFERROR(VLOOKUP($A12,subQ,MATCH(G$1,SUBQH,0),0),"")</f>
        <v/>
      </c>
      <c r="H12" s="20">
        <f>IFERROR(VLOOKUP($A12,subQ,MATCH(H$1,SUBQH,0),0),"")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45">
        <f>IFERROR(VLOOKUP($A13,subQ,MATCH(E$1,SUBQH,0),0),"")</f>
        <v/>
      </c>
      <c r="F13" s="20">
        <f>IFERROR(VLOOKUP($A13,subQ,MATCH(F$1,SUBQH,0),0),"")</f>
        <v/>
      </c>
      <c r="G13" s="20">
        <f>IFERROR(VLOOKUP($A13,subQ,MATCH(G$1,SUBQH,0),0),"")</f>
        <v/>
      </c>
      <c r="H13" s="20">
        <f>IFERROR(VLOOKUP($A13,subQ,MATCH(H$1,SUBQH,0),0),"")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45">
        <f>IFERROR(VLOOKUP($A14,subQ,MATCH(E$1,SUBQH,0),0),"")</f>
        <v/>
      </c>
      <c r="F14" s="20">
        <f>IFERROR(VLOOKUP($A14,subQ,MATCH(F$1,SUBQH,0),0),"")</f>
        <v/>
      </c>
      <c r="G14" s="20">
        <f>IFERROR(VLOOKUP($A14,subQ,MATCH(G$1,SUBQH,0),0),"")</f>
        <v/>
      </c>
      <c r="H14" s="20">
        <f>IFERROR(VLOOKUP($A14,subQ,MATCH(H$1,SUBQH,0),0),"")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45">
        <f>IFERROR(VLOOKUP($A15,subQ,MATCH(E$1,SUBQH,0),0),"")</f>
        <v/>
      </c>
      <c r="F15" s="20">
        <f>IFERROR(VLOOKUP($A15,subQ,MATCH(F$1,SUBQH,0),0),"")</f>
        <v/>
      </c>
      <c r="G15" s="20">
        <f>IFERROR(VLOOKUP($A15,subQ,MATCH(G$1,SUBQH,0),0),"")</f>
        <v/>
      </c>
      <c r="H15" s="20">
        <f>IFERROR(VLOOKUP($A15,subQ,MATCH(H$1,SUBQH,0),0),"")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45">
        <f>IFERROR(VLOOKUP($A16,subQ,MATCH(E$1,SUBQH,0),0),"")</f>
        <v/>
      </c>
      <c r="F16" s="20">
        <f>IFERROR(VLOOKUP($A16,subQ,MATCH(F$1,SUBQH,0),0),"")</f>
        <v/>
      </c>
      <c r="G16" s="20">
        <f>IFERROR(VLOOKUP($A16,subQ,MATCH(G$1,SUBQH,0),0),"")</f>
        <v/>
      </c>
      <c r="H16" s="20">
        <f>IFERROR(VLOOKUP($A16,subQ,MATCH(H$1,SUBQH,0),0),"")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45">
        <f>IFERROR(VLOOKUP($A17,subQ,MATCH(E$1,SUBQH,0),0),"")</f>
        <v/>
      </c>
      <c r="F17" s="20">
        <f>IFERROR(VLOOKUP($A17,subQ,MATCH(F$1,SUBQH,0),0),"")</f>
        <v/>
      </c>
      <c r="G17" s="20">
        <f>IFERROR(VLOOKUP($A17,subQ,MATCH(G$1,SUBQH,0),0),"")</f>
        <v/>
      </c>
      <c r="H17" s="20">
        <f>IFERROR(VLOOKUP($A17,subQ,MATCH(H$1,SUBQH,0),0),"")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45">
        <f>IFERROR(VLOOKUP($A18,subQ,MATCH(E$1,SUBQH,0),0),"")</f>
        <v/>
      </c>
      <c r="F18" s="20">
        <f>IFERROR(VLOOKUP($A18,subQ,MATCH(F$1,SUBQH,0),0),"")</f>
        <v/>
      </c>
      <c r="G18" s="20">
        <f>IFERROR(VLOOKUP($A18,subQ,MATCH(G$1,SUBQH,0),0),"")</f>
        <v/>
      </c>
      <c r="H18" s="20">
        <f>IFERROR(VLOOKUP($A18,subQ,MATCH(H$1,SUBQH,0),0),"")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45">
        <f>IFERROR(VLOOKUP($A19,subQ,MATCH(E$1,SUBQH,0),0),"")</f>
        <v/>
      </c>
      <c r="F19" s="20">
        <f>IFERROR(VLOOKUP($A19,subQ,MATCH(F$1,SUBQH,0),0),"")</f>
        <v/>
      </c>
      <c r="G19" s="20">
        <f>IFERROR(VLOOKUP($A19,subQ,MATCH(G$1,SUBQH,0),0),"")</f>
        <v/>
      </c>
      <c r="H19" s="20">
        <f>IFERROR(VLOOKUP($A19,subQ,MATCH(H$1,SUBQH,0),0),"")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45">
        <f>IFERROR(VLOOKUP($A20,subQ,MATCH(E$1,SUBQH,0),0),"")</f>
        <v/>
      </c>
      <c r="F20" s="20">
        <f>IFERROR(VLOOKUP($A20,subQ,MATCH(F$1,SUBQH,0),0),"")</f>
        <v/>
      </c>
      <c r="G20" s="20">
        <f>IFERROR(VLOOKUP($A20,subQ,MATCH(G$1,SUBQH,0),0),"")</f>
        <v/>
      </c>
      <c r="H20" s="20">
        <f>IFERROR(VLOOKUP($A20,subQ,MATCH(H$1,SUBQH,0),0),"")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45">
        <f>IFERROR(VLOOKUP($A21,subQ,MATCH(E$1,SUBQH,0),0),"")</f>
        <v/>
      </c>
      <c r="F21" s="20">
        <f>IFERROR(VLOOKUP($A21,subQ,MATCH(F$1,SUBQH,0),0),"")</f>
        <v/>
      </c>
      <c r="G21" s="20">
        <f>IFERROR(VLOOKUP($A21,subQ,MATCH(G$1,SUBQH,0),0),"")</f>
        <v/>
      </c>
      <c r="H21" s="20">
        <f>IFERROR(VLOOKUP($A21,subQ,MATCH(H$1,SUBQH,0),0),"")</f>
        <v/>
      </c>
    </row>
    <row r="22">
      <c r="A22" s="12" t="inlineStr">
        <is>
          <t>총차입금</t>
        </is>
      </c>
      <c r="D22" t="inlineStr">
        <is>
          <t>총차입금</t>
        </is>
      </c>
      <c r="E22" s="45">
        <f>IFERROR(VLOOKUP($A22,subQ,MATCH(E$1,SUBQH,0),0),"")</f>
        <v/>
      </c>
      <c r="F22" s="20">
        <f>IFERROR(VLOOKUP($A22,subQ,MATCH(F$1,SUBQH,0),0),"")</f>
        <v/>
      </c>
      <c r="G22" s="20">
        <f>IFERROR(VLOOKUP($A22,subQ,MATCH(G$1,SUBQH,0),0),"")</f>
        <v/>
      </c>
      <c r="H22" s="20">
        <f>IFERROR(VLOOKUP($A22,subQ,MATCH(H$1,SUBQH,0),0),"")</f>
        <v/>
      </c>
    </row>
    <row r="23">
      <c r="A23" s="12" t="inlineStr">
        <is>
          <t>순차입금</t>
        </is>
      </c>
      <c r="D23" t="inlineStr">
        <is>
          <t>순차입금</t>
        </is>
      </c>
      <c r="E23" s="45">
        <f>IFERROR(VLOOKUP($A23,subQ,MATCH(E$1,SUBQH,0),0),"")</f>
        <v/>
      </c>
      <c r="F23" s="20">
        <f>IFERROR(VLOOKUP($A23,subQ,MATCH(F$1,SUBQH,0),0),"")</f>
        <v/>
      </c>
      <c r="G23" s="20">
        <f>IFERROR(VLOOKUP($A23,subQ,MATCH(G$1,SUBQH,0),0),"")</f>
        <v/>
      </c>
      <c r="H23" s="20">
        <f>IFERROR(VLOOKUP($A23,subQ,MATCH(H$1,SUBQH,0),0),"")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45">
        <f>IFERROR(VLOOKUP($A24,subQ,MATCH(E$1,SUBQH,0),0),"")</f>
        <v/>
      </c>
      <c r="F24" s="20">
        <f>IFERROR(VLOOKUP($A24,subQ,MATCH(F$1,SUBQH,0),0),"")</f>
        <v/>
      </c>
      <c r="G24" s="20">
        <f>IFERROR(VLOOKUP($A24,subQ,MATCH(G$1,SUBQH,0),0),"")</f>
        <v/>
      </c>
      <c r="H24" s="20">
        <f>IFERROR(VLOOKUP($A24,subQ,MATCH(H$1,SUBQH,0),0),"")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45">
        <f>IFERROR(VLOOKUP($A25,subQ,MATCH(E$1,SUBQH,0),0),"")</f>
        <v/>
      </c>
      <c r="F25" s="20">
        <f>IFERROR(VLOOKUP($A25,subQ,MATCH(F$1,SUBQH,0),0),"")</f>
        <v/>
      </c>
      <c r="G25" s="20">
        <f>IFERROR(VLOOKUP($A25,subQ,MATCH(G$1,SUBQH,0),0),"")</f>
        <v/>
      </c>
      <c r="H25" s="20">
        <f>IFERROR(VLOOKUP($A25,subQ,MATCH(H$1,SUBQH,0),0),"")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45">
        <f>IFERROR(VLOOKUP($A26,subQ,MATCH(E$1,SUBQH,0),0),"")</f>
        <v/>
      </c>
      <c r="F26" s="20">
        <f>IFERROR(VLOOKUP($A26,subQ,MATCH(F$1,SUBQH,0),0),"")</f>
        <v/>
      </c>
      <c r="G26" s="20">
        <f>IFERROR(VLOOKUP($A26,subQ,MATCH(G$1,SUBQH,0),0),"")</f>
        <v/>
      </c>
      <c r="H26" s="20">
        <f>IFERROR(VLOOKUP($A26,subQ,MATCH(H$1,SUBQH,0),0),"")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45">
        <f>IFERROR(VLOOKUP($A27,subQ,MATCH(E$1,SUBQH,0),0),"")</f>
        <v/>
      </c>
      <c r="F27" s="20">
        <f>IFERROR(VLOOKUP($A27,subQ,MATCH(F$1,SUBQH,0),0),"")</f>
        <v/>
      </c>
      <c r="G27" s="20">
        <f>IFERROR(VLOOKUP($A27,subQ,MATCH(G$1,SUBQH,0),0),"")</f>
        <v/>
      </c>
      <c r="H27" s="20">
        <f>IFERROR(VLOOKUP($A27,subQ,MATCH(H$1,SUBQH,0),0),"")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47">
        <f>IFERROR(VLOOKUP($A28,subQ,MATCH(E$1,SUBQH,0),0),"")</f>
        <v/>
      </c>
      <c r="F28" s="33">
        <f>IFERROR(VLOOKUP($A28,subQ,MATCH(F$1,SUBQH,0),0),"")</f>
        <v/>
      </c>
      <c r="G28" s="33">
        <f>IFERROR(VLOOKUP($A28,subQ,MATCH(G$1,SUBQH,0),0),"")</f>
        <v/>
      </c>
      <c r="H28" s="33">
        <f>IFERROR(VLOOKUP($A28,subQ,MATCH(H$1,SUBQH,0),0),"")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45">
        <f>IFERROR(VLOOKUP($A29,subQ,MATCH(E$1,SUBQH,0),0),"")</f>
        <v/>
      </c>
      <c r="F29" s="20">
        <f>IFERROR(VLOOKUP($A29,subQ,MATCH(F$1,SUBQH,0),0),"")</f>
        <v/>
      </c>
      <c r="G29" s="20">
        <f>IFERROR(VLOOKUP($A29,subQ,MATCH(G$1,SUBQH,0),0),"")</f>
        <v/>
      </c>
      <c r="H29" s="20">
        <f>IFERROR(VLOOKUP($A29,subQ,MATCH(H$1,SUBQH,0),0),"")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45">
        <f>IFERROR(VLOOKUP($A30,subQ,MATCH(E$1,SUBQH,0),0),"")</f>
        <v/>
      </c>
      <c r="F30" s="20">
        <f>IFERROR(VLOOKUP($A30,subQ,MATCH(F$1,SUBQH,0),0),"")</f>
        <v/>
      </c>
      <c r="G30" s="20">
        <f>IFERROR(VLOOKUP($A30,subQ,MATCH(G$1,SUBQH,0),0),"")</f>
        <v/>
      </c>
      <c r="H30" s="20">
        <f>IFERROR(VLOOKUP($A30,subQ,MATCH(H$1,SUBQH,0),0),"")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45">
        <f>IFERROR(VLOOKUP($A31,subQ,MATCH(E$1,SUBQH,0),0),"")</f>
        <v/>
      </c>
      <c r="F31" s="20">
        <f>IFERROR(VLOOKUP($A31,subQ,MATCH(F$1,SUBQH,0),0),"")</f>
        <v/>
      </c>
      <c r="G31" s="20">
        <f>IFERROR(VLOOKUP($A31,subQ,MATCH(G$1,SUBQH,0),0),"")</f>
        <v/>
      </c>
      <c r="H31" s="20">
        <f>IFERROR(VLOOKUP($A31,subQ,MATCH(H$1,SUBQH,0),0),"")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48">
        <f>IFERROR(VLOOKUP($A32,subQ,MATCH(E$1,SUBQH,0),0),"")</f>
        <v/>
      </c>
      <c r="F32" s="39">
        <f>IFERROR(VLOOKUP($A32,subQ,MATCH(F$1,SUBQH,0),0),"")</f>
        <v/>
      </c>
      <c r="G32" s="39">
        <f>IFERROR(VLOOKUP($A32,subQ,MATCH(G$1,SUBQH,0),0),"")</f>
        <v/>
      </c>
      <c r="H32" s="39">
        <f>IFERROR(VLOOKUP($A32,subQ,MATCH(H$1,SUBQH,0),0),"")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48">
        <f>IFERROR(VLOOKUP($A33,subQ,MATCH(E$1,SUBQH,0),0),"")</f>
        <v/>
      </c>
      <c r="F33" s="39">
        <f>IFERROR(VLOOKUP($A33,subQ,MATCH(F$1,SUBQH,0),0),"")</f>
        <v/>
      </c>
      <c r="G33" s="39">
        <f>IFERROR(VLOOKUP($A33,subQ,MATCH(G$1,SUBQH,0),0),"")</f>
        <v/>
      </c>
      <c r="H33" s="39">
        <f>IFERROR(VLOOKUP($A33,subQ,MATCH(H$1,SUBQH,0),0),"")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45">
        <f>IFERROR(VLOOKUP($A34,subQ,MATCH(E$1,SUBQH,0),0),"")</f>
        <v/>
      </c>
      <c r="F34" s="20">
        <f>IFERROR(VLOOKUP($A34,subQ,MATCH(F$1,SUBQH,0),0),"")</f>
        <v/>
      </c>
      <c r="G34" s="20">
        <f>IFERROR(VLOOKUP($A34,subQ,MATCH(G$1,SUBQH,0),0),"")</f>
        <v/>
      </c>
      <c r="H34" s="20">
        <f>IFERROR(VLOOKUP($A34,subQ,MATCH(H$1,SUBQH,0),0),"")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45">
        <f>IFERROR(VLOOKUP($A35,subQ,MATCH(E$1,SUBQH,0),0),"")</f>
        <v/>
      </c>
      <c r="F35" s="20">
        <f>IFERROR(VLOOKUP($A35,subQ,MATCH(F$1,SUBQH,0),0),"")</f>
        <v/>
      </c>
      <c r="G35" s="20">
        <f>IFERROR(VLOOKUP($A35,subQ,MATCH(G$1,SUBQH,0),0),"")</f>
        <v/>
      </c>
      <c r="H35" s="20">
        <f>IFERROR(VLOOKUP($A35,subQ,MATCH(H$1,SUBQH,0),0),"")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46">
        <f>IFERROR(VLOOKUP($A36,subQ,MATCH(E$1,SUBQH,0),0),"")</f>
        <v/>
      </c>
      <c r="F36" s="32">
        <f>IFERROR(VLOOKUP($A36,subQ,MATCH(F$1,SUBQH,0),0),"")</f>
        <v/>
      </c>
      <c r="G36" s="32">
        <f>IFERROR(VLOOKUP($A36,subQ,MATCH(G$1,SUBQH,0),0),"")</f>
        <v/>
      </c>
      <c r="H36" s="32">
        <f>IFERROR(VLOOKUP($A36,subQ,MATCH(H$1,SUBQH,0),0),"")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E37" s="42" t="n"/>
      <c r="F37" s="32">
        <f>IFERROR(F5/E5-1,"")</f>
        <v/>
      </c>
      <c r="G37" s="32">
        <f>IFERROR(G5/F5-1,"")</f>
        <v/>
      </c>
      <c r="H37" s="32">
        <f>IFERROR(H5/G5-1,"")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E38" s="42" t="n"/>
      <c r="F38" s="32">
        <f>IFERROR(F9/E9-1,"")</f>
        <v/>
      </c>
      <c r="G38" s="32">
        <f>IFERROR(G9/F9-1,"")</f>
        <v/>
      </c>
      <c r="H38" s="32">
        <f>IFERROR(H9/G9-1,"")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E39" s="42" t="n"/>
      <c r="F39" s="32">
        <f>IFERROR(F17/E17-1,"")</f>
        <v/>
      </c>
      <c r="G39" s="32">
        <f>IFERROR(G17/F17-1,"")</f>
        <v/>
      </c>
      <c r="H39" s="32">
        <f>IFERROR(H17/G17-1,"")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변수!D40</f>
        <v/>
      </c>
    </row>
    <row r="2">
      <c r="B2" s="1" t="inlineStr">
        <is>
          <t>기준일</t>
        </is>
      </c>
      <c r="C2">
        <f>변수!D41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IFERROR(E7*변수!D46+F7*(1-변수!D46),"")</f>
        <v/>
      </c>
    </row>
    <row r="15">
      <c r="C15" t="inlineStr">
        <is>
          <t>적정가치 @PER_lo</t>
        </is>
      </c>
      <c r="D15" s="27">
        <f>변수!D43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변수!D44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변수!D45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변수!D42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-707.8</v>
      </c>
    </row>
    <row r="30">
      <c r="C30" s="2" t="inlineStr">
        <is>
          <t>bps_latest</t>
        </is>
      </c>
      <c r="D30" t="n">
        <v>5817.1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1.7</v>
      </c>
    </row>
    <row r="33">
      <c r="C33" s="2" t="inlineStr">
        <is>
          <t>roe_fwd</t>
        </is>
      </c>
      <c r="D33" t="n">
        <v>-0.1217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C1" s="2" t="inlineStr">
        <is>
          <t>이름: 외화QH — 환율 QoQ · 외화 순노출 × Δ기말환율</t>
        </is>
      </c>
      <c r="E1" s="3" t="inlineStr">
        <is>
          <t>2Q25</t>
        </is>
      </c>
      <c r="F1" s="3" t="inlineStr">
        <is>
          <t>3Q25</t>
        </is>
      </c>
      <c r="G1" s="3" t="inlineStr">
        <is>
          <t>4Q25</t>
        </is>
      </c>
      <c r="H1" s="3" t="inlineStr">
        <is>
          <t>1Q26</t>
        </is>
      </c>
      <c r="I1" s="3" t="inlineStr">
        <is>
          <t>2Q26</t>
        </is>
      </c>
      <c r="J1" s="3" t="inlineStr">
        <is>
          <t>3Q26</t>
        </is>
      </c>
      <c r="K1" s="3" t="inlineStr">
        <is>
          <t>4Q26</t>
        </is>
      </c>
      <c r="L1" s="3" t="inlineStr">
        <is>
          <t>1Q27</t>
        </is>
      </c>
      <c r="M1" s="3" t="inlineStr">
        <is>
          <t>2Q27</t>
        </is>
      </c>
      <c r="N1" s="3" t="inlineStr">
        <is>
          <t>3Q27</t>
        </is>
      </c>
      <c r="O1" s="3" t="inlineStr">
        <is>
          <t>4Q27</t>
        </is>
      </c>
      <c r="P1" s="3" t="inlineStr">
        <is>
          <t>1Q28</t>
        </is>
      </c>
      <c r="Q1" s="3" t="inlineStr">
        <is>
          <t>2Q28</t>
        </is>
      </c>
      <c r="R1" s="3" t="inlineStr">
        <is>
          <t>3Q28</t>
        </is>
      </c>
      <c r="S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</row>
    <row r="4">
      <c r="E4" s="7" t="inlineStr">
        <is>
          <t>2025.06</t>
        </is>
      </c>
      <c r="F4" s="7" t="inlineStr">
        <is>
          <t>2025.09</t>
        </is>
      </c>
      <c r="G4" s="7" t="inlineStr">
        <is>
          <t>2025.12</t>
        </is>
      </c>
      <c r="H4" s="7" t="inlineStr">
        <is>
          <t>2026.03</t>
        </is>
      </c>
      <c r="I4" s="7" t="inlineStr">
        <is>
          <t>2026.06</t>
        </is>
      </c>
      <c r="J4" s="7" t="inlineStr">
        <is>
          <t>2026.09</t>
        </is>
      </c>
      <c r="K4" s="7" t="inlineStr">
        <is>
          <t>2026.12</t>
        </is>
      </c>
      <c r="L4" s="7" t="inlineStr">
        <is>
          <t>2027.03</t>
        </is>
      </c>
      <c r="M4" s="7" t="inlineStr">
        <is>
          <t>2027.06</t>
        </is>
      </c>
      <c r="N4" s="7" t="inlineStr">
        <is>
          <t>2027.09</t>
        </is>
      </c>
      <c r="O4" s="7" t="inlineStr">
        <is>
          <t>2027.12</t>
        </is>
      </c>
      <c r="P4" s="7" t="inlineStr">
        <is>
          <t>2028.03</t>
        </is>
      </c>
      <c r="Q4" s="7" t="inlineStr">
        <is>
          <t>2028.06</t>
        </is>
      </c>
      <c r="R4" s="7" t="inlineStr">
        <is>
          <t>2028.09</t>
        </is>
      </c>
      <c r="S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39">
        <f>IFERROR(VLOOKUP($D5,환율,MATCH(J$1,변수H,0),0),"")</f>
        <v/>
      </c>
      <c r="K5" s="39">
        <f>IFERROR(VLOOKUP($D5,환율,MATCH(K$1,변수H,0),0),"")</f>
        <v/>
      </c>
      <c r="L5" s="39">
        <f>IFERROR(VLOOKUP($D5,환율,MATCH(L$1,변수H,0),0),"")</f>
        <v/>
      </c>
      <c r="M5" s="39">
        <f>IFERROR(VLOOKUP($D5,환율,MATCH(M$1,변수H,0),0),"")</f>
        <v/>
      </c>
      <c r="N5" s="39">
        <f>IFERROR(VLOOKUP($D5,환율,MATCH(N$1,변수H,0),0),"")</f>
        <v/>
      </c>
      <c r="O5" s="39">
        <f>IFERROR(VLOOKUP($D5,환율,MATCH(O$1,변수H,0),0),"")</f>
        <v/>
      </c>
      <c r="P5" s="39">
        <f>IFERROR(VLOOKUP($D5,환율,MATCH(P$1,변수H,0),0),"")</f>
        <v/>
      </c>
      <c r="Q5" s="39">
        <f>IFERROR(VLOOKUP($D5,환율,MATCH(Q$1,변수H,0),0),"")</f>
        <v/>
      </c>
      <c r="R5" s="39">
        <f>IFERROR(VLOOKUP($D5,환율,MATCH(R$1,변수H,0),0),"")</f>
        <v/>
      </c>
      <c r="S5" s="39">
        <f>IFERROR(VLOOKUP($D5,환율,MATCH(S$1,변수H,0),0),"")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32">
        <f>IFERROR(J5/I5-1,"")</f>
        <v/>
      </c>
      <c r="K6" s="32">
        <f>IFERROR(K5/J5-1,"")</f>
        <v/>
      </c>
      <c r="L6" s="32">
        <f>IFERROR(L5/K5-1,"")</f>
        <v/>
      </c>
      <c r="M6" s="32">
        <f>IFERROR(M5/L5-1,"")</f>
        <v/>
      </c>
      <c r="N6" s="32">
        <f>IFERROR(N5/M5-1,"")</f>
        <v/>
      </c>
      <c r="O6" s="32">
        <f>IFERROR(O5/N5-1,"")</f>
        <v/>
      </c>
      <c r="P6" s="32">
        <f>IFERROR(P5/O5-1,"")</f>
        <v/>
      </c>
      <c r="Q6" s="32">
        <f>IFERROR(Q5/P5-1,"")</f>
        <v/>
      </c>
      <c r="R6" s="32">
        <f>IFERROR(R5/Q5-1,"")</f>
        <v/>
      </c>
      <c r="S6" s="32">
        <f>IFERROR(S5/R5-1,"")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39">
        <f>IFERROR(VLOOKUP($D7,환율,MATCH(J$1,변수H,0),0),"")</f>
        <v/>
      </c>
      <c r="K7" s="39">
        <f>IFERROR(VLOOKUP($D7,환율,MATCH(K$1,변수H,0),0),"")</f>
        <v/>
      </c>
      <c r="L7" s="39">
        <f>IFERROR(VLOOKUP($D7,환율,MATCH(L$1,변수H,0),0),"")</f>
        <v/>
      </c>
      <c r="M7" s="39">
        <f>IFERROR(VLOOKUP($D7,환율,MATCH(M$1,변수H,0),0),"")</f>
        <v/>
      </c>
      <c r="N7" s="39">
        <f>IFERROR(VLOOKUP($D7,환율,MATCH(N$1,변수H,0),0),"")</f>
        <v/>
      </c>
      <c r="O7" s="39">
        <f>IFERROR(VLOOKUP($D7,환율,MATCH(O$1,변수H,0),0),"")</f>
        <v/>
      </c>
      <c r="P7" s="39">
        <f>IFERROR(VLOOKUP($D7,환율,MATCH(P$1,변수H,0),0),"")</f>
        <v/>
      </c>
      <c r="Q7" s="39">
        <f>IFERROR(VLOOKUP($D7,환율,MATCH(Q$1,변수H,0),0),"")</f>
        <v/>
      </c>
      <c r="R7" s="39">
        <f>IFERROR(VLOOKUP($D7,환율,MATCH(R$1,변수H,0),0),"")</f>
        <v/>
      </c>
      <c r="S7" s="39">
        <f>IFERROR(VLOOKUP($D7,환율,MATCH(S$1,변수H,0),0),"")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32">
        <f>IFERROR(J7/I7-1,"")</f>
        <v/>
      </c>
      <c r="K8" s="32">
        <f>IFERROR(K7/J7-1,"")</f>
        <v/>
      </c>
      <c r="L8" s="32">
        <f>IFERROR(L7/K7-1,"")</f>
        <v/>
      </c>
      <c r="M8" s="32">
        <f>IFERROR(M7/L7-1,"")</f>
        <v/>
      </c>
      <c r="N8" s="32">
        <f>IFERROR(N7/M7-1,"")</f>
        <v/>
      </c>
      <c r="O8" s="32">
        <f>IFERROR(O7/N7-1,"")</f>
        <v/>
      </c>
      <c r="P8" s="32">
        <f>IFERROR(P7/O7-1,"")</f>
        <v/>
      </c>
      <c r="Q8" s="32">
        <f>IFERROR(Q7/P7-1,"")</f>
        <v/>
      </c>
      <c r="R8" s="32">
        <f>IFERROR(R7/Q7-1,"")</f>
        <v/>
      </c>
      <c r="S8" s="32">
        <f>IFERROR(S7/R7-1,"")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39">
        <f>IFERROR(VLOOKUP($D9,환율,MATCH(J$1,변수H,0),0),"")</f>
        <v/>
      </c>
      <c r="K9" s="39">
        <f>IFERROR(VLOOKUP($D9,환율,MATCH(K$1,변수H,0),0),"")</f>
        <v/>
      </c>
      <c r="L9" s="39">
        <f>IFERROR(VLOOKUP($D9,환율,MATCH(L$1,변수H,0),0),"")</f>
        <v/>
      </c>
      <c r="M9" s="39">
        <f>IFERROR(VLOOKUP($D9,환율,MATCH(M$1,변수H,0),0),"")</f>
        <v/>
      </c>
      <c r="N9" s="39">
        <f>IFERROR(VLOOKUP($D9,환율,MATCH(N$1,변수H,0),0),"")</f>
        <v/>
      </c>
      <c r="O9" s="39">
        <f>IFERROR(VLOOKUP($D9,환율,MATCH(O$1,변수H,0),0),"")</f>
        <v/>
      </c>
      <c r="P9" s="39">
        <f>IFERROR(VLOOKUP($D9,환율,MATCH(P$1,변수H,0),0),"")</f>
        <v/>
      </c>
      <c r="Q9" s="39">
        <f>IFERROR(VLOOKUP($D9,환율,MATCH(Q$1,변수H,0),0),"")</f>
        <v/>
      </c>
      <c r="R9" s="39">
        <f>IFERROR(VLOOKUP($D9,환율,MATCH(R$1,변수H,0),0),"")</f>
        <v/>
      </c>
      <c r="S9" s="39">
        <f>IFERROR(VLOOKUP($D9,환율,MATCH(S$1,변수H,0),0),"")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32">
        <f>IFERROR(J9/I9-1,"")</f>
        <v/>
      </c>
      <c r="K10" s="32">
        <f>IFERROR(K9/J9-1,"")</f>
        <v/>
      </c>
      <c r="L10" s="32">
        <f>IFERROR(L9/K9-1,"")</f>
        <v/>
      </c>
      <c r="M10" s="32">
        <f>IFERROR(M9/L9-1,"")</f>
        <v/>
      </c>
      <c r="N10" s="32">
        <f>IFERROR(N9/M9-1,"")</f>
        <v/>
      </c>
      <c r="O10" s="32">
        <f>IFERROR(O9/N9-1,"")</f>
        <v/>
      </c>
      <c r="P10" s="32">
        <f>IFERROR(P9/O9-1,"")</f>
        <v/>
      </c>
      <c r="Q10" s="32">
        <f>IFERROR(Q9/P9-1,"")</f>
        <v/>
      </c>
      <c r="R10" s="32">
        <f>IFERROR(R9/Q9-1,"")</f>
        <v/>
      </c>
      <c r="S10" s="32">
        <f>IFERROR(S9/R9-1,"")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39">
        <f>IFERROR(VLOOKUP($D11,환율,MATCH(J$1,변수H,0),0),"")</f>
        <v/>
      </c>
      <c r="K11" s="39">
        <f>IFERROR(VLOOKUP($D11,환율,MATCH(K$1,변수H,0),0),"")</f>
        <v/>
      </c>
      <c r="L11" s="39">
        <f>IFERROR(VLOOKUP($D11,환율,MATCH(L$1,변수H,0),0),"")</f>
        <v/>
      </c>
      <c r="M11" s="39">
        <f>IFERROR(VLOOKUP($D11,환율,MATCH(M$1,변수H,0),0),"")</f>
        <v/>
      </c>
      <c r="N11" s="39">
        <f>IFERROR(VLOOKUP($D11,환율,MATCH(N$1,변수H,0),0),"")</f>
        <v/>
      </c>
      <c r="O11" s="39">
        <f>IFERROR(VLOOKUP($D11,환율,MATCH(O$1,변수H,0),0),"")</f>
        <v/>
      </c>
      <c r="P11" s="39">
        <f>IFERROR(VLOOKUP($D11,환율,MATCH(P$1,변수H,0),0),"")</f>
        <v/>
      </c>
      <c r="Q11" s="39">
        <f>IFERROR(VLOOKUP($D11,환율,MATCH(Q$1,변수H,0),0),"")</f>
        <v/>
      </c>
      <c r="R11" s="39">
        <f>IFERROR(VLOOKUP($D11,환율,MATCH(R$1,변수H,0),0),"")</f>
        <v/>
      </c>
      <c r="S11" s="39">
        <f>IFERROR(VLOOKUP($D11,환율,MATCH(S$1,변수H,0),0),"")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32">
        <f>IFERROR(J11/I11-1,"")</f>
        <v/>
      </c>
      <c r="K12" s="32">
        <f>IFERROR(K11/J11-1,"")</f>
        <v/>
      </c>
      <c r="L12" s="32">
        <f>IFERROR(L11/K11-1,"")</f>
        <v/>
      </c>
      <c r="M12" s="32">
        <f>IFERROR(M11/L11-1,"")</f>
        <v/>
      </c>
      <c r="N12" s="32">
        <f>IFERROR(N11/M11-1,"")</f>
        <v/>
      </c>
      <c r="O12" s="32">
        <f>IFERROR(O11/N11-1,"")</f>
        <v/>
      </c>
      <c r="P12" s="32">
        <f>IFERROR(P11/O11-1,"")</f>
        <v/>
      </c>
      <c r="Q12" s="32">
        <f>IFERROR(Q11/P11-1,"")</f>
        <v/>
      </c>
      <c r="R12" s="32">
        <f>IFERROR(R11/Q11-1,"")</f>
        <v/>
      </c>
      <c r="S12" s="32">
        <f>IFERROR(S11/R11-1,"")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39">
        <f>IFERROR(VLOOKUP($D13,환율,MATCH(J$1,변수H,0),0),"")</f>
        <v/>
      </c>
      <c r="K13" s="39">
        <f>IFERROR(VLOOKUP($D13,환율,MATCH(K$1,변수H,0),0),"")</f>
        <v/>
      </c>
      <c r="L13" s="39">
        <f>IFERROR(VLOOKUP($D13,환율,MATCH(L$1,변수H,0),0),"")</f>
        <v/>
      </c>
      <c r="M13" s="39">
        <f>IFERROR(VLOOKUP($D13,환율,MATCH(M$1,변수H,0),0),"")</f>
        <v/>
      </c>
      <c r="N13" s="39">
        <f>IFERROR(VLOOKUP($D13,환율,MATCH(N$1,변수H,0),0),"")</f>
        <v/>
      </c>
      <c r="O13" s="39">
        <f>IFERROR(VLOOKUP($D13,환율,MATCH(O$1,변수H,0),0),"")</f>
        <v/>
      </c>
      <c r="P13" s="39">
        <f>IFERROR(VLOOKUP($D13,환율,MATCH(P$1,변수H,0),0),"")</f>
        <v/>
      </c>
      <c r="Q13" s="39">
        <f>IFERROR(VLOOKUP($D13,환율,MATCH(Q$1,변수H,0),0),"")</f>
        <v/>
      </c>
      <c r="R13" s="39">
        <f>IFERROR(VLOOKUP($D13,환율,MATCH(R$1,변수H,0),0),"")</f>
        <v/>
      </c>
      <c r="S13" s="39">
        <f>IFERROR(VLOOKUP($D13,환율,MATCH(S$1,변수H,0),0),"")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32">
        <f>IFERROR(J13/I13-1,"")</f>
        <v/>
      </c>
      <c r="K14" s="32">
        <f>IFERROR(K13/J13-1,"")</f>
        <v/>
      </c>
      <c r="L14" s="32">
        <f>IFERROR(L13/K13-1,"")</f>
        <v/>
      </c>
      <c r="M14" s="32">
        <f>IFERROR(M13/L13-1,"")</f>
        <v/>
      </c>
      <c r="N14" s="32">
        <f>IFERROR(N13/M13-1,"")</f>
        <v/>
      </c>
      <c r="O14" s="32">
        <f>IFERROR(O13/N13-1,"")</f>
        <v/>
      </c>
      <c r="P14" s="32">
        <f>IFERROR(P13/O13-1,"")</f>
        <v/>
      </c>
      <c r="Q14" s="32">
        <f>IFERROR(Q13/P13-1,"")</f>
        <v/>
      </c>
      <c r="R14" s="32">
        <f>IFERROR(R13/Q13-1,"")</f>
        <v/>
      </c>
      <c r="S14" s="32">
        <f>IFERROR(S13/R13-1,"")</f>
        <v/>
      </c>
    </row>
    <row r="15"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변수!D53</f>
        <v/>
      </c>
      <c r="E16" s="2" t="inlineStr">
        <is>
          <t>외화 순노출 × Δ기말환율 (외화 시트 방식)</t>
        </is>
      </c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20">
        <f>IFERROR($D$16*(J7-I7)/100,"")</f>
        <v/>
      </c>
      <c r="K17" s="20">
        <f>IFERROR($D$16*(K7-J7)/100,"")</f>
        <v/>
      </c>
      <c r="L17" s="20">
        <f>IFERROR($D$16*(L7-K7)/100,"")</f>
        <v/>
      </c>
      <c r="M17" s="20">
        <f>IFERROR($D$16*(M7-L7)/100,"")</f>
        <v/>
      </c>
      <c r="N17" s="20">
        <f>IFERROR($D$16*(N7-M7)/100,"")</f>
        <v/>
      </c>
      <c r="O17" s="20">
        <f>IFERROR($D$16*(O7-N7)/100,"")</f>
        <v/>
      </c>
      <c r="P17" s="20">
        <f>IFERROR($D$16*(P7-O7)/100,"")</f>
        <v/>
      </c>
      <c r="Q17" s="20">
        <f>IFERROR($D$16*(Q7-P7)/100,"")</f>
        <v/>
      </c>
      <c r="R17" s="20">
        <f>IFERROR($D$16*(R7-Q7)/100,"")</f>
        <v/>
      </c>
      <c r="S17" s="20">
        <f>IFERROR($D$16*(S7-R7)/100,"")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>
      <c r="C19" s="2" t="inlineStr">
        <is>
          <t>외화 순노출 미공시(face) → 0 + 표기</t>
        </is>
      </c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