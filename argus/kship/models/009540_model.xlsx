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67417억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69011억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72162억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75834억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80393억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85242억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90441억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94674억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97792억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14.1%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67417억 × 연결/자회사 비율 1.410(2025Q4·2026Q1·2026Q2 실측 중위; 삼호·기타 자회사·내부거래 포함)
[yoy]</t>
      </text>
    </comment>
    <comment ref="AF5" authorId="0" shapeId="0">
      <text>
        <t>추정: HD현대重 모델 매출 69011억 × 연결/자회사 비율 1.410(2025Q4·2026Q1·2026Q2 실측 중위; 삼호·기타 자회사·내부거래 포함)
[yoy]</t>
      </text>
    </comment>
    <comment ref="AG5" authorId="0" shapeId="0">
      <text>
        <t>추정: HD현대重 모델 매출 72162억 × 연결/자회사 비율 1.410(2025Q4·2026Q1·2026Q2 실측 중위; 삼호·기타 자회사·내부거래 포함)
[yoy]</t>
      </text>
    </comment>
    <comment ref="AH5" authorId="0" shapeId="0">
      <text>
        <t>추정: HD현대重 모델 매출 75834억 × 연결/자회사 비율 1.410(2025Q4·2026Q1·2026Q2 실측 중위; 삼호·기타 자회사·내부거래 포함)
[yoy]</t>
      </text>
    </comment>
    <comment ref="AI5" authorId="0" shapeId="0">
      <text>
        <t>추정: HD현대重 모델 매출 80393억 × 연결/자회사 비율 1.410(2025Q4·2026Q1·2026Q2 실측 중위; 삼호·기타 자회사·내부거래 포함)
[yoy]</t>
      </text>
    </comment>
    <comment ref="AK5" authorId="0" shapeId="0">
      <text>
        <t>추정: HD현대重 모델 매출 85242억 × 연결/자회사 비율 1.410(2025Q4·2026Q1·2026Q2 실측 중위; 삼호·기타 자회사·내부거래 포함)
[yoy]</t>
      </text>
    </comment>
    <comment ref="AL5" authorId="0" shapeId="0">
      <text>
        <t>추정: HD현대重 모델 매출 90441억 × 연결/자회사 비율 1.410(2025Q4·2026Q1·2026Q2 실측 중위; 삼호·기타 자회사·내부거래 포함)
[yoy]</t>
      </text>
    </comment>
    <comment ref="AM5" authorId="0" shapeId="0">
      <text>
        <t>추정: HD현대重 모델 매출 94674억 × 연결/자회사 비율 1.410(2025Q4·2026Q1·2026Q2 실측 중위; 삼호·기타 자회사·내부거래 포함)
[yoy]</t>
      </text>
    </comment>
    <comment ref="AN5" authorId="0" shapeId="0">
      <text>
        <t>추정: HD현대重 모델 매출 97792억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14.1%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14.1%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175191억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187666억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192077억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205870억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220556억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236194억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244154억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261625억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175191억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187666억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192077억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205870억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220556억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236194억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244154억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261625억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74060.61, "rev_act": 75814.36, "op_pred": 7553.97, "op_act": 10537.75}, {"q": "2025Q4", "rev_pred": 74060.61, "rev_act": 81516.57, "op_pred": 7553.97, "op_act": 10379.19}, {"q": "2026Q1", "rev_pred": 73788.96, "rev_act": 81408.9, "op_pred": 7526.26, "op_act": 13559.7}, {"q": "2026Q2", "rev_pred": 73924.76,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244000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236500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277375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0.226362569</v>
      </c>
      <c r="AD21" s="24" t="n">
        <v>0.165955523</v>
      </c>
      <c r="AE21" s="25" t="n"/>
      <c r="AF21" s="24" t="n">
        <v>0.195102169</v>
      </c>
      <c r="AG21" s="24" t="n">
        <v>0.139614096</v>
      </c>
      <c r="AH21" s="24" t="n">
        <v>0.149867885</v>
      </c>
      <c r="AI21" s="24" t="n">
        <v>0.192461462</v>
      </c>
      <c r="AJ21" s="25" t="n"/>
      <c r="AK21" s="24" t="n">
        <v>0.235184</v>
      </c>
      <c r="AL21" s="24" t="n">
        <v>0.253296935</v>
      </c>
      <c r="AM21" s="24" t="n">
        <v>0.248440581</v>
      </c>
      <c r="AN21" s="24" t="n">
        <v>0.216434279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0.157199786</v>
      </c>
      <c r="AD23" s="24" t="n">
        <v>0.157455509</v>
      </c>
      <c r="AE23" s="25">
        <f>IFERROR(subQ!AE9/subQ!AE5,"")</f>
        <v/>
      </c>
      <c r="AF23" s="24" t="n">
        <v>0.157446017</v>
      </c>
      <c r="AG23" s="24" t="n">
        <v>0.157471238</v>
      </c>
      <c r="AH23" s="24" t="n">
        <v>0.15754711</v>
      </c>
      <c r="AI23" s="24" t="n">
        <v>0.157603956</v>
      </c>
      <c r="AJ23" s="25">
        <f>IFERROR(subQ!AJ9/subQ!AJ5,"")</f>
        <v/>
      </c>
      <c r="AK23" s="24" t="n">
        <v>0.157657606</v>
      </c>
      <c r="AL23" s="24" t="n">
        <v>0.157714468</v>
      </c>
      <c r="AM23" s="24" t="n">
        <v>0.157853439</v>
      </c>
      <c r="AN23" s="24" t="n">
        <v>0.158052494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0.000819238</v>
      </c>
      <c r="AD32" s="30" t="n">
        <v>-0.002107975</v>
      </c>
      <c r="AE32" s="31" t="n"/>
      <c r="AF32" s="30" t="n">
        <v>-0.001047343</v>
      </c>
      <c r="AG32" s="30" t="n">
        <v>8697.9032683</v>
      </c>
      <c r="AH32" s="30" t="n">
        <v>-0.003300753</v>
      </c>
      <c r="AI32" s="30" t="n">
        <v>-0.007320257</v>
      </c>
      <c r="AJ32" s="31" t="n"/>
      <c r="AK32" s="30" t="n">
        <v>-7.2968e-05</v>
      </c>
      <c r="AL32" s="30" t="n">
        <v>8697.889283655</v>
      </c>
      <c r="AM32" s="30" t="n">
        <v>-0.006933671</v>
      </c>
      <c r="AN32" s="30" t="n">
        <v>-0.000392328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0.001881628</v>
      </c>
      <c r="AD33" s="30" t="n">
        <v>-0.004786166</v>
      </c>
      <c r="AE33" s="31" t="n"/>
      <c r="AF33" s="30" t="n">
        <v>-0.000730637</v>
      </c>
      <c r="AG33" s="30" t="n">
        <v>8697.899136796001</v>
      </c>
      <c r="AH33" s="30" t="n">
        <v>-0.006248691</v>
      </c>
      <c r="AI33" s="30" t="n">
        <v>-0.00353087</v>
      </c>
      <c r="AJ33" s="31" t="n"/>
      <c r="AK33" s="30" t="n">
        <v>-0.008283745</v>
      </c>
      <c r="AL33" s="30" t="n">
        <v>8697.896050742</v>
      </c>
      <c r="AM33" s="30" t="n">
        <v>-0.011110072</v>
      </c>
      <c r="AN33" s="30" t="n">
        <v>-0.00034731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0.092049436</v>
      </c>
      <c r="AE35" s="25" t="n"/>
      <c r="AF35" s="24" t="n">
        <v>0.08673146399999999</v>
      </c>
      <c r="AG35" s="24" t="n">
        <v>0.028214778</v>
      </c>
      <c r="AH35" s="24" t="n">
        <v>0.085813295</v>
      </c>
      <c r="AI35" s="24" t="n">
        <v>0.08415466200000001</v>
      </c>
      <c r="AJ35" s="25" t="n"/>
      <c r="AK35" s="24" t="n">
        <v>0.082649204</v>
      </c>
      <c r="AL35" s="24" t="n">
        <v>0.03885699</v>
      </c>
      <c r="AM35" s="24" t="n">
        <v>0.082099924</v>
      </c>
      <c r="AN35" s="24" t="n">
        <v>0.078808594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0.074353933</v>
      </c>
      <c r="AE36" s="25" t="n"/>
      <c r="AF36" s="24" t="n">
        <v>0.07121226</v>
      </c>
      <c r="AG36" s="24" t="n">
        <v>0.023501817</v>
      </c>
      <c r="AH36" s="24" t="n">
        <v>0.071808345</v>
      </c>
      <c r="AI36" s="24" t="n">
        <v>0.07134046400000001</v>
      </c>
      <c r="AJ36" s="25" t="n"/>
      <c r="AK36" s="24" t="n">
        <v>0.070902321</v>
      </c>
      <c r="AL36" s="24" t="n">
        <v>0.033699917</v>
      </c>
      <c r="AM36" s="24" t="n">
        <v>0.071558952</v>
      </c>
      <c r="AN36" s="24" t="n">
        <v>0.069365833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244000</v>
      </c>
      <c r="E44" s="2" t="inlineStr">
        <is>
          <t>원 — 네이버 정규장 종가(aik 확정종가 대조 · aik 252,000원)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0.1989269737448312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0.04842985667619831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0.7600274826120655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0.02816784761777558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0.1311621321579165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3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85.10299999999999</v>
      </c>
      <c r="AA5" s="27" t="n">
        <v>94.45699999999999</v>
      </c>
      <c r="AB5" s="27" t="n">
        <v>53.04</v>
      </c>
      <c r="AC5" s="27" t="n">
        <v>99.961</v>
      </c>
      <c r="AD5" s="27" t="n">
        <v>169.529</v>
      </c>
      <c r="AE5" s="27" t="n">
        <v>335.421</v>
      </c>
      <c r="AF5" s="27" t="n">
        <v>488.875</v>
      </c>
      <c r="AG5" s="27" t="n">
        <v>583.587</v>
      </c>
      <c r="AH5" s="27" t="n">
        <v>630.653</v>
      </c>
      <c r="AI5" s="27" t="n">
        <v>627.523</v>
      </c>
      <c r="AJ5" s="27" t="n">
        <v>634.495</v>
      </c>
      <c r="AK5" s="27" t="n">
        <v>637.47</v>
      </c>
      <c r="AL5" s="27" t="n">
        <v>629.208</v>
      </c>
      <c r="AM5" s="27" t="n">
        <v>622.369</v>
      </c>
      <c r="AN5" s="27" t="n">
        <v>618.225</v>
      </c>
      <c r="AO5" s="27" t="n">
        <v>591.093</v>
      </c>
      <c r="AP5" s="27" t="n">
        <v>551.152</v>
      </c>
      <c r="AQ5" s="27" t="n">
        <v>432.784</v>
      </c>
      <c r="AR5" s="27" t="n">
        <v>328.041</v>
      </c>
      <c r="AS5" s="27" t="n">
        <v>240.539</v>
      </c>
      <c r="AT5" s="27" t="n">
        <v>171.402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285.506</v>
      </c>
      <c r="BC5" s="27" t="n">
        <v>416.987</v>
      </c>
      <c r="BD5" s="27" t="n">
        <v>2038.536</v>
      </c>
      <c r="BE5" s="27" t="n">
        <v>2528.696</v>
      </c>
      <c r="BF5" s="27" t="n">
        <v>2382.839</v>
      </c>
      <c r="BG5" s="27" t="n">
        <v>1172.766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68.122</v>
      </c>
      <c r="AA6" s="27" t="n">
        <v>77.84399999999999</v>
      </c>
      <c r="AB6" s="27" t="n">
        <v>36.243</v>
      </c>
      <c r="AC6" s="27" t="n">
        <v>82.98</v>
      </c>
      <c r="AD6" s="27" t="n">
        <v>153.368</v>
      </c>
      <c r="AE6" s="27" t="n">
        <v>323.428</v>
      </c>
      <c r="AF6" s="27" t="n">
        <v>476.749</v>
      </c>
      <c r="AG6" s="27" t="n">
        <v>571.328</v>
      </c>
      <c r="AH6" s="27" t="n">
        <v>618.394</v>
      </c>
      <c r="AI6" s="27" t="n">
        <v>615.53</v>
      </c>
      <c r="AJ6" s="27" t="n">
        <v>622.369</v>
      </c>
      <c r="AK6" s="27" t="n">
        <v>629.208</v>
      </c>
      <c r="AL6" s="27" t="n">
        <v>629.208</v>
      </c>
      <c r="AM6" s="27" t="n">
        <v>622.369</v>
      </c>
      <c r="AN6" s="27" t="n">
        <v>618.225</v>
      </c>
      <c r="AO6" s="27" t="n">
        <v>591.093</v>
      </c>
      <c r="AP6" s="27" t="n">
        <v>551.152</v>
      </c>
      <c r="AQ6" s="27" t="n">
        <v>432.784</v>
      </c>
      <c r="AR6" s="27" t="n">
        <v>328.041</v>
      </c>
      <c r="AS6" s="27" t="n">
        <v>240.539</v>
      </c>
      <c r="AT6" s="27" t="n">
        <v>171.402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217.949</v>
      </c>
      <c r="BC6" s="27" t="n">
        <v>350.435</v>
      </c>
      <c r="BD6" s="27" t="n">
        <v>1989.899</v>
      </c>
      <c r="BE6" s="27" t="n">
        <v>2496.315</v>
      </c>
      <c r="BF6" s="27" t="n">
        <v>2382.839</v>
      </c>
      <c r="BG6" s="27" t="n">
        <v>1172.766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type:CONT</t>
        </is>
      </c>
      <c r="D9" t="inlineStr">
        <is>
          <t>선종 CONT</t>
        </is>
      </c>
      <c r="Z9" s="27" t="n">
        <v>17.815</v>
      </c>
      <c r="AA9" s="27" t="n">
        <v>28.631</v>
      </c>
      <c r="AB9" s="27" t="n">
        <v>28.949</v>
      </c>
      <c r="AC9" s="27" t="n">
        <v>29.267</v>
      </c>
      <c r="AD9" s="27" t="n">
        <v>71.59399999999999</v>
      </c>
      <c r="AE9" s="27" t="n">
        <v>147.926</v>
      </c>
      <c r="AF9" s="27" t="n">
        <v>149.57</v>
      </c>
      <c r="AG9" s="27" t="n">
        <v>151.213</v>
      </c>
      <c r="AH9" s="27" t="n">
        <v>195.845</v>
      </c>
      <c r="AI9" s="27" t="n">
        <v>202.167</v>
      </c>
      <c r="AJ9" s="27" t="n">
        <v>204.414</v>
      </c>
      <c r="AK9" s="27" t="n">
        <v>206.66</v>
      </c>
      <c r="AL9" s="27" t="n">
        <v>206.66</v>
      </c>
      <c r="AM9" s="27" t="n">
        <v>204.414</v>
      </c>
      <c r="AN9" s="27" t="n">
        <v>204.414</v>
      </c>
      <c r="AO9" s="27" t="n">
        <v>206.66</v>
      </c>
      <c r="AP9" s="27" t="n">
        <v>188.409</v>
      </c>
      <c r="AQ9" s="27" t="n">
        <v>162.105</v>
      </c>
      <c r="AR9" s="27" t="n">
        <v>110.204</v>
      </c>
      <c r="AS9" s="27" t="n">
        <v>84.714</v>
      </c>
      <c r="AT9" s="27" t="n">
        <v>84.714</v>
      </c>
      <c r="BB9" s="27" t="n">
        <v>17.815</v>
      </c>
      <c r="BC9" s="27" t="n">
        <v>158.441</v>
      </c>
      <c r="BD9" s="27" t="n">
        <v>644.554</v>
      </c>
      <c r="BE9" s="27" t="n">
        <v>819.901</v>
      </c>
      <c r="BF9" s="27" t="n">
        <v>803.897</v>
      </c>
      <c r="BG9" s="27" t="n">
        <v>441.737</v>
      </c>
    </row>
    <row r="10">
      <c r="A10" s="12" t="inlineStr">
        <is>
          <t>type:LNGC</t>
        </is>
      </c>
      <c r="D10" t="inlineStr">
        <is>
          <t>선종 LNGC</t>
        </is>
      </c>
      <c r="AB10" s="27" t="n">
        <v>2.919</v>
      </c>
      <c r="AC10" s="27" t="n">
        <v>53.713</v>
      </c>
      <c r="AD10" s="27" t="n">
        <v>60.682</v>
      </c>
      <c r="AE10" s="27" t="n">
        <v>89.625</v>
      </c>
      <c r="AF10" s="27" t="n">
        <v>154.335</v>
      </c>
      <c r="AG10" s="27" t="n">
        <v>176.152</v>
      </c>
      <c r="AH10" s="27" t="n">
        <v>176.152</v>
      </c>
      <c r="AI10" s="27" t="n">
        <v>172.322</v>
      </c>
      <c r="AJ10" s="27" t="n">
        <v>174.237</v>
      </c>
      <c r="AK10" s="27" t="n">
        <v>176.152</v>
      </c>
      <c r="AL10" s="27" t="n">
        <v>176.152</v>
      </c>
      <c r="AM10" s="27" t="n">
        <v>174.237</v>
      </c>
      <c r="AN10" s="27" t="n">
        <v>174.237</v>
      </c>
      <c r="AO10" s="27" t="n">
        <v>150.746</v>
      </c>
      <c r="AP10" s="27" t="n">
        <v>150.746</v>
      </c>
      <c r="AQ10" s="27" t="n">
        <v>93.956</v>
      </c>
      <c r="AR10" s="27" t="n">
        <v>75.51900000000001</v>
      </c>
      <c r="AS10" s="27" t="n">
        <v>46.123</v>
      </c>
      <c r="BC10" s="27" t="n">
        <v>117.314</v>
      </c>
      <c r="BD10" s="27" t="n">
        <v>596.264</v>
      </c>
      <c r="BE10" s="27" t="n">
        <v>698.8630000000001</v>
      </c>
      <c r="BF10" s="27" t="n">
        <v>649.966</v>
      </c>
      <c r="BG10" s="27" t="n">
        <v>215.598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Z15" s="27" t="n">
        <v>17.815</v>
      </c>
      <c r="AA15" s="27" t="n">
        <v>28.631</v>
      </c>
      <c r="AB15" s="27" t="n">
        <v>31.868</v>
      </c>
      <c r="AC15" s="27" t="n">
        <v>82.98</v>
      </c>
      <c r="AD15" s="27" t="n">
        <v>153.368</v>
      </c>
      <c r="AE15" s="27" t="n">
        <v>323.428</v>
      </c>
      <c r="AF15" s="27" t="n">
        <v>476.749</v>
      </c>
      <c r="AG15" s="27" t="n">
        <v>571.328</v>
      </c>
      <c r="AH15" s="27" t="n">
        <v>618.394</v>
      </c>
      <c r="AI15" s="27" t="n">
        <v>615.53</v>
      </c>
      <c r="AJ15" s="27" t="n">
        <v>622.369</v>
      </c>
      <c r="AK15" s="27" t="n">
        <v>629.208</v>
      </c>
      <c r="AL15" s="27" t="n">
        <v>629.208</v>
      </c>
      <c r="AM15" s="27" t="n">
        <v>622.369</v>
      </c>
      <c r="AN15" s="27" t="n">
        <v>618.225</v>
      </c>
      <c r="AO15" s="27" t="n">
        <v>591.093</v>
      </c>
      <c r="AP15" s="27" t="n">
        <v>551.152</v>
      </c>
      <c r="AQ15" s="27" t="n">
        <v>432.784</v>
      </c>
      <c r="AR15" s="27" t="n">
        <v>328.041</v>
      </c>
      <c r="AS15" s="27" t="n">
        <v>240.539</v>
      </c>
      <c r="AT15" s="27" t="n">
        <v>171.402</v>
      </c>
      <c r="AU15" s="27" t="n">
        <v>24.339</v>
      </c>
      <c r="AV15" s="27" t="n">
        <v>16.497</v>
      </c>
      <c r="BB15" s="27" t="n">
        <v>17.815</v>
      </c>
      <c r="BC15" s="27" t="n">
        <v>296.847</v>
      </c>
      <c r="BD15" s="27" t="n">
        <v>1989.899</v>
      </c>
      <c r="BE15" s="27" t="n">
        <v>2496.315</v>
      </c>
      <c r="BF15" s="27" t="n">
        <v>2382.839</v>
      </c>
      <c r="BG15" s="27" t="n">
        <v>1172.766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1188.52</v>
      </c>
      <c r="AA17" s="13" t="n">
        <v>1213.16</v>
      </c>
      <c r="AB17" s="13" t="n">
        <v>1299.82</v>
      </c>
      <c r="AC17" s="13" t="n">
        <v>1338.73</v>
      </c>
      <c r="AD17" s="13" t="n">
        <v>1385.29</v>
      </c>
      <c r="AE17" s="13" t="n">
        <v>1422.35</v>
      </c>
      <c r="AF17" s="13" t="n">
        <v>1444.12</v>
      </c>
      <c r="AG17" s="13" t="n">
        <v>1449.75</v>
      </c>
      <c r="AH17" s="13" t="n">
        <v>1439.58</v>
      </c>
      <c r="AI17" s="13" t="n">
        <v>1437.24</v>
      </c>
      <c r="AJ17" s="13" t="n">
        <v>1437.24</v>
      </c>
      <c r="AK17" s="13" t="n">
        <v>1438.98</v>
      </c>
      <c r="AL17" s="13" t="n">
        <v>1442.65</v>
      </c>
      <c r="AM17" s="13" t="n">
        <v>1442.65</v>
      </c>
      <c r="AN17" s="13" t="n">
        <v>1442.49</v>
      </c>
      <c r="AO17" s="13" t="n">
        <v>1441.13</v>
      </c>
      <c r="AP17" s="13" t="n">
        <v>1440.53</v>
      </c>
      <c r="AQ17" s="13" t="n">
        <v>1444.39</v>
      </c>
      <c r="AR17" s="13" t="n">
        <v>1442.7</v>
      </c>
      <c r="AS17" s="13" t="n">
        <v>1431.6</v>
      </c>
      <c r="AT17" s="13" t="n">
        <v>1408.52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1337.49</v>
      </c>
      <c r="AI18" s="13" t="n">
        <v>1324.45</v>
      </c>
      <c r="AJ18" s="13" t="n">
        <v>1324.45</v>
      </c>
      <c r="AK18" s="13" t="n">
        <v>1324.45</v>
      </c>
      <c r="AL18" s="13" t="n">
        <v>1324.45</v>
      </c>
      <c r="AM18" s="13" t="n">
        <v>1324.45</v>
      </c>
      <c r="AN18" s="13" t="n">
        <v>1324.45</v>
      </c>
      <c r="AO18" s="13" t="n">
        <v>1324.45</v>
      </c>
      <c r="AP18" s="13" t="n">
        <v>1324.45</v>
      </c>
      <c r="AQ18" s="13" t="n">
        <v>1324.45</v>
      </c>
      <c r="AR18" s="13" t="n">
        <v>1324.45</v>
      </c>
      <c r="AS18" s="13" t="n">
        <v>1324.45</v>
      </c>
      <c r="AT18" s="13" t="n">
        <v>1324.45</v>
      </c>
      <c r="AU18" s="13" t="n">
        <v>1324.45</v>
      </c>
      <c r="AV18" s="13" t="n">
        <v>1324.45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1250.85</v>
      </c>
      <c r="AA19" s="13" t="n">
        <v>1284.9</v>
      </c>
      <c r="AB19" s="13" t="n">
        <v>1329.43</v>
      </c>
      <c r="AC19" s="13" t="n">
        <v>1353.2</v>
      </c>
      <c r="AD19" s="13" t="n">
        <v>1404.46</v>
      </c>
      <c r="AE19" s="13" t="n">
        <v>1435.48</v>
      </c>
      <c r="AF19" s="13" t="n">
        <v>1461.41</v>
      </c>
      <c r="AG19" s="13" t="n">
        <v>1440.45</v>
      </c>
      <c r="AH19" s="13" t="n">
        <v>1408.95</v>
      </c>
      <c r="AI19" s="13" t="n">
        <v>1403.4</v>
      </c>
      <c r="AJ19" s="13" t="n">
        <v>1403.4</v>
      </c>
      <c r="AK19" s="13" t="n">
        <v>1404.62</v>
      </c>
      <c r="AL19" s="13" t="n">
        <v>1407.19</v>
      </c>
      <c r="AM19" s="13" t="n">
        <v>1407.19</v>
      </c>
      <c r="AN19" s="13" t="n">
        <v>1407.08</v>
      </c>
      <c r="AO19" s="13" t="n">
        <v>1406.13</v>
      </c>
      <c r="AP19" s="13" t="n">
        <v>1405.71</v>
      </c>
      <c r="AQ19" s="13" t="n">
        <v>1408.41</v>
      </c>
      <c r="AR19" s="13" t="n">
        <v>1407.22</v>
      </c>
      <c r="AS19" s="13" t="n">
        <v>1399.46</v>
      </c>
      <c r="AT19" s="13" t="n">
        <v>1383.3</v>
      </c>
      <c r="AU19" s="13" t="n">
        <v>1390.46</v>
      </c>
      <c r="AV19" s="13" t="n">
        <v>1390.46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106451.9</v>
      </c>
      <c r="AA20" s="18" t="n">
        <v>121367.5</v>
      </c>
      <c r="AB20" s="18" t="n">
        <v>70512.7</v>
      </c>
      <c r="AC20" s="18" t="n">
        <v>135267.4</v>
      </c>
      <c r="AD20" s="18" t="n">
        <v>238096.8</v>
      </c>
      <c r="AE20" s="18" t="n">
        <v>481490.7</v>
      </c>
      <c r="AF20" s="18" t="n">
        <v>714445.6</v>
      </c>
      <c r="AG20" s="18" t="n">
        <v>840627.1</v>
      </c>
      <c r="AH20" s="18" t="n">
        <v>888559.1</v>
      </c>
      <c r="AI20" s="18" t="n">
        <v>880668.8</v>
      </c>
      <c r="AJ20" s="18" t="n">
        <v>890454</v>
      </c>
      <c r="AK20" s="18" t="n">
        <v>895404.9</v>
      </c>
      <c r="AL20" s="18" t="n">
        <v>885413.9</v>
      </c>
      <c r="AM20" s="18" t="n">
        <v>875789.9</v>
      </c>
      <c r="AN20" s="18" t="n">
        <v>869890</v>
      </c>
      <c r="AO20" s="18" t="n">
        <v>831152.7</v>
      </c>
      <c r="AP20" s="18" t="n">
        <v>774759.4</v>
      </c>
      <c r="AQ20" s="18" t="n">
        <v>609537.5</v>
      </c>
      <c r="AR20" s="18" t="n">
        <v>461627.5</v>
      </c>
      <c r="AS20" s="18" t="n">
        <v>336623.9</v>
      </c>
      <c r="AT20" s="18" t="n">
        <v>237100.5</v>
      </c>
      <c r="AU20" s="18" t="n">
        <v>33843.1</v>
      </c>
      <c r="AV20" s="18" t="n">
        <v>22938.1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346779.8</v>
      </c>
      <c r="BC20" s="18" t="n">
        <v>565244.4</v>
      </c>
      <c r="BD20" s="18" t="n">
        <v>2925122.5</v>
      </c>
      <c r="BE20" s="18" t="n">
        <v>3551941.6</v>
      </c>
      <c r="BF20" s="18" t="n">
        <v>3351592</v>
      </c>
      <c r="BG20" s="18" t="n">
        <v>1644889.4</v>
      </c>
      <c r="BH20" s="18" t="n">
        <v>56781.2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85438</v>
      </c>
      <c r="AA21" s="18" t="n">
        <v>100531.4</v>
      </c>
      <c r="AB21" s="18" t="n">
        <v>49715.9</v>
      </c>
      <c r="AC21" s="18" t="n">
        <v>114301.1</v>
      </c>
      <c r="AD21" s="18" t="n">
        <v>217856.8</v>
      </c>
      <c r="AE21" s="18" t="n">
        <v>466478</v>
      </c>
      <c r="AF21" s="18" t="n">
        <v>699136.5</v>
      </c>
      <c r="AG21" s="18" t="n">
        <v>825455</v>
      </c>
      <c r="AH21" s="18" t="n">
        <v>873685.9</v>
      </c>
      <c r="AI21" s="18" t="n">
        <v>866165.8</v>
      </c>
      <c r="AJ21" s="18" t="n">
        <v>875789.9</v>
      </c>
      <c r="AK21" s="18" t="n">
        <v>885413.9</v>
      </c>
      <c r="AL21" s="18" t="n">
        <v>885413.9</v>
      </c>
      <c r="AM21" s="18" t="n">
        <v>875789.9</v>
      </c>
      <c r="AN21" s="18" t="n">
        <v>869890</v>
      </c>
      <c r="AO21" s="18" t="n">
        <v>831152.7</v>
      </c>
      <c r="AP21" s="18" t="n">
        <v>774759.4</v>
      </c>
      <c r="AQ21" s="18" t="n">
        <v>609537.5</v>
      </c>
      <c r="AR21" s="18" t="n">
        <v>461627.5</v>
      </c>
      <c r="AS21" s="18" t="n">
        <v>336623.9</v>
      </c>
      <c r="AT21" s="18" t="n">
        <v>237100.5</v>
      </c>
      <c r="AU21" s="18" t="n">
        <v>33843.1</v>
      </c>
      <c r="AV21" s="18" t="n">
        <v>22938.1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263844.6</v>
      </c>
      <c r="BC21" s="18" t="n">
        <v>482405.2</v>
      </c>
      <c r="BD21" s="18" t="n">
        <v>2864755.4</v>
      </c>
      <c r="BE21" s="18" t="n">
        <v>3512783.5</v>
      </c>
      <c r="BF21" s="18" t="n">
        <v>3351592</v>
      </c>
      <c r="BG21" s="18" t="n">
        <v>1644889.4</v>
      </c>
      <c r="BH21" s="18" t="n">
        <v>56781.2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85438</v>
      </c>
      <c r="AA22" s="18" t="n">
        <v>100531.4</v>
      </c>
      <c r="AB22" s="18" t="n">
        <v>49715.9</v>
      </c>
      <c r="AC22" s="18" t="n">
        <v>114301.1</v>
      </c>
      <c r="AD22" s="18" t="n">
        <v>217856.8</v>
      </c>
      <c r="AE22" s="18" t="n">
        <v>466478</v>
      </c>
      <c r="AF22" s="18" t="n">
        <v>699136.5</v>
      </c>
      <c r="AG22" s="18" t="n">
        <v>793609.1</v>
      </c>
      <c r="AH22" s="18" t="n">
        <v>749089.1</v>
      </c>
      <c r="AI22" s="18" t="n">
        <v>721806</v>
      </c>
      <c r="AJ22" s="18" t="n">
        <v>729826.1</v>
      </c>
      <c r="AK22" s="18" t="n">
        <v>737846.2</v>
      </c>
      <c r="AL22" s="18" t="n">
        <v>737846.2</v>
      </c>
      <c r="AM22" s="18" t="n">
        <v>729826.1</v>
      </c>
      <c r="AN22" s="18" t="n">
        <v>723926.2</v>
      </c>
      <c r="AO22" s="18" t="n">
        <v>683584.9</v>
      </c>
      <c r="AP22" s="18" t="n">
        <v>627191.6</v>
      </c>
      <c r="AQ22" s="18" t="n">
        <v>465177.8</v>
      </c>
      <c r="AR22" s="18" t="n">
        <v>315663.8</v>
      </c>
      <c r="AS22" s="18" t="n">
        <v>189056.1</v>
      </c>
      <c r="AT22" s="18" t="n">
        <v>89532.8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124596.7</v>
      </c>
      <c r="AI23" s="18" t="n">
        <v>144359.8</v>
      </c>
      <c r="AJ23" s="18" t="n">
        <v>145963.8</v>
      </c>
      <c r="AK23" s="18" t="n">
        <v>147567.8</v>
      </c>
      <c r="AL23" s="18" t="n">
        <v>147567.8</v>
      </c>
      <c r="AM23" s="18" t="n">
        <v>145963.8</v>
      </c>
      <c r="AN23" s="18" t="n">
        <v>145963.8</v>
      </c>
      <c r="AO23" s="18" t="n">
        <v>147567.8</v>
      </c>
      <c r="AP23" s="18" t="n">
        <v>147567.8</v>
      </c>
      <c r="AQ23" s="18" t="n">
        <v>144359.8</v>
      </c>
      <c r="AR23" s="18" t="n">
        <v>145963.8</v>
      </c>
      <c r="AS23" s="18" t="n">
        <v>147567.8</v>
      </c>
      <c r="AT23" s="18" t="n">
        <v>147567.8</v>
      </c>
      <c r="AU23" s="18" t="n">
        <v>33843.1</v>
      </c>
      <c r="AV23" s="18" t="n">
        <v>22938.1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0.06809999999999999</v>
      </c>
      <c r="AA24" s="21" t="n">
        <v>0.07389999999999999</v>
      </c>
      <c r="AB24" s="21" t="n">
        <v>0.1015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원/달러(평균)",환율,MATCH(AH$1,변수H,0),0),1337.49)</f>
        <v/>
      </c>
      <c r="AI29" s="13">
        <f>IFERROR(VLOOKUP(" 원/달러(평균)",환율,MATCH(AI$1,변수H,0),0),1324.45)</f>
        <v/>
      </c>
      <c r="AJ29" s="13">
        <f>IFERROR(VLOOKUP(" 원/달러(평균)",환율,MATCH(AJ$1,변수H,0),0),1324.45)</f>
        <v/>
      </c>
      <c r="AK29" s="13">
        <f>IFERROR(VLOOKUP(" 원/달러(평균)",환율,MATCH(AK$1,변수H,0),0),1324.45)</f>
        <v/>
      </c>
      <c r="AL29" s="13">
        <f>IFERROR(VLOOKUP(" 원/달러(평균)",환율,MATCH(AL$1,변수H,0),0),1324.45)</f>
        <v/>
      </c>
      <c r="AM29" s="13">
        <f>IFERROR(VLOOKUP(" 원/달러(평균)",환율,MATCH(AM$1,변수H,0),0),1324.45)</f>
        <v/>
      </c>
      <c r="AN29" s="13">
        <f>IFERROR(VLOOKUP(" 원/달러(평균)",환율,MATCH(AN$1,변수H,0),0),1324.45)</f>
        <v/>
      </c>
      <c r="AO29" s="13">
        <f>IFERROR(VLOOKUP(" 원/달러(평균)",환율,MATCH(AO$1,변수H,0),0),1324.45)</f>
        <v/>
      </c>
      <c r="AP29" s="13">
        <f>IFERROR(VLOOKUP(" 원/달러(평균)",환율,MATCH(AP$1,변수H,0),0),1324.45)</f>
        <v/>
      </c>
      <c r="AQ29" s="13">
        <f>IFERROR(VLOOKUP(" 원/달러(평균)",환율,MATCH(AQ$1,변수H,0),0),1324.45)</f>
        <v/>
      </c>
      <c r="AR29" s="13">
        <f>IFERROR(VLOOKUP(" 원/달러(평균)",환율,MATCH(AR$1,변수H,0),0),1324.45)</f>
        <v/>
      </c>
      <c r="AS29" s="13">
        <f>IFERROR(VLOOKUP(" 원/달러(평균)",환율,MATCH(AS$1,변수H,0),0),1324.45)</f>
        <v/>
      </c>
      <c r="AT29" s="13">
        <f>IFERROR(VLOOKUP(" 원/달러(평균)",환율,MATCH(AT$1,변수H,0),0),1324.45)</f>
        <v/>
      </c>
      <c r="AU29" s="13">
        <f>IFERROR(VLOOKUP(" 원/달러(평균)",환율,MATCH(AU$1,변수H,0),0),1324.45)</f>
        <v/>
      </c>
      <c r="AV29" s="13">
        <f>IFERROR(VLOOKUP(" 원/달러(평균)",환율,MATCH(AV$1,변수H,0),0),1324.45)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3">
      <c r="A53" t="inlineStr">
        <is>
          <t>20261020800226</t>
        </is>
      </c>
      <c r="B53" t="inlineStr">
        <is>
          <t>CONT</t>
        </is>
      </c>
      <c r="C53" t="n">
        <v>6</v>
      </c>
      <c r="D53" t="inlineStr">
        <is>
          <t>컨테이너선 6척</t>
        </is>
      </c>
      <c r="AH53" s="27" t="n">
        <v>67.21899999999999</v>
      </c>
      <c r="AI53" s="27" t="n">
        <v>82.872</v>
      </c>
      <c r="AJ53" s="27" t="n">
        <v>83.79300000000001</v>
      </c>
      <c r="AK53" s="27" t="n">
        <v>84.714</v>
      </c>
      <c r="AL53" s="27" t="n">
        <v>84.714</v>
      </c>
      <c r="AM53" s="27" t="n">
        <v>83.79300000000001</v>
      </c>
      <c r="AN53" s="27" t="n">
        <v>83.79300000000001</v>
      </c>
      <c r="AO53" s="27" t="n">
        <v>84.714</v>
      </c>
      <c r="AP53" s="27" t="n">
        <v>84.714</v>
      </c>
      <c r="AQ53" s="27" t="n">
        <v>82.872</v>
      </c>
      <c r="AR53" s="27" t="n">
        <v>83.79300000000001</v>
      </c>
      <c r="AS53" s="27" t="n">
        <v>84.714</v>
      </c>
      <c r="AT53" s="27" t="n">
        <v>84.714</v>
      </c>
      <c r="BJ53" s="35" t="n">
        <v>0</v>
      </c>
      <c r="BK53" s="16" t="n">
        <v>1337.49</v>
      </c>
      <c r="BL53" s="41" t="n">
        <v>1</v>
      </c>
      <c r="BM53" t="inlineStr">
        <is>
          <t>2026-10-20</t>
        </is>
      </c>
      <c r="BN53" t="n">
        <v>0</v>
      </c>
      <c r="BO53" t="inlineStr">
        <is>
          <t>⑤초호황</t>
        </is>
      </c>
      <c r="BP53" s="27" t="n">
        <v>1076.419</v>
      </c>
      <c r="BQ53" t="inlineStr">
        <is>
          <t>2029-12-31</t>
        </is>
      </c>
    </row>
    <row r="54">
      <c r="A54" t="inlineStr">
        <is>
          <t>20261021800379</t>
        </is>
      </c>
      <c r="B54" t="inlineStr">
        <is>
          <t>CONT</t>
        </is>
      </c>
      <c r="C54" t="n">
        <v>2</v>
      </c>
      <c r="D54" t="inlineStr">
        <is>
          <t>컨테이너선 2척</t>
        </is>
      </c>
      <c r="Z54" s="27" t="n">
        <v>17.815</v>
      </c>
      <c r="AA54" s="27" t="n">
        <v>28.631</v>
      </c>
      <c r="AB54" s="27" t="n">
        <v>28.949</v>
      </c>
      <c r="AC54" s="27" t="n">
        <v>29.267</v>
      </c>
      <c r="AD54" s="27" t="n">
        <v>29.267</v>
      </c>
      <c r="AE54" s="27" t="n">
        <v>28.631</v>
      </c>
      <c r="AF54" s="27" t="n">
        <v>28.949</v>
      </c>
      <c r="AG54" s="27" t="n">
        <v>29.267</v>
      </c>
      <c r="AH54" s="27" t="n">
        <v>6.682</v>
      </c>
      <c r="BJ54" s="35" t="n">
        <v>1</v>
      </c>
      <c r="BK54" s="16" t="n">
        <v>1396.3</v>
      </c>
      <c r="BL54" s="41" t="n">
        <v>1</v>
      </c>
      <c r="BM54" t="inlineStr">
        <is>
          <t>2024-11-06</t>
        </is>
      </c>
      <c r="BN54" t="n">
        <v>1</v>
      </c>
      <c r="BO54" t="inlineStr">
        <is>
          <t>⑤초호황</t>
        </is>
      </c>
      <c r="BP54" s="27" t="n">
        <v>227.458</v>
      </c>
      <c r="BQ54" t="inlineStr">
        <is>
          <t>2026-10-21</t>
        </is>
      </c>
    </row>
    <row r="56">
      <c r="A56" s="1" t="inlineStr">
        <is>
          <t>② 계약별 원화(백만원, 수식)</t>
        </is>
      </c>
      <c r="B56" s="1" t="inlineStr">
        <is>
          <t>type</t>
        </is>
      </c>
      <c r="C56" s="1" t="inlineStr">
        <is>
          <t>ships</t>
        </is>
      </c>
      <c r="D56" s="1" t="inlineStr">
        <is>
          <t>name</t>
        </is>
      </c>
    </row>
    <row r="57">
      <c r="A57" t="inlineStr">
        <is>
          <t>20251121800424</t>
        </is>
      </c>
      <c r="B57" t="inlineStr">
        <is>
          <t>VLCC</t>
        </is>
      </c>
      <c r="C57" t="n">
        <v>4</v>
      </c>
      <c r="D57" t="inlineStr">
        <is>
          <t>VLCC 4척</t>
        </is>
      </c>
      <c r="AD57" s="18">
        <f>IFERROR(AD33*$BJ33*(1+($BL33-1)*AD$30)*($D$27*$BK33+(1-$D$27)*AD$29),"")</f>
        <v/>
      </c>
      <c r="AE57" s="18">
        <f>IFERROR(AE33*$BJ33*(1+($BL33-1)*AE$30)*($D$27*$BK33+(1-$D$27)*AE$29),"")</f>
        <v/>
      </c>
      <c r="AF57" s="18">
        <f>IFERROR(AF33*$BJ33*(1+($BL33-1)*AF$30)*($D$27*$BK33+(1-$D$27)*AF$29),"")</f>
        <v/>
      </c>
      <c r="AG57" s="18">
        <f>IFERROR(AG33*$BJ33*(1+($BL33-1)*AG$30)*($D$27*$BK33+(1-$D$27)*AG$29),"")</f>
        <v/>
      </c>
      <c r="AH57" s="18">
        <f>IFERROR(AH33*$BJ33*(1+($BL33-1)*AH$30)*($D$27*$BK33+(1-$D$27)*AH$29),"")</f>
        <v/>
      </c>
      <c r="AI57" s="18">
        <f>IFERROR(AI33*$BJ33*(1+($BL33-1)*AI$30)*($D$27*$BK33+(1-$D$27)*AI$29),"")</f>
        <v/>
      </c>
      <c r="AJ57" s="18">
        <f>IFERROR(AJ33*$BJ33*(1+($BL33-1)*AJ$30)*($D$27*$BK33+(1-$D$27)*AJ$29),"")</f>
        <v/>
      </c>
      <c r="AK57" s="18">
        <f>IFERROR(AK33*$BJ33*(1+($BL33-1)*AK$30)*($D$27*$BK33+(1-$D$27)*AK$29),"")</f>
        <v/>
      </c>
      <c r="AL57" s="18">
        <f>IFERROR(AL33*$BJ33*(1+($BL33-1)*AL$30)*($D$27*$BK33+(1-$D$27)*AL$29),"")</f>
        <v/>
      </c>
      <c r="AM57" s="18">
        <f>IFERROR(AM33*$BJ33*(1+($BL33-1)*AM$30)*($D$27*$BK33+(1-$D$27)*AM$29),"")</f>
        <v/>
      </c>
      <c r="AN57" s="18">
        <f>IFERROR(AN33*$BJ33*(1+($BL33-1)*AN$30)*($D$27*$BK33+(1-$D$27)*AN$29),"")</f>
        <v/>
      </c>
      <c r="AO57" s="18">
        <f>IFERROR(AO33*$BJ33*(1+($BL33-1)*AO$30)*($D$27*$BK33+(1-$D$27)*AO$29),"")</f>
        <v/>
      </c>
      <c r="AP57" s="18">
        <f>IFERROR(AP33*$BJ33*(1+($BL33-1)*AP$30)*($D$27*$BK33+(1-$D$27)*AP$29),"")</f>
        <v/>
      </c>
      <c r="AQ57" s="18">
        <f>IFERROR(AQ33*$BJ33*(1+($BL33-1)*AQ$30)*($D$27*$BK33+(1-$D$27)*AQ$29),"")</f>
        <v/>
      </c>
      <c r="AR57" s="18">
        <f>IFERROR(AR33*$BJ33*(1+($BL33-1)*AR$30)*($D$27*$BK33+(1-$D$27)*AR$29),"")</f>
        <v/>
      </c>
      <c r="AS57" s="18">
        <f>IFERROR(AS33*$BJ33*(1+($BL33-1)*AS$30)*($D$27*$BK33+(1-$D$27)*AS$29),"")</f>
        <v/>
      </c>
    </row>
    <row r="58">
      <c r="A58" t="inlineStr">
        <is>
          <t>20251124800131</t>
        </is>
      </c>
      <c r="B58" t="inlineStr">
        <is>
          <t>CONT</t>
        </is>
      </c>
      <c r="C58" t="n">
        <v>6</v>
      </c>
      <c r="D58" t="inlineStr">
        <is>
          <t>컨테이너선 6척</t>
        </is>
      </c>
      <c r="AD58" s="18">
        <f>IFERROR(AD34*$BJ34*(1+($BL34-1)*AD$30)*($D$27*$BK34+(1-$D$27)*AD$29),"")</f>
        <v/>
      </c>
      <c r="AE58" s="18">
        <f>IFERROR(AE34*$BJ34*(1+($BL34-1)*AE$30)*($D$27*$BK34+(1-$D$27)*AE$29),"")</f>
        <v/>
      </c>
      <c r="AF58" s="18">
        <f>IFERROR(AF34*$BJ34*(1+($BL34-1)*AF$30)*($D$27*$BK34+(1-$D$27)*AF$29),"")</f>
        <v/>
      </c>
      <c r="AG58" s="18">
        <f>IFERROR(AG34*$BJ34*(1+($BL34-1)*AG$30)*($D$27*$BK34+(1-$D$27)*AG$29),"")</f>
        <v/>
      </c>
      <c r="AH58" s="18">
        <f>IFERROR(AH34*$BJ34*(1+($BL34-1)*AH$30)*($D$27*$BK34+(1-$D$27)*AH$29),"")</f>
        <v/>
      </c>
      <c r="AI58" s="18">
        <f>IFERROR(AI34*$BJ34*(1+($BL34-1)*AI$30)*($D$27*$BK34+(1-$D$27)*AI$29),"")</f>
        <v/>
      </c>
      <c r="AJ58" s="18">
        <f>IFERROR(AJ34*$BJ34*(1+($BL34-1)*AJ$30)*($D$27*$BK34+(1-$D$27)*AJ$29),"")</f>
        <v/>
      </c>
      <c r="AK58" s="18">
        <f>IFERROR(AK34*$BJ34*(1+($BL34-1)*AK$30)*($D$27*$BK34+(1-$D$27)*AK$29),"")</f>
        <v/>
      </c>
      <c r="AL58" s="18">
        <f>IFERROR(AL34*$BJ34*(1+($BL34-1)*AL$30)*($D$27*$BK34+(1-$D$27)*AL$29),"")</f>
        <v/>
      </c>
      <c r="AM58" s="18">
        <f>IFERROR(AM34*$BJ34*(1+($BL34-1)*AM$30)*($D$27*$BK34+(1-$D$27)*AM$29),"")</f>
        <v/>
      </c>
      <c r="AN58" s="18">
        <f>IFERROR(AN34*$BJ34*(1+($BL34-1)*AN$30)*($D$27*$BK34+(1-$D$27)*AN$29),"")</f>
        <v/>
      </c>
      <c r="AO58" s="18">
        <f>IFERROR(AO34*$BJ34*(1+($BL34-1)*AO$30)*($D$27*$BK34+(1-$D$27)*AO$29),"")</f>
        <v/>
      </c>
      <c r="AP58" s="18">
        <f>IFERROR(AP34*$BJ34*(1+($BL34-1)*AP$30)*($D$27*$BK34+(1-$D$27)*AP$29),"")</f>
        <v/>
      </c>
      <c r="AQ58" s="18">
        <f>IFERROR(AQ34*$BJ34*(1+($BL34-1)*AQ$30)*($D$27*$BK34+(1-$D$27)*AQ$29),"")</f>
        <v/>
      </c>
      <c r="AR58" s="18">
        <f>IFERROR(AR34*$BJ34*(1+($BL34-1)*AR$30)*($D$27*$BK34+(1-$D$27)*AR$29),"")</f>
        <v/>
      </c>
    </row>
    <row r="59">
      <c r="A59" t="inlineStr">
        <is>
          <t>20251202800104</t>
        </is>
      </c>
      <c r="B59" t="inlineStr">
        <is>
          <t>LNGC</t>
        </is>
      </c>
      <c r="C59" t="n">
        <v>1</v>
      </c>
      <c r="D59" t="inlineStr">
        <is>
          <t>LNGC 1척</t>
        </is>
      </c>
      <c r="AD59" s="18">
        <f>IFERROR(AD35*$BJ35*(1+($BL35-1)*AD$30)*($D$27*$BK35+(1-$D$27)*AD$29),"")</f>
        <v/>
      </c>
      <c r="AE59" s="18">
        <f>IFERROR(AE35*$BJ35*(1+($BL35-1)*AE$30)*($D$27*$BK35+(1-$D$27)*AE$29),"")</f>
        <v/>
      </c>
      <c r="AF59" s="18">
        <f>IFERROR(AF35*$BJ35*(1+($BL35-1)*AF$30)*($D$27*$BK35+(1-$D$27)*AF$29),"")</f>
        <v/>
      </c>
      <c r="AG59" s="18">
        <f>IFERROR(AG35*$BJ35*(1+($BL35-1)*AG$30)*($D$27*$BK35+(1-$D$27)*AG$29),"")</f>
        <v/>
      </c>
      <c r="AH59" s="18">
        <f>IFERROR(AH35*$BJ35*(1+($BL35-1)*AH$30)*($D$27*$BK35+(1-$D$27)*AH$29),"")</f>
        <v/>
      </c>
      <c r="AI59" s="18">
        <f>IFERROR(AI35*$BJ35*(1+($BL35-1)*AI$30)*($D$27*$BK35+(1-$D$27)*AI$29),"")</f>
        <v/>
      </c>
      <c r="AJ59" s="18">
        <f>IFERROR(AJ35*$BJ35*(1+($BL35-1)*AJ$30)*($D$27*$BK35+(1-$D$27)*AJ$29),"")</f>
        <v/>
      </c>
      <c r="AK59" s="18">
        <f>IFERROR(AK35*$BJ35*(1+($BL35-1)*AK$30)*($D$27*$BK35+(1-$D$27)*AK$29),"")</f>
        <v/>
      </c>
      <c r="AL59" s="18">
        <f>IFERROR(AL35*$BJ35*(1+($BL35-1)*AL$30)*($D$27*$BK35+(1-$D$27)*AL$29),"")</f>
        <v/>
      </c>
      <c r="AM59" s="18">
        <f>IFERROR(AM35*$BJ35*(1+($BL35-1)*AM$30)*($D$27*$BK35+(1-$D$27)*AM$29),"")</f>
        <v/>
      </c>
      <c r="AN59" s="18">
        <f>IFERROR(AN35*$BJ35*(1+($BL35-1)*AN$30)*($D$27*$BK35+(1-$D$27)*AN$29),"")</f>
        <v/>
      </c>
      <c r="AO59" s="18">
        <f>IFERROR(AO35*$BJ35*(1+($BL35-1)*AO$30)*($D$27*$BK35+(1-$D$27)*AO$29),"")</f>
        <v/>
      </c>
      <c r="AP59" s="18">
        <f>IFERROR(AP35*$BJ35*(1+($BL35-1)*AP$30)*($D$27*$BK35+(1-$D$27)*AP$29),"")</f>
        <v/>
      </c>
    </row>
    <row r="60">
      <c r="A60" t="inlineStr">
        <is>
          <t>20251215800970</t>
        </is>
      </c>
      <c r="B60" t="inlineStr">
        <is>
          <t>OTHER</t>
        </is>
      </c>
      <c r="D60" t="inlineStr">
        <is>
          <t>태안화력 5~8호기 저탄장 옥내화 공사</t>
        </is>
      </c>
      <c r="E60" s="18">
        <f>IFERROR(E36*$BJ36*(1+($BL36-1)*E$30)*($D$27*$BK36+(1-$D$27)*E$29),"")</f>
        <v/>
      </c>
      <c r="F60" s="18">
        <f>IFERROR(F36*$BJ36*(1+($BL36-1)*F$30)*($D$27*$BK36+(1-$D$27)*F$29),"")</f>
        <v/>
      </c>
      <c r="G60" s="18">
        <f>IFERROR(G36*$BJ36*(1+($BL36-1)*G$30)*($D$27*$BK36+(1-$D$27)*G$29),"")</f>
        <v/>
      </c>
      <c r="H60" s="18">
        <f>IFERROR(H36*$BJ36*(1+($BL36-1)*H$30)*($D$27*$BK36+(1-$D$27)*H$29),"")</f>
        <v/>
      </c>
      <c r="I60" s="18">
        <f>IFERROR(I36*$BJ36*(1+($BL36-1)*I$30)*($D$27*$BK36+(1-$D$27)*I$29),"")</f>
        <v/>
      </c>
      <c r="J60" s="18">
        <f>IFERROR(J36*$BJ36*(1+($BL36-1)*J$30)*($D$27*$BK36+(1-$D$27)*J$29),"")</f>
        <v/>
      </c>
      <c r="K60" s="18">
        <f>IFERROR(K36*$BJ36*(1+($BL36-1)*K$30)*($D$27*$BK36+(1-$D$27)*K$29),"")</f>
        <v/>
      </c>
      <c r="L60" s="18">
        <f>IFERROR(L36*$BJ36*(1+($BL36-1)*L$30)*($D$27*$BK36+(1-$D$27)*L$29),"")</f>
        <v/>
      </c>
      <c r="M60" s="18">
        <f>IFERROR(M36*$BJ36*(1+($BL36-1)*M$30)*($D$27*$BK36+(1-$D$27)*M$29),"")</f>
        <v/>
      </c>
      <c r="N60" s="18">
        <f>IFERROR(N36*$BJ36*(1+($BL36-1)*N$30)*($D$27*$BK36+(1-$D$27)*N$29),"")</f>
        <v/>
      </c>
      <c r="O60" s="18">
        <f>IFERROR(O36*$BJ36*(1+($BL36-1)*O$30)*($D$27*$BK36+(1-$D$27)*O$29),"")</f>
        <v/>
      </c>
      <c r="P60" s="18">
        <f>IFERROR(P36*$BJ36*(1+($BL36-1)*P$30)*($D$27*$BK36+(1-$D$27)*P$29),"")</f>
        <v/>
      </c>
      <c r="Q60" s="18">
        <f>IFERROR(Q36*$BJ36*(1+($BL36-1)*Q$30)*($D$27*$BK36+(1-$D$27)*Q$29),"")</f>
        <v/>
      </c>
      <c r="R60" s="18">
        <f>IFERROR(R36*$BJ36*(1+($BL36-1)*R$30)*($D$27*$BK36+(1-$D$27)*R$29),"")</f>
        <v/>
      </c>
      <c r="S60" s="18">
        <f>IFERROR(S36*$BJ36*(1+($BL36-1)*S$30)*($D$27*$BK36+(1-$D$27)*S$29),"")</f>
        <v/>
      </c>
      <c r="T60" s="18">
        <f>IFERROR(T36*$BJ36*(1+($BL36-1)*T$30)*($D$27*$BK36+(1-$D$27)*T$29),"")</f>
        <v/>
      </c>
      <c r="U60" s="18">
        <f>IFERROR(U36*$BJ36*(1+($BL36-1)*U$30)*($D$27*$BK36+(1-$D$27)*U$29),"")</f>
        <v/>
      </c>
      <c r="V60" s="18">
        <f>IFERROR(V36*$BJ36*(1+($BL36-1)*V$30)*($D$27*$BK36+(1-$D$27)*V$29),"")</f>
        <v/>
      </c>
      <c r="W60" s="18">
        <f>IFERROR(W36*$BJ36*(1+($BL36-1)*W$30)*($D$27*$BK36+(1-$D$27)*W$29),"")</f>
        <v/>
      </c>
      <c r="X60" s="18">
        <f>IFERROR(X36*$BJ36*(1+($BL36-1)*X$30)*($D$27*$BK36+(1-$D$27)*X$29),"")</f>
        <v/>
      </c>
      <c r="Y60" s="18">
        <f>IFERROR(Y36*$BJ36*(1+($BL36-1)*Y$30)*($D$27*$BK36+(1-$D$27)*Y$29),"")</f>
        <v/>
      </c>
      <c r="Z60" s="18">
        <f>IFERROR(Z36*$BJ36*(1+($BL36-1)*Z$30)*($D$27*$BK36+(1-$D$27)*Z$29),"")</f>
        <v/>
      </c>
      <c r="AA60" s="18">
        <f>IFERROR(AA36*$BJ36*(1+($BL36-1)*AA$30)*($D$27*$BK36+(1-$D$27)*AA$29),"")</f>
        <v/>
      </c>
      <c r="AB60" s="18">
        <f>IFERROR(AB36*$BJ36*(1+($BL36-1)*AB$30)*($D$27*$BK36+(1-$D$27)*AB$29),"")</f>
        <v/>
      </c>
      <c r="AC60" s="18">
        <f>IFERROR(AC36*$BJ36*(1+($BL36-1)*AC$30)*($D$27*$BK36+(1-$D$27)*AC$29),"")</f>
        <v/>
      </c>
      <c r="AD60" s="18">
        <f>IFERROR(AD36*$BJ36*(1+($BL36-1)*AD$30)*($D$27*$BK36+(1-$D$27)*AD$29),"")</f>
        <v/>
      </c>
    </row>
    <row r="61">
      <c r="A61" t="inlineStr">
        <is>
          <t>20251219800421</t>
        </is>
      </c>
      <c r="B61" t="inlineStr">
        <is>
          <t>LNGC</t>
        </is>
      </c>
      <c r="C61" t="n">
        <v>3</v>
      </c>
      <c r="D61" t="inlineStr">
        <is>
          <t>LNGC 3척</t>
        </is>
      </c>
      <c r="AB61" s="18">
        <f>IFERROR(AB37*$BJ37*(1+($BL37-1)*AB$30)*($D$27*$BK37+(1-$D$27)*AB$29),"")</f>
        <v/>
      </c>
      <c r="AC61" s="18">
        <f>IFERROR(AC37*$BJ37*(1+($BL37-1)*AC$30)*($D$27*$BK37+(1-$D$27)*AC$29),"")</f>
        <v/>
      </c>
      <c r="AD61" s="18">
        <f>IFERROR(AD37*$BJ37*(1+($BL37-1)*AD$30)*($D$27*$BK37+(1-$D$27)*AD$29),"")</f>
        <v/>
      </c>
      <c r="AE61" s="18">
        <f>IFERROR(AE37*$BJ37*(1+($BL37-1)*AE$30)*($D$27*$BK37+(1-$D$27)*AE$29),"")</f>
        <v/>
      </c>
      <c r="AF61" s="18">
        <f>IFERROR(AF37*$BJ37*(1+($BL37-1)*AF$30)*($D$27*$BK37+(1-$D$27)*AF$29),"")</f>
        <v/>
      </c>
      <c r="AG61" s="18">
        <f>IFERROR(AG37*$BJ37*(1+($BL37-1)*AG$30)*($D$27*$BK37+(1-$D$27)*AG$29),"")</f>
        <v/>
      </c>
      <c r="AH61" s="18">
        <f>IFERROR(AH37*$BJ37*(1+($BL37-1)*AH$30)*($D$27*$BK37+(1-$D$27)*AH$29),"")</f>
        <v/>
      </c>
      <c r="AI61" s="18">
        <f>IFERROR(AI37*$BJ37*(1+($BL37-1)*AI$30)*($D$27*$BK37+(1-$D$27)*AI$29),"")</f>
        <v/>
      </c>
      <c r="AJ61" s="18">
        <f>IFERROR(AJ37*$BJ37*(1+($BL37-1)*AJ$30)*($D$27*$BK37+(1-$D$27)*AJ$29),"")</f>
        <v/>
      </c>
      <c r="AK61" s="18">
        <f>IFERROR(AK37*$BJ37*(1+($BL37-1)*AK$30)*($D$27*$BK37+(1-$D$27)*AK$29),"")</f>
        <v/>
      </c>
      <c r="AL61" s="18">
        <f>IFERROR(AL37*$BJ37*(1+($BL37-1)*AL$30)*($D$27*$BK37+(1-$D$27)*AL$29),"")</f>
        <v/>
      </c>
      <c r="AM61" s="18">
        <f>IFERROR(AM37*$BJ37*(1+($BL37-1)*AM$30)*($D$27*$BK37+(1-$D$27)*AM$29),"")</f>
        <v/>
      </c>
      <c r="AN61" s="18">
        <f>IFERROR(AN37*$BJ37*(1+($BL37-1)*AN$30)*($D$27*$BK37+(1-$D$27)*AN$29),"")</f>
        <v/>
      </c>
      <c r="AO61" s="18">
        <f>IFERROR(AO37*$BJ37*(1+($BL37-1)*AO$30)*($D$27*$BK37+(1-$D$27)*AO$29),"")</f>
        <v/>
      </c>
      <c r="AP61" s="18">
        <f>IFERROR(AP37*$BJ37*(1+($BL37-1)*AP$30)*($D$27*$BK37+(1-$D$27)*AP$29),"")</f>
        <v/>
      </c>
      <c r="AQ61" s="18">
        <f>IFERROR(AQ37*$BJ37*(1+($BL37-1)*AQ$30)*($D$27*$BK37+(1-$D$27)*AQ$29),"")</f>
        <v/>
      </c>
    </row>
    <row r="62">
      <c r="A62" t="inlineStr">
        <is>
          <t>20251219800433</t>
        </is>
      </c>
      <c r="B62" t="inlineStr">
        <is>
          <t>CONT</t>
        </is>
      </c>
      <c r="C62" t="n">
        <v>4</v>
      </c>
      <c r="D62" t="inlineStr">
        <is>
          <t>컨테이너선 4척</t>
        </is>
      </c>
      <c r="AD62" s="18">
        <f>IFERROR(AD38*$BJ38*(1+($BL38-1)*AD$30)*($D$27*$BK38+(1-$D$27)*AD$29),"")</f>
        <v/>
      </c>
      <c r="AE62" s="18">
        <f>IFERROR(AE38*$BJ38*(1+($BL38-1)*AE$30)*($D$27*$BK38+(1-$D$27)*AE$29),"")</f>
        <v/>
      </c>
      <c r="AF62" s="18">
        <f>IFERROR(AF38*$BJ38*(1+($BL38-1)*AF$30)*($D$27*$BK38+(1-$D$27)*AF$29),"")</f>
        <v/>
      </c>
      <c r="AG62" s="18">
        <f>IFERROR(AG38*$BJ38*(1+($BL38-1)*AG$30)*($D$27*$BK38+(1-$D$27)*AG$29),"")</f>
        <v/>
      </c>
      <c r="AH62" s="18">
        <f>IFERROR(AH38*$BJ38*(1+($BL38-1)*AH$30)*($D$27*$BK38+(1-$D$27)*AH$29),"")</f>
        <v/>
      </c>
      <c r="AI62" s="18">
        <f>IFERROR(AI38*$BJ38*(1+($BL38-1)*AI$30)*($D$27*$BK38+(1-$D$27)*AI$29),"")</f>
        <v/>
      </c>
      <c r="AJ62" s="18">
        <f>IFERROR(AJ38*$BJ38*(1+($BL38-1)*AJ$30)*($D$27*$BK38+(1-$D$27)*AJ$29),"")</f>
        <v/>
      </c>
      <c r="AK62" s="18">
        <f>IFERROR(AK38*$BJ38*(1+($BL38-1)*AK$30)*($D$27*$BK38+(1-$D$27)*AK$29),"")</f>
        <v/>
      </c>
      <c r="AL62" s="18">
        <f>IFERROR(AL38*$BJ38*(1+($BL38-1)*AL$30)*($D$27*$BK38+(1-$D$27)*AL$29),"")</f>
        <v/>
      </c>
      <c r="AM62" s="18">
        <f>IFERROR(AM38*$BJ38*(1+($BL38-1)*AM$30)*($D$27*$BK38+(1-$D$27)*AM$29),"")</f>
        <v/>
      </c>
      <c r="AN62" s="18">
        <f>IFERROR(AN38*$BJ38*(1+($BL38-1)*AN$30)*($D$27*$BK38+(1-$D$27)*AN$29),"")</f>
        <v/>
      </c>
      <c r="AO62" s="18">
        <f>IFERROR(AO38*$BJ38*(1+($BL38-1)*AO$30)*($D$27*$BK38+(1-$D$27)*AO$29),"")</f>
        <v/>
      </c>
      <c r="AP62" s="18">
        <f>IFERROR(AP38*$BJ38*(1+($BL38-1)*AP$30)*($D$27*$BK38+(1-$D$27)*AP$29),"")</f>
        <v/>
      </c>
    </row>
    <row r="63">
      <c r="A63" t="inlineStr">
        <is>
          <t>20260116800207</t>
        </is>
      </c>
      <c r="B63" t="inlineStr">
        <is>
          <t>VLGC</t>
        </is>
      </c>
      <c r="C63" t="n">
        <v>1</v>
      </c>
      <c r="D63" t="inlineStr">
        <is>
          <t>VLGC 1척</t>
        </is>
      </c>
      <c r="AE63" s="18">
        <f>IFERROR(AE39*$BJ39*(1+($BL39-1)*AE$30)*($D$27*$BK39+(1-$D$27)*AE$29),"")</f>
        <v/>
      </c>
      <c r="AF63" s="18">
        <f>IFERROR(AF39*$BJ39*(1+($BL39-1)*AF$30)*($D$27*$BK39+(1-$D$27)*AF$29),"")</f>
        <v/>
      </c>
      <c r="AG63" s="18">
        <f>IFERROR(AG39*$BJ39*(1+($BL39-1)*AG$30)*($D$27*$BK39+(1-$D$27)*AG$29),"")</f>
        <v/>
      </c>
      <c r="AH63" s="18">
        <f>IFERROR(AH39*$BJ39*(1+($BL39-1)*AH$30)*($D$27*$BK39+(1-$D$27)*AH$29),"")</f>
        <v/>
      </c>
      <c r="AI63" s="18">
        <f>IFERROR(AI39*$BJ39*(1+($BL39-1)*AI$30)*($D$27*$BK39+(1-$D$27)*AI$29),"")</f>
        <v/>
      </c>
      <c r="AJ63" s="18">
        <f>IFERROR(AJ39*$BJ39*(1+($BL39-1)*AJ$30)*($D$27*$BK39+(1-$D$27)*AJ$29),"")</f>
        <v/>
      </c>
      <c r="AK63" s="18">
        <f>IFERROR(AK39*$BJ39*(1+($BL39-1)*AK$30)*($D$27*$BK39+(1-$D$27)*AK$29),"")</f>
        <v/>
      </c>
      <c r="AL63" s="18">
        <f>IFERROR(AL39*$BJ39*(1+($BL39-1)*AL$30)*($D$27*$BK39+(1-$D$27)*AL$29),"")</f>
        <v/>
      </c>
      <c r="AM63" s="18">
        <f>IFERROR(AM39*$BJ39*(1+($BL39-1)*AM$30)*($D$27*$BK39+(1-$D$27)*AM$29),"")</f>
        <v/>
      </c>
      <c r="AN63" s="18">
        <f>IFERROR(AN39*$BJ39*(1+($BL39-1)*AN$30)*($D$27*$BK39+(1-$D$27)*AN$29),"")</f>
        <v/>
      </c>
    </row>
    <row r="64">
      <c r="A64" t="inlineStr">
        <is>
          <t>20260202800947</t>
        </is>
      </c>
      <c r="B64" t="inlineStr">
        <is>
          <t>LNGC</t>
        </is>
      </c>
      <c r="C64" t="n">
        <v>1</v>
      </c>
      <c r="D64" t="inlineStr">
        <is>
          <t>LNGC 1척</t>
        </is>
      </c>
      <c r="AE64" s="18">
        <f>IFERROR(AE40*$BJ40*(1+($BL40-1)*AE$30)*($D$27*$BK40+(1-$D$27)*AE$29),"")</f>
        <v/>
      </c>
      <c r="AF64" s="18">
        <f>IFERROR(AF40*$BJ40*(1+($BL40-1)*AF$30)*($D$27*$BK40+(1-$D$27)*AF$29),"")</f>
        <v/>
      </c>
      <c r="AG64" s="18">
        <f>IFERROR(AG40*$BJ40*(1+($BL40-1)*AG$30)*($D$27*$BK40+(1-$D$27)*AG$29),"")</f>
        <v/>
      </c>
      <c r="AH64" s="18">
        <f>IFERROR(AH40*$BJ40*(1+($BL40-1)*AH$30)*($D$27*$BK40+(1-$D$27)*AH$29),"")</f>
        <v/>
      </c>
      <c r="AI64" s="18">
        <f>IFERROR(AI40*$BJ40*(1+($BL40-1)*AI$30)*($D$27*$BK40+(1-$D$27)*AI$29),"")</f>
        <v/>
      </c>
      <c r="AJ64" s="18">
        <f>IFERROR(AJ40*$BJ40*(1+($BL40-1)*AJ$30)*($D$27*$BK40+(1-$D$27)*AJ$29),"")</f>
        <v/>
      </c>
      <c r="AK64" s="18">
        <f>IFERROR(AK40*$BJ40*(1+($BL40-1)*AK$30)*($D$27*$BK40+(1-$D$27)*AK$29),"")</f>
        <v/>
      </c>
      <c r="AL64" s="18">
        <f>IFERROR(AL40*$BJ40*(1+($BL40-1)*AL$30)*($D$27*$BK40+(1-$D$27)*AL$29),"")</f>
        <v/>
      </c>
      <c r="AM64" s="18">
        <f>IFERROR(AM40*$BJ40*(1+($BL40-1)*AM$30)*($D$27*$BK40+(1-$D$27)*AM$29),"")</f>
        <v/>
      </c>
      <c r="AN64" s="18">
        <f>IFERROR(AN40*$BJ40*(1+($BL40-1)*AN$30)*($D$27*$BK40+(1-$D$27)*AN$29),"")</f>
        <v/>
      </c>
    </row>
    <row r="65">
      <c r="A65" t="inlineStr">
        <is>
          <t>20260304800002</t>
        </is>
      </c>
      <c r="B65" t="inlineStr">
        <is>
          <t>VLCC</t>
        </is>
      </c>
      <c r="C65" t="n">
        <v>4</v>
      </c>
      <c r="D65" t="inlineStr">
        <is>
          <t>157,000 DWT 원유운반선 4척</t>
        </is>
      </c>
      <c r="AD65" s="18">
        <f>IFERROR(AD41*$BJ41*(1+($BL41-1)*AD$30)*($D$27*$BK41+(1-$D$27)*AD$29),"")</f>
        <v/>
      </c>
      <c r="AE65" s="18">
        <f>IFERROR(AE41*$BJ41*(1+($BL41-1)*AE$30)*($D$27*$BK41+(1-$D$27)*AE$29),"")</f>
        <v/>
      </c>
      <c r="AF65" s="18">
        <f>IFERROR(AF41*$BJ41*(1+($BL41-1)*AF$30)*($D$27*$BK41+(1-$D$27)*AF$29),"")</f>
        <v/>
      </c>
      <c r="AG65" s="18">
        <f>IFERROR(AG41*$BJ41*(1+($BL41-1)*AG$30)*($D$27*$BK41+(1-$D$27)*AG$29),"")</f>
        <v/>
      </c>
      <c r="AH65" s="18">
        <f>IFERROR(AH41*$BJ41*(1+($BL41-1)*AH$30)*($D$27*$BK41+(1-$D$27)*AH$29),"")</f>
        <v/>
      </c>
      <c r="AI65" s="18">
        <f>IFERROR(AI41*$BJ41*(1+($BL41-1)*AI$30)*($D$27*$BK41+(1-$D$27)*AI$29),"")</f>
        <v/>
      </c>
      <c r="AJ65" s="18">
        <f>IFERROR(AJ41*$BJ41*(1+($BL41-1)*AJ$30)*($D$27*$BK41+(1-$D$27)*AJ$29),"")</f>
        <v/>
      </c>
      <c r="AK65" s="18">
        <f>IFERROR(AK41*$BJ41*(1+($BL41-1)*AK$30)*($D$27*$BK41+(1-$D$27)*AK$29),"")</f>
        <v/>
      </c>
      <c r="AL65" s="18">
        <f>IFERROR(AL41*$BJ41*(1+($BL41-1)*AL$30)*($D$27*$BK41+(1-$D$27)*AL$29),"")</f>
        <v/>
      </c>
      <c r="AM65" s="18">
        <f>IFERROR(AM41*$BJ41*(1+($BL41-1)*AM$30)*($D$27*$BK41+(1-$D$27)*AM$29),"")</f>
        <v/>
      </c>
      <c r="AN65" s="18">
        <f>IFERROR(AN41*$BJ41*(1+($BL41-1)*AN$30)*($D$27*$BK41+(1-$D$27)*AN$29),"")</f>
        <v/>
      </c>
      <c r="AO65" s="18">
        <f>IFERROR(AO41*$BJ41*(1+($BL41-1)*AO$30)*($D$27*$BK41+(1-$D$27)*AO$29),"")</f>
        <v/>
      </c>
      <c r="AP65" s="18">
        <f>IFERROR(AP41*$BJ41*(1+($BL41-1)*AP$30)*($D$27*$BK41+(1-$D$27)*AP$29),"")</f>
        <v/>
      </c>
    </row>
    <row r="66">
      <c r="A66" t="inlineStr">
        <is>
          <t>20260306800225</t>
        </is>
      </c>
      <c r="B66" t="inlineStr">
        <is>
          <t>VLCC</t>
        </is>
      </c>
      <c r="C66" t="n">
        <v>2</v>
      </c>
      <c r="D66" t="inlineStr">
        <is>
          <t>157,000 DWT 원유운반선 2척</t>
        </is>
      </c>
      <c r="AE66" s="18">
        <f>IFERROR(AE42*$BJ42*(1+($BL42-1)*AE$30)*($D$27*$BK42+(1-$D$27)*AE$29),"")</f>
        <v/>
      </c>
      <c r="AF66" s="18">
        <f>IFERROR(AF42*$BJ42*(1+($BL42-1)*AF$30)*($D$27*$BK42+(1-$D$27)*AF$29),"")</f>
        <v/>
      </c>
      <c r="AG66" s="18">
        <f>IFERROR(AG42*$BJ42*(1+($BL42-1)*AG$30)*($D$27*$BK42+(1-$D$27)*AG$29),"")</f>
        <v/>
      </c>
      <c r="AH66" s="18">
        <f>IFERROR(AH42*$BJ42*(1+($BL42-1)*AH$30)*($D$27*$BK42+(1-$D$27)*AH$29),"")</f>
        <v/>
      </c>
      <c r="AI66" s="18">
        <f>IFERROR(AI42*$BJ42*(1+($BL42-1)*AI$30)*($D$27*$BK42+(1-$D$27)*AI$29),"")</f>
        <v/>
      </c>
      <c r="AJ66" s="18">
        <f>IFERROR(AJ42*$BJ42*(1+($BL42-1)*AJ$30)*($D$27*$BK42+(1-$D$27)*AJ$29),"")</f>
        <v/>
      </c>
      <c r="AK66" s="18">
        <f>IFERROR(AK42*$BJ42*(1+($BL42-1)*AK$30)*($D$27*$BK42+(1-$D$27)*AK$29),"")</f>
        <v/>
      </c>
      <c r="AL66" s="18">
        <f>IFERROR(AL42*$BJ42*(1+($BL42-1)*AL$30)*($D$27*$BK42+(1-$D$27)*AL$29),"")</f>
        <v/>
      </c>
      <c r="AM66" s="18">
        <f>IFERROR(AM42*$BJ42*(1+($BL42-1)*AM$30)*($D$27*$BK42+(1-$D$27)*AM$29),"")</f>
        <v/>
      </c>
      <c r="AN66" s="18">
        <f>IFERROR(AN42*$BJ42*(1+($BL42-1)*AN$30)*($D$27*$BK42+(1-$D$27)*AN$29),"")</f>
        <v/>
      </c>
      <c r="AO66" s="18">
        <f>IFERROR(AO42*$BJ42*(1+($BL42-1)*AO$30)*($D$27*$BK42+(1-$D$27)*AO$29),"")</f>
        <v/>
      </c>
      <c r="AP66" s="18">
        <f>IFERROR(AP42*$BJ42*(1+($BL42-1)*AP$30)*($D$27*$BK42+(1-$D$27)*AP$29),"")</f>
        <v/>
      </c>
      <c r="AQ66" s="18">
        <f>IFERROR(AQ42*$BJ42*(1+($BL42-1)*AQ$30)*($D$27*$BK42+(1-$D$27)*AQ$29),"")</f>
        <v/>
      </c>
      <c r="AR66" s="18">
        <f>IFERROR(AR42*$BJ42*(1+($BL42-1)*AR$30)*($D$27*$BK42+(1-$D$27)*AR$29),"")</f>
        <v/>
      </c>
    </row>
    <row r="67">
      <c r="A67" t="inlineStr">
        <is>
          <t>20260310800414</t>
        </is>
      </c>
      <c r="B67" t="inlineStr">
        <is>
          <t>VLGC</t>
        </is>
      </c>
      <c r="C67" t="n">
        <v>2</v>
      </c>
      <c r="D67" t="inlineStr">
        <is>
          <t>LPGC 2척</t>
        </is>
      </c>
      <c r="AE67" s="18">
        <f>IFERROR(AE43*$BJ43*(1+($BL43-1)*AE$30)*($D$27*$BK43+(1-$D$27)*AE$29),"")</f>
        <v/>
      </c>
      <c r="AF67" s="18">
        <f>IFERROR(AF43*$BJ43*(1+($BL43-1)*AF$30)*($D$27*$BK43+(1-$D$27)*AF$29),"")</f>
        <v/>
      </c>
      <c r="AG67" s="18">
        <f>IFERROR(AG43*$BJ43*(1+($BL43-1)*AG$30)*($D$27*$BK43+(1-$D$27)*AG$29),"")</f>
        <v/>
      </c>
      <c r="AH67" s="18">
        <f>IFERROR(AH43*$BJ43*(1+($BL43-1)*AH$30)*($D$27*$BK43+(1-$D$27)*AH$29),"")</f>
        <v/>
      </c>
      <c r="AI67" s="18">
        <f>IFERROR(AI43*$BJ43*(1+($BL43-1)*AI$30)*($D$27*$BK43+(1-$D$27)*AI$29),"")</f>
        <v/>
      </c>
      <c r="AJ67" s="18">
        <f>IFERROR(AJ43*$BJ43*(1+($BL43-1)*AJ$30)*($D$27*$BK43+(1-$D$27)*AJ$29),"")</f>
        <v/>
      </c>
      <c r="AK67" s="18">
        <f>IFERROR(AK43*$BJ43*(1+($BL43-1)*AK$30)*($D$27*$BK43+(1-$D$27)*AK$29),"")</f>
        <v/>
      </c>
      <c r="AL67" s="18">
        <f>IFERROR(AL43*$BJ43*(1+($BL43-1)*AL$30)*($D$27*$BK43+(1-$D$27)*AL$29),"")</f>
        <v/>
      </c>
      <c r="AM67" s="18">
        <f>IFERROR(AM43*$BJ43*(1+($BL43-1)*AM$30)*($D$27*$BK43+(1-$D$27)*AM$29),"")</f>
        <v/>
      </c>
      <c r="AN67" s="18">
        <f>IFERROR(AN43*$BJ43*(1+($BL43-1)*AN$30)*($D$27*$BK43+(1-$D$27)*AN$29),"")</f>
        <v/>
      </c>
      <c r="AO67" s="18">
        <f>IFERROR(AO43*$BJ43*(1+($BL43-1)*AO$30)*($D$27*$BK43+(1-$D$27)*AO$29),"")</f>
        <v/>
      </c>
      <c r="AP67" s="18">
        <f>IFERROR(AP43*$BJ43*(1+($BL43-1)*AP$30)*($D$27*$BK43+(1-$D$27)*AP$29),"")</f>
        <v/>
      </c>
    </row>
    <row r="68">
      <c r="A68" t="inlineStr">
        <is>
          <t>20260403800582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IFERROR(AF44*$BJ44*(1+($BL44-1)*AF$30)*($D$27*$BK44+(1-$D$27)*AF$29),"")</f>
        <v/>
      </c>
      <c r="AG68" s="18">
        <f>IFERROR(AG44*$BJ44*(1+($BL44-1)*AG$30)*($D$27*$BK44+(1-$D$27)*AG$29),"")</f>
        <v/>
      </c>
      <c r="AH68" s="18">
        <f>IFERROR(AH44*$BJ44*(1+($BL44-1)*AH$30)*($D$27*$BK44+(1-$D$27)*AH$29),"")</f>
        <v/>
      </c>
      <c r="AI68" s="18">
        <f>IFERROR(AI44*$BJ44*(1+($BL44-1)*AI$30)*($D$27*$BK44+(1-$D$27)*AI$29),"")</f>
        <v/>
      </c>
      <c r="AJ68" s="18">
        <f>IFERROR(AJ44*$BJ44*(1+($BL44-1)*AJ$30)*($D$27*$BK44+(1-$D$27)*AJ$29),"")</f>
        <v/>
      </c>
      <c r="AK68" s="18">
        <f>IFERROR(AK44*$BJ44*(1+($BL44-1)*AK$30)*($D$27*$BK44+(1-$D$27)*AK$29),"")</f>
        <v/>
      </c>
      <c r="AL68" s="18">
        <f>IFERROR(AL44*$BJ44*(1+($BL44-1)*AL$30)*($D$27*$BK44+(1-$D$27)*AL$29),"")</f>
        <v/>
      </c>
      <c r="AM68" s="18">
        <f>IFERROR(AM44*$BJ44*(1+($BL44-1)*AM$30)*($D$27*$BK44+(1-$D$27)*AM$29),"")</f>
        <v/>
      </c>
      <c r="AN68" s="18">
        <f>IFERROR(AN44*$BJ44*(1+($BL44-1)*AN$30)*($D$27*$BK44+(1-$D$27)*AN$29),"")</f>
        <v/>
      </c>
      <c r="AO68" s="18">
        <f>IFERROR(AO44*$BJ44*(1+($BL44-1)*AO$30)*($D$27*$BK44+(1-$D$27)*AO$29),"")</f>
        <v/>
      </c>
      <c r="AP68" s="18">
        <f>IFERROR(AP44*$BJ44*(1+($BL44-1)*AP$30)*($D$27*$BK44+(1-$D$27)*AP$29),"")</f>
        <v/>
      </c>
      <c r="AQ68" s="18">
        <f>IFERROR(AQ44*$BJ44*(1+($BL44-1)*AQ$30)*($D$27*$BK44+(1-$D$27)*AQ$29),"")</f>
        <v/>
      </c>
    </row>
    <row r="69">
      <c r="A69" t="inlineStr">
        <is>
          <t>20260408800703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IFERROR(AF45*$BJ45*(1+($BL45-1)*AF$30)*($D$27*$BK45+(1-$D$27)*AF$29),"")</f>
        <v/>
      </c>
      <c r="AG69" s="18">
        <f>IFERROR(AG45*$BJ45*(1+($BL45-1)*AG$30)*($D$27*$BK45+(1-$D$27)*AG$29),"")</f>
        <v/>
      </c>
      <c r="AH69" s="18">
        <f>IFERROR(AH45*$BJ45*(1+($BL45-1)*AH$30)*($D$27*$BK45+(1-$D$27)*AH$29),"")</f>
        <v/>
      </c>
      <c r="AI69" s="18">
        <f>IFERROR(AI45*$BJ45*(1+($BL45-1)*AI$30)*($D$27*$BK45+(1-$D$27)*AI$29),"")</f>
        <v/>
      </c>
      <c r="AJ69" s="18">
        <f>IFERROR(AJ45*$BJ45*(1+($BL45-1)*AJ$30)*($D$27*$BK45+(1-$D$27)*AJ$29),"")</f>
        <v/>
      </c>
      <c r="AK69" s="18">
        <f>IFERROR(AK45*$BJ45*(1+($BL45-1)*AK$30)*($D$27*$BK45+(1-$D$27)*AK$29),"")</f>
        <v/>
      </c>
      <c r="AL69" s="18">
        <f>IFERROR(AL45*$BJ45*(1+($BL45-1)*AL$30)*($D$27*$BK45+(1-$D$27)*AL$29),"")</f>
        <v/>
      </c>
      <c r="AM69" s="18">
        <f>IFERROR(AM45*$BJ45*(1+($BL45-1)*AM$30)*($D$27*$BK45+(1-$D$27)*AM$29),"")</f>
        <v/>
      </c>
      <c r="AN69" s="18">
        <f>IFERROR(AN45*$BJ45*(1+($BL45-1)*AN$30)*($D$27*$BK45+(1-$D$27)*AN$29),"")</f>
        <v/>
      </c>
      <c r="AO69" s="18">
        <f>IFERROR(AO45*$BJ45*(1+($BL45-1)*AO$30)*($D$27*$BK45+(1-$D$27)*AO$29),"")</f>
        <v/>
      </c>
      <c r="AP69" s="18">
        <f>IFERROR(AP45*$BJ45*(1+($BL45-1)*AP$30)*($D$27*$BK45+(1-$D$27)*AP$29),"")</f>
        <v/>
      </c>
      <c r="AQ69" s="18">
        <f>IFERROR(AQ45*$BJ45*(1+($BL45-1)*AQ$30)*($D$27*$BK45+(1-$D$27)*AQ$29),"")</f>
        <v/>
      </c>
      <c r="AR69" s="18">
        <f>IFERROR(AR45*$BJ45*(1+($BL45-1)*AR$30)*($D$27*$BK45+(1-$D$27)*AR$29),"")</f>
        <v/>
      </c>
      <c r="AS69" s="18">
        <f>IFERROR(AS45*$BJ45*(1+($BL45-1)*AS$30)*($D$27*$BK45+(1-$D$27)*AS$29),"")</f>
        <v/>
      </c>
    </row>
    <row r="70">
      <c r="A70" t="inlineStr">
        <is>
          <t>20260416800167</t>
        </is>
      </c>
      <c r="B70" t="inlineStr">
        <is>
          <t>VLGC</t>
        </is>
      </c>
      <c r="C70" t="n">
        <v>2</v>
      </c>
      <c r="D70" t="inlineStr">
        <is>
          <t>LPGC 2척</t>
        </is>
      </c>
      <c r="AF70" s="18">
        <f>IFERROR(AF46*$BJ46*(1+($BL46-1)*AF$30)*($D$27*$BK46+(1-$D$27)*AF$29),"")</f>
        <v/>
      </c>
      <c r="AG70" s="18">
        <f>IFERROR(AG46*$BJ46*(1+($BL46-1)*AG$30)*($D$27*$BK46+(1-$D$27)*AG$29),"")</f>
        <v/>
      </c>
      <c r="AH70" s="18">
        <f>IFERROR(AH46*$BJ46*(1+($BL46-1)*AH$30)*($D$27*$BK46+(1-$D$27)*AH$29),"")</f>
        <v/>
      </c>
      <c r="AI70" s="18">
        <f>IFERROR(AI46*$BJ46*(1+($BL46-1)*AI$30)*($D$27*$BK46+(1-$D$27)*AI$29),"")</f>
        <v/>
      </c>
      <c r="AJ70" s="18">
        <f>IFERROR(AJ46*$BJ46*(1+($BL46-1)*AJ$30)*($D$27*$BK46+(1-$D$27)*AJ$29),"")</f>
        <v/>
      </c>
      <c r="AK70" s="18">
        <f>IFERROR(AK46*$BJ46*(1+($BL46-1)*AK$30)*($D$27*$BK46+(1-$D$27)*AK$29),"")</f>
        <v/>
      </c>
      <c r="AL70" s="18">
        <f>IFERROR(AL46*$BJ46*(1+($BL46-1)*AL$30)*($D$27*$BK46+(1-$D$27)*AL$29),"")</f>
        <v/>
      </c>
      <c r="AM70" s="18">
        <f>IFERROR(AM46*$BJ46*(1+($BL46-1)*AM$30)*($D$27*$BK46+(1-$D$27)*AM$29),"")</f>
        <v/>
      </c>
      <c r="AN70" s="18">
        <f>IFERROR(AN46*$BJ46*(1+($BL46-1)*AN$30)*($D$27*$BK46+(1-$D$27)*AN$29),"")</f>
        <v/>
      </c>
      <c r="AO70" s="18">
        <f>IFERROR(AO46*$BJ46*(1+($BL46-1)*AO$30)*($D$27*$BK46+(1-$D$27)*AO$29),"")</f>
        <v/>
      </c>
      <c r="AP70" s="18">
        <f>IFERROR(AP46*$BJ46*(1+($BL46-1)*AP$30)*($D$27*$BK46+(1-$D$27)*AP$29),"")</f>
        <v/>
      </c>
      <c r="AQ70" s="18">
        <f>IFERROR(AQ46*$BJ46*(1+($BL46-1)*AQ$30)*($D$27*$BK46+(1-$D$27)*AQ$29),"")</f>
        <v/>
      </c>
      <c r="AR70" s="18">
        <f>IFERROR(AR46*$BJ46*(1+($BL46-1)*AR$30)*($D$27*$BK46+(1-$D$27)*AR$29),"")</f>
        <v/>
      </c>
    </row>
    <row r="71">
      <c r="A71" t="inlineStr">
        <is>
          <t>20260513800195</t>
        </is>
      </c>
      <c r="B71" t="inlineStr">
        <is>
          <t>LNGC</t>
        </is>
      </c>
      <c r="C71" t="n">
        <v>2</v>
      </c>
      <c r="D71" t="inlineStr">
        <is>
          <t>LNGC 2척</t>
        </is>
      </c>
      <c r="AF71" s="18">
        <f>IFERROR(AF47*$BJ47*(1+($BL47-1)*AF$30)*($D$27*$BK47+(1-$D$27)*AF$29),"")</f>
        <v/>
      </c>
      <c r="AG71" s="18">
        <f>IFERROR(AG47*$BJ47*(1+($BL47-1)*AG$30)*($D$27*$BK47+(1-$D$27)*AG$29),"")</f>
        <v/>
      </c>
      <c r="AH71" s="18">
        <f>IFERROR(AH47*$BJ47*(1+($BL47-1)*AH$30)*($D$27*$BK47+(1-$D$27)*AH$29),"")</f>
        <v/>
      </c>
      <c r="AI71" s="18">
        <f>IFERROR(AI47*$BJ47*(1+($BL47-1)*AI$30)*($D$27*$BK47+(1-$D$27)*AI$29),"")</f>
        <v/>
      </c>
      <c r="AJ71" s="18">
        <f>IFERROR(AJ47*$BJ47*(1+($BL47-1)*AJ$30)*($D$27*$BK47+(1-$D$27)*AJ$29),"")</f>
        <v/>
      </c>
      <c r="AK71" s="18">
        <f>IFERROR(AK47*$BJ47*(1+($BL47-1)*AK$30)*($D$27*$BK47+(1-$D$27)*AK$29),"")</f>
        <v/>
      </c>
      <c r="AL71" s="18">
        <f>IFERROR(AL47*$BJ47*(1+($BL47-1)*AL$30)*($D$27*$BK47+(1-$D$27)*AL$29),"")</f>
        <v/>
      </c>
      <c r="AM71" s="18">
        <f>IFERROR(AM47*$BJ47*(1+($BL47-1)*AM$30)*($D$27*$BK47+(1-$D$27)*AM$29),"")</f>
        <v/>
      </c>
      <c r="AN71" s="18">
        <f>IFERROR(AN47*$BJ47*(1+($BL47-1)*AN$30)*($D$27*$BK47+(1-$D$27)*AN$29),"")</f>
        <v/>
      </c>
      <c r="AO71" s="18">
        <f>IFERROR(AO47*$BJ47*(1+($BL47-1)*AO$30)*($D$27*$BK47+(1-$D$27)*AO$29),"")</f>
        <v/>
      </c>
      <c r="AP71" s="18">
        <f>IFERROR(AP47*$BJ47*(1+($BL47-1)*AP$30)*($D$27*$BK47+(1-$D$27)*AP$29),"")</f>
        <v/>
      </c>
      <c r="AQ71" s="18">
        <f>IFERROR(AQ47*$BJ47*(1+($BL47-1)*AQ$30)*($D$27*$BK47+(1-$D$27)*AQ$29),"")</f>
        <v/>
      </c>
      <c r="AR71" s="18">
        <f>IFERROR(AR47*$BJ47*(1+($BL47-1)*AR$30)*($D$27*$BK47+(1-$D$27)*AR$29),"")</f>
        <v/>
      </c>
      <c r="AS71" s="18">
        <f>IFERROR(AS47*$BJ47*(1+($BL47-1)*AS$30)*($D$27*$BK47+(1-$D$27)*AS$29),"")</f>
        <v/>
      </c>
    </row>
    <row r="72">
      <c r="A72" t="inlineStr">
        <is>
          <t>20260521800360</t>
        </is>
      </c>
      <c r="B72" t="inlineStr">
        <is>
          <t>VLGC</t>
        </is>
      </c>
      <c r="C72" t="n">
        <v>6</v>
      </c>
      <c r="D72" t="inlineStr">
        <is>
          <t>VLAC 6척</t>
        </is>
      </c>
      <c r="AF72" s="18">
        <f>IFERROR(AF48*$BJ48*(1+($BL48-1)*AF$30)*($D$27*$BK48+(1-$D$27)*AF$29),"")</f>
        <v/>
      </c>
      <c r="AG72" s="18">
        <f>IFERROR(AG48*$BJ48*(1+($BL48-1)*AG$30)*($D$27*$BK48+(1-$D$27)*AG$29),"")</f>
        <v/>
      </c>
      <c r="AH72" s="18">
        <f>IFERROR(AH48*$BJ48*(1+($BL48-1)*AH$30)*($D$27*$BK48+(1-$D$27)*AH$29),"")</f>
        <v/>
      </c>
      <c r="AI72" s="18">
        <f>IFERROR(AI48*$BJ48*(1+($BL48-1)*AI$30)*($D$27*$BK48+(1-$D$27)*AI$29),"")</f>
        <v/>
      </c>
      <c r="AJ72" s="18">
        <f>IFERROR(AJ48*$BJ48*(1+($BL48-1)*AJ$30)*($D$27*$BK48+(1-$D$27)*AJ$29),"")</f>
        <v/>
      </c>
      <c r="AK72" s="18">
        <f>IFERROR(AK48*$BJ48*(1+($BL48-1)*AK$30)*($D$27*$BK48+(1-$D$27)*AK$29),"")</f>
        <v/>
      </c>
      <c r="AL72" s="18">
        <f>IFERROR(AL48*$BJ48*(1+($BL48-1)*AL$30)*($D$27*$BK48+(1-$D$27)*AL$29),"")</f>
        <v/>
      </c>
      <c r="AM72" s="18">
        <f>IFERROR(AM48*$BJ48*(1+($BL48-1)*AM$30)*($D$27*$BK48+(1-$D$27)*AM$29),"")</f>
        <v/>
      </c>
      <c r="AN72" s="18">
        <f>IFERROR(AN48*$BJ48*(1+($BL48-1)*AN$30)*($D$27*$BK48+(1-$D$27)*AN$29),"")</f>
        <v/>
      </c>
      <c r="AO72" s="18">
        <f>IFERROR(AO48*$BJ48*(1+($BL48-1)*AO$30)*($D$27*$BK48+(1-$D$27)*AO$29),"")</f>
        <v/>
      </c>
      <c r="AP72" s="18">
        <f>IFERROR(AP48*$BJ48*(1+($BL48-1)*AP$30)*($D$27*$BK48+(1-$D$27)*AP$29),"")</f>
        <v/>
      </c>
      <c r="AQ72" s="18">
        <f>IFERROR(AQ48*$BJ48*(1+($BL48-1)*AQ$30)*($D$27*$BK48+(1-$D$27)*AQ$29),"")</f>
        <v/>
      </c>
      <c r="AR72" s="18">
        <f>IFERROR(AR48*$BJ48*(1+($BL48-1)*AR$30)*($D$27*$BK48+(1-$D$27)*AR$29),"")</f>
        <v/>
      </c>
      <c r="AS72" s="18">
        <f>IFERROR(AS48*$BJ48*(1+($BL48-1)*AS$30)*($D$27*$BK48+(1-$D$27)*AS$29),"")</f>
        <v/>
      </c>
      <c r="AT72" s="18">
        <f>IFERROR(AT48*$BJ48*(1+($BL48-1)*AT$30)*($D$27*$BK48+(1-$D$27)*AT$29),"")</f>
        <v/>
      </c>
    </row>
    <row r="73">
      <c r="A73" t="inlineStr">
        <is>
          <t>20260629800351</t>
        </is>
      </c>
      <c r="B73" t="inlineStr">
        <is>
          <t>VLGC</t>
        </is>
      </c>
      <c r="C73" t="n">
        <v>2</v>
      </c>
      <c r="D73" t="inlineStr">
        <is>
          <t>LPGC 2척</t>
        </is>
      </c>
      <c r="AF73" s="18">
        <f>IFERROR(AF49*$BJ49*(1+($BL49-1)*AF$30)*($D$27*$BK49+(1-$D$27)*AF$29),"")</f>
        <v/>
      </c>
      <c r="AG73" s="18">
        <f>IFERROR(AG49*$BJ49*(1+($BL49-1)*AG$30)*($D$27*$BK49+(1-$D$27)*AG$29),"")</f>
        <v/>
      </c>
      <c r="AH73" s="18">
        <f>IFERROR(AH49*$BJ49*(1+($BL49-1)*AH$30)*($D$27*$BK49+(1-$D$27)*AH$29),"")</f>
        <v/>
      </c>
      <c r="AI73" s="18">
        <f>IFERROR(AI49*$BJ49*(1+($BL49-1)*AI$30)*($D$27*$BK49+(1-$D$27)*AI$29),"")</f>
        <v/>
      </c>
      <c r="AJ73" s="18">
        <f>IFERROR(AJ49*$BJ49*(1+($BL49-1)*AJ$30)*($D$27*$BK49+(1-$D$27)*AJ$29),"")</f>
        <v/>
      </c>
      <c r="AK73" s="18">
        <f>IFERROR(AK49*$BJ49*(1+($BL49-1)*AK$30)*($D$27*$BK49+(1-$D$27)*AK$29),"")</f>
        <v/>
      </c>
      <c r="AL73" s="18">
        <f>IFERROR(AL49*$BJ49*(1+($BL49-1)*AL$30)*($D$27*$BK49+(1-$D$27)*AL$29),"")</f>
        <v/>
      </c>
      <c r="AM73" s="18">
        <f>IFERROR(AM49*$BJ49*(1+($BL49-1)*AM$30)*($D$27*$BK49+(1-$D$27)*AM$29),"")</f>
        <v/>
      </c>
      <c r="AN73" s="18">
        <f>IFERROR(AN49*$BJ49*(1+($BL49-1)*AN$30)*($D$27*$BK49+(1-$D$27)*AN$29),"")</f>
        <v/>
      </c>
      <c r="AO73" s="18">
        <f>IFERROR(AO49*$BJ49*(1+($BL49-1)*AO$30)*($D$27*$BK49+(1-$D$27)*AO$29),"")</f>
        <v/>
      </c>
      <c r="AP73" s="18">
        <f>IFERROR(AP49*$BJ49*(1+($BL49-1)*AP$30)*($D$27*$BK49+(1-$D$27)*AP$29),"")</f>
        <v/>
      </c>
      <c r="AQ73" s="18">
        <f>IFERROR(AQ49*$BJ49*(1+($BL49-1)*AQ$30)*($D$27*$BK49+(1-$D$27)*AQ$29),"")</f>
        <v/>
      </c>
      <c r="AR73" s="18">
        <f>IFERROR(AR49*$BJ49*(1+($BL49-1)*AR$30)*($D$27*$BK49+(1-$D$27)*AR$29),"")</f>
        <v/>
      </c>
      <c r="AS73" s="18">
        <f>IFERROR(AS49*$BJ49*(1+($BL49-1)*AS$30)*($D$27*$BK49+(1-$D$27)*AS$29),"")</f>
        <v/>
      </c>
      <c r="AT73" s="18">
        <f>IFERROR(AT49*$BJ49*(1+($BL49-1)*AT$30)*($D$27*$BK49+(1-$D$27)*AT$29),"")</f>
        <v/>
      </c>
    </row>
    <row r="74">
      <c r="A74" t="inlineStr">
        <is>
          <t>20260713800202</t>
        </is>
      </c>
      <c r="B74" t="inlineStr">
        <is>
          <t>VLGC</t>
        </is>
      </c>
      <c r="C74" t="n">
        <v>3</v>
      </c>
      <c r="D74" t="inlineStr">
        <is>
          <t>VLAC 3척</t>
        </is>
      </c>
      <c r="AG74" s="18">
        <f>IFERROR(AG50*$BJ50*(1+($BL50-1)*AG$30)*($D$27*$BK50+(1-$D$27)*AG$29),"")</f>
        <v/>
      </c>
      <c r="AH74" s="18">
        <f>IFERROR(AH50*$BJ50*(1+($BL50-1)*AH$30)*($D$27*$BK50+(1-$D$27)*AH$29),"")</f>
        <v/>
      </c>
      <c r="AI74" s="18">
        <f>IFERROR(AI50*$BJ50*(1+($BL50-1)*AI$30)*($D$27*$BK50+(1-$D$27)*AI$29),"")</f>
        <v/>
      </c>
      <c r="AJ74" s="18">
        <f>IFERROR(AJ50*$BJ50*(1+($BL50-1)*AJ$30)*($D$27*$BK50+(1-$D$27)*AJ$29),"")</f>
        <v/>
      </c>
      <c r="AK74" s="18">
        <f>IFERROR(AK50*$BJ50*(1+($BL50-1)*AK$30)*($D$27*$BK50+(1-$D$27)*AK$29),"")</f>
        <v/>
      </c>
      <c r="AL74" s="18">
        <f>IFERROR(AL50*$BJ50*(1+($BL50-1)*AL$30)*($D$27*$BK50+(1-$D$27)*AL$29),"")</f>
        <v/>
      </c>
      <c r="AM74" s="18">
        <f>IFERROR(AM50*$BJ50*(1+($BL50-1)*AM$30)*($D$27*$BK50+(1-$D$27)*AM$29),"")</f>
        <v/>
      </c>
      <c r="AN74" s="18">
        <f>IFERROR(AN50*$BJ50*(1+($BL50-1)*AN$30)*($D$27*$BK50+(1-$D$27)*AN$29),"")</f>
        <v/>
      </c>
      <c r="AO74" s="18">
        <f>IFERROR(AO50*$BJ50*(1+($BL50-1)*AO$30)*($D$27*$BK50+(1-$D$27)*AO$29),"")</f>
        <v/>
      </c>
      <c r="AP74" s="18">
        <f>IFERROR(AP50*$BJ50*(1+($BL50-1)*AP$30)*($D$27*$BK50+(1-$D$27)*AP$29),"")</f>
        <v/>
      </c>
      <c r="AQ74" s="18">
        <f>IFERROR(AQ50*$BJ50*(1+($BL50-1)*AQ$30)*($D$27*$BK50+(1-$D$27)*AQ$29),"")</f>
        <v/>
      </c>
      <c r="AR74" s="18">
        <f>IFERROR(AR50*$BJ50*(1+($BL50-1)*AR$30)*($D$27*$BK50+(1-$D$27)*AR$29),"")</f>
        <v/>
      </c>
      <c r="AS74" s="18">
        <f>IFERROR(AS50*$BJ50*(1+($BL50-1)*AS$30)*($D$27*$BK50+(1-$D$27)*AS$29),"")</f>
        <v/>
      </c>
      <c r="AT74" s="18">
        <f>IFERROR(AT50*$BJ50*(1+($BL50-1)*AT$30)*($D$27*$BK50+(1-$D$27)*AT$29),"")</f>
        <v/>
      </c>
      <c r="AU74" s="18">
        <f>IFERROR(AU50*$BJ50*(1+($BL50-1)*AU$30)*($D$27*$BK50+(1-$D$27)*AU$29),"")</f>
        <v/>
      </c>
      <c r="AV74" s="18">
        <f>IFERROR(AV50*$BJ50*(1+($BL50-1)*AV$30)*($D$27*$BK50+(1-$D$27)*AV$29),"")</f>
        <v/>
      </c>
    </row>
    <row r="75">
      <c r="A75" t="inlineStr">
        <is>
          <t>20260903800523</t>
        </is>
      </c>
      <c r="B75" t="inlineStr">
        <is>
          <t>OFFSH</t>
        </is>
      </c>
      <c r="C75" t="n">
        <v>1</v>
      </c>
      <c r="D75" t="inlineStr">
        <is>
          <t>FPSO Hull 1기</t>
        </is>
      </c>
      <c r="L75" s="18">
        <f>IFERROR(L51*$BJ51*(1+($BL51-1)*L$30)*($D$27*$BK51+(1-$D$27)*L$29),"")</f>
        <v/>
      </c>
      <c r="M75" s="18">
        <f>IFERROR(M51*$BJ51*(1+($BL51-1)*M$30)*($D$27*$BK51+(1-$D$27)*M$29),"")</f>
        <v/>
      </c>
      <c r="N75" s="18">
        <f>IFERROR(N51*$BJ51*(1+($BL51-1)*N$30)*($D$27*$BK51+(1-$D$27)*N$29),"")</f>
        <v/>
      </c>
      <c r="O75" s="18">
        <f>IFERROR(O51*$BJ51*(1+($BL51-1)*O$30)*($D$27*$BK51+(1-$D$27)*O$29),"")</f>
        <v/>
      </c>
      <c r="P75" s="18">
        <f>IFERROR(P51*$BJ51*(1+($BL51-1)*P$30)*($D$27*$BK51+(1-$D$27)*P$29),"")</f>
        <v/>
      </c>
      <c r="Q75" s="18">
        <f>IFERROR(Q51*$BJ51*(1+($BL51-1)*Q$30)*($D$27*$BK51+(1-$D$27)*Q$29),"")</f>
        <v/>
      </c>
      <c r="R75" s="18">
        <f>IFERROR(R51*$BJ51*(1+($BL51-1)*R$30)*($D$27*$BK51+(1-$D$27)*R$29),"")</f>
        <v/>
      </c>
      <c r="S75" s="18">
        <f>IFERROR(S51*$BJ51*(1+($BL51-1)*S$30)*($D$27*$BK51+(1-$D$27)*S$29),"")</f>
        <v/>
      </c>
      <c r="T75" s="18">
        <f>IFERROR(T51*$BJ51*(1+($BL51-1)*T$30)*($D$27*$BK51+(1-$D$27)*T$29),"")</f>
        <v/>
      </c>
      <c r="U75" s="18">
        <f>IFERROR(U51*$BJ51*(1+($BL51-1)*U$30)*($D$27*$BK51+(1-$D$27)*U$29),"")</f>
        <v/>
      </c>
      <c r="V75" s="18">
        <f>IFERROR(V51*$BJ51*(1+($BL51-1)*V$30)*($D$27*$BK51+(1-$D$27)*V$29),"")</f>
        <v/>
      </c>
      <c r="W75" s="18">
        <f>IFERROR(W51*$BJ51*(1+($BL51-1)*W$30)*($D$27*$BK51+(1-$D$27)*W$29),"")</f>
        <v/>
      </c>
      <c r="X75" s="18">
        <f>IFERROR(X51*$BJ51*(1+($BL51-1)*X$30)*($D$27*$BK51+(1-$D$27)*X$29),"")</f>
        <v/>
      </c>
      <c r="Y75" s="18">
        <f>IFERROR(Y51*$BJ51*(1+($BL51-1)*Y$30)*($D$27*$BK51+(1-$D$27)*Y$29),"")</f>
        <v/>
      </c>
      <c r="Z75" s="18">
        <f>IFERROR(Z51*$BJ51*(1+($BL51-1)*Z$30)*($D$27*$BK51+(1-$D$27)*Z$29),"")</f>
        <v/>
      </c>
      <c r="AA75" s="18">
        <f>IFERROR(AA51*$BJ51*(1+($BL51-1)*AA$30)*($D$27*$BK51+(1-$D$27)*AA$29),"")</f>
        <v/>
      </c>
      <c r="AB75" s="18">
        <f>IFERROR(AB51*$BJ51*(1+($BL51-1)*AB$30)*($D$27*$BK51+(1-$D$27)*AB$29),"")</f>
        <v/>
      </c>
    </row>
    <row r="76">
      <c r="A76" t="inlineStr">
        <is>
          <t>20261006800410</t>
        </is>
      </c>
      <c r="B76" t="inlineStr">
        <is>
          <t>OTHER</t>
        </is>
      </c>
      <c r="D76" t="inlineStr">
        <is>
          <t>보령화력 1~8호기 저탄장 옥내화 공사</t>
        </is>
      </c>
      <c r="M76" s="18">
        <f>IFERROR(M52*$BJ52*(1+($BL52-1)*M$30)*($D$27*$BK52+(1-$D$27)*M$29),"")</f>
        <v/>
      </c>
      <c r="N76" s="18">
        <f>IFERROR(N52*$BJ52*(1+($BL52-1)*N$30)*($D$27*$BK52+(1-$D$27)*N$29),"")</f>
        <v/>
      </c>
      <c r="O76" s="18">
        <f>IFERROR(O52*$BJ52*(1+($BL52-1)*O$30)*($D$27*$BK52+(1-$D$27)*O$29),"")</f>
        <v/>
      </c>
      <c r="P76" s="18">
        <f>IFERROR(P52*$BJ52*(1+($BL52-1)*P$30)*($D$27*$BK52+(1-$D$27)*P$29),"")</f>
        <v/>
      </c>
      <c r="Q76" s="18">
        <f>IFERROR(Q52*$BJ52*(1+($BL52-1)*Q$30)*($D$27*$BK52+(1-$D$27)*Q$29),"")</f>
        <v/>
      </c>
      <c r="R76" s="18">
        <f>IFERROR(R52*$BJ52*(1+($BL52-1)*R$30)*($D$27*$BK52+(1-$D$27)*R$29),"")</f>
        <v/>
      </c>
      <c r="S76" s="18">
        <f>IFERROR(S52*$BJ52*(1+($BL52-1)*S$30)*($D$27*$BK52+(1-$D$27)*S$29),"")</f>
        <v/>
      </c>
      <c r="T76" s="18">
        <f>IFERROR(T52*$BJ52*(1+($BL52-1)*T$30)*($D$27*$BK52+(1-$D$27)*T$29),"")</f>
        <v/>
      </c>
      <c r="U76" s="18">
        <f>IFERROR(U52*$BJ52*(1+($BL52-1)*U$30)*($D$27*$BK52+(1-$D$27)*U$29),"")</f>
        <v/>
      </c>
      <c r="V76" s="18">
        <f>IFERROR(V52*$BJ52*(1+($BL52-1)*V$30)*($D$27*$BK52+(1-$D$27)*V$29),"")</f>
        <v/>
      </c>
      <c r="W76" s="18">
        <f>IFERROR(W52*$BJ52*(1+($BL52-1)*W$30)*($D$27*$BK52+(1-$D$27)*W$29),"")</f>
        <v/>
      </c>
      <c r="X76" s="18">
        <f>IFERROR(X52*$BJ52*(1+($BL52-1)*X$30)*($D$27*$BK52+(1-$D$27)*X$29),"")</f>
        <v/>
      </c>
      <c r="Y76" s="18">
        <f>IFERROR(Y52*$BJ52*(1+($BL52-1)*Y$30)*($D$27*$BK52+(1-$D$27)*Y$29),"")</f>
        <v/>
      </c>
      <c r="Z76" s="18">
        <f>IFERROR(Z52*$BJ52*(1+($BL52-1)*Z$30)*($D$27*$BK52+(1-$D$27)*Z$29),"")</f>
        <v/>
      </c>
      <c r="AA76" s="18">
        <f>IFERROR(AA52*$BJ52*(1+($BL52-1)*AA$30)*($D$27*$BK52+(1-$D$27)*AA$29),"")</f>
        <v/>
      </c>
      <c r="AB76" s="18">
        <f>IFERROR(AB52*$BJ52*(1+($BL52-1)*AB$30)*($D$27*$BK52+(1-$D$27)*AB$29),"")</f>
        <v/>
      </c>
      <c r="AC76" s="18">
        <f>IFERROR(AC52*$BJ52*(1+($BL52-1)*AC$30)*($D$27*$BK52+(1-$D$27)*AC$29),"")</f>
        <v/>
      </c>
      <c r="AD76" s="18">
        <f>IFERROR(AD52*$BJ52*(1+($BL52-1)*AD$30)*($D$27*$BK52+(1-$D$27)*AD$29),"")</f>
        <v/>
      </c>
      <c r="AE76" s="18">
        <f>IFERROR(AE52*$BJ52*(1+($BL52-1)*AE$30)*($D$27*$BK52+(1-$D$27)*AE$29),"")</f>
        <v/>
      </c>
      <c r="AF76" s="18">
        <f>IFERROR(AF52*$BJ52*(1+($BL52-1)*AF$30)*($D$27*$BK52+(1-$D$27)*AF$29),"")</f>
        <v/>
      </c>
      <c r="AG76" s="18">
        <f>IFERROR(AG52*$BJ52*(1+($BL52-1)*AG$30)*($D$27*$BK52+(1-$D$27)*AG$29),"")</f>
        <v/>
      </c>
      <c r="AH76" s="18">
        <f>IFERROR(AH52*$BJ52*(1+($BL52-1)*AH$30)*($D$27*$BK52+(1-$D$27)*AH$29),"")</f>
        <v/>
      </c>
      <c r="AI76" s="18">
        <f>IFERROR(AI52*$BJ52*(1+($BL52-1)*AI$30)*($D$27*$BK52+(1-$D$27)*AI$29),"")</f>
        <v/>
      </c>
      <c r="AJ76" s="18">
        <f>IFERROR(AJ52*$BJ52*(1+($BL52-1)*AJ$30)*($D$27*$BK52+(1-$D$27)*AJ$29),"")</f>
        <v/>
      </c>
      <c r="AK76" s="18">
        <f>IFERROR(AK52*$BJ52*(1+($BL52-1)*AK$30)*($D$27*$BK52+(1-$D$27)*AK$29),"")</f>
        <v/>
      </c>
    </row>
    <row r="77">
      <c r="A77" t="inlineStr">
        <is>
          <t>20261020800226</t>
        </is>
      </c>
      <c r="B77" t="inlineStr">
        <is>
          <t>CONT</t>
        </is>
      </c>
      <c r="C77" t="n">
        <v>6</v>
      </c>
      <c r="D77" t="inlineStr">
        <is>
          <t>컨테이너선 6척</t>
        </is>
      </c>
      <c r="AH77" s="18">
        <f>IFERROR(AH53*$BJ53*(1+($BL53-1)*AH$30)*($D$27*$BK53+(1-$D$27)*AH$29),"")</f>
        <v/>
      </c>
      <c r="AI77" s="18">
        <f>IFERROR(AI53*$BJ53*(1+($BL53-1)*AI$30)*($D$27*$BK53+(1-$D$27)*AI$29),"")</f>
        <v/>
      </c>
      <c r="AJ77" s="18">
        <f>IFERROR(AJ53*$BJ53*(1+($BL53-1)*AJ$30)*($D$27*$BK53+(1-$D$27)*AJ$29),"")</f>
        <v/>
      </c>
      <c r="AK77" s="18">
        <f>IFERROR(AK53*$BJ53*(1+($BL53-1)*AK$30)*($D$27*$BK53+(1-$D$27)*AK$29),"")</f>
        <v/>
      </c>
      <c r="AL77" s="18">
        <f>IFERROR(AL53*$BJ53*(1+($BL53-1)*AL$30)*($D$27*$BK53+(1-$D$27)*AL$29),"")</f>
        <v/>
      </c>
      <c r="AM77" s="18">
        <f>IFERROR(AM53*$BJ53*(1+($BL53-1)*AM$30)*($D$27*$BK53+(1-$D$27)*AM$29),"")</f>
        <v/>
      </c>
      <c r="AN77" s="18">
        <f>IFERROR(AN53*$BJ53*(1+($BL53-1)*AN$30)*($D$27*$BK53+(1-$D$27)*AN$29),"")</f>
        <v/>
      </c>
      <c r="AO77" s="18">
        <f>IFERROR(AO53*$BJ53*(1+($BL53-1)*AO$30)*($D$27*$BK53+(1-$D$27)*AO$29),"")</f>
        <v/>
      </c>
      <c r="AP77" s="18">
        <f>IFERROR(AP53*$BJ53*(1+($BL53-1)*AP$30)*($D$27*$BK53+(1-$D$27)*AP$29),"")</f>
        <v/>
      </c>
      <c r="AQ77" s="18">
        <f>IFERROR(AQ53*$BJ53*(1+($BL53-1)*AQ$30)*($D$27*$BK53+(1-$D$27)*AQ$29),"")</f>
        <v/>
      </c>
      <c r="AR77" s="18">
        <f>IFERROR(AR53*$BJ53*(1+($BL53-1)*AR$30)*($D$27*$BK53+(1-$D$27)*AR$29),"")</f>
        <v/>
      </c>
      <c r="AS77" s="18">
        <f>IFERROR(AS53*$BJ53*(1+($BL53-1)*AS$30)*($D$27*$BK53+(1-$D$27)*AS$29),"")</f>
        <v/>
      </c>
      <c r="AT77" s="18">
        <f>IFERROR(AT53*$BJ53*(1+($BL53-1)*AT$30)*($D$27*$BK53+(1-$D$27)*AT$29),"")</f>
        <v/>
      </c>
    </row>
    <row r="78">
      <c r="A78" t="inlineStr">
        <is>
          <t>20261021800379</t>
        </is>
      </c>
      <c r="B78" t="inlineStr">
        <is>
          <t>CONT</t>
        </is>
      </c>
      <c r="C78" t="n">
        <v>2</v>
      </c>
      <c r="D78" t="inlineStr">
        <is>
          <t>컨테이너선 2척</t>
        </is>
      </c>
      <c r="Z78" s="18">
        <f>IFERROR(Z54*$BJ54*(1+($BL54-1)*Z$30)*($D$27*$BK54+(1-$D$27)*Z$29),"")</f>
        <v/>
      </c>
      <c r="AA78" s="18">
        <f>IFERROR(AA54*$BJ54*(1+($BL54-1)*AA$30)*($D$27*$BK54+(1-$D$27)*AA$29),"")</f>
        <v/>
      </c>
      <c r="AB78" s="18">
        <f>IFERROR(AB54*$BJ54*(1+($BL54-1)*AB$30)*($D$27*$BK54+(1-$D$27)*AB$29),"")</f>
        <v/>
      </c>
      <c r="AC78" s="18">
        <f>IFERROR(AC54*$BJ54*(1+($BL54-1)*AC$30)*($D$27*$BK54+(1-$D$27)*AC$29),"")</f>
        <v/>
      </c>
      <c r="AD78" s="18">
        <f>IFERROR(AD54*$BJ54*(1+($BL54-1)*AD$30)*($D$27*$BK54+(1-$D$27)*AD$29),"")</f>
        <v/>
      </c>
      <c r="AE78" s="18">
        <f>IFERROR(AE54*$BJ54*(1+($BL54-1)*AE$30)*($D$27*$BK54+(1-$D$27)*AE$29),"")</f>
        <v/>
      </c>
      <c r="AF78" s="18">
        <f>IFERROR(AF54*$BJ54*(1+($BL54-1)*AF$30)*($D$27*$BK54+(1-$D$27)*AF$29),"")</f>
        <v/>
      </c>
      <c r="AG78" s="18">
        <f>IFERROR(AG54*$BJ54*(1+($BL54-1)*AG$30)*($D$27*$BK54+(1-$D$27)*AG$29),"")</f>
        <v/>
      </c>
      <c r="AH78" s="18">
        <f>IFERROR(AH54*$BJ54*(1+($BL54-1)*AH$30)*($D$27*$BK54+(1-$D$27)*AH$29),"")</f>
        <v/>
      </c>
    </row>
    <row r="79">
      <c r="A79" s="12" t="inlineStr">
        <is>
          <t>usd_incl</t>
        </is>
      </c>
      <c r="D79" t="inlineStr">
        <is>
          <t>포함 계약 스케줄 합(백만$, 캡 배율 전)</t>
        </is>
      </c>
      <c r="E79" s="27">
        <f>SUMPRODUCT(E33:E54,$BJ$33:$BJ$54)</f>
        <v/>
      </c>
      <c r="F79" s="27">
        <f>SUMPRODUCT(F33:F54,$BJ$33:$BJ$54)</f>
        <v/>
      </c>
      <c r="G79" s="27">
        <f>SUMPRODUCT(G33:G54,$BJ$33:$BJ$54)</f>
        <v/>
      </c>
      <c r="H79" s="27">
        <f>SUMPRODUCT(H33:H54,$BJ$33:$BJ$54)</f>
        <v/>
      </c>
      <c r="I79" s="27">
        <f>SUMPRODUCT(I33:I54,$BJ$33:$BJ$54)</f>
        <v/>
      </c>
      <c r="J79" s="27">
        <f>SUMPRODUCT(J33:J54,$BJ$33:$BJ$54)</f>
        <v/>
      </c>
      <c r="K79" s="27">
        <f>SUMPRODUCT(K33:K54,$BJ$33:$BJ$54)</f>
        <v/>
      </c>
      <c r="L79" s="27">
        <f>SUMPRODUCT(L33:L54,$BJ$33:$BJ$54)</f>
        <v/>
      </c>
      <c r="M79" s="27">
        <f>SUMPRODUCT(M33:M54,$BJ$33:$BJ$54)</f>
        <v/>
      </c>
      <c r="N79" s="27">
        <f>SUMPRODUCT(N33:N54,$BJ$33:$BJ$54)</f>
        <v/>
      </c>
      <c r="O79" s="27">
        <f>SUMPRODUCT(O33:O54,$BJ$33:$BJ$54)</f>
        <v/>
      </c>
      <c r="P79" s="27">
        <f>SUMPRODUCT(P33:P54,$BJ$33:$BJ$54)</f>
        <v/>
      </c>
      <c r="Q79" s="27">
        <f>SUMPRODUCT(Q33:Q54,$BJ$33:$BJ$54)</f>
        <v/>
      </c>
      <c r="R79" s="27">
        <f>SUMPRODUCT(R33:R54,$BJ$33:$BJ$54)</f>
        <v/>
      </c>
      <c r="S79" s="27">
        <f>SUMPRODUCT(S33:S54,$BJ$33:$BJ$54)</f>
        <v/>
      </c>
      <c r="T79" s="27">
        <f>SUMPRODUCT(T33:T54,$BJ$33:$BJ$54)</f>
        <v/>
      </c>
      <c r="U79" s="27">
        <f>SUMPRODUCT(U33:U54,$BJ$33:$BJ$54)</f>
        <v/>
      </c>
      <c r="V79" s="27">
        <f>SUMPRODUCT(V33:V54,$BJ$33:$BJ$54)</f>
        <v/>
      </c>
      <c r="W79" s="27">
        <f>SUMPRODUCT(W33:W54,$BJ$33:$BJ$54)</f>
        <v/>
      </c>
      <c r="X79" s="27">
        <f>SUMPRODUCT(X33:X54,$BJ$33:$BJ$54)</f>
        <v/>
      </c>
      <c r="Y79" s="27">
        <f>SUMPRODUCT(Y33:Y54,$BJ$33:$BJ$54)</f>
        <v/>
      </c>
      <c r="Z79" s="27">
        <f>SUMPRODUCT(Z33:Z54,$BJ$33:$BJ$54)</f>
        <v/>
      </c>
      <c r="AA79" s="27">
        <f>SUMPRODUCT(AA33:AA54,$BJ$33:$BJ$54)</f>
        <v/>
      </c>
      <c r="AB79" s="27">
        <f>SUMPRODUCT(AB33:AB54,$BJ$33:$BJ$54)</f>
        <v/>
      </c>
      <c r="AC79" s="27">
        <f>SUMPRODUCT(AC33:AC54,$BJ$33:$BJ$54)</f>
        <v/>
      </c>
      <c r="AD79" s="27">
        <f>SUMPRODUCT(AD33:AD54,$BJ$33:$BJ$54)</f>
        <v/>
      </c>
      <c r="AE79" s="27">
        <f>SUMPRODUCT(AE33:AE54,$BJ$33:$BJ$54)</f>
        <v/>
      </c>
      <c r="AF79" s="27">
        <f>SUMPRODUCT(AF33:AF54,$BJ$33:$BJ$54)</f>
        <v/>
      </c>
      <c r="AG79" s="27">
        <f>SUMPRODUCT(AG33:AG54,$BJ$33:$BJ$54)</f>
        <v/>
      </c>
      <c r="AH79" s="27">
        <f>SUMPRODUCT(AH33:AH54,$BJ$33:$BJ$54)</f>
        <v/>
      </c>
      <c r="AI79" s="27">
        <f>SUMPRODUCT(AI33:AI54,$BJ$33:$BJ$54)</f>
        <v/>
      </c>
      <c r="AJ79" s="27">
        <f>SUMPRODUCT(AJ33:AJ54,$BJ$33:$BJ$54)</f>
        <v/>
      </c>
      <c r="AK79" s="27">
        <f>SUMPRODUCT(AK33:AK54,$BJ$33:$BJ$54)</f>
        <v/>
      </c>
      <c r="AL79" s="27">
        <f>SUMPRODUCT(AL33:AL54,$BJ$33:$BJ$54)</f>
        <v/>
      </c>
      <c r="AM79" s="27">
        <f>SUMPRODUCT(AM33:AM54,$BJ$33:$BJ$54)</f>
        <v/>
      </c>
      <c r="AN79" s="27">
        <f>SUMPRODUCT(AN33:AN54,$BJ$33:$BJ$54)</f>
        <v/>
      </c>
      <c r="AO79" s="27">
        <f>SUMPRODUCT(AO33:AO54,$BJ$33:$BJ$54)</f>
        <v/>
      </c>
      <c r="AP79" s="27">
        <f>SUMPRODUCT(AP33:AP54,$BJ$33:$BJ$54)</f>
        <v/>
      </c>
      <c r="AQ79" s="27">
        <f>SUMPRODUCT(AQ33:AQ54,$BJ$33:$BJ$54)</f>
        <v/>
      </c>
      <c r="AR79" s="27">
        <f>SUMPRODUCT(AR33:AR54,$BJ$33:$BJ$54)</f>
        <v/>
      </c>
      <c r="AS79" s="27">
        <f>SUMPRODUCT(AS33:AS54,$BJ$33:$BJ$54)</f>
        <v/>
      </c>
      <c r="AT79" s="27">
        <f>SUMPRODUCT(AT33:AT54,$BJ$33:$BJ$54)</f>
        <v/>
      </c>
      <c r="AU79" s="27">
        <f>SUMPRODUCT(AU33:AU54,$BJ$33:$BJ$54)</f>
        <v/>
      </c>
      <c r="AV79" s="27">
        <f>SUMPRODUCT(AV33:AV54,$BJ$33:$BJ$54)</f>
        <v/>
      </c>
    </row>
    <row r="80">
      <c r="A80" s="12" t="inlineStr">
        <is>
          <t>krw_link</t>
        </is>
      </c>
      <c r="D80" s="1" t="inlineStr">
        <is>
          <t>원화 합계(백만원) — subQ 연결 행</t>
        </is>
      </c>
      <c r="E80" s="18">
        <f>SUM(E57:E78)</f>
        <v/>
      </c>
      <c r="F80" s="18">
        <f>SUM(F57:F78)</f>
        <v/>
      </c>
      <c r="G80" s="18">
        <f>SUM(G57:G78)</f>
        <v/>
      </c>
      <c r="H80" s="18">
        <f>SUM(H57:H78)</f>
        <v/>
      </c>
      <c r="I80" s="18">
        <f>SUM(I57:I78)</f>
        <v/>
      </c>
      <c r="J80" s="18">
        <f>SUM(J57:J78)</f>
        <v/>
      </c>
      <c r="K80" s="18">
        <f>SUM(K57:K78)</f>
        <v/>
      </c>
      <c r="L80" s="18">
        <f>SUM(L57:L78)</f>
        <v/>
      </c>
      <c r="M80" s="18">
        <f>SUM(M57:M78)</f>
        <v/>
      </c>
      <c r="N80" s="18">
        <f>SUM(N57:N78)</f>
        <v/>
      </c>
      <c r="O80" s="18">
        <f>SUM(O57:O78)</f>
        <v/>
      </c>
      <c r="P80" s="18">
        <f>SUM(P57:P78)</f>
        <v/>
      </c>
      <c r="Q80" s="18">
        <f>SUM(Q57:Q78)</f>
        <v/>
      </c>
      <c r="R80" s="18">
        <f>SUM(R57:R78)</f>
        <v/>
      </c>
      <c r="S80" s="18">
        <f>SUM(S57:S78)</f>
        <v/>
      </c>
      <c r="T80" s="18">
        <f>SUM(T57:T78)</f>
        <v/>
      </c>
      <c r="U80" s="18">
        <f>SUM(U57:U78)</f>
        <v/>
      </c>
      <c r="V80" s="18">
        <f>SUM(V57:V78)</f>
        <v/>
      </c>
      <c r="W80" s="18">
        <f>SUM(W57:W78)</f>
        <v/>
      </c>
      <c r="X80" s="18">
        <f>SUM(X57:X78)</f>
        <v/>
      </c>
      <c r="Y80" s="18">
        <f>SUM(Y57:Y78)</f>
        <v/>
      </c>
      <c r="Z80" s="18">
        <f>SUM(Z57:Z78)</f>
        <v/>
      </c>
      <c r="AA80" s="18">
        <f>SUM(AA57:AA78)</f>
        <v/>
      </c>
      <c r="AB80" s="18">
        <f>SUM(AB57:AB78)</f>
        <v/>
      </c>
      <c r="AC80" s="18">
        <f>SUM(AC57:AC78)</f>
        <v/>
      </c>
      <c r="AD80" s="18">
        <f>SUM(AD57:AD78)</f>
        <v/>
      </c>
      <c r="AE80" s="18">
        <f>SUM(AE57:AE78)</f>
        <v/>
      </c>
      <c r="AF80" s="18">
        <f>SUM(AF57:AF78)</f>
        <v/>
      </c>
      <c r="AG80" s="18">
        <f>SUM(AG57:AG78)</f>
        <v/>
      </c>
      <c r="AH80" s="18">
        <f>SUM(AH57:AH78)</f>
        <v/>
      </c>
      <c r="AI80" s="18">
        <f>SUM(AI57:AI78)</f>
        <v/>
      </c>
      <c r="AJ80" s="18">
        <f>SUM(AJ57:AJ78)</f>
        <v/>
      </c>
      <c r="AK80" s="18">
        <f>SUM(AK57:AK78)</f>
        <v/>
      </c>
      <c r="AL80" s="18">
        <f>SUM(AL57:AL78)</f>
        <v/>
      </c>
      <c r="AM80" s="18">
        <f>SUM(AM57:AM78)</f>
        <v/>
      </c>
      <c r="AN80" s="18">
        <f>SUM(AN57:AN78)</f>
        <v/>
      </c>
      <c r="AO80" s="18">
        <f>SUM(AO57:AO78)</f>
        <v/>
      </c>
      <c r="AP80" s="18">
        <f>SUM(AP57:AP78)</f>
        <v/>
      </c>
      <c r="AQ80" s="18">
        <f>SUM(AQ57:AQ78)</f>
        <v/>
      </c>
      <c r="AR80" s="18">
        <f>SUM(AR57:AR78)</f>
        <v/>
      </c>
      <c r="AS80" s="18">
        <f>SUM(AS57:AS78)</f>
        <v/>
      </c>
      <c r="AT80" s="18">
        <f>SUM(AT57:AT78)</f>
        <v/>
      </c>
      <c r="AU80" s="18">
        <f>SUM(AU57:AU78)</f>
        <v/>
      </c>
      <c r="AV80" s="18">
        <f>SUM(AV57:AV78)</f>
        <v/>
      </c>
    </row>
    <row r="82">
      <c r="A82" s="1" t="inlineStr">
        <is>
          <t>계약 원장(contracts.json 기반 — counted 아닌 계약 포함)</t>
        </is>
      </c>
    </row>
    <row r="83">
      <c r="A83" s="1" t="inlineStr">
        <is>
          <t>rcp</t>
        </is>
      </c>
      <c r="B83" s="1" t="inlineStr">
        <is>
          <t>type</t>
        </is>
      </c>
      <c r="C83" s="1" t="inlineStr">
        <is>
          <t>ships</t>
        </is>
      </c>
      <c r="D83" s="1" t="inlineStr">
        <is>
          <t>amt_krw_m</t>
        </is>
      </c>
      <c r="E83" s="1" t="inlineStr">
        <is>
          <t>amt_usd_m</t>
        </is>
      </c>
      <c r="F83" s="1" t="inlineStr">
        <is>
          <t>fx_at_sign</t>
        </is>
      </c>
      <c r="G83" s="1" t="inlineStr">
        <is>
          <t>signed</t>
        </is>
      </c>
      <c r="H83" s="1" t="inlineStr">
        <is>
          <t>start</t>
        </is>
      </c>
      <c r="I83" s="1" t="inlineStr">
        <is>
          <t>end</t>
        </is>
      </c>
      <c r="J83" s="1" t="inlineStr">
        <is>
          <t>cohort</t>
        </is>
      </c>
      <c r="K83" s="1" t="inlineStr">
        <is>
          <t>cohort_alt</t>
        </is>
      </c>
      <c r="L83" s="1" t="inlineStr">
        <is>
          <t>curve</t>
        </is>
      </c>
      <c r="M83" s="1" t="inlineStr">
        <is>
          <t>counted</t>
        </is>
      </c>
      <c r="N83" s="1" t="inlineStr">
        <is>
          <t>signed_by_origin</t>
        </is>
      </c>
      <c r="O83" s="1" t="inlineStr">
        <is>
          <t>estimated_series</t>
        </is>
      </c>
    </row>
    <row r="84">
      <c r="A84" t="inlineStr">
        <is>
          <t>20251121800424</t>
        </is>
      </c>
      <c r="B84" t="inlineStr">
        <is>
          <t>VLCC</t>
        </is>
      </c>
      <c r="C84" t="n">
        <v>4</v>
      </c>
      <c r="D84" t="n">
        <v>762700</v>
      </c>
      <c r="E84" t="n">
        <v>526.294</v>
      </c>
      <c r="F84" t="n">
        <v>1449.19</v>
      </c>
      <c r="G84" t="inlineStr">
        <is>
          <t>2025-11-20</t>
        </is>
      </c>
      <c r="H84" t="inlineStr">
        <is>
          <t>2025-11-20</t>
        </is>
      </c>
      <c r="I84" t="inlineStr">
        <is>
          <t>2029-08-13</t>
        </is>
      </c>
      <c r="J84" t="inlineStr">
        <is>
          <t>⑤초호황</t>
        </is>
      </c>
      <c r="K84" t="inlineStr">
        <is>
          <t>④호황</t>
        </is>
      </c>
      <c r="L84" t="inlineStr">
        <is>
          <t>linear_progress</t>
        </is>
      </c>
      <c r="M84" t="b">
        <v>1</v>
      </c>
      <c r="N84" t="b">
        <v>1</v>
      </c>
      <c r="O84" t="b">
        <v>1</v>
      </c>
    </row>
    <row r="85">
      <c r="A85" t="inlineStr">
        <is>
          <t>20251124800131</t>
        </is>
      </c>
      <c r="B85" t="inlineStr">
        <is>
          <t>CONT</t>
        </is>
      </c>
      <c r="C85" t="n">
        <v>6</v>
      </c>
      <c r="D85" t="n">
        <v>1603700</v>
      </c>
      <c r="E85" t="n">
        <v>1106.618</v>
      </c>
      <c r="F85" t="n">
        <v>1449.19</v>
      </c>
      <c r="G85" t="inlineStr">
        <is>
          <t>2025-11-21</t>
        </is>
      </c>
      <c r="H85" t="inlineStr">
        <is>
          <t>2025-11-21</t>
        </is>
      </c>
      <c r="I85" t="inlineStr">
        <is>
          <t>2029-04-30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1</v>
      </c>
    </row>
    <row r="86">
      <c r="A86" t="inlineStr">
        <is>
          <t>20251124800132</t>
        </is>
      </c>
      <c r="B86" t="inlineStr">
        <is>
          <t>CONT</t>
        </is>
      </c>
      <c r="C86" t="n">
        <v>2</v>
      </c>
      <c r="D86" t="n">
        <v>534600</v>
      </c>
      <c r="E86" t="n">
        <v>368.896</v>
      </c>
      <c r="F86" t="n">
        <v>1449.19</v>
      </c>
      <c r="G86" t="inlineStr">
        <is>
          <t>2025-11-21</t>
        </is>
      </c>
      <c r="H86" t="inlineStr">
        <is>
          <t>2025-11-21</t>
        </is>
      </c>
      <c r="I86" t="inlineStr">
        <is>
          <t>2028-07-14</t>
        </is>
      </c>
      <c r="L86" t="inlineStr">
        <is>
          <t>linear_progress</t>
        </is>
      </c>
      <c r="M86" t="b">
        <v>0</v>
      </c>
      <c r="N86" t="b">
        <v>1</v>
      </c>
      <c r="O86" t="b">
        <v>1</v>
      </c>
    </row>
    <row r="87">
      <c r="A87" t="inlineStr">
        <is>
          <t>20251202800104</t>
        </is>
      </c>
      <c r="B87" t="inlineStr">
        <is>
          <t>LNGC</t>
        </is>
      </c>
      <c r="C87" t="n">
        <v>1</v>
      </c>
      <c r="D87" t="n">
        <v>367200</v>
      </c>
      <c r="E87" t="n">
        <v>253.383</v>
      </c>
      <c r="F87" t="n">
        <v>1449.19</v>
      </c>
      <c r="G87" t="inlineStr">
        <is>
          <t>2025-12-01</t>
        </is>
      </c>
      <c r="H87" t="inlineStr">
        <is>
          <t>2025-12-01</t>
        </is>
      </c>
      <c r="I87" t="inlineStr">
        <is>
          <t>2028-12-31</t>
        </is>
      </c>
      <c r="J87" t="inlineStr">
        <is>
          <t>⑤초호황</t>
        </is>
      </c>
      <c r="K87" t="inlineStr">
        <is>
          <t>③중마진</t>
        </is>
      </c>
      <c r="L87" t="inlineStr">
        <is>
          <t>linear_progress</t>
        </is>
      </c>
      <c r="M87" t="b">
        <v>1</v>
      </c>
      <c r="N87" t="b">
        <v>1</v>
      </c>
      <c r="O87" t="b">
        <v>0</v>
      </c>
    </row>
    <row r="88">
      <c r="A88" t="inlineStr">
        <is>
          <t>20251215800970</t>
        </is>
      </c>
      <c r="B88" t="inlineStr">
        <is>
          <t>OTHER</t>
        </is>
      </c>
      <c r="D88" t="n">
        <v>140700</v>
      </c>
      <c r="E88" t="n">
        <v>117.843</v>
      </c>
      <c r="F88" t="n">
        <v>1193.96</v>
      </c>
      <c r="G88" t="inlineStr">
        <is>
          <t>2019-09-03</t>
        </is>
      </c>
      <c r="H88" t="inlineStr">
        <is>
          <t>2019-09-03</t>
        </is>
      </c>
      <c r="I88" t="inlineStr">
        <is>
          <t>2025-12-15</t>
        </is>
      </c>
      <c r="L88" t="inlineStr">
        <is>
          <t>linear_progress</t>
        </is>
      </c>
      <c r="M88" t="b">
        <v>1</v>
      </c>
      <c r="N88" t="b">
        <v>1</v>
      </c>
      <c r="O88" t="b">
        <v>0</v>
      </c>
    </row>
    <row r="89">
      <c r="A89" t="inlineStr">
        <is>
          <t>20251219800421</t>
        </is>
      </c>
      <c r="B89" t="inlineStr">
        <is>
          <t>LNGC</t>
        </is>
      </c>
      <c r="C89" t="n">
        <v>3</v>
      </c>
      <c r="D89" t="n">
        <v>1047200</v>
      </c>
      <c r="E89" t="n">
        <v>769.491</v>
      </c>
      <c r="F89" t="n">
        <v>1360.9</v>
      </c>
      <c r="G89" t="inlineStr">
        <is>
          <t>2025-06-26</t>
        </is>
      </c>
      <c r="H89" t="inlineStr">
        <is>
          <t>2025-06-26</t>
        </is>
      </c>
      <c r="I89" t="inlineStr">
        <is>
          <t>2029-02-02</t>
        </is>
      </c>
      <c r="J89" t="inlineStr">
        <is>
          <t>⑤초호황</t>
        </is>
      </c>
      <c r="K89" t="inlineStr">
        <is>
          <t>③중마진</t>
        </is>
      </c>
      <c r="L89" t="inlineStr">
        <is>
          <t>linear_progress</t>
        </is>
      </c>
      <c r="M89" t="b">
        <v>1</v>
      </c>
      <c r="N89" t="b">
        <v>1</v>
      </c>
      <c r="O89" t="b">
        <v>0</v>
      </c>
    </row>
    <row r="90">
      <c r="A90" t="inlineStr">
        <is>
          <t>20251219800433</t>
        </is>
      </c>
      <c r="B90" t="inlineStr">
        <is>
          <t>CONT</t>
        </is>
      </c>
      <c r="C90" t="n">
        <v>4</v>
      </c>
      <c r="D90" t="n">
        <v>689600</v>
      </c>
      <c r="E90" t="n">
        <v>475.852</v>
      </c>
      <c r="F90" t="n">
        <v>1449.19</v>
      </c>
      <c r="G90" t="inlineStr">
        <is>
          <t>2025-12-18</t>
        </is>
      </c>
      <c r="H90" t="inlineStr">
        <is>
          <t>2025-12-18</t>
        </is>
      </c>
      <c r="I90" t="inlineStr">
        <is>
          <t>2028-11-20</t>
        </is>
      </c>
      <c r="J90" t="inlineStr">
        <is>
          <t>⑤초호황</t>
        </is>
      </c>
      <c r="K90" t="inlineStr">
        <is>
          <t>②BEP</t>
        </is>
      </c>
      <c r="L90" t="inlineStr">
        <is>
          <t>linear_progress</t>
        </is>
      </c>
      <c r="M90" t="b">
        <v>1</v>
      </c>
      <c r="N90" t="b">
        <v>1</v>
      </c>
      <c r="O90" t="b">
        <v>1</v>
      </c>
    </row>
    <row r="91">
      <c r="A91" t="inlineStr">
        <is>
          <t>20251224800162</t>
        </is>
      </c>
      <c r="B91" t="inlineStr">
        <is>
          <t>PC</t>
        </is>
      </c>
      <c r="C91" t="n">
        <v>5</v>
      </c>
      <c r="D91" t="n">
        <v>375000</v>
      </c>
      <c r="E91" t="n">
        <v>258.765</v>
      </c>
      <c r="F91" t="n">
        <v>1449.19</v>
      </c>
      <c r="G91" t="inlineStr">
        <is>
          <t>2025-12-23</t>
        </is>
      </c>
      <c r="H91" t="inlineStr">
        <is>
          <t>2025-12-23</t>
        </is>
      </c>
      <c r="I91" t="inlineStr">
        <is>
          <t>2028-07-31</t>
        </is>
      </c>
      <c r="L91" t="inlineStr">
        <is>
          <t>linear_progress</t>
        </is>
      </c>
      <c r="M91" t="b">
        <v>0</v>
      </c>
      <c r="N91" t="b">
        <v>1</v>
      </c>
      <c r="O91" t="b">
        <v>1</v>
      </c>
    </row>
    <row r="92">
      <c r="A92" t="inlineStr">
        <is>
          <t>20251226800855</t>
        </is>
      </c>
      <c r="B92" t="inlineStr">
        <is>
          <t>NAVAL</t>
        </is>
      </c>
      <c r="C92" t="n">
        <v>2</v>
      </c>
      <c r="D92" t="n">
        <v>844700</v>
      </c>
      <c r="E92" t="n">
        <v>582.877</v>
      </c>
      <c r="F92" t="n">
        <v>1449.19</v>
      </c>
      <c r="G92" t="inlineStr">
        <is>
          <t>2025-12-26</t>
        </is>
      </c>
      <c r="H92" t="inlineStr">
        <is>
          <t>2025-12-26</t>
        </is>
      </c>
      <c r="I92" t="inlineStr">
        <is>
          <t>2029-12-20</t>
        </is>
      </c>
      <c r="L92" t="inlineStr">
        <is>
          <t>linear_progress</t>
        </is>
      </c>
      <c r="M92" t="b">
        <v>0</v>
      </c>
      <c r="N92" t="b">
        <v>1</v>
      </c>
      <c r="O92" t="b">
        <v>0</v>
      </c>
    </row>
    <row r="93">
      <c r="A93" t="inlineStr">
        <is>
          <t>20260106800156</t>
        </is>
      </c>
      <c r="B93" t="inlineStr">
        <is>
          <t>LNGC</t>
        </is>
      </c>
      <c r="C93" t="n">
        <v>4</v>
      </c>
      <c r="D93" t="n">
        <v>1499300</v>
      </c>
      <c r="E93" t="n">
        <v>1022.631</v>
      </c>
      <c r="F93" t="n">
        <v>1466.12</v>
      </c>
      <c r="G93" t="inlineStr">
        <is>
          <t>2026-01-05</t>
        </is>
      </c>
      <c r="H93" t="inlineStr">
        <is>
          <t>2026-01-05</t>
        </is>
      </c>
      <c r="I93" t="inlineStr">
        <is>
          <t>2029-03-27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20260116800207</t>
        </is>
      </c>
      <c r="B94" t="inlineStr">
        <is>
          <t>VLGC</t>
        </is>
      </c>
      <c r="C94" t="n">
        <v>1</v>
      </c>
      <c r="D94" t="n">
        <v>175800</v>
      </c>
      <c r="E94" t="n">
        <v>119.908</v>
      </c>
      <c r="F94" t="n">
        <v>1466.12</v>
      </c>
      <c r="G94" t="inlineStr">
        <is>
          <t>2026-01-15</t>
        </is>
      </c>
      <c r="H94" t="inlineStr">
        <is>
          <t>2026-01-15</t>
        </is>
      </c>
      <c r="I94" t="inlineStr">
        <is>
          <t>2028-05-31</t>
        </is>
      </c>
      <c r="J94" t="inlineStr">
        <is>
          <t>⑤초호황</t>
        </is>
      </c>
      <c r="K94" t="inlineStr">
        <is>
          <t>③중마진</t>
        </is>
      </c>
      <c r="L94" t="inlineStr">
        <is>
          <t>linear_progress</t>
        </is>
      </c>
      <c r="M94" t="b">
        <v>1</v>
      </c>
      <c r="N94" t="b">
        <v>1</v>
      </c>
      <c r="O94" t="b">
        <v>0</v>
      </c>
    </row>
    <row r="95">
      <c r="A95" t="inlineStr">
        <is>
          <t>20260120800211</t>
        </is>
      </c>
      <c r="B95" t="inlineStr">
        <is>
          <t>VLCC</t>
        </is>
      </c>
      <c r="C95" t="n">
        <v>2</v>
      </c>
      <c r="D95" t="n">
        <v>481600</v>
      </c>
      <c r="E95" t="n">
        <v>328.486</v>
      </c>
      <c r="F95" t="n">
        <v>1466.12</v>
      </c>
      <c r="G95" t="inlineStr">
        <is>
          <t>2026-01-19</t>
        </is>
      </c>
      <c r="H95" t="inlineStr">
        <is>
          <t>2026-01-19</t>
        </is>
      </c>
      <c r="I95" t="inlineStr">
        <is>
          <t>2029-06-30</t>
        </is>
      </c>
      <c r="L95" t="inlineStr">
        <is>
          <t>linear_progress</t>
        </is>
      </c>
      <c r="M95" t="b">
        <v>0</v>
      </c>
      <c r="N95" t="b">
        <v>1</v>
      </c>
      <c r="O95" t="b">
        <v>0</v>
      </c>
    </row>
    <row r="96">
      <c r="A96" t="inlineStr">
        <is>
          <t>20260202800947</t>
        </is>
      </c>
      <c r="B96" t="inlineStr">
        <is>
          <t>LNGC</t>
        </is>
      </c>
      <c r="C96" t="n">
        <v>1</v>
      </c>
      <c r="D96" t="n">
        <v>357500</v>
      </c>
      <c r="E96" t="n">
        <v>243.841</v>
      </c>
      <c r="F96" t="n">
        <v>1466.12</v>
      </c>
      <c r="G96" t="inlineStr">
        <is>
          <t>2026-01-30</t>
        </is>
      </c>
      <c r="H96" t="inlineStr">
        <is>
          <t>2026-01-30</t>
        </is>
      </c>
      <c r="I96" t="inlineStr">
        <is>
          <t>2028-06-30</t>
        </is>
      </c>
      <c r="J96" t="inlineStr">
        <is>
          <t>⑤초호황</t>
        </is>
      </c>
      <c r="K96" t="inlineStr">
        <is>
          <t>③중마진</t>
        </is>
      </c>
      <c r="L96" t="inlineStr">
        <is>
          <t>linear_progress</t>
        </is>
      </c>
      <c r="M96" t="b">
        <v>1</v>
      </c>
      <c r="N96" t="b">
        <v>1</v>
      </c>
      <c r="O96" t="b">
        <v>1</v>
      </c>
    </row>
    <row r="97">
      <c r="A97" t="inlineStr">
        <is>
          <t>20260226800208</t>
        </is>
      </c>
      <c r="B97" t="inlineStr">
        <is>
          <t>LNGC</t>
        </is>
      </c>
      <c r="C97" t="n">
        <v>1</v>
      </c>
      <c r="D97" t="n">
        <v>367800</v>
      </c>
      <c r="E97" t="n">
        <v>250.866</v>
      </c>
      <c r="F97" t="n">
        <v>1466.12</v>
      </c>
      <c r="G97" t="inlineStr">
        <is>
          <t>2026-02-25</t>
        </is>
      </c>
      <c r="H97" t="inlineStr">
        <is>
          <t>2026-02-25</t>
        </is>
      </c>
      <c r="I97" t="inlineStr">
        <is>
          <t>2028-09-29</t>
        </is>
      </c>
      <c r="L97" t="inlineStr">
        <is>
          <t>linear_progress</t>
        </is>
      </c>
      <c r="M97" t="b">
        <v>0</v>
      </c>
      <c r="N97" t="b">
        <v>1</v>
      </c>
      <c r="O97" t="b">
        <v>1</v>
      </c>
    </row>
    <row r="98">
      <c r="A98" t="inlineStr">
        <is>
          <t>20260227800230</t>
        </is>
      </c>
      <c r="B98" t="inlineStr">
        <is>
          <t>CONT</t>
        </is>
      </c>
      <c r="C98" t="n">
        <v>6</v>
      </c>
      <c r="D98" t="n">
        <v>372400</v>
      </c>
      <c r="E98" t="n">
        <v>254.004</v>
      </c>
      <c r="F98" t="n">
        <v>1466.12</v>
      </c>
      <c r="G98" t="inlineStr">
        <is>
          <t>2026-02-26</t>
        </is>
      </c>
      <c r="H98" t="inlineStr">
        <is>
          <t>2026-02-26</t>
        </is>
      </c>
      <c r="I98" t="inlineStr">
        <is>
          <t>2028-06-30</t>
        </is>
      </c>
      <c r="L98" t="inlineStr">
        <is>
          <t>linear_progress</t>
        </is>
      </c>
      <c r="M98" t="b">
        <v>0</v>
      </c>
      <c r="N98" t="b">
        <v>1</v>
      </c>
      <c r="O98" t="b">
        <v>1</v>
      </c>
    </row>
    <row r="99">
      <c r="A99" t="inlineStr">
        <is>
          <t>20260304800002</t>
        </is>
      </c>
      <c r="B99" t="inlineStr">
        <is>
          <t>VLCC</t>
        </is>
      </c>
      <c r="C99" t="n">
        <v>4</v>
      </c>
      <c r="D99" t="n">
        <v>529300</v>
      </c>
      <c r="E99" t="n">
        <v>365.239</v>
      </c>
      <c r="F99" t="n">
        <v>1449.19</v>
      </c>
      <c r="G99" t="inlineStr">
        <is>
          <t>2025-12-18</t>
        </is>
      </c>
      <c r="H99" t="inlineStr">
        <is>
          <t>2025-12-18</t>
        </is>
      </c>
      <c r="I99" t="inlineStr">
        <is>
          <t>2028-10-31</t>
        </is>
      </c>
      <c r="J99" t="inlineStr">
        <is>
          <t>⑤초호황</t>
        </is>
      </c>
      <c r="K99" t="inlineStr">
        <is>
          <t>③중마진</t>
        </is>
      </c>
      <c r="L99" t="inlineStr">
        <is>
          <t>linear_progress</t>
        </is>
      </c>
      <c r="M99" t="b">
        <v>1</v>
      </c>
      <c r="N99" t="b">
        <v>1</v>
      </c>
      <c r="O99" t="b">
        <v>1</v>
      </c>
    </row>
    <row r="100">
      <c r="A100" t="inlineStr">
        <is>
          <t>20260305800849</t>
        </is>
      </c>
      <c r="B100" t="inlineStr">
        <is>
          <t>LNGC</t>
        </is>
      </c>
      <c r="C100" t="n">
        <v>4</v>
      </c>
      <c r="D100" t="n">
        <v>1487200</v>
      </c>
      <c r="E100" t="n">
        <v>1014.378</v>
      </c>
      <c r="F100" t="n">
        <v>1466.12</v>
      </c>
      <c r="G100" t="inlineStr">
        <is>
          <t>2026-03-04</t>
        </is>
      </c>
      <c r="H100" t="inlineStr">
        <is>
          <t>2026-03-04</t>
        </is>
      </c>
      <c r="I100" t="inlineStr">
        <is>
          <t>2029-11-30</t>
        </is>
      </c>
      <c r="L100" t="inlineStr">
        <is>
          <t>linear_progress</t>
        </is>
      </c>
      <c r="M100" t="b">
        <v>0</v>
      </c>
      <c r="N100" t="b">
        <v>1</v>
      </c>
      <c r="O100" t="b">
        <v>1</v>
      </c>
    </row>
    <row r="101">
      <c r="A101" t="inlineStr">
        <is>
          <t>20260306800225</t>
        </is>
      </c>
      <c r="B101" t="inlineStr">
        <is>
          <t>VLCC</t>
        </is>
      </c>
      <c r="C101" t="n">
        <v>2</v>
      </c>
      <c r="D101" t="n">
        <v>263200</v>
      </c>
      <c r="E101" t="n">
        <v>179.521</v>
      </c>
      <c r="F101" t="n">
        <v>1466.12</v>
      </c>
      <c r="G101" t="inlineStr">
        <is>
          <t>2026-03-05</t>
        </is>
      </c>
      <c r="H101" t="inlineStr">
        <is>
          <t>2026-03-05</t>
        </is>
      </c>
      <c r="I101" t="inlineStr">
        <is>
          <t>2029-05-31</t>
        </is>
      </c>
      <c r="J101" t="inlineStr">
        <is>
          <t>⑤초호황</t>
        </is>
      </c>
      <c r="K101" t="inlineStr">
        <is>
          <t>③중마진</t>
        </is>
      </c>
      <c r="L101" t="inlineStr">
        <is>
          <t>linear_progress</t>
        </is>
      </c>
      <c r="M101" t="b">
        <v>1</v>
      </c>
      <c r="N101" t="b">
        <v>1</v>
      </c>
      <c r="O101" t="b">
        <v>0</v>
      </c>
    </row>
    <row r="102">
      <c r="A102" t="inlineStr">
        <is>
          <t>20260310800414</t>
        </is>
      </c>
      <c r="B102" t="inlineStr">
        <is>
          <t>VLGC</t>
        </is>
      </c>
      <c r="C102" t="n">
        <v>2</v>
      </c>
      <c r="D102" t="n">
        <v>340200</v>
      </c>
      <c r="E102" t="n">
        <v>232.041</v>
      </c>
      <c r="F102" t="n">
        <v>1466.12</v>
      </c>
      <c r="G102" t="inlineStr">
        <is>
          <t>2026-03-09</t>
        </is>
      </c>
      <c r="H102" t="inlineStr">
        <is>
          <t>2026-03-09</t>
        </is>
      </c>
      <c r="I102" t="inlineStr">
        <is>
          <t>2028-12-29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20260316800234</t>
        </is>
      </c>
      <c r="B103" t="inlineStr">
        <is>
          <t>CONT</t>
        </is>
      </c>
      <c r="C103" t="n">
        <v>10</v>
      </c>
      <c r="D103" t="n">
        <v>823700</v>
      </c>
      <c r="E103" t="n">
        <v>561.823</v>
      </c>
      <c r="F103" t="n">
        <v>1466.12</v>
      </c>
      <c r="G103" t="inlineStr">
        <is>
          <t>2026-03-13</t>
        </is>
      </c>
      <c r="H103" t="inlineStr">
        <is>
          <t>2026-03-13</t>
        </is>
      </c>
      <c r="I103" t="inlineStr">
        <is>
          <t>2028-12-31</t>
        </is>
      </c>
      <c r="L103" t="inlineStr">
        <is>
          <t>linear_progress</t>
        </is>
      </c>
      <c r="M103" t="b">
        <v>0</v>
      </c>
      <c r="N103" t="b">
        <v>1</v>
      </c>
      <c r="O103" t="b">
        <v>1</v>
      </c>
    </row>
    <row r="104">
      <c r="A104" t="inlineStr">
        <is>
          <t>20260403800582</t>
        </is>
      </c>
      <c r="B104" t="inlineStr">
        <is>
          <t>VLGC</t>
        </is>
      </c>
      <c r="C104" t="n">
        <v>2</v>
      </c>
      <c r="D104" t="n">
        <v>349800</v>
      </c>
      <c r="E104" t="n">
        <v>232.928</v>
      </c>
      <c r="F104" t="n">
        <v>1501.75</v>
      </c>
      <c r="G104" t="inlineStr">
        <is>
          <t>2026-04-02</t>
        </is>
      </c>
      <c r="H104" t="inlineStr">
        <is>
          <t>2026-04-02</t>
        </is>
      </c>
      <c r="I104" t="inlineStr">
        <is>
          <t>2029-03-30</t>
        </is>
      </c>
      <c r="J104" t="inlineStr">
        <is>
          <t>⑤초호황</t>
        </is>
      </c>
      <c r="K104" t="inlineStr">
        <is>
          <t>③중마진</t>
        </is>
      </c>
      <c r="L104" t="inlineStr">
        <is>
          <t>linear_progress</t>
        </is>
      </c>
      <c r="M104" t="b">
        <v>1</v>
      </c>
      <c r="N104" t="b">
        <v>1</v>
      </c>
      <c r="O104" t="b">
        <v>0</v>
      </c>
    </row>
    <row r="105">
      <c r="A105" t="inlineStr">
        <is>
          <t>20260403800587</t>
        </is>
      </c>
      <c r="B105" t="inlineStr">
        <is>
          <t>PC</t>
        </is>
      </c>
      <c r="C105" t="n">
        <v>8</v>
      </c>
      <c r="D105" t="n">
        <v>611700</v>
      </c>
      <c r="E105" t="n">
        <v>407.325</v>
      </c>
      <c r="F105" t="n">
        <v>1501.75</v>
      </c>
      <c r="G105" t="inlineStr">
        <is>
          <t>2026-04-02</t>
        </is>
      </c>
      <c r="H105" t="inlineStr">
        <is>
          <t>2026-04-02</t>
        </is>
      </c>
      <c r="I105" t="inlineStr">
        <is>
          <t>2029-05-31</t>
        </is>
      </c>
      <c r="L105" t="inlineStr">
        <is>
          <t>linear_progress</t>
        </is>
      </c>
      <c r="M105" t="b">
        <v>0</v>
      </c>
      <c r="N105" t="b">
        <v>1</v>
      </c>
      <c r="O105" t="b">
        <v>1</v>
      </c>
    </row>
    <row r="106">
      <c r="A106" t="inlineStr">
        <is>
          <t>20260408800703</t>
        </is>
      </c>
      <c r="B106" t="inlineStr">
        <is>
          <t>LNGC</t>
        </is>
      </c>
      <c r="C106" t="n">
        <v>2</v>
      </c>
      <c r="D106" t="n">
        <v>770200</v>
      </c>
      <c r="E106" t="n">
        <v>512.8680000000001</v>
      </c>
      <c r="F106" t="n">
        <v>1501.75</v>
      </c>
      <c r="G106" t="inlineStr">
        <is>
          <t>2026-04-07</t>
        </is>
      </c>
      <c r="H106" t="inlineStr">
        <is>
          <t>2026-04-07</t>
        </is>
      </c>
      <c r="I106" t="inlineStr">
        <is>
          <t>2029-09-28</t>
        </is>
      </c>
      <c r="J106" t="inlineStr">
        <is>
          <t>⑤초호황</t>
        </is>
      </c>
      <c r="K106" t="inlineStr">
        <is>
          <t>③중마진</t>
        </is>
      </c>
      <c r="L106" t="inlineStr">
        <is>
          <t>linear_progress</t>
        </is>
      </c>
      <c r="M106" t="b">
        <v>1</v>
      </c>
      <c r="N106" t="b">
        <v>1</v>
      </c>
      <c r="O106" t="b">
        <v>1</v>
      </c>
    </row>
    <row r="107">
      <c r="A107" t="inlineStr">
        <is>
          <t>20260416800167</t>
        </is>
      </c>
      <c r="B107" t="inlineStr">
        <is>
          <t>VLGC</t>
        </is>
      </c>
      <c r="C107" t="n">
        <v>2</v>
      </c>
      <c r="D107" t="n">
        <v>346600</v>
      </c>
      <c r="E107" t="n">
        <v>230.797</v>
      </c>
      <c r="F107" t="n">
        <v>1501.75</v>
      </c>
      <c r="G107" t="inlineStr">
        <is>
          <t>2026-04-15</t>
        </is>
      </c>
      <c r="H107" t="inlineStr">
        <is>
          <t>2026-04-15</t>
        </is>
      </c>
      <c r="I107" t="inlineStr">
        <is>
          <t>2029-04-30</t>
        </is>
      </c>
      <c r="J107" t="inlineStr">
        <is>
          <t>⑤초호황</t>
        </is>
      </c>
      <c r="K107" t="inlineStr">
        <is>
          <t>③중마진</t>
        </is>
      </c>
      <c r="L107" t="inlineStr">
        <is>
          <t>linear_progress</t>
        </is>
      </c>
      <c r="M107" t="b">
        <v>1</v>
      </c>
      <c r="N107" t="b">
        <v>1</v>
      </c>
      <c r="O107" t="b">
        <v>1</v>
      </c>
    </row>
    <row r="108">
      <c r="A108" t="inlineStr">
        <is>
          <t>20260417800196</t>
        </is>
      </c>
      <c r="B108" t="inlineStr">
        <is>
          <t>VLGC</t>
        </is>
      </c>
      <c r="C108" t="n">
        <v>4</v>
      </c>
      <c r="D108" t="n">
        <v>674700</v>
      </c>
      <c r="E108" t="n">
        <v>449.276</v>
      </c>
      <c r="F108" t="n">
        <v>1501.75</v>
      </c>
      <c r="G108" t="inlineStr">
        <is>
          <t>2026-04-16</t>
        </is>
      </c>
      <c r="H108" t="inlineStr">
        <is>
          <t>2026-04-16</t>
        </is>
      </c>
      <c r="I108" t="inlineStr">
        <is>
          <t>2029-11-30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20260422800051</t>
        </is>
      </c>
      <c r="B109" t="inlineStr">
        <is>
          <t>NAVAL</t>
        </is>
      </c>
      <c r="C109" t="n">
        <v>1</v>
      </c>
      <c r="D109" t="n">
        <v>514800</v>
      </c>
      <c r="E109" t="n">
        <v>342.8</v>
      </c>
      <c r="F109" t="n">
        <v>1501.75</v>
      </c>
      <c r="G109" t="inlineStr">
        <is>
          <t>2026-04-21</t>
        </is>
      </c>
      <c r="H109" t="inlineStr">
        <is>
          <t>2026-04-21</t>
        </is>
      </c>
      <c r="I109" t="inlineStr">
        <is>
          <t>2029-08-28</t>
        </is>
      </c>
      <c r="L109" t="inlineStr">
        <is>
          <t>linear_progress</t>
        </is>
      </c>
      <c r="M109" t="b">
        <v>0</v>
      </c>
      <c r="N109" t="b">
        <v>1</v>
      </c>
      <c r="O109" t="b">
        <v>0</v>
      </c>
    </row>
    <row r="110">
      <c r="A110" t="inlineStr">
        <is>
          <t>20260422800184</t>
        </is>
      </c>
      <c r="B110" t="inlineStr">
        <is>
          <t>OTHER</t>
        </is>
      </c>
      <c r="D110" t="n">
        <v>627100</v>
      </c>
      <c r="E110" t="n">
        <v>417.579</v>
      </c>
      <c r="F110" t="n">
        <v>1501.75</v>
      </c>
      <c r="G110" t="inlineStr">
        <is>
          <t>2026-04-21</t>
        </is>
      </c>
      <c r="H110" t="inlineStr">
        <is>
          <t>2026-04-21</t>
        </is>
      </c>
      <c r="I110" t="inlineStr">
        <is>
          <t>2030-10-21</t>
        </is>
      </c>
      <c r="L110" t="inlineStr">
        <is>
          <t>linear_progress</t>
        </is>
      </c>
      <c r="M110" t="b">
        <v>0</v>
      </c>
      <c r="N110" t="b">
        <v>1</v>
      </c>
      <c r="O110" t="b">
        <v>0</v>
      </c>
    </row>
    <row r="111">
      <c r="A111" t="inlineStr">
        <is>
          <t>20260504800307</t>
        </is>
      </c>
      <c r="B111" t="inlineStr">
        <is>
          <t>VLGC</t>
        </is>
      </c>
      <c r="C111" t="n">
        <v>3</v>
      </c>
      <c r="D111" t="n">
        <v>504800</v>
      </c>
      <c r="E111" t="n">
        <v>336.141</v>
      </c>
      <c r="F111" t="n">
        <v>1501.75</v>
      </c>
      <c r="G111" t="inlineStr">
        <is>
          <t>2026-04-30</t>
        </is>
      </c>
      <c r="H111" t="inlineStr">
        <is>
          <t>2026-04-30</t>
        </is>
      </c>
      <c r="I111" t="inlineStr">
        <is>
          <t>2029-08-31</t>
        </is>
      </c>
      <c r="L111" t="inlineStr">
        <is>
          <t>linear_progress</t>
        </is>
      </c>
      <c r="M111" t="b">
        <v>0</v>
      </c>
      <c r="N111" t="b">
        <v>1</v>
      </c>
      <c r="O111" t="b">
        <v>0</v>
      </c>
    </row>
    <row r="112">
      <c r="A112" t="inlineStr">
        <is>
          <t>20260508800186</t>
        </is>
      </c>
      <c r="B112" t="inlineStr">
        <is>
          <t>CONT</t>
        </is>
      </c>
      <c r="C112" t="n">
        <v>6</v>
      </c>
      <c r="D112" t="n">
        <v>1778700</v>
      </c>
      <c r="E112" t="n">
        <v>1184.418</v>
      </c>
      <c r="F112" t="n">
        <v>1501.75</v>
      </c>
      <c r="G112" t="inlineStr">
        <is>
          <t>2026-05-07</t>
        </is>
      </c>
      <c r="H112" t="inlineStr">
        <is>
          <t>2026-05-07</t>
        </is>
      </c>
      <c r="I112" t="inlineStr">
        <is>
          <t>2029-09-30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20260513800195</t>
        </is>
      </c>
      <c r="B113" t="inlineStr">
        <is>
          <t>LNGC</t>
        </is>
      </c>
      <c r="C113" t="n">
        <v>2</v>
      </c>
      <c r="D113" t="n">
        <v>748500</v>
      </c>
      <c r="E113" t="n">
        <v>498.419</v>
      </c>
      <c r="F113" t="n">
        <v>1501.75</v>
      </c>
      <c r="G113" t="inlineStr">
        <is>
          <t>2026-05-12</t>
        </is>
      </c>
      <c r="H113" t="inlineStr">
        <is>
          <t>2026-05-12</t>
        </is>
      </c>
      <c r="I113" t="inlineStr">
        <is>
          <t>2029-07-23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20260514800347</t>
        </is>
      </c>
      <c r="B114" t="inlineStr">
        <is>
          <t>LNGC</t>
        </is>
      </c>
      <c r="C114" t="n">
        <v>2</v>
      </c>
      <c r="D114" t="n">
        <v>743900</v>
      </c>
      <c r="E114" t="n">
        <v>495.355</v>
      </c>
      <c r="F114" t="n">
        <v>1501.75</v>
      </c>
      <c r="G114" t="inlineStr">
        <is>
          <t>2026-05-13</t>
        </is>
      </c>
      <c r="H114" t="inlineStr">
        <is>
          <t>2026-05-13</t>
        </is>
      </c>
      <c r="I114" t="inlineStr">
        <is>
          <t>2029-03-30</t>
        </is>
      </c>
      <c r="L114" t="inlineStr">
        <is>
          <t>linear_progress</t>
        </is>
      </c>
      <c r="M114" t="b">
        <v>0</v>
      </c>
      <c r="N114" t="b">
        <v>1</v>
      </c>
      <c r="O114" t="b">
        <v>1</v>
      </c>
    </row>
    <row r="115">
      <c r="A115" t="inlineStr">
        <is>
          <t>20260521800360</t>
        </is>
      </c>
      <c r="B115" t="inlineStr">
        <is>
          <t>VLGC</t>
        </is>
      </c>
      <c r="C115" t="n">
        <v>6</v>
      </c>
      <c r="D115" t="n">
        <v>1078200</v>
      </c>
      <c r="E115" t="n">
        <v>717.962</v>
      </c>
      <c r="F115" t="n">
        <v>1501.75</v>
      </c>
      <c r="G115" t="inlineStr">
        <is>
          <t>2026-05-20</t>
        </is>
      </c>
      <c r="H115" t="inlineStr">
        <is>
          <t>2026-05-20</t>
        </is>
      </c>
      <c r="I115" t="inlineStr">
        <is>
          <t>2029-12-20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1</v>
      </c>
    </row>
    <row r="116">
      <c r="A116" t="inlineStr">
        <is>
          <t>20260601800400</t>
        </is>
      </c>
      <c r="B116" t="inlineStr">
        <is>
          <t>VLGC</t>
        </is>
      </c>
      <c r="C116" t="n">
        <v>8</v>
      </c>
      <c r="D116" t="n">
        <v>1416100</v>
      </c>
      <c r="E116" t="n">
        <v>942.967</v>
      </c>
      <c r="F116" t="n">
        <v>1501.75</v>
      </c>
      <c r="G116" t="inlineStr">
        <is>
          <t>2026-05-30</t>
        </is>
      </c>
      <c r="H116" t="inlineStr">
        <is>
          <t>2026-05-30</t>
        </is>
      </c>
      <c r="I116" t="inlineStr">
        <is>
          <t>2030-06-30</t>
        </is>
      </c>
      <c r="L116" t="inlineStr">
        <is>
          <t>linear_progress</t>
        </is>
      </c>
      <c r="M116" t="b">
        <v>0</v>
      </c>
      <c r="N116" t="b">
        <v>1</v>
      </c>
      <c r="O116" t="b">
        <v>1</v>
      </c>
    </row>
    <row r="117">
      <c r="A117" t="inlineStr">
        <is>
          <t>20260629800351</t>
        </is>
      </c>
      <c r="B117" t="inlineStr">
        <is>
          <t>VLGC</t>
        </is>
      </c>
      <c r="C117" t="n">
        <v>2</v>
      </c>
      <c r="D117" t="n">
        <v>366000</v>
      </c>
      <c r="E117" t="n">
        <v>243.716</v>
      </c>
      <c r="F117" t="n">
        <v>1501.75</v>
      </c>
      <c r="G117" t="inlineStr">
        <is>
          <t>2026-06-26</t>
        </is>
      </c>
      <c r="H117" t="inlineStr">
        <is>
          <t>2026-06-26</t>
        </is>
      </c>
      <c r="I117" t="inlineStr">
        <is>
          <t>2029-12-31</t>
        </is>
      </c>
      <c r="J117" t="inlineStr">
        <is>
          <t>⑤초호황</t>
        </is>
      </c>
      <c r="K117" t="inlineStr">
        <is>
          <t>③중마진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20260701800239</t>
        </is>
      </c>
      <c r="B118" t="inlineStr">
        <is>
          <t>LNGC</t>
        </is>
      </c>
      <c r="C118" t="n">
        <v>1</v>
      </c>
      <c r="D118" t="n">
        <v>492800</v>
      </c>
      <c r="E118" t="n">
        <v>328.15</v>
      </c>
      <c r="F118" t="n">
        <v>1501.75</v>
      </c>
      <c r="G118" t="inlineStr">
        <is>
          <t>2026-06-30</t>
        </is>
      </c>
      <c r="H118" t="inlineStr">
        <is>
          <t>2026-06-30</t>
        </is>
      </c>
      <c r="I118" t="inlineStr">
        <is>
          <t>2029-05-31</t>
        </is>
      </c>
      <c r="L118" t="inlineStr">
        <is>
          <t>linear_progress</t>
        </is>
      </c>
      <c r="M118" t="b">
        <v>0</v>
      </c>
      <c r="N118" t="b">
        <v>1</v>
      </c>
      <c r="O118" t="b">
        <v>0</v>
      </c>
    </row>
    <row r="119">
      <c r="A119" t="inlineStr">
        <is>
          <t>20260709800139</t>
        </is>
      </c>
      <c r="B119" t="inlineStr">
        <is>
          <t>PC</t>
        </is>
      </c>
      <c r="C119" t="n">
        <v>6</v>
      </c>
      <c r="D119" t="n">
        <v>469900</v>
      </c>
      <c r="E119" t="n">
        <v>331.207</v>
      </c>
      <c r="F119" t="n">
        <v>1418.75</v>
      </c>
      <c r="G119" t="inlineStr">
        <is>
          <t>2026-07-08</t>
        </is>
      </c>
      <c r="H119" t="inlineStr">
        <is>
          <t>2026-07-08</t>
        </is>
      </c>
      <c r="I119" t="inlineStr">
        <is>
          <t>2029-06-30</t>
        </is>
      </c>
      <c r="L119" t="inlineStr">
        <is>
          <t>linear_progress</t>
        </is>
      </c>
      <c r="M119" t="b">
        <v>0</v>
      </c>
      <c r="N119" t="b">
        <v>0</v>
      </c>
      <c r="O119" t="b">
        <v>1</v>
      </c>
    </row>
    <row r="120">
      <c r="A120" t="inlineStr">
        <is>
          <t>20260713800202</t>
        </is>
      </c>
      <c r="B120" t="inlineStr">
        <is>
          <t>VLGC</t>
        </is>
      </c>
      <c r="C120" t="n">
        <v>3</v>
      </c>
      <c r="D120" t="n">
        <v>545600</v>
      </c>
      <c r="E120" t="n">
        <v>384.564</v>
      </c>
      <c r="F120" t="n">
        <v>1418.75</v>
      </c>
      <c r="G120" t="inlineStr">
        <is>
          <t>2026-07-10</t>
        </is>
      </c>
      <c r="H120" t="inlineStr">
        <is>
          <t>2026-07-10</t>
        </is>
      </c>
      <c r="I120" t="inlineStr">
        <is>
          <t>2030-05-31</t>
        </is>
      </c>
      <c r="J120" t="inlineStr">
        <is>
          <t>⑤초호황</t>
        </is>
      </c>
      <c r="K120" t="inlineStr">
        <is>
          <t>④호황</t>
        </is>
      </c>
      <c r="L120" t="inlineStr">
        <is>
          <t>linear_progress</t>
        </is>
      </c>
      <c r="M120" t="b">
        <v>1</v>
      </c>
      <c r="N120" t="b">
        <v>0</v>
      </c>
      <c r="O120" t="b">
        <v>1</v>
      </c>
    </row>
    <row r="121">
      <c r="A121" t="inlineStr">
        <is>
          <t>20260810800150</t>
        </is>
      </c>
      <c r="B121" t="inlineStr">
        <is>
          <t>OTHER</t>
        </is>
      </c>
      <c r="D121" t="n">
        <v>956000</v>
      </c>
      <c r="E121" t="n">
        <v>673.833</v>
      </c>
      <c r="F121" t="n">
        <v>1418.75</v>
      </c>
      <c r="G121" t="inlineStr">
        <is>
          <t>2026-08-07</t>
        </is>
      </c>
      <c r="H121" t="inlineStr">
        <is>
          <t>2026-08-07</t>
        </is>
      </c>
      <c r="I121" t="inlineStr">
        <is>
          <t>2030-07-30</t>
        </is>
      </c>
      <c r="L121" t="inlineStr">
        <is>
          <t>linear_progress</t>
        </is>
      </c>
      <c r="M121" t="b">
        <v>0</v>
      </c>
      <c r="N121" t="b">
        <v>0</v>
      </c>
      <c r="O121" t="b">
        <v>0</v>
      </c>
    </row>
    <row r="122">
      <c r="A122" t="inlineStr">
        <is>
          <t>20260824800125</t>
        </is>
      </c>
      <c r="B122" t="inlineStr">
        <is>
          <t>VLGC</t>
        </is>
      </c>
      <c r="C122" t="n">
        <v>4</v>
      </c>
      <c r="D122" t="n">
        <v>515400</v>
      </c>
      <c r="E122" t="n">
        <v>363.278</v>
      </c>
      <c r="F122" t="n">
        <v>1418.75</v>
      </c>
      <c r="G122" t="inlineStr">
        <is>
          <t>2026-08-21</t>
        </is>
      </c>
      <c r="H122" t="inlineStr">
        <is>
          <t>2026-08-21</t>
        </is>
      </c>
      <c r="I122" t="inlineStr">
        <is>
          <t>2030-03-31</t>
        </is>
      </c>
      <c r="L122" t="inlineStr">
        <is>
          <t>linear_progress</t>
        </is>
      </c>
      <c r="M122" t="b">
        <v>0</v>
      </c>
      <c r="N122" t="b">
        <v>0</v>
      </c>
      <c r="O122" t="b">
        <v>1</v>
      </c>
    </row>
    <row r="123">
      <c r="A123" t="inlineStr">
        <is>
          <t>20260903800523</t>
        </is>
      </c>
      <c r="B123" t="inlineStr">
        <is>
          <t>OFFSH</t>
        </is>
      </c>
      <c r="C123" t="n">
        <v>1</v>
      </c>
      <c r="D123" t="n">
        <v>878100</v>
      </c>
      <c r="E123" t="n">
        <v>783.039</v>
      </c>
      <c r="F123" t="n">
        <v>1121.4</v>
      </c>
      <c r="G123" t="inlineStr">
        <is>
          <t>2021-05-10</t>
        </is>
      </c>
      <c r="H123" t="inlineStr">
        <is>
          <t>2021-05-08</t>
        </is>
      </c>
      <c r="I123" t="inlineStr">
        <is>
          <t>2025-04-08</t>
        </is>
      </c>
      <c r="J123" t="inlineStr">
        <is>
          <t>④호황</t>
        </is>
      </c>
      <c r="K123" t="inlineStr">
        <is>
          <t>②BEP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20261006800410</t>
        </is>
      </c>
      <c r="B124" t="inlineStr">
        <is>
          <t>OTHER</t>
        </is>
      </c>
      <c r="D124" t="n">
        <v>338500</v>
      </c>
      <c r="E124" t="n">
        <v>291.833</v>
      </c>
      <c r="F124" t="n">
        <v>1159.91</v>
      </c>
      <c r="G124" t="inlineStr">
        <is>
          <t>2021-09-02</t>
        </is>
      </c>
      <c r="H124" t="inlineStr">
        <is>
          <t>2021-09-02</t>
        </is>
      </c>
      <c r="I124" t="inlineStr">
        <is>
          <t>2027-08-31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20261013800237</t>
        </is>
      </c>
      <c r="B125" t="inlineStr">
        <is>
          <t>OFFSH</t>
        </is>
      </c>
      <c r="C125" t="n">
        <v>1</v>
      </c>
      <c r="D125" t="n">
        <v>1964800</v>
      </c>
      <c r="E125" t="n">
        <v>1493.361</v>
      </c>
      <c r="F125" t="n">
        <v>1315.69</v>
      </c>
      <c r="G125" t="inlineStr">
        <is>
          <t>2023-06-30</t>
        </is>
      </c>
      <c r="H125" t="inlineStr">
        <is>
          <t>2023-07-01</t>
        </is>
      </c>
      <c r="I125" t="inlineStr">
        <is>
          <t>2027-06-01</t>
        </is>
      </c>
      <c r="L125" t="inlineStr">
        <is>
          <t>linear_progress</t>
        </is>
      </c>
      <c r="M125" t="b">
        <v>0</v>
      </c>
      <c r="N125" t="b">
        <v>1</v>
      </c>
      <c r="O125" t="b">
        <v>0</v>
      </c>
    </row>
    <row r="126">
      <c r="A126" t="inlineStr">
        <is>
          <t>20261015800358</t>
        </is>
      </c>
      <c r="B126" t="inlineStr">
        <is>
          <t>VLGC</t>
        </is>
      </c>
      <c r="C126" t="n">
        <v>4</v>
      </c>
      <c r="D126" t="n">
        <v>625800</v>
      </c>
      <c r="E126" t="n">
        <v>467.891</v>
      </c>
      <c r="F126" t="n">
        <v>1337.49</v>
      </c>
      <c r="G126" t="inlineStr">
        <is>
          <t>2026-10-14</t>
        </is>
      </c>
      <c r="H126" t="inlineStr">
        <is>
          <t>2026-10-14</t>
        </is>
      </c>
      <c r="I126" t="inlineStr">
        <is>
          <t>2030-06-30</t>
        </is>
      </c>
      <c r="L126" t="inlineStr">
        <is>
          <t>linear_progress</t>
        </is>
      </c>
      <c r="M126" t="b">
        <v>0</v>
      </c>
      <c r="N126" t="b">
        <v>0</v>
      </c>
      <c r="O126" t="b">
        <v>1</v>
      </c>
    </row>
    <row r="127">
      <c r="A127" t="inlineStr">
        <is>
          <t>20261020800226</t>
        </is>
      </c>
      <c r="B127" t="inlineStr">
        <is>
          <t>CONT</t>
        </is>
      </c>
      <c r="C127" t="n">
        <v>6</v>
      </c>
      <c r="D127" t="n">
        <v>1439700</v>
      </c>
      <c r="E127" t="n">
        <v>1076.419</v>
      </c>
      <c r="F127" t="n">
        <v>1337.49</v>
      </c>
      <c r="G127" t="inlineStr">
        <is>
          <t>2026-10-20</t>
        </is>
      </c>
      <c r="H127" t="inlineStr">
        <is>
          <t>2026-10-20</t>
        </is>
      </c>
      <c r="I127" t="inlineStr">
        <is>
          <t>2029-12-31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0</v>
      </c>
      <c r="O127" t="b">
        <v>1</v>
      </c>
    </row>
    <row r="128">
      <c r="A128" t="inlineStr">
        <is>
          <t>20261020800229</t>
        </is>
      </c>
      <c r="B128" t="inlineStr">
        <is>
          <t>CONT</t>
        </is>
      </c>
      <c r="C128" t="n">
        <v>2</v>
      </c>
      <c r="D128" t="n">
        <v>479900</v>
      </c>
      <c r="E128" t="n">
        <v>358.806</v>
      </c>
      <c r="F128" t="n">
        <v>1337.49</v>
      </c>
      <c r="G128" t="inlineStr">
        <is>
          <t>2026-10-20</t>
        </is>
      </c>
      <c r="H128" t="inlineStr">
        <is>
          <t>2026-10-20</t>
        </is>
      </c>
      <c r="I128" t="inlineStr">
        <is>
          <t>2029-12-31</t>
        </is>
      </c>
      <c r="L128" t="inlineStr">
        <is>
          <t>linear_progress</t>
        </is>
      </c>
      <c r="M128" t="b">
        <v>0</v>
      </c>
      <c r="N128" t="b">
        <v>0</v>
      </c>
      <c r="O128" t="b">
        <v>1</v>
      </c>
    </row>
    <row r="129">
      <c r="A129" t="inlineStr">
        <is>
          <t>20261021800379</t>
        </is>
      </c>
      <c r="B129" t="inlineStr">
        <is>
          <t>CONT</t>
        </is>
      </c>
      <c r="C129" t="n">
        <v>2</v>
      </c>
      <c r="D129" t="n">
        <v>317600</v>
      </c>
      <c r="E129" t="n">
        <v>227.458</v>
      </c>
      <c r="F129" t="n">
        <v>1396.3</v>
      </c>
      <c r="G129" t="inlineStr">
        <is>
          <t>2024-11-06</t>
        </is>
      </c>
      <c r="H129" t="inlineStr">
        <is>
          <t>2024-11-06</t>
        </is>
      </c>
      <c r="I129" t="inlineStr">
        <is>
          <t>2026-10-21</t>
        </is>
      </c>
      <c r="J129" t="inlineStr">
        <is>
          <t>⑤초호황</t>
        </is>
      </c>
      <c r="K129" t="inlineStr">
        <is>
          <t>②BEP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s="2" t="inlineStr">
        <is>
          <t>⚠ 종료일 = 마지막 호선 인도 예정; 진행률 매출 분기는 계약기간 안에 선형 배분(가정)</t>
        </is>
      </c>
    </row>
    <row r="131">
      <c r="A131" s="2" t="inlineStr">
        <is>
          <t>⚠ HD한국조선해양과 HD현대重 동일 계약 24건 — shared_owner=329180 로 표시하고 이 파일의 합계에서 제외(합산 금지)</t>
        </is>
      </c>
    </row>
    <row r="132">
      <c r="A13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33">
      <c r="A13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34">
      <c r="A13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6%, ③중마진 70%, ④호황 24%;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35">
      <c r="A135" s="2" t="inlineStr">
        <is>
          <t>⚠ 종료일 '-' 1건은 같은 선종 계약기간 중위로 종료 추정(end_estimated)</t>
        </is>
      </c>
    </row>
    <row r="136">
      <c r="A136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3839.71</v>
      </c>
      <c r="I6" s="34" t="n">
        <v>8497.690000000001</v>
      </c>
      <c r="J6" s="34" t="n">
        <v>14826.67</v>
      </c>
      <c r="K6" s="34" t="n">
        <v>22307.74</v>
      </c>
      <c r="L6" s="20">
        <f>SUM(H6:K6)</f>
        <v/>
      </c>
      <c r="M6" s="34" t="n">
        <v>30422</v>
      </c>
      <c r="N6" s="34" t="n">
        <v>38650.54</v>
      </c>
      <c r="O6" s="34" t="n">
        <v>46474.49</v>
      </c>
      <c r="P6" s="34" t="n">
        <v>53374.93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2369.97</v>
      </c>
      <c r="I18" s="34" t="n">
        <v>5410.42</v>
      </c>
      <c r="J18" s="34" t="n">
        <v>9728.549999999999</v>
      </c>
      <c r="K18" s="34" t="n">
        <v>14950.77</v>
      </c>
      <c r="L18" s="20">
        <f>SUM(H18:K18)</f>
        <v/>
      </c>
      <c r="M18" s="34" t="n">
        <v>20703.45</v>
      </c>
      <c r="N18" s="34" t="n">
        <v>26612.99</v>
      </c>
      <c r="O18" s="34" t="n">
        <v>32305.77</v>
      </c>
      <c r="P18" s="34" t="n">
        <v>37408.19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6676.79</v>
      </c>
      <c r="I24" s="34" t="n">
        <v>14458.77</v>
      </c>
      <c r="J24" s="34" t="n">
        <v>24673.42</v>
      </c>
      <c r="K24" s="34" t="n">
        <v>36521.69</v>
      </c>
      <c r="L24" s="20">
        <f>SUM(H24:K24)</f>
        <v/>
      </c>
      <c r="M24" s="34" t="n">
        <v>49204.52</v>
      </c>
      <c r="N24" s="34" t="n">
        <v>61922.83</v>
      </c>
      <c r="O24" s="34" t="n">
        <v>73877.57000000001</v>
      </c>
      <c r="P24" s="34" t="n">
        <v>84269.66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53187.7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4.59</v>
      </c>
    </row>
    <row r="32">
      <c r="C32" s="2" t="inlineStr">
        <is>
          <t>pbr_now</t>
        </is>
      </c>
      <c r="D32" t="n">
        <v>1.16</v>
      </c>
    </row>
    <row r="33">
      <c r="C33" s="2" t="inlineStr">
        <is>
          <t>roe_fwd</t>
        </is>
      </c>
      <c r="D33" t="n">
        <v>0.2536</v>
      </c>
    </row>
    <row r="34">
      <c r="C34" s="2" t="inlineStr">
        <is>
          <t>fair_pbr</t>
        </is>
      </c>
      <c r="D34" t="n">
        <v>2.82</v>
      </c>
    </row>
    <row r="35">
      <c r="C35" s="2" t="inlineStr">
        <is>
          <t>fair_value_pbr</t>
        </is>
      </c>
      <c r="D35" t="n">
        <v>591400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