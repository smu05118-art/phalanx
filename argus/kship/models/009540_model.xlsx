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65394억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66085억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68322억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72239억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76487억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81450억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86534억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91761억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95812억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98578억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13.9% + 실측 차이 +1.7%p)</t>
      </text>
    </comment>
    <comment ref="AD23" authorId="0" shapeId="0">
      <text>
        <t>모델값 역산(implied): v / 매출액
매출액 × OPM(자회사 OPM 13.9% + 실측 차이 +1.7%p)</t>
      </text>
    </comment>
    <comment ref="AF23" authorId="0" shapeId="0">
      <text>
        <t>모델값 역산(implied): v / 매출액
매출액 × OPM(자회사 OPM 13.9% + 실측 차이 +1.7%p)</t>
      </text>
    </comment>
    <comment ref="AG23" authorId="0" shapeId="0">
      <text>
        <t>모델값 역산(implied): v / 매출액
매출액 × OPM(자회사 OPM 13.9% + 실측 차이 +1.7%p)</t>
      </text>
    </comment>
    <comment ref="AH23" authorId="0" shapeId="0">
      <text>
        <t>모델값 역산(implied): v / 매출액
매출액 × OPM(자회사 OPM 13.9% + 실측 차이 +1.7%p)</t>
      </text>
    </comment>
    <comment ref="AI23" authorId="0" shapeId="0">
      <text>
        <t>모델값 역산(implied): v / 매출액
매출액 × OPM(자회사 OPM 13.9% + 실측 차이 +1.7%p)</t>
      </text>
    </comment>
    <comment ref="AK23" authorId="0" shapeId="0">
      <text>
        <t>모델값 역산(implied): v / 매출액
매출액 × OPM(자회사 OPM 13.9% + 실측 차이 +1.7%p)</t>
      </text>
    </comment>
    <comment ref="AL23" authorId="0" shapeId="0">
      <text>
        <t>모델값 역산(implied): v / 매출액
매출액 × OPM(자회사 OPM 13.9% + 실측 차이 +1.7%p)</t>
      </text>
    </comment>
    <comment ref="AM23" authorId="0" shapeId="0">
      <text>
        <t>모델값 역산(implied): v / 매출액
매출액 × OPM(자회사 OPM 13.9% + 실측 차이 +1.7%p)</t>
      </text>
    </comment>
    <comment ref="AN23" authorId="0" shapeId="0">
      <text>
        <t>모델값 역산(implied): v / 매출액
매출액 × OPM(자회사 OPM 13.9%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65394억 × 연결/자회사 비율 1.410(2025Q4·2026Q1·2026Q2 실측 중위; 삼호·기타 자회사·내부거래 포함)
[yoy]</t>
      </text>
    </comment>
    <comment ref="AD5" authorId="0" shapeId="0">
      <text>
        <t>추정: HD현대重 모델 매출 66085억 × 연결/자회사 비율 1.410(2025Q4·2026Q1·2026Q2 실측 중위; 삼호·기타 자회사·내부거래 포함)
[yoy]</t>
      </text>
    </comment>
    <comment ref="AF5" authorId="0" shapeId="0">
      <text>
        <t>추정: HD현대重 모델 매출 68322억 × 연결/자회사 비율 1.410(2025Q4·2026Q1·2026Q2 실측 중위; 삼호·기타 자회사·내부거래 포함)
[yoy]</t>
      </text>
    </comment>
    <comment ref="AG5" authorId="0" shapeId="0">
      <text>
        <t>추정: HD현대重 모델 매출 72239억 × 연결/자회사 비율 1.410(2025Q4·2026Q1·2026Q2 실측 중위; 삼호·기타 자회사·내부거래 포함)
[yoy]</t>
      </text>
    </comment>
    <comment ref="AH5" authorId="0" shapeId="0">
      <text>
        <t>추정: HD현대重 모델 매출 76487억 × 연결/자회사 비율 1.410(2025Q4·2026Q1·2026Q2 실측 중위; 삼호·기타 자회사·내부거래 포함)
[yoy]</t>
      </text>
    </comment>
    <comment ref="AI5" authorId="0" shapeId="0">
      <text>
        <t>추정: HD현대重 모델 매출 81450억 × 연결/자회사 비율 1.410(2025Q4·2026Q1·2026Q2 실측 중위; 삼호·기타 자회사·내부거래 포함)
[yoy]</t>
      </text>
    </comment>
    <comment ref="AK5" authorId="0" shapeId="0">
      <text>
        <t>추정: HD현대重 모델 매출 86534억 × 연결/자회사 비율 1.410(2025Q4·2026Q1·2026Q2 실측 중위; 삼호·기타 자회사·내부거래 포함)
[yoy]</t>
      </text>
    </comment>
    <comment ref="AL5" authorId="0" shapeId="0">
      <text>
        <t>추정: HD현대重 모델 매출 91761억 × 연결/자회사 비율 1.410(2025Q4·2026Q1·2026Q2 실측 중위; 삼호·기타 자회사·내부거래 포함)
[yoy]</t>
      </text>
    </comment>
    <comment ref="AM5" authorId="0" shapeId="0">
      <text>
        <t>추정: HD현대重 모델 매출 95812억 × 연결/자회사 비율 1.410(2025Q4·2026Q1·2026Q2 실측 중위; 삼호·기타 자회사·내부거래 포함)
[yoy]</t>
      </text>
    </comment>
    <comment ref="AN5" authorId="0" shapeId="0">
      <text>
        <t>추정: HD현대重 모델 매출 98578억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13.9% + 실측 차이 +1.7%p)
[ratio]</t>
      </text>
    </comment>
    <comment ref="AD9" authorId="0" shapeId="0">
      <text>
        <t>추정: 매출액 × OPM(자회사 OPM 13.9% + 실측 차이 +1.7%p)
[ratio]</t>
      </text>
    </comment>
    <comment ref="AF9" authorId="0" shapeId="0">
      <text>
        <t>추정: 매출액 × OPM(자회사 OPM 13.9% + 실측 차이 +1.7%p)
[ratio]</t>
      </text>
    </comment>
    <comment ref="AG9" authorId="0" shapeId="0">
      <text>
        <t>추정: 매출액 × OPM(자회사 OPM 13.9% + 실측 차이 +1.7%p)
[ratio]</t>
      </text>
    </comment>
    <comment ref="AH9" authorId="0" shapeId="0">
      <text>
        <t>추정: 매출액 × OPM(자회사 OPM 13.9% + 실측 차이 +1.7%p)
[ratio]</t>
      </text>
    </comment>
    <comment ref="AI9" authorId="0" shapeId="0">
      <text>
        <t>추정: 매출액 × OPM(자회사 OPM 13.9% + 실측 차이 +1.7%p)
[ratio]</t>
      </text>
    </comment>
    <comment ref="AK9" authorId="0" shapeId="0">
      <text>
        <t>추정: 매출액 × OPM(자회사 OPM 13.9% + 실측 차이 +1.7%p)
[ratio]</t>
      </text>
    </comment>
    <comment ref="AL9" authorId="0" shapeId="0">
      <text>
        <t>추정: 매출액 × OPM(자회사 OPM 13.9% + 실측 차이 +1.7%p)
[ratio]</t>
      </text>
    </comment>
    <comment ref="AM9" authorId="0" shapeId="0">
      <text>
        <t>추정: 매출액 × OPM(자회사 OPM 13.9% + 실측 차이 +1.7%p)
[ratio]</t>
      </text>
    </comment>
    <comment ref="AN9" authorId="0" shapeId="0">
      <text>
        <t>추정: 매출액 × OPM(자회사 OPM 13.9% + 실측 차이 +1.7%p)
[ratio]</t>
      </text>
    </comment>
    <comment ref="AC10" authorId="0" shapeId="0">
      <text>
        <t>추정: 자회사 OPM 13.9% + 실측 차이 +1.7%p
[divide]</t>
      </text>
    </comment>
    <comment ref="AD10" authorId="0" shapeId="0">
      <text>
        <t>추정: 자회사 OPM 13.9% + 실측 차이 +1.7%p
[divide]</t>
      </text>
    </comment>
    <comment ref="AF10" authorId="0" shapeId="0">
      <text>
        <t>추정: 자회사 OPM 13.9% + 실측 차이 +1.7%p
[divide]</t>
      </text>
    </comment>
    <comment ref="AG10" authorId="0" shapeId="0">
      <text>
        <t>추정: 자회사 OPM 13.9% + 실측 차이 +1.7%p
[divide]</t>
      </text>
    </comment>
    <comment ref="AH10" authorId="0" shapeId="0">
      <text>
        <t>추정: 자회사 OPM 13.9% + 실측 차이 +1.7%p
[divide]</t>
      </text>
    </comment>
    <comment ref="AI10" authorId="0" shapeId="0">
      <text>
        <t>추정: 자회사 OPM 13.9% + 실측 차이 +1.7%p
[divide]</t>
      </text>
    </comment>
    <comment ref="AK10" authorId="0" shapeId="0">
      <text>
        <t>추정: 자회사 OPM 13.9% + 실측 차이 +1.7%p
[divide]</t>
      </text>
    </comment>
    <comment ref="AL10" authorId="0" shapeId="0">
      <text>
        <t>추정: 자회사 OPM 13.9% + 실측 차이 +1.7%p
[divide]</t>
      </text>
    </comment>
    <comment ref="AM10" authorId="0" shapeId="0">
      <text>
        <t>추정: 자회사 OPM 13.9% + 실측 차이 +1.7%p
[divide]</t>
      </text>
    </comment>
    <comment ref="AN10" authorId="0" shapeId="0">
      <text>
        <t>추정: 자회사 OPM 13.9%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162867억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174627억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186846억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191124억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204869억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219562억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235231억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243207억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260632억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162867억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174627억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186846억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191124억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204869억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219562억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235231억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243207억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260632억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74060.53, "rev_act": 75814.36, "op_pred": 7553.95, "op_act": 10537.75}, {"q": "2025Q4", "rev_pred": 74060.53, "rev_act": 81516.57, "op_pred": 7553.95, "op_act": 10379.19}, {"q": "2026Q1", "rev_pred": 73789.18, "rev_act": 81408.9, "op_pred": 7526.28, "op_act": 13559.7}, {"q": "2026Q2", "rev_pred": 73924.83,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318000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315000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323333.3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0.216028511</v>
      </c>
      <c r="AD21" s="24" t="n">
        <v>0.142915298</v>
      </c>
      <c r="AE21" s="25" t="n"/>
      <c r="AF21" s="24" t="n">
        <v>0.183171287</v>
      </c>
      <c r="AG21" s="24" t="n">
        <v>0.140821438</v>
      </c>
      <c r="AH21" s="24" t="n">
        <v>0.169630757</v>
      </c>
      <c r="AI21" s="24" t="n">
        <v>0.232502488</v>
      </c>
      <c r="AJ21" s="25" t="n"/>
      <c r="AK21" s="24" t="n">
        <v>0.266556701</v>
      </c>
      <c r="AL21" s="24" t="n">
        <v>0.270253352</v>
      </c>
      <c r="AM21" s="24" t="n">
        <v>0.252660156</v>
      </c>
      <c r="AN21" s="24" t="n">
        <v>0.210286204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0.155847303</v>
      </c>
      <c r="AD23" s="24" t="n">
        <v>0.155748422</v>
      </c>
      <c r="AE23" s="25">
        <f>IFERROR(subQ!AE9/subQ!AE5,"")</f>
        <v/>
      </c>
      <c r="AF23" s="24" t="n">
        <v>0.155748294</v>
      </c>
      <c r="AG23" s="24" t="n">
        <v>0.155738919</v>
      </c>
      <c r="AH23" s="24" t="n">
        <v>0.155711957</v>
      </c>
      <c r="AI23" s="24" t="n">
        <v>0.155692193</v>
      </c>
      <c r="AJ23" s="25">
        <f>IFERROR(subQ!AJ9/subQ!AJ5,"")</f>
        <v/>
      </c>
      <c r="AK23" s="24" t="n">
        <v>0.155672267</v>
      </c>
      <c r="AL23" s="24" t="n">
        <v>0.155652496</v>
      </c>
      <c r="AM23" s="24" t="n">
        <v>0.155602588</v>
      </c>
      <c r="AN23" s="24" t="n">
        <v>0.155529725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-0.006243027</v>
      </c>
      <c r="AD32" s="30" t="n">
        <v>0.002970843</v>
      </c>
      <c r="AE32" s="31" t="n"/>
      <c r="AF32" s="30" t="n">
        <v>-0.002614163</v>
      </c>
      <c r="AG32" s="30" t="n">
        <v>8697.892412749999</v>
      </c>
      <c r="AH32" s="30" t="n">
        <v>-0.002264879</v>
      </c>
      <c r="AI32" s="30" t="n">
        <v>-0.003687274</v>
      </c>
      <c r="AJ32" s="31" t="n"/>
      <c r="AK32" s="30" t="n">
        <v>-0.00239325</v>
      </c>
      <c r="AL32" s="30" t="n">
        <v>8697.891794404</v>
      </c>
      <c r="AM32" s="30" t="n">
        <v>-0.006586482</v>
      </c>
      <c r="AN32" s="30" t="n">
        <v>-0.001070063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0.001563051</v>
      </c>
      <c r="AD33" s="30" t="n">
        <v>-0.00684972</v>
      </c>
      <c r="AE33" s="31" t="n"/>
      <c r="AF33" s="30" t="n">
        <v>-0.004820371</v>
      </c>
      <c r="AG33" s="30" t="n">
        <v>8697.902263468</v>
      </c>
      <c r="AH33" s="30" t="n">
        <v>-0.009696305000000001</v>
      </c>
      <c r="AI33" s="30" t="n">
        <v>-0.002236226</v>
      </c>
      <c r="AJ33" s="31" t="n"/>
      <c r="AK33" s="30" t="n">
        <v>0.002016013</v>
      </c>
      <c r="AL33" s="30" t="n">
        <v>8697.890905613</v>
      </c>
      <c r="AM33" s="30" t="n">
        <v>-0.002746641</v>
      </c>
      <c r="AN33" s="30" t="n">
        <v>0.001726244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0.09654497200000001</v>
      </c>
      <c r="AD35" s="24" t="n">
        <v>0.089409878</v>
      </c>
      <c r="AE35" s="25" t="n"/>
      <c r="AF35" s="24" t="n">
        <v>0.085281384</v>
      </c>
      <c r="AG35" s="24" t="n">
        <v>0.027512483</v>
      </c>
      <c r="AH35" s="24" t="n">
        <v>0.08602697500000001</v>
      </c>
      <c r="AI35" s="24" t="n">
        <v>0.084678687</v>
      </c>
      <c r="AJ35" s="25" t="n"/>
      <c r="AK35" s="24" t="n">
        <v>0.083247656</v>
      </c>
      <c r="AL35" s="24" t="n">
        <v>0.03911972</v>
      </c>
      <c r="AM35" s="24" t="n">
        <v>0.082250138</v>
      </c>
      <c r="AN35" s="24" t="n">
        <v>0.078512183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0.07654037599999999</v>
      </c>
      <c r="AD36" s="24" t="n">
        <v>0.072200974</v>
      </c>
      <c r="AE36" s="25" t="n"/>
      <c r="AF36" s="24" t="n">
        <v>0.069972363</v>
      </c>
      <c r="AG36" s="24" t="n">
        <v>0.022896593</v>
      </c>
      <c r="AH36" s="24" t="n">
        <v>0.071917144</v>
      </c>
      <c r="AI36" s="24" t="n">
        <v>0.071721717</v>
      </c>
      <c r="AJ36" s="25" t="n"/>
      <c r="AK36" s="24" t="n">
        <v>0.071362199</v>
      </c>
      <c r="AL36" s="24" t="n">
        <v>0.033906512</v>
      </c>
      <c r="AM36" s="24" t="n">
        <v>0.07164866</v>
      </c>
      <c r="AN36" s="24" t="n">
        <v>0.06906912699999999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318000</v>
      </c>
      <c r="E44" s="2" t="inlineStr">
        <is>
          <t>원 — 네이버 정규장 종가(aik 확정종가 대조 · aik 325,500원)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0.1989270050870875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0.04842986213712466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0.7600275607956595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0.02816795178321848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0.1311627713429104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1351.18</v>
      </c>
      <c r="AI18" s="13" t="n">
        <v>1343.98</v>
      </c>
      <c r="AJ18" s="13" t="n">
        <v>1343.98</v>
      </c>
      <c r="AK18" s="13" t="n">
        <v>1343.98</v>
      </c>
      <c r="AL18" s="13" t="n">
        <v>1343.98</v>
      </c>
      <c r="AM18" s="13" t="n">
        <v>1343.98</v>
      </c>
      <c r="AN18" s="13" t="n">
        <v>1343.98</v>
      </c>
      <c r="AO18" s="13" t="n">
        <v>1343.98</v>
      </c>
      <c r="AP18" s="13" t="n">
        <v>1343.98</v>
      </c>
      <c r="AQ18" s="13" t="n">
        <v>1343.98</v>
      </c>
      <c r="AR18" s="13" t="n">
        <v>1343.98</v>
      </c>
      <c r="AS18" s="13" t="n">
        <v>1343.98</v>
      </c>
      <c r="AT18" s="13" t="n">
        <v>1343.98</v>
      </c>
      <c r="AU18" s="13" t="n">
        <v>1343.98</v>
      </c>
      <c r="AV18" s="13" t="n">
        <v>1343.98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1422.05</v>
      </c>
      <c r="AI19" s="13" t="n">
        <v>1419.89</v>
      </c>
      <c r="AJ19" s="13" t="n">
        <v>1419.89</v>
      </c>
      <c r="AK19" s="13" t="n">
        <v>1421.37</v>
      </c>
      <c r="AL19" s="13" t="n">
        <v>1424.5</v>
      </c>
      <c r="AM19" s="13" t="n">
        <v>1424.5</v>
      </c>
      <c r="AN19" s="13" t="n">
        <v>1424.46</v>
      </c>
      <c r="AO19" s="13" t="n">
        <v>1424.12</v>
      </c>
      <c r="AP19" s="13" t="n">
        <v>1424.67</v>
      </c>
      <c r="AQ19" s="13" t="n">
        <v>1431.99</v>
      </c>
      <c r="AR19" s="13" t="n">
        <v>1438.35</v>
      </c>
      <c r="AS19" s="13" t="n">
        <v>1441.13</v>
      </c>
      <c r="AT19" s="13" t="n">
        <v>1437.74</v>
      </c>
      <c r="AU19" s="13" t="n">
        <v>1396.32</v>
      </c>
      <c r="AV19" s="13" t="n">
        <v>1396.32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791731.2</v>
      </c>
      <c r="AI20" s="18" t="n">
        <v>773343.2</v>
      </c>
      <c r="AJ20" s="18" t="n">
        <v>781935.9</v>
      </c>
      <c r="AK20" s="18" t="n">
        <v>785670.9</v>
      </c>
      <c r="AL20" s="18" t="n">
        <v>775631.5</v>
      </c>
      <c r="AM20" s="18" t="n">
        <v>767200.8</v>
      </c>
      <c r="AN20" s="18" t="n">
        <v>761276.6</v>
      </c>
      <c r="AO20" s="18" t="n">
        <v>721147</v>
      </c>
      <c r="AP20" s="18" t="n">
        <v>664519.6</v>
      </c>
      <c r="AQ20" s="18" t="n">
        <v>501071</v>
      </c>
      <c r="AR20" s="18" t="n">
        <v>351313.9</v>
      </c>
      <c r="AS20" s="18" t="n">
        <v>224564.2</v>
      </c>
      <c r="AT20" s="18" t="n">
        <v>124635.9</v>
      </c>
      <c r="AU20" s="18" t="n">
        <v>33985.7</v>
      </c>
      <c r="AV20" s="18" t="n">
        <v>23034.8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2705316.6</v>
      </c>
      <c r="BE20" s="18" t="n">
        <v>3116581.5</v>
      </c>
      <c r="BF20" s="18" t="n">
        <v>2914144</v>
      </c>
      <c r="BG20" s="18" t="n">
        <v>1201585</v>
      </c>
      <c r="BH20" s="18" t="n">
        <v>57020.5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776807.6</v>
      </c>
      <c r="AI21" s="18" t="n">
        <v>758770</v>
      </c>
      <c r="AJ21" s="18" t="n">
        <v>767200.8</v>
      </c>
      <c r="AK21" s="18" t="n">
        <v>775631.5</v>
      </c>
      <c r="AL21" s="18" t="n">
        <v>775631.5</v>
      </c>
      <c r="AM21" s="18" t="n">
        <v>767200.8</v>
      </c>
      <c r="AN21" s="18" t="n">
        <v>761276.6</v>
      </c>
      <c r="AO21" s="18" t="n">
        <v>721147</v>
      </c>
      <c r="AP21" s="18" t="n">
        <v>664519.6</v>
      </c>
      <c r="AQ21" s="18" t="n">
        <v>501071</v>
      </c>
      <c r="AR21" s="18" t="n">
        <v>351313.9</v>
      </c>
      <c r="AS21" s="18" t="n">
        <v>224564.2</v>
      </c>
      <c r="AT21" s="18" t="n">
        <v>124635.9</v>
      </c>
      <c r="AU21" s="18" t="n">
        <v>33985.7</v>
      </c>
      <c r="AV21" s="18" t="n">
        <v>23034.8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2644899.1</v>
      </c>
      <c r="BE21" s="18" t="n">
        <v>3077233.8</v>
      </c>
      <c r="BF21" s="18" t="n">
        <v>2914144</v>
      </c>
      <c r="BG21" s="18" t="n">
        <v>1201585</v>
      </c>
      <c r="BH21" s="18" t="n">
        <v>57020.5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742013</v>
      </c>
      <c r="AI22" s="18" t="n">
        <v>724784.3</v>
      </c>
      <c r="AJ22" s="18" t="n">
        <v>732837.4</v>
      </c>
      <c r="AK22" s="18" t="n">
        <v>740890.6</v>
      </c>
      <c r="AL22" s="18" t="n">
        <v>740890.6</v>
      </c>
      <c r="AM22" s="18" t="n">
        <v>732837.4</v>
      </c>
      <c r="AN22" s="18" t="n">
        <v>726913.3</v>
      </c>
      <c r="AO22" s="18" t="n">
        <v>686406</v>
      </c>
      <c r="AP22" s="18" t="n">
        <v>629778.7</v>
      </c>
      <c r="AQ22" s="18" t="n">
        <v>467085.3</v>
      </c>
      <c r="AR22" s="18" t="n">
        <v>316950.6</v>
      </c>
      <c r="AS22" s="18" t="n">
        <v>189823.3</v>
      </c>
      <c r="AT22" s="18" t="n">
        <v>89894.89999999999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34794.7</v>
      </c>
      <c r="AI23" s="18" t="n">
        <v>33985.7</v>
      </c>
      <c r="AJ23" s="18" t="n">
        <v>34363.3</v>
      </c>
      <c r="AK23" s="18" t="n">
        <v>34740.9</v>
      </c>
      <c r="AL23" s="18" t="n">
        <v>34740.9</v>
      </c>
      <c r="AM23" s="18" t="n">
        <v>34363.3</v>
      </c>
      <c r="AN23" s="18" t="n">
        <v>34363.3</v>
      </c>
      <c r="AO23" s="18" t="n">
        <v>34740.9</v>
      </c>
      <c r="AP23" s="18" t="n">
        <v>34740.9</v>
      </c>
      <c r="AQ23" s="18" t="n">
        <v>33985.7</v>
      </c>
      <c r="AR23" s="18" t="n">
        <v>34363.3</v>
      </c>
      <c r="AS23" s="18" t="n">
        <v>34740.9</v>
      </c>
      <c r="AT23" s="18" t="n">
        <v>34740.9</v>
      </c>
      <c r="AU23" s="18" t="n">
        <v>33985.7</v>
      </c>
      <c r="AV23" s="18" t="n">
        <v>23034.8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0.1</v>
      </c>
      <c r="M24" s="21" t="n">
        <v>0.1</v>
      </c>
      <c r="N24" s="21" t="n">
        <v>0.1</v>
      </c>
      <c r="O24" s="21" t="n">
        <v>0.1</v>
      </c>
      <c r="P24" s="21" t="n">
        <v>0.1</v>
      </c>
      <c r="Q24" s="21" t="n">
        <v>0.1</v>
      </c>
      <c r="R24" s="21" t="n">
        <v>0.1</v>
      </c>
      <c r="S24" s="21" t="n">
        <v>0.1</v>
      </c>
      <c r="T24" s="21" t="n">
        <v>0.1</v>
      </c>
      <c r="U24" s="21" t="n">
        <v>0.1</v>
      </c>
      <c r="V24" s="21" t="n">
        <v>0.1</v>
      </c>
      <c r="W24" s="21" t="n">
        <v>0.1</v>
      </c>
      <c r="X24" s="21" t="n">
        <v>0.1</v>
      </c>
      <c r="Y24" s="21" t="n">
        <v>0.1</v>
      </c>
      <c r="Z24" s="21" t="n">
        <v>0.1</v>
      </c>
      <c r="AA24" s="21" t="n">
        <v>0.1</v>
      </c>
      <c r="AB24" s="21" t="n">
        <v>0.12</v>
      </c>
      <c r="AC24" s="21" t="n">
        <v>0.15</v>
      </c>
      <c r="AD24" s="21" t="n">
        <v>0.15</v>
      </c>
      <c r="AE24" s="21" t="n">
        <v>0.15</v>
      </c>
      <c r="AF24" s="21" t="n">
        <v>0.15</v>
      </c>
      <c r="AG24" s="21" t="n">
        <v>0.15</v>
      </c>
      <c r="AH24" s="21" t="n">
        <v>0.15</v>
      </c>
      <c r="AI24" s="21" t="n">
        <v>0.15</v>
      </c>
      <c r="AJ24" s="21" t="n">
        <v>0.15</v>
      </c>
      <c r="AK24" s="21" t="n">
        <v>0.15</v>
      </c>
      <c r="AL24" s="21" t="n">
        <v>0.15</v>
      </c>
      <c r="AM24" s="21" t="n">
        <v>0.15</v>
      </c>
      <c r="AN24" s="21" t="n">
        <v>0.15</v>
      </c>
      <c r="AO24" s="21" t="n">
        <v>0.15</v>
      </c>
      <c r="AP24" s="21" t="n">
        <v>0.15</v>
      </c>
      <c r="AQ24" s="21" t="n">
        <v>0.15</v>
      </c>
      <c r="AR24" s="21" t="n">
        <v>0.15</v>
      </c>
      <c r="AS24" s="21" t="n">
        <v>0.15</v>
      </c>
      <c r="AT24" s="21" t="n">
        <v>0.15</v>
      </c>
      <c r="AU24" s="21" t="n">
        <v>0.15</v>
      </c>
      <c r="AV24" s="21" t="n">
        <v>0.15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원/달러(평균)",환율,MATCH(AH$1,변수H,0),0),1351.18)</f>
        <v/>
      </c>
      <c r="AI29" s="13">
        <f>IFERROR(VLOOKUP(" 원/달러(평균)",환율,MATCH(AI$1,변수H,0),0),1343.98)</f>
        <v/>
      </c>
      <c r="AJ29" s="13">
        <f>IFERROR(VLOOKUP(" 원/달러(평균)",환율,MATCH(AJ$1,변수H,0),0),1343.98)</f>
        <v/>
      </c>
      <c r="AK29" s="13">
        <f>IFERROR(VLOOKUP(" 원/달러(평균)",환율,MATCH(AK$1,변수H,0),0),1343.98)</f>
        <v/>
      </c>
      <c r="AL29" s="13">
        <f>IFERROR(VLOOKUP(" 원/달러(평균)",환율,MATCH(AL$1,변수H,0),0),1343.98)</f>
        <v/>
      </c>
      <c r="AM29" s="13">
        <f>IFERROR(VLOOKUP(" 원/달러(평균)",환율,MATCH(AM$1,변수H,0),0),1343.98)</f>
        <v/>
      </c>
      <c r="AN29" s="13">
        <f>IFERROR(VLOOKUP(" 원/달러(평균)",환율,MATCH(AN$1,변수H,0),0),1343.98)</f>
        <v/>
      </c>
      <c r="AO29" s="13">
        <f>IFERROR(VLOOKUP(" 원/달러(평균)",환율,MATCH(AO$1,변수H,0),0),1343.98)</f>
        <v/>
      </c>
      <c r="AP29" s="13">
        <f>IFERROR(VLOOKUP(" 원/달러(평균)",환율,MATCH(AP$1,변수H,0),0),1343.98)</f>
        <v/>
      </c>
      <c r="AQ29" s="13">
        <f>IFERROR(VLOOKUP(" 원/달러(평균)",환율,MATCH(AQ$1,변수H,0),0),1343.98)</f>
        <v/>
      </c>
      <c r="AR29" s="13">
        <f>IFERROR(VLOOKUP(" 원/달러(평균)",환율,MATCH(AR$1,변수H,0),0),1343.98)</f>
        <v/>
      </c>
      <c r="AS29" s="13">
        <f>IFERROR(VLOOKUP(" 원/달러(평균)",환율,MATCH(AS$1,변수H,0),0),1343.98)</f>
        <v/>
      </c>
      <c r="AT29" s="13">
        <f>IFERROR(VLOOKUP(" 원/달러(평균)",환율,MATCH(AT$1,변수H,0),0),1343.98)</f>
        <v/>
      </c>
      <c r="AU29" s="13">
        <f>IFERROR(VLOOKUP(" 원/달러(평균)",환율,MATCH(AU$1,변수H,0),0),1343.98)</f>
        <v/>
      </c>
      <c r="AV29" s="13">
        <f>IFERROR(VLOOKUP(" 원/달러(평균)",환율,MATCH(AV$1,변수H,0),0),1343.98)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20260930800164</t>
        </is>
      </c>
      <c r="B120" t="inlineStr">
        <is>
          <t>OFFSH</t>
        </is>
      </c>
      <c r="C120" t="n">
        <v>1</v>
      </c>
      <c r="D120" t="n">
        <v>1953900</v>
      </c>
      <c r="E120" t="n">
        <v>1485.076</v>
      </c>
      <c r="F120" t="n">
        <v>1315.69</v>
      </c>
      <c r="G120" t="inlineStr">
        <is>
          <t>2023-06-30</t>
        </is>
      </c>
      <c r="H120" t="inlineStr">
        <is>
          <t>2023-07-01</t>
        </is>
      </c>
      <c r="I120" t="inlineStr">
        <is>
          <t>2027-06-01</t>
        </is>
      </c>
      <c r="L120" t="inlineStr">
        <is>
          <t>linear_progress</t>
        </is>
      </c>
      <c r="M120" t="b">
        <v>0</v>
      </c>
      <c r="N120" t="b">
        <v>1</v>
      </c>
      <c r="O120" t="b">
        <v>0</v>
      </c>
    </row>
    <row r="121">
      <c r="A121" t="inlineStr">
        <is>
          <t>20261006800410</t>
        </is>
      </c>
      <c r="B121" t="inlineStr">
        <is>
          <t>OTHER</t>
        </is>
      </c>
      <c r="D121" t="n">
        <v>338500</v>
      </c>
      <c r="E121" t="n">
        <v>291.833</v>
      </c>
      <c r="F121" t="n">
        <v>1159.91</v>
      </c>
      <c r="G121" t="inlineStr">
        <is>
          <t>2021-09-02</t>
        </is>
      </c>
      <c r="H121" t="inlineStr">
        <is>
          <t>2021-09-02</t>
        </is>
      </c>
      <c r="I121" t="inlineStr">
        <is>
          <t>2027-08-31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1394.71</v>
      </c>
      <c r="G6" s="20">
        <f>SUM(E6:F6)</f>
        <v/>
      </c>
      <c r="H6" s="34" t="n">
        <v>5232.92</v>
      </c>
      <c r="I6" s="34" t="n">
        <v>10995.73</v>
      </c>
      <c r="J6" s="34" t="n">
        <v>18164.23</v>
      </c>
      <c r="K6" s="34" t="n">
        <v>26219.54</v>
      </c>
      <c r="L6" s="20">
        <f>SUM(H6:K6)</f>
        <v/>
      </c>
      <c r="M6" s="34" t="n">
        <v>34642.75</v>
      </c>
      <c r="N6" s="34" t="n">
        <v>42914.95</v>
      </c>
      <c r="O6" s="34" t="n">
        <v>50517.26</v>
      </c>
      <c r="P6" s="34" t="n">
        <v>56930.76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1003.97</v>
      </c>
      <c r="G18" s="20">
        <f>SUM(E18:F18)</f>
        <v/>
      </c>
      <c r="H18" s="34" t="n">
        <v>3766.79</v>
      </c>
      <c r="I18" s="34" t="n">
        <v>7914.88</v>
      </c>
      <c r="J18" s="34" t="n">
        <v>13074.59</v>
      </c>
      <c r="K18" s="34" t="n">
        <v>18872.35</v>
      </c>
      <c r="L18" s="20">
        <f>SUM(H18:K18)</f>
        <v/>
      </c>
      <c r="M18" s="34" t="n">
        <v>24934.51</v>
      </c>
      <c r="N18" s="34" t="n">
        <v>30887.49</v>
      </c>
      <c r="O18" s="34" t="n">
        <v>36357.66</v>
      </c>
      <c r="P18" s="34" t="n">
        <v>40971.45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2149.63</v>
      </c>
      <c r="G24" s="20">
        <f>SUM(E24:F24)</f>
        <v/>
      </c>
      <c r="H24" s="34" t="n">
        <v>8065.84</v>
      </c>
      <c r="I24" s="34" t="n">
        <v>16949.53</v>
      </c>
      <c r="J24" s="34" t="n">
        <v>28001.65</v>
      </c>
      <c r="K24" s="34" t="n">
        <v>40423.14</v>
      </c>
      <c r="L24" s="20">
        <f>SUM(H24:K24)</f>
        <v/>
      </c>
      <c r="M24" s="34" t="n">
        <v>53414.94</v>
      </c>
      <c r="N24" s="34" t="n">
        <v>66177.98</v>
      </c>
      <c r="O24" s="34" t="n">
        <v>77913.19</v>
      </c>
      <c r="P24" s="34" t="n">
        <v>87821.52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52163.4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6.1</v>
      </c>
    </row>
    <row r="32">
      <c r="C32" s="2" t="inlineStr">
        <is>
          <t>pbr_now</t>
        </is>
      </c>
      <c r="D32" t="n">
        <v>1.52</v>
      </c>
    </row>
    <row r="33">
      <c r="C33" s="2" t="inlineStr">
        <is>
          <t>roe_fwd</t>
        </is>
      </c>
      <c r="D33" t="n">
        <v>0.2487</v>
      </c>
    </row>
    <row r="34">
      <c r="C34" s="2" t="inlineStr">
        <is>
          <t>fair_pbr</t>
        </is>
      </c>
      <c r="D34" t="n">
        <v>2.76</v>
      </c>
    </row>
    <row r="35">
      <c r="C35" s="2" t="inlineStr">
        <is>
          <t>fair_value_pbr</t>
        </is>
      </c>
      <c r="D35" t="n">
        <v>578800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