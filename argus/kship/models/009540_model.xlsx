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SLS" sheetId="6" state="visible" r:id="rId6"/>
    <sheet xmlns:r="http://schemas.openxmlformats.org/officeDocument/2006/relationships" name="분기" sheetId="7" state="visible" r:id="rId7"/>
    <sheet xmlns:r="http://schemas.openxmlformats.org/officeDocument/2006/relationships" name="연간예상" sheetId="8" state="visible" r:id="rId8"/>
    <sheet xmlns:r="http://schemas.openxmlformats.org/officeDocument/2006/relationships" name="TP" sheetId="9" state="visible" r:id="rId9"/>
    <sheet xmlns:r="http://schemas.openxmlformats.org/officeDocument/2006/relationships" name="외화" sheetId="10" state="visible" r:id="rId10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BS연결!$C$5:$AO$101</definedName>
    <definedName name="BS별도H">BS별도!$C$1:$AO$1</definedName>
    <definedName name="BS별도">BS별도!$C$5:$AO$95</definedName>
    <definedName name="SUBQH">subQ!$A$1:$AO$1</definedName>
    <definedName name="subQ">subQ!$A$5:$AO$40</definedName>
    <definedName name="SLS_H">SLS!$A$1:$BH$1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165" fontId="0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C15" authorId="0" shapeId="0">
      <text>
        <t>분기 진행 중(partial) — aikstockdata/토스 일봉</t>
      </text>
    </comment>
    <comment ref="AC16" authorId="0" shapeId="0">
      <text>
        <t>분기 진행 중(partial) — aikstockdata/토스 일봉</t>
      </text>
    </comment>
    <comment ref="AC17" authorId="0" shapeId="0">
      <text>
        <t>분기 진행 중(partial) — aikstockdata/토스 일봉</t>
      </text>
    </comment>
    <comment ref="AC18" authorId="0" shapeId="0">
      <text>
        <t>분기 진행 중(partial) — aikstockdata/토스 일봉</t>
      </text>
    </comment>
    <comment ref="AC21" authorId="0" shapeId="0">
      <text>
        <t>모델값 역산(implied): v / 전년동기 − 1
HD현대重 모델 매출 65954억 × 연결/자회사 비율 1.410(2025Q4·2026Q1·2026Q2 실측 중위; 삼호·기타 자회사·내부거래 포함)</t>
      </text>
    </comment>
    <comment ref="AD21" authorId="0" shapeId="0">
      <text>
        <t>모델값 역산(implied): v / 전년동기 − 1
HD현대重 모델 매출 66113억 × 연결/자회사 비율 1.410(2025Q4·2026Q1·2026Q2 실측 중위; 삼호·기타 자회사·내부거래 포함)</t>
      </text>
    </comment>
    <comment ref="AF21" authorId="0" shapeId="0">
      <text>
        <t>모델값 역산(implied): v / 전년동기 − 1
HD현대重 모델 매출 65636억 × 연결/자회사 비율 1.410(2025Q4·2026Q1·2026Q2 실측 중위; 삼호·기타 자회사·내부거래 포함)</t>
      </text>
    </comment>
    <comment ref="AG21" authorId="0" shapeId="0">
      <text>
        <t>모델값 역산(implied): v / 전년동기 − 1
HD현대重 모델 매출 65475억 × 연결/자회사 비율 1.410(2025Q4·2026Q1·2026Q2 실측 중위; 삼호·기타 자회사·내부거래 포함)</t>
      </text>
    </comment>
    <comment ref="AH21" authorId="0" shapeId="0">
      <text>
        <t>모델값 역산(implied): v / 전년동기 − 1
HD현대重 모델 매출 64648억 × 연결/자회사 비율 1.410(2025Q4·2026Q1·2026Q2 실측 중위; 삼호·기타 자회사·내부거래 포함)</t>
      </text>
    </comment>
    <comment ref="AI21" authorId="0" shapeId="0">
      <text>
        <t>모델값 역산(implied): v / 전년동기 − 1
HD현대重 모델 매출 63896억 × 연결/자회사 비율 1.410(2025Q4·2026Q1·2026Q2 실측 중위; 삼호·기타 자회사·내부거래 포함)</t>
      </text>
    </comment>
    <comment ref="AK21" authorId="0" shapeId="0">
      <text>
        <t>모델값 역산(implied): v / 전년동기 − 1
HD현대重 모델 매출 62993억 × 연결/자회사 비율 1.410(2025Q4·2026Q1·2026Q2 실측 중위; 삼호·기타 자회사·내부거래 포함)</t>
      </text>
    </comment>
    <comment ref="AL21" authorId="0" shapeId="0">
      <text>
        <t>모델값 역산(implied): v / 전년동기 − 1
HD현대重 모델 매출 62351억 × 연결/자회사 비율 1.410(2025Q4·2026Q1·2026Q2 실측 중위; 삼호·기타 자회사·내부거래 포함)</t>
      </text>
    </comment>
    <comment ref="AM21" authorId="0" shapeId="0">
      <text>
        <t>모델값 역산(implied): v / 전년동기 − 1
HD현대重 모델 매출 61017억 × 연결/자회사 비율 1.410(2025Q4·2026Q1·2026Q2 실측 중위; 삼호·기타 자회사·내부거래 포함)</t>
      </text>
    </comment>
    <comment ref="AN21" authorId="0" shapeId="0">
      <text>
        <t>모델값 역산(implied): v / 전년동기 − 1
HD현대重 모델 매출 59230억 × 연결/자회사 비율 1.410(2025Q4·2026Q1·2026Q2 실측 중위; 삼호·기타 자회사·내부거래 포함)</t>
      </text>
    </comment>
    <comment ref="AC22" authorId="0" shapeId="0">
      <text>
        <t>모델값 역산(implied): v / 매출액
매출액 × 판관비율 4.84%(최근 4분기 중위)</t>
      </text>
    </comment>
    <comment ref="AD22" authorId="0" shapeId="0">
      <text>
        <t>모델값 역산(implied): v / 매출액
매출액 × 판관비율 4.84%(최근 4분기 중위)</t>
      </text>
    </comment>
    <comment ref="AF22" authorId="0" shapeId="0">
      <text>
        <t>모델값 역산(implied): v / 매출액
매출액 × 판관비율 4.84%(최근 4분기 중위)</t>
      </text>
    </comment>
    <comment ref="AG22" authorId="0" shapeId="0">
      <text>
        <t>모델값 역산(implied): v / 매출액
매출액 × 판관비율 4.84%(최근 4분기 중위)</t>
      </text>
    </comment>
    <comment ref="AH22" authorId="0" shapeId="0">
      <text>
        <t>모델값 역산(implied): v / 매출액
매출액 × 판관비율 4.84%(최근 4분기 중위)</t>
      </text>
    </comment>
    <comment ref="AI22" authorId="0" shapeId="0">
      <text>
        <t>모델값 역산(implied): v / 매출액
매출액 × 판관비율 4.84%(최근 4분기 중위)</t>
      </text>
    </comment>
    <comment ref="AK22" authorId="0" shapeId="0">
      <text>
        <t>모델값 역산(implied): v / 매출액
매출액 × 판관비율 4.84%(최근 4분기 중위)</t>
      </text>
    </comment>
    <comment ref="AL22" authorId="0" shapeId="0">
      <text>
        <t>모델값 역산(implied): v / 매출액
매출액 × 판관비율 4.84%(최근 4분기 중위)</t>
      </text>
    </comment>
    <comment ref="AM22" authorId="0" shapeId="0">
      <text>
        <t>모델값 역산(implied): v / 매출액
매출액 × 판관비율 4.84%(최근 4분기 중위)</t>
      </text>
    </comment>
    <comment ref="AN22" authorId="0" shapeId="0">
      <text>
        <t>모델값 역산(implied): v / 매출액
매출액 × 판관비율 4.84%(최근 4분기 중위)</t>
      </text>
    </comment>
    <comment ref="AC23" authorId="0" shapeId="0">
      <text>
        <t>모델값 역산(implied): v / 매출액
매출액 × OPM(자회사 OPM 12.7% + 실측 차이 +1.7%p)</t>
      </text>
    </comment>
    <comment ref="AD23" authorId="0" shapeId="0">
      <text>
        <t>모델값 역산(implied): v / 매출액
매출액 × OPM(자회사 OPM 12.7% + 실측 차이 +1.7%p)</t>
      </text>
    </comment>
    <comment ref="AF23" authorId="0" shapeId="0">
      <text>
        <t>모델값 역산(implied): v / 매출액
매출액 × OPM(자회사 OPM 12.7% + 실측 차이 +1.7%p)</t>
      </text>
    </comment>
    <comment ref="AG23" authorId="0" shapeId="0">
      <text>
        <t>모델값 역산(implied): v / 매출액
매출액 × OPM(자회사 OPM 12.6% + 실측 차이 +1.7%p)</t>
      </text>
    </comment>
    <comment ref="AH23" authorId="0" shapeId="0">
      <text>
        <t>모델값 역산(implied): v / 매출액
매출액 × OPM(자회사 OPM 12.4% + 실측 차이 +1.7%p)</t>
      </text>
    </comment>
    <comment ref="AI23" authorId="0" shapeId="0">
      <text>
        <t>모델값 역산(implied): v / 매출액
매출액 × OPM(자회사 OPM 12.4% + 실측 차이 +1.7%p)</t>
      </text>
    </comment>
    <comment ref="AK23" authorId="0" shapeId="0">
      <text>
        <t>모델값 역산(implied): v / 매출액
매출액 × OPM(자회사 OPM 12.4% + 실측 차이 +1.7%p)</t>
      </text>
    </comment>
    <comment ref="AL23" authorId="0" shapeId="0">
      <text>
        <t>모델값 역산(implied): v / 매출액
매출액 × OPM(자회사 OPM 12.6% + 실측 차이 +1.7%p)</t>
      </text>
    </comment>
    <comment ref="AM23" authorId="0" shapeId="0">
      <text>
        <t>모델값 역산(implied): v / 매출액
매출액 × OPM(자회사 OPM 13.0% + 실측 차이 +1.7%p)</t>
      </text>
    </comment>
    <comment ref="AN23" authorId="0" shapeId="0">
      <text>
        <t>모델값 역산(implied): v / 매출액
매출액 × OPM(자회사 OPM 13.1% + 실측 차이 +1.7%p)</t>
      </text>
    </comment>
    <comment ref="AC24" authorId="0" shapeId="0">
      <text>
        <t>모델값 역산(implied): v / 전년동기 − 1
자회사 OPM 12.7% + 실측 차이 +1.7%p</t>
      </text>
    </comment>
    <comment ref="AD24" authorId="0" shapeId="0">
      <text>
        <t>모델값 역산(implied): v / 전년동기 − 1
자회사 OPM 12.7% + 실측 차이 +1.7%p</t>
      </text>
    </comment>
    <comment ref="AF24" authorId="0" shapeId="0">
      <text>
        <t>모델값 역산(implied): v / 전년동기 − 1
자회사 OPM 12.7% + 실측 차이 +1.7%p</t>
      </text>
    </comment>
    <comment ref="AG24" authorId="0" shapeId="0">
      <text>
        <t>모델값 역산(implied): v / 전년동기 − 1
자회사 OPM 12.6% + 실측 차이 +1.7%p</t>
      </text>
    </comment>
    <comment ref="AH24" authorId="0" shapeId="0">
      <text>
        <t>모델값 역산(implied): v / 전년동기 − 1
자회사 OPM 12.4% + 실측 차이 +1.7%p</t>
      </text>
    </comment>
    <comment ref="AI24" authorId="0" shapeId="0">
      <text>
        <t>모델값 역산(implied): v / 전년동기 − 1
자회사 OPM 12.4% + 실측 차이 +1.7%p</t>
      </text>
    </comment>
    <comment ref="AK24" authorId="0" shapeId="0">
      <text>
        <t>모델값 역산(implied): v / 전년동기 − 1
자회사 OPM 12.4% + 실측 차이 +1.7%p</t>
      </text>
    </comment>
    <comment ref="AL24" authorId="0" shapeId="0">
      <text>
        <t>모델값 역산(implied): v / 전년동기 − 1
자회사 OPM 12.6% + 실측 차이 +1.7%p</t>
      </text>
    </comment>
    <comment ref="AM24" authorId="0" shapeId="0">
      <text>
        <t>모델값 역산(implied): v / 전년동기 − 1
자회사 OPM 13.0% + 실측 차이 +1.7%p</t>
      </text>
    </comment>
    <comment ref="AN24" authorId="0" shapeId="0">
      <text>
        <t>모델값 역산(implied): v / 전년동기 − 1
자회사 OPM 13.1% + 실측 차이 +1.7%p</t>
      </text>
    </comment>
    <comment ref="AC25" authorId="0" shapeId="0">
      <text>
        <t>모델값 역산(implied): 모델 v 그대로
이자손익 = 이자발생자산 151288억 × 2.60% − 총차입금 29860억 × 4.06% (연율, CF 실측) ÷ 4; 환·평가손익 0 가정</t>
      </text>
    </comment>
    <comment ref="AD25" authorId="0" shapeId="0">
      <text>
        <t>모델값 역산(implied): 모델 v 그대로
이자손익 = 이자발생자산 162554억 × 2.60% − 총차입금 29860억 × 4.06% (연율, CF 실측) ÷ 4; 환·평가손익 0 가정</t>
      </text>
    </comment>
    <comment ref="AF25" authorId="0" shapeId="0">
      <text>
        <t>모델값 역산(implied): 모델 v 그대로
이자손익 = 이자발생자산 173853억 × 2.60% − 총차입금 29860억 × 4.06% (연율, CF 실측) ÷ 4; 환·평가손익 0 가정</t>
      </text>
    </comment>
    <comment ref="AG25" authorId="0" shapeId="0">
      <text>
        <t>모델값 역산(implied): 모델 v 그대로
이자손익 = 이자발생자산 185133억 × 2.60% − 총차입금 29860억 × 4.06% (연율, CF 실측) ÷ 4; 환·평가손익 0 가정</t>
      </text>
    </comment>
    <comment ref="AH25" authorId="0" shapeId="0">
      <text>
        <t>모델값 역산(implied): 모델 v 그대로
이자손익 = 이자발생자산 187689억 × 2.60% − 총차입금 29860억 × 4.06% (연율, CF 실측) ÷ 4; 환·평가손익 0 가정</t>
      </text>
    </comment>
    <comment ref="AI25" authorId="0" shapeId="0">
      <text>
        <t>모델값 역산(implied): 모델 v 그대로
이자손익 = 이자발생자산 198684억 × 2.60% − 총차입금 29860억 × 4.06% (연율, CF 실측) ÷ 4; 환·평가손익 0 가정</t>
      </text>
    </comment>
    <comment ref="AK25" authorId="0" shapeId="0">
      <text>
        <t>모델값 역산(implied): 모델 v 그대로
이자손익 = 이자발생자산 209611억 × 2.60% − 총차입금 29860억 × 4.06% (연율, CF 실측) ÷ 4; 환·평가손익 0 가정</t>
      </text>
    </comment>
    <comment ref="AL25" authorId="0" shapeId="0">
      <text>
        <t>모델값 역산(implied): 모델 v 그대로
이자손익 = 이자발생자산 220450억 × 2.60% − 총차입금 29860억 × 4.06% (연율, CF 실측) ÷ 4; 환·평가손익 0 가정</t>
      </text>
    </comment>
    <comment ref="AM25" authorId="0" shapeId="0">
      <text>
        <t>모델값 역산(implied): 모델 v 그대로
이자손익 = 이자발생자산 222702억 × 2.60% − 총차입금 29860억 × 4.06% (연율, CF 실측) ÷ 4; 환·평가손익 0 가정</t>
      </text>
    </comment>
    <comment ref="AN25" authorId="0" shapeId="0">
      <text>
        <t>모델값 역산(implied): 모델 v 그대로
이자손익 = 이자발생자산 233703억 × 2.60% − 총차입금 29860억 × 4.06% (연율, CF 실측) ÷ 4; 환·평가손익 0 가정</t>
      </text>
    </comment>
    <comment ref="AC26" authorId="0" shapeId="0">
      <text>
        <t>모델값 역산(implied): 모델 v 그대로
일회성 미가정 → 0</t>
      </text>
    </comment>
    <comment ref="AD26" authorId="0" shapeId="0">
      <text>
        <t>모델값 역산(implied): 모델 v 그대로
일회성 미가정 → 0</t>
      </text>
    </comment>
    <comment ref="AF26" authorId="0" shapeId="0">
      <text>
        <t>모델값 역산(implied): 모델 v 그대로
일회성 미가정 → 0</t>
      </text>
    </comment>
    <comment ref="AG26" authorId="0" shapeId="0">
      <text>
        <t>모델값 역산(implied): 모델 v 그대로
일회성 미가정 → 0</t>
      </text>
    </comment>
    <comment ref="AH26" authorId="0" shapeId="0">
      <text>
        <t>모델값 역산(implied): 모델 v 그대로
일회성 미가정 → 0</t>
      </text>
    </comment>
    <comment ref="AI26" authorId="0" shapeId="0">
      <text>
        <t>모델값 역산(implied): 모델 v 그대로
일회성 미가정 → 0</t>
      </text>
    </comment>
    <comment ref="AK26" authorId="0" shapeId="0">
      <text>
        <t>모델값 역산(implied): 모델 v 그대로
일회성 미가정 → 0</t>
      </text>
    </comment>
    <comment ref="AL26" authorId="0" shapeId="0">
      <text>
        <t>모델값 역산(implied): 모델 v 그대로
일회성 미가정 → 0</t>
      </text>
    </comment>
    <comment ref="AM26" authorId="0" shapeId="0">
      <text>
        <t>모델값 역산(implied): 모델 v 그대로
일회성 미가정 → 0</t>
      </text>
    </comment>
    <comment ref="AN26" authorId="0" shapeId="0">
      <text>
        <t>모델값 역산(implied): 모델 v 그대로
일회성 미가정 → 0</t>
      </text>
    </comment>
    <comment ref="AC27" authorId="0" shapeId="0">
      <text>
        <t>모델값 역산(implied): 모델 v 그대로
최근 4분기 중위</t>
      </text>
    </comment>
    <comment ref="AD27" authorId="0" shapeId="0">
      <text>
        <t>모델값 역산(implied): 모델 v 그대로
최근 4분기 중위</t>
      </text>
    </comment>
    <comment ref="AF27" authorId="0" shapeId="0">
      <text>
        <t>모델값 역산(implied): 모델 v 그대로
최근 4분기 중위</t>
      </text>
    </comment>
    <comment ref="AG27" authorId="0" shapeId="0">
      <text>
        <t>모델값 역산(implied): 모델 v 그대로
최근 4분기 중위</t>
      </text>
    </comment>
    <comment ref="AH27" authorId="0" shapeId="0">
      <text>
        <t>모델값 역산(implied): 모델 v 그대로
최근 4분기 중위</t>
      </text>
    </comment>
    <comment ref="AI27" authorId="0" shapeId="0">
      <text>
        <t>모델값 역산(implied): 모델 v 그대로
최근 4분기 중위</t>
      </text>
    </comment>
    <comment ref="AK27" authorId="0" shapeId="0">
      <text>
        <t>모델값 역산(implied): 모델 v 그대로
최근 4분기 중위</t>
      </text>
    </comment>
    <comment ref="AL27" authorId="0" shapeId="0">
      <text>
        <t>모델값 역산(implied): 모델 v 그대로
최근 4분기 중위</t>
      </text>
    </comment>
    <comment ref="AM27" authorId="0" shapeId="0">
      <text>
        <t>모델값 역산(implied): 모델 v 그대로
최근 4분기 중위</t>
      </text>
    </comment>
    <comment ref="AN27" authorId="0" shapeId="0">
      <text>
        <t>모델값 역산(implied): 모델 v 그대로
최근 4분기 중위</t>
      </text>
    </comment>
    <comment ref="AC28" authorId="0" shapeId="0">
      <text>
        <t>모델값 역산(implied): v / 세전이익
max(세전, 0) × 세율 19.9%(최근 12분기 유효세율 19.9% → 5~27% 클립)</t>
      </text>
    </comment>
    <comment ref="AD28" authorId="0" shapeId="0">
      <text>
        <t>모델값 역산(implied): v / 세전이익
max(세전, 0) × 세율 19.9%(최근 12분기 유효세율 19.9% → 5~27% 클립)</t>
      </text>
    </comment>
    <comment ref="AF28" authorId="0" shapeId="0">
      <text>
        <t>모델값 역산(implied): v / 세전이익
max(세전, 0) × 세율 19.9%(최근 12분기 유효세율 19.9% → 5~27% 클립)</t>
      </text>
    </comment>
    <comment ref="AG28" authorId="0" shapeId="0">
      <text>
        <t>모델값 역산(implied): v / 세전이익
max(세전, 0) × 세율 19.9%(최근 12분기 유효세율 19.9% → 5~27% 클립)</t>
      </text>
    </comment>
    <comment ref="AH28" authorId="0" shapeId="0">
      <text>
        <t>모델값 역산(implied): v / 세전이익
max(세전, 0) × 세율 19.9%(최근 12분기 유효세율 19.9% → 5~27% 클립)</t>
      </text>
    </comment>
    <comment ref="AI28" authorId="0" shapeId="0">
      <text>
        <t>모델값 역산(implied): v / 세전이익
max(세전, 0) × 세율 19.9%(최근 12분기 유효세율 19.9% → 5~27% 클립)</t>
      </text>
    </comment>
    <comment ref="AK28" authorId="0" shapeId="0">
      <text>
        <t>모델값 역산(implied): v / 세전이익
max(세전, 0) × 세율 19.9%(최근 12분기 유효세율 19.9% → 5~27% 클립)</t>
      </text>
    </comment>
    <comment ref="AL28" authorId="0" shapeId="0">
      <text>
        <t>모델값 역산(implied): v / 세전이익
max(세전, 0) × 세율 19.9%(최근 12분기 유효세율 19.9% → 5~27% 클립)</t>
      </text>
    </comment>
    <comment ref="AM28" authorId="0" shapeId="0">
      <text>
        <t>모델값 역산(implied): v / 세전이익
max(세전, 0) × 세율 19.9%(최근 12분기 유효세율 19.9% → 5~27% 클립)</t>
      </text>
    </comment>
    <comment ref="AN28" authorId="0" shapeId="0">
      <text>
        <t>모델값 역산(implied): v / 세전이익
max(세전, 0) × 세율 19.9%(최근 12분기 유효세율 19.9% → 5~27% 클립)</t>
      </text>
    </comment>
    <comment ref="AC29" authorId="0" shapeId="0">
      <text>
        <t>모델값 역산(implied): v / 당기순이익
당기순이익 × (1 − 비지배 비중 24.0%, 최근 8분기 실측)</t>
      </text>
    </comment>
    <comment ref="AD29" authorId="0" shapeId="0">
      <text>
        <t>모델값 역산(implied): v / 당기순이익
당기순이익 × (1 − 비지배 비중 24.0%, 최근 8분기 실측)</t>
      </text>
    </comment>
    <comment ref="AF29" authorId="0" shapeId="0">
      <text>
        <t>모델값 역산(implied): v / 당기순이익
당기순이익 × (1 − 비지배 비중 24.0%, 최근 8분기 실측)</t>
      </text>
    </comment>
    <comment ref="AG29" authorId="0" shapeId="0">
      <text>
        <t>모델값 역산(implied): v / 당기순이익
당기순이익 × (1 − 비지배 비중 24.0%, 최근 8분기 실측)</t>
      </text>
    </comment>
    <comment ref="AH29" authorId="0" shapeId="0">
      <text>
        <t>모델값 역산(implied): v / 당기순이익
당기순이익 × (1 − 비지배 비중 24.0%, 최근 8분기 실측)</t>
      </text>
    </comment>
    <comment ref="AI29" authorId="0" shapeId="0">
      <text>
        <t>모델값 역산(implied): v / 당기순이익
당기순이익 × (1 − 비지배 비중 24.0%, 최근 8분기 실측)</t>
      </text>
    </comment>
    <comment ref="AK29" authorId="0" shapeId="0">
      <text>
        <t>모델값 역산(implied): v / 당기순이익
당기순이익 × (1 − 비지배 비중 24.0%, 최근 8분기 실측)</t>
      </text>
    </comment>
    <comment ref="AL29" authorId="0" shapeId="0">
      <text>
        <t>모델값 역산(implied): v / 당기순이익
당기순이익 × (1 − 비지배 비중 24.0%, 최근 8분기 실측)</t>
      </text>
    </comment>
    <comment ref="AM29" authorId="0" shapeId="0">
      <text>
        <t>모델값 역산(implied): v / 당기순이익
당기순이익 × (1 − 비지배 비중 24.0%, 최근 8분기 실측)</t>
      </text>
    </comment>
    <comment ref="AN29" authorId="0" shapeId="0">
      <text>
        <t>모델값 역산(implied): v / 당기순이익
당기순이익 × (1 − 비지배 비중 24.0%, 최근 8분기 실측)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전분기 + 당기순이익 − v
전분기 + 당기순이익 − 배당(Q2 지급 가정)</t>
      </text>
    </comment>
    <comment ref="AD31" authorId="0" shapeId="0">
      <text>
        <t>모델값 역산(implied): 전분기 + 당기순이익 − v
전분기 + 당기순이익 − 배당(Q2 지급 가정)</t>
      </text>
    </comment>
    <comment ref="AF31" authorId="0" shapeId="0">
      <text>
        <t>모델값 역산(implied): 전분기 + 당기순이익 − v
전분기 + 당기순이익 − 배당(Q2 지급 가정)</t>
      </text>
    </comment>
    <comment ref="AG31" authorId="0" shapeId="0">
      <text>
        <t>모델값 역산(implied): 전분기 + 당기순이익 − v
전분기 + 당기순이익 − 배당(Q2 지급 가정)</t>
      </text>
    </comment>
    <comment ref="AH31" authorId="0" shapeId="0">
      <text>
        <t>모델값 역산(implied): 전분기 + 당기순이익 − v
전분기 + 당기순이익 − 배당(Q2 지급 가정)</t>
      </text>
    </comment>
    <comment ref="AI31" authorId="0" shapeId="0">
      <text>
        <t>모델값 역산(implied): 전분기 + 당기순이익 − v
전분기 + 당기순이익 − 배당(Q2 지급 가정)</t>
      </text>
    </comment>
    <comment ref="AK31" authorId="0" shapeId="0">
      <text>
        <t>모델값 역산(implied): 전분기 + 당기순이익 − v
전분기 + 당기순이익 − 배당(Q2 지급 가정)</t>
      </text>
    </comment>
    <comment ref="AL31" authorId="0" shapeId="0">
      <text>
        <t>모델값 역산(implied): 전분기 + 당기순이익 − v
전분기 + 당기순이익 − 배당(Q2 지급 가정)</t>
      </text>
    </comment>
    <comment ref="AM31" authorId="0" shapeId="0">
      <text>
        <t>모델값 역산(implied): 전분기 + 당기순이익 − v
전분기 + 당기순이익 − 배당(Q2 지급 가정)</t>
      </text>
    </comment>
    <comment ref="AN31" authorId="0" shapeId="0">
      <text>
        <t>모델값 역산(implied): 전분기 + 당기순이익 − v
전분기 + 당기순이익 − 배당(Q2 지급 가정)</t>
      </text>
    </comment>
    <comment ref="AC32" authorId="0" shapeId="0">
      <text>
        <t>모델값 역산(implied): 전분기 + 지배주주순이익 − v
전분기 + 지배주주순이익 − 배당</t>
      </text>
    </comment>
    <comment ref="AD32" authorId="0" shapeId="0">
      <text>
        <t>모델값 역산(implied): 전분기 + 지배주주순이익 − v
전분기 + 지배주주순이익 − 배당</t>
      </text>
    </comment>
    <comment ref="AF32" authorId="0" shapeId="0">
      <text>
        <t>모델값 역산(implied): 전분기 + 지배주주순이익 − v
전분기 + 지배주주순이익 − 배당</t>
      </text>
    </comment>
    <comment ref="AG32" authorId="0" shapeId="0">
      <text>
        <t>모델값 역산(implied): 전분기 + 지배주주순이익 − v
전분기 + 지배주주순이익 − 배당</t>
      </text>
    </comment>
    <comment ref="AH32" authorId="0" shapeId="0">
      <text>
        <t>모델값 역산(implied): 전분기 + 지배주주순이익 − v
전분기 + 지배주주순이익 − 배당</t>
      </text>
    </comment>
    <comment ref="AI32" authorId="0" shapeId="0">
      <text>
        <t>모델값 역산(implied): 전분기 + 지배주주순이익 − v
전분기 + 지배주주순이익 − 배당</t>
      </text>
    </comment>
    <comment ref="AK32" authorId="0" shapeId="0">
      <text>
        <t>모델값 역산(implied): 전분기 + 지배주주순이익 − v
전분기 + 지배주주순이익 − 배당</t>
      </text>
    </comment>
    <comment ref="AL32" authorId="0" shapeId="0">
      <text>
        <t>모델값 역산(implied): 전분기 + 지배주주순이익 − v
전분기 + 지배주주순이익 − 배당</t>
      </text>
    </comment>
    <comment ref="AM32" authorId="0" shapeId="0">
      <text>
        <t>모델값 역산(implied): 전분기 + 지배주주순이익 − v
전분기 + 지배주주순이익 − 배당</t>
      </text>
    </comment>
    <comment ref="AN32" authorId="0" shapeId="0">
      <text>
        <t>모델값 역산(implied): 전분기 + 지배주주순이익 − v
전분기 + 지배주주순이익 − 배당</t>
      </text>
    </comment>
    <comment ref="AC33" authorId="0" shapeId="0">
      <text>
        <t>모델값 역산(implied): v / 전분기 − 1
마지막 실적 유지(가정)</t>
      </text>
    </comment>
    <comment ref="AD33" authorId="0" shapeId="0">
      <text>
        <t>모델값 역산(implied): v / 전분기 − 1
마지막 실적 유지(가정)</t>
      </text>
    </comment>
    <comment ref="AF33" authorId="0" shapeId="0">
      <text>
        <t>모델값 역산(implied): v / 전분기 − 1
마지막 실적 유지(가정)</t>
      </text>
    </comment>
    <comment ref="AG33" authorId="0" shapeId="0">
      <text>
        <t>모델값 역산(implied): v / 전분기 − 1
마지막 실적 유지(가정)</t>
      </text>
    </comment>
    <comment ref="AH33" authorId="0" shapeId="0">
      <text>
        <t>모델값 역산(implied): v / 전분기 − 1
마지막 실적 유지(가정)</t>
      </text>
    </comment>
    <comment ref="AI33" authorId="0" shapeId="0">
      <text>
        <t>모델값 역산(implied): v / 전분기 − 1
마지막 실적 유지(가정)</t>
      </text>
    </comment>
    <comment ref="AK33" authorId="0" shapeId="0">
      <text>
        <t>모델값 역산(implied): v / 전분기 − 1
마지막 실적 유지(가정)</t>
      </text>
    </comment>
    <comment ref="AL33" authorId="0" shapeId="0">
      <text>
        <t>모델값 역산(implied): v / 전분기 − 1
마지막 실적 유지(가정)</t>
      </text>
    </comment>
    <comment ref="AM33" authorId="0" shapeId="0">
      <text>
        <t>모델값 역산(implied): v / 전분기 − 1
마지막 실적 유지(가정)</t>
      </text>
    </comment>
    <comment ref="AN33" authorId="0" shapeId="0">
      <text>
        <t>모델값 역산(implied): v / 전분기 − 1
마지막 실적 유지(가정)</t>
      </text>
    </comment>
    <comment ref="AC34" authorId="0" shapeId="0">
      <text>
        <t>모델값 역산(implied): v / 전분기 − 1
전분기 − (순이익 − 배당): 순이익 = 순현금 증가 가정(CAPEX≈감가, 운전자본 불변)</t>
      </text>
    </comment>
    <comment ref="AD34" authorId="0" shapeId="0">
      <text>
        <t>모델값 역산(implied): v / 전분기 − 1
전분기 − (순이익 − 배당): 순이익 = 순현금 증가 가정(CAPEX≈감가, 운전자본 불변)</t>
      </text>
    </comment>
    <comment ref="AF34" authorId="0" shapeId="0">
      <text>
        <t>모델값 역산(implied): v / 전분기 − 1
전분기 − (순이익 − 배당): 순이익 = 순현금 증가 가정(CAPEX≈감가, 운전자본 불변)</t>
      </text>
    </comment>
    <comment ref="AG34" authorId="0" shapeId="0">
      <text>
        <t>모델값 역산(implied): v / 전분기 − 1
전분기 − (순이익 − 배당): 순이익 = 순현금 증가 가정(CAPEX≈감가, 운전자본 불변)</t>
      </text>
    </comment>
    <comment ref="AH34" authorId="0" shapeId="0">
      <text>
        <t>모델값 역산(implied): v / 전분기 − 1
전분기 − (순이익 − 배당): 순이익 = 순현금 증가 가정(CAPEX≈감가, 운전자본 불변)</t>
      </text>
    </comment>
    <comment ref="AI34" authorId="0" shapeId="0">
      <text>
        <t>모델값 역산(implied): v / 전분기 − 1
전분기 − (순이익 − 배당): 순이익 = 순현금 증가 가정(CAPEX≈감가, 운전자본 불변)</t>
      </text>
    </comment>
    <comment ref="AK34" authorId="0" shapeId="0">
      <text>
        <t>모델값 역산(implied): v / 전분기 − 1
전분기 − (순이익 − 배당): 순이익 = 순현금 증가 가정(CAPEX≈감가, 운전자본 불변)</t>
      </text>
    </comment>
    <comment ref="AL34" authorId="0" shapeId="0">
      <text>
        <t>모델값 역산(implied): v / 전분기 − 1
전분기 − (순이익 − 배당): 순이익 = 순현금 증가 가정(CAPEX≈감가, 운전자본 불변)</t>
      </text>
    </comment>
    <comment ref="AM34" authorId="0" shapeId="0">
      <text>
        <t>모델값 역산(implied): v / 전분기 − 1
전분기 − (순이익 − 배당): 순이익 = 순현금 증가 가정(CAPEX≈감가, 운전자본 불변)</t>
      </text>
    </comment>
    <comment ref="AN34" authorId="0" shapeId="0">
      <text>
        <t>모델값 역산(implied): v / 전분기 − 1
전분기 − (순이익 − 배당): 순이익 = 순현금 증가 가정(CAPEX≈감가, 운전자본 불변)</t>
      </text>
    </comment>
    <comment ref="AC35" authorId="0" shapeId="0">
      <text>
        <t>모델값 역산(implied): v / 전분기 − 1
전분기 + (순이익 − 배당) — 순차입금 롤과 같은 가정</t>
      </text>
    </comment>
    <comment ref="AD35" authorId="0" shapeId="0">
      <text>
        <t>모델값 역산(implied): v / 전분기 − 1
전분기 + (순이익 − 배당) — 순차입금 롤과 같은 가정</t>
      </text>
    </comment>
    <comment ref="AF35" authorId="0" shapeId="0">
      <text>
        <t>모델값 역산(implied): v / 전분기 − 1
전분기 + (순이익 − 배당) — 순차입금 롤과 같은 가정</t>
      </text>
    </comment>
    <comment ref="AG35" authorId="0" shapeId="0">
      <text>
        <t>모델값 역산(implied): v / 전분기 − 1
전분기 + (순이익 − 배당) — 순차입금 롤과 같은 가정</t>
      </text>
    </comment>
    <comment ref="AH35" authorId="0" shapeId="0">
      <text>
        <t>모델값 역산(implied): v / 전분기 − 1
전분기 + (순이익 − 배당) — 순차입금 롤과 같은 가정</t>
      </text>
    </comment>
    <comment ref="AI35" authorId="0" shapeId="0">
      <text>
        <t>모델값 역산(implied): v / 전분기 − 1
전분기 + (순이익 − 배당) — 순차입금 롤과 같은 가정</t>
      </text>
    </comment>
    <comment ref="AK35" authorId="0" shapeId="0">
      <text>
        <t>모델값 역산(implied): v / 전분기 − 1
전분기 + (순이익 − 배당) — 순차입금 롤과 같은 가정</t>
      </text>
    </comment>
    <comment ref="AL35" authorId="0" shapeId="0">
      <text>
        <t>모델값 역산(implied): v / 전분기 − 1
전분기 + (순이익 − 배당) — 순차입금 롤과 같은 가정</t>
      </text>
    </comment>
    <comment ref="AM35" authorId="0" shapeId="0">
      <text>
        <t>모델값 역산(implied): v / 전분기 − 1
전분기 + (순이익 − 배당) — 순차입금 롤과 같은 가정</t>
      </text>
    </comment>
    <comment ref="AN35" authorId="0" shapeId="0">
      <text>
        <t>모델값 역산(implied): v / 전분기 − 1
전분기 + (순이익 − 배당) — 순차입금 롤과 같은 가정</t>
      </text>
    </comment>
    <comment ref="AC39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v / 전분기 − 1
유통주식수 유지 — fin.shares.common_outstanding(2026Q2)</t>
      </text>
    </comment>
    <comment ref="AF39" authorId="0" shapeId="0">
      <text>
        <t>모델값 역산(implied): v / 전분기 − 1
유통주식수 유지 — fin.shares.common_outstanding(2026Q2)</t>
      </text>
    </comment>
    <comment ref="AG39" authorId="0" shapeId="0">
      <text>
        <t>모델값 역산(implied): v / 전분기 − 1
유통주식수 유지 — fin.shares.common_outstanding(2026Q2)</t>
      </text>
    </comment>
    <comment ref="AH39" authorId="0" shapeId="0">
      <text>
        <t>모델값 역산(implied): v / 전분기 − 1
유통주식수 유지 — fin.shares.common_outstanding(2026Q2)</t>
      </text>
    </comment>
    <comment ref="AI39" authorId="0" shapeId="0">
      <text>
        <t>모델값 역산(implied): v / 전분기 − 1
유통주식수 유지 — fin.shares.common_outstanding(2026Q2)</t>
      </text>
    </comment>
    <comment ref="AK39" authorId="0" shapeId="0">
      <text>
        <t>모델값 역산(implied): v / 전분기 − 1
유통주식수 유지 — fin.shares.common_outstanding(2026Q2)</t>
      </text>
    </comment>
    <comment ref="AL39" authorId="0" shapeId="0">
      <text>
        <t>모델값 역산(implied): v / 전분기 − 1
유통주식수 유지 — fin.shares.common_outstanding(2026Q2)</t>
      </text>
    </comment>
    <comment ref="AM39" authorId="0" shapeId="0">
      <text>
        <t>모델값 역산(implied): v / 전분기 − 1
유통주식수 유지 — fin.shares.common_outstanding(2026Q2)</t>
      </text>
    </comment>
    <comment ref="AN39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v / 전년동기 − 1
직전 결산 DPS 12,300원 유지</t>
      </text>
    </comment>
    <comment ref="AI40" authorId="0" shapeId="0">
      <text>
        <t>모델값 역산(implied): v / 전년동기 − 1
직전 결산 DPS 12,300원 유지</t>
      </text>
    </comment>
    <comment ref="AN40" authorId="0" shapeId="0">
      <text>
        <t>모델값 역산(implied): v / 전년동기 − 1
직전 결산 DPS 12,300원 유지</t>
      </text>
    </comment>
    <comment ref="AC41" authorId="0" shapeId="0">
      <text>
        <t>모델값 역산(implied): v / 전년동기 − 1
현재 종가 ÷ TTM EPS(추정 포함)</t>
      </text>
    </comment>
    <comment ref="AD41" authorId="0" shapeId="0">
      <text>
        <t>모델값 역산(implied): v / 전년동기 − 1
현재 종가 ÷ TTM EPS(추정 포함)</t>
      </text>
    </comment>
    <comment ref="AF41" authorId="0" shapeId="0">
      <text>
        <t>모델값 역산(implied): v / 전년동기 − 1
현재 종가 ÷ TTM EPS(추정 포함)</t>
      </text>
    </comment>
    <comment ref="AG41" authorId="0" shapeId="0">
      <text>
        <t>모델값 역산(implied): v / 전년동기 − 1
현재 종가 ÷ TTM EPS(추정 포함)</t>
      </text>
    </comment>
    <comment ref="AH41" authorId="0" shapeId="0">
      <text>
        <t>모델값 역산(implied): v / 전년동기 − 1
현재 종가 ÷ TTM EPS(추정 포함)</t>
      </text>
    </comment>
    <comment ref="AI41" authorId="0" shapeId="0">
      <text>
        <t>모델값 역산(implied): v / 전년동기 − 1
현재 종가 ÷ TTM EPS(추정 포함)</t>
      </text>
    </comment>
    <comment ref="AK41" authorId="0" shapeId="0">
      <text>
        <t>모델값 역산(implied): v / 전년동기 − 1
현재 종가 ÷ TTM EPS(추정 포함)</t>
      </text>
    </comment>
    <comment ref="AL41" authorId="0" shapeId="0">
      <text>
        <t>모델값 역산(implied): v / 전년동기 − 1
현재 종가 ÷ TTM EPS(추정 포함)</t>
      </text>
    </comment>
    <comment ref="AM41" authorId="0" shapeId="0">
      <text>
        <t>모델값 역산(implied): v / 전년동기 − 1
현재 종가 ÷ TTM EPS(추정 포함)</t>
      </text>
    </comment>
    <comment ref="AN41" authorId="0" shapeId="0">
      <text>
        <t>모델값 역산(implied): v / 전년동기 − 1
현재 종가 ÷ TTM EPS(추정 포함)</t>
      </text>
    </comment>
    <comment ref="AC42" authorId="0" shapeId="0">
      <text>
        <t>모델값 역산(implied): v / 전년동기 − 1
현재 종가 ÷ BPS(추정 포함)</t>
      </text>
    </comment>
    <comment ref="AD42" authorId="0" shapeId="0">
      <text>
        <t>모델값 역산(implied): v / 전년동기 − 1
현재 종가 ÷ BPS(추정 포함)</t>
      </text>
    </comment>
    <comment ref="AF42" authorId="0" shapeId="0">
      <text>
        <t>모델값 역산(implied): v / 전년동기 − 1
현재 종가 ÷ BPS(추정 포함)</t>
      </text>
    </comment>
    <comment ref="AG42" authorId="0" shapeId="0">
      <text>
        <t>모델값 역산(implied): v / 전년동기 − 1
현재 종가 ÷ BPS(추정 포함)</t>
      </text>
    </comment>
    <comment ref="AH42" authorId="0" shapeId="0">
      <text>
        <t>모델값 역산(implied): v / 전년동기 − 1
현재 종가 ÷ BPS(추정 포함)</t>
      </text>
    </comment>
    <comment ref="AI42" authorId="0" shapeId="0">
      <text>
        <t>모델값 역산(implied): v / 전년동기 − 1
현재 종가 ÷ BPS(추정 포함)</t>
      </text>
    </comment>
    <comment ref="AK42" authorId="0" shapeId="0">
      <text>
        <t>모델값 역산(implied): v / 전년동기 − 1
현재 종가 ÷ BPS(추정 포함)</t>
      </text>
    </comment>
    <comment ref="AL42" authorId="0" shapeId="0">
      <text>
        <t>모델값 역산(implied): v / 전년동기 − 1
현재 종가 ÷ BPS(추정 포함)</t>
      </text>
    </comment>
    <comment ref="AM42" authorId="0" shapeId="0">
      <text>
        <t>모델값 역산(implied): v / 전년동기 − 1
현재 종가 ÷ BPS(추정 포함)</t>
      </text>
    </comment>
    <comment ref="AN42" authorId="0" shapeId="0">
      <text>
        <t>모델값 역산(implied): v / 전년동기 − 1
현재 종가 ÷ BPS(추정 포함)</t>
      </text>
    </comment>
    <comment ref="AC43" authorId="0" shapeId="0">
      <text>
        <t>모델값 역산(implied): v / 매출액
= 매출액 추정(부문 미분리)</t>
      </text>
    </comment>
    <comment ref="AD43" authorId="0" shapeId="0">
      <text>
        <t>모델값 역산(implied): v / 매출액
= 매출액 추정(부문 미분리)</t>
      </text>
    </comment>
    <comment ref="AF43" authorId="0" shapeId="0">
      <text>
        <t>모델값 역산(implied): v / 매출액
= 매출액 추정(부문 미분리)</t>
      </text>
    </comment>
    <comment ref="AG43" authorId="0" shapeId="0">
      <text>
        <t>모델값 역산(implied): v / 매출액
= 매출액 추정(부문 미분리)</t>
      </text>
    </comment>
    <comment ref="AH43" authorId="0" shapeId="0">
      <text>
        <t>모델값 역산(implied): v / 매출액
= 매출액 추정(부문 미분리)</t>
      </text>
    </comment>
    <comment ref="AI43" authorId="0" shapeId="0">
      <text>
        <t>모델값 역산(implied): v / 매출액
= 매출액 추정(부문 미분리)</t>
      </text>
    </comment>
    <comment ref="AK43" authorId="0" shapeId="0">
      <text>
        <t>모델값 역산(implied): v / 매출액
= 매출액 추정(부문 미분리)</t>
      </text>
    </comment>
    <comment ref="AL43" authorId="0" shapeId="0">
      <text>
        <t>모델값 역산(implied): v / 매출액
= 매출액 추정(부문 미분리)</t>
      </text>
    </comment>
    <comment ref="AM43" authorId="0" shapeId="0">
      <text>
        <t>모델값 역산(implied): v / 매출액
= 매출액 추정(부문 미분리)</t>
      </text>
    </comment>
    <comment ref="AN43" authorId="0" shapeId="0">
      <text>
        <t>모델값 역산(implied): v / 매출액
= 매출액 추정(부문 미분리)</t>
      </text>
    </comment>
    <comment ref="AC44" authorId="0" shapeId="0">
      <text>
        <t>모델값 역산(implied): v / 매출전사
= 매출액 × OPM(부문 미분리)</t>
      </text>
    </comment>
    <comment ref="AD44" authorId="0" shapeId="0">
      <text>
        <t>모델값 역산(implied): v / 매출전사
= 매출액 × OPM(부문 미분리)</t>
      </text>
    </comment>
    <comment ref="AF44" authorId="0" shapeId="0">
      <text>
        <t>모델값 역산(implied): v / 매출전사
= 매출액 × OPM(부문 미분리)</t>
      </text>
    </comment>
    <comment ref="AG44" authorId="0" shapeId="0">
      <text>
        <t>모델값 역산(implied): v / 매출전사
= 매출액 × OPM(부문 미분리)</t>
      </text>
    </comment>
    <comment ref="AH44" authorId="0" shapeId="0">
      <text>
        <t>모델값 역산(implied): v / 매출전사
= 매출액 × OPM(부문 미분리)</t>
      </text>
    </comment>
    <comment ref="AI44" authorId="0" shapeId="0">
      <text>
        <t>모델값 역산(implied): v / 매출전사
= 매출액 × OPM(부문 미분리)</t>
      </text>
    </comment>
    <comment ref="AK44" authorId="0" shapeId="0">
      <text>
        <t>모델값 역산(implied): v / 매출전사
= 매출액 × OPM(부문 미분리)</t>
      </text>
    </comment>
    <comment ref="AL44" authorId="0" shapeId="0">
      <text>
        <t>모델값 역산(implied): v / 매출전사
= 매출액 × OPM(부문 미분리)</t>
      </text>
    </comment>
    <comment ref="AM44" authorId="0" shapeId="0">
      <text>
        <t>모델값 역산(implied): v / 매출전사
= 매출액 × OPM(부문 미분리)</t>
      </text>
    </comment>
    <comment ref="AN44" authorId="0" shapeId="0">
      <text>
        <t>모델값 역산(implied): v / 매출전사
= 매출액 × OPM(부문 미분리)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HD현대重 모델 매출 65954억 × 연결/자회사 비율 1.410(2025Q4·2026Q1·2026Q2 실측 중위; 삼호·기타 자회사·내부거래 포함)
[yoy]</t>
      </text>
    </comment>
    <comment ref="AD5" authorId="0" shapeId="0">
      <text>
        <t>추정: HD현대重 모델 매출 66113억 × 연결/자회사 비율 1.410(2025Q4·2026Q1·2026Q2 실측 중위; 삼호·기타 자회사·내부거래 포함)
[yoy]</t>
      </text>
    </comment>
    <comment ref="AF5" authorId="0" shapeId="0">
      <text>
        <t>추정: HD현대重 모델 매출 65636억 × 연결/자회사 비율 1.410(2025Q4·2026Q1·2026Q2 실측 중위; 삼호·기타 자회사·내부거래 포함)
[yoy]</t>
      </text>
    </comment>
    <comment ref="AG5" authorId="0" shapeId="0">
      <text>
        <t>추정: HD현대重 모델 매출 65475억 × 연결/자회사 비율 1.410(2025Q4·2026Q1·2026Q2 실측 중위; 삼호·기타 자회사·내부거래 포함)
[yoy]</t>
      </text>
    </comment>
    <comment ref="AH5" authorId="0" shapeId="0">
      <text>
        <t>추정: HD현대重 모델 매출 64648억 × 연결/자회사 비율 1.410(2025Q4·2026Q1·2026Q2 실측 중위; 삼호·기타 자회사·내부거래 포함)
[yoy]</t>
      </text>
    </comment>
    <comment ref="AI5" authorId="0" shapeId="0">
      <text>
        <t>추정: HD현대重 모델 매출 63896억 × 연결/자회사 비율 1.410(2025Q4·2026Q1·2026Q2 실측 중위; 삼호·기타 자회사·내부거래 포함)
[yoy]</t>
      </text>
    </comment>
    <comment ref="AK5" authorId="0" shapeId="0">
      <text>
        <t>추정: HD현대重 모델 매출 62993억 × 연결/자회사 비율 1.410(2025Q4·2026Q1·2026Q2 실측 중위; 삼호·기타 자회사·내부거래 포함)
[yoy]</t>
      </text>
    </comment>
    <comment ref="AL5" authorId="0" shapeId="0">
      <text>
        <t>추정: HD현대重 모델 매출 62351억 × 연결/자회사 비율 1.410(2025Q4·2026Q1·2026Q2 실측 중위; 삼호·기타 자회사·내부거래 포함)
[yoy]</t>
      </text>
    </comment>
    <comment ref="AM5" authorId="0" shapeId="0">
      <text>
        <t>추정: HD현대重 모델 매출 61017억 × 연결/자회사 비율 1.410(2025Q4·2026Q1·2026Q2 실측 중위; 삼호·기타 자회사·내부거래 포함)
[yoy]</t>
      </text>
    </comment>
    <comment ref="AN5" authorId="0" shapeId="0">
      <text>
        <t>추정: HD현대重 모델 매출 59230억 × 연결/자회사 비율 1.410(2025Q4·2026Q1·2026Q2 실측 중위; 삼호·기타 자회사·내부거래 포함)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4.84%(최근 4분기 중위)
[ratio]</t>
      </text>
    </comment>
    <comment ref="AD8" authorId="0" shapeId="0">
      <text>
        <t>추정: 매출액 × 판관비율 4.84%(최근 4분기 중위)
[ratio]</t>
      </text>
    </comment>
    <comment ref="AF8" authorId="0" shapeId="0">
      <text>
        <t>추정: 매출액 × 판관비율 4.84%(최근 4분기 중위)
[ratio]</t>
      </text>
    </comment>
    <comment ref="AG8" authorId="0" shapeId="0">
      <text>
        <t>추정: 매출액 × 판관비율 4.84%(최근 4분기 중위)
[ratio]</t>
      </text>
    </comment>
    <comment ref="AH8" authorId="0" shapeId="0">
      <text>
        <t>추정: 매출액 × 판관비율 4.84%(최근 4분기 중위)
[ratio]</t>
      </text>
    </comment>
    <comment ref="AI8" authorId="0" shapeId="0">
      <text>
        <t>추정: 매출액 × 판관비율 4.84%(최근 4분기 중위)
[ratio]</t>
      </text>
    </comment>
    <comment ref="AK8" authorId="0" shapeId="0">
      <text>
        <t>추정: 매출액 × 판관비율 4.84%(최근 4분기 중위)
[ratio]</t>
      </text>
    </comment>
    <comment ref="AL8" authorId="0" shapeId="0">
      <text>
        <t>추정: 매출액 × 판관비율 4.84%(최근 4분기 중위)
[ratio]</t>
      </text>
    </comment>
    <comment ref="AM8" authorId="0" shapeId="0">
      <text>
        <t>추정: 매출액 × 판관비율 4.84%(최근 4분기 중위)
[ratio]</t>
      </text>
    </comment>
    <comment ref="AN8" authorId="0" shapeId="0">
      <text>
        <t>추정: 매출액 × 판관비율 4.84%(최근 4분기 중위)
[ratio]</t>
      </text>
    </comment>
    <comment ref="AC9" authorId="0" shapeId="0">
      <text>
        <t>추정: 매출액 × OPM(자회사 OPM 12.7% + 실측 차이 +1.7%p)
[ratio]</t>
      </text>
    </comment>
    <comment ref="AD9" authorId="0" shapeId="0">
      <text>
        <t>추정: 매출액 × OPM(자회사 OPM 12.7% + 실측 차이 +1.7%p)
[ratio]</t>
      </text>
    </comment>
    <comment ref="AF9" authorId="0" shapeId="0">
      <text>
        <t>추정: 매출액 × OPM(자회사 OPM 12.7% + 실측 차이 +1.7%p)
[ratio]</t>
      </text>
    </comment>
    <comment ref="AG9" authorId="0" shapeId="0">
      <text>
        <t>추정: 매출액 × OPM(자회사 OPM 12.6% + 실측 차이 +1.7%p)
[ratio]</t>
      </text>
    </comment>
    <comment ref="AH9" authorId="0" shapeId="0">
      <text>
        <t>추정: 매출액 × OPM(자회사 OPM 12.4% + 실측 차이 +1.7%p)
[ratio]</t>
      </text>
    </comment>
    <comment ref="AI9" authorId="0" shapeId="0">
      <text>
        <t>추정: 매출액 × OPM(자회사 OPM 12.4% + 실측 차이 +1.7%p)
[ratio]</t>
      </text>
    </comment>
    <comment ref="AK9" authorId="0" shapeId="0">
      <text>
        <t>추정: 매출액 × OPM(자회사 OPM 12.4% + 실측 차이 +1.7%p)
[ratio]</t>
      </text>
    </comment>
    <comment ref="AL9" authorId="0" shapeId="0">
      <text>
        <t>추정: 매출액 × OPM(자회사 OPM 12.6% + 실측 차이 +1.7%p)
[ratio]</t>
      </text>
    </comment>
    <comment ref="AM9" authorId="0" shapeId="0">
      <text>
        <t>추정: 매출액 × OPM(자회사 OPM 13.0% + 실측 차이 +1.7%p)
[ratio]</t>
      </text>
    </comment>
    <comment ref="AN9" authorId="0" shapeId="0">
      <text>
        <t>추정: 매출액 × OPM(자회사 OPM 13.1% + 실측 차이 +1.7%p)
[ratio]</t>
      </text>
    </comment>
    <comment ref="E10" authorId="0" shapeId="0">
      <text>
        <t>실측(계정 매핑 없음 — 모델값 직접) — 영업이익 ÷ 매출액(파생)</t>
      </text>
    </comment>
    <comment ref="G10" authorId="0" shapeId="0">
      <text>
        <t>실측(계정 매핑 없음 — 모델값 직접) — 영업이익 ÷ 매출액(파생)</t>
      </text>
    </comment>
    <comment ref="H10" authorId="0" shapeId="0">
      <text>
        <t>실측(계정 매핑 없음 — 모델값 직접) — 영업이익 ÷ 매출액(파생)</t>
      </text>
    </comment>
    <comment ref="I10" authorId="0" shapeId="0">
      <text>
        <t>실측(계정 매핑 없음 — 모델값 직접) — 영업이익 ÷ 매출액(파생)</t>
      </text>
    </comment>
    <comment ref="J10" authorId="0" shapeId="0">
      <text>
        <t>실측(계정 매핑 없음 — 모델값 직접) — 영업이익 ÷ 매출액(파생)</t>
      </text>
    </comment>
    <comment ref="L10" authorId="0" shapeId="0">
      <text>
        <t>실측(계정 매핑 없음 — 모델값 직접) — 영업이익 ÷ 매출액(파생)</t>
      </text>
    </comment>
    <comment ref="M10" authorId="0" shapeId="0">
      <text>
        <t>실측(계정 매핑 없음 — 모델값 직접) — 영업이익 ÷ 매출액(파생)</t>
      </text>
    </comment>
    <comment ref="N10" authorId="0" shapeId="0">
      <text>
        <t>실측(계정 매핑 없음 — 모델값 직접) — 영업이익 ÷ 매출액(파생)</t>
      </text>
    </comment>
    <comment ref="O10" authorId="0" shapeId="0">
      <text>
        <t>실측(계정 매핑 없음 — 모델값 직접) — 영업이익 ÷ 매출액(파생)</t>
      </text>
    </comment>
    <comment ref="Q10" authorId="0" shapeId="0">
      <text>
        <t>실측(계정 매핑 없음 — 모델값 직접) — 영업이익 ÷ 매출액(파생)</t>
      </text>
    </comment>
    <comment ref="R10" authorId="0" shapeId="0">
      <text>
        <t>실측(계정 매핑 없음 — 모델값 직접) — 영업이익 ÷ 매출액(파생)</t>
      </text>
    </comment>
    <comment ref="S10" authorId="0" shapeId="0">
      <text>
        <t>실측(계정 매핑 없음 — 모델값 직접) — 영업이익 ÷ 매출액(파생)</t>
      </text>
    </comment>
    <comment ref="T10" authorId="0" shapeId="0">
      <text>
        <t>실측(계정 매핑 없음 — 모델값 직접) — 영업이익 ÷ 매출액(파생)</t>
      </text>
    </comment>
    <comment ref="V10" authorId="0" shapeId="0">
      <text>
        <t>실측(계정 매핑 없음 — 모델값 직접) — 영업이익 ÷ 매출액(파생)</t>
      </text>
    </comment>
    <comment ref="W10" authorId="0" shapeId="0">
      <text>
        <t>실측(계정 매핑 없음 — 모델값 직접) — 영업이익 ÷ 매출액(파생)</t>
      </text>
    </comment>
    <comment ref="X10" authorId="0" shapeId="0">
      <text>
        <t>실측(계정 매핑 없음 — 모델값 직접) — 영업이익 ÷ 매출액(파생)</t>
      </text>
    </comment>
    <comment ref="Y10" authorId="0" shapeId="0">
      <text>
        <t>실측(계정 매핑 없음 — 모델값 직접) — 영업이익 ÷ 매출액(파생)</t>
      </text>
    </comment>
    <comment ref="AA10" authorId="0" shapeId="0">
      <text>
        <t>실측(계정 매핑 없음 — 모델값 직접) — 영업이익 ÷ 매출액(파생)</t>
      </text>
    </comment>
    <comment ref="AB10" authorId="0" shapeId="0">
      <text>
        <t>실측(계정 매핑 없음 — 모델값 직접) — 영업이익 ÷ 매출액(파생)</t>
      </text>
    </comment>
    <comment ref="AC10" authorId="0" shapeId="0">
      <text>
        <t>추정: 자회사 OPM 12.7% + 실측 차이 +1.7%p
[yoy]</t>
      </text>
    </comment>
    <comment ref="AD10" authorId="0" shapeId="0">
      <text>
        <t>추정: 자회사 OPM 12.7% + 실측 차이 +1.7%p
[yoy]</t>
      </text>
    </comment>
    <comment ref="AF10" authorId="0" shapeId="0">
      <text>
        <t>추정: 자회사 OPM 12.7% + 실측 차이 +1.7%p
[yoy]</t>
      </text>
    </comment>
    <comment ref="AG10" authorId="0" shapeId="0">
      <text>
        <t>추정: 자회사 OPM 12.6% + 실측 차이 +1.7%p
[yoy]</t>
      </text>
    </comment>
    <comment ref="AH10" authorId="0" shapeId="0">
      <text>
        <t>추정: 자회사 OPM 12.4% + 실측 차이 +1.7%p
[yoy]</t>
      </text>
    </comment>
    <comment ref="AI10" authorId="0" shapeId="0">
      <text>
        <t>추정: 자회사 OPM 12.4% + 실측 차이 +1.7%p
[yoy]</t>
      </text>
    </comment>
    <comment ref="AK10" authorId="0" shapeId="0">
      <text>
        <t>추정: 자회사 OPM 12.4% + 실측 차이 +1.7%p
[yoy]</t>
      </text>
    </comment>
    <comment ref="AL10" authorId="0" shapeId="0">
      <text>
        <t>추정: 자회사 OPM 12.6% + 실측 차이 +1.7%p
[yoy]</t>
      </text>
    </comment>
    <comment ref="AM10" authorId="0" shapeId="0">
      <text>
        <t>추정: 자회사 OPM 13.0% + 실측 차이 +1.7%p
[yoy]</t>
      </text>
    </comment>
    <comment ref="AN10" authorId="0" shapeId="0">
      <text>
        <t>추정: 자회사 OPM 13.1% + 실측 차이 +1.7%p
[yoy]</t>
      </text>
    </comment>
    <comment ref="AC11" authorId="0" shapeId="0">
      <text>
        <t>추정: 이자손익 = 이자발생자산 151288억 × 2.60% − 총차입금 29860억 × 4.06% (연율, CF 실측) ÷ 4; 환·평가손익 0 가정
[abs]</t>
      </text>
    </comment>
    <comment ref="AD11" authorId="0" shapeId="0">
      <text>
        <t>추정: 이자손익 = 이자발생자산 162554억 × 2.60% − 총차입금 29860억 × 4.06% (연율, CF 실측) ÷ 4; 환·평가손익 0 가정
[abs]</t>
      </text>
    </comment>
    <comment ref="AF11" authorId="0" shapeId="0">
      <text>
        <t>추정: 이자손익 = 이자발생자산 173853억 × 2.60% − 총차입금 29860억 × 4.06% (연율, CF 실측) ÷ 4; 환·평가손익 0 가정
[abs]</t>
      </text>
    </comment>
    <comment ref="AG11" authorId="0" shapeId="0">
      <text>
        <t>추정: 이자손익 = 이자발생자산 185133억 × 2.60% − 총차입금 29860억 × 4.06% (연율, CF 실측) ÷ 4; 환·평가손익 0 가정
[abs]</t>
      </text>
    </comment>
    <comment ref="AH11" authorId="0" shapeId="0">
      <text>
        <t>추정: 이자손익 = 이자발생자산 187689억 × 2.60% − 총차입금 29860억 × 4.06% (연율, CF 실측) ÷ 4; 환·평가손익 0 가정
[abs]</t>
      </text>
    </comment>
    <comment ref="AI11" authorId="0" shapeId="0">
      <text>
        <t>추정: 이자손익 = 이자발생자산 198684억 × 2.60% − 총차입금 29860억 × 4.06% (연율, CF 실측) ÷ 4; 환·평가손익 0 가정
[abs]</t>
      </text>
    </comment>
    <comment ref="AK11" authorId="0" shapeId="0">
      <text>
        <t>추정: 이자손익 = 이자발생자산 209611억 × 2.60% − 총차입금 29860억 × 4.06% (연율, CF 실측) ÷ 4; 환·평가손익 0 가정
[abs]</t>
      </text>
    </comment>
    <comment ref="AL11" authorId="0" shapeId="0">
      <text>
        <t>추정: 이자손익 = 이자발생자산 220450억 × 2.60% − 총차입금 29860억 × 4.06% (연율, CF 실측) ÷ 4; 환·평가손익 0 가정
[abs]</t>
      </text>
    </comment>
    <comment ref="AM11" authorId="0" shapeId="0">
      <text>
        <t>추정: 이자손익 = 이자발생자산 222702억 × 2.60% − 총차입금 29860억 × 4.06% (연율, CF 실측) ÷ 4; 환·평가손익 0 가정
[abs]</t>
      </text>
    </comment>
    <comment ref="AN11" authorId="0" shapeId="0">
      <text>
        <t>추정: 이자손익 = 이자발생자산 233703억 × 2.60% − 총차입금 29860억 × 4.06% (연율, CF 실측) ÷ 4; 환·평가손익 0 가정
[abs]</t>
      </text>
    </comment>
    <comment ref="AC12" authorId="0" shapeId="0">
      <text>
        <t>추정: 일회성 미가정 → 0
[abs]</t>
      </text>
    </comment>
    <comment ref="AD12" authorId="0" shapeId="0">
      <text>
        <t>추정: 일회성 미가정 → 0
[abs]</t>
      </text>
    </comment>
    <comment ref="AF12" authorId="0" shapeId="0">
      <text>
        <t>추정: 일회성 미가정 → 0
[abs]</t>
      </text>
    </comment>
    <comment ref="AG12" authorId="0" shapeId="0">
      <text>
        <t>추정: 일회성 미가정 → 0
[abs]</t>
      </text>
    </comment>
    <comment ref="AH12" authorId="0" shapeId="0">
      <text>
        <t>추정: 일회성 미가정 → 0
[abs]</t>
      </text>
    </comment>
    <comment ref="AI12" authorId="0" shapeId="0">
      <text>
        <t>추정: 일회성 미가정 → 0
[abs]</t>
      </text>
    </comment>
    <comment ref="AK12" authorId="0" shapeId="0">
      <text>
        <t>추정: 일회성 미가정 → 0
[abs]</t>
      </text>
    </comment>
    <comment ref="AL12" authorId="0" shapeId="0">
      <text>
        <t>추정: 일회성 미가정 → 0
[abs]</t>
      </text>
    </comment>
    <comment ref="AM12" authorId="0" shapeId="0">
      <text>
        <t>추정: 일회성 미가정 → 0
[abs]</t>
      </text>
    </comment>
    <comment ref="AN12" authorId="0" shapeId="0">
      <text>
        <t>추정: 일회성 미가정 → 0
[abs]</t>
      </text>
    </comment>
    <comment ref="AC13" authorId="0" shapeId="0">
      <text>
        <t>추정: 최근 4분기 중위
[abs]</t>
      </text>
    </comment>
    <comment ref="AD13" authorId="0" shapeId="0">
      <text>
        <t>추정: 최근 4분기 중위
[abs]</t>
      </text>
    </comment>
    <comment ref="AF13" authorId="0" shapeId="0">
      <text>
        <t>추정: 최근 4분기 중위
[abs]</t>
      </text>
    </comment>
    <comment ref="AG13" authorId="0" shapeId="0">
      <text>
        <t>추정: 최근 4분기 중위
[abs]</t>
      </text>
    </comment>
    <comment ref="AH13" authorId="0" shapeId="0">
      <text>
        <t>추정: 최근 4분기 중위
[abs]</t>
      </text>
    </comment>
    <comment ref="AI13" authorId="0" shapeId="0">
      <text>
        <t>추정: 최근 4분기 중위
[abs]</t>
      </text>
    </comment>
    <comment ref="AK13" authorId="0" shapeId="0">
      <text>
        <t>추정: 최근 4분기 중위
[abs]</t>
      </text>
    </comment>
    <comment ref="AL13" authorId="0" shapeId="0">
      <text>
        <t>추정: 최근 4분기 중위
[abs]</t>
      </text>
    </comment>
    <comment ref="AM13" authorId="0" shapeId="0">
      <text>
        <t>추정: 최근 4분기 중위
[abs]</t>
      </text>
    </comment>
    <comment ref="AN13" authorId="0" shapeId="0">
      <text>
        <t>추정: 최근 4분기 중위
[abs]</t>
      </text>
    </comment>
    <comment ref="AC14" authorId="0" shapeId="0">
      <text>
        <t>추정: 영업이익 + 금융손익 + 기타영업외 + 지분법 + 환관련(항등식)
[identity]</t>
      </text>
    </comment>
    <comment ref="AD14" authorId="0" shapeId="0">
      <text>
        <t>추정: 영업이익 + 금융손익 + 기타영업외 + 지분법 + 환관련(항등식)
[identity]</t>
      </text>
    </comment>
    <comment ref="AF14" authorId="0" shapeId="0">
      <text>
        <t>추정: 영업이익 + 금융손익 + 기타영업외 + 지분법 + 환관련(항등식)
[identity]</t>
      </text>
    </comment>
    <comment ref="AG14" authorId="0" shapeId="0">
      <text>
        <t>추정: 영업이익 + 금융손익 + 기타영업외 + 지분법 + 환관련(항등식)
[identity]</t>
      </text>
    </comment>
    <comment ref="AH14" authorId="0" shapeId="0">
      <text>
        <t>추정: 영업이익 + 금융손익 + 기타영업외 + 지분법 + 환관련(항등식)
[identity]</t>
      </text>
    </comment>
    <comment ref="AI14" authorId="0" shapeId="0">
      <text>
        <t>추정: 영업이익 + 금융손익 + 기타영업외 + 지분법 + 환관련(항등식)
[identity]</t>
      </text>
    </comment>
    <comment ref="AK14" authorId="0" shapeId="0">
      <text>
        <t>추정: 영업이익 + 금융손익 + 기타영업외 + 지분법 + 환관련(항등식)
[identity]</t>
      </text>
    </comment>
    <comment ref="AL14" authorId="0" shapeId="0">
      <text>
        <t>추정: 영업이익 + 금융손익 + 기타영업외 + 지분법 + 환관련(항등식)
[identity]</t>
      </text>
    </comment>
    <comment ref="AM14" authorId="0" shapeId="0">
      <text>
        <t>추정: 영업이익 + 금융손익 + 기타영업외 + 지분법 + 환관련(항등식)
[identity]</t>
      </text>
    </comment>
    <comment ref="AN14" authorId="0" shapeId="0">
      <text>
        <t>추정: 영업이익 + 금융손익 + 기타영업외 + 지분법 + 환관련(항등식)
[identity]</t>
      </text>
    </comment>
    <comment ref="AC15" authorId="0" shapeId="0">
      <text>
        <t>추정: max(세전, 0) × 세율 19.9%(최근 12분기 유효세율 19.9% → 5~27% 클립)
[ratio]</t>
      </text>
    </comment>
    <comment ref="AD15" authorId="0" shapeId="0">
      <text>
        <t>추정: max(세전, 0) × 세율 19.9%(최근 12분기 유효세율 19.9% → 5~27% 클립)
[ratio]</t>
      </text>
    </comment>
    <comment ref="AF15" authorId="0" shapeId="0">
      <text>
        <t>추정: max(세전, 0) × 세율 19.9%(최근 12분기 유효세율 19.9% → 5~27% 클립)
[ratio]</t>
      </text>
    </comment>
    <comment ref="AG15" authorId="0" shapeId="0">
      <text>
        <t>추정: max(세전, 0) × 세율 19.9%(최근 12분기 유효세율 19.9% → 5~27% 클립)
[ratio]</t>
      </text>
    </comment>
    <comment ref="AH15" authorId="0" shapeId="0">
      <text>
        <t>추정: max(세전, 0) × 세율 19.9%(최근 12분기 유효세율 19.9% → 5~27% 클립)
[ratio]</t>
      </text>
    </comment>
    <comment ref="AI15" authorId="0" shapeId="0">
      <text>
        <t>추정: max(세전, 0) × 세율 19.9%(최근 12분기 유효세율 19.9% → 5~27% 클립)
[ratio]</t>
      </text>
    </comment>
    <comment ref="AK15" authorId="0" shapeId="0">
      <text>
        <t>추정: max(세전, 0) × 세율 19.9%(최근 12분기 유효세율 19.9% → 5~27% 클립)
[ratio]</t>
      </text>
    </comment>
    <comment ref="AL15" authorId="0" shapeId="0">
      <text>
        <t>추정: max(세전, 0) × 세율 19.9%(최근 12분기 유효세율 19.9% → 5~27% 클립)
[ratio]</t>
      </text>
    </comment>
    <comment ref="AM15" authorId="0" shapeId="0">
      <text>
        <t>추정: max(세전, 0) × 세율 19.9%(최근 12분기 유효세율 19.9% → 5~27% 클립)
[ratio]</t>
      </text>
    </comment>
    <comment ref="AN15" authorId="0" shapeId="0">
      <text>
        <t>추정: max(세전, 0) × 세율 19.9%(최근 12분기 유효세율 19.9% → 5~27% 클립)
[ratio]</t>
      </text>
    </comment>
    <comment ref="AC16" authorId="0" shapeId="0">
      <text>
        <t>추정: 세전이익 − 법인세비용(항등식)
[identity]</t>
      </text>
    </comment>
    <comment ref="AD16" authorId="0" shapeId="0">
      <text>
        <t>추정: 세전이익 − 법인세비용(항등식)
[identity]</t>
      </text>
    </comment>
    <comment ref="AF16" authorId="0" shapeId="0">
      <text>
        <t>추정: 세전이익 − 법인세비용(항등식)
[identity]</t>
      </text>
    </comment>
    <comment ref="AG16" authorId="0" shapeId="0">
      <text>
        <t>추정: 세전이익 − 법인세비용(항등식)
[identity]</t>
      </text>
    </comment>
    <comment ref="AH16" authorId="0" shapeId="0">
      <text>
        <t>추정: 세전이익 − 법인세비용(항등식)
[identity]</t>
      </text>
    </comment>
    <comment ref="AI16" authorId="0" shapeId="0">
      <text>
        <t>추정: 세전이익 − 법인세비용(항등식)
[identity]</t>
      </text>
    </comment>
    <comment ref="AK16" authorId="0" shapeId="0">
      <text>
        <t>추정: 세전이익 − 법인세비용(항등식)
[identity]</t>
      </text>
    </comment>
    <comment ref="AL16" authorId="0" shapeId="0">
      <text>
        <t>추정: 세전이익 − 법인세비용(항등식)
[identity]</t>
      </text>
    </comment>
    <comment ref="AM16" authorId="0" shapeId="0">
      <text>
        <t>추정: 세전이익 − 법인세비용(항등식)
[identity]</t>
      </text>
    </comment>
    <comment ref="AN16" authorId="0" shapeId="0">
      <text>
        <t>추정: 세전이익 − 법인세비용(항등식)
[identity]</t>
      </text>
    </comment>
    <comment ref="V17" authorId="0" shapeId="0">
      <text>
        <t>실측(BS연결 시트에 (지배주주지분)당기순이익 2025.03 값 없음 — 모델값 직접) — fin.cons.is.(지배주주지분)당기순이익</t>
      </text>
    </comment>
    <comment ref="AA17" authorId="0" shapeId="0">
      <text>
        <t>실측(BS연결 시트에 (지배주주지분)당기순이익 2026.03 값 없음 — 모델값 직접) — fin.cons.is.(지배주주지분)당기순이익</t>
      </text>
    </comment>
    <comment ref="AC17" authorId="0" shapeId="0">
      <text>
        <t>추정: 당기순이익 × (1 − 비지배 비중 24.0%, 최근 8분기 실측)
[ratio]</t>
      </text>
    </comment>
    <comment ref="AD17" authorId="0" shapeId="0">
      <text>
        <t>추정: 당기순이익 × (1 − 비지배 비중 24.0%, 최근 8분기 실측)
[ratio]</t>
      </text>
    </comment>
    <comment ref="AF17" authorId="0" shapeId="0">
      <text>
        <t>추정: 당기순이익 × (1 − 비지배 비중 24.0%, 최근 8분기 실측)
[ratio]</t>
      </text>
    </comment>
    <comment ref="AG17" authorId="0" shapeId="0">
      <text>
        <t>추정: 당기순이익 × (1 − 비지배 비중 24.0%, 최근 8분기 실측)
[ratio]</t>
      </text>
    </comment>
    <comment ref="AH17" authorId="0" shapeId="0">
      <text>
        <t>추정: 당기순이익 × (1 − 비지배 비중 24.0%, 최근 8분기 실측)
[ratio]</t>
      </text>
    </comment>
    <comment ref="AI17" authorId="0" shapeId="0">
      <text>
        <t>추정: 당기순이익 × (1 − 비지배 비중 24.0%, 최근 8분기 실측)
[ratio]</t>
      </text>
    </comment>
    <comment ref="AK17" authorId="0" shapeId="0">
      <text>
        <t>추정: 당기순이익 × (1 − 비지배 비중 24.0%, 최근 8분기 실측)
[ratio]</t>
      </text>
    </comment>
    <comment ref="AL17" authorId="0" shapeId="0">
      <text>
        <t>추정: 당기순이익 × (1 − 비지배 비중 24.0%, 최근 8분기 실측)
[ratio]</t>
      </text>
    </comment>
    <comment ref="AM17" authorId="0" shapeId="0">
      <text>
        <t>추정: 당기순이익 × (1 − 비지배 비중 24.0%, 최근 8분기 실측)
[ratio]</t>
      </text>
    </comment>
    <comment ref="AN17" authorId="0" shapeId="0">
      <text>
        <t>추정: 당기순이익 × (1 − 비지배 비중 24.0%, 최근 8분기 실측)
[ratio]</t>
      </text>
    </comment>
    <comment ref="AC18" authorId="0" shapeId="0">
      <text>
        <t>추정: 부채총계 + 자본총계(항등식)
[identity]</t>
      </text>
    </comment>
    <comment ref="AD18" authorId="0" shapeId="0">
      <text>
        <t>추정: 부채총계 + 자본총계(항등식)
[identity]</t>
      </text>
    </comment>
    <comment ref="AF18" authorId="0" shapeId="0">
      <text>
        <t>추정: 부채총계 + 자본총계(항등식)
[identity]</t>
      </text>
    </comment>
    <comment ref="AG18" authorId="0" shapeId="0">
      <text>
        <t>추정: 부채총계 + 자본총계(항등식)
[identity]</t>
      </text>
    </comment>
    <comment ref="AH18" authorId="0" shapeId="0">
      <text>
        <t>추정: 부채총계 + 자본총계(항등식)
[identity]</t>
      </text>
    </comment>
    <comment ref="AI18" authorId="0" shapeId="0">
      <text>
        <t>추정: 부채총계 + 자본총계(항등식)
[identity]</t>
      </text>
    </comment>
    <comment ref="AK18" authorId="0" shapeId="0">
      <text>
        <t>추정: 부채총계 + 자본총계(항등식)
[identity]</t>
      </text>
    </comment>
    <comment ref="AL18" authorId="0" shapeId="0">
      <text>
        <t>추정: 부채총계 + 자본총계(항등식)
[identity]</t>
      </text>
    </comment>
    <comment ref="AM18" authorId="0" shapeId="0">
      <text>
        <t>추정: 부채총계 + 자본총계(항등식)
[identity]</t>
      </text>
    </comment>
    <comment ref="AN18" authorId="0" shapeId="0">
      <text>
        <t>추정: 부채총계 + 자본총계(항등식)
[identity]</t>
      </text>
    </comment>
    <comment ref="AC19" authorId="0" shapeId="0">
      <text>
        <t>추정: 마지막 실적 유지(가정)
[qoq]</t>
      </text>
    </comment>
    <comment ref="AD19" authorId="0" shapeId="0">
      <text>
        <t>추정: 마지막 실적 유지(가정)
[qoq]</t>
      </text>
    </comment>
    <comment ref="AF19" authorId="0" shapeId="0">
      <text>
        <t>추정: 마지막 실적 유지(가정)
[qoq]</t>
      </text>
    </comment>
    <comment ref="AG19" authorId="0" shapeId="0">
      <text>
        <t>추정: 마지막 실적 유지(가정)
[qoq]</t>
      </text>
    </comment>
    <comment ref="AH19" authorId="0" shapeId="0">
      <text>
        <t>추정: 마지막 실적 유지(가정)
[qoq]</t>
      </text>
    </comment>
    <comment ref="AI19" authorId="0" shapeId="0">
      <text>
        <t>추정: 마지막 실적 유지(가정)
[qoq]</t>
      </text>
    </comment>
    <comment ref="AK19" authorId="0" shapeId="0">
      <text>
        <t>추정: 마지막 실적 유지(가정)
[qoq]</t>
      </text>
    </comment>
    <comment ref="AL19" authorId="0" shapeId="0">
      <text>
        <t>추정: 마지막 실적 유지(가정)
[qoq]</t>
      </text>
    </comment>
    <comment ref="AM19" authorId="0" shapeId="0">
      <text>
        <t>추정: 마지막 실적 유지(가정)
[qoq]</t>
      </text>
    </comment>
    <comment ref="AN19" authorId="0" shapeId="0">
      <text>
        <t>추정: 마지막 실적 유지(가정)
[qoq]</t>
      </text>
    </comment>
    <comment ref="AC20" authorId="0" shapeId="0">
      <text>
        <t>추정: 전분기 + 당기순이익 − 배당(Q2 지급 가정)
[roll]</t>
      </text>
    </comment>
    <comment ref="AD20" authorId="0" shapeId="0">
      <text>
        <t>추정: 전분기 + 당기순이익 − 배당(Q2 지급 가정)
[roll]</t>
      </text>
    </comment>
    <comment ref="AF20" authorId="0" shapeId="0">
      <text>
        <t>추정: 전분기 + 당기순이익 − 배당(Q2 지급 가정)
[roll]</t>
      </text>
    </comment>
    <comment ref="AG20" authorId="0" shapeId="0">
      <text>
        <t>추정: 전분기 + 당기순이익 − 배당(Q2 지급 가정)
[roll]</t>
      </text>
    </comment>
    <comment ref="AH20" authorId="0" shapeId="0">
      <text>
        <t>추정: 전분기 + 당기순이익 − 배당(Q2 지급 가정)
[roll]</t>
      </text>
    </comment>
    <comment ref="AI20" authorId="0" shapeId="0">
      <text>
        <t>추정: 전분기 + 당기순이익 − 배당(Q2 지급 가정)
[roll]</t>
      </text>
    </comment>
    <comment ref="AK20" authorId="0" shapeId="0">
      <text>
        <t>추정: 전분기 + 당기순이익 − 배당(Q2 지급 가정)
[roll]</t>
      </text>
    </comment>
    <comment ref="AL20" authorId="0" shapeId="0">
      <text>
        <t>추정: 전분기 + 당기순이익 − 배당(Q2 지급 가정)
[roll]</t>
      </text>
    </comment>
    <comment ref="AM20" authorId="0" shapeId="0">
      <text>
        <t>추정: 전분기 + 당기순이익 − 배당(Q2 지급 가정)
[roll]</t>
      </text>
    </comment>
    <comment ref="AN20" authorId="0" shapeId="0">
      <text>
        <t>추정: 전분기 + 당기순이익 − 배당(Q2 지급 가정)
[roll]</t>
      </text>
    </comment>
    <comment ref="AC21" authorId="0" shapeId="0">
      <text>
        <t>추정: 전분기 + 지배주주순이익 − 배당
[roll]</t>
      </text>
    </comment>
    <comment ref="AD21" authorId="0" shapeId="0">
      <text>
        <t>추정: 전분기 + 지배주주순이익 − 배당
[roll]</t>
      </text>
    </comment>
    <comment ref="AF21" authorId="0" shapeId="0">
      <text>
        <t>추정: 전분기 + 지배주주순이익 − 배당
[roll]</t>
      </text>
    </comment>
    <comment ref="AG21" authorId="0" shapeId="0">
      <text>
        <t>추정: 전분기 + 지배주주순이익 − 배당
[roll]</t>
      </text>
    </comment>
    <comment ref="AH21" authorId="0" shapeId="0">
      <text>
        <t>추정: 전분기 + 지배주주순이익 − 배당
[roll]</t>
      </text>
    </comment>
    <comment ref="AI21" authorId="0" shapeId="0">
      <text>
        <t>추정: 전분기 + 지배주주순이익 − 배당
[roll]</t>
      </text>
    </comment>
    <comment ref="AK21" authorId="0" shapeId="0">
      <text>
        <t>추정: 전분기 + 지배주주순이익 − 배당
[roll]</t>
      </text>
    </comment>
    <comment ref="AL21" authorId="0" shapeId="0">
      <text>
        <t>추정: 전분기 + 지배주주순이익 − 배당
[roll]</t>
      </text>
    </comment>
    <comment ref="AM21" authorId="0" shapeId="0">
      <text>
        <t>추정: 전분기 + 지배주주순이익 − 배당
[roll]</t>
      </text>
    </comment>
    <comment ref="AN21" authorId="0" shapeId="0">
      <text>
        <t>추정: 전분기 + 지배주주순이익 − 배당
[roll]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− (순이익 − 배당): 순이익 = 순현금 증가 가정(CAPEX≈감가, 운전자본 불변)
[qoq]</t>
      </text>
    </comment>
    <comment ref="AD23" authorId="0" shapeId="0">
      <text>
        <t>추정: 전분기 − (순이익 − 배당): 순이익 = 순현금 증가 가정(CAPEX≈감가, 운전자본 불변)
[qoq]</t>
      </text>
    </comment>
    <comment ref="AF23" authorId="0" shapeId="0">
      <text>
        <t>추정: 전분기 − (순이익 − 배당): 순이익 = 순현금 증가 가정(CAPEX≈감가, 운전자본 불변)
[qoq]</t>
      </text>
    </comment>
    <comment ref="AG23" authorId="0" shapeId="0">
      <text>
        <t>추정: 전분기 − (순이익 − 배당): 순이익 = 순현금 증가 가정(CAPEX≈감가, 운전자본 불변)
[qoq]</t>
      </text>
    </comment>
    <comment ref="AH23" authorId="0" shapeId="0">
      <text>
        <t>추정: 전분기 − (순이익 − 배당): 순이익 = 순현금 증가 가정(CAPEX≈감가, 운전자본 불변)
[qoq]</t>
      </text>
    </comment>
    <comment ref="AI23" authorId="0" shapeId="0">
      <text>
        <t>추정: 전분기 − (순이익 − 배당): 순이익 = 순현금 증가 가정(CAPEX≈감가, 운전자본 불변)
[qoq]</t>
      </text>
    </comment>
    <comment ref="AK23" authorId="0" shapeId="0">
      <text>
        <t>추정: 전분기 − (순이익 − 배당): 순이익 = 순현금 증가 가정(CAPEX≈감가, 운전자본 불변)
[qoq]</t>
      </text>
    </comment>
    <comment ref="AL23" authorId="0" shapeId="0">
      <text>
        <t>추정: 전분기 − (순이익 − 배당): 순이익 = 순현금 증가 가정(CAPEX≈감가, 운전자본 불변)
[qoq]</t>
      </text>
    </comment>
    <comment ref="AM23" authorId="0" shapeId="0">
      <text>
        <t>추정: 전분기 − (순이익 − 배당): 순이익 = 순현금 증가 가정(CAPEX≈감가, 운전자본 불변)
[qoq]</t>
      </text>
    </comment>
    <comment ref="AN23" authorId="0" shapeId="0">
      <text>
        <t>추정: 전분기 − (순이익 − 배당): 순이익 = 순현금 증가 가정(CAPEX≈감가, 운전자본 불변)
[qoq]</t>
      </text>
    </comment>
    <comment ref="AC24" authorId="0" shapeId="0">
      <text>
        <t>추정: 전분기 + (순이익 − 배당) — 순차입금 롤과 같은 가정
[qoq]</t>
      </text>
    </comment>
    <comment ref="AD24" authorId="0" shapeId="0">
      <text>
        <t>추정: 전분기 + (순이익 − 배당) — 순차입금 롤과 같은 가정
[qoq]</t>
      </text>
    </comment>
    <comment ref="AF24" authorId="0" shapeId="0">
      <text>
        <t>추정: 전분기 + (순이익 − 배당) — 순차입금 롤과 같은 가정
[qoq]</t>
      </text>
    </comment>
    <comment ref="AG24" authorId="0" shapeId="0">
      <text>
        <t>추정: 전분기 + (순이익 − 배당) — 순차입금 롤과 같은 가정
[qoq]</t>
      </text>
    </comment>
    <comment ref="AH24" authorId="0" shapeId="0">
      <text>
        <t>추정: 전분기 + (순이익 − 배당) — 순차입금 롤과 같은 가정
[qoq]</t>
      </text>
    </comment>
    <comment ref="AI24" authorId="0" shapeId="0">
      <text>
        <t>추정: 전분기 + (순이익 − 배당) — 순차입금 롤과 같은 가정
[qoq]</t>
      </text>
    </comment>
    <comment ref="AK24" authorId="0" shapeId="0">
      <text>
        <t>추정: 전분기 + (순이익 − 배당) — 순차입금 롤과 같은 가정
[qoq]</t>
      </text>
    </comment>
    <comment ref="AL24" authorId="0" shapeId="0">
      <text>
        <t>추정: 전분기 + (순이익 − 배당) — 순차입금 롤과 같은 가정
[qoq]</t>
      </text>
    </comment>
    <comment ref="AM24" authorId="0" shapeId="0">
      <text>
        <t>추정: 전분기 + (순이익 − 배당) — 순차입금 롤과 같은 가정
[qoq]</t>
      </text>
    </comment>
    <comment ref="AN24" authorId="0" shapeId="0">
      <text>
        <t>추정: 전분기 + (순이익 − 배당) — 순차입금 롤과 같은 가정
[qoq]</t>
      </text>
    </comment>
    <comment ref="E27" authorId="0" shapeId="0">
      <text>
        <t>실측(계정 매핑 없음 — 모델값 직접) — fin.cons.cf.영업활동으로인한현금흐름</t>
      </text>
    </comment>
    <comment ref="G27" authorId="0" shapeId="0">
      <text>
        <t>실측(계정 매핑 없음 — 모델값 직접) — fin.cons.cf.영업활동으로인한현금흐름</t>
      </text>
    </comment>
    <comment ref="H27" authorId="0" shapeId="0">
      <text>
        <t>실측(계정 매핑 없음 — 모델값 직접) — fin.cons.cf.영업활동으로인한현금흐름</t>
      </text>
    </comment>
    <comment ref="I27" authorId="0" shapeId="0">
      <text>
        <t>실측(계정 매핑 없음 — 모델값 직접) — fin.cons.cf.영업활동으로인한현금흐름</t>
      </text>
    </comment>
    <comment ref="J27" authorId="0" shapeId="0">
      <text>
        <t>실측(계정 매핑 없음 — 모델값 직접) — fin.cons.cf.영업활동으로인한현금흐름</t>
      </text>
    </comment>
    <comment ref="L27" authorId="0" shapeId="0">
      <text>
        <t>실측(계정 매핑 없음 — 모델값 직접) — fin.cons.cf.영업활동으로인한현금흐름</t>
      </text>
    </comment>
    <comment ref="M27" authorId="0" shapeId="0">
      <text>
        <t>실측(계정 매핑 없음 — 모델값 직접) — fin.cons.cf.영업활동으로인한현금흐름</t>
      </text>
    </comment>
    <comment ref="N27" authorId="0" shapeId="0">
      <text>
        <t>실측(계정 매핑 없음 — 모델값 직접) — fin.cons.cf.영업활동으로인한현금흐름</t>
      </text>
    </comment>
    <comment ref="O27" authorId="0" shapeId="0">
      <text>
        <t>실측(계정 매핑 없음 — 모델값 직접) — fin.cons.cf.영업활동으로인한현금흐름</t>
      </text>
    </comment>
    <comment ref="Q27" authorId="0" shapeId="0">
      <text>
        <t>실측(계정 매핑 없음 — 모델값 직접) — fin.cons.cf.영업활동으로인한현금흐름</t>
      </text>
    </comment>
    <comment ref="R27" authorId="0" shapeId="0">
      <text>
        <t>실측(계정 매핑 없음 — 모델값 직접) — fin.cons.cf.영업활동으로인한현금흐름</t>
      </text>
    </comment>
    <comment ref="S27" authorId="0" shapeId="0">
      <text>
        <t>실측(계정 매핑 없음 — 모델값 직접) — fin.cons.cf.영업활동으로인한현금흐름</t>
      </text>
    </comment>
    <comment ref="T27" authorId="0" shapeId="0">
      <text>
        <t>실측(계정 매핑 없음 — 모델값 직접) — fin.cons.cf.영업활동으로인한현금흐름</t>
      </text>
    </comment>
    <comment ref="V27" authorId="0" shapeId="0">
      <text>
        <t>실측(계정 매핑 없음 — 모델값 직접) — fin.cons.cf.영업활동으로인한현금흐름</t>
      </text>
    </comment>
    <comment ref="W27" authorId="0" shapeId="0">
      <text>
        <t>실측(계정 매핑 없음 — 모델값 직접) — fin.cons.cf.영업활동으로인한현금흐름</t>
      </text>
    </comment>
    <comment ref="X27" authorId="0" shapeId="0">
      <text>
        <t>실측(계정 매핑 없음 — 모델값 직접) — fin.cons.cf.영업활동으로인한현금흐름</t>
      </text>
    </comment>
    <comment ref="Y27" authorId="0" shapeId="0">
      <text>
        <t>실측(계정 매핑 없음 — 모델값 직접) — fin.cons.cf.영업활동으로인한현금흐름</t>
      </text>
    </comment>
    <comment ref="AA27" authorId="0" shapeId="0">
      <text>
        <t>실측(계정 매핑 없음 — 모델값 직접) — fin.cons.cf.영업활동으로인한현금흐름</t>
      </text>
    </comment>
    <comment ref="AB27" authorId="0" shapeId="0">
      <text>
        <t>실측(계정 매핑 없음 — 모델값 직접) — fin.cons.cf.영업활동으로인한현금흐름</t>
      </text>
    </comment>
    <comment ref="E28" authorId="0" shapeId="0">
      <text>
        <t>실측(계정 매핑 없음 — 모델값 직접) — fin.shares.common_outstanding</t>
      </text>
    </comment>
    <comment ref="G28" authorId="0" shapeId="0">
      <text>
        <t>실측(계정 매핑 없음 — 모델값 직접) — fin.shares.common_outstanding</t>
      </text>
    </comment>
    <comment ref="H28" authorId="0" shapeId="0">
      <text>
        <t>실측(계정 매핑 없음 — 모델값 직접) — fin.shares.common_outstanding</t>
      </text>
    </comment>
    <comment ref="I28" authorId="0" shapeId="0">
      <text>
        <t>실측(계정 매핑 없음 — 모델값 직접) — fin.shares.common_outstanding</t>
      </text>
    </comment>
    <comment ref="J28" authorId="0" shapeId="0">
      <text>
        <t>실측(계정 매핑 없음 — 모델값 직접) — fin.shares.common_outstanding</t>
      </text>
    </comment>
    <comment ref="L28" authorId="0" shapeId="0">
      <text>
        <t>실측(계정 매핑 없음 — 모델값 직접) — fin.shares.common_outstanding</t>
      </text>
    </comment>
    <comment ref="M28" authorId="0" shapeId="0">
      <text>
        <t>실측(계정 매핑 없음 — 모델값 직접) — fin.shares.common_outstanding</t>
      </text>
    </comment>
    <comment ref="N28" authorId="0" shapeId="0">
      <text>
        <t>실측(계정 매핑 없음 — 모델값 직접) — fin.shares.common_outstanding</t>
      </text>
    </comment>
    <comment ref="O28" authorId="0" shapeId="0">
      <text>
        <t>실측(계정 매핑 없음 — 모델값 직접) — fin.shares.common_outstanding</t>
      </text>
    </comment>
    <comment ref="Q28" authorId="0" shapeId="0">
      <text>
        <t>실측(계정 매핑 없음 — 모델값 직접) — fin.shares.common_outstanding</t>
      </text>
    </comment>
    <comment ref="R28" authorId="0" shapeId="0">
      <text>
        <t>실측(계정 매핑 없음 — 모델값 직접) — fin.shares.common_outstanding</t>
      </text>
    </comment>
    <comment ref="S28" authorId="0" shapeId="0">
      <text>
        <t>실측(계정 매핑 없음 — 모델값 직접) — fin.shares.common_outstanding</t>
      </text>
    </comment>
    <comment ref="T28" authorId="0" shapeId="0">
      <text>
        <t>실측(계정 매핑 없음 — 모델값 직접) — fin.shares.common_outstanding</t>
      </text>
    </comment>
    <comment ref="V28" authorId="0" shapeId="0">
      <text>
        <t>실측(계정 매핑 없음 — 모델값 직접) — fin.shares.common_outstanding</t>
      </text>
    </comment>
    <comment ref="W28" authorId="0" shapeId="0">
      <text>
        <t>실측(계정 매핑 없음 — 모델값 직접) — fin.shares.common_outstanding</t>
      </text>
    </comment>
    <comment ref="X28" authorId="0" shapeId="0">
      <text>
        <t>실측(계정 매핑 없음 — 모델값 직접) — fin.shares.common_outstanding</t>
      </text>
    </comment>
    <comment ref="Y28" authorId="0" shapeId="0">
      <text>
        <t>실측(계정 매핑 없음 — 모델값 직접) — fin.shares.common_outstanding</t>
      </text>
    </comment>
    <comment ref="AA28" authorId="0" shapeId="0">
      <text>
        <t>실측(계정 매핑 없음 — 모델값 직접) — fin.shares.common_outstanding</t>
      </text>
    </comment>
    <comment ref="AB28" authorId="0" shapeId="0">
      <text>
        <t>실측(계정 매핑 없음 — 모델값 직접) — fin.shares.common_outstanding</t>
      </text>
    </comment>
    <comment ref="AC28" authorId="0" shapeId="0">
      <text>
        <t>추정: 유통주식수 유지 — fin.shares.common_outstanding(2026Q2)
[qoq]</t>
      </text>
    </comment>
    <comment ref="AD28" authorId="0" shapeId="0">
      <text>
        <t>추정: 유통주식수 유지 — fin.shares.common_outstanding(2026Q2)
[qoq]</t>
      </text>
    </comment>
    <comment ref="AF28" authorId="0" shapeId="0">
      <text>
        <t>추정: 유통주식수 유지 — fin.shares.common_outstanding(2026Q2)
[qoq]</t>
      </text>
    </comment>
    <comment ref="AG28" authorId="0" shapeId="0">
      <text>
        <t>추정: 유통주식수 유지 — fin.shares.common_outstanding(2026Q2)
[qoq]</t>
      </text>
    </comment>
    <comment ref="AH28" authorId="0" shapeId="0">
      <text>
        <t>추정: 유통주식수 유지 — fin.shares.common_outstanding(2026Q2)
[qoq]</t>
      </text>
    </comment>
    <comment ref="AI28" authorId="0" shapeId="0">
      <text>
        <t>추정: 유통주식수 유지 — fin.shares.common_outstanding(2026Q2)
[qoq]</t>
      </text>
    </comment>
    <comment ref="AK28" authorId="0" shapeId="0">
      <text>
        <t>추정: 유통주식수 유지 — fin.shares.common_outstanding(2026Q2)
[qoq]</t>
      </text>
    </comment>
    <comment ref="AL28" authorId="0" shapeId="0">
      <text>
        <t>추정: 유통주식수 유지 — fin.shares.common_outstanding(2026Q2)
[qoq]</t>
      </text>
    </comment>
    <comment ref="AM28" authorId="0" shapeId="0">
      <text>
        <t>추정: 유통주식수 유지 — fin.shares.common_outstanding(2026Q2)
[qoq]</t>
      </text>
    </comment>
    <comment ref="AN28" authorId="0" shapeId="0">
      <text>
        <t>추정: 유통주식수 유지 — fin.shares.common_outstanding(2026Q2)
[qoq]</t>
      </text>
    </comment>
    <comment ref="AC29" authorId="0" shapeId="0">
      <text>
        <t>추정: 지배주주순이익 ÷ 유통주식수
[per_share]</t>
      </text>
    </comment>
    <comment ref="AD29" authorId="0" shapeId="0">
      <text>
        <t>추정: 지배주주순이익 ÷ 유통주식수
[per_share]</t>
      </text>
    </comment>
    <comment ref="AF29" authorId="0" shapeId="0">
      <text>
        <t>추정: 지배주주순이익 ÷ 유통주식수
[per_share]</t>
      </text>
    </comment>
    <comment ref="AG29" authorId="0" shapeId="0">
      <text>
        <t>추정: 지배주주순이익 ÷ 유통주식수
[per_share]</t>
      </text>
    </comment>
    <comment ref="AH29" authorId="0" shapeId="0">
      <text>
        <t>추정: 지배주주순이익 ÷ 유통주식수
[per_share]</t>
      </text>
    </comment>
    <comment ref="AI29" authorId="0" shapeId="0">
      <text>
        <t>추정: 지배주주순이익 ÷ 유통주식수
[per_share]</t>
      </text>
    </comment>
    <comment ref="AK29" authorId="0" shapeId="0">
      <text>
        <t>추정: 지배주주순이익 ÷ 유통주식수
[per_share]</t>
      </text>
    </comment>
    <comment ref="AL29" authorId="0" shapeId="0">
      <text>
        <t>추정: 지배주주순이익 ÷ 유통주식수
[per_share]</t>
      </text>
    </comment>
    <comment ref="AM29" authorId="0" shapeId="0">
      <text>
        <t>추정: 지배주주순이익 ÷ 유통주식수
[per_share]</t>
      </text>
    </comment>
    <comment ref="AN29" authorId="0" shapeId="0">
      <text>
        <t>추정: 지배주주순이익 ÷ 유통주식수
[per_share]</t>
      </text>
    </comment>
    <comment ref="AC30" authorId="0" shapeId="0">
      <text>
        <t>추정: 지배주주지분 ÷ 유통주식수
[per_share]</t>
      </text>
    </comment>
    <comment ref="AD30" authorId="0" shapeId="0">
      <text>
        <t>추정: 지배주주지분 ÷ 유통주식수
[per_share]</t>
      </text>
    </comment>
    <comment ref="AF30" authorId="0" shapeId="0">
      <text>
        <t>추정: 지배주주지분 ÷ 유통주식수
[per_share]</t>
      </text>
    </comment>
    <comment ref="AG30" authorId="0" shapeId="0">
      <text>
        <t>추정: 지배주주지분 ÷ 유통주식수
[per_share]</t>
      </text>
    </comment>
    <comment ref="AH30" authorId="0" shapeId="0">
      <text>
        <t>추정: 지배주주지분 ÷ 유통주식수
[per_share]</t>
      </text>
    </comment>
    <comment ref="AI30" authorId="0" shapeId="0">
      <text>
        <t>추정: 지배주주지분 ÷ 유통주식수
[per_share]</t>
      </text>
    </comment>
    <comment ref="AK30" authorId="0" shapeId="0">
      <text>
        <t>추정: 지배주주지분 ÷ 유통주식수
[per_share]</t>
      </text>
    </comment>
    <comment ref="AL30" authorId="0" shapeId="0">
      <text>
        <t>추정: 지배주주지분 ÷ 유통주식수
[per_share]</t>
      </text>
    </comment>
    <comment ref="AM30" authorId="0" shapeId="0">
      <text>
        <t>추정: 지배주주지분 ÷ 유통주식수
[per_share]</t>
      </text>
    </comment>
    <comment ref="AN30" authorId="0" shapeId="0">
      <text>
        <t>추정: 지배주주지분 ÷ 유통주식수
[per_share]</t>
      </text>
    </comment>
    <comment ref="E31" authorId="0" shapeId="0">
      <text>
        <t>실측(계정 매핑 없음 — 모델값 직접) — fin.dividend.dps_common(연간, Q4 에 표기)</t>
      </text>
    </comment>
    <comment ref="F31" authorId="0" shapeId="0">
      <text>
        <t>연간(actual) — 분기 미완 연도, 모델 a 값 직접</t>
      </text>
    </comment>
    <comment ref="J31" authorId="0" shapeId="0">
      <text>
        <t>실측(계정 매핑 없음 — 모델값 직접) — fin.dividend.dps_common(연간, Q4 에 표기)</t>
      </text>
    </comment>
    <comment ref="O31" authorId="0" shapeId="0">
      <text>
        <t>실측(계정 매핑 없음 — 모델값 직접) — fin.dividend.dps_common(연간, Q4 에 표기)</t>
      </text>
    </comment>
    <comment ref="T31" authorId="0" shapeId="0">
      <text>
        <t>실측(계정 매핑 없음 — 모델값 직접) — fin.dividend.dps_common(연간, Q4 에 표기)</t>
      </text>
    </comment>
    <comment ref="Y31" authorId="0" shapeId="0">
      <text>
        <t>실측(계정 매핑 없음 — 모델값 직접) — fin.dividend.dps_common(연간, Q4 에 표기)</t>
      </text>
    </comment>
    <comment ref="AD31" authorId="0" shapeId="0">
      <text>
        <t>추정: 직전 결산 DPS 12,300원 유지
[yoy]</t>
      </text>
    </comment>
    <comment ref="AI31" authorId="0" shapeId="0">
      <text>
        <t>추정: 직전 결산 DPS 12,300원 유지
[yoy]</t>
      </text>
    </comment>
    <comment ref="AN31" authorId="0" shapeId="0">
      <text>
        <t>추정: 직전 결산 DPS 12,300원 유지
[yoy]</t>
      </text>
    </comment>
    <comment ref="M32" authorId="0" shapeId="0">
      <text>
        <t>실측(계정 매핑 없음 — 모델값 직접) — 토스 일봉 분기 평균 ÷ TTM EPS</t>
      </text>
    </comment>
    <comment ref="N32" authorId="0" shapeId="0">
      <text>
        <t>실측(계정 매핑 없음 — 모델값 직접) — 토스 일봉 분기 평균 ÷ TTM EPS</t>
      </text>
    </comment>
    <comment ref="O32" authorId="0" shapeId="0">
      <text>
        <t>실측(계정 매핑 없음 — 모델값 직접) — 토스 일봉 분기 평균 ÷ TTM EPS</t>
      </text>
    </comment>
    <comment ref="Q32" authorId="0" shapeId="0">
      <text>
        <t>실측(계정 매핑 없음 — 모델값 직접) — 토스 일봉 분기 평균 ÷ TTM EPS</t>
      </text>
    </comment>
    <comment ref="R32" authorId="0" shapeId="0">
      <text>
        <t>실측(계정 매핑 없음 — 모델값 직접) — 토스 일봉 분기 평균 ÷ TTM EPS</t>
      </text>
    </comment>
    <comment ref="S32" authorId="0" shapeId="0">
      <text>
        <t>실측(계정 매핑 없음 — 모델값 직접) — 토스 일봉 분기 평균 ÷ TTM EPS</t>
      </text>
    </comment>
    <comment ref="T32" authorId="0" shapeId="0">
      <text>
        <t>실측(계정 매핑 없음 — 모델값 직접) — 토스 일봉 분기 평균 ÷ TTM EPS</t>
      </text>
    </comment>
    <comment ref="V32" authorId="0" shapeId="0">
      <text>
        <t>실측(계정 매핑 없음 — 모델값 직접) — 토스 일봉 분기 평균 ÷ TTM EPS</t>
      </text>
    </comment>
    <comment ref="W32" authorId="0" shapeId="0">
      <text>
        <t>실측(계정 매핑 없음 — 모델값 직접) — 토스 일봉 분기 평균 ÷ TTM EPS</t>
      </text>
    </comment>
    <comment ref="X32" authorId="0" shapeId="0">
      <text>
        <t>실측(계정 매핑 없음 — 모델값 직접) — 토스 일봉 분기 평균 ÷ TTM EPS</t>
      </text>
    </comment>
    <comment ref="Y32" authorId="0" shapeId="0">
      <text>
        <t>실측(계정 매핑 없음 — 모델값 직접) — 토스 일봉 분기 평균 ÷ TTM EPS</t>
      </text>
    </comment>
    <comment ref="AA32" authorId="0" shapeId="0">
      <text>
        <t>실측(계정 매핑 없음 — 모델값 직접) — 토스 일봉 분기 평균 ÷ TTM EPS</t>
      </text>
    </comment>
    <comment ref="AB32" authorId="0" shapeId="0">
      <text>
        <t>실측(계정 매핑 없음 — 모델값 직접) — 토스 일봉 분기 평균 ÷ TTM EPS</t>
      </text>
    </comment>
    <comment ref="AC32" authorId="0" shapeId="0">
      <text>
        <t>추정: 현재 종가 ÷ TTM EPS(추정 포함)
[yoy]</t>
      </text>
    </comment>
    <comment ref="AD32" authorId="0" shapeId="0">
      <text>
        <t>추정: 현재 종가 ÷ TTM EPS(추정 포함)
[yoy]</t>
      </text>
    </comment>
    <comment ref="AF32" authorId="0" shapeId="0">
      <text>
        <t>추정: 현재 종가 ÷ TTM EPS(추정 포함)
[yoy]</t>
      </text>
    </comment>
    <comment ref="AG32" authorId="0" shapeId="0">
      <text>
        <t>추정: 현재 종가 ÷ TTM EPS(추정 포함)
[yoy]</t>
      </text>
    </comment>
    <comment ref="AH32" authorId="0" shapeId="0">
      <text>
        <t>추정: 현재 종가 ÷ TTM EPS(추정 포함)
[yoy]</t>
      </text>
    </comment>
    <comment ref="AI32" authorId="0" shapeId="0">
      <text>
        <t>추정: 현재 종가 ÷ TTM EPS(추정 포함)
[yoy]</t>
      </text>
    </comment>
    <comment ref="AK32" authorId="0" shapeId="0">
      <text>
        <t>추정: 현재 종가 ÷ TTM EPS(추정 포함)
[yoy]</t>
      </text>
    </comment>
    <comment ref="AL32" authorId="0" shapeId="0">
      <text>
        <t>추정: 현재 종가 ÷ TTM EPS(추정 포함)
[yoy]</t>
      </text>
    </comment>
    <comment ref="AM32" authorId="0" shapeId="0">
      <text>
        <t>추정: 현재 종가 ÷ TTM EPS(추정 포함)
[yoy]</t>
      </text>
    </comment>
    <comment ref="AN32" authorId="0" shapeId="0">
      <text>
        <t>추정: 현재 종가 ÷ TTM EPS(추정 포함)
[yoy]</t>
      </text>
    </comment>
    <comment ref="E33" authorId="0" shapeId="0">
      <text>
        <t>실측(계정 매핑 없음 — 모델값 직접) — 토스 일봉 분기 평균 ÷ BPS</t>
      </text>
    </comment>
    <comment ref="F33" authorId="0" shapeId="0">
      <text>
        <t>연간(actual) — 분기 미완 연도, 모델 a 값 직접</t>
      </text>
    </comment>
    <comment ref="G33" authorId="0" shapeId="0">
      <text>
        <t>실측(계정 매핑 없음 — 모델값 직접) — 토스 일봉 분기 평균 ÷ BPS</t>
      </text>
    </comment>
    <comment ref="H33" authorId="0" shapeId="0">
      <text>
        <t>실측(계정 매핑 없음 — 모델값 직접) — 토스 일봉 분기 평균 ÷ BPS</t>
      </text>
    </comment>
    <comment ref="I33" authorId="0" shapeId="0">
      <text>
        <t>실측(계정 매핑 없음 — 모델값 직접) — 토스 일봉 분기 평균 ÷ BPS</t>
      </text>
    </comment>
    <comment ref="J33" authorId="0" shapeId="0">
      <text>
        <t>실측(계정 매핑 없음 — 모델값 직접) — 토스 일봉 분기 평균 ÷ BPS</t>
      </text>
    </comment>
    <comment ref="L33" authorId="0" shapeId="0">
      <text>
        <t>실측(계정 매핑 없음 — 모델값 직접) — 토스 일봉 분기 평균 ÷ BPS</t>
      </text>
    </comment>
    <comment ref="M33" authorId="0" shapeId="0">
      <text>
        <t>실측(계정 매핑 없음 — 모델값 직접) — 토스 일봉 분기 평균 ÷ BPS</t>
      </text>
    </comment>
    <comment ref="N33" authorId="0" shapeId="0">
      <text>
        <t>실측(계정 매핑 없음 — 모델값 직접) — 토스 일봉 분기 평균 ÷ BPS</t>
      </text>
    </comment>
    <comment ref="O33" authorId="0" shapeId="0">
      <text>
        <t>실측(계정 매핑 없음 — 모델값 직접) — 토스 일봉 분기 평균 ÷ BPS</t>
      </text>
    </comment>
    <comment ref="Q33" authorId="0" shapeId="0">
      <text>
        <t>실측(계정 매핑 없음 — 모델값 직접) — 토스 일봉 분기 평균 ÷ BPS</t>
      </text>
    </comment>
    <comment ref="R33" authorId="0" shapeId="0">
      <text>
        <t>실측(계정 매핑 없음 — 모델값 직접) — 토스 일봉 분기 평균 ÷ BPS</t>
      </text>
    </comment>
    <comment ref="S33" authorId="0" shapeId="0">
      <text>
        <t>실측(계정 매핑 없음 — 모델값 직접) — 토스 일봉 분기 평균 ÷ BPS</t>
      </text>
    </comment>
    <comment ref="T33" authorId="0" shapeId="0">
      <text>
        <t>실측(계정 매핑 없음 — 모델값 직접) — 토스 일봉 분기 평균 ÷ BPS</t>
      </text>
    </comment>
    <comment ref="V33" authorId="0" shapeId="0">
      <text>
        <t>실측(계정 매핑 없음 — 모델값 직접) — 토스 일봉 분기 평균 ÷ BPS</t>
      </text>
    </comment>
    <comment ref="W33" authorId="0" shapeId="0">
      <text>
        <t>실측(계정 매핑 없음 — 모델값 직접) — 토스 일봉 분기 평균 ÷ BPS</t>
      </text>
    </comment>
    <comment ref="X33" authorId="0" shapeId="0">
      <text>
        <t>실측(계정 매핑 없음 — 모델값 직접) — 토스 일봉 분기 평균 ÷ BPS</t>
      </text>
    </comment>
    <comment ref="Y33" authorId="0" shapeId="0">
      <text>
        <t>실측(계정 매핑 없음 — 모델값 직접) — 토스 일봉 분기 평균 ÷ BPS</t>
      </text>
    </comment>
    <comment ref="AA33" authorId="0" shapeId="0">
      <text>
        <t>실측(계정 매핑 없음 — 모델값 직접) — 토스 일봉 분기 평균 ÷ BPS</t>
      </text>
    </comment>
    <comment ref="AB33" authorId="0" shapeId="0">
      <text>
        <t>실측(계정 매핑 없음 — 모델값 직접) — 토스 일봉 분기 평균 ÷ BPS</t>
      </text>
    </comment>
    <comment ref="AC33" authorId="0" shapeId="0">
      <text>
        <t>추정: 현재 종가 ÷ BPS(추정 포함)
[yoy]</t>
      </text>
    </comment>
    <comment ref="AD33" authorId="0" shapeId="0">
      <text>
        <t>추정: 현재 종가 ÷ BPS(추정 포함)
[yoy]</t>
      </text>
    </comment>
    <comment ref="AF33" authorId="0" shapeId="0">
      <text>
        <t>추정: 현재 종가 ÷ BPS(추정 포함)
[yoy]</t>
      </text>
    </comment>
    <comment ref="AG33" authorId="0" shapeId="0">
      <text>
        <t>추정: 현재 종가 ÷ BPS(추정 포함)
[yoy]</t>
      </text>
    </comment>
    <comment ref="AH33" authorId="0" shapeId="0">
      <text>
        <t>추정: 현재 종가 ÷ BPS(추정 포함)
[yoy]</t>
      </text>
    </comment>
    <comment ref="AI33" authorId="0" shapeId="0">
      <text>
        <t>추정: 현재 종가 ÷ BPS(추정 포함)
[yoy]</t>
      </text>
    </comment>
    <comment ref="AK33" authorId="0" shapeId="0">
      <text>
        <t>추정: 현재 종가 ÷ BPS(추정 포함)
[yoy]</t>
      </text>
    </comment>
    <comment ref="AL33" authorId="0" shapeId="0">
      <text>
        <t>추정: 현재 종가 ÷ BPS(추정 포함)
[yoy]</t>
      </text>
    </comment>
    <comment ref="AM33" authorId="0" shapeId="0">
      <text>
        <t>추정: 현재 종가 ÷ BPS(추정 포함)
[yoy]</t>
      </text>
    </comment>
    <comment ref="AN33" authorId="0" shapeId="0">
      <text>
        <t>추정: 현재 종가 ÷ BPS(추정 포함)
[yoy]</t>
      </text>
    </comment>
    <comment ref="E34" authorId="0" shapeId="0">
      <text>
        <t>실측(계정 매핑 없음 — 모델값 직접) — = 매출액(부문 미분리)</t>
      </text>
    </comment>
    <comment ref="G34" authorId="0" shapeId="0">
      <text>
        <t>실측(계정 매핑 없음 — 모델값 직접) — = 매출액(부문 미분리)</t>
      </text>
    </comment>
    <comment ref="H34" authorId="0" shapeId="0">
      <text>
        <t>실측(계정 매핑 없음 — 모델값 직접) — = 매출액(부문 미분리)</t>
      </text>
    </comment>
    <comment ref="I34" authorId="0" shapeId="0">
      <text>
        <t>실측(계정 매핑 없음 — 모델값 직접) — = 매출액(부문 미분리)</t>
      </text>
    </comment>
    <comment ref="J34" authorId="0" shapeId="0">
      <text>
        <t>실측(계정 매핑 없음 — 모델값 직접) — = 매출액(부문 미분리)</t>
      </text>
    </comment>
    <comment ref="L34" authorId="0" shapeId="0">
      <text>
        <t>실측(계정 매핑 없음 — 모델값 직접) — = 매출액(부문 미분리)</t>
      </text>
    </comment>
    <comment ref="M34" authorId="0" shapeId="0">
      <text>
        <t>실측(계정 매핑 없음 — 모델값 직접) — = 매출액(부문 미분리)</t>
      </text>
    </comment>
    <comment ref="N34" authorId="0" shapeId="0">
      <text>
        <t>실측(계정 매핑 없음 — 모델값 직접) — = 매출액(부문 미분리)</t>
      </text>
    </comment>
    <comment ref="O34" authorId="0" shapeId="0">
      <text>
        <t>실측(계정 매핑 없음 — 모델값 직접) — = 매출액(부문 미분리)</t>
      </text>
    </comment>
    <comment ref="Q34" authorId="0" shapeId="0">
      <text>
        <t>실측(계정 매핑 없음 — 모델값 직접) — = 매출액(부문 미분리)</t>
      </text>
    </comment>
    <comment ref="R34" authorId="0" shapeId="0">
      <text>
        <t>실측(계정 매핑 없음 — 모델값 직접) — = 매출액(부문 미분리)</t>
      </text>
    </comment>
    <comment ref="S34" authorId="0" shapeId="0">
      <text>
        <t>실측(계정 매핑 없음 — 모델값 직접) — = 매출액(부문 미분리)</t>
      </text>
    </comment>
    <comment ref="T34" authorId="0" shapeId="0">
      <text>
        <t>실측(계정 매핑 없음 — 모델값 직접) — = 매출액(부문 미분리)</t>
      </text>
    </comment>
    <comment ref="V34" authorId="0" shapeId="0">
      <text>
        <t>실측(계정 매핑 없음 — 모델값 직접) — = 매출액(부문 미분리)</t>
      </text>
    </comment>
    <comment ref="W34" authorId="0" shapeId="0">
      <text>
        <t>실측(계정 매핑 없음 — 모델값 직접) — = 매출액(부문 미분리)</t>
      </text>
    </comment>
    <comment ref="X34" authorId="0" shapeId="0">
      <text>
        <t>실측(계정 매핑 없음 — 모델값 직접) — = 매출액(부문 미분리)</t>
      </text>
    </comment>
    <comment ref="Y34" authorId="0" shapeId="0">
      <text>
        <t>실측(계정 매핑 없음 — 모델값 직접) — = 매출액(부문 미분리)</t>
      </text>
    </comment>
    <comment ref="AA34" authorId="0" shapeId="0">
      <text>
        <t>실측(계정 매핑 없음 — 모델값 직접) — = 매출액(부문 미분리)</t>
      </text>
    </comment>
    <comment ref="AB34" authorId="0" shapeId="0">
      <text>
        <t>실측(계정 매핑 없음 — 모델값 직접) — = 매출액(부문 미분리)</t>
      </text>
    </comment>
    <comment ref="AC34" authorId="0" shapeId="0">
      <text>
        <t>추정: = 매출액 추정(부문 미분리)
[ratio]</t>
      </text>
    </comment>
    <comment ref="AD34" authorId="0" shapeId="0">
      <text>
        <t>추정: = 매출액 추정(부문 미분리)
[ratio]</t>
      </text>
    </comment>
    <comment ref="AF34" authorId="0" shapeId="0">
      <text>
        <t>추정: = 매출액 추정(부문 미분리)
[ratio]</t>
      </text>
    </comment>
    <comment ref="AG34" authorId="0" shapeId="0">
      <text>
        <t>추정: = 매출액 추정(부문 미분리)
[ratio]</t>
      </text>
    </comment>
    <comment ref="AH34" authorId="0" shapeId="0">
      <text>
        <t>추정: = 매출액 추정(부문 미분리)
[ratio]</t>
      </text>
    </comment>
    <comment ref="AI34" authorId="0" shapeId="0">
      <text>
        <t>추정: = 매출액 추정(부문 미분리)
[ratio]</t>
      </text>
    </comment>
    <comment ref="AK34" authorId="0" shapeId="0">
      <text>
        <t>추정: = 매출액 추정(부문 미분리)
[ratio]</t>
      </text>
    </comment>
    <comment ref="AL34" authorId="0" shapeId="0">
      <text>
        <t>추정: = 매출액 추정(부문 미분리)
[ratio]</t>
      </text>
    </comment>
    <comment ref="AM34" authorId="0" shapeId="0">
      <text>
        <t>추정: = 매출액 추정(부문 미분리)
[ratio]</t>
      </text>
    </comment>
    <comment ref="AN34" authorId="0" shapeId="0">
      <text>
        <t>추정: = 매출액 추정(부문 미분리)
[ratio]</t>
      </text>
    </comment>
    <comment ref="E35" authorId="0" shapeId="0">
      <text>
        <t>실측(계정 매핑 없음 — 모델값 직접) — = 영업이익(부문 미분리)</t>
      </text>
    </comment>
    <comment ref="G35" authorId="0" shapeId="0">
      <text>
        <t>실측(계정 매핑 없음 — 모델값 직접) — = 영업이익(부문 미분리)</t>
      </text>
    </comment>
    <comment ref="H35" authorId="0" shapeId="0">
      <text>
        <t>실측(계정 매핑 없음 — 모델값 직접) — = 영업이익(부문 미분리)</t>
      </text>
    </comment>
    <comment ref="I35" authorId="0" shapeId="0">
      <text>
        <t>실측(계정 매핑 없음 — 모델값 직접) — = 영업이익(부문 미분리)</t>
      </text>
    </comment>
    <comment ref="J35" authorId="0" shapeId="0">
      <text>
        <t>실측(계정 매핑 없음 — 모델값 직접) — = 영업이익(부문 미분리)</t>
      </text>
    </comment>
    <comment ref="L35" authorId="0" shapeId="0">
      <text>
        <t>실측(계정 매핑 없음 — 모델값 직접) — = 영업이익(부문 미분리)</t>
      </text>
    </comment>
    <comment ref="M35" authorId="0" shapeId="0">
      <text>
        <t>실측(계정 매핑 없음 — 모델값 직접) — = 영업이익(부문 미분리)</t>
      </text>
    </comment>
    <comment ref="N35" authorId="0" shapeId="0">
      <text>
        <t>실측(계정 매핑 없음 — 모델값 직접) — = 영업이익(부문 미분리)</t>
      </text>
    </comment>
    <comment ref="O35" authorId="0" shapeId="0">
      <text>
        <t>실측(계정 매핑 없음 — 모델값 직접) — = 영업이익(부문 미분리)</t>
      </text>
    </comment>
    <comment ref="Q35" authorId="0" shapeId="0">
      <text>
        <t>실측(계정 매핑 없음 — 모델값 직접) — = 영업이익(부문 미분리)</t>
      </text>
    </comment>
    <comment ref="R35" authorId="0" shapeId="0">
      <text>
        <t>실측(계정 매핑 없음 — 모델값 직접) — = 영업이익(부문 미분리)</t>
      </text>
    </comment>
    <comment ref="S35" authorId="0" shapeId="0">
      <text>
        <t>실측(계정 매핑 없음 — 모델값 직접) — = 영업이익(부문 미분리)</t>
      </text>
    </comment>
    <comment ref="T35" authorId="0" shapeId="0">
      <text>
        <t>실측(계정 매핑 없음 — 모델값 직접) — = 영업이익(부문 미분리)</t>
      </text>
    </comment>
    <comment ref="V35" authorId="0" shapeId="0">
      <text>
        <t>실측(계정 매핑 없음 — 모델값 직접) — = 영업이익(부문 미분리)</t>
      </text>
    </comment>
    <comment ref="W35" authorId="0" shapeId="0">
      <text>
        <t>실측(계정 매핑 없음 — 모델값 직접) — = 영업이익(부문 미분리)</t>
      </text>
    </comment>
    <comment ref="X35" authorId="0" shapeId="0">
      <text>
        <t>실측(계정 매핑 없음 — 모델값 직접) — = 영업이익(부문 미분리)</t>
      </text>
    </comment>
    <comment ref="Y35" authorId="0" shapeId="0">
      <text>
        <t>실측(계정 매핑 없음 — 모델값 직접) — = 영업이익(부문 미분리)</t>
      </text>
    </comment>
    <comment ref="AA35" authorId="0" shapeId="0">
      <text>
        <t>실측(계정 매핑 없음 — 모델값 직접) — = 영업이익(부문 미분리)</t>
      </text>
    </comment>
    <comment ref="AB35" authorId="0" shapeId="0">
      <text>
        <t>실측(계정 매핑 없음 — 모델값 직접) — = 영업이익(부문 미분리)</t>
      </text>
    </comment>
    <comment ref="AC35" authorId="0" shapeId="0">
      <text>
        <t>추정: = 매출액 × OPM(부문 미분리)
[ratio]</t>
      </text>
    </comment>
    <comment ref="AD35" authorId="0" shapeId="0">
      <text>
        <t>추정: = 매출액 × OPM(부문 미분리)
[ratio]</t>
      </text>
    </comment>
    <comment ref="AF35" authorId="0" shapeId="0">
      <text>
        <t>추정: = 매출액 × OPM(부문 미분리)
[ratio]</t>
      </text>
    </comment>
    <comment ref="AG35" authorId="0" shapeId="0">
      <text>
        <t>추정: = 매출액 × OPM(부문 미분리)
[ratio]</t>
      </text>
    </comment>
    <comment ref="AH35" authorId="0" shapeId="0">
      <text>
        <t>추정: = 매출액 × OPM(부문 미분리)
[ratio]</t>
      </text>
    </comment>
    <comment ref="AI35" authorId="0" shapeId="0">
      <text>
        <t>추정: = 매출액 × OPM(부문 미분리)
[ratio]</t>
      </text>
    </comment>
    <comment ref="AK35" authorId="0" shapeId="0">
      <text>
        <t>추정: = 매출액 × OPM(부문 미분리)
[ratio]</t>
      </text>
    </comment>
    <comment ref="AL35" authorId="0" shapeId="0">
      <text>
        <t>추정: = 매출액 × OPM(부문 미분리)
[ratio]</t>
      </text>
    </comment>
    <comment ref="AM35" authorId="0" shapeId="0">
      <text>
        <t>추정: = 매출액 × OPM(부문 미분리)
[ratio]</t>
      </text>
    </comment>
    <comment ref="AN35" authorId="0" shapeId="0">
      <text>
        <t>추정: = 매출액 × OPM(부문 미분리)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HD한국조선해양(009540) 실적 모델 — ARGUS 한국조선</t>
        </is>
      </c>
    </row>
    <row r="2">
      <c r="A2" t="inlineStr">
        <is>
          <t>기준 분기 2026Q2 · 마지막 실적 2026Q2 · 생성 2026-09-30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assets/models/009540.json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지배주주순이익 face 누락 분기는 당기순이익 − 비지배 로 파생: 2025Q1, 2026Q1 / 감가상각비가 face·CF 에 없음(주석 미파싱) → EBITDA·EV/EBITDA 미산출</t>
        </is>
      </c>
    </row>
    <row r="22">
      <c r="A22" t="inlineStr">
        <is>
          <t>백테스트: {"freeze": "2025Q2", "horizon": 4, "revenue_wape_pct": 9.8, "op_wape_pct": 34.5, "n": 4, "note": "단일 회사 4분기 — 통계 아님", "driver_at_freeze": "subsidiary_yard_scaled",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 미사용. 고객 가중치(suppliers.json 언급 비중)와 합병 체인링크는 현재 지식", "detail": [{"q": "2025Q3", "rev_pred": 74060.53, "rev_act": 75814.36, "op_pred": 8350.88, "op_act": 10537.75}, {"q": "2025Q4", "rev_pred": 74060.53, "rev_act": 81516.57, "op_pred": 8350.88, "op_act": 10379.19}, {"q": "2026Q1", "rev_pred": 73789.18, "rev_act": 81408.9, "op_pred": 8320.27, "op_act": 13559.7}, {"q": "2026Q2", "rev_pred": 73924.83, "rev_act": 89270.46, "op_pred": 8335.59, "op_act": 16451.46}]}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1419.72</v>
      </c>
      <c r="AD6" s="16" t="n">
        <v>1353.36</v>
      </c>
      <c r="AE6" s="17" t="n">
        <v>1461.87</v>
      </c>
      <c r="AF6" s="16" t="n">
        <v>1353.36</v>
      </c>
      <c r="AG6" s="16" t="n">
        <v>1353.36</v>
      </c>
      <c r="AH6" s="16" t="n">
        <v>1353.36</v>
      </c>
      <c r="AI6" s="16" t="n">
        <v>1353.36</v>
      </c>
      <c r="AJ6" s="11" t="n"/>
      <c r="AK6" s="16" t="n">
        <v>1353.36</v>
      </c>
      <c r="AL6" s="16" t="n">
        <v>1353.36</v>
      </c>
      <c r="AM6" s="16" t="n">
        <v>1353.36</v>
      </c>
      <c r="AN6" s="16" t="n">
        <v>1353.36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1353.36</v>
      </c>
      <c r="AD7" s="16" t="n">
        <v>1353.36</v>
      </c>
      <c r="AE7" s="17" t="n">
        <v>1353.36</v>
      </c>
      <c r="AF7" s="16" t="n">
        <v>1353.36</v>
      </c>
      <c r="AG7" s="16" t="n">
        <v>1353.36</v>
      </c>
      <c r="AH7" s="16" t="n">
        <v>1353.36</v>
      </c>
      <c r="AI7" s="16" t="n">
        <v>1353.36</v>
      </c>
      <c r="AJ7" s="11" t="n"/>
      <c r="AK7" s="16" t="n">
        <v>1353.36</v>
      </c>
      <c r="AL7" s="16" t="n">
        <v>1353.36</v>
      </c>
      <c r="AM7" s="16" t="n">
        <v>1353.36</v>
      </c>
      <c r="AN7" s="16" t="n">
        <v>1353.36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890.83</v>
      </c>
      <c r="AD8" s="16" t="n">
        <v>861.35</v>
      </c>
      <c r="AE8" s="17" t="n">
        <v>922.02</v>
      </c>
      <c r="AF8" s="16" t="n">
        <v>861.35</v>
      </c>
      <c r="AG8" s="16" t="n">
        <v>861.35</v>
      </c>
      <c r="AH8" s="16" t="n">
        <v>861.35</v>
      </c>
      <c r="AI8" s="16" t="n">
        <v>861.35</v>
      </c>
      <c r="AJ8" s="11" t="n"/>
      <c r="AK8" s="16" t="n">
        <v>861.35</v>
      </c>
      <c r="AL8" s="16" t="n">
        <v>861.35</v>
      </c>
      <c r="AM8" s="16" t="n">
        <v>861.35</v>
      </c>
      <c r="AN8" s="16" t="n">
        <v>861.35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861.35</v>
      </c>
      <c r="AD9" s="16" t="n">
        <v>861.35</v>
      </c>
      <c r="AE9" s="17" t="n">
        <v>861.35</v>
      </c>
      <c r="AF9" s="16" t="n">
        <v>861.35</v>
      </c>
      <c r="AG9" s="16" t="n">
        <v>861.35</v>
      </c>
      <c r="AH9" s="16" t="n">
        <v>861.35</v>
      </c>
      <c r="AI9" s="16" t="n">
        <v>861.35</v>
      </c>
      <c r="AJ9" s="11" t="n"/>
      <c r="AK9" s="16" t="n">
        <v>861.35</v>
      </c>
      <c r="AL9" s="16" t="n">
        <v>861.35</v>
      </c>
      <c r="AM9" s="16" t="n">
        <v>861.35</v>
      </c>
      <c r="AN9" s="16" t="n">
        <v>861.35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1633.4</v>
      </c>
      <c r="AD10" s="16" t="n">
        <v>1536.74</v>
      </c>
      <c r="AE10" s="17" t="n">
        <v>1697.39</v>
      </c>
      <c r="AF10" s="16" t="n">
        <v>1536.74</v>
      </c>
      <c r="AG10" s="16" t="n">
        <v>1536.74</v>
      </c>
      <c r="AH10" s="16" t="n">
        <v>1536.74</v>
      </c>
      <c r="AI10" s="16" t="n">
        <v>1536.74</v>
      </c>
      <c r="AJ10" s="11" t="n"/>
      <c r="AK10" s="16" t="n">
        <v>1536.74</v>
      </c>
      <c r="AL10" s="16" t="n">
        <v>1536.74</v>
      </c>
      <c r="AM10" s="16" t="n">
        <v>1536.74</v>
      </c>
      <c r="AN10" s="16" t="n">
        <v>1536.74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1536.74</v>
      </c>
      <c r="AD11" s="16" t="n">
        <v>1536.74</v>
      </c>
      <c r="AE11" s="17" t="n">
        <v>1536.74</v>
      </c>
      <c r="AF11" s="16" t="n">
        <v>1536.74</v>
      </c>
      <c r="AG11" s="16" t="n">
        <v>1536.74</v>
      </c>
      <c r="AH11" s="16" t="n">
        <v>1536.74</v>
      </c>
      <c r="AI11" s="16" t="n">
        <v>1536.74</v>
      </c>
      <c r="AJ11" s="11" t="n"/>
      <c r="AK11" s="16" t="n">
        <v>1536.74</v>
      </c>
      <c r="AL11" s="16" t="n">
        <v>1536.74</v>
      </c>
      <c r="AM11" s="16" t="n">
        <v>1536.74</v>
      </c>
      <c r="AN11" s="16" t="n">
        <v>1536.74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210.55</v>
      </c>
      <c r="AD12" s="16" t="n">
        <v>201.89</v>
      </c>
      <c r="AE12" s="17" t="n">
        <v>214.29</v>
      </c>
      <c r="AF12" s="16" t="n">
        <v>201.89</v>
      </c>
      <c r="AG12" s="16" t="n">
        <v>201.89</v>
      </c>
      <c r="AH12" s="16" t="n">
        <v>201.89</v>
      </c>
      <c r="AI12" s="16" t="n">
        <v>201.89</v>
      </c>
      <c r="AJ12" s="11" t="n"/>
      <c r="AK12" s="16" t="n">
        <v>201.89</v>
      </c>
      <c r="AL12" s="16" t="n">
        <v>201.89</v>
      </c>
      <c r="AM12" s="16" t="n">
        <v>201.89</v>
      </c>
      <c r="AN12" s="16" t="n">
        <v>201.89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201.89</v>
      </c>
      <c r="AD13" s="16" t="n">
        <v>201.89</v>
      </c>
      <c r="AE13" s="17" t="n">
        <v>201.89</v>
      </c>
      <c r="AF13" s="16" t="n">
        <v>201.89</v>
      </c>
      <c r="AG13" s="16" t="n">
        <v>201.89</v>
      </c>
      <c r="AH13" s="16" t="n">
        <v>201.89</v>
      </c>
      <c r="AI13" s="16" t="n">
        <v>201.89</v>
      </c>
      <c r="AJ13" s="11" t="n"/>
      <c r="AK13" s="16" t="n">
        <v>201.89</v>
      </c>
      <c r="AL13" s="16" t="n">
        <v>201.89</v>
      </c>
      <c r="AM13" s="16" t="n">
        <v>201.89</v>
      </c>
      <c r="AN13" s="16" t="n">
        <v>201.89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94600</v>
      </c>
      <c r="F15" s="9" t="n"/>
      <c r="G15" s="18" t="n">
        <v>88900</v>
      </c>
      <c r="H15" s="18" t="n">
        <v>93900</v>
      </c>
      <c r="I15" s="18" t="n">
        <v>72900</v>
      </c>
      <c r="J15" s="18" t="n">
        <v>70700</v>
      </c>
      <c r="K15" s="9" t="n"/>
      <c r="L15" s="18" t="n">
        <v>77500</v>
      </c>
      <c r="M15" s="18" t="n">
        <v>116500</v>
      </c>
      <c r="N15" s="18" t="n">
        <v>111000</v>
      </c>
      <c r="O15" s="18" t="n">
        <v>120900</v>
      </c>
      <c r="P15" s="9" t="n"/>
      <c r="Q15" s="18" t="n">
        <v>118400</v>
      </c>
      <c r="R15" s="18" t="n">
        <v>158800</v>
      </c>
      <c r="S15" s="18" t="n">
        <v>187700</v>
      </c>
      <c r="T15" s="18" t="n">
        <v>228000</v>
      </c>
      <c r="U15" s="9" t="n"/>
      <c r="V15" s="18" t="n">
        <v>199000</v>
      </c>
      <c r="W15" s="18" t="n">
        <v>367000</v>
      </c>
      <c r="X15" s="18" t="n">
        <v>410500</v>
      </c>
      <c r="Y15" s="18" t="n">
        <v>407500</v>
      </c>
      <c r="Z15" s="9" t="n"/>
      <c r="AA15" s="18" t="n">
        <v>344500</v>
      </c>
      <c r="AB15" s="19" t="n">
        <v>352500</v>
      </c>
      <c r="AC15" s="20" t="n">
        <v>326500</v>
      </c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108500</v>
      </c>
      <c r="F16" s="9" t="n"/>
      <c r="G16" s="18" t="n">
        <v>103500</v>
      </c>
      <c r="H16" s="18" t="n">
        <v>98200</v>
      </c>
      <c r="I16" s="18" t="n">
        <v>101500</v>
      </c>
      <c r="J16" s="18" t="n">
        <v>81000</v>
      </c>
      <c r="K16" s="9" t="n"/>
      <c r="L16" s="18" t="n">
        <v>86500</v>
      </c>
      <c r="M16" s="18" t="n">
        <v>121900</v>
      </c>
      <c r="N16" s="18" t="n">
        <v>130000</v>
      </c>
      <c r="O16" s="18" t="n">
        <v>121400</v>
      </c>
      <c r="P16" s="9" t="n"/>
      <c r="Q16" s="18" t="n">
        <v>129000</v>
      </c>
      <c r="R16" s="18" t="n">
        <v>160000</v>
      </c>
      <c r="S16" s="18" t="n">
        <v>213000</v>
      </c>
      <c r="T16" s="18" t="n">
        <v>238000</v>
      </c>
      <c r="U16" s="9" t="n"/>
      <c r="V16" s="18" t="n">
        <v>253500</v>
      </c>
      <c r="W16" s="18" t="n">
        <v>400000</v>
      </c>
      <c r="X16" s="18" t="n">
        <v>438000</v>
      </c>
      <c r="Y16" s="18" t="n">
        <v>494500</v>
      </c>
      <c r="Z16" s="9" t="n"/>
      <c r="AA16" s="18" t="n">
        <v>474000</v>
      </c>
      <c r="AB16" s="19" t="n">
        <v>488000</v>
      </c>
      <c r="AC16" s="20" t="n">
        <v>412500</v>
      </c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87000</v>
      </c>
      <c r="F17" s="9" t="n"/>
      <c r="G17" s="18" t="n">
        <v>76900</v>
      </c>
      <c r="H17" s="18" t="n">
        <v>80900</v>
      </c>
      <c r="I17" s="18" t="n">
        <v>72500</v>
      </c>
      <c r="J17" s="18" t="n">
        <v>68600</v>
      </c>
      <c r="K17" s="9" t="n"/>
      <c r="L17" s="18" t="n">
        <v>68100</v>
      </c>
      <c r="M17" s="18" t="n">
        <v>75500</v>
      </c>
      <c r="N17" s="18" t="n">
        <v>110200</v>
      </c>
      <c r="O17" s="18" t="n">
        <v>89000</v>
      </c>
      <c r="P17" s="9" t="n"/>
      <c r="Q17" s="18" t="n">
        <v>104000</v>
      </c>
      <c r="R17" s="18" t="n">
        <v>110800</v>
      </c>
      <c r="S17" s="18" t="n">
        <v>153600</v>
      </c>
      <c r="T17" s="18" t="n">
        <v>175500</v>
      </c>
      <c r="U17" s="9" t="n"/>
      <c r="V17" s="18" t="n">
        <v>194400</v>
      </c>
      <c r="W17" s="18" t="n">
        <v>183300</v>
      </c>
      <c r="X17" s="18" t="n">
        <v>301000</v>
      </c>
      <c r="Y17" s="18" t="n">
        <v>396000</v>
      </c>
      <c r="Z17" s="9" t="n"/>
      <c r="AA17" s="18" t="n">
        <v>340500</v>
      </c>
      <c r="AB17" s="19" t="n">
        <v>338000</v>
      </c>
      <c r="AC17" s="20" t="n">
        <v>314000</v>
      </c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97490.5</v>
      </c>
      <c r="F18" s="9" t="n"/>
      <c r="G18" s="18" t="n">
        <v>89366.10000000001</v>
      </c>
      <c r="H18" s="18" t="n">
        <v>89929</v>
      </c>
      <c r="I18" s="18" t="n">
        <v>87073</v>
      </c>
      <c r="J18" s="18" t="n">
        <v>74871</v>
      </c>
      <c r="K18" s="9" t="n"/>
      <c r="L18" s="18" t="n">
        <v>78014.5</v>
      </c>
      <c r="M18" s="18" t="n">
        <v>94542.60000000001</v>
      </c>
      <c r="N18" s="18" t="n">
        <v>120450</v>
      </c>
      <c r="O18" s="18" t="n">
        <v>103801.7</v>
      </c>
      <c r="P18" s="9" t="n"/>
      <c r="Q18" s="18" t="n">
        <v>115870.5</v>
      </c>
      <c r="R18" s="18" t="n">
        <v>131518.3</v>
      </c>
      <c r="S18" s="18" t="n">
        <v>184258.1</v>
      </c>
      <c r="T18" s="18" t="n">
        <v>198872.1</v>
      </c>
      <c r="U18" s="9" t="n"/>
      <c r="V18" s="18" t="n">
        <v>225700</v>
      </c>
      <c r="W18" s="18" t="n">
        <v>286476.7</v>
      </c>
      <c r="X18" s="18" t="n">
        <v>370969.2</v>
      </c>
      <c r="Y18" s="18" t="n">
        <v>431016.9</v>
      </c>
      <c r="Z18" s="9" t="n"/>
      <c r="AA18" s="18" t="n">
        <v>415432.2</v>
      </c>
      <c r="AB18" s="19" t="n">
        <v>412623</v>
      </c>
      <c r="AC18" s="20" t="n">
        <v>356443.5</v>
      </c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가정(노란, 모델값 역산)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0.226443</v>
      </c>
      <c r="AD21" s="24" t="n">
        <v>0.143391</v>
      </c>
      <c r="AE21" s="25" t="n"/>
      <c r="AF21" s="24" t="n">
        <v>0.136656</v>
      </c>
      <c r="AG21" s="24" t="n">
        <v>0.034015</v>
      </c>
      <c r="AH21" s="24" t="n">
        <v>-0.019802</v>
      </c>
      <c r="AI21" s="24" t="n">
        <v>-0.033529</v>
      </c>
      <c r="AJ21" s="25" t="n"/>
      <c r="AK21" s="24" t="n">
        <v>-0.04028</v>
      </c>
      <c r="AL21" s="24" t="n">
        <v>-0.047724</v>
      </c>
      <c r="AM21" s="24" t="n">
        <v>-0.056162</v>
      </c>
      <c r="AN21" s="24" t="n">
        <v>-0.073019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4" t="n">
        <v>0.04843</v>
      </c>
      <c r="AD22" s="24" t="n">
        <v>0.04843</v>
      </c>
      <c r="AE22" s="25">
        <f>IFERROR(subQ!AE8/subQ!AE5,"")</f>
        <v/>
      </c>
      <c r="AF22" s="24" t="n">
        <v>0.04843</v>
      </c>
      <c r="AG22" s="24" t="n">
        <v>0.04843</v>
      </c>
      <c r="AH22" s="24" t="n">
        <v>0.04843</v>
      </c>
      <c r="AI22" s="24" t="n">
        <v>0.04843</v>
      </c>
      <c r="AJ22" s="25">
        <f>IFERROR(subQ!AJ8/subQ!AJ5,"")</f>
        <v/>
      </c>
      <c r="AK22" s="24" t="n">
        <v>0.04843</v>
      </c>
      <c r="AL22" s="24" t="n">
        <v>0.04843</v>
      </c>
      <c r="AM22" s="24" t="n">
        <v>0.04843</v>
      </c>
      <c r="AN22" s="24" t="n">
        <v>0.04843</v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0.143932</v>
      </c>
      <c r="AD23" s="24" t="n">
        <v>0.143232</v>
      </c>
      <c r="AE23" s="25">
        <f>IFERROR(subQ!AE9/subQ!AE5,"")</f>
        <v/>
      </c>
      <c r="AF23" s="24" t="n">
        <v>0.143232</v>
      </c>
      <c r="AG23" s="24" t="n">
        <v>0.142433</v>
      </c>
      <c r="AH23" s="24" t="n">
        <v>0.140533</v>
      </c>
      <c r="AI23" s="24" t="n">
        <v>0.140433</v>
      </c>
      <c r="AJ23" s="25">
        <f>IFERROR(subQ!AJ9/subQ!AJ5,"")</f>
        <v/>
      </c>
      <c r="AK23" s="24" t="n">
        <v>0.140433</v>
      </c>
      <c r="AL23" s="24" t="n">
        <v>0.142633</v>
      </c>
      <c r="AM23" s="24" t="n">
        <v>0.146333</v>
      </c>
      <c r="AN23" s="24" t="n">
        <v>0.147233</v>
      </c>
      <c r="AO23" s="25">
        <f>IFERROR(subQ!AO9/subQ!AO5,"")</f>
        <v/>
      </c>
    </row>
    <row r="24">
      <c r="A24" s="12" t="inlineStr">
        <is>
          <t>drv:OPM</t>
        </is>
      </c>
      <c r="B24" s="2" t="inlineStr">
        <is>
          <t>yoy</t>
        </is>
      </c>
      <c r="C24" t="inlineStr">
        <is>
          <t>OPM YoY</t>
        </is>
      </c>
      <c r="E24" s="21" t="n"/>
      <c r="F24" s="22" t="n"/>
      <c r="G24" s="21" t="n"/>
      <c r="H24" s="21" t="n"/>
      <c r="I24" s="21" t="n"/>
      <c r="J24" s="21">
        <f>IFERROR(subQ!J37/subQ!E37-1,"")</f>
        <v/>
      </c>
      <c r="K24" s="22" t="n"/>
      <c r="L24" s="21">
        <f>IFERROR(subQ!L37/subQ!G37-1,"")</f>
        <v/>
      </c>
      <c r="M24" s="21">
        <f>IFERROR(subQ!M37/subQ!H37-1,"")</f>
        <v/>
      </c>
      <c r="N24" s="21">
        <f>IFERROR(subQ!N37/subQ!I37-1,"")</f>
        <v/>
      </c>
      <c r="O24" s="21">
        <f>IFERROR(subQ!O37/subQ!J37-1,"")</f>
        <v/>
      </c>
      <c r="P24" s="22" t="n"/>
      <c r="Q24" s="21">
        <f>IFERROR(subQ!Q37/subQ!L37-1,"")</f>
        <v/>
      </c>
      <c r="R24" s="21">
        <f>IFERROR(subQ!R37/subQ!M37-1,"")</f>
        <v/>
      </c>
      <c r="S24" s="21">
        <f>IFERROR(subQ!S37/subQ!N37-1,"")</f>
        <v/>
      </c>
      <c r="T24" s="21">
        <f>IFERROR(subQ!T37/subQ!O37-1,"")</f>
        <v/>
      </c>
      <c r="U24" s="22" t="n"/>
      <c r="V24" s="21">
        <f>IFERROR(subQ!V37/subQ!Q37-1,"")</f>
        <v/>
      </c>
      <c r="W24" s="21">
        <f>IFERROR(subQ!W37/subQ!R37-1,"")</f>
        <v/>
      </c>
      <c r="X24" s="21">
        <f>IFERROR(subQ!X37/subQ!S37-1,"")</f>
        <v/>
      </c>
      <c r="Y24" s="21">
        <f>IFERROR(subQ!Y37/subQ!T37-1,"")</f>
        <v/>
      </c>
      <c r="Z24" s="22" t="n"/>
      <c r="AA24" s="21">
        <f>IFERROR(subQ!AA37/subQ!V37-1,"")</f>
        <v/>
      </c>
      <c r="AB24" s="23">
        <f>IFERROR(subQ!AB37/subQ!W37-1,"")</f>
        <v/>
      </c>
      <c r="AC24" s="24" t="n">
        <v>0.035252</v>
      </c>
      <c r="AD24" s="24" t="n">
        <v>0.124902</v>
      </c>
      <c r="AE24" s="25" t="n"/>
      <c r="AF24" s="24" t="n">
        <v>-0.140456</v>
      </c>
      <c r="AG24" s="24" t="n">
        <v>-0.227347</v>
      </c>
      <c r="AH24" s="24" t="n">
        <v>-0.023628</v>
      </c>
      <c r="AI24" s="24" t="n">
        <v>-0.019553</v>
      </c>
      <c r="AJ24" s="25" t="n"/>
      <c r="AK24" s="24" t="n">
        <v>-0.019553</v>
      </c>
      <c r="AL24" s="24" t="n">
        <v>0.001404</v>
      </c>
      <c r="AM24" s="24" t="n">
        <v>0.041281</v>
      </c>
      <c r="AN24" s="24" t="n">
        <v>0.048433</v>
      </c>
      <c r="AO24" s="25" t="n"/>
    </row>
    <row r="25">
      <c r="A25" s="12" t="inlineStr">
        <is>
          <t>drv:금융손익</t>
        </is>
      </c>
      <c r="B25" s="2" t="inlineStr">
        <is>
          <t>abs</t>
        </is>
      </c>
      <c r="C25" t="inlineStr">
        <is>
          <t>금융손익 (가정, 억원)</t>
        </is>
      </c>
      <c r="E25" s="26">
        <f>subQ!E11</f>
        <v/>
      </c>
      <c r="F25" s="27">
        <f>subQ!F11</f>
        <v/>
      </c>
      <c r="G25" s="26">
        <f>subQ!G11</f>
        <v/>
      </c>
      <c r="H25" s="26">
        <f>subQ!H11</f>
        <v/>
      </c>
      <c r="I25" s="26">
        <f>subQ!I11</f>
        <v/>
      </c>
      <c r="J25" s="26">
        <f>subQ!J11</f>
        <v/>
      </c>
      <c r="K25" s="27">
        <f>subQ!K11</f>
        <v/>
      </c>
      <c r="L25" s="26">
        <f>subQ!L11</f>
        <v/>
      </c>
      <c r="M25" s="26">
        <f>subQ!M11</f>
        <v/>
      </c>
      <c r="N25" s="26">
        <f>subQ!N11</f>
        <v/>
      </c>
      <c r="O25" s="26">
        <f>subQ!O11</f>
        <v/>
      </c>
      <c r="P25" s="27">
        <f>subQ!P11</f>
        <v/>
      </c>
      <c r="Q25" s="26">
        <f>subQ!Q11</f>
        <v/>
      </c>
      <c r="R25" s="26">
        <f>subQ!R11</f>
        <v/>
      </c>
      <c r="S25" s="26">
        <f>subQ!S11</f>
        <v/>
      </c>
      <c r="T25" s="26">
        <f>subQ!T11</f>
        <v/>
      </c>
      <c r="U25" s="27">
        <f>subQ!U11</f>
        <v/>
      </c>
      <c r="V25" s="26">
        <f>subQ!V11</f>
        <v/>
      </c>
      <c r="W25" s="26">
        <f>subQ!W11</f>
        <v/>
      </c>
      <c r="X25" s="26">
        <f>subQ!X11</f>
        <v/>
      </c>
      <c r="Y25" s="26">
        <f>subQ!Y11</f>
        <v/>
      </c>
      <c r="Z25" s="27">
        <f>subQ!Z11</f>
        <v/>
      </c>
      <c r="AA25" s="26">
        <f>subQ!AA11</f>
        <v/>
      </c>
      <c r="AB25" s="28">
        <f>subQ!AB11</f>
        <v/>
      </c>
      <c r="AC25" s="29" t="n">
        <v>680.8200000000001</v>
      </c>
      <c r="AD25" s="29" t="n">
        <v>754.08</v>
      </c>
      <c r="AE25" s="30">
        <f>subQ!AE11</f>
        <v/>
      </c>
      <c r="AF25" s="29" t="n">
        <v>827.55</v>
      </c>
      <c r="AG25" s="29" t="n">
        <v>900.9</v>
      </c>
      <c r="AH25" s="29" t="n">
        <v>917.52</v>
      </c>
      <c r="AI25" s="29" t="n">
        <v>989.02</v>
      </c>
      <c r="AJ25" s="30">
        <f>subQ!AJ11</f>
        <v/>
      </c>
      <c r="AK25" s="29" t="n">
        <v>1060.07</v>
      </c>
      <c r="AL25" s="29" t="n">
        <v>1130.56</v>
      </c>
      <c r="AM25" s="29" t="n">
        <v>1145.2</v>
      </c>
      <c r="AN25" s="29" t="n">
        <v>1216.74</v>
      </c>
      <c r="AO25" s="30">
        <f>subQ!AO11</f>
        <v/>
      </c>
    </row>
    <row r="26">
      <c r="A26" s="12" t="inlineStr">
        <is>
          <t>drv:기타영업외손익</t>
        </is>
      </c>
      <c r="B26" s="2" t="inlineStr">
        <is>
          <t>abs</t>
        </is>
      </c>
      <c r="C26" t="inlineStr">
        <is>
          <t>기타영업외손익 (가정, 억원)</t>
        </is>
      </c>
      <c r="E26" s="26">
        <f>subQ!E12</f>
        <v/>
      </c>
      <c r="F26" s="27">
        <f>subQ!F12</f>
        <v/>
      </c>
      <c r="G26" s="26">
        <f>subQ!G12</f>
        <v/>
      </c>
      <c r="H26" s="26">
        <f>subQ!H12</f>
        <v/>
      </c>
      <c r="I26" s="26">
        <f>subQ!I12</f>
        <v/>
      </c>
      <c r="J26" s="26">
        <f>subQ!J12</f>
        <v/>
      </c>
      <c r="K26" s="27">
        <f>subQ!K12</f>
        <v/>
      </c>
      <c r="L26" s="26">
        <f>subQ!L12</f>
        <v/>
      </c>
      <c r="M26" s="26">
        <f>subQ!M12</f>
        <v/>
      </c>
      <c r="N26" s="26">
        <f>subQ!N12</f>
        <v/>
      </c>
      <c r="O26" s="26">
        <f>subQ!O12</f>
        <v/>
      </c>
      <c r="P26" s="27">
        <f>subQ!P12</f>
        <v/>
      </c>
      <c r="Q26" s="26">
        <f>subQ!Q12</f>
        <v/>
      </c>
      <c r="R26" s="26">
        <f>subQ!R12</f>
        <v/>
      </c>
      <c r="S26" s="26">
        <f>subQ!S12</f>
        <v/>
      </c>
      <c r="T26" s="26">
        <f>subQ!T12</f>
        <v/>
      </c>
      <c r="U26" s="27">
        <f>subQ!U12</f>
        <v/>
      </c>
      <c r="V26" s="26">
        <f>subQ!V12</f>
        <v/>
      </c>
      <c r="W26" s="26">
        <f>subQ!W12</f>
        <v/>
      </c>
      <c r="X26" s="26">
        <f>subQ!X12</f>
        <v/>
      </c>
      <c r="Y26" s="26">
        <f>subQ!Y12</f>
        <v/>
      </c>
      <c r="Z26" s="27">
        <f>subQ!Z12</f>
        <v/>
      </c>
      <c r="AA26" s="26">
        <f>subQ!AA12</f>
        <v/>
      </c>
      <c r="AB26" s="28">
        <f>subQ!AB12</f>
        <v/>
      </c>
      <c r="AC26" s="29" t="n">
        <v>0</v>
      </c>
      <c r="AD26" s="29" t="n">
        <v>0</v>
      </c>
      <c r="AE26" s="30">
        <f>subQ!AE12</f>
        <v/>
      </c>
      <c r="AF26" s="29" t="n">
        <v>0</v>
      </c>
      <c r="AG26" s="29" t="n">
        <v>0</v>
      </c>
      <c r="AH26" s="29" t="n">
        <v>0</v>
      </c>
      <c r="AI26" s="29" t="n">
        <v>0</v>
      </c>
      <c r="AJ26" s="30">
        <f>subQ!AJ12</f>
        <v/>
      </c>
      <c r="AK26" s="29" t="n">
        <v>0</v>
      </c>
      <c r="AL26" s="29" t="n">
        <v>0</v>
      </c>
      <c r="AM26" s="29" t="n">
        <v>0</v>
      </c>
      <c r="AN26" s="29" t="n">
        <v>0</v>
      </c>
      <c r="AO26" s="30">
        <f>subQ!AO12</f>
        <v/>
      </c>
    </row>
    <row r="27">
      <c r="A27" s="12" t="inlineStr">
        <is>
          <t>drv:지분법손익</t>
        </is>
      </c>
      <c r="B27" s="2" t="inlineStr">
        <is>
          <t>abs</t>
        </is>
      </c>
      <c r="C27" t="inlineStr">
        <is>
          <t>지분법손익 (가정, 억원)</t>
        </is>
      </c>
      <c r="E27" s="26">
        <f>subQ!E13</f>
        <v/>
      </c>
      <c r="F27" s="27">
        <f>subQ!F13</f>
        <v/>
      </c>
      <c r="G27" s="26">
        <f>subQ!G13</f>
        <v/>
      </c>
      <c r="H27" s="26">
        <f>subQ!H13</f>
        <v/>
      </c>
      <c r="I27" s="26">
        <f>subQ!I13</f>
        <v/>
      </c>
      <c r="J27" s="26">
        <f>subQ!J13</f>
        <v/>
      </c>
      <c r="K27" s="27">
        <f>subQ!K13</f>
        <v/>
      </c>
      <c r="L27" s="26">
        <f>subQ!L13</f>
        <v/>
      </c>
      <c r="M27" s="26">
        <f>subQ!M13</f>
        <v/>
      </c>
      <c r="N27" s="26">
        <f>subQ!N13</f>
        <v/>
      </c>
      <c r="O27" s="26">
        <f>subQ!O13</f>
        <v/>
      </c>
      <c r="P27" s="27">
        <f>subQ!P13</f>
        <v/>
      </c>
      <c r="Q27" s="26">
        <f>subQ!Q13</f>
        <v/>
      </c>
      <c r="R27" s="26">
        <f>subQ!R13</f>
        <v/>
      </c>
      <c r="S27" s="26">
        <f>subQ!S13</f>
        <v/>
      </c>
      <c r="T27" s="26">
        <f>subQ!T13</f>
        <v/>
      </c>
      <c r="U27" s="27">
        <f>subQ!U13</f>
        <v/>
      </c>
      <c r="V27" s="26">
        <f>subQ!V13</f>
        <v/>
      </c>
      <c r="W27" s="26">
        <f>subQ!W13</f>
        <v/>
      </c>
      <c r="X27" s="26">
        <f>subQ!X13</f>
        <v/>
      </c>
      <c r="Y27" s="26">
        <f>subQ!Y13</f>
        <v/>
      </c>
      <c r="Z27" s="27">
        <f>subQ!Z13</f>
        <v/>
      </c>
      <c r="AA27" s="26">
        <f>subQ!AA13</f>
        <v/>
      </c>
      <c r="AB27" s="28">
        <f>subQ!AB13</f>
        <v/>
      </c>
      <c r="AC27" s="29" t="n">
        <v>0.11</v>
      </c>
      <c r="AD27" s="29" t="n">
        <v>0.11</v>
      </c>
      <c r="AE27" s="30">
        <f>subQ!AE13</f>
        <v/>
      </c>
      <c r="AF27" s="29" t="n">
        <v>0.11</v>
      </c>
      <c r="AG27" s="29" t="n">
        <v>0.11</v>
      </c>
      <c r="AH27" s="29" t="n">
        <v>0.11</v>
      </c>
      <c r="AI27" s="29" t="n">
        <v>0.11</v>
      </c>
      <c r="AJ27" s="30">
        <f>subQ!AJ13</f>
        <v/>
      </c>
      <c r="AK27" s="29" t="n">
        <v>0.11</v>
      </c>
      <c r="AL27" s="29" t="n">
        <v>0.11</v>
      </c>
      <c r="AM27" s="29" t="n">
        <v>0.11</v>
      </c>
      <c r="AN27" s="29" t="n">
        <v>0.11</v>
      </c>
      <c r="AO27" s="30">
        <f>subQ!AO13</f>
        <v/>
      </c>
    </row>
    <row r="28">
      <c r="A28" s="12" t="inlineStr">
        <is>
          <t>drv:법인세비용</t>
        </is>
      </c>
      <c r="B28" s="2" t="inlineStr">
        <is>
          <t>ratio</t>
        </is>
      </c>
      <c r="C28" t="inlineStr">
        <is>
          <t>법인세율(/세전)</t>
        </is>
      </c>
      <c r="E28" s="21">
        <f>IFERROR(subQ!E15/subQ!E14,"")</f>
        <v/>
      </c>
      <c r="F28" s="22">
        <f>IFERROR(subQ!F15/subQ!F14,"")</f>
        <v/>
      </c>
      <c r="G28" s="21">
        <f>IFERROR(subQ!G15/subQ!G14,"")</f>
        <v/>
      </c>
      <c r="H28" s="21">
        <f>IFERROR(subQ!H15/subQ!H14,"")</f>
        <v/>
      </c>
      <c r="I28" s="21">
        <f>IFERROR(subQ!I15/subQ!I14,"")</f>
        <v/>
      </c>
      <c r="J28" s="21">
        <f>IFERROR(subQ!J15/subQ!J14,"")</f>
        <v/>
      </c>
      <c r="K28" s="22">
        <f>IFERROR(subQ!K15/subQ!K14,"")</f>
        <v/>
      </c>
      <c r="L28" s="21">
        <f>IFERROR(subQ!L15/subQ!L14,"")</f>
        <v/>
      </c>
      <c r="M28" s="21">
        <f>IFERROR(subQ!M15/subQ!M14,"")</f>
        <v/>
      </c>
      <c r="N28" s="21">
        <f>IFERROR(subQ!N15/subQ!N14,"")</f>
        <v/>
      </c>
      <c r="O28" s="21">
        <f>IFERROR(subQ!O15/subQ!O14,"")</f>
        <v/>
      </c>
      <c r="P28" s="22">
        <f>IFERROR(subQ!P15/subQ!P14,"")</f>
        <v/>
      </c>
      <c r="Q28" s="21">
        <f>IFERROR(subQ!Q15/subQ!Q14,"")</f>
        <v/>
      </c>
      <c r="R28" s="21">
        <f>IFERROR(subQ!R15/subQ!R14,"")</f>
        <v/>
      </c>
      <c r="S28" s="21">
        <f>IFERROR(subQ!S15/subQ!S14,"")</f>
        <v/>
      </c>
      <c r="T28" s="21">
        <f>IFERROR(subQ!T15/subQ!T14,"")</f>
        <v/>
      </c>
      <c r="U28" s="22">
        <f>IFERROR(subQ!U15/subQ!U14,"")</f>
        <v/>
      </c>
      <c r="V28" s="21">
        <f>IFERROR(subQ!V15/subQ!V14,"")</f>
        <v/>
      </c>
      <c r="W28" s="21">
        <f>IFERROR(subQ!W15/subQ!W14,"")</f>
        <v/>
      </c>
      <c r="X28" s="21">
        <f>IFERROR(subQ!X15/subQ!X14,"")</f>
        <v/>
      </c>
      <c r="Y28" s="21">
        <f>IFERROR(subQ!Y15/subQ!Y14,"")</f>
        <v/>
      </c>
      <c r="Z28" s="22">
        <f>IFERROR(subQ!Z15/subQ!Z14,"")</f>
        <v/>
      </c>
      <c r="AA28" s="21">
        <f>IFERROR(subQ!AA15/subQ!AA14,"")</f>
        <v/>
      </c>
      <c r="AB28" s="23">
        <f>IFERROR(subQ!AB15/subQ!AB14,"")</f>
        <v/>
      </c>
      <c r="AC28" s="24" t="n">
        <v>0.198927</v>
      </c>
      <c r="AD28" s="24" t="n">
        <v>0.198927</v>
      </c>
      <c r="AE28" s="25">
        <f>IFERROR(subQ!AE15/subQ!AE14,"")</f>
        <v/>
      </c>
      <c r="AF28" s="24" t="n">
        <v>0.198927</v>
      </c>
      <c r="AG28" s="24" t="n">
        <v>0.198927</v>
      </c>
      <c r="AH28" s="24" t="n">
        <v>0.198927</v>
      </c>
      <c r="AI28" s="24" t="n">
        <v>0.198927</v>
      </c>
      <c r="AJ28" s="25">
        <f>IFERROR(subQ!AJ15/subQ!AJ14,"")</f>
        <v/>
      </c>
      <c r="AK28" s="24" t="n">
        <v>0.198927</v>
      </c>
      <c r="AL28" s="24" t="n">
        <v>0.198927</v>
      </c>
      <c r="AM28" s="24" t="n">
        <v>0.198927</v>
      </c>
      <c r="AN28" s="24" t="n">
        <v>0.198927</v>
      </c>
      <c r="AO28" s="25">
        <f>IFERROR(subQ!AO15/subQ!AO14,"")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IFERROR(subQ!E17/subQ!E16,"")</f>
        <v/>
      </c>
      <c r="F29" s="22">
        <f>IFERROR(subQ!F17/subQ!F16,"")</f>
        <v/>
      </c>
      <c r="G29" s="21">
        <f>IFERROR(subQ!G17/subQ!G16,"")</f>
        <v/>
      </c>
      <c r="H29" s="21">
        <f>IFERROR(subQ!H17/subQ!H16,"")</f>
        <v/>
      </c>
      <c r="I29" s="21">
        <f>IFERROR(subQ!I17/subQ!I16,"")</f>
        <v/>
      </c>
      <c r="J29" s="21">
        <f>IFERROR(subQ!J17/subQ!J16,"")</f>
        <v/>
      </c>
      <c r="K29" s="22">
        <f>IFERROR(subQ!K17/subQ!K16,"")</f>
        <v/>
      </c>
      <c r="L29" s="21">
        <f>IFERROR(subQ!L17/subQ!L16,"")</f>
        <v/>
      </c>
      <c r="M29" s="21">
        <f>IFERROR(subQ!M17/subQ!M16,"")</f>
        <v/>
      </c>
      <c r="N29" s="21">
        <f>IFERROR(subQ!N17/subQ!N16,"")</f>
        <v/>
      </c>
      <c r="O29" s="21">
        <f>IFERROR(subQ!O17/subQ!O16,"")</f>
        <v/>
      </c>
      <c r="P29" s="22">
        <f>IFERROR(subQ!P17/subQ!P16,"")</f>
        <v/>
      </c>
      <c r="Q29" s="21">
        <f>IFERROR(subQ!Q17/subQ!Q16,"")</f>
        <v/>
      </c>
      <c r="R29" s="21">
        <f>IFERROR(subQ!R17/subQ!R16,"")</f>
        <v/>
      </c>
      <c r="S29" s="21">
        <f>IFERROR(subQ!S17/subQ!S16,"")</f>
        <v/>
      </c>
      <c r="T29" s="21">
        <f>IFERROR(subQ!T17/subQ!T16,"")</f>
        <v/>
      </c>
      <c r="U29" s="22">
        <f>IFERROR(subQ!U17/subQ!U16,"")</f>
        <v/>
      </c>
      <c r="V29" s="21">
        <f>IFERROR(subQ!V17/subQ!V16,"")</f>
        <v/>
      </c>
      <c r="W29" s="21">
        <f>IFERROR(subQ!W17/subQ!W16,"")</f>
        <v/>
      </c>
      <c r="X29" s="21">
        <f>IFERROR(subQ!X17/subQ!X16,"")</f>
        <v/>
      </c>
      <c r="Y29" s="21">
        <f>IFERROR(subQ!Y17/subQ!Y16,"")</f>
        <v/>
      </c>
      <c r="Z29" s="22">
        <f>IFERROR(subQ!Z17/subQ!Z16,"")</f>
        <v/>
      </c>
      <c r="AA29" s="21">
        <f>IFERROR(subQ!AA17/subQ!AA16,"")</f>
        <v/>
      </c>
      <c r="AB29" s="23">
        <f>IFERROR(subQ!AB17/subQ!AB16,"")</f>
        <v/>
      </c>
      <c r="AC29" s="24" t="n">
        <v>0.760028</v>
      </c>
      <c r="AD29" s="24" t="n">
        <v>0.760028</v>
      </c>
      <c r="AE29" s="25">
        <f>IFERROR(subQ!AE17/subQ!AE16,"")</f>
        <v/>
      </c>
      <c r="AF29" s="24" t="n">
        <v>0.760027</v>
      </c>
      <c r="AG29" s="24" t="n">
        <v>0.760028</v>
      </c>
      <c r="AH29" s="24" t="n">
        <v>0.760028</v>
      </c>
      <c r="AI29" s="24" t="n">
        <v>0.760028</v>
      </c>
      <c r="AJ29" s="25">
        <f>IFERROR(subQ!AJ17/subQ!AJ16,"")</f>
        <v/>
      </c>
      <c r="AK29" s="24" t="n">
        <v>0.760028</v>
      </c>
      <c r="AL29" s="24" t="n">
        <v>0.760028</v>
      </c>
      <c r="AM29" s="24" t="n">
        <v>0.760027</v>
      </c>
      <c r="AN29" s="24" t="n">
        <v>0.760027</v>
      </c>
      <c r="AO29" s="25">
        <f>IFERROR(subQ!AO17/subQ!AO16,"")</f>
        <v/>
      </c>
    </row>
    <row r="30">
      <c r="A30" s="12" t="inlineStr">
        <is>
          <t>drv:부채총계</t>
        </is>
      </c>
      <c r="B30" s="2" t="inlineStr">
        <is>
          <t>qoq</t>
        </is>
      </c>
      <c r="C30" t="inlineStr">
        <is>
          <t>부채총계 QoQ</t>
        </is>
      </c>
      <c r="E30" s="21" t="n"/>
      <c r="F30" s="22" t="n"/>
      <c r="G30" s="21">
        <f>IFERROR(subQ!G19/subQ!E19-1,"")</f>
        <v/>
      </c>
      <c r="H30" s="21">
        <f>IFERROR(subQ!H19/subQ!G19-1,"")</f>
        <v/>
      </c>
      <c r="I30" s="21">
        <f>IFERROR(subQ!I19/subQ!H19-1,"")</f>
        <v/>
      </c>
      <c r="J30" s="21">
        <f>IFERROR(subQ!J19/subQ!I19-1,"")</f>
        <v/>
      </c>
      <c r="K30" s="22" t="n"/>
      <c r="L30" s="21">
        <f>IFERROR(subQ!L19/subQ!J19-1,"")</f>
        <v/>
      </c>
      <c r="M30" s="21">
        <f>IFERROR(subQ!M19/subQ!L19-1,"")</f>
        <v/>
      </c>
      <c r="N30" s="21">
        <f>IFERROR(subQ!N19/subQ!M19-1,"")</f>
        <v/>
      </c>
      <c r="O30" s="21">
        <f>IFERROR(subQ!O19/subQ!N19-1,"")</f>
        <v/>
      </c>
      <c r="P30" s="22" t="n"/>
      <c r="Q30" s="21">
        <f>IFERROR(subQ!Q19/subQ!O19-1,"")</f>
        <v/>
      </c>
      <c r="R30" s="21">
        <f>IFERROR(subQ!R19/subQ!Q19-1,"")</f>
        <v/>
      </c>
      <c r="S30" s="21">
        <f>IFERROR(subQ!S19/subQ!R19-1,"")</f>
        <v/>
      </c>
      <c r="T30" s="21">
        <f>IFERROR(subQ!T19/subQ!S19-1,"")</f>
        <v/>
      </c>
      <c r="U30" s="22" t="n"/>
      <c r="V30" s="21">
        <f>IFERROR(subQ!V19/subQ!T19-1,"")</f>
        <v/>
      </c>
      <c r="W30" s="21">
        <f>IFERROR(subQ!W19/subQ!V19-1,"")</f>
        <v/>
      </c>
      <c r="X30" s="21">
        <f>IFERROR(subQ!X19/subQ!W19-1,"")</f>
        <v/>
      </c>
      <c r="Y30" s="21">
        <f>IFERROR(subQ!Y19/subQ!X19-1,"")</f>
        <v/>
      </c>
      <c r="Z30" s="22" t="n"/>
      <c r="AA30" s="21">
        <f>IFERROR(subQ!AA19/subQ!Y19-1,"")</f>
        <v/>
      </c>
      <c r="AB30" s="23">
        <f>IFERROR(subQ!AB19/subQ!AA19-1,"")</f>
        <v/>
      </c>
      <c r="AC30" s="24" t="n">
        <v>-0</v>
      </c>
      <c r="AD30" s="24" t="n">
        <v>0</v>
      </c>
      <c r="AE30" s="25" t="n"/>
      <c r="AF30" s="24" t="n">
        <v>0</v>
      </c>
      <c r="AG30" s="24" t="n">
        <v>0</v>
      </c>
      <c r="AH30" s="24" t="n">
        <v>0</v>
      </c>
      <c r="AI30" s="24" t="n">
        <v>0</v>
      </c>
      <c r="AJ30" s="25" t="n"/>
      <c r="AK30" s="24" t="n">
        <v>0</v>
      </c>
      <c r="AL30" s="24" t="n">
        <v>0</v>
      </c>
      <c r="AM30" s="24" t="n">
        <v>0</v>
      </c>
      <c r="AN30" s="24" t="n">
        <v>0</v>
      </c>
      <c r="AO30" s="25" t="n"/>
    </row>
    <row r="31">
      <c r="A31" s="12" t="inlineStr">
        <is>
          <t>drv:자본총계</t>
        </is>
      </c>
      <c r="B31" s="2" t="inlineStr">
        <is>
          <t>roll</t>
        </is>
      </c>
      <c r="C31" t="inlineStr">
        <is>
          <t>자본총계 기타변동(배당 등, 억원)</t>
        </is>
      </c>
      <c r="E31" s="26" t="n"/>
      <c r="F31" s="27" t="n"/>
      <c r="G31" s="26">
        <f>IFERROR(subQ!E20+subQ!G16-subQ!G20,"")</f>
        <v/>
      </c>
      <c r="H31" s="26">
        <f>IFERROR(subQ!G20+subQ!H16-subQ!H20,"")</f>
        <v/>
      </c>
      <c r="I31" s="26">
        <f>IFERROR(subQ!H20+subQ!I16-subQ!I20,"")</f>
        <v/>
      </c>
      <c r="J31" s="26">
        <f>IFERROR(subQ!I20+subQ!J16-subQ!J20,"")</f>
        <v/>
      </c>
      <c r="K31" s="27" t="n"/>
      <c r="L31" s="26">
        <f>IFERROR(subQ!J20+subQ!L16-subQ!L20,"")</f>
        <v/>
      </c>
      <c r="M31" s="26">
        <f>IFERROR(subQ!L20+subQ!M16-subQ!M20,"")</f>
        <v/>
      </c>
      <c r="N31" s="26">
        <f>IFERROR(subQ!M20+subQ!N16-subQ!N20,"")</f>
        <v/>
      </c>
      <c r="O31" s="26">
        <f>IFERROR(subQ!N20+subQ!O16-subQ!O20,"")</f>
        <v/>
      </c>
      <c r="P31" s="27" t="n"/>
      <c r="Q31" s="26">
        <f>IFERROR(subQ!O20+subQ!Q16-subQ!Q20,"")</f>
        <v/>
      </c>
      <c r="R31" s="26">
        <f>IFERROR(subQ!Q20+subQ!R16-subQ!R20,"")</f>
        <v/>
      </c>
      <c r="S31" s="26">
        <f>IFERROR(subQ!R20+subQ!S16-subQ!S20,"")</f>
        <v/>
      </c>
      <c r="T31" s="26">
        <f>IFERROR(subQ!S20+subQ!T16-subQ!T20,"")</f>
        <v/>
      </c>
      <c r="U31" s="27" t="n"/>
      <c r="V31" s="26">
        <f>IFERROR(subQ!T20+subQ!V16-subQ!V20,"")</f>
        <v/>
      </c>
      <c r="W31" s="26">
        <f>IFERROR(subQ!V20+subQ!W16-subQ!W20,"")</f>
        <v/>
      </c>
      <c r="X31" s="26">
        <f>IFERROR(subQ!W20+subQ!X16-subQ!X20,"")</f>
        <v/>
      </c>
      <c r="Y31" s="26">
        <f>IFERROR(subQ!X20+subQ!Y16-subQ!Y20,"")</f>
        <v/>
      </c>
      <c r="Z31" s="27" t="n"/>
      <c r="AA31" s="26">
        <f>IFERROR(subQ!Y20+subQ!AA16-subQ!AA20,"")</f>
        <v/>
      </c>
      <c r="AB31" s="28">
        <f>IFERROR(subQ!AA20+subQ!AB16-subQ!AB20,"")</f>
        <v/>
      </c>
      <c r="AC31" s="29" t="n">
        <v>-0.0039</v>
      </c>
      <c r="AD31" s="29" t="n">
        <v>0</v>
      </c>
      <c r="AE31" s="30" t="n"/>
      <c r="AF31" s="29" t="n">
        <v>-0</v>
      </c>
      <c r="AG31" s="29" t="n">
        <v>8697.889999999999</v>
      </c>
      <c r="AH31" s="29" t="n">
        <v>0</v>
      </c>
      <c r="AI31" s="29" t="n">
        <v>0</v>
      </c>
      <c r="AJ31" s="30" t="n"/>
      <c r="AK31" s="29" t="n">
        <v>0</v>
      </c>
      <c r="AL31" s="29" t="n">
        <v>8697.889999999999</v>
      </c>
      <c r="AM31" s="29" t="n">
        <v>0</v>
      </c>
      <c r="AN31" s="29" t="n">
        <v>0</v>
      </c>
      <c r="AO31" s="30" t="n"/>
    </row>
    <row r="32">
      <c r="A32" s="12" t="inlineStr">
        <is>
          <t>drv:지배주주지분</t>
        </is>
      </c>
      <c r="B32" s="2" t="inlineStr">
        <is>
          <t>roll</t>
        </is>
      </c>
      <c r="C32" t="inlineStr">
        <is>
          <t>지배주주지분 기타변동(배당 등, 억원)</t>
        </is>
      </c>
      <c r="E32" s="26" t="n"/>
      <c r="F32" s="27" t="n"/>
      <c r="G32" s="26">
        <f>IFERROR(subQ!E21+subQ!G17-subQ!G21,"")</f>
        <v/>
      </c>
      <c r="H32" s="26">
        <f>IFERROR(subQ!G21+subQ!H17-subQ!H21,"")</f>
        <v/>
      </c>
      <c r="I32" s="26">
        <f>IFERROR(subQ!H21+subQ!I17-subQ!I21,"")</f>
        <v/>
      </c>
      <c r="J32" s="26">
        <f>IFERROR(subQ!I21+subQ!J17-subQ!J21,"")</f>
        <v/>
      </c>
      <c r="K32" s="27" t="n"/>
      <c r="L32" s="26">
        <f>IFERROR(subQ!J21+subQ!L17-subQ!L21,"")</f>
        <v/>
      </c>
      <c r="M32" s="26">
        <f>IFERROR(subQ!L21+subQ!M17-subQ!M21,"")</f>
        <v/>
      </c>
      <c r="N32" s="26">
        <f>IFERROR(subQ!M21+subQ!N17-subQ!N21,"")</f>
        <v/>
      </c>
      <c r="O32" s="26">
        <f>IFERROR(subQ!N21+subQ!O17-subQ!O21,"")</f>
        <v/>
      </c>
      <c r="P32" s="27" t="n"/>
      <c r="Q32" s="26">
        <f>IFERROR(subQ!O21+subQ!Q17-subQ!Q21,"")</f>
        <v/>
      </c>
      <c r="R32" s="26">
        <f>IFERROR(subQ!Q21+subQ!R17-subQ!R21,"")</f>
        <v/>
      </c>
      <c r="S32" s="26">
        <f>IFERROR(subQ!R21+subQ!S17-subQ!S21,"")</f>
        <v/>
      </c>
      <c r="T32" s="26">
        <f>IFERROR(subQ!S21+subQ!T17-subQ!T21,"")</f>
        <v/>
      </c>
      <c r="U32" s="27" t="n"/>
      <c r="V32" s="26">
        <f>IFERROR(subQ!T21+subQ!V17-subQ!V21,"")</f>
        <v/>
      </c>
      <c r="W32" s="26">
        <f>IFERROR(subQ!V21+subQ!W17-subQ!W21,"")</f>
        <v/>
      </c>
      <c r="X32" s="26">
        <f>IFERROR(subQ!W21+subQ!X17-subQ!X21,"")</f>
        <v/>
      </c>
      <c r="Y32" s="26">
        <f>IFERROR(subQ!X21+subQ!Y17-subQ!Y21,"")</f>
        <v/>
      </c>
      <c r="Z32" s="27" t="n"/>
      <c r="AA32" s="26">
        <f>IFERROR(subQ!Y21+subQ!AA17-subQ!AA21,"")</f>
        <v/>
      </c>
      <c r="AB32" s="28">
        <f>IFERROR(subQ!AA21+subQ!AB17-subQ!AB21,"")</f>
        <v/>
      </c>
      <c r="AC32" s="29" t="n">
        <v>-0.0046</v>
      </c>
      <c r="AD32" s="29" t="n">
        <v>0</v>
      </c>
      <c r="AE32" s="30" t="n"/>
      <c r="AF32" s="29" t="n">
        <v>0</v>
      </c>
      <c r="AG32" s="29" t="n">
        <v>8697.9</v>
      </c>
      <c r="AH32" s="29" t="n">
        <v>0</v>
      </c>
      <c r="AI32" s="29" t="n">
        <v>0</v>
      </c>
      <c r="AJ32" s="30" t="n"/>
      <c r="AK32" s="29" t="n">
        <v>0</v>
      </c>
      <c r="AL32" s="29" t="n">
        <v>8697.9</v>
      </c>
      <c r="AM32" s="29" t="n">
        <v>0</v>
      </c>
      <c r="AN32" s="29" t="n">
        <v>0</v>
      </c>
      <c r="AO32" s="30" t="n"/>
    </row>
    <row r="33">
      <c r="A33" s="12" t="inlineStr">
        <is>
          <t>drv:총차입금</t>
        </is>
      </c>
      <c r="B33" s="2" t="inlineStr">
        <is>
          <t>qoq</t>
        </is>
      </c>
      <c r="C33" t="inlineStr">
        <is>
          <t>총차입금 QoQ</t>
        </is>
      </c>
      <c r="E33" s="21" t="n"/>
      <c r="F33" s="22" t="n"/>
      <c r="G33" s="21">
        <f>IFERROR(subQ!G22/subQ!E22-1,"")</f>
        <v/>
      </c>
      <c r="H33" s="21">
        <f>IFERROR(subQ!H22/subQ!G22-1,"")</f>
        <v/>
      </c>
      <c r="I33" s="21">
        <f>IFERROR(subQ!I22/subQ!H22-1,"")</f>
        <v/>
      </c>
      <c r="J33" s="21">
        <f>IFERROR(subQ!J22/subQ!I22-1,"")</f>
        <v/>
      </c>
      <c r="K33" s="22" t="n"/>
      <c r="L33" s="21">
        <f>IFERROR(subQ!L22/subQ!J22-1,"")</f>
        <v/>
      </c>
      <c r="M33" s="21">
        <f>IFERROR(subQ!M22/subQ!L22-1,"")</f>
        <v/>
      </c>
      <c r="N33" s="21">
        <f>IFERROR(subQ!N22/subQ!M22-1,"")</f>
        <v/>
      </c>
      <c r="O33" s="21">
        <f>IFERROR(subQ!O22/subQ!N22-1,"")</f>
        <v/>
      </c>
      <c r="P33" s="22" t="n"/>
      <c r="Q33" s="21">
        <f>IFERROR(subQ!Q22/subQ!O22-1,"")</f>
        <v/>
      </c>
      <c r="R33" s="21">
        <f>IFERROR(subQ!R22/subQ!Q22-1,"")</f>
        <v/>
      </c>
      <c r="S33" s="21">
        <f>IFERROR(subQ!S22/subQ!R22-1,"")</f>
        <v/>
      </c>
      <c r="T33" s="21">
        <f>IFERROR(subQ!T22/subQ!S22-1,"")</f>
        <v/>
      </c>
      <c r="U33" s="22" t="n"/>
      <c r="V33" s="21">
        <f>IFERROR(subQ!V22/subQ!T22-1,"")</f>
        <v/>
      </c>
      <c r="W33" s="21">
        <f>IFERROR(subQ!W22/subQ!V22-1,"")</f>
        <v/>
      </c>
      <c r="X33" s="21">
        <f>IFERROR(subQ!X22/subQ!W22-1,"")</f>
        <v/>
      </c>
      <c r="Y33" s="21">
        <f>IFERROR(subQ!Y22/subQ!X22-1,"")</f>
        <v/>
      </c>
      <c r="Z33" s="22" t="n"/>
      <c r="AA33" s="21">
        <f>IFERROR(subQ!AA22/subQ!Y22-1,"")</f>
        <v/>
      </c>
      <c r="AB33" s="23">
        <f>IFERROR(subQ!AB22/subQ!AA22-1,"")</f>
        <v/>
      </c>
      <c r="AC33" s="24" t="n">
        <v>0</v>
      </c>
      <c r="AD33" s="24" t="n">
        <v>0</v>
      </c>
      <c r="AE33" s="25" t="n"/>
      <c r="AF33" s="24" t="n">
        <v>0</v>
      </c>
      <c r="AG33" s="24" t="n">
        <v>0</v>
      </c>
      <c r="AH33" s="24" t="n">
        <v>0</v>
      </c>
      <c r="AI33" s="24" t="n">
        <v>0</v>
      </c>
      <c r="AJ33" s="25" t="n"/>
      <c r="AK33" s="24" t="n">
        <v>0</v>
      </c>
      <c r="AL33" s="24" t="n">
        <v>0</v>
      </c>
      <c r="AM33" s="24" t="n">
        <v>0</v>
      </c>
      <c r="AN33" s="24" t="n">
        <v>0</v>
      </c>
      <c r="AO33" s="25" t="n"/>
    </row>
    <row r="34">
      <c r="A34" s="12" t="inlineStr">
        <is>
          <t>drv:순차입금</t>
        </is>
      </c>
      <c r="B34" s="2" t="inlineStr">
        <is>
          <t>qoq</t>
        </is>
      </c>
      <c r="C34" t="inlineStr">
        <is>
          <t>순차입금 QoQ</t>
        </is>
      </c>
      <c r="E34" s="21" t="n"/>
      <c r="F34" s="22" t="n"/>
      <c r="G34" s="21">
        <f>IFERROR(subQ!G23/subQ!E23-1,"")</f>
        <v/>
      </c>
      <c r="H34" s="21">
        <f>IFERROR(subQ!H23/subQ!G23-1,"")</f>
        <v/>
      </c>
      <c r="I34" s="21">
        <f>IFERROR(subQ!I23/subQ!H23-1,"")</f>
        <v/>
      </c>
      <c r="J34" s="21">
        <f>IFERROR(subQ!J23/subQ!I23-1,"")</f>
        <v/>
      </c>
      <c r="K34" s="22" t="n"/>
      <c r="L34" s="21">
        <f>IFERROR(subQ!L23/subQ!J23-1,"")</f>
        <v/>
      </c>
      <c r="M34" s="21">
        <f>IFERROR(subQ!M23/subQ!L23-1,"")</f>
        <v/>
      </c>
      <c r="N34" s="21">
        <f>IFERROR(subQ!N23/subQ!M23-1,"")</f>
        <v/>
      </c>
      <c r="O34" s="21">
        <f>IFERROR(subQ!O23/subQ!N23-1,"")</f>
        <v/>
      </c>
      <c r="P34" s="22" t="n"/>
      <c r="Q34" s="21">
        <f>IFERROR(subQ!Q23/subQ!O23-1,"")</f>
        <v/>
      </c>
      <c r="R34" s="21">
        <f>IFERROR(subQ!R23/subQ!Q23-1,"")</f>
        <v/>
      </c>
      <c r="S34" s="21">
        <f>IFERROR(subQ!S23/subQ!R23-1,"")</f>
        <v/>
      </c>
      <c r="T34" s="21">
        <f>IFERROR(subQ!T23/subQ!S23-1,"")</f>
        <v/>
      </c>
      <c r="U34" s="22" t="n"/>
      <c r="V34" s="21">
        <f>IFERROR(subQ!V23/subQ!T23-1,"")</f>
        <v/>
      </c>
      <c r="W34" s="21">
        <f>IFERROR(subQ!W23/subQ!V23-1,"")</f>
        <v/>
      </c>
      <c r="X34" s="21">
        <f>IFERROR(subQ!X23/subQ!W23-1,"")</f>
        <v/>
      </c>
      <c r="Y34" s="21">
        <f>IFERROR(subQ!Y23/subQ!X23-1,"")</f>
        <v/>
      </c>
      <c r="Z34" s="22" t="n"/>
      <c r="AA34" s="21">
        <f>IFERROR(subQ!AA23/subQ!Y23-1,"")</f>
        <v/>
      </c>
      <c r="AB34" s="23">
        <f>IFERROR(subQ!AB23/subQ!AA23-1,"")</f>
        <v/>
      </c>
      <c r="AC34" s="24" t="n">
        <v>0.093933</v>
      </c>
      <c r="AD34" s="24" t="n">
        <v>0.08611199999999999</v>
      </c>
      <c r="AE34" s="25" t="n"/>
      <c r="AF34" s="24" t="n">
        <v>0.07915700000000001</v>
      </c>
      <c r="AG34" s="24" t="n">
        <v>0.016621</v>
      </c>
      <c r="AH34" s="24" t="n">
        <v>0.07033</v>
      </c>
      <c r="AI34" s="24" t="n">
        <v>0.065294</v>
      </c>
      <c r="AJ34" s="25" t="n"/>
      <c r="AK34" s="24" t="n">
        <v>0.060808</v>
      </c>
      <c r="AL34" s="24" t="n">
        <v>0.011906</v>
      </c>
      <c r="AM34" s="24" t="n">
        <v>0.057492</v>
      </c>
      <c r="AN34" s="24" t="n">
        <v>0.053487</v>
      </c>
      <c r="AO34" s="25" t="n"/>
    </row>
    <row r="35">
      <c r="A35" s="12" t="inlineStr">
        <is>
          <t>drv:이자발생자산</t>
        </is>
      </c>
      <c r="B35" s="2" t="inlineStr">
        <is>
          <t>qoq</t>
        </is>
      </c>
      <c r="C35" t="inlineStr">
        <is>
          <t>이자발생자산 QoQ</t>
        </is>
      </c>
      <c r="E35" s="21" t="n"/>
      <c r="F35" s="22" t="n"/>
      <c r="G35" s="21">
        <f>IFERROR(subQ!G24/subQ!E24-1,"")</f>
        <v/>
      </c>
      <c r="H35" s="21">
        <f>IFERROR(subQ!H24/subQ!G24-1,"")</f>
        <v/>
      </c>
      <c r="I35" s="21">
        <f>IFERROR(subQ!I24/subQ!H24-1,"")</f>
        <v/>
      </c>
      <c r="J35" s="21">
        <f>IFERROR(subQ!J24/subQ!I24-1,"")</f>
        <v/>
      </c>
      <c r="K35" s="22" t="n"/>
      <c r="L35" s="21">
        <f>IFERROR(subQ!L24/subQ!J24-1,"")</f>
        <v/>
      </c>
      <c r="M35" s="21">
        <f>IFERROR(subQ!M24/subQ!L24-1,"")</f>
        <v/>
      </c>
      <c r="N35" s="21">
        <f>IFERROR(subQ!N24/subQ!M24-1,"")</f>
        <v/>
      </c>
      <c r="O35" s="21">
        <f>IFERROR(subQ!O24/subQ!N24-1,"")</f>
        <v/>
      </c>
      <c r="P35" s="22" t="n"/>
      <c r="Q35" s="21">
        <f>IFERROR(subQ!Q24/subQ!O24-1,"")</f>
        <v/>
      </c>
      <c r="R35" s="21">
        <f>IFERROR(subQ!R24/subQ!Q24-1,"")</f>
        <v/>
      </c>
      <c r="S35" s="21">
        <f>IFERROR(subQ!S24/subQ!R24-1,"")</f>
        <v/>
      </c>
      <c r="T35" s="21">
        <f>IFERROR(subQ!T24/subQ!S24-1,"")</f>
        <v/>
      </c>
      <c r="U35" s="22" t="n"/>
      <c r="V35" s="21">
        <f>IFERROR(subQ!V24/subQ!T24-1,"")</f>
        <v/>
      </c>
      <c r="W35" s="21">
        <f>IFERROR(subQ!W24/subQ!V24-1,"")</f>
        <v/>
      </c>
      <c r="X35" s="21">
        <f>IFERROR(subQ!X24/subQ!W24-1,"")</f>
        <v/>
      </c>
      <c r="Y35" s="21">
        <f>IFERROR(subQ!Y24/subQ!X24-1,"")</f>
        <v/>
      </c>
      <c r="Z35" s="22" t="n"/>
      <c r="AA35" s="21">
        <f>IFERROR(subQ!AA24/subQ!Y24-1,"")</f>
        <v/>
      </c>
      <c r="AB35" s="23">
        <f>IFERROR(subQ!AB24/subQ!AA24-1,"")</f>
        <v/>
      </c>
      <c r="AC35" s="24" t="n">
        <v>0.07446999999999999</v>
      </c>
      <c r="AD35" s="24" t="n">
        <v>0.069506</v>
      </c>
      <c r="AE35" s="25" t="n"/>
      <c r="AF35" s="24" t="n">
        <v>0.064884</v>
      </c>
      <c r="AG35" s="24" t="n">
        <v>0.013806</v>
      </c>
      <c r="AH35" s="24" t="n">
        <v>0.058583</v>
      </c>
      <c r="AI35" s="24" t="n">
        <v>0.054992</v>
      </c>
      <c r="AJ35" s="25" t="n"/>
      <c r="AK35" s="24" t="n">
        <v>0.051714</v>
      </c>
      <c r="AL35" s="24" t="n">
        <v>0.010213</v>
      </c>
      <c r="AM35" s="24" t="n">
        <v>0.049399</v>
      </c>
      <c r="AN35" s="24" t="n">
        <v>0.046313</v>
      </c>
      <c r="AO35" s="25" t="n"/>
    </row>
    <row r="36">
      <c r="A36" s="12" t="inlineStr">
        <is>
          <t>drv:현금및현금성자산</t>
        </is>
      </c>
      <c r="B36" s="2" t="inlineStr">
        <is>
          <t>qoq</t>
        </is>
      </c>
      <c r="C36" t="inlineStr">
        <is>
          <t>현금및현금성자산 QoQ</t>
        </is>
      </c>
      <c r="E36" s="21" t="n"/>
      <c r="F36" s="22" t="n"/>
      <c r="G36" s="21">
        <f>IFERROR(subQ!G25/subQ!E25-1,"")</f>
        <v/>
      </c>
      <c r="H36" s="21">
        <f>IFERROR(subQ!H25/subQ!G25-1,"")</f>
        <v/>
      </c>
      <c r="I36" s="21">
        <f>IFERROR(subQ!I25/subQ!H25-1,"")</f>
        <v/>
      </c>
      <c r="J36" s="21">
        <f>IFERROR(subQ!J25/subQ!I25-1,"")</f>
        <v/>
      </c>
      <c r="K36" s="22" t="n"/>
      <c r="L36" s="21">
        <f>IFERROR(subQ!L25/subQ!J25-1,"")</f>
        <v/>
      </c>
      <c r="M36" s="21">
        <f>IFERROR(subQ!M25/subQ!L25-1,"")</f>
        <v/>
      </c>
      <c r="N36" s="21">
        <f>IFERROR(subQ!N25/subQ!M25-1,"")</f>
        <v/>
      </c>
      <c r="O36" s="21">
        <f>IFERROR(subQ!O25/subQ!N25-1,"")</f>
        <v/>
      </c>
      <c r="P36" s="22" t="n"/>
      <c r="Q36" s="21">
        <f>IFERROR(subQ!Q25/subQ!O25-1,"")</f>
        <v/>
      </c>
      <c r="R36" s="21">
        <f>IFERROR(subQ!R25/subQ!Q25-1,"")</f>
        <v/>
      </c>
      <c r="S36" s="21">
        <f>IFERROR(subQ!S25/subQ!R25-1,"")</f>
        <v/>
      </c>
      <c r="T36" s="21">
        <f>IFERROR(subQ!T25/subQ!S25-1,"")</f>
        <v/>
      </c>
      <c r="U36" s="22" t="n"/>
      <c r="V36" s="21">
        <f>IFERROR(subQ!V25/subQ!T25-1,"")</f>
        <v/>
      </c>
      <c r="W36" s="21">
        <f>IFERROR(subQ!W25/subQ!V25-1,"")</f>
        <v/>
      </c>
      <c r="X36" s="21">
        <f>IFERROR(subQ!X25/subQ!W25-1,"")</f>
        <v/>
      </c>
      <c r="Y36" s="21">
        <f>IFERROR(subQ!Y25/subQ!X25-1,"")</f>
        <v/>
      </c>
      <c r="Z36" s="22" t="n"/>
      <c r="AA36" s="21">
        <f>IFERROR(subQ!AA25/subQ!Y25-1,"")</f>
        <v/>
      </c>
      <c r="AB36" s="23">
        <f>IFERROR(subQ!AB25/subQ!AA25-1,"")</f>
        <v/>
      </c>
      <c r="AC36" s="31" t="n"/>
      <c r="AD36" s="31" t="n"/>
      <c r="AE36" s="25" t="n"/>
      <c r="AF36" s="31" t="n"/>
      <c r="AG36" s="31" t="n"/>
      <c r="AH36" s="31" t="n"/>
      <c r="AI36" s="31" t="n"/>
      <c r="AJ36" s="25" t="n"/>
      <c r="AK36" s="31" t="n"/>
      <c r="AL36" s="31" t="n"/>
      <c r="AM36" s="31" t="n"/>
      <c r="AN36" s="31" t="n"/>
      <c r="AO36" s="25" t="n"/>
    </row>
    <row r="37">
      <c r="A37" s="12" t="inlineStr">
        <is>
          <t>drv:CAPEX</t>
        </is>
      </c>
      <c r="B37" s="2" t="inlineStr">
        <is>
          <t>yoy</t>
        </is>
      </c>
      <c r="C37" t="inlineStr">
        <is>
          <t>CAPEX YoY</t>
        </is>
      </c>
      <c r="E37" s="21" t="n"/>
      <c r="F37" s="22" t="n"/>
      <c r="G37" s="21" t="n"/>
      <c r="H37" s="21" t="n"/>
      <c r="I37" s="21" t="n"/>
      <c r="J37" s="21">
        <f>IFERROR(subQ!J26/subQ!E26-1,"")</f>
        <v/>
      </c>
      <c r="K37" s="22" t="n"/>
      <c r="L37" s="21">
        <f>IFERROR(subQ!L26/subQ!G26-1,"")</f>
        <v/>
      </c>
      <c r="M37" s="21">
        <f>IFERROR(subQ!M26/subQ!H26-1,"")</f>
        <v/>
      </c>
      <c r="N37" s="21">
        <f>IFERROR(subQ!N26/subQ!I26-1,"")</f>
        <v/>
      </c>
      <c r="O37" s="21">
        <f>IFERROR(subQ!O26/subQ!J26-1,"")</f>
        <v/>
      </c>
      <c r="P37" s="22" t="n"/>
      <c r="Q37" s="21">
        <f>IFERROR(subQ!Q26/subQ!L26-1,"")</f>
        <v/>
      </c>
      <c r="R37" s="21">
        <f>IFERROR(subQ!R26/subQ!M26-1,"")</f>
        <v/>
      </c>
      <c r="S37" s="21">
        <f>IFERROR(subQ!S26/subQ!N26-1,"")</f>
        <v/>
      </c>
      <c r="T37" s="21">
        <f>IFERROR(subQ!T26/subQ!O26-1,"")</f>
        <v/>
      </c>
      <c r="U37" s="22" t="n"/>
      <c r="V37" s="21">
        <f>IFERROR(subQ!V26/subQ!Q26-1,"")</f>
        <v/>
      </c>
      <c r="W37" s="21">
        <f>IFERROR(subQ!W26/subQ!R26-1,"")</f>
        <v/>
      </c>
      <c r="X37" s="21">
        <f>IFERROR(subQ!X26/subQ!S26-1,"")</f>
        <v/>
      </c>
      <c r="Y37" s="21">
        <f>IFERROR(subQ!Y26/subQ!T26-1,"")</f>
        <v/>
      </c>
      <c r="Z37" s="22" t="n"/>
      <c r="AA37" s="21">
        <f>IFERROR(subQ!AA26/subQ!V26-1,"")</f>
        <v/>
      </c>
      <c r="AB37" s="23">
        <f>IFERROR(subQ!AB26/subQ!W26-1,"")</f>
        <v/>
      </c>
      <c r="AC37" s="31" t="n"/>
      <c r="AD37" s="31" t="n"/>
      <c r="AE37" s="25" t="n"/>
      <c r="AF37" s="31" t="n"/>
      <c r="AG37" s="31" t="n"/>
      <c r="AH37" s="31" t="n"/>
      <c r="AI37" s="31" t="n"/>
      <c r="AJ37" s="25" t="n"/>
      <c r="AK37" s="31" t="n"/>
      <c r="AL37" s="31" t="n"/>
      <c r="AM37" s="31" t="n"/>
      <c r="AN37" s="31" t="n"/>
      <c r="AO37" s="25" t="n"/>
    </row>
    <row r="38">
      <c r="A38" s="12" t="inlineStr">
        <is>
          <t>drv:영업활동현금흐름</t>
        </is>
      </c>
      <c r="B38" s="2" t="inlineStr">
        <is>
          <t>yoy</t>
        </is>
      </c>
      <c r="C38" t="inlineStr">
        <is>
          <t>영업활동현금흐름 YoY</t>
        </is>
      </c>
      <c r="E38" s="21" t="n"/>
      <c r="F38" s="22" t="n"/>
      <c r="G38" s="21" t="n"/>
      <c r="H38" s="21" t="n"/>
      <c r="I38" s="21" t="n"/>
      <c r="J38" s="21">
        <f>IFERROR(subQ!J27/subQ!E27-1,"")</f>
        <v/>
      </c>
      <c r="K38" s="22" t="n"/>
      <c r="L38" s="21">
        <f>IFERROR(subQ!L27/subQ!G27-1,"")</f>
        <v/>
      </c>
      <c r="M38" s="21">
        <f>IFERROR(subQ!M27/subQ!H27-1,"")</f>
        <v/>
      </c>
      <c r="N38" s="21">
        <f>IFERROR(subQ!N27/subQ!I27-1,"")</f>
        <v/>
      </c>
      <c r="O38" s="21">
        <f>IFERROR(subQ!O27/subQ!J27-1,"")</f>
        <v/>
      </c>
      <c r="P38" s="22" t="n"/>
      <c r="Q38" s="21">
        <f>IFERROR(subQ!Q27/subQ!L27-1,"")</f>
        <v/>
      </c>
      <c r="R38" s="21">
        <f>IFERROR(subQ!R27/subQ!M27-1,"")</f>
        <v/>
      </c>
      <c r="S38" s="21">
        <f>IFERROR(subQ!S27/subQ!N27-1,"")</f>
        <v/>
      </c>
      <c r="T38" s="21">
        <f>IFERROR(subQ!T27/subQ!O27-1,"")</f>
        <v/>
      </c>
      <c r="U38" s="22" t="n"/>
      <c r="V38" s="21">
        <f>IFERROR(subQ!V27/subQ!Q27-1,"")</f>
        <v/>
      </c>
      <c r="W38" s="21">
        <f>IFERROR(subQ!W27/subQ!R27-1,"")</f>
        <v/>
      </c>
      <c r="X38" s="21">
        <f>IFERROR(subQ!X27/subQ!S27-1,"")</f>
        <v/>
      </c>
      <c r="Y38" s="21">
        <f>IFERROR(subQ!Y27/subQ!T27-1,"")</f>
        <v/>
      </c>
      <c r="Z38" s="22" t="n"/>
      <c r="AA38" s="21">
        <f>IFERROR(subQ!AA27/subQ!V27-1,"")</f>
        <v/>
      </c>
      <c r="AB38" s="23">
        <f>IFERROR(subQ!AB27/subQ!W27-1,"")</f>
        <v/>
      </c>
      <c r="AC38" s="31" t="n"/>
      <c r="AD38" s="31" t="n"/>
      <c r="AE38" s="25" t="n"/>
      <c r="AF38" s="31" t="n"/>
      <c r="AG38" s="31" t="n"/>
      <c r="AH38" s="31" t="n"/>
      <c r="AI38" s="31" t="n"/>
      <c r="AJ38" s="25" t="n"/>
      <c r="AK38" s="31" t="n"/>
      <c r="AL38" s="31" t="n"/>
      <c r="AM38" s="31" t="n"/>
      <c r="AN38" s="31" t="n"/>
      <c r="AO38" s="25" t="n"/>
    </row>
    <row r="39">
      <c r="A39" s="12" t="inlineStr">
        <is>
          <t>drv:주식수</t>
        </is>
      </c>
      <c r="B39" s="2" t="inlineStr">
        <is>
          <t>qoq</t>
        </is>
      </c>
      <c r="C39" t="inlineStr">
        <is>
          <t>주식수 QoQ</t>
        </is>
      </c>
      <c r="E39" s="21" t="n"/>
      <c r="F39" s="22" t="n"/>
      <c r="G39" s="21">
        <f>IFERROR(subQ!G28/subQ!E28-1,"")</f>
        <v/>
      </c>
      <c r="H39" s="21">
        <f>IFERROR(subQ!H28/subQ!G28-1,"")</f>
        <v/>
      </c>
      <c r="I39" s="21">
        <f>IFERROR(subQ!I28/subQ!H28-1,"")</f>
        <v/>
      </c>
      <c r="J39" s="21">
        <f>IFERROR(subQ!J28/subQ!I28-1,"")</f>
        <v/>
      </c>
      <c r="K39" s="22" t="n"/>
      <c r="L39" s="21">
        <f>IFERROR(subQ!L28/subQ!J28-1,"")</f>
        <v/>
      </c>
      <c r="M39" s="21">
        <f>IFERROR(subQ!M28/subQ!L28-1,"")</f>
        <v/>
      </c>
      <c r="N39" s="21">
        <f>IFERROR(subQ!N28/subQ!M28-1,"")</f>
        <v/>
      </c>
      <c r="O39" s="21">
        <f>IFERROR(subQ!O28/subQ!N28-1,"")</f>
        <v/>
      </c>
      <c r="P39" s="22" t="n"/>
      <c r="Q39" s="21">
        <f>IFERROR(subQ!Q28/subQ!O28-1,"")</f>
        <v/>
      </c>
      <c r="R39" s="21">
        <f>IFERROR(subQ!R28/subQ!Q28-1,"")</f>
        <v/>
      </c>
      <c r="S39" s="21">
        <f>IFERROR(subQ!S28/subQ!R28-1,"")</f>
        <v/>
      </c>
      <c r="T39" s="21">
        <f>IFERROR(subQ!T28/subQ!S28-1,"")</f>
        <v/>
      </c>
      <c r="U39" s="22" t="n"/>
      <c r="V39" s="21">
        <f>IFERROR(subQ!V28/subQ!T28-1,"")</f>
        <v/>
      </c>
      <c r="W39" s="21">
        <f>IFERROR(subQ!W28/subQ!V28-1,"")</f>
        <v/>
      </c>
      <c r="X39" s="21">
        <f>IFERROR(subQ!X28/subQ!W28-1,"")</f>
        <v/>
      </c>
      <c r="Y39" s="21">
        <f>IFERROR(subQ!Y28/subQ!X28-1,"")</f>
        <v/>
      </c>
      <c r="Z39" s="22" t="n"/>
      <c r="AA39" s="21">
        <f>IFERROR(subQ!AA28/subQ!Y28-1,"")</f>
        <v/>
      </c>
      <c r="AB39" s="23">
        <f>IFERROR(subQ!AB28/subQ!AA28-1,"")</f>
        <v/>
      </c>
      <c r="AC39" s="24" t="n">
        <v>0</v>
      </c>
      <c r="AD39" s="24" t="n">
        <v>0</v>
      </c>
      <c r="AE39" s="25" t="n"/>
      <c r="AF39" s="24" t="n">
        <v>0</v>
      </c>
      <c r="AG39" s="24" t="n">
        <v>0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drv:DPS</t>
        </is>
      </c>
      <c r="B40" s="2" t="inlineStr">
        <is>
          <t>yoy</t>
        </is>
      </c>
      <c r="C40" t="inlineStr">
        <is>
          <t>DPS YoY</t>
        </is>
      </c>
      <c r="E40" s="21" t="n"/>
      <c r="F40" s="22" t="n"/>
      <c r="G40" s="21" t="n"/>
      <c r="H40" s="21" t="n"/>
      <c r="I40" s="21" t="n"/>
      <c r="J40" s="21">
        <f>IFERROR(subQ!J31/subQ!E31-1,"")</f>
        <v/>
      </c>
      <c r="K40" s="22" t="n"/>
      <c r="L40" s="21">
        <f>IFERROR(subQ!L31/subQ!G31-1,"")</f>
        <v/>
      </c>
      <c r="M40" s="21">
        <f>IFERROR(subQ!M31/subQ!H31-1,"")</f>
        <v/>
      </c>
      <c r="N40" s="21">
        <f>IFERROR(subQ!N31/subQ!I31-1,"")</f>
        <v/>
      </c>
      <c r="O40" s="21">
        <f>IFERROR(subQ!O31/subQ!J31-1,"")</f>
        <v/>
      </c>
      <c r="P40" s="22" t="n"/>
      <c r="Q40" s="21">
        <f>IFERROR(subQ!Q31/subQ!L31-1,"")</f>
        <v/>
      </c>
      <c r="R40" s="21">
        <f>IFERROR(subQ!R31/subQ!M31-1,"")</f>
        <v/>
      </c>
      <c r="S40" s="21">
        <f>IFERROR(subQ!S31/subQ!N31-1,"")</f>
        <v/>
      </c>
      <c r="T40" s="21">
        <f>IFERROR(subQ!T31/subQ!O31-1,"")</f>
        <v/>
      </c>
      <c r="U40" s="22" t="n"/>
      <c r="V40" s="21">
        <f>IFERROR(subQ!V31/subQ!Q31-1,"")</f>
        <v/>
      </c>
      <c r="W40" s="21">
        <f>IFERROR(subQ!W31/subQ!R31-1,"")</f>
        <v/>
      </c>
      <c r="X40" s="21">
        <f>IFERROR(subQ!X31/subQ!S31-1,"")</f>
        <v/>
      </c>
      <c r="Y40" s="21">
        <f>IFERROR(subQ!Y31/subQ!T31-1,"")</f>
        <v/>
      </c>
      <c r="Z40" s="22" t="n"/>
      <c r="AA40" s="21">
        <f>IFERROR(subQ!AA31/subQ!V31-1,"")</f>
        <v/>
      </c>
      <c r="AB40" s="23">
        <f>IFERROR(subQ!AB31/subQ!W31-1,"")</f>
        <v/>
      </c>
      <c r="AC40" s="31" t="n"/>
      <c r="AD40" s="24" t="n">
        <v>0</v>
      </c>
      <c r="AE40" s="25" t="n"/>
      <c r="AF40" s="31" t="n"/>
      <c r="AG40" s="31" t="n"/>
      <c r="AH40" s="31" t="n"/>
      <c r="AI40" s="24" t="n">
        <v>0</v>
      </c>
      <c r="AJ40" s="25" t="n"/>
      <c r="AK40" s="31" t="n"/>
      <c r="AL40" s="31" t="n"/>
      <c r="AM40" s="31" t="n"/>
      <c r="AN40" s="24" t="n">
        <v>0</v>
      </c>
      <c r="AO40" s="25" t="n"/>
    </row>
    <row r="41">
      <c r="A41" s="12" t="inlineStr">
        <is>
          <t>drv:PER</t>
        </is>
      </c>
      <c r="B41" s="2" t="inlineStr">
        <is>
          <t>yoy</t>
        </is>
      </c>
      <c r="C41" t="inlineStr">
        <is>
          <t>PER YoY</t>
        </is>
      </c>
      <c r="E41" s="21" t="n"/>
      <c r="F41" s="22" t="n"/>
      <c r="G41" s="21" t="n"/>
      <c r="H41" s="21" t="n"/>
      <c r="I41" s="21" t="n"/>
      <c r="J41" s="21">
        <f>IFERROR(subQ!J32/subQ!E32-1,"")</f>
        <v/>
      </c>
      <c r="K41" s="22" t="n"/>
      <c r="L41" s="21">
        <f>IFERROR(subQ!L32/subQ!G32-1,"")</f>
        <v/>
      </c>
      <c r="M41" s="21">
        <f>IFERROR(subQ!M32/subQ!H32-1,"")</f>
        <v/>
      </c>
      <c r="N41" s="21">
        <f>IFERROR(subQ!N32/subQ!I32-1,"")</f>
        <v/>
      </c>
      <c r="O41" s="21">
        <f>IFERROR(subQ!O32/subQ!J32-1,"")</f>
        <v/>
      </c>
      <c r="P41" s="22" t="n"/>
      <c r="Q41" s="21">
        <f>IFERROR(subQ!Q32/subQ!L32-1,"")</f>
        <v/>
      </c>
      <c r="R41" s="21">
        <f>IFERROR(subQ!R32/subQ!M32-1,"")</f>
        <v/>
      </c>
      <c r="S41" s="21">
        <f>IFERROR(subQ!S32/subQ!N32-1,"")</f>
        <v/>
      </c>
      <c r="T41" s="21">
        <f>IFERROR(subQ!T32/subQ!O32-1,"")</f>
        <v/>
      </c>
      <c r="U41" s="22" t="n"/>
      <c r="V41" s="21">
        <f>IFERROR(subQ!V32/subQ!Q32-1,"")</f>
        <v/>
      </c>
      <c r="W41" s="21">
        <f>IFERROR(subQ!W32/subQ!R32-1,"")</f>
        <v/>
      </c>
      <c r="X41" s="21">
        <f>IFERROR(subQ!X32/subQ!S32-1,"")</f>
        <v/>
      </c>
      <c r="Y41" s="21">
        <f>IFERROR(subQ!Y32/subQ!T32-1,"")</f>
        <v/>
      </c>
      <c r="Z41" s="22" t="n"/>
      <c r="AA41" s="21">
        <f>IFERROR(subQ!AA32/subQ!V32-1,"")</f>
        <v/>
      </c>
      <c r="AB41" s="23">
        <f>IFERROR(subQ!AB32/subQ!W32-1,"")</f>
        <v/>
      </c>
      <c r="AC41" s="24" t="n">
        <v>-0.519691</v>
      </c>
      <c r="AD41" s="24" t="n">
        <v>-0.577525</v>
      </c>
      <c r="AE41" s="25" t="n"/>
      <c r="AF41" s="24" t="n">
        <v>-0.492716</v>
      </c>
      <c r="AG41" s="24" t="n">
        <v>-0.212766</v>
      </c>
      <c r="AH41" s="24" t="n">
        <v>0.07717</v>
      </c>
      <c r="AI41" s="24" t="n">
        <v>0.138047</v>
      </c>
      <c r="AJ41" s="25" t="n"/>
      <c r="AK41" s="24" t="n">
        <v>0.153716</v>
      </c>
      <c r="AL41" s="24" t="n">
        <v>0.033033</v>
      </c>
      <c r="AM41" s="24" t="n">
        <v>0.025373</v>
      </c>
      <c r="AN41" s="24" t="n">
        <v>0.019231</v>
      </c>
      <c r="AO41" s="25" t="n"/>
    </row>
    <row r="42">
      <c r="A42" s="12" t="inlineStr">
        <is>
          <t>drv:PBR</t>
        </is>
      </c>
      <c r="B42" s="2" t="inlineStr">
        <is>
          <t>yoy</t>
        </is>
      </c>
      <c r="C42" t="inlineStr">
        <is>
          <t>PBR YoY</t>
        </is>
      </c>
      <c r="E42" s="21" t="n"/>
      <c r="F42" s="22" t="n"/>
      <c r="G42" s="21" t="n"/>
      <c r="H42" s="21" t="n"/>
      <c r="I42" s="21" t="n"/>
      <c r="J42" s="21">
        <f>IFERROR(subQ!J33/subQ!E33-1,"")</f>
        <v/>
      </c>
      <c r="K42" s="22" t="n"/>
      <c r="L42" s="21">
        <f>IFERROR(subQ!L33/subQ!G33-1,"")</f>
        <v/>
      </c>
      <c r="M42" s="21">
        <f>IFERROR(subQ!M33/subQ!H33-1,"")</f>
        <v/>
      </c>
      <c r="N42" s="21">
        <f>IFERROR(subQ!N33/subQ!I33-1,"")</f>
        <v/>
      </c>
      <c r="O42" s="21">
        <f>IFERROR(subQ!O33/subQ!J33-1,"")</f>
        <v/>
      </c>
      <c r="P42" s="22" t="n"/>
      <c r="Q42" s="21">
        <f>IFERROR(subQ!Q33/subQ!L33-1,"")</f>
        <v/>
      </c>
      <c r="R42" s="21">
        <f>IFERROR(subQ!R33/subQ!M33-1,"")</f>
        <v/>
      </c>
      <c r="S42" s="21">
        <f>IFERROR(subQ!S33/subQ!N33-1,"")</f>
        <v/>
      </c>
      <c r="T42" s="21">
        <f>IFERROR(subQ!T33/subQ!O33-1,"")</f>
        <v/>
      </c>
      <c r="U42" s="22" t="n"/>
      <c r="V42" s="21">
        <f>IFERROR(subQ!V33/subQ!Q33-1,"")</f>
        <v/>
      </c>
      <c r="W42" s="21">
        <f>IFERROR(subQ!W33/subQ!R33-1,"")</f>
        <v/>
      </c>
      <c r="X42" s="21">
        <f>IFERROR(subQ!X33/subQ!S33-1,"")</f>
        <v/>
      </c>
      <c r="Y42" s="21">
        <f>IFERROR(subQ!Y33/subQ!T33-1,"")</f>
        <v/>
      </c>
      <c r="Z42" s="22" t="n"/>
      <c r="AA42" s="21">
        <f>IFERROR(subQ!AA33/subQ!V33-1,"")</f>
        <v/>
      </c>
      <c r="AB42" s="23">
        <f>IFERROR(subQ!AB33/subQ!W33-1,"")</f>
        <v/>
      </c>
      <c r="AC42" s="24" t="n">
        <v>-0.308057</v>
      </c>
      <c r="AD42" s="24" t="n">
        <v>-0.39738</v>
      </c>
      <c r="AE42" s="25" t="n"/>
      <c r="AF42" s="24" t="n">
        <v>-0.396313</v>
      </c>
      <c r="AG42" s="24" t="n">
        <v>-0.335025</v>
      </c>
      <c r="AH42" s="24" t="n">
        <v>-0.143836</v>
      </c>
      <c r="AI42" s="24" t="n">
        <v>-0.130435</v>
      </c>
      <c r="AJ42" s="25" t="n"/>
      <c r="AK42" s="24" t="n">
        <v>-0.122137</v>
      </c>
      <c r="AL42" s="24" t="n">
        <v>-0.122137</v>
      </c>
      <c r="AM42" s="24" t="n">
        <v>-0.12</v>
      </c>
      <c r="AN42" s="24" t="n">
        <v>-0.116667</v>
      </c>
      <c r="AO42" s="25" t="n"/>
    </row>
    <row r="43">
      <c r="A43" s="12" t="inlineStr">
        <is>
          <t>drv:매출전사</t>
        </is>
      </c>
      <c r="B43" s="2" t="inlineStr">
        <is>
          <t>ratio</t>
        </is>
      </c>
      <c r="C43" t="inlineStr">
        <is>
          <t>매출전사 비중(/매출액)</t>
        </is>
      </c>
      <c r="E43" s="21">
        <f>IFERROR(subQ!E34/subQ!E5,"")</f>
        <v/>
      </c>
      <c r="F43" s="22">
        <f>IFERROR(subQ!F34/subQ!F5,"")</f>
        <v/>
      </c>
      <c r="G43" s="21">
        <f>IFERROR(subQ!G34/subQ!G5,"")</f>
        <v/>
      </c>
      <c r="H43" s="21">
        <f>IFERROR(subQ!H34/subQ!H5,"")</f>
        <v/>
      </c>
      <c r="I43" s="21">
        <f>IFERROR(subQ!I34/subQ!I5,"")</f>
        <v/>
      </c>
      <c r="J43" s="21">
        <f>IFERROR(subQ!J34/subQ!J5,"")</f>
        <v/>
      </c>
      <c r="K43" s="22">
        <f>IFERROR(subQ!K34/subQ!K5,"")</f>
        <v/>
      </c>
      <c r="L43" s="21">
        <f>IFERROR(subQ!L34/subQ!L5,"")</f>
        <v/>
      </c>
      <c r="M43" s="21">
        <f>IFERROR(subQ!M34/subQ!M5,"")</f>
        <v/>
      </c>
      <c r="N43" s="21">
        <f>IFERROR(subQ!N34/subQ!N5,"")</f>
        <v/>
      </c>
      <c r="O43" s="21">
        <f>IFERROR(subQ!O34/subQ!O5,"")</f>
        <v/>
      </c>
      <c r="P43" s="22">
        <f>IFERROR(subQ!P34/subQ!P5,"")</f>
        <v/>
      </c>
      <c r="Q43" s="21">
        <f>IFERROR(subQ!Q34/subQ!Q5,"")</f>
        <v/>
      </c>
      <c r="R43" s="21">
        <f>IFERROR(subQ!R34/subQ!R5,"")</f>
        <v/>
      </c>
      <c r="S43" s="21">
        <f>IFERROR(subQ!S34/subQ!S5,"")</f>
        <v/>
      </c>
      <c r="T43" s="21">
        <f>IFERROR(subQ!T34/subQ!T5,"")</f>
        <v/>
      </c>
      <c r="U43" s="22">
        <f>IFERROR(subQ!U34/subQ!U5,"")</f>
        <v/>
      </c>
      <c r="V43" s="21">
        <f>IFERROR(subQ!V34/subQ!V5,"")</f>
        <v/>
      </c>
      <c r="W43" s="21">
        <f>IFERROR(subQ!W34/subQ!W5,"")</f>
        <v/>
      </c>
      <c r="X43" s="21">
        <f>IFERROR(subQ!X34/subQ!X5,"")</f>
        <v/>
      </c>
      <c r="Y43" s="21">
        <f>IFERROR(subQ!Y34/subQ!Y5,"")</f>
        <v/>
      </c>
      <c r="Z43" s="22">
        <f>IFERROR(subQ!Z34/subQ!Z5,"")</f>
        <v/>
      </c>
      <c r="AA43" s="21">
        <f>IFERROR(subQ!AA34/subQ!AA5,"")</f>
        <v/>
      </c>
      <c r="AB43" s="23">
        <f>IFERROR(subQ!AB34/subQ!AB5,"")</f>
        <v/>
      </c>
      <c r="AC43" s="24" t="n">
        <v>1</v>
      </c>
      <c r="AD43" s="24" t="n">
        <v>1</v>
      </c>
      <c r="AE43" s="25">
        <f>IFERROR(subQ!AE34/subQ!AE5,"")</f>
        <v/>
      </c>
      <c r="AF43" s="24" t="n">
        <v>1</v>
      </c>
      <c r="AG43" s="24" t="n">
        <v>1</v>
      </c>
      <c r="AH43" s="24" t="n">
        <v>1</v>
      </c>
      <c r="AI43" s="24" t="n">
        <v>1</v>
      </c>
      <c r="AJ43" s="25">
        <f>IFERROR(subQ!AJ34/subQ!AJ5,"")</f>
        <v/>
      </c>
      <c r="AK43" s="24" t="n">
        <v>1</v>
      </c>
      <c r="AL43" s="24" t="n">
        <v>1</v>
      </c>
      <c r="AM43" s="24" t="n">
        <v>1</v>
      </c>
      <c r="AN43" s="24" t="n">
        <v>1</v>
      </c>
      <c r="AO43" s="25">
        <f>IFERROR(subQ!AO34/subQ!AO5,"")</f>
        <v/>
      </c>
    </row>
    <row r="44">
      <c r="A44" s="12" t="inlineStr">
        <is>
          <t>drv:OP전사</t>
        </is>
      </c>
      <c r="B44" s="2" t="inlineStr">
        <is>
          <t>ratio</t>
        </is>
      </c>
      <c r="C44" t="inlineStr">
        <is>
          <t>OP전사 마진(/매출전사)</t>
        </is>
      </c>
      <c r="E44" s="21">
        <f>IFERROR(subQ!E35/subQ!E34,"")</f>
        <v/>
      </c>
      <c r="F44" s="22">
        <f>IFERROR(subQ!F35/subQ!F34,"")</f>
        <v/>
      </c>
      <c r="G44" s="21">
        <f>IFERROR(subQ!G35/subQ!G34,"")</f>
        <v/>
      </c>
      <c r="H44" s="21">
        <f>IFERROR(subQ!H35/subQ!H34,"")</f>
        <v/>
      </c>
      <c r="I44" s="21">
        <f>IFERROR(subQ!I35/subQ!I34,"")</f>
        <v/>
      </c>
      <c r="J44" s="21">
        <f>IFERROR(subQ!J35/subQ!J34,"")</f>
        <v/>
      </c>
      <c r="K44" s="22">
        <f>IFERROR(subQ!K35/subQ!K34,"")</f>
        <v/>
      </c>
      <c r="L44" s="21">
        <f>IFERROR(subQ!L35/subQ!L34,"")</f>
        <v/>
      </c>
      <c r="M44" s="21">
        <f>IFERROR(subQ!M35/subQ!M34,"")</f>
        <v/>
      </c>
      <c r="N44" s="21">
        <f>IFERROR(subQ!N35/subQ!N34,"")</f>
        <v/>
      </c>
      <c r="O44" s="21">
        <f>IFERROR(subQ!O35/subQ!O34,"")</f>
        <v/>
      </c>
      <c r="P44" s="22">
        <f>IFERROR(subQ!P35/subQ!P34,"")</f>
        <v/>
      </c>
      <c r="Q44" s="21">
        <f>IFERROR(subQ!Q35/subQ!Q34,"")</f>
        <v/>
      </c>
      <c r="R44" s="21">
        <f>IFERROR(subQ!R35/subQ!R34,"")</f>
        <v/>
      </c>
      <c r="S44" s="21">
        <f>IFERROR(subQ!S35/subQ!S34,"")</f>
        <v/>
      </c>
      <c r="T44" s="21">
        <f>IFERROR(subQ!T35/subQ!T34,"")</f>
        <v/>
      </c>
      <c r="U44" s="22">
        <f>IFERROR(subQ!U35/subQ!U34,"")</f>
        <v/>
      </c>
      <c r="V44" s="21">
        <f>IFERROR(subQ!V35/subQ!V34,"")</f>
        <v/>
      </c>
      <c r="W44" s="21">
        <f>IFERROR(subQ!W35/subQ!W34,"")</f>
        <v/>
      </c>
      <c r="X44" s="21">
        <f>IFERROR(subQ!X35/subQ!X34,"")</f>
        <v/>
      </c>
      <c r="Y44" s="21">
        <f>IFERROR(subQ!Y35/subQ!Y34,"")</f>
        <v/>
      </c>
      <c r="Z44" s="22">
        <f>IFERROR(subQ!Z35/subQ!Z34,"")</f>
        <v/>
      </c>
      <c r="AA44" s="21">
        <f>IFERROR(subQ!AA35/subQ!AA34,"")</f>
        <v/>
      </c>
      <c r="AB44" s="23">
        <f>IFERROR(subQ!AB35/subQ!AB34,"")</f>
        <v/>
      </c>
      <c r="AC44" s="24" t="n">
        <v>0.143932</v>
      </c>
      <c r="AD44" s="24" t="n">
        <v>0.143232</v>
      </c>
      <c r="AE44" s="25">
        <f>IFERROR(subQ!AE35/subQ!AE34,"")</f>
        <v/>
      </c>
      <c r="AF44" s="24" t="n">
        <v>0.143232</v>
      </c>
      <c r="AG44" s="24" t="n">
        <v>0.142433</v>
      </c>
      <c r="AH44" s="24" t="n">
        <v>0.140533</v>
      </c>
      <c r="AI44" s="24" t="n">
        <v>0.140433</v>
      </c>
      <c r="AJ44" s="25">
        <f>IFERROR(subQ!AJ35/subQ!AJ34,"")</f>
        <v/>
      </c>
      <c r="AK44" s="24" t="n">
        <v>0.140433</v>
      </c>
      <c r="AL44" s="24" t="n">
        <v>0.142633</v>
      </c>
      <c r="AM44" s="24" t="n">
        <v>0.146333</v>
      </c>
      <c r="AN44" s="24" t="n">
        <v>0.147233</v>
      </c>
      <c r="AO44" s="25">
        <f>IFERROR(subQ!AO35/subQ!AO34,"")</f>
        <v/>
      </c>
    </row>
    <row r="45"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B46" s="1" t="inlineStr">
        <is>
          <t>3. 밸류에이션·스칼라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sc:종가</t>
        </is>
      </c>
      <c r="C47" t="inlineStr">
        <is>
          <t>종가</t>
        </is>
      </c>
      <c r="D47" s="32" t="n">
        <v>323000</v>
      </c>
      <c r="E47" s="2" t="inlineStr">
        <is>
          <t>원 — aikstockdata(금융위 T+1)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sc:기준일</t>
        </is>
      </c>
      <c r="C48" t="inlineStr">
        <is>
          <t>기준일</t>
        </is>
      </c>
      <c r="D48" s="33" t="inlineStr">
        <is>
          <t>20260929</t>
        </is>
      </c>
      <c r="E48" s="2" t="inlineStr">
        <is>
          <t>종가 기준일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sc:COE</t>
        </is>
      </c>
      <c r="C49" t="inlineStr">
        <is>
          <t>COE</t>
        </is>
      </c>
      <c r="D49" s="24" t="n">
        <v>0.09</v>
      </c>
      <c r="E49" s="2" t="inlineStr">
        <is>
          <t>자기자본비용(가정)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sc:PER_lo</t>
        </is>
      </c>
      <c r="C50" t="inlineStr">
        <is>
          <t>PER_lo</t>
        </is>
      </c>
      <c r="D50" s="29" t="n">
        <v>11.7</v>
      </c>
      <c r="E50" s="2" t="inlineStr">
        <is>
          <t>PER 밴드 하단(배) — hist_quarterly(분기 평균가 ÷ TTM EPS, 13분기, 25/50/75 백분위)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sc:PER_mid</t>
        </is>
      </c>
      <c r="C51" t="inlineStr">
        <is>
          <t>PER_mid</t>
        </is>
      </c>
      <c r="D51" s="29" t="n">
        <v>13.1</v>
      </c>
      <c r="E51" s="2" t="inlineStr">
        <is>
          <t>PER 밴드 중단(배)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sc:PER_hi</t>
        </is>
      </c>
      <c r="C52" t="inlineStr">
        <is>
          <t>PER_hi</t>
        </is>
      </c>
      <c r="D52" s="29" t="n">
        <v>21.5</v>
      </c>
      <c r="E52" s="2" t="inlineStr">
        <is>
          <t>PER 밴드 상단(배)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sc:EPS_Y1가중</t>
        </is>
      </c>
      <c r="C53" t="inlineStr">
        <is>
          <t>EPS_Y1가중</t>
        </is>
      </c>
      <c r="D53" s="24" t="n">
        <v>0.5</v>
      </c>
      <c r="E53" s="2" t="inlineStr">
        <is>
          <t>12M fwd EPS = FY(last_actual연도)E × w + FY+1E × (1−w) — 기준 분기 2Q 이면 0.5(가정)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sc:세율</t>
        </is>
      </c>
      <c r="C54" t="inlineStr">
        <is>
          <t>세율</t>
        </is>
      </c>
      <c r="D54" s="24" t="n">
        <v>0.1989</v>
      </c>
      <c r="E54" s="2" t="inlineStr">
        <is>
          <t>법인세율 가정(참고 — 추정 수식은 드라이버 행 참조)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sc:판관비율</t>
        </is>
      </c>
      <c r="C55" t="inlineStr">
        <is>
          <t>판관비율</t>
        </is>
      </c>
      <c r="D55" s="24" t="n">
        <v>0.0484</v>
      </c>
      <c r="E55" s="2" t="inlineStr">
        <is>
          <t>판관비율 가정(참고)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sc:배당성향</t>
        </is>
      </c>
      <c r="C56" t="inlineStr">
        <is>
          <t>배당성향</t>
        </is>
      </c>
      <c r="D56" s="24" t="n">
        <v>0.4011</v>
      </c>
      <c r="E56" s="2" t="inlineStr">
        <is>
          <t>배당성향 가정(참고)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sc:외화순노출_백만$</t>
        </is>
      </c>
      <c r="C57" t="inlineStr">
        <is>
          <t>외화순노출_백만$</t>
        </is>
      </c>
      <c r="D57" s="29" t="n"/>
      <c r="E57" s="2" t="inlineStr">
        <is>
          <t>외화 순노출 × Δ기말환율 (외화 시트 방식)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HD한국조선해양(연)</t>
        </is>
      </c>
      <c r="C3" s="2" t="inlineStr">
        <is>
          <t>UPDATE: 26-09-30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14562196.01</v>
      </c>
      <c r="F5" s="34" t="n">
        <v>14562196.01</v>
      </c>
      <c r="G5" s="18" t="n">
        <v>15055674.2</v>
      </c>
      <c r="H5" s="18" t="n">
        <v>16265600.35</v>
      </c>
      <c r="I5" s="18" t="n">
        <v>18102305.64</v>
      </c>
      <c r="J5" s="18" t="n">
        <v>15775914.22</v>
      </c>
      <c r="K5" s="34" t="n">
        <v>15775914.22</v>
      </c>
      <c r="L5" s="18" t="n">
        <v>16219643.52</v>
      </c>
      <c r="M5" s="18" t="n">
        <v>17381113.45</v>
      </c>
      <c r="N5" s="18" t="n">
        <v>18479102.48</v>
      </c>
      <c r="O5" s="18" t="n">
        <v>17735127.27</v>
      </c>
      <c r="P5" s="34" t="n">
        <v>17735127.27</v>
      </c>
      <c r="Q5" s="18" t="n">
        <v>17895153.07</v>
      </c>
      <c r="R5" s="18" t="n">
        <v>18247450.62</v>
      </c>
      <c r="S5" s="18" t="n">
        <v>17264687.82</v>
      </c>
      <c r="T5" s="18" t="n">
        <v>20431356.43</v>
      </c>
      <c r="U5" s="34" t="n">
        <v>20431356.43</v>
      </c>
      <c r="V5" s="18" t="n">
        <v>23289376.93</v>
      </c>
      <c r="W5" s="18" t="n">
        <v>22015176.07</v>
      </c>
      <c r="X5" s="18" t="n">
        <v>23057853.13</v>
      </c>
      <c r="Y5" s="18" t="n">
        <v>23424477.84</v>
      </c>
      <c r="Z5" s="34" t="n">
        <v>23424477.84</v>
      </c>
      <c r="AA5" s="18" t="n">
        <v>25710146.31</v>
      </c>
      <c r="AB5" s="19" t="n">
        <v>30170024.39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4567468.1</v>
      </c>
      <c r="F6" s="34" t="n">
        <v>4567468.1</v>
      </c>
      <c r="G6" s="18" t="n">
        <v>4532301.46</v>
      </c>
      <c r="H6" s="18" t="n">
        <v>4752961.08</v>
      </c>
      <c r="I6" s="18" t="n">
        <v>3634472.16</v>
      </c>
      <c r="J6" s="18" t="n">
        <v>2697222.87</v>
      </c>
      <c r="K6" s="34" t="n">
        <v>2697222.87</v>
      </c>
      <c r="L6" s="18" t="n">
        <v>2852572.62</v>
      </c>
      <c r="M6" s="18" t="n">
        <v>4270309.74</v>
      </c>
      <c r="N6" s="18" t="n">
        <v>4035501.79</v>
      </c>
      <c r="O6" s="18" t="n">
        <v>3018390.96</v>
      </c>
      <c r="P6" s="34" t="n">
        <v>3018390.96</v>
      </c>
      <c r="Q6" s="18" t="n">
        <v>3669603.92</v>
      </c>
      <c r="R6" s="18" t="n">
        <v>3397850.26</v>
      </c>
      <c r="S6" s="18" t="n">
        <v>2543376.72</v>
      </c>
      <c r="T6" s="18" t="n">
        <v>3717318.96</v>
      </c>
      <c r="U6" s="34" t="n">
        <v>3717318.96</v>
      </c>
      <c r="V6" s="18" t="n">
        <v>5600443.11</v>
      </c>
      <c r="W6" s="18" t="n">
        <v>5513834.05</v>
      </c>
      <c r="X6" s="18" t="n">
        <v>4709370.94</v>
      </c>
      <c r="Y6" s="18" t="n">
        <v>3742015.55</v>
      </c>
      <c r="Z6" s="34" t="n">
        <v>3742015.55</v>
      </c>
      <c r="AA6" s="18" t="n">
        <v>6468672.77</v>
      </c>
      <c r="AB6" s="19" t="n">
        <v>10995975.46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660027.77</v>
      </c>
      <c r="F7" s="34" t="n">
        <v>660027.77</v>
      </c>
      <c r="G7" s="18" t="n">
        <v>754500.51</v>
      </c>
      <c r="H7" s="18" t="n">
        <v>628361.61</v>
      </c>
      <c r="I7" s="18" t="n">
        <v>1443705.98</v>
      </c>
      <c r="J7" s="18" t="n">
        <v>1304041.47</v>
      </c>
      <c r="K7" s="34" t="n">
        <v>1304041.47</v>
      </c>
      <c r="L7" s="18" t="n">
        <v>1170875.3</v>
      </c>
      <c r="M7" s="18" t="n">
        <v>341542.35</v>
      </c>
      <c r="N7" s="18" t="n">
        <v>1057491.3</v>
      </c>
      <c r="O7" s="18" t="n">
        <v>1595618.68</v>
      </c>
      <c r="P7" s="34" t="n">
        <v>1595618.68</v>
      </c>
      <c r="Q7" s="18" t="n">
        <v>983649.16</v>
      </c>
      <c r="R7" s="18" t="n">
        <v>1815275.13</v>
      </c>
      <c r="S7" s="18" t="n">
        <v>1764395.11</v>
      </c>
      <c r="T7" s="18" t="n">
        <v>1922179.18</v>
      </c>
      <c r="U7" s="34" t="n">
        <v>1922179.18</v>
      </c>
      <c r="V7" s="18" t="n">
        <v>2454897.54</v>
      </c>
      <c r="W7" s="18" t="n">
        <v>2705949.56</v>
      </c>
      <c r="Y7" s="18" t="n">
        <v>4434581.43</v>
      </c>
      <c r="Z7" s="34" t="n">
        <v>4434581.43</v>
      </c>
      <c r="AA7" s="18" t="n">
        <v>3267664.3</v>
      </c>
      <c r="AB7" s="19" t="n">
        <v>2596829.43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848060.65</v>
      </c>
      <c r="F8" s="34" t="n">
        <v>848060.65</v>
      </c>
      <c r="G8" s="18" t="n">
        <v>1023391.67</v>
      </c>
      <c r="H8" s="18" t="n">
        <v>1212233.14</v>
      </c>
      <c r="I8" s="18" t="n">
        <v>2701185.81</v>
      </c>
      <c r="J8" s="18" t="n">
        <v>1818717.99</v>
      </c>
      <c r="K8" s="34" t="n">
        <v>1818717.99</v>
      </c>
      <c r="L8" s="18" t="n">
        <v>1747798.92</v>
      </c>
      <c r="M8" s="18" t="n">
        <v>908706.84</v>
      </c>
      <c r="N8" s="18" t="n">
        <v>1735702.69</v>
      </c>
      <c r="O8" s="18" t="n">
        <v>2025013.68</v>
      </c>
      <c r="P8" s="34" t="n">
        <v>2025013.68</v>
      </c>
      <c r="Q8" s="18" t="n">
        <v>1570842.62</v>
      </c>
      <c r="R8" s="18" t="n">
        <v>2558446.46</v>
      </c>
      <c r="S8" s="18" t="n">
        <v>2204129.96</v>
      </c>
      <c r="T8" s="18" t="n">
        <v>3115653.59</v>
      </c>
      <c r="U8" s="34" t="n">
        <v>3115653.59</v>
      </c>
      <c r="V8" s="18" t="n">
        <v>3472603.21</v>
      </c>
      <c r="W8" s="18" t="n">
        <v>3153286.33</v>
      </c>
      <c r="Y8" s="18" t="n">
        <v>5125707.97</v>
      </c>
      <c r="Z8" s="34" t="n">
        <v>5125707.97</v>
      </c>
      <c r="AA8" s="18" t="n">
        <v>4427782.28</v>
      </c>
      <c r="AB8" s="19" t="n">
        <v>3984024.05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1067697.98</v>
      </c>
      <c r="F9" s="34" t="n">
        <v>1067697.98</v>
      </c>
      <c r="G9" s="18" t="n">
        <v>1055271</v>
      </c>
      <c r="H9" s="18" t="n">
        <v>1573081.98</v>
      </c>
      <c r="I9" s="18" t="n">
        <v>1344506.25</v>
      </c>
      <c r="J9" s="18" t="n">
        <v>1026706.27</v>
      </c>
      <c r="K9" s="34" t="n">
        <v>1026706.27</v>
      </c>
      <c r="L9" s="18" t="n">
        <v>1132897.11</v>
      </c>
      <c r="M9" s="18" t="n">
        <v>1112498.87</v>
      </c>
      <c r="N9" s="18" t="n">
        <v>1320685.22</v>
      </c>
      <c r="O9" s="18" t="n">
        <v>1460128.95</v>
      </c>
      <c r="P9" s="34" t="n">
        <v>1460128.95</v>
      </c>
      <c r="Q9" s="18" t="n">
        <v>1444969.52</v>
      </c>
      <c r="R9" s="18" t="n">
        <v>1458522.79</v>
      </c>
      <c r="S9" s="18" t="n">
        <v>1555797</v>
      </c>
      <c r="T9" s="18" t="n">
        <v>1640342.82</v>
      </c>
      <c r="U9" s="34" t="n">
        <v>1640342.82</v>
      </c>
      <c r="V9" s="18" t="n">
        <v>2061517.38</v>
      </c>
      <c r="W9" s="18" t="n">
        <v>1643448.52</v>
      </c>
      <c r="Y9" s="18" t="n">
        <v>1812029.59</v>
      </c>
      <c r="Z9" s="34" t="n">
        <v>1812029.59</v>
      </c>
      <c r="AA9" s="18" t="n">
        <v>1768844.43</v>
      </c>
      <c r="AB9" s="19" t="n">
        <v>1829787.36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5502878.41</v>
      </c>
      <c r="F10" s="34" t="n">
        <v>5502878.41</v>
      </c>
      <c r="G10" s="18" t="n">
        <v>5712921.81</v>
      </c>
      <c r="H10" s="18" t="n">
        <v>5787753.48</v>
      </c>
      <c r="I10" s="18" t="n">
        <v>6879969.6</v>
      </c>
      <c r="J10" s="18" t="n">
        <v>6435957.22</v>
      </c>
      <c r="K10" s="34" t="n">
        <v>6435957.22</v>
      </c>
      <c r="L10" s="18" t="n">
        <v>6404863.48</v>
      </c>
      <c r="M10" s="18" t="n">
        <v>7005608</v>
      </c>
      <c r="N10" s="18" t="n">
        <v>7080262.73</v>
      </c>
      <c r="O10" s="18" t="n">
        <v>7156818.35</v>
      </c>
      <c r="P10" s="34" t="n">
        <v>7156818.35</v>
      </c>
      <c r="Q10" s="18" t="n">
        <v>6962382.63</v>
      </c>
      <c r="R10" s="18" t="n">
        <v>6693699.43</v>
      </c>
      <c r="S10" s="18" t="n">
        <v>6527921.67</v>
      </c>
      <c r="T10" s="18" t="n">
        <v>7503003.89</v>
      </c>
      <c r="U10" s="34" t="n">
        <v>7503003.89</v>
      </c>
      <c r="V10" s="18" t="n">
        <v>7050616.56</v>
      </c>
      <c r="W10" s="18" t="n">
        <v>6667632.17</v>
      </c>
      <c r="Y10" s="18" t="n">
        <v>7738830.38</v>
      </c>
      <c r="Z10" s="34" t="n">
        <v>7738830.38</v>
      </c>
      <c r="AA10" s="18" t="n">
        <v>8059753.99</v>
      </c>
      <c r="AB10" s="19" t="n">
        <v>8242619.98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1554136.72</v>
      </c>
      <c r="F11" s="34" t="n">
        <v>1554136.72</v>
      </c>
      <c r="G11" s="18" t="n">
        <v>1626869.89</v>
      </c>
      <c r="H11" s="18" t="n">
        <v>1750576.78</v>
      </c>
      <c r="I11" s="18" t="n">
        <v>2176607.05</v>
      </c>
      <c r="J11" s="18" t="n">
        <v>2203316.63</v>
      </c>
      <c r="K11" s="34" t="n">
        <v>2203316.63</v>
      </c>
      <c r="L11" s="18" t="n">
        <v>2229702.42</v>
      </c>
      <c r="M11" s="18" t="n">
        <v>2141558.99</v>
      </c>
      <c r="N11" s="18" t="n">
        <v>2174245.41</v>
      </c>
      <c r="O11" s="18" t="n">
        <v>2005664.72</v>
      </c>
      <c r="P11" s="34" t="n">
        <v>2005664.72</v>
      </c>
      <c r="Q11" s="18" t="n">
        <v>2216194</v>
      </c>
      <c r="R11" s="18" t="n">
        <v>2128191.8</v>
      </c>
      <c r="S11" s="18" t="n">
        <v>2337487.48</v>
      </c>
      <c r="T11" s="18" t="n">
        <v>2232067.01</v>
      </c>
      <c r="U11" s="34" t="n">
        <v>2232067.01</v>
      </c>
      <c r="V11" s="18" t="n">
        <v>2368177.55</v>
      </c>
      <c r="W11" s="18" t="n">
        <v>2477601.5</v>
      </c>
      <c r="Y11" s="18" t="n">
        <v>2765843.22</v>
      </c>
      <c r="Z11" s="34" t="n">
        <v>2765843.22</v>
      </c>
      <c r="AA11" s="18" t="n">
        <v>2943570.71</v>
      </c>
      <c r="AB11" s="19" t="n">
        <v>3168879.26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유동파생상품자산</t>
        </is>
      </c>
      <c r="E12" s="18" t="n">
        <v>14528.49</v>
      </c>
      <c r="F12" s="34" t="n">
        <v>14528.49</v>
      </c>
      <c r="G12" s="18" t="n">
        <v>40303.62</v>
      </c>
      <c r="H12" s="18" t="n">
        <v>69900.57000000001</v>
      </c>
      <c r="I12" s="18" t="n">
        <v>131143.12</v>
      </c>
      <c r="J12" s="18" t="n">
        <v>169837.01</v>
      </c>
      <c r="K12" s="34" t="n">
        <v>169837.01</v>
      </c>
      <c r="L12" s="18" t="n">
        <v>130245.86</v>
      </c>
      <c r="M12" s="18" t="n">
        <v>122965.27</v>
      </c>
      <c r="N12" s="18" t="n">
        <v>112831.45</v>
      </c>
      <c r="O12" s="18" t="n">
        <v>143267.3</v>
      </c>
      <c r="P12" s="34" t="n">
        <v>143267.3</v>
      </c>
      <c r="Q12" s="18" t="n">
        <v>36191.34</v>
      </c>
      <c r="R12" s="18" t="n">
        <v>5407.3</v>
      </c>
      <c r="S12" s="18" t="n">
        <v>98613.00999999999</v>
      </c>
      <c r="T12" s="18" t="n">
        <v>1162.39</v>
      </c>
      <c r="U12" s="34" t="n">
        <v>1162.39</v>
      </c>
      <c r="V12" s="18" t="n">
        <v>2661.44</v>
      </c>
      <c r="W12" s="18" t="n">
        <v>93986.32000000001</v>
      </c>
      <c r="Y12" s="18" t="n">
        <v>13602.67</v>
      </c>
      <c r="Z12" s="34" t="n">
        <v>13602.67</v>
      </c>
      <c r="AA12" s="18" t="n">
        <v>89255.86</v>
      </c>
      <c r="AB12" s="19" t="n">
        <v>99637.62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유동확정계약자산</t>
        </is>
      </c>
      <c r="E13" s="18" t="n">
        <v>173504.39</v>
      </c>
      <c r="F13" s="34" t="n">
        <v>173504.39</v>
      </c>
      <c r="G13" s="18" t="n">
        <v>228587.54</v>
      </c>
      <c r="H13" s="18" t="n">
        <v>513970.96</v>
      </c>
      <c r="I13" s="18" t="n">
        <v>1126336.71</v>
      </c>
      <c r="J13" s="18" t="n">
        <v>344839.51</v>
      </c>
      <c r="K13" s="34" t="n">
        <v>344839.51</v>
      </c>
      <c r="L13" s="18" t="n">
        <v>446677.76</v>
      </c>
      <c r="M13" s="18" t="n">
        <v>444199.22</v>
      </c>
      <c r="N13" s="18" t="n">
        <v>565379.9399999999</v>
      </c>
      <c r="O13" s="18" t="n">
        <v>286127.7</v>
      </c>
      <c r="P13" s="34" t="n">
        <v>286127.7</v>
      </c>
      <c r="Q13" s="18" t="n">
        <v>551002.12</v>
      </c>
      <c r="R13" s="18" t="n">
        <v>737764.03</v>
      </c>
      <c r="S13" s="18" t="n">
        <v>341121.84</v>
      </c>
      <c r="T13" s="18" t="n">
        <v>1192312.02</v>
      </c>
      <c r="U13" s="34" t="n">
        <v>1192312.02</v>
      </c>
      <c r="V13" s="18" t="n">
        <v>1015044.23</v>
      </c>
      <c r="W13" s="18" t="n">
        <v>353350.45</v>
      </c>
      <c r="Y13" s="18" t="n">
        <v>677523.87</v>
      </c>
      <c r="Z13" s="34" t="n">
        <v>677523.87</v>
      </c>
      <c r="AA13" s="18" t="n">
        <v>1070862.12</v>
      </c>
      <c r="AB13" s="19" t="n">
        <v>1287557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당기법인세자산(선급법인세)</t>
        </is>
      </c>
      <c r="E14" s="18" t="n">
        <v>7762.97</v>
      </c>
      <c r="F14" s="34" t="n">
        <v>7762.97</v>
      </c>
      <c r="G14" s="18" t="n">
        <v>9212.23</v>
      </c>
      <c r="H14" s="18" t="n">
        <v>3680.53</v>
      </c>
      <c r="I14" s="18" t="n">
        <v>6557.67</v>
      </c>
      <c r="J14" s="18" t="n">
        <v>12589.48</v>
      </c>
      <c r="K14" s="34" t="n">
        <v>12589.48</v>
      </c>
      <c r="L14" s="18" t="n">
        <v>18492.13</v>
      </c>
      <c r="M14" s="18" t="n">
        <v>12413.62</v>
      </c>
      <c r="N14" s="18" t="n">
        <v>18160.32</v>
      </c>
      <c r="O14" s="18" t="n">
        <v>22350.22</v>
      </c>
      <c r="P14" s="34" t="n">
        <v>22350.22</v>
      </c>
      <c r="Q14" s="18" t="n">
        <v>29131.28</v>
      </c>
      <c r="R14" s="18" t="n">
        <v>7152.74</v>
      </c>
      <c r="S14" s="18" t="n">
        <v>8924.700000000001</v>
      </c>
      <c r="T14" s="18" t="n">
        <v>6101.77</v>
      </c>
      <c r="U14" s="34" t="n">
        <v>6101.77</v>
      </c>
      <c r="V14" s="18" t="n">
        <v>6733.31</v>
      </c>
      <c r="W14" s="18" t="n">
        <v>1280.41</v>
      </c>
      <c r="X14" s="18" t="n">
        <v>1801.9</v>
      </c>
      <c r="Y14" s="18" t="n">
        <v>657.63</v>
      </c>
      <c r="Z14" s="34" t="n">
        <v>657.63</v>
      </c>
      <c r="AA14" s="18" t="n">
        <v>937.65</v>
      </c>
      <c r="AB14" s="19" t="n">
        <v>4935.35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매각예정비유동자산및처분자산</t>
        </is>
      </c>
      <c r="E15" s="18" t="n">
        <v>13082.98</v>
      </c>
      <c r="F15" s="34" t="n">
        <v>13082.98</v>
      </c>
      <c r="K15" s="9" t="n"/>
      <c r="O15" s="18" t="n">
        <v>0</v>
      </c>
      <c r="P15" s="34" t="n">
        <v>0</v>
      </c>
      <c r="T15" s="18" t="n">
        <v>63000.19</v>
      </c>
      <c r="U15" s="34" t="n">
        <v>63000.19</v>
      </c>
      <c r="V15" s="18" t="n">
        <v>0</v>
      </c>
      <c r="W15" s="18" t="n">
        <v>4626.85</v>
      </c>
      <c r="X15" s="18" t="n">
        <v>4626.85</v>
      </c>
      <c r="Y15" s="18" t="n">
        <v>0</v>
      </c>
      <c r="Z15" s="34" t="n">
        <v>0</v>
      </c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기타유동자산</t>
        </is>
      </c>
      <c r="E16" s="18" t="n">
        <v>1001108.21</v>
      </c>
      <c r="F16" s="34" t="n">
        <v>1001108.21</v>
      </c>
      <c r="G16" s="18" t="n">
        <v>1095706.15</v>
      </c>
      <c r="H16" s="18" t="n">
        <v>1185313.35</v>
      </c>
      <c r="I16" s="18" t="n">
        <v>1359007.11</v>
      </c>
      <c r="J16" s="18" t="n">
        <v>1581403.78</v>
      </c>
      <c r="K16" s="34" t="n">
        <v>1581403.78</v>
      </c>
      <c r="L16" s="18" t="n">
        <v>1833316.84</v>
      </c>
      <c r="M16" s="18" t="n">
        <v>1930017.4</v>
      </c>
      <c r="N16" s="18" t="n">
        <v>2114544.33</v>
      </c>
      <c r="O16" s="18" t="n">
        <v>2046760.37</v>
      </c>
      <c r="P16" s="34" t="n">
        <v>2046760.37</v>
      </c>
      <c r="Q16" s="18" t="n">
        <v>2002029.1</v>
      </c>
      <c r="R16" s="18" t="n">
        <v>2003587.14</v>
      </c>
      <c r="S16" s="18" t="n">
        <v>2087050.28</v>
      </c>
      <c r="T16" s="18" t="n">
        <v>2153868.21</v>
      </c>
      <c r="U16" s="34" t="n">
        <v>2153868.21</v>
      </c>
      <c r="V16" s="18" t="n">
        <v>2729285.81</v>
      </c>
      <c r="W16" s="18" t="n">
        <v>2553466.25</v>
      </c>
      <c r="X16" s="18" t="n">
        <v>2296629.11</v>
      </c>
      <c r="Y16" s="18" t="n">
        <v>2239393.5</v>
      </c>
      <c r="Z16" s="34" t="n">
        <v>2239393.5</v>
      </c>
      <c r="AA16" s="18" t="n">
        <v>2040584.48</v>
      </c>
      <c r="AB16" s="19" t="n">
        <v>1943802.93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비유동자산</t>
        </is>
      </c>
      <c r="E17" s="18" t="n">
        <v>12730897.96</v>
      </c>
      <c r="F17" s="34" t="n">
        <v>12730897.96</v>
      </c>
      <c r="G17" s="18" t="n">
        <v>12885644.52</v>
      </c>
      <c r="H17" s="18" t="n">
        <v>13656116.81</v>
      </c>
      <c r="I17" s="18" t="n">
        <v>15015789.98</v>
      </c>
      <c r="J17" s="18" t="n">
        <v>14107562.08</v>
      </c>
      <c r="K17" s="34" t="n">
        <v>14107562.08</v>
      </c>
      <c r="L17" s="18" t="n">
        <v>14226195.29</v>
      </c>
      <c r="M17" s="18" t="n">
        <v>14255866.11</v>
      </c>
      <c r="N17" s="18" t="n">
        <v>14754484.04</v>
      </c>
      <c r="O17" s="18" t="n">
        <v>14507440.91</v>
      </c>
      <c r="P17" s="34" t="n">
        <v>14507440.91</v>
      </c>
      <c r="Q17" s="18" t="n">
        <v>14614724.57</v>
      </c>
      <c r="R17" s="18" t="n">
        <v>14898039.29</v>
      </c>
      <c r="S17" s="18" t="n">
        <v>14761399.36</v>
      </c>
      <c r="T17" s="18" t="n">
        <v>16287780.99</v>
      </c>
      <c r="U17" s="34" t="n">
        <v>16287780.99</v>
      </c>
      <c r="V17" s="18" t="n">
        <v>16198822.48</v>
      </c>
      <c r="W17" s="18" t="n">
        <v>15258250.42</v>
      </c>
      <c r="X17" s="18" t="n">
        <v>15369659.52</v>
      </c>
      <c r="Y17" s="18" t="n">
        <v>16117735.45</v>
      </c>
      <c r="Z17" s="34" t="n">
        <v>16117735.45</v>
      </c>
      <c r="AA17" s="18" t="n">
        <v>16494705.35</v>
      </c>
      <c r="AB17" s="19" t="n">
        <v>16554812.38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종속기업및관계기업투자</t>
        </is>
      </c>
      <c r="E18" s="18" t="n">
        <v>321972.07</v>
      </c>
      <c r="F18" s="34" t="n">
        <v>321972.07</v>
      </c>
      <c r="G18" s="18" t="n">
        <v>282267.2</v>
      </c>
      <c r="H18" s="18" t="n">
        <v>281742.73</v>
      </c>
      <c r="I18" s="18" t="n">
        <v>281165.27</v>
      </c>
      <c r="J18" s="18" t="n">
        <v>269723.77</v>
      </c>
      <c r="K18" s="34" t="n">
        <v>269723.77</v>
      </c>
      <c r="L18" s="18" t="n">
        <v>267612.72</v>
      </c>
      <c r="M18" s="18" t="n">
        <v>251483.65</v>
      </c>
      <c r="N18" s="18" t="n">
        <v>264976.49</v>
      </c>
      <c r="O18" s="18" t="n">
        <v>308959.16</v>
      </c>
      <c r="P18" s="34" t="n">
        <v>308959.16</v>
      </c>
      <c r="Q18" s="18" t="n">
        <v>307392.06</v>
      </c>
      <c r="R18" s="18" t="n">
        <v>315049.24</v>
      </c>
      <c r="S18" s="18" t="n">
        <v>298341.77</v>
      </c>
      <c r="T18" s="18" t="n">
        <v>256615.05</v>
      </c>
      <c r="U18" s="34" t="n">
        <v>256615.05</v>
      </c>
      <c r="V18" s="18" t="n">
        <v>255282.18</v>
      </c>
      <c r="W18" s="18" t="n">
        <v>202951.54</v>
      </c>
      <c r="X18" s="18" t="n">
        <v>205915.58</v>
      </c>
      <c r="Y18" s="18" t="n">
        <v>206177.77</v>
      </c>
      <c r="Z18" s="34" t="n">
        <v>206177.77</v>
      </c>
      <c r="AA18" s="18" t="n">
        <v>210058.58</v>
      </c>
      <c r="AB18" s="19" t="n">
        <v>241306.88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투자자산</t>
        </is>
      </c>
      <c r="E19" s="18" t="n">
        <v>801835.8</v>
      </c>
      <c r="F19" s="34" t="n">
        <v>801835.8</v>
      </c>
      <c r="G19" s="18" t="n">
        <v>802175.67</v>
      </c>
      <c r="H19" s="18" t="n">
        <v>1408967.64</v>
      </c>
      <c r="I19" s="18" t="n">
        <v>2676341.76</v>
      </c>
      <c r="J19" s="18" t="n">
        <v>1152709.58</v>
      </c>
      <c r="K19" s="34" t="n">
        <v>1152709.58</v>
      </c>
      <c r="L19" s="18" t="n">
        <v>1197562.27</v>
      </c>
      <c r="M19" s="18" t="n">
        <v>1102008.47</v>
      </c>
      <c r="N19" s="18" t="n">
        <v>1245718.74</v>
      </c>
      <c r="O19" s="18" t="n">
        <v>970881.11</v>
      </c>
      <c r="P19" s="34" t="n">
        <v>970881.11</v>
      </c>
      <c r="Q19" s="18" t="n">
        <v>1076455.84</v>
      </c>
      <c r="R19" s="18" t="n">
        <v>1361295.75</v>
      </c>
      <c r="S19" s="18" t="n">
        <v>872964.91</v>
      </c>
      <c r="T19" s="18" t="n">
        <v>2164452.71</v>
      </c>
      <c r="U19" s="34" t="n">
        <v>2164452.71</v>
      </c>
      <c r="V19" s="18" t="n">
        <v>2109994.44</v>
      </c>
      <c r="W19" s="18" t="n">
        <v>1034095.44</v>
      </c>
      <c r="X19" s="18" t="n">
        <v>1261608.76</v>
      </c>
      <c r="Y19" s="18" t="n">
        <v>1591674.27</v>
      </c>
      <c r="Z19" s="34" t="n">
        <v>1591674.27</v>
      </c>
      <c r="AA19" s="18" t="n">
        <v>2312047.53</v>
      </c>
      <c r="AB19" s="19" t="n">
        <v>2393703.13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장기금융자산</t>
        </is>
      </c>
      <c r="E20" s="18" t="n">
        <v>194920.08</v>
      </c>
      <c r="F20" s="34" t="n">
        <v>194920.08</v>
      </c>
      <c r="G20" s="18" t="n">
        <v>235680.99</v>
      </c>
      <c r="H20" s="18" t="n">
        <v>208361.52</v>
      </c>
      <c r="I20" s="18" t="n">
        <v>177758.22</v>
      </c>
      <c r="J20" s="18" t="n">
        <v>201294.94</v>
      </c>
      <c r="K20" s="34" t="n">
        <v>201294.94</v>
      </c>
      <c r="L20" s="18" t="n">
        <v>215008.15</v>
      </c>
      <c r="M20" s="18" t="n">
        <v>237145.51</v>
      </c>
      <c r="N20" s="18" t="n">
        <v>219067.27</v>
      </c>
      <c r="O20" s="18" t="n">
        <v>232714.3</v>
      </c>
      <c r="P20" s="34" t="n">
        <v>232714.3</v>
      </c>
      <c r="Q20" s="18" t="n">
        <v>137208.8</v>
      </c>
      <c r="R20" s="18" t="n">
        <v>133134.52</v>
      </c>
      <c r="S20" s="18" t="n">
        <v>138455.85</v>
      </c>
      <c r="T20" s="18" t="n">
        <v>141591.46</v>
      </c>
      <c r="U20" s="34" t="n">
        <v>141591.46</v>
      </c>
      <c r="V20" s="18" t="n">
        <v>141428.37</v>
      </c>
      <c r="W20" s="18" t="n">
        <v>147247.45</v>
      </c>
      <c r="X20" s="18" t="n">
        <v>126454.09</v>
      </c>
      <c r="Y20" s="18" t="n">
        <v>139177.02</v>
      </c>
      <c r="Z20" s="34" t="n">
        <v>139177.02</v>
      </c>
      <c r="AA20" s="18" t="n">
        <v>145896.86</v>
      </c>
      <c r="AB20" s="19" t="n">
        <v>148784.66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장기매출채권및기타채권</t>
        </is>
      </c>
      <c r="E21" s="18" t="n">
        <v>150019.08</v>
      </c>
      <c r="F21" s="34" t="n">
        <v>150019.08</v>
      </c>
      <c r="G21" s="18" t="n">
        <v>195653.54</v>
      </c>
      <c r="H21" s="18" t="n">
        <v>236188.38</v>
      </c>
      <c r="I21" s="18" t="n">
        <v>313969.69</v>
      </c>
      <c r="J21" s="18" t="n">
        <v>250490.03</v>
      </c>
      <c r="K21" s="34" t="n">
        <v>250490.03</v>
      </c>
      <c r="L21" s="18" t="n">
        <v>285803.88</v>
      </c>
      <c r="M21" s="18" t="n">
        <v>280599.39</v>
      </c>
      <c r="N21" s="18" t="n">
        <v>302394.19</v>
      </c>
      <c r="O21" s="18" t="n">
        <v>252258.03</v>
      </c>
      <c r="P21" s="34" t="n">
        <v>252258.03</v>
      </c>
      <c r="Q21" s="18" t="n">
        <v>268320.59</v>
      </c>
      <c r="R21" s="18" t="n">
        <v>257891.23</v>
      </c>
      <c r="S21" s="18" t="n">
        <v>225234.83</v>
      </c>
      <c r="T21" s="18" t="n">
        <v>192697.65</v>
      </c>
      <c r="U21" s="34" t="n">
        <v>192697.65</v>
      </c>
      <c r="V21" s="18" t="n">
        <v>161356.45</v>
      </c>
      <c r="W21" s="18" t="n">
        <v>143599.44</v>
      </c>
      <c r="X21" s="18" t="n">
        <v>161208.64</v>
      </c>
      <c r="Y21" s="18" t="n">
        <v>119081.38</v>
      </c>
      <c r="Z21" s="34" t="n">
        <v>119081.38</v>
      </c>
      <c r="AA21" s="18" t="n">
        <v>117875.42</v>
      </c>
      <c r="AB21" s="19" t="n">
        <v>119370.5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투자부동산</t>
        </is>
      </c>
      <c r="E22" s="18" t="n">
        <v>231498.68</v>
      </c>
      <c r="F22" s="34" t="n">
        <v>231498.68</v>
      </c>
      <c r="G22" s="18" t="n">
        <v>225622.29</v>
      </c>
      <c r="H22" s="18" t="n">
        <v>224549.19</v>
      </c>
      <c r="I22" s="18" t="n">
        <v>223488.64</v>
      </c>
      <c r="J22" s="18" t="n">
        <v>222373.89</v>
      </c>
      <c r="K22" s="34" t="n">
        <v>222373.89</v>
      </c>
      <c r="L22" s="18" t="n">
        <v>221330.1</v>
      </c>
      <c r="M22" s="18" t="n">
        <v>220618.67</v>
      </c>
      <c r="N22" s="18" t="n">
        <v>219477.79</v>
      </c>
      <c r="O22" s="18" t="n">
        <v>218330.34</v>
      </c>
      <c r="P22" s="34" t="n">
        <v>218330.34</v>
      </c>
      <c r="Q22" s="18" t="n">
        <v>217398.32</v>
      </c>
      <c r="R22" s="18" t="n">
        <v>218390.88</v>
      </c>
      <c r="S22" s="18" t="n">
        <v>303038.83</v>
      </c>
      <c r="T22" s="18" t="n">
        <v>216566.15</v>
      </c>
      <c r="U22" s="34" t="n">
        <v>216566.15</v>
      </c>
      <c r="V22" s="18" t="n">
        <v>215397.29</v>
      </c>
      <c r="W22" s="18" t="n">
        <v>209622.31</v>
      </c>
      <c r="X22" s="18" t="n">
        <v>208545.68</v>
      </c>
      <c r="Y22" s="18" t="n">
        <v>130204.19</v>
      </c>
      <c r="Z22" s="34" t="n">
        <v>130204.19</v>
      </c>
      <c r="AA22" s="18" t="n">
        <v>129671.2</v>
      </c>
      <c r="AB22" s="19" t="n">
        <v>129057.01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유형자산</t>
        </is>
      </c>
      <c r="E23" s="18" t="n">
        <v>9872011.98</v>
      </c>
      <c r="F23" s="34" t="n">
        <v>9872011.98</v>
      </c>
      <c r="G23" s="18" t="n">
        <v>9879817.15</v>
      </c>
      <c r="H23" s="18" t="n">
        <v>9957199.970000001</v>
      </c>
      <c r="I23" s="18" t="n">
        <v>10083239.17</v>
      </c>
      <c r="J23" s="18" t="n">
        <v>10143112.51</v>
      </c>
      <c r="K23" s="34" t="n">
        <v>10143112.51</v>
      </c>
      <c r="L23" s="18" t="n">
        <v>10201692.71</v>
      </c>
      <c r="M23" s="18" t="n">
        <v>10321641.76</v>
      </c>
      <c r="N23" s="18" t="n">
        <v>10432116.2</v>
      </c>
      <c r="O23" s="18" t="n">
        <v>10503503.22</v>
      </c>
      <c r="P23" s="34" t="n">
        <v>10503503.22</v>
      </c>
      <c r="Q23" s="18" t="n">
        <v>10565401.87</v>
      </c>
      <c r="R23" s="18" t="n">
        <v>10687802.23</v>
      </c>
      <c r="S23" s="18" t="n">
        <v>10912699.23</v>
      </c>
      <c r="T23" s="18" t="n">
        <v>11110889.88</v>
      </c>
      <c r="U23" s="34" t="n">
        <v>11110889.88</v>
      </c>
      <c r="V23" s="18" t="n">
        <v>11299188.83</v>
      </c>
      <c r="W23" s="18" t="n">
        <v>11703121.08</v>
      </c>
      <c r="X23" s="18" t="n">
        <v>11816084.2</v>
      </c>
      <c r="Y23" s="18" t="n">
        <v>12025454.75</v>
      </c>
      <c r="Z23" s="34" t="n">
        <v>12025454.75</v>
      </c>
      <c r="AA23" s="18" t="n">
        <v>12036471.77</v>
      </c>
      <c r="AB23" s="19" t="n">
        <v>12153874.01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사용권자산</t>
        </is>
      </c>
      <c r="E24" s="18" t="n">
        <v>51714.13</v>
      </c>
      <c r="F24" s="34" t="n">
        <v>51714.13</v>
      </c>
      <c r="G24" s="18" t="n">
        <v>51765.05</v>
      </c>
      <c r="H24" s="18" t="n">
        <v>52033.52</v>
      </c>
      <c r="I24" s="18" t="n">
        <v>50187.03</v>
      </c>
      <c r="J24" s="18" t="n">
        <v>108493.82</v>
      </c>
      <c r="K24" s="34" t="n">
        <v>108493.82</v>
      </c>
      <c r="L24" s="18" t="n">
        <v>105249.25</v>
      </c>
      <c r="M24" s="18" t="n">
        <v>101373.99</v>
      </c>
      <c r="N24" s="18" t="n">
        <v>101968.75</v>
      </c>
      <c r="O24" s="18" t="n">
        <v>100432.71</v>
      </c>
      <c r="P24" s="34" t="n">
        <v>100432.71</v>
      </c>
      <c r="Q24" s="18" t="n">
        <v>98673.55</v>
      </c>
      <c r="R24" s="18" t="n">
        <v>93883.53</v>
      </c>
      <c r="S24" s="18" t="n">
        <v>87771.75999999999</v>
      </c>
      <c r="T24" s="18" t="n">
        <v>484619.59</v>
      </c>
      <c r="U24" s="34" t="n">
        <v>484619.59</v>
      </c>
      <c r="V24" s="18" t="n">
        <v>480902.57</v>
      </c>
      <c r="W24" s="18" t="n">
        <v>443820.01</v>
      </c>
      <c r="X24" s="18" t="n">
        <v>449018.49</v>
      </c>
      <c r="Y24" s="18" t="n">
        <v>444896.48</v>
      </c>
      <c r="Z24" s="34" t="n">
        <v>444896.48</v>
      </c>
      <c r="AA24" s="18" t="n">
        <v>466872.33</v>
      </c>
      <c r="AB24" s="19" t="n">
        <v>463343.92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기타비유동자산</t>
        </is>
      </c>
      <c r="E25" s="18" t="n">
        <v>112078.03</v>
      </c>
      <c r="F25" s="34" t="n">
        <v>112078.03</v>
      </c>
      <c r="G25" s="18" t="n">
        <v>132621.87</v>
      </c>
      <c r="H25" s="18" t="n">
        <v>132318.96</v>
      </c>
      <c r="I25" s="18" t="n">
        <v>107703.57</v>
      </c>
      <c r="J25" s="18" t="n">
        <v>674090.26</v>
      </c>
      <c r="K25" s="34" t="n">
        <v>674090.26</v>
      </c>
      <c r="L25" s="18" t="n">
        <v>653237.61</v>
      </c>
      <c r="M25" s="18" t="n">
        <v>665461.79</v>
      </c>
      <c r="N25" s="18" t="n">
        <v>649765.75</v>
      </c>
      <c r="O25" s="18" t="n">
        <v>646909.4</v>
      </c>
      <c r="P25" s="34" t="n">
        <v>646909.4</v>
      </c>
      <c r="Q25" s="18" t="n">
        <v>620001.9</v>
      </c>
      <c r="R25" s="18" t="n">
        <v>623381.95</v>
      </c>
      <c r="S25" s="18" t="n">
        <v>604777.8</v>
      </c>
      <c r="T25" s="18" t="n">
        <v>843653.05</v>
      </c>
      <c r="U25" s="34" t="n">
        <v>843653.05</v>
      </c>
      <c r="V25" s="18" t="n">
        <v>790617.88</v>
      </c>
      <c r="W25" s="18" t="n">
        <v>719843.1800000001</v>
      </c>
      <c r="X25" s="18" t="n">
        <v>692160.01</v>
      </c>
      <c r="Y25" s="18" t="n">
        <v>1012788.02</v>
      </c>
      <c r="Z25" s="34" t="n">
        <v>1012788.02</v>
      </c>
      <c r="AA25" s="18" t="n">
        <v>1003419.38</v>
      </c>
      <c r="AB25" s="19" t="n">
        <v>973342.54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무형자산</t>
        </is>
      </c>
      <c r="E26" s="18" t="n">
        <v>133535.87</v>
      </c>
      <c r="F26" s="34" t="n">
        <v>133535.87</v>
      </c>
      <c r="G26" s="18" t="n">
        <v>136254.92</v>
      </c>
      <c r="H26" s="18" t="n">
        <v>138643.79</v>
      </c>
      <c r="I26" s="18" t="n">
        <v>149354.67</v>
      </c>
      <c r="J26" s="18" t="n">
        <v>163697.16</v>
      </c>
      <c r="K26" s="34" t="n">
        <v>163697.16</v>
      </c>
      <c r="L26" s="18" t="n">
        <v>170964.98</v>
      </c>
      <c r="M26" s="18" t="n">
        <v>178935.63</v>
      </c>
      <c r="N26" s="18" t="n">
        <v>193535.36</v>
      </c>
      <c r="O26" s="18" t="n">
        <v>190793.08</v>
      </c>
      <c r="P26" s="34" t="n">
        <v>190793.08</v>
      </c>
      <c r="Q26" s="18" t="n">
        <v>195077.65</v>
      </c>
      <c r="R26" s="18" t="n">
        <v>201972.64</v>
      </c>
      <c r="S26" s="18" t="n">
        <v>322022.47</v>
      </c>
      <c r="T26" s="18" t="n">
        <v>374650.95</v>
      </c>
      <c r="U26" s="34" t="n">
        <v>374650.95</v>
      </c>
      <c r="V26" s="18" t="n">
        <v>384210.88</v>
      </c>
      <c r="W26" s="18" t="n">
        <v>391727.87</v>
      </c>
      <c r="X26" s="18" t="n">
        <v>395543.78</v>
      </c>
      <c r="Y26" s="18" t="n">
        <v>519011.46</v>
      </c>
      <c r="Z26" s="34" t="n">
        <v>519011.46</v>
      </c>
      <c r="AA26" s="18" t="n">
        <v>531927.3</v>
      </c>
      <c r="AB26" s="19" t="n">
        <v>539665.72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비유동파생상품자산</t>
        </is>
      </c>
      <c r="E27" s="18" t="n">
        <v>44764.33</v>
      </c>
      <c r="F27" s="34" t="n">
        <v>44764.33</v>
      </c>
      <c r="G27" s="18" t="n">
        <v>66274.52</v>
      </c>
      <c r="H27" s="18" t="n">
        <v>89606.57000000001</v>
      </c>
      <c r="I27" s="18" t="n">
        <v>168984.18</v>
      </c>
      <c r="J27" s="18" t="n">
        <v>388939.41</v>
      </c>
      <c r="K27" s="34" t="n">
        <v>388939.41</v>
      </c>
      <c r="L27" s="18" t="n">
        <v>191238.26</v>
      </c>
      <c r="M27" s="18" t="n">
        <v>213250.54</v>
      </c>
      <c r="N27" s="18" t="n">
        <v>122759.99</v>
      </c>
      <c r="O27" s="18" t="n">
        <v>250805.05</v>
      </c>
      <c r="P27" s="34" t="n">
        <v>250805.05</v>
      </c>
      <c r="Q27" s="18" t="n">
        <v>84685.03999999999</v>
      </c>
      <c r="R27" s="18" t="n">
        <v>54772.17</v>
      </c>
      <c r="S27" s="18" t="n">
        <v>138915.2</v>
      </c>
      <c r="T27" s="18" t="n">
        <v>64055.7</v>
      </c>
      <c r="U27" s="34" t="n">
        <v>64055.7</v>
      </c>
      <c r="V27" s="18" t="n">
        <v>66263.49000000001</v>
      </c>
      <c r="W27" s="18" t="n">
        <v>316839.19</v>
      </c>
      <c r="X27" s="18" t="n">
        <v>110578.23</v>
      </c>
      <c r="Y27" s="18" t="n">
        <v>102577.92</v>
      </c>
      <c r="Z27" s="34" t="n">
        <v>102577.92</v>
      </c>
      <c r="AA27" s="18" t="n">
        <v>2877.08</v>
      </c>
      <c r="AB27" s="19" t="n">
        <v>8557.09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비유동확정계약자산</t>
        </is>
      </c>
      <c r="E28" s="18" t="n">
        <v>240179.32</v>
      </c>
      <c r="F28" s="34" t="n">
        <v>240179.32</v>
      </c>
      <c r="G28" s="18" t="n">
        <v>217952.96</v>
      </c>
      <c r="H28" s="18" t="n">
        <v>829256.8199999999</v>
      </c>
      <c r="I28" s="18" t="n">
        <v>2048434.09</v>
      </c>
      <c r="J28" s="18" t="n">
        <v>292751.46</v>
      </c>
      <c r="K28" s="34" t="n">
        <v>292751.46</v>
      </c>
      <c r="L28" s="18" t="n">
        <v>523703.14</v>
      </c>
      <c r="M28" s="18" t="n">
        <v>400128.77</v>
      </c>
      <c r="N28" s="18" t="n">
        <v>638914.99</v>
      </c>
      <c r="O28" s="18" t="n">
        <v>178402.6</v>
      </c>
      <c r="P28" s="34" t="n">
        <v>178402.6</v>
      </c>
      <c r="Q28" s="18" t="n">
        <v>547169.9399999999</v>
      </c>
      <c r="R28" s="18" t="n">
        <v>858339.8199999999</v>
      </c>
      <c r="S28" s="18" t="n">
        <v>297252.09</v>
      </c>
      <c r="T28" s="18" t="n">
        <v>1702190.5</v>
      </c>
      <c r="U28" s="34" t="n">
        <v>1702190.5</v>
      </c>
      <c r="V28" s="18" t="n">
        <v>1647020.4</v>
      </c>
      <c r="W28" s="18" t="n">
        <v>367057.26</v>
      </c>
      <c r="X28" s="18" t="n">
        <v>818660.86</v>
      </c>
      <c r="Y28" s="18" t="n">
        <v>1143741.56</v>
      </c>
      <c r="Z28" s="34" t="n">
        <v>1143741.56</v>
      </c>
      <c r="AA28" s="18" t="n">
        <v>1953215.01</v>
      </c>
      <c r="AB28" s="19" t="n">
        <v>1995054.5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이연법인세자산</t>
        </is>
      </c>
      <c r="E29" s="18" t="n">
        <v>1429918.53</v>
      </c>
      <c r="F29" s="34" t="n">
        <v>1429918.53</v>
      </c>
      <c r="G29" s="18" t="n">
        <v>1513499.1</v>
      </c>
      <c r="H29" s="18" t="n">
        <v>1558248.88</v>
      </c>
      <c r="I29" s="18" t="n">
        <v>1461692.46</v>
      </c>
      <c r="J29" s="18" t="n">
        <v>1501088.65</v>
      </c>
      <c r="K29" s="34" t="n">
        <v>1501088.65</v>
      </c>
      <c r="L29" s="18" t="n">
        <v>1495603.74</v>
      </c>
      <c r="M29" s="18" t="n">
        <v>1486600.42</v>
      </c>
      <c r="N29" s="18" t="n">
        <v>1711476.03</v>
      </c>
      <c r="O29" s="18" t="n">
        <v>1724765.73</v>
      </c>
      <c r="P29" s="34" t="n">
        <v>1724765.73</v>
      </c>
      <c r="Q29" s="18" t="n">
        <v>1672068.39</v>
      </c>
      <c r="R29" s="18" t="n">
        <v>1547304.61</v>
      </c>
      <c r="S29" s="18" t="n">
        <v>1520661.28</v>
      </c>
      <c r="T29" s="18" t="n">
        <v>1384870.59</v>
      </c>
      <c r="U29" s="34" t="n">
        <v>1384870.59</v>
      </c>
      <c r="V29" s="18" t="n">
        <v>1238056.7</v>
      </c>
      <c r="W29" s="18" t="n">
        <v>1056241.1</v>
      </c>
      <c r="X29" s="18" t="n">
        <v>834508.46</v>
      </c>
      <c r="Y29" s="18" t="n">
        <v>719521.36</v>
      </c>
      <c r="Z29" s="34" t="n">
        <v>719521.36</v>
      </c>
      <c r="AA29" s="18" t="n">
        <v>363292.75</v>
      </c>
      <c r="AB29" s="19" t="n">
        <v>245799.46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자산총계</t>
        </is>
      </c>
      <c r="E30" s="18" t="n">
        <v>27293093.98</v>
      </c>
      <c r="F30" s="34" t="n">
        <v>27293093.98</v>
      </c>
      <c r="G30" s="18" t="n">
        <v>27941318.72</v>
      </c>
      <c r="H30" s="18" t="n">
        <v>29921717.16</v>
      </c>
      <c r="I30" s="18" t="n">
        <v>33118095.62</v>
      </c>
      <c r="J30" s="18" t="n">
        <v>29883476.3</v>
      </c>
      <c r="K30" s="34" t="n">
        <v>29883476.3</v>
      </c>
      <c r="L30" s="18" t="n">
        <v>30445838.81</v>
      </c>
      <c r="M30" s="18" t="n">
        <v>31636979.56</v>
      </c>
      <c r="N30" s="18" t="n">
        <v>33233586.52</v>
      </c>
      <c r="O30" s="18" t="n">
        <v>32242568.18</v>
      </c>
      <c r="P30" s="34" t="n">
        <v>32242568.18</v>
      </c>
      <c r="Q30" s="18" t="n">
        <v>32509877.64</v>
      </c>
      <c r="R30" s="18" t="n">
        <v>33145489.91</v>
      </c>
      <c r="S30" s="18" t="n">
        <v>32026087.18</v>
      </c>
      <c r="T30" s="18" t="n">
        <v>36719137.42</v>
      </c>
      <c r="U30" s="34" t="n">
        <v>36719137.42</v>
      </c>
      <c r="V30" s="18" t="n">
        <v>39488199.41</v>
      </c>
      <c r="W30" s="18" t="n">
        <v>37273426.49</v>
      </c>
      <c r="X30" s="18" t="n">
        <v>38427512.65</v>
      </c>
      <c r="Y30" s="18" t="n">
        <v>39542213.29</v>
      </c>
      <c r="Z30" s="34" t="n">
        <v>39542213.29</v>
      </c>
      <c r="AA30" s="18" t="n">
        <v>42204851.66</v>
      </c>
      <c r="AB30" s="19" t="n">
        <v>46724836.77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유동부채</t>
        </is>
      </c>
      <c r="E31" s="18" t="n">
        <v>11286467.4</v>
      </c>
      <c r="F31" s="34" t="n">
        <v>11286467.4</v>
      </c>
      <c r="G31" s="18" t="n">
        <v>12528828.3</v>
      </c>
      <c r="H31" s="18" t="n">
        <v>14203904.43</v>
      </c>
      <c r="I31" s="18" t="n">
        <v>16128702.89</v>
      </c>
      <c r="J31" s="18" t="n">
        <v>15033482.52</v>
      </c>
      <c r="K31" s="34" t="n">
        <v>15033482.52</v>
      </c>
      <c r="L31" s="18" t="n">
        <v>15595162.79</v>
      </c>
      <c r="M31" s="18" t="n">
        <v>16383714.53</v>
      </c>
      <c r="N31" s="18" t="n">
        <v>17756633.11</v>
      </c>
      <c r="O31" s="18" t="n">
        <v>17497867.5</v>
      </c>
      <c r="P31" s="34" t="n">
        <v>17497867.5</v>
      </c>
      <c r="Q31" s="18" t="n">
        <v>17571784.16</v>
      </c>
      <c r="R31" s="18" t="n">
        <v>17402110.14</v>
      </c>
      <c r="S31" s="18" t="n">
        <v>16834084.8</v>
      </c>
      <c r="T31" s="18" t="n">
        <v>19325058.39</v>
      </c>
      <c r="U31" s="34" t="n">
        <v>19325058.39</v>
      </c>
      <c r="V31" s="18" t="n">
        <v>21521533.65</v>
      </c>
      <c r="W31" s="18" t="n">
        <v>19875202.8</v>
      </c>
      <c r="X31" s="18" t="n">
        <v>20163317.86</v>
      </c>
      <c r="Y31" s="18" t="n">
        <v>20010814.31</v>
      </c>
      <c r="Z31" s="34" t="n">
        <v>20010814.31</v>
      </c>
      <c r="AA31" s="18" t="n">
        <v>22177420.51</v>
      </c>
      <c r="AB31" s="19" t="n">
        <v>24882862.05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단기차입금</t>
        </is>
      </c>
      <c r="E32" s="18" t="n">
        <v>2375236.56</v>
      </c>
      <c r="F32" s="34" t="n">
        <v>2375236.56</v>
      </c>
      <c r="G32" s="18" t="n">
        <v>2937805.69</v>
      </c>
      <c r="H32" s="18" t="n">
        <v>3277545.01</v>
      </c>
      <c r="I32" s="18" t="n">
        <v>3507875.92</v>
      </c>
      <c r="J32" s="18" t="n">
        <v>2700995.39</v>
      </c>
      <c r="K32" s="34" t="n">
        <v>2700995.39</v>
      </c>
      <c r="L32" s="18" t="n">
        <v>2341278.1</v>
      </c>
      <c r="M32" s="18" t="n">
        <v>2210004.82</v>
      </c>
      <c r="N32" s="18" t="n">
        <v>2332508.85</v>
      </c>
      <c r="O32" s="18" t="n">
        <v>2220091</v>
      </c>
      <c r="P32" s="34" t="n">
        <v>2220091</v>
      </c>
      <c r="Q32" s="18" t="n">
        <v>1838740.24</v>
      </c>
      <c r="R32" s="18" t="n">
        <v>941461.95</v>
      </c>
      <c r="S32" s="18" t="n">
        <v>760796.51</v>
      </c>
      <c r="T32" s="18" t="n">
        <v>562278.96</v>
      </c>
      <c r="U32" s="34" t="n">
        <v>562278.96</v>
      </c>
      <c r="V32" s="18" t="n">
        <v>567336.6800000001</v>
      </c>
      <c r="W32" s="18" t="n">
        <v>481705.93</v>
      </c>
      <c r="X32" s="18" t="n">
        <v>386049.73</v>
      </c>
      <c r="Y32" s="18" t="n">
        <v>252311.44</v>
      </c>
      <c r="Z32" s="34" t="n">
        <v>252311.44</v>
      </c>
      <c r="AA32" s="18" t="n">
        <v>983399.58</v>
      </c>
      <c r="AB32" s="19" t="n">
        <v>2927467.69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단기금융부채(face)</t>
        </is>
      </c>
      <c r="E33" s="18" t="n">
        <v>2375236.56</v>
      </c>
      <c r="F33" s="34" t="n">
        <v>2375236.56</v>
      </c>
      <c r="G33" s="18" t="n">
        <v>2937805.69</v>
      </c>
      <c r="H33" s="18" t="n">
        <v>3277545.01</v>
      </c>
      <c r="I33" s="18" t="n">
        <v>3507875.92</v>
      </c>
      <c r="J33" s="18" t="n">
        <v>2700995.39</v>
      </c>
      <c r="K33" s="34" t="n">
        <v>2700995.39</v>
      </c>
      <c r="L33" s="18" t="n">
        <v>2341278.1</v>
      </c>
      <c r="M33" s="18" t="n">
        <v>2210004.82</v>
      </c>
      <c r="N33" s="18" t="n">
        <v>2332508.85</v>
      </c>
      <c r="O33" s="18" t="n">
        <v>2220091</v>
      </c>
      <c r="P33" s="34" t="n">
        <v>2220091</v>
      </c>
      <c r="Q33" s="18" t="n">
        <v>1838740.24</v>
      </c>
      <c r="R33" s="18" t="n">
        <v>941461.95</v>
      </c>
      <c r="S33" s="18" t="n">
        <v>760796.51</v>
      </c>
      <c r="T33" s="18" t="n">
        <v>562278.96</v>
      </c>
      <c r="U33" s="34" t="n">
        <v>562278.96</v>
      </c>
      <c r="V33" s="18" t="n">
        <v>567336.6800000001</v>
      </c>
      <c r="W33" s="18" t="n">
        <v>481705.93</v>
      </c>
      <c r="X33" s="18" t="n">
        <v>386049.73</v>
      </c>
      <c r="Y33" s="18" t="n">
        <v>252311.44</v>
      </c>
      <c r="Z33" s="34" t="n">
        <v>252311.44</v>
      </c>
      <c r="AA33" s="18" t="n">
        <v>983399.58</v>
      </c>
      <c r="AB33" s="19" t="n">
        <v>2927467.69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유동리스부채</t>
        </is>
      </c>
      <c r="E34" s="18" t="n">
        <v>14911.09</v>
      </c>
      <c r="F34" s="34" t="n">
        <v>14911.09</v>
      </c>
      <c r="G34" s="18" t="n">
        <v>15538.13</v>
      </c>
      <c r="H34" s="18" t="n">
        <v>14396.76</v>
      </c>
      <c r="I34" s="18" t="n">
        <v>13153.23</v>
      </c>
      <c r="J34" s="18" t="n">
        <v>31923.62</v>
      </c>
      <c r="K34" s="34" t="n">
        <v>31923.62</v>
      </c>
      <c r="L34" s="18" t="n">
        <v>33051.47</v>
      </c>
      <c r="M34" s="18" t="n">
        <v>32679.04</v>
      </c>
      <c r="N34" s="18" t="n">
        <v>33951.85</v>
      </c>
      <c r="O34" s="18" t="n">
        <v>31249.55</v>
      </c>
      <c r="P34" s="34" t="n">
        <v>31249.55</v>
      </c>
      <c r="Q34" s="18" t="n">
        <v>31358.42</v>
      </c>
      <c r="R34" s="18" t="n">
        <v>29460.6</v>
      </c>
      <c r="S34" s="18" t="n">
        <v>28669.8</v>
      </c>
      <c r="T34" s="18" t="n">
        <v>30537.73</v>
      </c>
      <c r="U34" s="34" t="n">
        <v>30537.73</v>
      </c>
      <c r="V34" s="18" t="n">
        <v>58639.65</v>
      </c>
      <c r="W34" s="18" t="n">
        <v>57090.66</v>
      </c>
      <c r="X34" s="18" t="n">
        <v>58645.72</v>
      </c>
      <c r="Y34" s="18" t="n">
        <v>55018.44</v>
      </c>
      <c r="Z34" s="34" t="n">
        <v>55018.44</v>
      </c>
      <c r="AA34" s="18" t="n">
        <v>55628.68</v>
      </c>
      <c r="AB34" s="19" t="n">
        <v>51922.4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리스부채</t>
        </is>
      </c>
      <c r="E35" s="18" t="n">
        <v>48003.2</v>
      </c>
      <c r="F35" s="34" t="n">
        <v>48003.2</v>
      </c>
      <c r="G35" s="18" t="n">
        <v>48510.88</v>
      </c>
      <c r="H35" s="18" t="n">
        <v>48271.31</v>
      </c>
      <c r="I35" s="18" t="n">
        <v>46883.15</v>
      </c>
      <c r="J35" s="18" t="n">
        <v>104024.68</v>
      </c>
      <c r="K35" s="34" t="n">
        <v>104024.68</v>
      </c>
      <c r="L35" s="18" t="n">
        <v>102104.87</v>
      </c>
      <c r="M35" s="18" t="n">
        <v>97691.64999999999</v>
      </c>
      <c r="N35" s="18" t="n">
        <v>98646.57000000001</v>
      </c>
      <c r="O35" s="18" t="n">
        <v>98221.72</v>
      </c>
      <c r="P35" s="34" t="n">
        <v>98221.72</v>
      </c>
      <c r="Q35" s="18" t="n">
        <v>96339.00999999999</v>
      </c>
      <c r="R35" s="18" t="n">
        <v>90268.28999999999</v>
      </c>
      <c r="S35" s="18" t="n">
        <v>85363.32000000001</v>
      </c>
      <c r="T35" s="18" t="n">
        <v>483353.65</v>
      </c>
      <c r="U35" s="34" t="n">
        <v>483353.65</v>
      </c>
      <c r="V35" s="18" t="n">
        <v>488740.08</v>
      </c>
      <c r="W35" s="18" t="n">
        <v>459472.45</v>
      </c>
      <c r="X35" s="18" t="n">
        <v>472430.48</v>
      </c>
      <c r="Y35" s="18" t="n">
        <v>453815.85</v>
      </c>
      <c r="Z35" s="34" t="n">
        <v>453815.85</v>
      </c>
      <c r="AA35" s="18" t="n">
        <v>485948.25</v>
      </c>
      <c r="AB35" s="19" t="n">
        <v>492022.2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단기금융부채</t>
        </is>
      </c>
      <c r="E36" s="18" t="n">
        <v>300684.6</v>
      </c>
      <c r="F36" s="34" t="n">
        <v>300684.6</v>
      </c>
      <c r="G36" s="18" t="n">
        <v>403647.11</v>
      </c>
      <c r="H36" s="18" t="n">
        <v>822609.74</v>
      </c>
      <c r="I36" s="18" t="n">
        <v>1705910.87</v>
      </c>
      <c r="J36" s="18" t="n">
        <v>674445.02</v>
      </c>
      <c r="K36" s="34" t="n">
        <v>674445.02</v>
      </c>
      <c r="L36" s="18" t="n">
        <v>775157.84</v>
      </c>
      <c r="M36" s="18" t="n">
        <v>791139.59</v>
      </c>
      <c r="N36" s="18" t="n">
        <v>930481.36</v>
      </c>
      <c r="O36" s="18" t="n">
        <v>570461.92</v>
      </c>
      <c r="P36" s="34" t="n">
        <v>570461.92</v>
      </c>
      <c r="Q36" s="18" t="n">
        <v>880335.91</v>
      </c>
      <c r="R36" s="18" t="n">
        <v>1087505.66</v>
      </c>
      <c r="S36" s="18" t="n">
        <v>621193.11</v>
      </c>
      <c r="T36" s="18" t="n">
        <v>1722319.46</v>
      </c>
      <c r="U36" s="34" t="n">
        <v>1722319.46</v>
      </c>
      <c r="V36" s="18" t="n">
        <v>1462370.92</v>
      </c>
      <c r="W36" s="18" t="n">
        <v>626150.48</v>
      </c>
      <c r="X36" s="18" t="n">
        <v>827615.27</v>
      </c>
      <c r="Y36" s="18" t="n">
        <v>1028376.17</v>
      </c>
      <c r="Z36" s="34" t="n">
        <v>1028376.17</v>
      </c>
      <c r="AA36" s="18" t="n">
        <v>1649818.39</v>
      </c>
      <c r="AB36" s="19" t="n">
        <v>1954554.87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매입채무및기타채무</t>
        </is>
      </c>
      <c r="E37" s="18" t="n">
        <v>3181777.13</v>
      </c>
      <c r="F37" s="34" t="n">
        <v>3181777.13</v>
      </c>
      <c r="G37" s="18" t="n">
        <v>3013888.48</v>
      </c>
      <c r="H37" s="18" t="n">
        <v>3173517.83</v>
      </c>
      <c r="I37" s="18" t="n">
        <v>3280239.35</v>
      </c>
      <c r="J37" s="18" t="n">
        <v>2912783.2</v>
      </c>
      <c r="K37" s="34" t="n">
        <v>2912783.2</v>
      </c>
      <c r="L37" s="18" t="n">
        <v>3397179.66</v>
      </c>
      <c r="M37" s="18" t="n">
        <v>3231533.85</v>
      </c>
      <c r="N37" s="18" t="n">
        <v>3040029.09</v>
      </c>
      <c r="O37" s="18" t="n">
        <v>3203614.52</v>
      </c>
      <c r="P37" s="34" t="n">
        <v>3203614.52</v>
      </c>
      <c r="Q37" s="18" t="n">
        <v>3365802.88</v>
      </c>
      <c r="R37" s="18" t="n">
        <v>3468122.15</v>
      </c>
      <c r="S37" s="18" t="n">
        <v>3544745.72</v>
      </c>
      <c r="T37" s="18" t="n">
        <v>3883696.73</v>
      </c>
      <c r="U37" s="34" t="n">
        <v>3883696.73</v>
      </c>
      <c r="V37" s="18" t="n">
        <v>4138323.95</v>
      </c>
      <c r="W37" s="18" t="n">
        <v>3954557.34</v>
      </c>
      <c r="X37" s="18" t="n">
        <v>3904739.9</v>
      </c>
      <c r="Y37" s="18" t="n">
        <v>4314759.55</v>
      </c>
      <c r="Z37" s="34" t="n">
        <v>4314759.55</v>
      </c>
      <c r="AA37" s="18" t="n">
        <v>4885073.2</v>
      </c>
      <c r="AB37" s="19" t="n">
        <v>4563807.84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계약부채</t>
        </is>
      </c>
      <c r="E38" s="18" t="n">
        <v>3646718.93</v>
      </c>
      <c r="F38" s="34" t="n">
        <v>3646718.93</v>
      </c>
      <c r="G38" s="18" t="n">
        <v>4360449.42</v>
      </c>
      <c r="H38" s="18" t="n">
        <v>5217123.86</v>
      </c>
      <c r="I38" s="18" t="n">
        <v>6334131.53</v>
      </c>
      <c r="J38" s="18" t="n">
        <v>7438536.84</v>
      </c>
      <c r="K38" s="34" t="n">
        <v>7438536.84</v>
      </c>
      <c r="L38" s="18" t="n">
        <v>8577531.15</v>
      </c>
      <c r="M38" s="18" t="n">
        <v>9752835.939999999</v>
      </c>
      <c r="N38" s="18" t="n">
        <v>11085377.56</v>
      </c>
      <c r="O38" s="18" t="n">
        <v>11074793.38</v>
      </c>
      <c r="P38" s="34" t="n">
        <v>11074793.38</v>
      </c>
      <c r="Q38" s="18" t="n">
        <v>11037982.5</v>
      </c>
      <c r="R38" s="18" t="n">
        <v>11434858.13</v>
      </c>
      <c r="S38" s="18" t="n">
        <v>11477277.67</v>
      </c>
      <c r="T38" s="18" t="n">
        <v>12715929.77</v>
      </c>
      <c r="U38" s="34" t="n">
        <v>12715929.77</v>
      </c>
      <c r="V38" s="18" t="n">
        <v>14882408.96</v>
      </c>
      <c r="W38" s="18" t="n">
        <v>14289409.39</v>
      </c>
      <c r="X38" s="18" t="n">
        <v>14557032.91</v>
      </c>
      <c r="Y38" s="18" t="n">
        <v>13887788.86</v>
      </c>
      <c r="Z38" s="34" t="n">
        <v>13887788.86</v>
      </c>
      <c r="AA38" s="18" t="n">
        <v>14077283.52</v>
      </c>
      <c r="AB38" s="19" t="n">
        <v>14605308.82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선수금</t>
        </is>
      </c>
      <c r="E39" s="18" t="n">
        <v>30017.43</v>
      </c>
      <c r="F39" s="34" t="n">
        <v>30017.43</v>
      </c>
      <c r="G39" s="18" t="n">
        <v>28578.1</v>
      </c>
      <c r="H39" s="18" t="n">
        <v>28417.08</v>
      </c>
      <c r="I39" s="18" t="n">
        <v>35877.89</v>
      </c>
      <c r="J39" s="18" t="n">
        <v>28578.99</v>
      </c>
      <c r="K39" s="34" t="n">
        <v>28578.99</v>
      </c>
      <c r="L39" s="18" t="n">
        <v>28326.34</v>
      </c>
      <c r="M39" s="18" t="n">
        <v>28326.14</v>
      </c>
      <c r="N39" s="18" t="n">
        <v>28312.76</v>
      </c>
      <c r="O39" s="18" t="n">
        <v>28310.54</v>
      </c>
      <c r="P39" s="34" t="n">
        <v>28310.54</v>
      </c>
      <c r="Q39" s="18" t="n">
        <v>31954.97</v>
      </c>
      <c r="R39" s="18" t="n">
        <v>30434.57</v>
      </c>
      <c r="S39" s="18" t="n">
        <v>29652.65</v>
      </c>
      <c r="T39" s="18" t="n">
        <v>38451.22</v>
      </c>
      <c r="U39" s="34" t="n">
        <v>38451.22</v>
      </c>
      <c r="V39" s="18" t="n">
        <v>24414.63</v>
      </c>
      <c r="W39" s="18" t="n">
        <v>26076.99</v>
      </c>
      <c r="X39" s="18" t="n">
        <v>29886.72</v>
      </c>
      <c r="Y39" s="18" t="n">
        <v>29413</v>
      </c>
      <c r="Z39" s="34" t="n">
        <v>29413</v>
      </c>
      <c r="AA39" s="18" t="n">
        <v>29923.81</v>
      </c>
      <c r="AB39" s="19" t="n">
        <v>29438.99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기타유동부채</t>
        </is>
      </c>
      <c r="E40" s="18" t="n">
        <v>30105.43</v>
      </c>
      <c r="F40" s="34" t="n">
        <v>30105.43</v>
      </c>
      <c r="G40" s="18" t="n">
        <v>28680.88</v>
      </c>
      <c r="H40" s="18" t="n">
        <v>28526.25</v>
      </c>
      <c r="I40" s="18" t="n">
        <v>35981.92</v>
      </c>
      <c r="J40" s="18" t="n">
        <v>29106.34</v>
      </c>
      <c r="K40" s="34" t="n">
        <v>29106.34</v>
      </c>
      <c r="L40" s="18" t="n">
        <v>28652.82</v>
      </c>
      <c r="M40" s="18" t="n">
        <v>28620.51</v>
      </c>
      <c r="N40" s="18" t="n">
        <v>28508.31</v>
      </c>
      <c r="O40" s="18" t="n">
        <v>28407.23</v>
      </c>
      <c r="P40" s="34" t="n">
        <v>28407.23</v>
      </c>
      <c r="Q40" s="18" t="n">
        <v>32757.21</v>
      </c>
      <c r="R40" s="18" t="n">
        <v>31121.57</v>
      </c>
      <c r="S40" s="18" t="n">
        <v>30329.33</v>
      </c>
      <c r="T40" s="18" t="n">
        <v>39057.87</v>
      </c>
      <c r="U40" s="34" t="n">
        <v>39057.87</v>
      </c>
      <c r="V40" s="18" t="n">
        <v>25115.66</v>
      </c>
      <c r="W40" s="18" t="n">
        <v>26597.76</v>
      </c>
      <c r="X40" s="18" t="n">
        <v>30141.58</v>
      </c>
      <c r="Y40" s="18" t="n">
        <v>29874.07</v>
      </c>
      <c r="Z40" s="34" t="n">
        <v>29874.07</v>
      </c>
      <c r="AA40" s="18" t="n">
        <v>30969.37</v>
      </c>
      <c r="AB40" s="19" t="n">
        <v>30303.79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단기파생상품부채</t>
        </is>
      </c>
      <c r="E41" s="18" t="n">
        <v>285773.51</v>
      </c>
      <c r="F41" s="34" t="n">
        <v>285773.51</v>
      </c>
      <c r="G41" s="18" t="n">
        <v>388108.98</v>
      </c>
      <c r="H41" s="18" t="n">
        <v>808212.98</v>
      </c>
      <c r="I41" s="18" t="n">
        <v>1692757.64</v>
      </c>
      <c r="J41" s="18" t="n">
        <v>642521.4</v>
      </c>
      <c r="K41" s="34" t="n">
        <v>642521.4</v>
      </c>
      <c r="L41" s="18" t="n">
        <v>742106.37</v>
      </c>
      <c r="M41" s="18" t="n">
        <v>758460.55</v>
      </c>
      <c r="N41" s="18" t="n">
        <v>896529.51</v>
      </c>
      <c r="O41" s="18" t="n">
        <v>539212.37</v>
      </c>
      <c r="P41" s="34" t="n">
        <v>539212.37</v>
      </c>
      <c r="Q41" s="18" t="n">
        <v>848977.49</v>
      </c>
      <c r="R41" s="18" t="n">
        <v>1058045.06</v>
      </c>
      <c r="S41" s="18" t="n">
        <v>592523.3100000001</v>
      </c>
      <c r="T41" s="18" t="n">
        <v>1691781.73</v>
      </c>
      <c r="U41" s="34" t="n">
        <v>1691781.73</v>
      </c>
      <c r="V41" s="18" t="n">
        <v>1403731.27</v>
      </c>
      <c r="W41" s="18" t="n">
        <v>569059.8199999999</v>
      </c>
      <c r="X41" s="18" t="n">
        <v>768969.55</v>
      </c>
      <c r="Y41" s="18" t="n">
        <v>973357.73</v>
      </c>
      <c r="Z41" s="34" t="n">
        <v>973357.73</v>
      </c>
      <c r="AA41" s="18" t="n">
        <v>1594189.71</v>
      </c>
      <c r="AB41" s="19" t="n">
        <v>1902632.47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당기법인세부채(미지급법인세)</t>
        </is>
      </c>
      <c r="E42" s="18" t="n">
        <v>1529.41</v>
      </c>
      <c r="F42" s="34" t="n">
        <v>1529.41</v>
      </c>
      <c r="G42" s="18" t="n">
        <v>3011.6</v>
      </c>
      <c r="H42" s="18" t="n">
        <v>5618.15</v>
      </c>
      <c r="I42" s="18" t="n">
        <v>1811.26</v>
      </c>
      <c r="J42" s="18" t="n">
        <v>6071.61</v>
      </c>
      <c r="K42" s="34" t="n">
        <v>6071.61</v>
      </c>
      <c r="L42" s="18" t="n">
        <v>5838.66</v>
      </c>
      <c r="M42" s="18" t="n">
        <v>822.13</v>
      </c>
      <c r="N42" s="18" t="n">
        <v>1193.99</v>
      </c>
      <c r="O42" s="18" t="n">
        <v>777.73</v>
      </c>
      <c r="P42" s="34" t="n">
        <v>777.73</v>
      </c>
      <c r="Q42" s="18" t="n">
        <v>1103.58</v>
      </c>
      <c r="R42" s="18" t="n">
        <v>5749.05</v>
      </c>
      <c r="S42" s="18" t="n">
        <v>13895.26</v>
      </c>
      <c r="T42" s="18" t="n">
        <v>19321.11</v>
      </c>
      <c r="U42" s="34" t="n">
        <v>19321.11</v>
      </c>
      <c r="V42" s="18" t="n">
        <v>48935.8</v>
      </c>
      <c r="W42" s="18" t="n">
        <v>72849.61</v>
      </c>
      <c r="X42" s="18" t="n">
        <v>53803.14</v>
      </c>
      <c r="Y42" s="18" t="n">
        <v>61851.4</v>
      </c>
      <c r="Z42" s="34" t="n">
        <v>61851.4</v>
      </c>
      <c r="AA42" s="18" t="n">
        <v>103519.02</v>
      </c>
      <c r="AB42" s="19" t="n">
        <v>355786.65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단기충당부채</t>
        </is>
      </c>
      <c r="E43" s="18" t="n">
        <v>1750415.35</v>
      </c>
      <c r="F43" s="34" t="n">
        <v>1750415.35</v>
      </c>
      <c r="G43" s="18" t="n">
        <v>1781345.11</v>
      </c>
      <c r="H43" s="18" t="n">
        <v>1678963.6</v>
      </c>
      <c r="I43" s="18" t="n">
        <v>1262752.04</v>
      </c>
      <c r="J43" s="18" t="n">
        <v>1271544.11</v>
      </c>
      <c r="K43" s="34" t="n">
        <v>1271544.11</v>
      </c>
      <c r="L43" s="18" t="n">
        <v>469524.55</v>
      </c>
      <c r="M43" s="18" t="n">
        <v>368757.7</v>
      </c>
      <c r="N43" s="18" t="n">
        <v>338533.95</v>
      </c>
      <c r="O43" s="18" t="n">
        <v>399721.73</v>
      </c>
      <c r="P43" s="34" t="n">
        <v>399721.73</v>
      </c>
      <c r="Q43" s="18" t="n">
        <v>415061.84</v>
      </c>
      <c r="R43" s="18" t="n">
        <v>433291.62</v>
      </c>
      <c r="S43" s="18" t="n">
        <v>385847.19</v>
      </c>
      <c r="T43" s="18" t="n">
        <v>382454.51</v>
      </c>
      <c r="U43" s="34" t="n">
        <v>382454.51</v>
      </c>
      <c r="V43" s="18" t="n">
        <v>397041.69</v>
      </c>
      <c r="W43" s="18" t="n">
        <v>423932.3</v>
      </c>
      <c r="X43" s="18" t="n">
        <v>403935.33</v>
      </c>
      <c r="Y43" s="18" t="n">
        <v>435852.81</v>
      </c>
      <c r="Z43" s="34" t="n">
        <v>435852.81</v>
      </c>
      <c r="AA43" s="18" t="n">
        <v>447357.45</v>
      </c>
      <c r="AB43" s="19" t="n">
        <v>445632.38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비유동부채</t>
        </is>
      </c>
      <c r="E44" s="18" t="n">
        <v>3592871.27</v>
      </c>
      <c r="F44" s="34" t="n">
        <v>3592871.27</v>
      </c>
      <c r="G44" s="18" t="n">
        <v>3243937.93</v>
      </c>
      <c r="H44" s="18" t="n">
        <v>3511979.54</v>
      </c>
      <c r="I44" s="18" t="n">
        <v>4475178.17</v>
      </c>
      <c r="J44" s="18" t="n">
        <v>2537863.97</v>
      </c>
      <c r="K44" s="34" t="n">
        <v>2537863.97</v>
      </c>
      <c r="L44" s="18" t="n">
        <v>2584928.29</v>
      </c>
      <c r="M44" s="18" t="n">
        <v>2963030.17</v>
      </c>
      <c r="N44" s="18" t="n">
        <v>2858683.59</v>
      </c>
      <c r="O44" s="18" t="n">
        <v>2374597.75</v>
      </c>
      <c r="P44" s="34" t="n">
        <v>2374597.75</v>
      </c>
      <c r="Q44" s="18" t="n">
        <v>2379893.48</v>
      </c>
      <c r="R44" s="18" t="n">
        <v>2524206.08</v>
      </c>
      <c r="S44" s="18" t="n">
        <v>1620583.72</v>
      </c>
      <c r="T44" s="18" t="n">
        <v>3238265.83</v>
      </c>
      <c r="U44" s="34" t="n">
        <v>3238265.83</v>
      </c>
      <c r="V44" s="18" t="n">
        <v>3495410.88</v>
      </c>
      <c r="W44" s="18" t="n">
        <v>2092951.65</v>
      </c>
      <c r="X44" s="18" t="n">
        <v>2311914.83</v>
      </c>
      <c r="Y44" s="18" t="n">
        <v>2623046.15</v>
      </c>
      <c r="Z44" s="34" t="n">
        <v>2623046.15</v>
      </c>
      <c r="AA44" s="18" t="n">
        <v>2710874.46</v>
      </c>
      <c r="AB44" s="19" t="n">
        <v>2918055.11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장기차입금</t>
        </is>
      </c>
      <c r="E45" s="18" t="n">
        <v>2843352.92</v>
      </c>
      <c r="F45" s="34" t="n">
        <v>2843352.92</v>
      </c>
      <c r="G45" s="18" t="n">
        <v>2464043</v>
      </c>
      <c r="H45" s="18" t="n">
        <v>2119965.24</v>
      </c>
      <c r="I45" s="18" t="n">
        <v>1851019.81</v>
      </c>
      <c r="J45" s="18" t="n">
        <v>1438739.13</v>
      </c>
      <c r="K45" s="34" t="n">
        <v>1438739.13</v>
      </c>
      <c r="L45" s="18" t="n">
        <v>1449292.64</v>
      </c>
      <c r="M45" s="18" t="n">
        <v>1908352.14</v>
      </c>
      <c r="N45" s="18" t="n">
        <v>1649137.1</v>
      </c>
      <c r="O45" s="18" t="n">
        <v>1698182.75</v>
      </c>
      <c r="P45" s="34" t="n">
        <v>1698182.75</v>
      </c>
      <c r="Q45" s="18" t="n">
        <v>1518486.78</v>
      </c>
      <c r="R45" s="18" t="n">
        <v>1381919.96</v>
      </c>
      <c r="S45" s="18" t="n">
        <v>918999.22</v>
      </c>
      <c r="T45" s="18" t="n">
        <v>866206.84</v>
      </c>
      <c r="U45" s="34" t="n">
        <v>866206.84</v>
      </c>
      <c r="V45" s="18" t="n">
        <v>1199542.82</v>
      </c>
      <c r="W45" s="18" t="n">
        <v>825728.39</v>
      </c>
      <c r="X45" s="18" t="n">
        <v>786420.52</v>
      </c>
      <c r="Y45" s="18" t="n">
        <v>805610.59</v>
      </c>
      <c r="Z45" s="34" t="n">
        <v>805610.59</v>
      </c>
      <c r="AA45" s="18" t="n">
        <v>57260.32</v>
      </c>
      <c r="AB45" s="19" t="n">
        <v>58503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장기금융부채(face)</t>
        </is>
      </c>
      <c r="E46" s="18" t="n">
        <v>2843352.92</v>
      </c>
      <c r="F46" s="34" t="n">
        <v>2843352.92</v>
      </c>
      <c r="G46" s="18" t="n">
        <v>2464043</v>
      </c>
      <c r="H46" s="18" t="n">
        <v>2119965.24</v>
      </c>
      <c r="I46" s="18" t="n">
        <v>1851019.81</v>
      </c>
      <c r="J46" s="18" t="n">
        <v>1438739.13</v>
      </c>
      <c r="K46" s="34" t="n">
        <v>1438739.13</v>
      </c>
      <c r="L46" s="18" t="n">
        <v>1449292.64</v>
      </c>
      <c r="M46" s="18" t="n">
        <v>1908352.14</v>
      </c>
      <c r="N46" s="18" t="n">
        <v>1649137.1</v>
      </c>
      <c r="O46" s="18" t="n">
        <v>1698182.75</v>
      </c>
      <c r="P46" s="34" t="n">
        <v>1698182.75</v>
      </c>
      <c r="Q46" s="18" t="n">
        <v>1518486.78</v>
      </c>
      <c r="R46" s="18" t="n">
        <v>1381919.96</v>
      </c>
      <c r="S46" s="18" t="n">
        <v>918999.22</v>
      </c>
      <c r="T46" s="18" t="n">
        <v>866206.84</v>
      </c>
      <c r="U46" s="34" t="n">
        <v>866206.84</v>
      </c>
      <c r="V46" s="18" t="n">
        <v>1199542.82</v>
      </c>
      <c r="W46" s="18" t="n">
        <v>825728.39</v>
      </c>
      <c r="X46" s="18" t="n">
        <v>786420.52</v>
      </c>
      <c r="Y46" s="18" t="n">
        <v>805610.59</v>
      </c>
      <c r="Z46" s="34" t="n">
        <v>805610.59</v>
      </c>
      <c r="AA46" s="18" t="n">
        <v>57260.32</v>
      </c>
      <c r="AB46" s="19" t="n">
        <v>58503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비유동리스부채</t>
        </is>
      </c>
      <c r="E47" s="18" t="n">
        <v>33092.11</v>
      </c>
      <c r="F47" s="34" t="n">
        <v>33092.11</v>
      </c>
      <c r="G47" s="18" t="n">
        <v>32972.75</v>
      </c>
      <c r="H47" s="18" t="n">
        <v>33874.55</v>
      </c>
      <c r="I47" s="18" t="n">
        <v>33729.92</v>
      </c>
      <c r="J47" s="18" t="n">
        <v>72101.06</v>
      </c>
      <c r="K47" s="34" t="n">
        <v>72101.06</v>
      </c>
      <c r="L47" s="18" t="n">
        <v>69053.39999999999</v>
      </c>
      <c r="M47" s="18" t="n">
        <v>65012.61</v>
      </c>
      <c r="N47" s="18" t="n">
        <v>64694.72</v>
      </c>
      <c r="O47" s="18" t="n">
        <v>66972.17</v>
      </c>
      <c r="P47" s="34" t="n">
        <v>66972.17</v>
      </c>
      <c r="Q47" s="18" t="n">
        <v>64980.59</v>
      </c>
      <c r="R47" s="18" t="n">
        <v>60807.69</v>
      </c>
      <c r="S47" s="18" t="n">
        <v>56693.52</v>
      </c>
      <c r="T47" s="18" t="n">
        <v>452815.92</v>
      </c>
      <c r="U47" s="34" t="n">
        <v>452815.92</v>
      </c>
      <c r="V47" s="18" t="n">
        <v>430100.43</v>
      </c>
      <c r="W47" s="18" t="n">
        <v>402381.79</v>
      </c>
      <c r="X47" s="18" t="n">
        <v>413784.76</v>
      </c>
      <c r="Y47" s="18" t="n">
        <v>398797.41</v>
      </c>
      <c r="Z47" s="34" t="n">
        <v>398797.41</v>
      </c>
      <c r="AA47" s="18" t="n">
        <v>430319.57</v>
      </c>
      <c r="AB47" s="19" t="n">
        <v>440099.8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장기금융부채</t>
        </is>
      </c>
      <c r="E48" s="18" t="n">
        <v>280146.46</v>
      </c>
      <c r="F48" s="34" t="n">
        <v>280146.46</v>
      </c>
      <c r="G48" s="18" t="n">
        <v>288813.47</v>
      </c>
      <c r="H48" s="18" t="n">
        <v>873684.9</v>
      </c>
      <c r="I48" s="18" t="n">
        <v>2089695.2</v>
      </c>
      <c r="J48" s="18" t="n">
        <v>692402.5699999999</v>
      </c>
      <c r="K48" s="34" t="n">
        <v>692402.5699999999</v>
      </c>
      <c r="L48" s="18" t="n">
        <v>765750.99</v>
      </c>
      <c r="M48" s="18" t="n">
        <v>663477.48</v>
      </c>
      <c r="N48" s="18" t="n">
        <v>801795.52</v>
      </c>
      <c r="O48" s="18" t="n">
        <v>487549.74</v>
      </c>
      <c r="P48" s="34" t="n">
        <v>487549.74</v>
      </c>
      <c r="Q48" s="18" t="n">
        <v>672735.83</v>
      </c>
      <c r="R48" s="18" t="n">
        <v>936735.8100000001</v>
      </c>
      <c r="S48" s="18" t="n">
        <v>467987.7</v>
      </c>
      <c r="T48" s="18" t="n">
        <v>2155093.41</v>
      </c>
      <c r="U48" s="34" t="n">
        <v>2155093.41</v>
      </c>
      <c r="V48" s="18" t="n">
        <v>2080210.98</v>
      </c>
      <c r="W48" s="18" t="n">
        <v>1053262.24</v>
      </c>
      <c r="X48" s="18" t="n">
        <v>1300697.42</v>
      </c>
      <c r="Y48" s="18" t="n">
        <v>1590644.08</v>
      </c>
      <c r="Z48" s="34" t="n">
        <v>1590644.08</v>
      </c>
      <c r="AA48" s="18" t="n">
        <v>2405455.73</v>
      </c>
      <c r="AB48" s="19" t="n">
        <v>2463865.63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장기매입채무및기타채무</t>
        </is>
      </c>
      <c r="E49" s="18" t="n">
        <v>9250.1</v>
      </c>
      <c r="F49" s="34" t="n">
        <v>9250.1</v>
      </c>
      <c r="G49" s="18" t="n">
        <v>8831.59</v>
      </c>
      <c r="H49" s="18" t="n">
        <v>8781.950000000001</v>
      </c>
      <c r="I49" s="18" t="n">
        <v>8858.450000000001</v>
      </c>
      <c r="J49" s="18" t="n">
        <v>9225.66</v>
      </c>
      <c r="K49" s="34" t="n">
        <v>9225.66</v>
      </c>
      <c r="L49" s="18" t="n">
        <v>9211.51</v>
      </c>
      <c r="M49" s="18" t="n">
        <v>9584.18</v>
      </c>
      <c r="N49" s="18" t="n">
        <v>20102.28</v>
      </c>
      <c r="O49" s="18" t="n">
        <v>25747.46</v>
      </c>
      <c r="P49" s="34" t="n">
        <v>25747.46</v>
      </c>
      <c r="Q49" s="18" t="n">
        <v>25232.09</v>
      </c>
      <c r="R49" s="18" t="n">
        <v>26760.8</v>
      </c>
      <c r="S49" s="18" t="n">
        <v>28666.04</v>
      </c>
      <c r="T49" s="18" t="n">
        <v>34511.49</v>
      </c>
      <c r="U49" s="34" t="n">
        <v>34511.49</v>
      </c>
      <c r="V49" s="18" t="n">
        <v>36016.99</v>
      </c>
      <c r="W49" s="18" t="n">
        <v>38222.24</v>
      </c>
      <c r="X49" s="18" t="n">
        <v>39955.89</v>
      </c>
      <c r="Y49" s="18" t="n">
        <v>47062.97</v>
      </c>
      <c r="Z49" s="34" t="n">
        <v>47062.97</v>
      </c>
      <c r="AA49" s="18" t="n">
        <v>51962.92</v>
      </c>
      <c r="AB49" s="19" t="n">
        <v>55137.06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확정급여부채</t>
        </is>
      </c>
      <c r="E50" s="18" t="n">
        <v>59562.11</v>
      </c>
      <c r="F50" s="34" t="n">
        <v>59562.11</v>
      </c>
      <c r="G50" s="18" t="n">
        <v>61543.54</v>
      </c>
      <c r="H50" s="18" t="n">
        <v>63183.42</v>
      </c>
      <c r="I50" s="18" t="n">
        <v>69800.12</v>
      </c>
      <c r="J50" s="18" t="n">
        <v>52628.12</v>
      </c>
      <c r="K50" s="34" t="n">
        <v>52628.12</v>
      </c>
      <c r="L50" s="18" t="n">
        <v>53467.39</v>
      </c>
      <c r="M50" s="18" t="n">
        <v>53546.75</v>
      </c>
      <c r="N50" s="18" t="n">
        <v>55321.96</v>
      </c>
      <c r="O50" s="18" t="n">
        <v>55801.68</v>
      </c>
      <c r="P50" s="34" t="n">
        <v>55801.68</v>
      </c>
      <c r="Q50" s="18" t="n">
        <v>55680.39</v>
      </c>
      <c r="R50" s="18" t="n">
        <v>56114.38</v>
      </c>
      <c r="S50" s="18" t="n">
        <v>57783.47</v>
      </c>
      <c r="T50" s="18" t="n">
        <v>58441.45</v>
      </c>
      <c r="U50" s="34" t="n">
        <v>58441.45</v>
      </c>
      <c r="V50" s="18" t="n">
        <v>49324.45</v>
      </c>
      <c r="X50" s="18" t="n">
        <v>55801.36</v>
      </c>
      <c r="Y50" s="18" t="n">
        <v>44333.5</v>
      </c>
      <c r="Z50" s="34" t="n">
        <v>44333.5</v>
      </c>
      <c r="AA50" s="18" t="n">
        <v>45958.51</v>
      </c>
      <c r="AB50" s="19" t="n">
        <v>46936.6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장기충당부채</t>
        </is>
      </c>
      <c r="E51" s="18" t="n">
        <v>319090.17</v>
      </c>
      <c r="F51" s="34" t="n">
        <v>319090.17</v>
      </c>
      <c r="G51" s="18" t="n">
        <v>331684.26</v>
      </c>
      <c r="H51" s="18" t="n">
        <v>347164.85</v>
      </c>
      <c r="I51" s="18" t="n">
        <v>373963.69</v>
      </c>
      <c r="J51" s="18" t="n">
        <v>321790.6</v>
      </c>
      <c r="K51" s="34" t="n">
        <v>321790.6</v>
      </c>
      <c r="L51" s="18" t="n">
        <v>284280.93</v>
      </c>
      <c r="M51" s="18" t="n">
        <v>305307.22</v>
      </c>
      <c r="N51" s="18" t="n">
        <v>310159.9</v>
      </c>
      <c r="O51" s="18" t="n">
        <v>84658.17</v>
      </c>
      <c r="P51" s="34" t="n">
        <v>84658.17</v>
      </c>
      <c r="Q51" s="18" t="n">
        <v>85260.02</v>
      </c>
      <c r="R51" s="18" t="n">
        <v>96962.37</v>
      </c>
      <c r="S51" s="18" t="n">
        <v>105491.03</v>
      </c>
      <c r="T51" s="18" t="n">
        <v>102619.02</v>
      </c>
      <c r="U51" s="34" t="n">
        <v>102619.02</v>
      </c>
      <c r="V51" s="18" t="n">
        <v>108322.92</v>
      </c>
      <c r="W51" s="18" t="n">
        <v>104717.99</v>
      </c>
      <c r="X51" s="18" t="n">
        <v>103721.5</v>
      </c>
      <c r="Y51" s="18" t="n">
        <v>111316.77</v>
      </c>
      <c r="Z51" s="34" t="n">
        <v>111316.77</v>
      </c>
      <c r="AA51" s="18" t="n">
        <v>116754.78</v>
      </c>
      <c r="AB51" s="19" t="n">
        <v>115934.98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장기파생상품부채</t>
        </is>
      </c>
      <c r="E52" s="18" t="n">
        <v>247054.35</v>
      </c>
      <c r="F52" s="34" t="n">
        <v>247054.35</v>
      </c>
      <c r="G52" s="18" t="n">
        <v>255840.72</v>
      </c>
      <c r="H52" s="18" t="n">
        <v>839810.35</v>
      </c>
      <c r="I52" s="18" t="n">
        <v>2055965.28</v>
      </c>
      <c r="J52" s="18" t="n">
        <v>620301.51</v>
      </c>
      <c r="K52" s="34" t="n">
        <v>620301.51</v>
      </c>
      <c r="L52" s="18" t="n">
        <v>696697.59</v>
      </c>
      <c r="M52" s="18" t="n">
        <v>598464.87</v>
      </c>
      <c r="N52" s="18" t="n">
        <v>737100.8</v>
      </c>
      <c r="O52" s="18" t="n">
        <v>420577.57</v>
      </c>
      <c r="P52" s="34" t="n">
        <v>420577.57</v>
      </c>
      <c r="Q52" s="18" t="n">
        <v>607755.24</v>
      </c>
      <c r="R52" s="18" t="n">
        <v>875928.12</v>
      </c>
      <c r="S52" s="18" t="n">
        <v>411294.18</v>
      </c>
      <c r="T52" s="18" t="n">
        <v>1702277.49</v>
      </c>
      <c r="U52" s="34" t="n">
        <v>1702277.49</v>
      </c>
      <c r="V52" s="18" t="n">
        <v>1650110.55</v>
      </c>
      <c r="W52" s="18" t="n">
        <v>650880.45</v>
      </c>
      <c r="X52" s="18" t="n">
        <v>886912.66</v>
      </c>
      <c r="Y52" s="18" t="n">
        <v>1191846.67</v>
      </c>
      <c r="Z52" s="34" t="n">
        <v>1191846.67</v>
      </c>
      <c r="AA52" s="18" t="n">
        <v>1975136.16</v>
      </c>
      <c r="AB52" s="19" t="n">
        <v>2023765.83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이연법인세부채</t>
        </is>
      </c>
      <c r="E53" s="18" t="n">
        <v>59054.29</v>
      </c>
      <c r="F53" s="34" t="n">
        <v>59054.29</v>
      </c>
      <c r="G53" s="18" t="n">
        <v>66758.77</v>
      </c>
      <c r="H53" s="18" t="n">
        <v>77088.05</v>
      </c>
      <c r="I53" s="18" t="n">
        <v>59882.13</v>
      </c>
      <c r="J53" s="18" t="n">
        <v>1271.5</v>
      </c>
      <c r="K53" s="34" t="n">
        <v>1271.5</v>
      </c>
      <c r="L53" s="18" t="n">
        <v>1275.13</v>
      </c>
      <c r="M53" s="18" t="n">
        <v>1269.4</v>
      </c>
      <c r="N53" s="18" t="n">
        <v>830.74</v>
      </c>
      <c r="O53" s="18" t="n">
        <v>1478.77</v>
      </c>
      <c r="P53" s="34" t="n">
        <v>1478.77</v>
      </c>
      <c r="Q53" s="18" t="n">
        <v>1480.35</v>
      </c>
      <c r="R53" s="18" t="n">
        <v>4856.14</v>
      </c>
      <c r="S53" s="18" t="n">
        <v>20961.24</v>
      </c>
      <c r="T53" s="18" t="n">
        <v>1192.62</v>
      </c>
      <c r="U53" s="34" t="n">
        <v>1192.62</v>
      </c>
      <c r="V53" s="18" t="n">
        <v>1955.34</v>
      </c>
      <c r="W53" s="18" t="n">
        <v>1236.06</v>
      </c>
      <c r="X53" s="18" t="n">
        <v>5608.62</v>
      </c>
      <c r="Y53" s="18" t="n">
        <v>4532.74</v>
      </c>
      <c r="Z53" s="34" t="n">
        <v>4532.74</v>
      </c>
      <c r="AA53" s="18" t="n">
        <v>13819.71</v>
      </c>
      <c r="AB53" s="19" t="n">
        <v>158187.18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부채총계</t>
        </is>
      </c>
      <c r="E54" s="18" t="n">
        <v>14879338.67</v>
      </c>
      <c r="F54" s="34" t="n">
        <v>14879338.67</v>
      </c>
      <c r="G54" s="18" t="n">
        <v>15772766.22</v>
      </c>
      <c r="H54" s="18" t="n">
        <v>17715883.98</v>
      </c>
      <c r="I54" s="18" t="n">
        <v>20603881.06</v>
      </c>
      <c r="J54" s="18" t="n">
        <v>17571346.49</v>
      </c>
      <c r="K54" s="34" t="n">
        <v>17571346.49</v>
      </c>
      <c r="L54" s="18" t="n">
        <v>18180091.08</v>
      </c>
      <c r="M54" s="18" t="n">
        <v>19346744.7</v>
      </c>
      <c r="N54" s="18" t="n">
        <v>20615316.7</v>
      </c>
      <c r="O54" s="18" t="n">
        <v>19872465.25</v>
      </c>
      <c r="P54" s="34" t="n">
        <v>19872465.25</v>
      </c>
      <c r="Q54" s="18" t="n">
        <v>19951677.64</v>
      </c>
      <c r="R54" s="18" t="n">
        <v>19926316.21</v>
      </c>
      <c r="S54" s="18" t="n">
        <v>18454668.52</v>
      </c>
      <c r="T54" s="18" t="n">
        <v>22563324.22</v>
      </c>
      <c r="U54" s="34" t="n">
        <v>22563324.22</v>
      </c>
      <c r="V54" s="18" t="n">
        <v>25016944.53</v>
      </c>
      <c r="W54" s="18" t="n">
        <v>21968154.45</v>
      </c>
      <c r="X54" s="18" t="n">
        <v>22475232.69</v>
      </c>
      <c r="Y54" s="18" t="n">
        <v>22633860.46</v>
      </c>
      <c r="Z54" s="34" t="n">
        <v>22633860.46</v>
      </c>
      <c r="AA54" s="18" t="n">
        <v>24888294.97</v>
      </c>
      <c r="AB54" s="19" t="n">
        <v>27800917.16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지배주주지분</t>
        </is>
      </c>
      <c r="E55" s="18" t="n">
        <v>9856559.08</v>
      </c>
      <c r="F55" s="34" t="n">
        <v>9856559.08</v>
      </c>
      <c r="G55" s="18" t="n">
        <v>9659384.529999999</v>
      </c>
      <c r="H55" s="18" t="n">
        <v>9587848.449999999</v>
      </c>
      <c r="I55" s="18" t="n">
        <v>9801730.939999999</v>
      </c>
      <c r="J55" s="18" t="n">
        <v>9714919.16</v>
      </c>
      <c r="K55" s="34" t="n">
        <v>9714919.16</v>
      </c>
      <c r="L55" s="18" t="n">
        <v>9682086.619999999</v>
      </c>
      <c r="M55" s="18" t="n">
        <v>9728327.210000001</v>
      </c>
      <c r="N55" s="18" t="n">
        <v>10048549.34</v>
      </c>
      <c r="O55" s="18" t="n">
        <v>9903690.5</v>
      </c>
      <c r="P55" s="34" t="n">
        <v>9903690.5</v>
      </c>
      <c r="Q55" s="18" t="n">
        <v>10086861.76</v>
      </c>
      <c r="R55" s="18" t="n">
        <v>10518174.19</v>
      </c>
      <c r="S55" s="18" t="n">
        <v>10671554.24</v>
      </c>
      <c r="T55" s="18" t="n">
        <v>11099427.06</v>
      </c>
      <c r="U55" s="34" t="n">
        <v>11099427.06</v>
      </c>
      <c r="V55" s="18" t="n">
        <v>11369214.6</v>
      </c>
      <c r="W55" s="18" t="n">
        <v>11994278.75</v>
      </c>
      <c r="X55" s="18" t="n">
        <v>12437819.24</v>
      </c>
      <c r="Y55" s="18" t="n">
        <v>13286077.75</v>
      </c>
      <c r="Z55" s="34" t="n">
        <v>13286077.75</v>
      </c>
      <c r="AA55" s="18" t="n">
        <v>13549752.58</v>
      </c>
      <c r="AB55" s="19" t="n">
        <v>14829923.54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자본금</t>
        </is>
      </c>
      <c r="E56" s="18" t="n">
        <v>353865.58</v>
      </c>
      <c r="F56" s="34" t="n">
        <v>353865.58</v>
      </c>
      <c r="G56" s="18" t="n">
        <v>353865.58</v>
      </c>
      <c r="H56" s="18" t="n">
        <v>353865.58</v>
      </c>
      <c r="I56" s="18" t="n">
        <v>353865.58</v>
      </c>
      <c r="J56" s="18" t="n">
        <v>353865.58</v>
      </c>
      <c r="K56" s="34" t="n">
        <v>353865.58</v>
      </c>
      <c r="L56" s="18" t="n">
        <v>353865.58</v>
      </c>
      <c r="M56" s="18" t="n">
        <v>353865.58</v>
      </c>
      <c r="N56" s="18" t="n">
        <v>353865.58</v>
      </c>
      <c r="O56" s="18" t="n">
        <v>353865.58</v>
      </c>
      <c r="P56" s="34" t="n">
        <v>353865.58</v>
      </c>
      <c r="Q56" s="18" t="n">
        <v>353865.58</v>
      </c>
      <c r="R56" s="18" t="n">
        <v>353865.58</v>
      </c>
      <c r="S56" s="18" t="n">
        <v>353865.58</v>
      </c>
      <c r="T56" s="18" t="n">
        <v>353865.58</v>
      </c>
      <c r="U56" s="34" t="n">
        <v>353865.58</v>
      </c>
      <c r="V56" s="18" t="n">
        <v>353865.58</v>
      </c>
      <c r="W56" s="18" t="n">
        <v>353865.58</v>
      </c>
      <c r="X56" s="18" t="n">
        <v>353865.58</v>
      </c>
      <c r="Y56" s="18" t="n">
        <v>353865.58</v>
      </c>
      <c r="Z56" s="34" t="n">
        <v>353865.58</v>
      </c>
      <c r="AA56" s="18" t="n">
        <v>353865.58</v>
      </c>
      <c r="AB56" s="19" t="n">
        <v>353865.58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자본잉여금</t>
        </is>
      </c>
      <c r="E57" s="18" t="n">
        <v>2400507.23</v>
      </c>
      <c r="F57" s="34" t="n">
        <v>2400507.23</v>
      </c>
      <c r="G57" s="18" t="n">
        <v>2400507.23</v>
      </c>
      <c r="H57" s="18" t="n">
        <v>2467505.93</v>
      </c>
      <c r="I57" s="18" t="n">
        <v>2467505.93</v>
      </c>
      <c r="J57" s="18" t="n">
        <v>2467505.93</v>
      </c>
      <c r="K57" s="34" t="n">
        <v>2467505.93</v>
      </c>
      <c r="L57" s="18" t="n">
        <v>2466883.26</v>
      </c>
      <c r="M57" s="18" t="n">
        <v>2461903.5</v>
      </c>
      <c r="N57" s="18" t="n">
        <v>2459463.66</v>
      </c>
      <c r="O57" s="18" t="n">
        <v>2459694.58</v>
      </c>
      <c r="P57" s="34" t="n">
        <v>2459694.58</v>
      </c>
      <c r="Q57" s="18" t="n">
        <v>2458941.5</v>
      </c>
      <c r="R57" s="18" t="n">
        <v>2599805.72</v>
      </c>
      <c r="S57" s="18" t="n">
        <v>2599768.66</v>
      </c>
      <c r="T57" s="18" t="n">
        <v>2599782.42</v>
      </c>
      <c r="U57" s="34" t="n">
        <v>2599782.42</v>
      </c>
      <c r="V57" s="18" t="n">
        <v>2599782.22</v>
      </c>
      <c r="W57" s="18" t="n">
        <v>2722590.6</v>
      </c>
      <c r="X57" s="18" t="n">
        <v>2762402.1</v>
      </c>
      <c r="Y57" s="18" t="n">
        <v>3016775.29</v>
      </c>
      <c r="Z57" s="34" t="n">
        <v>3016775.29</v>
      </c>
      <c r="AA57" s="18" t="n">
        <v>3043385.05</v>
      </c>
      <c r="AB57" s="19" t="n">
        <v>3026446.38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기타자본</t>
        </is>
      </c>
      <c r="E58" s="18" t="n">
        <v>-8697362.640000001</v>
      </c>
      <c r="F58" s="34" t="n">
        <v>-8697362.640000001</v>
      </c>
      <c r="G58" s="18" t="n">
        <v>-8703261.529999999</v>
      </c>
      <c r="H58" s="18" t="n">
        <v>-8703261.529999999</v>
      </c>
      <c r="I58" s="18" t="n">
        <v>-8703261.529999999</v>
      </c>
      <c r="J58" s="18" t="n">
        <v>-8703261.529999999</v>
      </c>
      <c r="K58" s="34" t="n">
        <v>-8703261.529999999</v>
      </c>
      <c r="L58" s="18" t="n">
        <v>-8608509.970000001</v>
      </c>
      <c r="M58" s="18" t="n">
        <v>-8608509.970000001</v>
      </c>
      <c r="N58" s="18" t="n">
        <v>-8609897.289999999</v>
      </c>
      <c r="O58" s="18" t="n">
        <v>-8609897.210000001</v>
      </c>
      <c r="P58" s="34" t="n">
        <v>-8609897.210000001</v>
      </c>
      <c r="Q58" s="18" t="n">
        <v>-8609897.210000001</v>
      </c>
      <c r="R58" s="18" t="n">
        <v>-8609897.210000001</v>
      </c>
      <c r="S58" s="18" t="n">
        <v>-8609184.550000001</v>
      </c>
      <c r="T58" s="18" t="n">
        <v>-8609021.439999999</v>
      </c>
      <c r="U58" s="34" t="n">
        <v>-8609021.439999999</v>
      </c>
      <c r="V58" s="18" t="n">
        <v>-8488512.27</v>
      </c>
      <c r="W58" s="18" t="n">
        <v>-8526891.119999999</v>
      </c>
      <c r="X58" s="18" t="n">
        <v>-8541364.859999999</v>
      </c>
      <c r="Y58" s="18" t="n">
        <v>-8608784.609999999</v>
      </c>
      <c r="Z58" s="34" t="n">
        <v>-8608784.609999999</v>
      </c>
      <c r="AA58" s="18" t="n">
        <v>-8608763.65</v>
      </c>
      <c r="AB58" s="19" t="n">
        <v>-8615335.189999999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기타포괄이익누계액</t>
        </is>
      </c>
      <c r="E59" s="18" t="n">
        <v>1332378.58</v>
      </c>
      <c r="F59" s="34" t="n">
        <v>1332378.58</v>
      </c>
      <c r="G59" s="18" t="n">
        <v>1340687.17</v>
      </c>
      <c r="H59" s="18" t="n">
        <v>1324023.58</v>
      </c>
      <c r="I59" s="18" t="n">
        <v>1307202.75</v>
      </c>
      <c r="J59" s="18" t="n">
        <v>1296442.44</v>
      </c>
      <c r="K59" s="34" t="n">
        <v>1296442.44</v>
      </c>
      <c r="L59" s="18" t="n">
        <v>1307514.11</v>
      </c>
      <c r="M59" s="18" t="n">
        <v>1329368.23</v>
      </c>
      <c r="N59" s="18" t="n">
        <v>1315646.28</v>
      </c>
      <c r="O59" s="18" t="n">
        <v>1325567.79</v>
      </c>
      <c r="P59" s="34" t="n">
        <v>1325567.79</v>
      </c>
      <c r="Q59" s="18" t="n">
        <v>1652051.91</v>
      </c>
      <c r="R59" s="18" t="n">
        <v>1649300.64</v>
      </c>
      <c r="S59" s="18" t="n">
        <v>1650953.48</v>
      </c>
      <c r="T59" s="18" t="n">
        <v>1670921.04</v>
      </c>
      <c r="U59" s="34" t="n">
        <v>1670921.04</v>
      </c>
      <c r="V59" s="18" t="n">
        <v>1684934.55</v>
      </c>
      <c r="W59" s="18" t="n">
        <v>1867347.23</v>
      </c>
      <c r="X59" s="18" t="n">
        <v>1886836.07</v>
      </c>
      <c r="Y59" s="18" t="n">
        <v>1856691.82</v>
      </c>
      <c r="Z59" s="34" t="n">
        <v>1856691.82</v>
      </c>
      <c r="AA59" s="18" t="n">
        <v>1892972.69</v>
      </c>
      <c r="AB59" s="19" t="n">
        <v>1906187.61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이익잉여금</t>
        </is>
      </c>
      <c r="E60" s="18" t="n">
        <v>14467170.34</v>
      </c>
      <c r="F60" s="34" t="n">
        <v>14467170.34</v>
      </c>
      <c r="G60" s="18" t="n">
        <v>14267586.08</v>
      </c>
      <c r="H60" s="18" t="n">
        <v>14145714.88</v>
      </c>
      <c r="I60" s="18" t="n">
        <v>14376418.2</v>
      </c>
      <c r="J60" s="18" t="n">
        <v>14300366.74</v>
      </c>
      <c r="K60" s="34" t="n">
        <v>14300366.74</v>
      </c>
      <c r="L60" s="18" t="n">
        <v>14162333.64</v>
      </c>
      <c r="M60" s="18" t="n">
        <v>14191699.87</v>
      </c>
      <c r="N60" s="18" t="n">
        <v>14529471.11</v>
      </c>
      <c r="O60" s="18" t="n">
        <v>14374459.76</v>
      </c>
      <c r="P60" s="34" t="n">
        <v>14374459.76</v>
      </c>
      <c r="Q60" s="18" t="n">
        <v>14231899.99</v>
      </c>
      <c r="R60" s="18" t="n">
        <v>14525099.47</v>
      </c>
      <c r="S60" s="18" t="n">
        <v>14676151.09</v>
      </c>
      <c r="T60" s="18" t="n">
        <v>15083879.46</v>
      </c>
      <c r="U60" s="34" t="n">
        <v>15083879.46</v>
      </c>
      <c r="V60" s="18" t="n">
        <v>15219144.52</v>
      </c>
      <c r="W60" s="18" t="n">
        <v>15577366.46</v>
      </c>
      <c r="X60" s="18" t="n">
        <v>15976080.35</v>
      </c>
      <c r="Y60" s="18" t="n">
        <v>16667529.66</v>
      </c>
      <c r="Z60" s="34" t="n">
        <v>16667529.66</v>
      </c>
      <c r="AA60" s="18" t="n">
        <v>16868292.91</v>
      </c>
      <c r="AB60" s="19" t="n">
        <v>18158759.16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비지배주주지분</t>
        </is>
      </c>
      <c r="E61" s="18" t="n">
        <v>2557196.22</v>
      </c>
      <c r="F61" s="34" t="n">
        <v>2557196.22</v>
      </c>
      <c r="G61" s="18" t="n">
        <v>2509167.96</v>
      </c>
      <c r="H61" s="18" t="n">
        <v>2617984.74</v>
      </c>
      <c r="I61" s="18" t="n">
        <v>2712483.62</v>
      </c>
      <c r="J61" s="18" t="n">
        <v>2597210.65</v>
      </c>
      <c r="K61" s="34" t="n">
        <v>2597210.65</v>
      </c>
      <c r="L61" s="18" t="n">
        <v>2583661.11</v>
      </c>
      <c r="M61" s="18" t="n">
        <v>2561907.65</v>
      </c>
      <c r="N61" s="18" t="n">
        <v>2569720.49</v>
      </c>
      <c r="O61" s="18" t="n">
        <v>2466412.43</v>
      </c>
      <c r="P61" s="34" t="n">
        <v>2466412.43</v>
      </c>
      <c r="Q61" s="18" t="n">
        <v>2471338.24</v>
      </c>
      <c r="R61" s="18" t="n">
        <v>2700999.51</v>
      </c>
      <c r="S61" s="18" t="n">
        <v>2899864.42</v>
      </c>
      <c r="T61" s="18" t="n">
        <v>3056386.15</v>
      </c>
      <c r="U61" s="34" t="n">
        <v>3056386.15</v>
      </c>
      <c r="V61" s="18" t="n">
        <v>3102040.29</v>
      </c>
      <c r="W61" s="18" t="n">
        <v>3310993.29</v>
      </c>
      <c r="X61" s="18" t="n">
        <v>3514460.73</v>
      </c>
      <c r="Y61" s="18" t="n">
        <v>3622275.09</v>
      </c>
      <c r="Z61" s="34" t="n">
        <v>3622275.09</v>
      </c>
      <c r="AA61" s="18" t="n">
        <v>3766804.1</v>
      </c>
      <c r="AB61" s="19" t="n">
        <v>4093996.07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자본총계</t>
        </is>
      </c>
      <c r="E62" s="18" t="n">
        <v>12413755.3</v>
      </c>
      <c r="F62" s="34" t="n">
        <v>12413755.3</v>
      </c>
      <c r="G62" s="18" t="n">
        <v>12168552.49</v>
      </c>
      <c r="H62" s="18" t="n">
        <v>12205833.18</v>
      </c>
      <c r="I62" s="18" t="n">
        <v>12514214.56</v>
      </c>
      <c r="J62" s="18" t="n">
        <v>12312129.81</v>
      </c>
      <c r="K62" s="34" t="n">
        <v>12312129.81</v>
      </c>
      <c r="L62" s="18" t="n">
        <v>12265747.73</v>
      </c>
      <c r="M62" s="18" t="n">
        <v>12290234.86</v>
      </c>
      <c r="N62" s="18" t="n">
        <v>12618269.82</v>
      </c>
      <c r="O62" s="18" t="n">
        <v>12370102.93</v>
      </c>
      <c r="P62" s="34" t="n">
        <v>12370102.93</v>
      </c>
      <c r="Q62" s="18" t="n">
        <v>12558200</v>
      </c>
      <c r="R62" s="18" t="n">
        <v>13219173.7</v>
      </c>
      <c r="S62" s="18" t="n">
        <v>13571418.66</v>
      </c>
      <c r="T62" s="18" t="n">
        <v>14155813.2</v>
      </c>
      <c r="U62" s="34" t="n">
        <v>14155813.2</v>
      </c>
      <c r="V62" s="18" t="n">
        <v>14471254.88</v>
      </c>
      <c r="W62" s="18" t="n">
        <v>15305272.04</v>
      </c>
      <c r="X62" s="18" t="n">
        <v>15952279.97</v>
      </c>
      <c r="Y62" s="18" t="n">
        <v>16908352.83</v>
      </c>
      <c r="Z62" s="34" t="n">
        <v>16908352.83</v>
      </c>
      <c r="AA62" s="18" t="n">
        <v>17316556.68</v>
      </c>
      <c r="AB62" s="19" t="n">
        <v>18923919.61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부채와자본총계</t>
        </is>
      </c>
      <c r="E63" s="18" t="n">
        <v>27293093.98</v>
      </c>
      <c r="F63" s="34" t="n">
        <v>27293093.98</v>
      </c>
      <c r="G63" s="18" t="n">
        <v>27941318.72</v>
      </c>
      <c r="H63" s="18" t="n">
        <v>29921717.16</v>
      </c>
      <c r="I63" s="18" t="n">
        <v>33118095.62</v>
      </c>
      <c r="J63" s="18" t="n">
        <v>29883476.3</v>
      </c>
      <c r="K63" s="34" t="n">
        <v>29883476.3</v>
      </c>
      <c r="L63" s="18" t="n">
        <v>30445838.81</v>
      </c>
      <c r="M63" s="18" t="n">
        <v>31636979.56</v>
      </c>
      <c r="N63" s="18" t="n">
        <v>33233586.52</v>
      </c>
      <c r="O63" s="18" t="n">
        <v>32242568.18</v>
      </c>
      <c r="P63" s="34" t="n">
        <v>32242568.18</v>
      </c>
      <c r="Q63" s="18" t="n">
        <v>32509877.64</v>
      </c>
      <c r="R63" s="18" t="n">
        <v>33145489.91</v>
      </c>
      <c r="S63" s="18" t="n">
        <v>32026087.18</v>
      </c>
      <c r="T63" s="18" t="n">
        <v>36719137.42</v>
      </c>
      <c r="U63" s="34" t="n">
        <v>36719137.42</v>
      </c>
      <c r="V63" s="18" t="n">
        <v>39488199.41</v>
      </c>
      <c r="W63" s="18" t="n">
        <v>37273426.49</v>
      </c>
      <c r="X63" s="18" t="n">
        <v>38427512.65</v>
      </c>
      <c r="Y63" s="18" t="n">
        <v>39542213.29</v>
      </c>
      <c r="Z63" s="34" t="n">
        <v>39542213.29</v>
      </c>
      <c r="AA63" s="18" t="n">
        <v>42204851.66</v>
      </c>
      <c r="AB63" s="19" t="n">
        <v>46724836.77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총차입금</t>
        </is>
      </c>
      <c r="E64" s="18" t="n">
        <v>5218589.48</v>
      </c>
      <c r="F64" s="34" t="n">
        <v>5218589.48</v>
      </c>
      <c r="G64" s="18" t="n">
        <v>5401848.69</v>
      </c>
      <c r="H64" s="18" t="n">
        <v>5397510.25</v>
      </c>
      <c r="I64" s="18" t="n">
        <v>5358895.73</v>
      </c>
      <c r="J64" s="18" t="n">
        <v>4139734.52</v>
      </c>
      <c r="K64" s="34" t="n">
        <v>4139734.52</v>
      </c>
      <c r="L64" s="18" t="n">
        <v>3790570.74</v>
      </c>
      <c r="M64" s="18" t="n">
        <v>4118356.96</v>
      </c>
      <c r="N64" s="18" t="n">
        <v>3981645.95</v>
      </c>
      <c r="O64" s="18" t="n">
        <v>3918273.75</v>
      </c>
      <c r="P64" s="34" t="n">
        <v>3918273.75</v>
      </c>
      <c r="Q64" s="18" t="n">
        <v>3357227.02</v>
      </c>
      <c r="R64" s="18" t="n">
        <v>2323381.91</v>
      </c>
      <c r="S64" s="18" t="n">
        <v>1679795.73</v>
      </c>
      <c r="T64" s="18" t="n">
        <v>1428485.8</v>
      </c>
      <c r="U64" s="34" t="n">
        <v>1428485.8</v>
      </c>
      <c r="V64" s="18" t="n">
        <v>1766879.5</v>
      </c>
      <c r="W64" s="18" t="n">
        <v>1307434.32</v>
      </c>
      <c r="X64" s="18" t="n">
        <v>1172470.25</v>
      </c>
      <c r="Y64" s="18" t="n">
        <v>1057922.03</v>
      </c>
      <c r="Z64" s="34" t="n">
        <v>1057922.03</v>
      </c>
      <c r="AA64" s="18" t="n">
        <v>1040659.9</v>
      </c>
      <c r="AB64" s="19" t="n">
        <v>2985970.69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순차입금</t>
        </is>
      </c>
      <c r="E65" s="18" t="n">
        <v>-196939.27</v>
      </c>
      <c r="F65" s="34" t="n">
        <v>-196939.27</v>
      </c>
      <c r="G65" s="18" t="n">
        <v>-153844.44</v>
      </c>
      <c r="H65" s="18" t="n">
        <v>-567683.97</v>
      </c>
      <c r="I65" s="18" t="n">
        <v>-976762.24</v>
      </c>
      <c r="J65" s="18" t="n">
        <v>-376206.34</v>
      </c>
      <c r="K65" s="34" t="n">
        <v>-376206.34</v>
      </c>
      <c r="L65" s="18" t="n">
        <v>-809800.8</v>
      </c>
      <c r="M65" s="18" t="n">
        <v>-1060659.62</v>
      </c>
      <c r="N65" s="18" t="n">
        <v>-1789558.53</v>
      </c>
      <c r="O65" s="18" t="n">
        <v>-1125130.89</v>
      </c>
      <c r="P65" s="34" t="n">
        <v>-1125130.89</v>
      </c>
      <c r="Q65" s="18" t="n">
        <v>-1883219.52</v>
      </c>
      <c r="R65" s="18" t="n">
        <v>-3632914.81</v>
      </c>
      <c r="S65" s="18" t="n">
        <v>-3067710.95</v>
      </c>
      <c r="T65" s="18" t="n">
        <v>-5404486.75</v>
      </c>
      <c r="U65" s="34" t="n">
        <v>-5404486.75</v>
      </c>
      <c r="V65" s="18" t="n">
        <v>-7306166.82</v>
      </c>
      <c r="W65" s="18" t="n">
        <v>-7359686.06</v>
      </c>
      <c r="X65" s="18" t="n">
        <v>-3536900.69</v>
      </c>
      <c r="Y65" s="18" t="n">
        <v>-7809801.49</v>
      </c>
      <c r="Z65" s="34" t="n">
        <v>-7809801.49</v>
      </c>
      <c r="AA65" s="18" t="n">
        <v>-9855795.15</v>
      </c>
      <c r="AB65" s="19" t="n">
        <v>-11994028.82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이자발생자산</t>
        </is>
      </c>
      <c r="E66" s="18" t="n">
        <v>5610448.83</v>
      </c>
      <c r="F66" s="34" t="n">
        <v>5610448.83</v>
      </c>
      <c r="G66" s="18" t="n">
        <v>5791374.12</v>
      </c>
      <c r="H66" s="18" t="n">
        <v>6173555.74</v>
      </c>
      <c r="I66" s="18" t="n">
        <v>6513416.19</v>
      </c>
      <c r="J66" s="18" t="n">
        <v>4717235.8</v>
      </c>
      <c r="K66" s="34" t="n">
        <v>4717235.8</v>
      </c>
      <c r="L66" s="18" t="n">
        <v>4815379.69</v>
      </c>
      <c r="M66" s="18" t="n">
        <v>5416162.09</v>
      </c>
      <c r="N66" s="18" t="n">
        <v>5990271.75</v>
      </c>
      <c r="O66" s="18" t="n">
        <v>5276118.94</v>
      </c>
      <c r="P66" s="34" t="n">
        <v>5276118.94</v>
      </c>
      <c r="Q66" s="18" t="n">
        <v>5377655.34</v>
      </c>
      <c r="R66" s="18" t="n">
        <v>6089431.24</v>
      </c>
      <c r="S66" s="18" t="n">
        <v>4885962.53</v>
      </c>
      <c r="T66" s="18" t="n">
        <v>6974564.01</v>
      </c>
      <c r="U66" s="34" t="n">
        <v>6974564.01</v>
      </c>
      <c r="V66" s="18" t="n">
        <v>9214474.689999999</v>
      </c>
      <c r="W66" s="18" t="n">
        <v>8814367.83</v>
      </c>
      <c r="X66" s="18" t="n">
        <v>4835825.03</v>
      </c>
      <c r="Y66" s="18" t="n">
        <v>9006900.539999999</v>
      </c>
      <c r="Z66" s="34" t="n">
        <v>9006900.539999999</v>
      </c>
      <c r="AA66" s="18" t="n">
        <v>11042351.91</v>
      </c>
      <c r="AB66" s="19" t="n">
        <v>15128784.17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매출액(수익)</t>
        </is>
      </c>
      <c r="E67" s="18" t="n">
        <v>4456648.68</v>
      </c>
      <c r="F67" s="9" t="n"/>
      <c r="G67" s="18" t="n">
        <v>3907727.92</v>
      </c>
      <c r="H67" s="18" t="n">
        <v>4188606.45</v>
      </c>
      <c r="I67" s="18" t="n">
        <v>4264415.33</v>
      </c>
      <c r="J67" s="18" t="n">
        <v>4941270.48</v>
      </c>
      <c r="K67" s="34" t="n">
        <v>17302020.18</v>
      </c>
      <c r="L67" s="18" t="n">
        <v>4842359.49</v>
      </c>
      <c r="M67" s="18" t="n">
        <v>5453640</v>
      </c>
      <c r="N67" s="18" t="n">
        <v>5011205.86</v>
      </c>
      <c r="O67" s="18" t="n">
        <v>5989000.22</v>
      </c>
      <c r="P67" s="34" t="n">
        <v>21296205.57</v>
      </c>
      <c r="Q67" s="18" t="n">
        <v>5515626</v>
      </c>
      <c r="R67" s="18" t="n">
        <v>6615483.68</v>
      </c>
      <c r="S67" s="18" t="n">
        <v>6245755.75</v>
      </c>
      <c r="T67" s="18" t="n">
        <v>7161711.94</v>
      </c>
      <c r="U67" s="34" t="n">
        <v>25538577.37</v>
      </c>
      <c r="V67" s="18" t="n">
        <v>6771705.88</v>
      </c>
      <c r="W67" s="18" t="n">
        <v>7428417.05</v>
      </c>
      <c r="X67" s="18" t="n">
        <v>7581435.73</v>
      </c>
      <c r="Y67" s="18" t="n">
        <v>8151656.57</v>
      </c>
      <c r="Z67" s="34" t="n">
        <v>29933215.23</v>
      </c>
      <c r="AA67" s="18" t="n">
        <v>8140889.75</v>
      </c>
      <c r="AB67" s="19" t="n">
        <v>8927046.48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매출원가</t>
        </is>
      </c>
      <c r="E68" s="18" t="n">
        <v>4826100.95</v>
      </c>
      <c r="F68" s="9" t="n"/>
      <c r="G68" s="18" t="n">
        <v>4081812.86</v>
      </c>
      <c r="H68" s="18" t="n">
        <v>4242899.04</v>
      </c>
      <c r="I68" s="18" t="n">
        <v>3853876.38</v>
      </c>
      <c r="J68" s="18" t="n">
        <v>4756992.35</v>
      </c>
      <c r="K68" s="34" t="n">
        <v>16935580.63</v>
      </c>
      <c r="L68" s="18" t="n">
        <v>4638593.79</v>
      </c>
      <c r="M68" s="18" t="n">
        <v>5170910.68</v>
      </c>
      <c r="N68" s="18" t="n">
        <v>4714261.3</v>
      </c>
      <c r="O68" s="18" t="n">
        <v>5724412.66</v>
      </c>
      <c r="P68" s="34" t="n">
        <v>20248178.43</v>
      </c>
      <c r="Q68" s="18" t="n">
        <v>5165675.4</v>
      </c>
      <c r="R68" s="18" t="n">
        <v>5906289.59</v>
      </c>
      <c r="S68" s="18" t="n">
        <v>5539033.5</v>
      </c>
      <c r="T68" s="18" t="n">
        <v>6332211.44</v>
      </c>
      <c r="U68" s="34" t="n">
        <v>22943209.93</v>
      </c>
      <c r="V68" s="18" t="n">
        <v>5609799.66</v>
      </c>
      <c r="W68" s="18" t="n">
        <v>6126416.39</v>
      </c>
      <c r="X68" s="18" t="n">
        <v>6183788.88</v>
      </c>
      <c r="Y68" s="18" t="n">
        <v>6684789.26</v>
      </c>
      <c r="Z68" s="34" t="n">
        <v>24604794.19</v>
      </c>
      <c r="AA68" s="18" t="n">
        <v>6396263.36</v>
      </c>
      <c r="AB68" s="19" t="n">
        <v>6843417.37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매출총이익</t>
        </is>
      </c>
      <c r="E69" s="18" t="n">
        <v>-369452.26</v>
      </c>
      <c r="F69" s="9" t="n"/>
      <c r="G69" s="18" t="n">
        <v>-174084.94</v>
      </c>
      <c r="H69" s="18" t="n">
        <v>-54292.6</v>
      </c>
      <c r="I69" s="18" t="n">
        <v>410538.95</v>
      </c>
      <c r="J69" s="18" t="n">
        <v>184278.14</v>
      </c>
      <c r="K69" s="34" t="n">
        <v>366439.55</v>
      </c>
      <c r="L69" s="18" t="n">
        <v>203765.7</v>
      </c>
      <c r="M69" s="18" t="n">
        <v>282729.32</v>
      </c>
      <c r="N69" s="18" t="n">
        <v>296944.56</v>
      </c>
      <c r="O69" s="18" t="n">
        <v>264587.57</v>
      </c>
      <c r="P69" s="34" t="n">
        <v>1048027.15</v>
      </c>
      <c r="Q69" s="18" t="n">
        <v>349950.6</v>
      </c>
      <c r="R69" s="18" t="n">
        <v>709194.09</v>
      </c>
      <c r="S69" s="18" t="n">
        <v>706722.25</v>
      </c>
      <c r="T69" s="18" t="n">
        <v>829500.49</v>
      </c>
      <c r="U69" s="34" t="n">
        <v>2595367.43</v>
      </c>
      <c r="V69" s="18" t="n">
        <v>1161906.22</v>
      </c>
      <c r="W69" s="18" t="n">
        <v>1302000.67</v>
      </c>
      <c r="X69" s="18" t="n">
        <v>1397646.85</v>
      </c>
      <c r="Y69" s="18" t="n">
        <v>1466867.31</v>
      </c>
      <c r="Z69" s="34" t="n">
        <v>5328421.05</v>
      </c>
      <c r="AA69" s="18" t="n">
        <v>1744626.39</v>
      </c>
      <c r="AB69" s="19" t="n">
        <v>2083629.11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판관비</t>
        </is>
      </c>
      <c r="E70" s="18" t="n">
        <v>327305.99</v>
      </c>
      <c r="F70" s="9" t="n"/>
      <c r="G70" s="18" t="n">
        <v>222310.89</v>
      </c>
      <c r="H70" s="18" t="n">
        <v>210792.41</v>
      </c>
      <c r="I70" s="18" t="n">
        <v>221802.67</v>
      </c>
      <c r="J70" s="18" t="n">
        <v>67094.19</v>
      </c>
      <c r="K70" s="34" t="n">
        <v>722000.16</v>
      </c>
      <c r="L70" s="18" t="n">
        <v>222809.96</v>
      </c>
      <c r="M70" s="18" t="n">
        <v>211472.72</v>
      </c>
      <c r="N70" s="18" t="n">
        <v>227987.2</v>
      </c>
      <c r="O70" s="18" t="n">
        <v>103496.54</v>
      </c>
      <c r="P70" s="34" t="n">
        <v>765766.42</v>
      </c>
      <c r="Q70" s="18" t="n">
        <v>189788.02</v>
      </c>
      <c r="R70" s="18" t="n">
        <v>332729.09</v>
      </c>
      <c r="S70" s="18" t="n">
        <v>308314.67</v>
      </c>
      <c r="T70" s="18" t="n">
        <v>330445.16</v>
      </c>
      <c r="U70" s="34" t="n">
        <v>1161276.94</v>
      </c>
      <c r="V70" s="18" t="n">
        <v>302751.78</v>
      </c>
      <c r="W70" s="18" t="n">
        <v>348359.63</v>
      </c>
      <c r="X70" s="18" t="n">
        <v>343871.63</v>
      </c>
      <c r="Y70" s="18" t="n">
        <v>428948.43</v>
      </c>
      <c r="Z70" s="34" t="n">
        <v>1423931.47</v>
      </c>
      <c r="AA70" s="18" t="n">
        <v>388656.27</v>
      </c>
      <c r="AB70" s="19" t="n">
        <v>438482.73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영업이익</t>
        </is>
      </c>
      <c r="E71" s="18" t="n">
        <v>-696758.26</v>
      </c>
      <c r="F71" s="9" t="n"/>
      <c r="G71" s="18" t="n">
        <v>-396395.83</v>
      </c>
      <c r="H71" s="18" t="n">
        <v>-265085</v>
      </c>
      <c r="I71" s="18" t="n">
        <v>188736.28</v>
      </c>
      <c r="J71" s="18" t="n">
        <v>117183.96</v>
      </c>
      <c r="K71" s="34" t="n">
        <v>-355560.59</v>
      </c>
      <c r="L71" s="18" t="n">
        <v>-19044.26</v>
      </c>
      <c r="M71" s="18" t="n">
        <v>71256.60000000001</v>
      </c>
      <c r="N71" s="18" t="n">
        <v>68957.35000000001</v>
      </c>
      <c r="O71" s="18" t="n">
        <v>161091.03</v>
      </c>
      <c r="P71" s="34" t="n">
        <v>282260.72</v>
      </c>
      <c r="Q71" s="18" t="n">
        <v>160162.57</v>
      </c>
      <c r="R71" s="18" t="n">
        <v>376465</v>
      </c>
      <c r="S71" s="18" t="n">
        <v>398407.58</v>
      </c>
      <c r="T71" s="18" t="n">
        <v>499055.34</v>
      </c>
      <c r="U71" s="34" t="n">
        <v>1434090.49</v>
      </c>
      <c r="V71" s="18" t="n">
        <v>859154.45</v>
      </c>
      <c r="W71" s="18" t="n">
        <v>953641.03</v>
      </c>
      <c r="X71" s="18" t="n">
        <v>1053775.23</v>
      </c>
      <c r="Y71" s="18" t="n">
        <v>1037918.87</v>
      </c>
      <c r="Z71" s="34" t="n">
        <v>3904489.58</v>
      </c>
      <c r="AA71" s="18" t="n">
        <v>1355970.12</v>
      </c>
      <c r="AB71" s="19" t="n">
        <v>1645146.38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금융수익</t>
        </is>
      </c>
      <c r="E72" s="18" t="n">
        <v>99675.03</v>
      </c>
      <c r="F72" s="9" t="n"/>
      <c r="G72" s="18" t="n">
        <v>302131.07</v>
      </c>
      <c r="H72" s="18" t="n">
        <v>674396.92</v>
      </c>
      <c r="I72" s="18" t="n">
        <v>1105446.86</v>
      </c>
      <c r="J72" s="18" t="n">
        <v>84883.87</v>
      </c>
      <c r="K72" s="34" t="n">
        <v>2166858.72</v>
      </c>
      <c r="L72" s="18" t="n">
        <v>486109.7</v>
      </c>
      <c r="M72" s="18" t="n">
        <v>295877.12</v>
      </c>
      <c r="N72" s="18" t="n">
        <v>381594.4</v>
      </c>
      <c r="O72" s="18" t="n">
        <v>109828.84</v>
      </c>
      <c r="P72" s="34" t="n">
        <v>1273410.06</v>
      </c>
      <c r="Q72" s="18" t="n">
        <v>562301.87</v>
      </c>
      <c r="R72" s="18" t="n">
        <v>411062.03</v>
      </c>
      <c r="S72" s="18" t="n">
        <v>1436944.45</v>
      </c>
      <c r="T72" s="18" t="n">
        <v>782980.02</v>
      </c>
      <c r="U72" s="34" t="n">
        <v>3193288.37</v>
      </c>
      <c r="V72" s="18" t="n">
        <v>321348.43</v>
      </c>
      <c r="W72" s="18" t="n">
        <v>2599835.37</v>
      </c>
      <c r="X72" s="18" t="n">
        <v>731596.12</v>
      </c>
      <c r="Y72" s="18" t="n">
        <v>-140290.99</v>
      </c>
      <c r="Z72" s="34" t="n">
        <v>3512488.93</v>
      </c>
      <c r="AA72" s="18" t="n">
        <v>849230.39</v>
      </c>
      <c r="AB72" s="19" t="n">
        <v>1074421.34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금융비용</t>
        </is>
      </c>
      <c r="E73" s="18" t="n">
        <v>113466.04</v>
      </c>
      <c r="F73" s="9" t="n"/>
      <c r="G73" s="18" t="n">
        <v>365911.48</v>
      </c>
      <c r="H73" s="18" t="n">
        <v>1677729.68</v>
      </c>
      <c r="I73" s="18" t="n">
        <v>2986823.21</v>
      </c>
      <c r="J73" s="18" t="n">
        <v>-2192068.23</v>
      </c>
      <c r="K73" s="34" t="n">
        <v>2838396.14</v>
      </c>
      <c r="L73" s="18" t="n">
        <v>1259596.38</v>
      </c>
      <c r="M73" s="18" t="n">
        <v>389157.89</v>
      </c>
      <c r="N73" s="18" t="n">
        <v>978487.1899999999</v>
      </c>
      <c r="O73" s="18" t="n">
        <v>-487653.74</v>
      </c>
      <c r="P73" s="34" t="n">
        <v>2139587.72</v>
      </c>
      <c r="Q73" s="18" t="n">
        <v>1466661.7</v>
      </c>
      <c r="R73" s="18" t="n">
        <v>1168172.86</v>
      </c>
      <c r="S73" s="18" t="n">
        <v>715575.95</v>
      </c>
      <c r="T73" s="18" t="n">
        <v>3144413.44</v>
      </c>
      <c r="U73" s="34" t="n">
        <v>6494823.95</v>
      </c>
      <c r="V73" s="18" t="n">
        <v>547228.71</v>
      </c>
      <c r="W73" s="18" t="n">
        <v>949013.33</v>
      </c>
      <c r="X73" s="18" t="n">
        <v>1719400.67</v>
      </c>
      <c r="Y73" s="18" t="n">
        <v>667698.05</v>
      </c>
      <c r="Z73" s="34" t="n">
        <v>3883340.76</v>
      </c>
      <c r="AA73" s="18" t="n">
        <v>2229310.99</v>
      </c>
      <c r="AB73" s="19" t="n">
        <v>1289073.09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기타영업외수익</t>
        </is>
      </c>
      <c r="E74" s="18" t="n">
        <v>14205.93</v>
      </c>
      <c r="F74" s="9" t="n"/>
      <c r="G74" s="18" t="n">
        <v>148724.27</v>
      </c>
      <c r="H74" s="18" t="n">
        <v>1158851.58</v>
      </c>
      <c r="I74" s="18" t="n">
        <v>2276886.16</v>
      </c>
      <c r="J74" s="18" t="n">
        <v>-2219020.49</v>
      </c>
      <c r="K74" s="34" t="n">
        <v>1365441.52</v>
      </c>
      <c r="L74" s="18" t="n">
        <v>737265.25</v>
      </c>
      <c r="M74" s="18" t="n">
        <v>116488.52</v>
      </c>
      <c r="N74" s="18" t="n">
        <v>677647.13</v>
      </c>
      <c r="O74" s="18" t="n">
        <v>-612388.8199999999</v>
      </c>
      <c r="P74" s="34" t="n">
        <v>919012.08</v>
      </c>
      <c r="Q74" s="18" t="n">
        <v>1082684.59</v>
      </c>
      <c r="R74" s="18" t="n">
        <v>863504.14</v>
      </c>
      <c r="S74" s="18" t="n">
        <v>26009.55</v>
      </c>
      <c r="T74" s="18" t="n">
        <v>2765121.39</v>
      </c>
      <c r="U74" s="34" t="n">
        <v>4737319.67</v>
      </c>
      <c r="V74" s="18" t="n">
        <v>239842.36</v>
      </c>
      <c r="W74" s="18" t="n">
        <v>36143.85</v>
      </c>
      <c r="X74" s="18" t="n">
        <v>1126875.09</v>
      </c>
      <c r="Y74" s="18" t="n">
        <v>508596.43</v>
      </c>
      <c r="Z74" s="34" t="n">
        <v>1911457.73</v>
      </c>
      <c r="AA74" s="18" t="n">
        <v>1709624.43</v>
      </c>
      <c r="AB74" s="19" t="n">
        <v>779789.55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기타영업외비용</t>
        </is>
      </c>
      <c r="E75" s="18" t="n">
        <v>307190.98</v>
      </c>
      <c r="F75" s="9" t="n"/>
      <c r="G75" s="18" t="n">
        <v>71416.94</v>
      </c>
      <c r="H75" s="18" t="n">
        <v>41618.98</v>
      </c>
      <c r="I75" s="18" t="n">
        <v>179216.98</v>
      </c>
      <c r="J75" s="18" t="n">
        <v>475695.26</v>
      </c>
      <c r="K75" s="34" t="n">
        <v>767948.16</v>
      </c>
      <c r="L75" s="18" t="n">
        <v>92296.57000000001</v>
      </c>
      <c r="M75" s="18" t="n">
        <v>43014.44</v>
      </c>
      <c r="N75" s="18" t="n">
        <v>24879.55</v>
      </c>
      <c r="O75" s="18" t="n">
        <v>183029.24</v>
      </c>
      <c r="P75" s="34" t="n">
        <v>343219.8</v>
      </c>
      <c r="Q75" s="18" t="n">
        <v>89172.46000000001</v>
      </c>
      <c r="R75" s="18" t="n">
        <v>26988.92</v>
      </c>
      <c r="S75" s="18" t="n">
        <v>928897.9399999999</v>
      </c>
      <c r="T75" s="18" t="n">
        <v>2012.94</v>
      </c>
      <c r="U75" s="34" t="n">
        <v>1047072.26</v>
      </c>
      <c r="V75" s="18" t="n">
        <v>74061.5</v>
      </c>
      <c r="W75" s="18" t="n">
        <v>2094746.69</v>
      </c>
      <c r="X75" s="18" t="n">
        <v>53837.35</v>
      </c>
      <c r="Y75" s="18" t="n">
        <v>-343651.61</v>
      </c>
      <c r="Z75" s="34" t="n">
        <v>1878993.93</v>
      </c>
      <c r="AA75" s="18" t="n">
        <v>117625.14</v>
      </c>
      <c r="AB75" s="19" t="n">
        <v>47688.9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종속기업,공동지배기업및관계기업관련손익</t>
        </is>
      </c>
      <c r="E76" s="18" t="n">
        <v>-174.16</v>
      </c>
      <c r="F76" s="9" t="n"/>
      <c r="G76" s="18" t="n">
        <v>-41.21</v>
      </c>
      <c r="H76" s="18" t="n">
        <v>-146.54</v>
      </c>
      <c r="I76" s="18" t="n">
        <v>-15.37</v>
      </c>
      <c r="J76" s="18" t="n">
        <v>-1287.46</v>
      </c>
      <c r="K76" s="34" t="n">
        <v>-1490.58</v>
      </c>
      <c r="L76" s="18" t="n">
        <v>22</v>
      </c>
      <c r="M76" s="18" t="n">
        <v>-18.18</v>
      </c>
      <c r="N76" s="18" t="n">
        <v>25.48</v>
      </c>
      <c r="O76" s="18" t="n">
        <v>49.67</v>
      </c>
      <c r="P76" s="34" t="n">
        <v>78.97</v>
      </c>
      <c r="Q76" s="18" t="n">
        <v>-196.08</v>
      </c>
      <c r="R76" s="18" t="n">
        <v>27.23</v>
      </c>
      <c r="S76" s="18" t="n">
        <v>9.26</v>
      </c>
      <c r="T76" s="18" t="n">
        <v>20.32</v>
      </c>
      <c r="U76" s="34" t="n">
        <v>-139.27</v>
      </c>
      <c r="V76" s="18" t="n">
        <v>100.38</v>
      </c>
      <c r="W76" s="18" t="n">
        <v>74.98999999999999</v>
      </c>
      <c r="X76" s="18" t="n">
        <v>63.8</v>
      </c>
      <c r="Y76" s="18" t="n">
        <v>-34.16</v>
      </c>
      <c r="Z76" s="34" t="n">
        <v>205.01</v>
      </c>
      <c r="AA76" s="18" t="n">
        <v>15.87</v>
      </c>
      <c r="AB76" s="19" t="n">
        <v>6.83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지분법관련손익</t>
        </is>
      </c>
      <c r="E77" s="18" t="n">
        <v>-174.16</v>
      </c>
      <c r="F77" s="9" t="n"/>
      <c r="G77" s="18" t="n">
        <v>-41.21</v>
      </c>
      <c r="H77" s="18" t="n">
        <v>-146.54</v>
      </c>
      <c r="I77" s="18" t="n">
        <v>-15.37</v>
      </c>
      <c r="J77" s="18" t="n">
        <v>-1287.46</v>
      </c>
      <c r="K77" s="34" t="n">
        <v>-1490.58</v>
      </c>
      <c r="L77" s="18" t="n">
        <v>22</v>
      </c>
      <c r="M77" s="18" t="n">
        <v>-18.18</v>
      </c>
      <c r="N77" s="18" t="n">
        <v>25.48</v>
      </c>
      <c r="O77" s="18" t="n">
        <v>49.67</v>
      </c>
      <c r="P77" s="34" t="n">
        <v>78.97</v>
      </c>
      <c r="Q77" s="18" t="n">
        <v>-196.08</v>
      </c>
      <c r="R77" s="18" t="n">
        <v>27.23</v>
      </c>
      <c r="S77" s="18" t="n">
        <v>9.26</v>
      </c>
      <c r="T77" s="18" t="n">
        <v>20.32</v>
      </c>
      <c r="U77" s="34" t="n">
        <v>-139.27</v>
      </c>
      <c r="V77" s="18" t="n">
        <v>100.38</v>
      </c>
      <c r="W77" s="18" t="n">
        <v>74.98999999999999</v>
      </c>
      <c r="X77" s="18" t="n">
        <v>63.8</v>
      </c>
      <c r="Y77" s="18" t="n">
        <v>-34.16</v>
      </c>
      <c r="Z77" s="34" t="n">
        <v>205.01</v>
      </c>
      <c r="AA77" s="18" t="n">
        <v>15.87</v>
      </c>
      <c r="AB77" s="19" t="n">
        <v>6.83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법인세비용차감전계속사업이익</t>
        </is>
      </c>
      <c r="E78" s="18" t="n">
        <v>-1003708.48</v>
      </c>
      <c r="F78" s="9" t="n"/>
      <c r="G78" s="18" t="n">
        <v>-382910.12</v>
      </c>
      <c r="H78" s="18" t="n">
        <v>-151331.7</v>
      </c>
      <c r="I78" s="18" t="n">
        <v>405013.74</v>
      </c>
      <c r="J78" s="18" t="n">
        <v>-301867.16</v>
      </c>
      <c r="K78" s="34" t="n">
        <v>-431095.24</v>
      </c>
      <c r="L78" s="18" t="n">
        <v>-147540.24</v>
      </c>
      <c r="M78" s="18" t="n">
        <v>51431.72</v>
      </c>
      <c r="N78" s="18" t="n">
        <v>124857.62</v>
      </c>
      <c r="O78" s="18" t="n">
        <v>-36794.78</v>
      </c>
      <c r="P78" s="34" t="n">
        <v>-8045.68</v>
      </c>
      <c r="Q78" s="18" t="n">
        <v>249118.8</v>
      </c>
      <c r="R78" s="18" t="n">
        <v>455896.62</v>
      </c>
      <c r="S78" s="18" t="n">
        <v>216896.95</v>
      </c>
      <c r="T78" s="18" t="n">
        <v>900750.6899999999</v>
      </c>
      <c r="U78" s="34" t="n">
        <v>1822663.06</v>
      </c>
      <c r="V78" s="18" t="n">
        <v>799155.42</v>
      </c>
      <c r="W78" s="18" t="n">
        <v>545935.22</v>
      </c>
      <c r="X78" s="18" t="n">
        <v>1139072.22</v>
      </c>
      <c r="Y78" s="18" t="n">
        <v>1082143.7</v>
      </c>
      <c r="Z78" s="34" t="n">
        <v>3566306.56</v>
      </c>
      <c r="AA78" s="18" t="n">
        <v>1567904.68</v>
      </c>
      <c r="AB78" s="19" t="n">
        <v>2162602.12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법인세비용</t>
        </is>
      </c>
      <c r="E79" s="18" t="n">
        <v>-328418.7</v>
      </c>
      <c r="F79" s="9" t="n"/>
      <c r="G79" s="18" t="n">
        <v>-89750.08</v>
      </c>
      <c r="H79" s="18" t="n">
        <v>-45732.17</v>
      </c>
      <c r="I79" s="18" t="n">
        <v>89182.11</v>
      </c>
      <c r="J79" s="18" t="n">
        <v>-89618.03</v>
      </c>
      <c r="K79" s="34" t="n">
        <v>-135918.17</v>
      </c>
      <c r="L79" s="18" t="n">
        <v>4308.73</v>
      </c>
      <c r="M79" s="18" t="n">
        <v>12022.74</v>
      </c>
      <c r="N79" s="18" t="n">
        <v>-221034.56</v>
      </c>
      <c r="O79" s="18" t="n">
        <v>51727.13</v>
      </c>
      <c r="P79" s="34" t="n">
        <v>-152975.96</v>
      </c>
      <c r="Q79" s="18" t="n">
        <v>55773.12</v>
      </c>
      <c r="R79" s="18" t="n">
        <v>98117.64999999999</v>
      </c>
      <c r="S79" s="18" t="n">
        <v>40511.93</v>
      </c>
      <c r="T79" s="18" t="n">
        <v>173680.25</v>
      </c>
      <c r="U79" s="34" t="n">
        <v>368082.95</v>
      </c>
      <c r="V79" s="18" t="n">
        <v>187530.13</v>
      </c>
      <c r="W79" s="18" t="n">
        <v>98862.17999999999</v>
      </c>
      <c r="X79" s="18" t="n">
        <v>262374.79</v>
      </c>
      <c r="Y79" s="18" t="n">
        <v>89144.2</v>
      </c>
      <c r="Z79" s="34" t="n">
        <v>637911.3</v>
      </c>
      <c r="AA79" s="18" t="n">
        <v>426492.62</v>
      </c>
      <c r="AB79" s="19" t="n">
        <v>568448.34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당기순이익</t>
        </is>
      </c>
      <c r="E80" s="18" t="n">
        <v>-675289.77</v>
      </c>
      <c r="F80" s="9" t="n"/>
      <c r="G80" s="18" t="n">
        <v>-293160.04</v>
      </c>
      <c r="H80" s="18" t="n">
        <v>-105599.54</v>
      </c>
      <c r="I80" s="18" t="n">
        <v>315831.63</v>
      </c>
      <c r="J80" s="18" t="n">
        <v>-212249.15</v>
      </c>
      <c r="K80" s="34" t="n">
        <v>-295177.1</v>
      </c>
      <c r="L80" s="18" t="n">
        <v>-151848.97</v>
      </c>
      <c r="M80" s="18" t="n">
        <v>39408.99</v>
      </c>
      <c r="N80" s="18" t="n">
        <v>345892.18</v>
      </c>
      <c r="O80" s="18" t="n">
        <v>-88521.92</v>
      </c>
      <c r="P80" s="34" t="n">
        <v>144930.28</v>
      </c>
      <c r="Q80" s="18" t="n">
        <v>193345.68</v>
      </c>
      <c r="R80" s="18" t="n">
        <v>357778.97</v>
      </c>
      <c r="S80" s="18" t="n">
        <v>176385.02</v>
      </c>
      <c r="T80" s="18" t="n">
        <v>727070.4399999999</v>
      </c>
      <c r="U80" s="34" t="n">
        <v>1454580.11</v>
      </c>
      <c r="V80" s="18" t="n">
        <v>611625.28</v>
      </c>
      <c r="W80" s="18" t="n">
        <v>447073.04</v>
      </c>
      <c r="X80" s="18" t="n">
        <v>876697.4399999999</v>
      </c>
      <c r="Y80" s="18" t="n">
        <v>992999.51</v>
      </c>
      <c r="Z80" s="34" t="n">
        <v>2928395.27</v>
      </c>
      <c r="AA80" s="18" t="n">
        <v>1141412.05</v>
      </c>
      <c r="AB80" s="19" t="n">
        <v>1594153.77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총포괄손익</t>
        </is>
      </c>
      <c r="E81" s="18" t="n">
        <v>-708042.54</v>
      </c>
      <c r="F81" s="9" t="n"/>
      <c r="G81" s="18" t="n">
        <v>-242252.97</v>
      </c>
      <c r="H81" s="18" t="n">
        <v>-124255.82</v>
      </c>
      <c r="I81" s="18" t="n">
        <v>308381.38</v>
      </c>
      <c r="J81" s="18" t="n">
        <v>-202084.75</v>
      </c>
      <c r="K81" s="34" t="n">
        <v>-260212.16</v>
      </c>
      <c r="L81" s="18" t="n">
        <v>-138057.14</v>
      </c>
      <c r="M81" s="18" t="n">
        <v>40512.07</v>
      </c>
      <c r="N81" s="18" t="n">
        <v>333812.57</v>
      </c>
      <c r="O81" s="18" t="n">
        <v>-247335.56</v>
      </c>
      <c r="P81" s="34" t="n">
        <v>-11068.06</v>
      </c>
      <c r="Q81" s="18" t="n">
        <v>190028.74</v>
      </c>
      <c r="R81" s="18" t="n">
        <v>357713.77</v>
      </c>
      <c r="S81" s="18" t="n">
        <v>177876.61</v>
      </c>
      <c r="T81" s="18" t="n">
        <v>549216.62</v>
      </c>
      <c r="U81" s="34" t="n">
        <v>1274835.74</v>
      </c>
      <c r="V81" s="18" t="n">
        <v>629032.12</v>
      </c>
      <c r="W81" s="18" t="n">
        <v>710535.8199999999</v>
      </c>
      <c r="X81" s="18" t="n">
        <v>888107.52</v>
      </c>
      <c r="Y81" s="18" t="n">
        <v>968531.85</v>
      </c>
      <c r="Z81" s="34" t="n">
        <v>3196207.31</v>
      </c>
      <c r="AA81" s="18" t="n">
        <v>1178885.04</v>
      </c>
      <c r="AB81" s="19" t="n">
        <v>1609242.49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(지배주주지분)당기순이익</t>
        </is>
      </c>
      <c r="E82" s="18" t="n">
        <v>-519774.03</v>
      </c>
      <c r="F82" s="9" t="n"/>
      <c r="G82" s="18" t="n">
        <v>-231682.21</v>
      </c>
      <c r="H82" s="18" t="n">
        <v>-116620.8</v>
      </c>
      <c r="I82" s="18" t="n">
        <v>227971.18</v>
      </c>
      <c r="J82" s="18" t="n">
        <v>-96617.78999999999</v>
      </c>
      <c r="K82" s="34" t="n">
        <v>-216949.62</v>
      </c>
      <c r="L82" s="18" t="n">
        <v>-139792.81</v>
      </c>
      <c r="M82" s="18" t="n">
        <v>49779.53</v>
      </c>
      <c r="N82" s="18" t="n">
        <v>336995.34</v>
      </c>
      <c r="O82" s="18" t="n">
        <v>-25271.07</v>
      </c>
      <c r="P82" s="34" t="n">
        <v>221710.99</v>
      </c>
      <c r="Q82" s="18" t="n">
        <v>188946.85</v>
      </c>
      <c r="R82" s="18" t="n">
        <v>292130.85</v>
      </c>
      <c r="S82" s="18" t="n">
        <v>151043.57</v>
      </c>
      <c r="T82" s="18" t="n">
        <v>540214.6800000001</v>
      </c>
      <c r="U82" s="34" t="n">
        <v>1172335.95</v>
      </c>
      <c r="W82" s="18" t="n">
        <v>356438.68</v>
      </c>
      <c r="X82" s="18" t="n">
        <v>633303.12</v>
      </c>
      <c r="Y82" s="18" t="n">
        <v>683273.4300000001</v>
      </c>
      <c r="Z82" s="9" t="n"/>
      <c r="AB82" s="19" t="n">
        <v>1287492.19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(비지배주주지분)당기순이익</t>
        </is>
      </c>
      <c r="E83" s="18" t="n">
        <v>-155515.74</v>
      </c>
      <c r="F83" s="9" t="n"/>
      <c r="G83" s="18" t="n">
        <v>-61477.84</v>
      </c>
      <c r="H83" s="18" t="n">
        <v>11021.26</v>
      </c>
      <c r="I83" s="18" t="n">
        <v>87860.44</v>
      </c>
      <c r="J83" s="18" t="n">
        <v>-115631.35</v>
      </c>
      <c r="K83" s="34" t="n">
        <v>-78227.49000000001</v>
      </c>
      <c r="L83" s="18" t="n">
        <v>-12056.17</v>
      </c>
      <c r="M83" s="18" t="n">
        <v>-10370.55</v>
      </c>
      <c r="N83" s="18" t="n">
        <v>8896.84</v>
      </c>
      <c r="O83" s="18" t="n">
        <v>-63250.85</v>
      </c>
      <c r="P83" s="34" t="n">
        <v>-76780.73</v>
      </c>
      <c r="Q83" s="18" t="n">
        <v>4398.83</v>
      </c>
      <c r="R83" s="18" t="n">
        <v>65648.12</v>
      </c>
      <c r="S83" s="18" t="n">
        <v>25341.44</v>
      </c>
      <c r="T83" s="18" t="n">
        <v>186855.76</v>
      </c>
      <c r="U83" s="34" t="n">
        <v>282244.15</v>
      </c>
      <c r="V83" s="18" t="n">
        <v>116228.08</v>
      </c>
      <c r="W83" s="18" t="n">
        <v>90634.37</v>
      </c>
      <c r="X83" s="18" t="n">
        <v>243394.32</v>
      </c>
      <c r="Y83" s="18" t="n">
        <v>309726.07</v>
      </c>
      <c r="Z83" s="34" t="n">
        <v>759982.84</v>
      </c>
      <c r="AA83" s="18" t="n">
        <v>297157.14</v>
      </c>
      <c r="AB83" s="19" t="n">
        <v>306661.58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금융손익</t>
        </is>
      </c>
      <c r="E84" s="18" t="n">
        <v>-13791.01</v>
      </c>
      <c r="F84" s="9" t="n"/>
      <c r="G84" s="18" t="n">
        <v>-63780.41</v>
      </c>
      <c r="H84" s="18" t="n">
        <v>-1003332.76</v>
      </c>
      <c r="I84" s="18" t="n">
        <v>-1881376.35</v>
      </c>
      <c r="J84" s="18" t="n">
        <v>2276952.1</v>
      </c>
      <c r="K84" s="34" t="n">
        <v>-671537.42</v>
      </c>
      <c r="L84" s="18" t="n">
        <v>-773486.6800000001</v>
      </c>
      <c r="M84" s="18" t="n">
        <v>-93280.77</v>
      </c>
      <c r="N84" s="18" t="n">
        <v>-596892.79</v>
      </c>
      <c r="O84" s="18" t="n">
        <v>597482.58</v>
      </c>
      <c r="P84" s="34" t="n">
        <v>-866177.66</v>
      </c>
      <c r="Q84" s="18" t="n">
        <v>-904359.83</v>
      </c>
      <c r="R84" s="18" t="n">
        <v>-757110.83</v>
      </c>
      <c r="S84" s="18" t="n">
        <v>721368.5</v>
      </c>
      <c r="T84" s="18" t="n">
        <v>-2361433.42</v>
      </c>
      <c r="U84" s="34" t="n">
        <v>-3301535.58</v>
      </c>
      <c r="V84" s="18" t="n">
        <v>-225880.28</v>
      </c>
      <c r="W84" s="18" t="n">
        <v>1650822.04</v>
      </c>
      <c r="X84" s="18" t="n">
        <v>-987804.55</v>
      </c>
      <c r="Y84" s="18" t="n">
        <v>-807989.04</v>
      </c>
      <c r="Z84" s="34" t="n">
        <v>-370851.83</v>
      </c>
      <c r="AA84" s="18" t="n">
        <v>-1380080.6</v>
      </c>
      <c r="AB84" s="19" t="n">
        <v>-214651.75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기타영업외손익</t>
        </is>
      </c>
      <c r="E85" s="18" t="n">
        <v>-292985.05</v>
      </c>
      <c r="F85" s="9" t="n"/>
      <c r="G85" s="18" t="n">
        <v>77307.33</v>
      </c>
      <c r="H85" s="18" t="n">
        <v>1117232.6</v>
      </c>
      <c r="I85" s="18" t="n">
        <v>2097669.18</v>
      </c>
      <c r="J85" s="18" t="n">
        <v>-2694715.75</v>
      </c>
      <c r="K85" s="34" t="n">
        <v>597493.36</v>
      </c>
      <c r="L85" s="18" t="n">
        <v>644968.6800000001</v>
      </c>
      <c r="M85" s="18" t="n">
        <v>73474.08</v>
      </c>
      <c r="N85" s="18" t="n">
        <v>652767.58</v>
      </c>
      <c r="O85" s="18" t="n">
        <v>-795418.0600000001</v>
      </c>
      <c r="P85" s="34" t="n">
        <v>575792.28</v>
      </c>
      <c r="Q85" s="18" t="n">
        <v>993512.13</v>
      </c>
      <c r="R85" s="18" t="n">
        <v>836515.22</v>
      </c>
      <c r="S85" s="18" t="n">
        <v>-902888.39</v>
      </c>
      <c r="T85" s="18" t="n">
        <v>2763108.45</v>
      </c>
      <c r="U85" s="34" t="n">
        <v>3690247.41</v>
      </c>
      <c r="V85" s="18" t="n">
        <v>165780.86</v>
      </c>
      <c r="W85" s="18" t="n">
        <v>-2058602.84</v>
      </c>
      <c r="X85" s="18" t="n">
        <v>1073037.74</v>
      </c>
      <c r="Y85" s="18" t="n">
        <v>852248.04</v>
      </c>
      <c r="Z85" s="34" t="n">
        <v>32463.8</v>
      </c>
      <c r="AA85" s="18" t="n">
        <v>1591999.29</v>
      </c>
      <c r="AB85" s="19" t="n">
        <v>732100.65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계속사업이익</t>
        </is>
      </c>
      <c r="E86" s="18" t="n">
        <v>-675289.77</v>
      </c>
      <c r="F86" s="9" t="n"/>
      <c r="G86" s="18" t="n">
        <v>-293160.04</v>
      </c>
      <c r="H86" s="18" t="n">
        <v>-105599.54</v>
      </c>
      <c r="I86" s="18" t="n">
        <v>315831.63</v>
      </c>
      <c r="J86" s="18" t="n">
        <v>-212249.15</v>
      </c>
      <c r="K86" s="34" t="n">
        <v>-295177.1</v>
      </c>
      <c r="L86" s="18" t="n">
        <v>-151848.97</v>
      </c>
      <c r="M86" s="18" t="n">
        <v>39408.99</v>
      </c>
      <c r="N86" s="18" t="n">
        <v>345892.18</v>
      </c>
      <c r="O86" s="18" t="n">
        <v>-88521.92</v>
      </c>
      <c r="P86" s="34" t="n">
        <v>144930.28</v>
      </c>
      <c r="Q86" s="18" t="n">
        <v>193345.68</v>
      </c>
      <c r="R86" s="18" t="n">
        <v>357778.97</v>
      </c>
      <c r="S86" s="18" t="n">
        <v>176385.02</v>
      </c>
      <c r="T86" s="18" t="n">
        <v>727070.4399999999</v>
      </c>
      <c r="U86" s="34" t="n">
        <v>1454580.11</v>
      </c>
      <c r="V86" s="18" t="n">
        <v>611625.28</v>
      </c>
      <c r="W86" s="18" t="n">
        <v>447073.04</v>
      </c>
      <c r="X86" s="18" t="n">
        <v>876697.4399999999</v>
      </c>
      <c r="Y86" s="18" t="n">
        <v>992999.51</v>
      </c>
      <c r="Z86" s="34" t="n">
        <v>2928395.27</v>
      </c>
      <c r="AA86" s="18" t="n">
        <v>1141412.05</v>
      </c>
      <c r="AB86" s="19" t="n">
        <v>1594153.77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영업활동으로인한현금흐름</t>
        </is>
      </c>
      <c r="E87" s="18" t="n">
        <v>-441452.68</v>
      </c>
      <c r="F87" s="9" t="n"/>
      <c r="G87" s="18" t="n">
        <v>19429.74</v>
      </c>
      <c r="H87" s="18" t="n">
        <v>208403.68</v>
      </c>
      <c r="I87" s="18" t="n">
        <v>191575.98</v>
      </c>
      <c r="J87" s="18" t="n">
        <v>42836.37</v>
      </c>
      <c r="K87" s="34" t="n">
        <v>462245.77</v>
      </c>
      <c r="L87" s="18" t="n">
        <v>762750.9300000001</v>
      </c>
      <c r="M87" s="18" t="n">
        <v>542991.39</v>
      </c>
      <c r="N87" s="18" t="n">
        <v>944715.27</v>
      </c>
      <c r="O87" s="18" t="n">
        <v>-168866.66</v>
      </c>
      <c r="P87" s="34" t="n">
        <v>2081590.93</v>
      </c>
      <c r="Q87" s="18" t="n">
        <v>755596.45</v>
      </c>
      <c r="R87" s="18" t="n">
        <v>1526057.79</v>
      </c>
      <c r="S87" s="18" t="n">
        <v>119321.75</v>
      </c>
      <c r="T87" s="18" t="n">
        <v>1887684.19</v>
      </c>
      <c r="U87" s="34" t="n">
        <v>4288660.18</v>
      </c>
      <c r="V87" s="18" t="n">
        <v>2184544.04</v>
      </c>
      <c r="W87" s="18" t="n">
        <v>1082950.18</v>
      </c>
      <c r="X87" s="18" t="n">
        <v>1702441.67</v>
      </c>
      <c r="Y87" s="18" t="n">
        <v>-547885.25</v>
      </c>
      <c r="Z87" s="34" t="n">
        <v>4422050.64</v>
      </c>
      <c r="AA87" s="18" t="n">
        <v>1775559.42</v>
      </c>
      <c r="AB87" s="19" t="n">
        <v>2603951.37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이자수취(CF)</t>
        </is>
      </c>
      <c r="E88" s="18" t="n">
        <v>16996.82</v>
      </c>
      <c r="F88" s="9" t="n"/>
      <c r="G88" s="18" t="n">
        <v>18414.8</v>
      </c>
      <c r="H88" s="18" t="n">
        <v>22974.54</v>
      </c>
      <c r="I88" s="18" t="n">
        <v>31343.76</v>
      </c>
      <c r="J88" s="18" t="n">
        <v>51703.69</v>
      </c>
      <c r="K88" s="34" t="n">
        <v>124436.79</v>
      </c>
      <c r="L88" s="18" t="n">
        <v>47765.21</v>
      </c>
      <c r="M88" s="18" t="n">
        <v>41450.99</v>
      </c>
      <c r="N88" s="18" t="n">
        <v>37646.93</v>
      </c>
      <c r="O88" s="18" t="n">
        <v>61566.25</v>
      </c>
      <c r="P88" s="34" t="n">
        <v>188429.38</v>
      </c>
      <c r="Q88" s="18" t="n">
        <v>65644.19</v>
      </c>
      <c r="R88" s="18" t="n">
        <v>50606.21</v>
      </c>
      <c r="S88" s="18" t="n">
        <v>48306.57</v>
      </c>
      <c r="T88" s="18" t="n">
        <v>51513.17</v>
      </c>
      <c r="U88" s="34" t="n">
        <v>216070.14</v>
      </c>
      <c r="V88" s="18" t="n">
        <v>48068.96</v>
      </c>
      <c r="W88" s="18" t="n">
        <v>69575.62</v>
      </c>
      <c r="X88" s="18" t="n">
        <v>61388.33</v>
      </c>
      <c r="Y88" s="18" t="n">
        <v>46506.68</v>
      </c>
      <c r="Z88" s="34" t="n">
        <v>225539.59</v>
      </c>
      <c r="AA88" s="18" t="n">
        <v>62709.95</v>
      </c>
      <c r="AB88" s="19" t="n">
        <v>89592.67999999999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이자지급(CF)</t>
        </is>
      </c>
      <c r="E89" s="18" t="n">
        <v>-33999.42</v>
      </c>
      <c r="F89" s="9" t="n"/>
      <c r="G89" s="18" t="n">
        <v>-29831.84</v>
      </c>
      <c r="H89" s="18" t="n">
        <v>-31392.63</v>
      </c>
      <c r="I89" s="18" t="n">
        <v>-34973.1</v>
      </c>
      <c r="J89" s="18" t="n">
        <v>-32004.07</v>
      </c>
      <c r="K89" s="34" t="n">
        <v>-128201.64</v>
      </c>
      <c r="L89" s="18" t="n">
        <v>-46093.64</v>
      </c>
      <c r="M89" s="18" t="n">
        <v>-37699.81</v>
      </c>
      <c r="N89" s="18" t="n">
        <v>-41720.64</v>
      </c>
      <c r="O89" s="18" t="n">
        <v>-52044.08</v>
      </c>
      <c r="P89" s="34" t="n">
        <v>-177558.17</v>
      </c>
      <c r="Q89" s="18" t="n">
        <v>-62119.68</v>
      </c>
      <c r="R89" s="18" t="n">
        <v>-30188.56</v>
      </c>
      <c r="S89" s="18" t="n">
        <v>-41195.57</v>
      </c>
      <c r="T89" s="18" t="n">
        <v>-18127.61</v>
      </c>
      <c r="U89" s="34" t="n">
        <v>-151631.42</v>
      </c>
      <c r="V89" s="18" t="n">
        <v>-24354.76</v>
      </c>
      <c r="W89" s="18" t="n">
        <v>-9728.43</v>
      </c>
      <c r="X89" s="18" t="n">
        <v>-18560.29</v>
      </c>
      <c r="Y89" s="18" t="n">
        <v>-27062.5</v>
      </c>
      <c r="Z89" s="34" t="n">
        <v>-79705.98</v>
      </c>
      <c r="AA89" s="18" t="n">
        <v>-15370.69</v>
      </c>
      <c r="AB89" s="19" t="n">
        <v>-2490.84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배당금수취(CF)</t>
        </is>
      </c>
      <c r="E90" s="18" t="n">
        <v>40737.12</v>
      </c>
      <c r="F90" s="9" t="n"/>
      <c r="G90" s="18" t="n">
        <v>172.75</v>
      </c>
      <c r="H90" s="18" t="n">
        <v>6258.74</v>
      </c>
      <c r="I90" s="18" t="n">
        <v>13.91</v>
      </c>
      <c r="J90" s="18" t="n">
        <v>4</v>
      </c>
      <c r="K90" s="34" t="n">
        <v>6449.4</v>
      </c>
      <c r="L90" s="18" t="n">
        <v>170.25</v>
      </c>
      <c r="M90" s="18" t="n">
        <v>6771.23</v>
      </c>
      <c r="N90" s="18" t="n">
        <v>12.81</v>
      </c>
      <c r="O90" s="18" t="n">
        <v>4</v>
      </c>
      <c r="P90" s="34" t="n">
        <v>6958.29</v>
      </c>
      <c r="Q90" s="18" t="n">
        <v>54.78</v>
      </c>
      <c r="R90" s="18" t="n">
        <v>3706.77</v>
      </c>
      <c r="S90" s="18" t="n">
        <v>12.41</v>
      </c>
      <c r="T90" s="18" t="n">
        <v>27838.71</v>
      </c>
      <c r="U90" s="34" t="n">
        <v>31612.67</v>
      </c>
      <c r="V90" s="18" t="n">
        <v>37.05</v>
      </c>
      <c r="W90" s="18" t="n">
        <v>1020.28</v>
      </c>
      <c r="X90" s="18" t="n">
        <v>64.84</v>
      </c>
      <c r="Y90" s="18" t="n">
        <v>6.42</v>
      </c>
      <c r="Z90" s="34" t="n">
        <v>1128.59</v>
      </c>
      <c r="AA90" s="18" t="n">
        <v>76.19</v>
      </c>
      <c r="AB90" s="19" t="n">
        <v>1304.09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법인세납부(CF)</t>
        </is>
      </c>
      <c r="E91" s="18" t="n">
        <v>655.01</v>
      </c>
      <c r="F91" s="9" t="n"/>
      <c r="G91" s="18" t="n">
        <v>-3175.4</v>
      </c>
      <c r="H91" s="18" t="n">
        <v>4117.76</v>
      </c>
      <c r="I91" s="18" t="n">
        <v>-10400.97</v>
      </c>
      <c r="J91" s="18" t="n">
        <v>-9209.02</v>
      </c>
      <c r="K91" s="34" t="n">
        <v>-18667.63</v>
      </c>
      <c r="L91" s="18" t="n">
        <v>-8706.120000000001</v>
      </c>
      <c r="M91" s="18" t="n">
        <v>-1843.93</v>
      </c>
      <c r="N91" s="18" t="n">
        <v>-6611.94</v>
      </c>
      <c r="O91" s="18" t="n">
        <v>-7857</v>
      </c>
      <c r="P91" s="34" t="n">
        <v>-25018.99</v>
      </c>
      <c r="Q91" s="18" t="n">
        <v>-7286.07</v>
      </c>
      <c r="T91" s="18" t="n">
        <v>-8961.690000000001</v>
      </c>
      <c r="U91" s="9" t="n"/>
      <c r="V91" s="18" t="n">
        <v>-12467.11</v>
      </c>
      <c r="Y91" s="18" t="n">
        <v>-8551.040000000001</v>
      </c>
      <c r="Z91" s="9" t="n"/>
      <c r="AA91" s="18" t="n">
        <v>-23026.9</v>
      </c>
      <c r="AB91" s="19" t="n">
        <v>-63819.1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투자활동으로인한현금흐름</t>
        </is>
      </c>
      <c r="E92" s="18" t="n">
        <v>167889.63</v>
      </c>
      <c r="F92" s="9" t="n"/>
      <c r="G92" s="18" t="n">
        <v>-199318.38</v>
      </c>
      <c r="H92" s="18" t="n">
        <v>-19669.57</v>
      </c>
      <c r="I92" s="18" t="n">
        <v>-1039801.34</v>
      </c>
      <c r="J92" s="18" t="n">
        <v>-80681.37</v>
      </c>
      <c r="K92" s="34" t="n">
        <v>-1339470.66</v>
      </c>
      <c r="L92" s="18" t="n">
        <v>-21313.82</v>
      </c>
      <c r="M92" s="18" t="n">
        <v>586275.47</v>
      </c>
      <c r="N92" s="18" t="n">
        <v>-994862.9399999999</v>
      </c>
      <c r="O92" s="18" t="n">
        <v>-836988.26</v>
      </c>
      <c r="P92" s="34" t="n">
        <v>-1266889.55</v>
      </c>
      <c r="Q92" s="18" t="n">
        <v>510535.87</v>
      </c>
      <c r="R92" s="18" t="n">
        <v>-1093407.1</v>
      </c>
      <c r="S92" s="18" t="n">
        <v>-261909.31</v>
      </c>
      <c r="T92" s="18" t="n">
        <v>-388020.87</v>
      </c>
      <c r="U92" s="34" t="n">
        <v>-1232801.41</v>
      </c>
      <c r="V92" s="18" t="n">
        <v>-753976.5600000001</v>
      </c>
      <c r="W92" s="18" t="n">
        <v>-464113.62</v>
      </c>
      <c r="X92" s="18" t="n">
        <v>-2107226.95</v>
      </c>
      <c r="Y92" s="18" t="n">
        <v>-278523.19</v>
      </c>
      <c r="Z92" s="34" t="n">
        <v>-3603840.32</v>
      </c>
      <c r="AA92" s="18" t="n">
        <v>975569.45</v>
      </c>
      <c r="AB92" s="19" t="n">
        <v>446610.35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유형자산의감소</t>
        </is>
      </c>
      <c r="E93" s="18" t="n">
        <v>7674.54</v>
      </c>
      <c r="F93" s="9" t="n"/>
      <c r="G93" s="18" t="n">
        <v>2878.08</v>
      </c>
      <c r="H93" s="18" t="n">
        <v>7116.78</v>
      </c>
      <c r="I93" s="18" t="n">
        <v>10419.17</v>
      </c>
      <c r="J93" s="18" t="n">
        <v>3217.02</v>
      </c>
      <c r="K93" s="34" t="n">
        <v>23631.05</v>
      </c>
      <c r="L93" s="18" t="n">
        <v>2904.18</v>
      </c>
      <c r="M93" s="18" t="n">
        <v>4930.15</v>
      </c>
      <c r="N93" s="18" t="n">
        <v>3602.49</v>
      </c>
      <c r="O93" s="18" t="n">
        <v>12225.01</v>
      </c>
      <c r="P93" s="34" t="n">
        <v>23661.83</v>
      </c>
      <c r="Q93" s="18" t="n">
        <v>8761.559999999999</v>
      </c>
      <c r="R93" s="18" t="n">
        <v>8415.43</v>
      </c>
      <c r="S93" s="18" t="n">
        <v>5498.76</v>
      </c>
      <c r="T93" s="18" t="n">
        <v>1820.38</v>
      </c>
      <c r="U93" s="34" t="n">
        <v>24496.13</v>
      </c>
      <c r="V93" s="18" t="n">
        <v>4219.63</v>
      </c>
      <c r="W93" s="18" t="n">
        <v>15773.93</v>
      </c>
      <c r="X93" s="18" t="n">
        <v>2713.72</v>
      </c>
      <c r="Y93" s="18" t="n">
        <v>9218.65</v>
      </c>
      <c r="Z93" s="34" t="n">
        <v>31925.93</v>
      </c>
      <c r="AA93" s="18" t="n">
        <v>1952.13</v>
      </c>
      <c r="AB93" s="19" t="n">
        <v>9804.360000000001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무형자산의감소</t>
        </is>
      </c>
      <c r="E94" s="18" t="n">
        <v>300</v>
      </c>
      <c r="F94" s="9" t="n"/>
      <c r="I94" s="18" t="n">
        <v>0</v>
      </c>
      <c r="J94" s="18" t="n">
        <v>0</v>
      </c>
      <c r="K94" s="9" t="n"/>
      <c r="P94" s="9" t="n"/>
      <c r="T94" s="18" t="n">
        <v>0</v>
      </c>
      <c r="U94" s="9" t="n"/>
      <c r="V94" s="18" t="n">
        <v>11.21</v>
      </c>
      <c r="W94" s="18" t="n">
        <v>0</v>
      </c>
      <c r="X94" s="18" t="n">
        <v>985.91</v>
      </c>
      <c r="Y94" s="18" t="n">
        <v>3282.05</v>
      </c>
      <c r="Z94" s="34" t="n">
        <v>4279.17</v>
      </c>
      <c r="AA94" s="18" t="n">
        <v>0</v>
      </c>
      <c r="AB94" s="19" t="n">
        <v>0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유형자산의증가</t>
        </is>
      </c>
      <c r="E95" s="18" t="n">
        <v>111586.14</v>
      </c>
      <c r="F95" s="9" t="n"/>
      <c r="G95" s="18" t="n">
        <v>92408.14999999999</v>
      </c>
      <c r="H95" s="18" t="n">
        <v>154627.4</v>
      </c>
      <c r="I95" s="18" t="n">
        <v>211326.34</v>
      </c>
      <c r="J95" s="18" t="n">
        <v>208529.12</v>
      </c>
      <c r="K95" s="34" t="n">
        <v>666891.01</v>
      </c>
      <c r="L95" s="18" t="n">
        <v>146046.52</v>
      </c>
      <c r="M95" s="18" t="n">
        <v>222061.34</v>
      </c>
      <c r="N95" s="18" t="n">
        <v>227623.87</v>
      </c>
      <c r="O95" s="18" t="n">
        <v>226221.37</v>
      </c>
      <c r="P95" s="34" t="n">
        <v>821953.1</v>
      </c>
      <c r="Q95" s="18" t="n">
        <v>184798.26</v>
      </c>
      <c r="R95" s="18" t="n">
        <v>237755</v>
      </c>
      <c r="S95" s="18" t="n">
        <v>242961.79</v>
      </c>
      <c r="T95" s="18" t="n">
        <v>225473.99</v>
      </c>
      <c r="U95" s="34" t="n">
        <v>890989.04</v>
      </c>
      <c r="V95" s="18" t="n">
        <v>305401.7</v>
      </c>
      <c r="W95" s="18" t="n">
        <v>192975.17</v>
      </c>
      <c r="X95" s="18" t="n">
        <v>223086.15</v>
      </c>
      <c r="Y95" s="18" t="n">
        <v>225371.71</v>
      </c>
      <c r="Z95" s="34" t="n">
        <v>946834.73</v>
      </c>
      <c r="AA95" s="18" t="n">
        <v>184515.63</v>
      </c>
      <c r="AB95" s="19" t="n">
        <v>195858.74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CAPEX</t>
        </is>
      </c>
      <c r="E96" s="18" t="n">
        <v>128443.33</v>
      </c>
      <c r="F96" s="9" t="n"/>
      <c r="G96" s="18" t="n">
        <v>97553.85000000001</v>
      </c>
      <c r="H96" s="18" t="n">
        <v>161857.65</v>
      </c>
      <c r="I96" s="18" t="n">
        <v>223384.89</v>
      </c>
      <c r="J96" s="18" t="n">
        <v>224603.23</v>
      </c>
      <c r="K96" s="34" t="n">
        <v>707399.62</v>
      </c>
      <c r="L96" s="18" t="n">
        <v>156070.01</v>
      </c>
      <c r="M96" s="18" t="n">
        <v>233127.78</v>
      </c>
      <c r="N96" s="18" t="n">
        <v>243738.95</v>
      </c>
      <c r="O96" s="18" t="n">
        <v>249103.02</v>
      </c>
      <c r="P96" s="34" t="n">
        <v>882039.76</v>
      </c>
      <c r="Q96" s="18" t="n">
        <v>195556.18</v>
      </c>
      <c r="R96" s="18" t="n">
        <v>248185.1</v>
      </c>
      <c r="S96" s="18" t="n">
        <v>253555.15</v>
      </c>
      <c r="T96" s="18" t="n">
        <v>251745.24</v>
      </c>
      <c r="U96" s="34" t="n">
        <v>949041.67</v>
      </c>
      <c r="V96" s="18" t="n">
        <v>312531.22</v>
      </c>
      <c r="W96" s="18" t="n">
        <v>206038.33</v>
      </c>
      <c r="X96" s="18" t="n">
        <v>233867.76</v>
      </c>
      <c r="Y96" s="18" t="n">
        <v>251263.64</v>
      </c>
      <c r="Z96" s="34" t="n">
        <v>1003700.95</v>
      </c>
      <c r="AA96" s="18" t="n">
        <v>193606.13</v>
      </c>
      <c r="AB96" s="19" t="n">
        <v>209826.55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무형자산의증가</t>
        </is>
      </c>
      <c r="E97" s="18" t="n">
        <v>16857.19</v>
      </c>
      <c r="F97" s="9" t="n"/>
      <c r="G97" s="18" t="n">
        <v>5145.7</v>
      </c>
      <c r="H97" s="18" t="n">
        <v>7230.25</v>
      </c>
      <c r="I97" s="18" t="n">
        <v>12058.55</v>
      </c>
      <c r="J97" s="18" t="n">
        <v>16074.11</v>
      </c>
      <c r="K97" s="34" t="n">
        <v>40508.61</v>
      </c>
      <c r="L97" s="18" t="n">
        <v>10023.49</v>
      </c>
      <c r="M97" s="18" t="n">
        <v>11066.44</v>
      </c>
      <c r="N97" s="18" t="n">
        <v>16115.08</v>
      </c>
      <c r="O97" s="18" t="n">
        <v>22881.65</v>
      </c>
      <c r="P97" s="34" t="n">
        <v>60086.66</v>
      </c>
      <c r="Q97" s="18" t="n">
        <v>10757.92</v>
      </c>
      <c r="R97" s="18" t="n">
        <v>10430.1</v>
      </c>
      <c r="S97" s="18" t="n">
        <v>10593.36</v>
      </c>
      <c r="T97" s="18" t="n">
        <v>26271.25</v>
      </c>
      <c r="U97" s="34" t="n">
        <v>58052.63</v>
      </c>
      <c r="V97" s="18" t="n">
        <v>7129.52</v>
      </c>
      <c r="W97" s="18" t="n">
        <v>13063.16</v>
      </c>
      <c r="X97" s="18" t="n">
        <v>10781.61</v>
      </c>
      <c r="Y97" s="18" t="n">
        <v>25891.93</v>
      </c>
      <c r="Z97" s="34" t="n">
        <v>56866.22</v>
      </c>
      <c r="AA97" s="18" t="n">
        <v>9090.5</v>
      </c>
      <c r="AB97" s="19" t="n">
        <v>13967.81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재무활동으로인한현금흐름</t>
        </is>
      </c>
      <c r="E98" s="18" t="n">
        <v>-717845.88</v>
      </c>
      <c r="F98" s="9" t="n"/>
      <c r="G98" s="18" t="n">
        <v>144143.98</v>
      </c>
      <c r="H98" s="18" t="n">
        <v>27273.1</v>
      </c>
      <c r="I98" s="18" t="n">
        <v>-273298.21</v>
      </c>
      <c r="J98" s="18" t="n">
        <v>-875389.25</v>
      </c>
      <c r="K98" s="34" t="n">
        <v>-977270.38</v>
      </c>
      <c r="L98" s="18" t="n">
        <v>-591077.39</v>
      </c>
      <c r="M98" s="18" t="n">
        <v>292019.11</v>
      </c>
      <c r="N98" s="18" t="n">
        <v>-184404.76</v>
      </c>
      <c r="O98" s="18" t="n">
        <v>-1745.74</v>
      </c>
      <c r="P98" s="34" t="n">
        <v>-485208.78</v>
      </c>
      <c r="Q98" s="18" t="n">
        <v>-611991.71</v>
      </c>
      <c r="R98" s="18" t="n">
        <v>-709438.28</v>
      </c>
      <c r="S98" s="18" t="n">
        <v>-708473.34</v>
      </c>
      <c r="T98" s="18" t="n">
        <v>-329064.71</v>
      </c>
      <c r="U98" s="34" t="n">
        <v>-2358968.04</v>
      </c>
      <c r="V98" s="18" t="n">
        <v>451391.26</v>
      </c>
      <c r="W98" s="18" t="n">
        <v>-699760.55</v>
      </c>
      <c r="X98" s="18" t="n">
        <v>-391971.29</v>
      </c>
      <c r="Y98" s="18" t="n">
        <v>-151935.43</v>
      </c>
      <c r="Z98" s="34" t="n">
        <v>-792276.01</v>
      </c>
      <c r="AA98" s="18" t="n">
        <v>-46384.23</v>
      </c>
      <c r="AB98" s="19" t="n">
        <v>1392171.21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리스부채의상환</t>
        </is>
      </c>
      <c r="E99" s="18" t="n">
        <v>5109.03</v>
      </c>
      <c r="F99" s="9" t="n"/>
      <c r="G99" s="18" t="n">
        <v>4285.59</v>
      </c>
      <c r="H99" s="18" t="n">
        <v>5277.07</v>
      </c>
      <c r="I99" s="18" t="n">
        <v>4540.93</v>
      </c>
      <c r="J99" s="18" t="n">
        <v>6517.29</v>
      </c>
      <c r="K99" s="34" t="n">
        <v>20620.88</v>
      </c>
      <c r="L99" s="18" t="n">
        <v>7182.17</v>
      </c>
      <c r="M99" s="18" t="n">
        <v>9107.540000000001</v>
      </c>
      <c r="N99" s="18" t="n">
        <v>8584.690000000001</v>
      </c>
      <c r="O99" s="18" t="n">
        <v>8135.68</v>
      </c>
      <c r="P99" s="34" t="n">
        <v>33010.08</v>
      </c>
      <c r="Q99" s="18" t="n">
        <v>8944.6</v>
      </c>
      <c r="R99" s="18" t="n">
        <v>9994.799999999999</v>
      </c>
      <c r="S99" s="18" t="n">
        <v>9147.51</v>
      </c>
      <c r="T99" s="18" t="n">
        <v>7139.79</v>
      </c>
      <c r="U99" s="34" t="n">
        <v>35226.7</v>
      </c>
      <c r="V99" s="18" t="n">
        <v>8127.99</v>
      </c>
      <c r="W99" s="18" t="n">
        <v>9213.49</v>
      </c>
      <c r="X99" s="18" t="n">
        <v>9317.610000000001</v>
      </c>
      <c r="Y99" s="18" t="n">
        <v>10689.65</v>
      </c>
      <c r="Z99" s="34" t="n">
        <v>37348.74</v>
      </c>
      <c r="AA99" s="18" t="n">
        <v>9043.379999999999</v>
      </c>
      <c r="AB99" s="19" t="n">
        <v>9937.709999999999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현금및현금성자산의증감</t>
        </is>
      </c>
      <c r="E100" s="18" t="n">
        <v>-991955.35</v>
      </c>
      <c r="F100" s="9" t="n"/>
      <c r="G100" s="18" t="n">
        <v>-35166.64</v>
      </c>
      <c r="H100" s="18" t="n">
        <v>220659.62</v>
      </c>
      <c r="I100" s="18" t="n">
        <v>-1118488.92</v>
      </c>
      <c r="J100" s="18" t="n">
        <v>-937249.29</v>
      </c>
      <c r="K100" s="34" t="n">
        <v>-1870245.23</v>
      </c>
      <c r="L100" s="18" t="n">
        <v>155349.75</v>
      </c>
      <c r="M100" s="18" t="n">
        <v>1417737.12</v>
      </c>
      <c r="N100" s="18" t="n">
        <v>-234807.94</v>
      </c>
      <c r="O100" s="18" t="n">
        <v>-1017110.83</v>
      </c>
      <c r="P100" s="34" t="n">
        <v>321168.1</v>
      </c>
      <c r="Q100" s="18" t="n">
        <v>651212.95</v>
      </c>
      <c r="R100" s="18" t="n">
        <v>-271753.66</v>
      </c>
      <c r="S100" s="18" t="n">
        <v>-854473.53</v>
      </c>
      <c r="T100" s="18" t="n">
        <v>1173942.23</v>
      </c>
      <c r="U100" s="34" t="n">
        <v>698927.99</v>
      </c>
      <c r="V100" s="18" t="n">
        <v>1883124.15</v>
      </c>
      <c r="W100" s="18" t="n">
        <v>-86609.06</v>
      </c>
      <c r="X100" s="18" t="n">
        <v>187588.87</v>
      </c>
      <c r="Y100" s="18" t="n">
        <v>-1959407.37</v>
      </c>
      <c r="Z100" s="34" t="n">
        <v>24696.59</v>
      </c>
      <c r="AA100" s="18" t="n">
        <v>2726657.22</v>
      </c>
      <c r="AB100" s="19" t="n">
        <v>4527302.7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기말현금및현금성자산</t>
        </is>
      </c>
      <c r="E101" s="18" t="n">
        <v>-991955.35</v>
      </c>
      <c r="F101" s="9" t="n"/>
      <c r="G101" s="18" t="n">
        <v>4532301.46</v>
      </c>
      <c r="H101" s="18" t="n">
        <v>220659.62</v>
      </c>
      <c r="I101" s="18" t="n">
        <v>-1118488.92</v>
      </c>
      <c r="J101" s="18" t="n">
        <v>-937249.29</v>
      </c>
      <c r="K101" s="34" t="n">
        <v>2697222.87</v>
      </c>
      <c r="L101" s="18" t="n">
        <v>2852572.62</v>
      </c>
      <c r="M101" s="18" t="n">
        <v>1417737.12</v>
      </c>
      <c r="N101" s="18" t="n">
        <v>-234807.95</v>
      </c>
      <c r="O101" s="18" t="n">
        <v>-1017110.83</v>
      </c>
      <c r="P101" s="34" t="n">
        <v>3018390.96</v>
      </c>
      <c r="Q101" s="18" t="n">
        <v>3669603.92</v>
      </c>
      <c r="R101" s="18" t="n">
        <v>-271753.66</v>
      </c>
      <c r="S101" s="18" t="n">
        <v>-854473.54</v>
      </c>
      <c r="T101" s="18" t="n">
        <v>1173942.24</v>
      </c>
      <c r="U101" s="34" t="n">
        <v>3717318.96</v>
      </c>
      <c r="V101" s="18" t="n">
        <v>5600443.11</v>
      </c>
      <c r="W101" s="18" t="n">
        <v>-86609.06</v>
      </c>
      <c r="X101" s="18" t="n">
        <v>3904907.83</v>
      </c>
      <c r="Y101" s="18" t="n">
        <v>-5676726.33</v>
      </c>
      <c r="Z101" s="34" t="n">
        <v>3742015.55</v>
      </c>
      <c r="AA101" s="18" t="n">
        <v>6468672.77</v>
      </c>
      <c r="AB101" s="19" t="n">
        <v>4527302.69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HD한국조선해양(별)</t>
        </is>
      </c>
      <c r="C3" s="2" t="inlineStr">
        <is>
          <t>UPDATE: 26-09-30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1840381.43</v>
      </c>
      <c r="F5" s="34" t="n">
        <v>1840381.43</v>
      </c>
      <c r="G5" s="18" t="n">
        <v>1856263.77</v>
      </c>
      <c r="H5" s="18" t="n">
        <v>2050674.56</v>
      </c>
      <c r="I5" s="18" t="n">
        <v>2087178.45</v>
      </c>
      <c r="J5" s="18" t="n">
        <v>2118469.81</v>
      </c>
      <c r="K5" s="34" t="n">
        <v>2118469.81</v>
      </c>
      <c r="L5" s="18" t="n">
        <v>1727843.35</v>
      </c>
      <c r="M5" s="18" t="n">
        <v>1672166.82</v>
      </c>
      <c r="N5" s="18" t="n">
        <v>1677075.3</v>
      </c>
      <c r="O5" s="18" t="n">
        <v>1654502.04</v>
      </c>
      <c r="P5" s="34" t="n">
        <v>1654502.04</v>
      </c>
      <c r="Q5" s="18" t="n">
        <v>1712155.74</v>
      </c>
      <c r="R5" s="18" t="n">
        <v>2109640.49</v>
      </c>
      <c r="S5" s="18" t="n">
        <v>1966992.43</v>
      </c>
      <c r="T5" s="18" t="n">
        <v>2027133.75</v>
      </c>
      <c r="U5" s="34" t="n">
        <v>2027133.75</v>
      </c>
      <c r="V5" s="18" t="n">
        <v>3018511.14</v>
      </c>
      <c r="W5" s="18" t="n">
        <v>2817272.95</v>
      </c>
      <c r="X5" s="18" t="n">
        <v>2882373.32</v>
      </c>
      <c r="Y5" s="18" t="n">
        <v>2835643.6</v>
      </c>
      <c r="Z5" s="34" t="n">
        <v>2835643.6</v>
      </c>
      <c r="AA5" s="18" t="n">
        <v>3338945.9</v>
      </c>
      <c r="AB5" s="19" t="n">
        <v>5422003.54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1449872.8</v>
      </c>
      <c r="F6" s="34" t="n">
        <v>1449872.8</v>
      </c>
      <c r="G6" s="18" t="n">
        <v>1326479.67</v>
      </c>
      <c r="H6" s="18" t="n">
        <v>1775968.1</v>
      </c>
      <c r="I6" s="18" t="n">
        <v>901998.02</v>
      </c>
      <c r="J6" s="18" t="n">
        <v>987479.9399999999</v>
      </c>
      <c r="K6" s="34" t="n">
        <v>987479.9399999999</v>
      </c>
      <c r="L6" s="18" t="n">
        <v>689692.8</v>
      </c>
      <c r="M6" s="18" t="n">
        <v>1418830.95</v>
      </c>
      <c r="N6" s="18" t="n">
        <v>676696.9399999999</v>
      </c>
      <c r="O6" s="18" t="n">
        <v>505091.26</v>
      </c>
      <c r="P6" s="34" t="n">
        <v>505091.26</v>
      </c>
      <c r="Q6" s="18" t="n">
        <v>1002357.42</v>
      </c>
      <c r="R6" s="18" t="n">
        <v>642852.35</v>
      </c>
      <c r="S6" s="18" t="n">
        <v>512854.16</v>
      </c>
      <c r="T6" s="18" t="n">
        <v>762696.86</v>
      </c>
      <c r="U6" s="34" t="n">
        <v>762696.86</v>
      </c>
      <c r="V6" s="18" t="n">
        <v>1042446.69</v>
      </c>
      <c r="W6" s="18" t="n">
        <v>925455.71</v>
      </c>
      <c r="X6" s="18" t="n">
        <v>781737.4399999999</v>
      </c>
      <c r="Y6" s="18" t="n">
        <v>523688.18</v>
      </c>
      <c r="Z6" s="34" t="n">
        <v>523688.18</v>
      </c>
      <c r="AA6" s="18" t="n">
        <v>761392.15</v>
      </c>
      <c r="AB6" s="19" t="n">
        <v>3145868.99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350500</v>
      </c>
      <c r="F7" s="34" t="n">
        <v>350500</v>
      </c>
      <c r="G7" s="18" t="n">
        <v>490500</v>
      </c>
      <c r="H7" s="18" t="n">
        <v>240500</v>
      </c>
      <c r="I7" s="18" t="n">
        <v>1132793.28</v>
      </c>
      <c r="J7" s="18" t="n">
        <v>1061789.75</v>
      </c>
      <c r="K7" s="34" t="n">
        <v>1061789.75</v>
      </c>
      <c r="L7" s="18" t="n">
        <v>942071.23</v>
      </c>
      <c r="M7" s="18" t="n">
        <v>140500</v>
      </c>
      <c r="N7" s="18" t="n">
        <v>850510.21</v>
      </c>
      <c r="O7" s="18" t="n">
        <v>950500</v>
      </c>
      <c r="P7" s="34" t="n">
        <v>950500</v>
      </c>
      <c r="Q7" s="18" t="n">
        <v>540500</v>
      </c>
      <c r="R7" s="18" t="n">
        <v>1246862.1</v>
      </c>
      <c r="S7" s="18" t="n">
        <v>1249327.4</v>
      </c>
      <c r="T7" s="18" t="n">
        <v>980500</v>
      </c>
      <c r="U7" s="34" t="n">
        <v>980500</v>
      </c>
      <c r="V7" s="18" t="n">
        <v>1230000</v>
      </c>
      <c r="W7" s="18" t="n">
        <v>1420000</v>
      </c>
      <c r="X7" s="18" t="n">
        <v>1610000</v>
      </c>
      <c r="Y7" s="18" t="n">
        <v>1530000</v>
      </c>
      <c r="Z7" s="34" t="n">
        <v>1530000</v>
      </c>
      <c r="AA7" s="18" t="n">
        <v>1050000</v>
      </c>
      <c r="AB7" s="19" t="n">
        <v>1151027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350500</v>
      </c>
      <c r="F8" s="34" t="n">
        <v>350500</v>
      </c>
      <c r="G8" s="18" t="n">
        <v>490500</v>
      </c>
      <c r="H8" s="18" t="n">
        <v>240500</v>
      </c>
      <c r="I8" s="18" t="n">
        <v>1132793.28</v>
      </c>
      <c r="J8" s="18" t="n">
        <v>1061789.75</v>
      </c>
      <c r="K8" s="34" t="n">
        <v>1061789.75</v>
      </c>
      <c r="L8" s="18" t="n">
        <v>942071.23</v>
      </c>
      <c r="M8" s="18" t="n">
        <v>140500</v>
      </c>
      <c r="N8" s="18" t="n">
        <v>850510.21</v>
      </c>
      <c r="O8" s="18" t="n">
        <v>950500</v>
      </c>
      <c r="P8" s="34" t="n">
        <v>950500</v>
      </c>
      <c r="Q8" s="18" t="n">
        <v>540500</v>
      </c>
      <c r="R8" s="18" t="n">
        <v>1246862.1</v>
      </c>
      <c r="S8" s="18" t="n">
        <v>1249327.4</v>
      </c>
      <c r="T8" s="18" t="n">
        <v>980500</v>
      </c>
      <c r="U8" s="34" t="n">
        <v>980500</v>
      </c>
      <c r="V8" s="18" t="n">
        <v>1230000</v>
      </c>
      <c r="W8" s="18" t="n">
        <v>1420000</v>
      </c>
      <c r="X8" s="18" t="n">
        <v>1610000</v>
      </c>
      <c r="Y8" s="18" t="n">
        <v>1530000</v>
      </c>
      <c r="Z8" s="34" t="n">
        <v>1530000</v>
      </c>
      <c r="AA8" s="18" t="n">
        <v>1050000</v>
      </c>
      <c r="AB8" s="19" t="n">
        <v>1151027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27520.26</v>
      </c>
      <c r="F9" s="34" t="n">
        <v>27520.26</v>
      </c>
      <c r="G9" s="18" t="n">
        <v>25121.81</v>
      </c>
      <c r="H9" s="18" t="n">
        <v>21390.79</v>
      </c>
      <c r="I9" s="18" t="n">
        <v>39034.75</v>
      </c>
      <c r="J9" s="18" t="n">
        <v>52635.81</v>
      </c>
      <c r="K9" s="34" t="n">
        <v>52635.81</v>
      </c>
      <c r="L9" s="18" t="n">
        <v>59789.2</v>
      </c>
      <c r="M9" s="18" t="n">
        <v>57352.16</v>
      </c>
      <c r="N9" s="18" t="n">
        <v>75781.77</v>
      </c>
      <c r="O9" s="18" t="n">
        <v>105934.61</v>
      </c>
      <c r="P9" s="34" t="n">
        <v>105934.61</v>
      </c>
      <c r="Q9" s="18" t="n">
        <v>55247.88</v>
      </c>
      <c r="R9" s="18" t="n">
        <v>110808.05</v>
      </c>
      <c r="S9" s="18" t="n">
        <v>73075.22</v>
      </c>
      <c r="T9" s="18" t="n">
        <v>142205.89</v>
      </c>
      <c r="U9" s="34" t="n">
        <v>142205.89</v>
      </c>
      <c r="V9" s="18" t="n">
        <v>537659.34</v>
      </c>
      <c r="W9" s="18" t="n">
        <v>174536.58</v>
      </c>
      <c r="X9" s="18" t="n">
        <v>158454.22</v>
      </c>
      <c r="Y9" s="18" t="n">
        <v>345911.87</v>
      </c>
      <c r="Z9" s="34" t="n">
        <v>345911.87</v>
      </c>
      <c r="AA9" s="18" t="n">
        <v>912986.66</v>
      </c>
      <c r="AB9" s="19" t="n">
        <v>375257.14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904.65</v>
      </c>
      <c r="F10" s="34" t="n">
        <v>904.65</v>
      </c>
      <c r="G10" s="18" t="n">
        <v>9190</v>
      </c>
      <c r="H10" s="18" t="n">
        <v>10220.26</v>
      </c>
      <c r="I10" s="18" t="n">
        <v>10655.27</v>
      </c>
      <c r="J10" s="18" t="n">
        <v>850.84</v>
      </c>
      <c r="K10" s="34" t="n">
        <v>850.84</v>
      </c>
      <c r="L10" s="18" t="n">
        <v>16121.93</v>
      </c>
      <c r="M10" s="18" t="n">
        <v>15084.44</v>
      </c>
      <c r="N10" s="18" t="n">
        <v>16467.08</v>
      </c>
      <c r="O10" s="18" t="n">
        <v>974.29</v>
      </c>
      <c r="P10" s="34" t="n">
        <v>974.29</v>
      </c>
      <c r="Q10" s="18" t="n">
        <v>17369.15</v>
      </c>
      <c r="R10" s="18" t="n">
        <v>17128.01</v>
      </c>
      <c r="S10" s="18" t="n">
        <v>22643.12</v>
      </c>
      <c r="T10" s="18" t="n">
        <v>556.29</v>
      </c>
      <c r="U10" s="34" t="n">
        <v>556.29</v>
      </c>
      <c r="V10" s="18" t="n">
        <v>22416.01</v>
      </c>
      <c r="W10" s="18" t="n">
        <v>22969.34</v>
      </c>
      <c r="X10" s="18" t="n">
        <v>23422.85</v>
      </c>
      <c r="Y10" s="18" t="n">
        <v>7781.49</v>
      </c>
      <c r="Z10" s="34" t="n">
        <v>7781.49</v>
      </c>
      <c r="AA10" s="18" t="n">
        <v>44341.11</v>
      </c>
      <c r="AB10" s="19" t="n">
        <v>89841.59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729.6799999999999</v>
      </c>
      <c r="F11" s="34" t="n">
        <v>729.6799999999999</v>
      </c>
      <c r="G11" s="18" t="n">
        <v>774.1900000000001</v>
      </c>
      <c r="H11" s="18" t="n">
        <v>780.85</v>
      </c>
      <c r="I11" s="18" t="n">
        <v>992.62</v>
      </c>
      <c r="J11" s="18" t="n">
        <v>2280.75</v>
      </c>
      <c r="K11" s="34" t="n">
        <v>2280.75</v>
      </c>
      <c r="L11" s="18" t="n">
        <v>4144.05</v>
      </c>
      <c r="M11" s="18" t="n">
        <v>7006.13</v>
      </c>
      <c r="N11" s="18" t="n">
        <v>14791.62</v>
      </c>
      <c r="O11" s="18" t="n">
        <v>31510.6</v>
      </c>
      <c r="P11" s="34" t="n">
        <v>31510.6</v>
      </c>
      <c r="Q11" s="18" t="n">
        <v>34155.35</v>
      </c>
      <c r="R11" s="18" t="n">
        <v>45304.64</v>
      </c>
      <c r="S11" s="18" t="n">
        <v>66535.88</v>
      </c>
      <c r="T11" s="18" t="n">
        <v>71499.27</v>
      </c>
      <c r="U11" s="34" t="n">
        <v>71499.27</v>
      </c>
      <c r="V11" s="18" t="n">
        <v>95225.95</v>
      </c>
      <c r="W11" s="18" t="n">
        <v>144353.14</v>
      </c>
      <c r="X11" s="18" t="n">
        <v>166017.02</v>
      </c>
      <c r="Y11" s="18" t="n">
        <v>199477.5</v>
      </c>
      <c r="Z11" s="34" t="n">
        <v>199477.5</v>
      </c>
      <c r="AA11" s="18" t="n">
        <v>253389.6</v>
      </c>
      <c r="AB11" s="19" t="n">
        <v>345137.7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당기법인세자산(선급법인세)</t>
        </is>
      </c>
      <c r="E12" s="18" t="n">
        <v>1621.06</v>
      </c>
      <c r="F12" s="34" t="n">
        <v>1621.06</v>
      </c>
      <c r="G12" s="18" t="n">
        <v>1704.74</v>
      </c>
      <c r="I12" s="18" t="n">
        <v>157.42</v>
      </c>
      <c r="J12" s="18" t="n">
        <v>3081.69</v>
      </c>
      <c r="K12" s="34" t="n">
        <v>3081.69</v>
      </c>
      <c r="L12" s="18" t="n">
        <v>5899.01</v>
      </c>
      <c r="M12" s="18" t="n">
        <v>5672.61</v>
      </c>
      <c r="N12" s="18" t="n">
        <v>7752.59</v>
      </c>
      <c r="O12" s="18" t="n">
        <v>9413.780000000001</v>
      </c>
      <c r="P12" s="34" t="n">
        <v>9413.780000000001</v>
      </c>
      <c r="Q12" s="18" t="n">
        <v>12094.7</v>
      </c>
      <c r="R12" s="18" t="n">
        <v>5119.07</v>
      </c>
      <c r="S12" s="18" t="n">
        <v>5991.76</v>
      </c>
      <c r="T12" s="18" t="n">
        <v>2214.65</v>
      </c>
      <c r="U12" s="34" t="n">
        <v>2214.65</v>
      </c>
      <c r="V12" s="18" t="n">
        <v>2305.31</v>
      </c>
      <c r="W12" s="18" t="n">
        <v>0</v>
      </c>
      <c r="X12" s="18" t="n">
        <v>0</v>
      </c>
      <c r="Y12" s="18" t="n">
        <v>0</v>
      </c>
      <c r="Z12" s="34" t="n">
        <v>0</v>
      </c>
      <c r="AB12" s="5" t="n"/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매각예정비유동자산및처분자산</t>
        </is>
      </c>
      <c r="E13" s="18" t="n">
        <v>8363.67</v>
      </c>
      <c r="F13" s="34" t="n">
        <v>8363.67</v>
      </c>
      <c r="J13" s="18" t="n">
        <v>2871.72</v>
      </c>
      <c r="K13" s="34" t="n">
        <v>2871.72</v>
      </c>
      <c r="O13" s="18" t="n">
        <v>8637.809999999999</v>
      </c>
      <c r="P13" s="34" t="n">
        <v>8637.809999999999</v>
      </c>
      <c r="Q13" s="18" t="n">
        <v>0</v>
      </c>
      <c r="R13" s="18" t="n">
        <v>0</v>
      </c>
      <c r="S13" s="18" t="n">
        <v>0</v>
      </c>
      <c r="T13" s="18" t="n">
        <v>0</v>
      </c>
      <c r="U13" s="34" t="n">
        <v>0</v>
      </c>
      <c r="W13" s="18" t="n">
        <v>4626.85</v>
      </c>
      <c r="X13" s="18" t="n">
        <v>4626.85</v>
      </c>
      <c r="Y13" s="18" t="n">
        <v>0</v>
      </c>
      <c r="Z13" s="34" t="n">
        <v>0</v>
      </c>
      <c r="AB13" s="5" t="n"/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기타유동자산</t>
        </is>
      </c>
      <c r="E14" s="18" t="n">
        <v>869.3200000000001</v>
      </c>
      <c r="F14" s="34" t="n">
        <v>869.3200000000001</v>
      </c>
      <c r="G14" s="18" t="n">
        <v>2493.37</v>
      </c>
      <c r="H14" s="18" t="n">
        <v>1814.55</v>
      </c>
      <c r="I14" s="18" t="n">
        <v>1547.09</v>
      </c>
      <c r="J14" s="18" t="n">
        <v>7479.3</v>
      </c>
      <c r="K14" s="34" t="n">
        <v>7479.3</v>
      </c>
      <c r="L14" s="18" t="n">
        <v>10125.13</v>
      </c>
      <c r="M14" s="18" t="n">
        <v>27720.53</v>
      </c>
      <c r="N14" s="18" t="n">
        <v>35075.1</v>
      </c>
      <c r="O14" s="18" t="n">
        <v>42439.69</v>
      </c>
      <c r="P14" s="34" t="n">
        <v>42439.69</v>
      </c>
      <c r="Q14" s="18" t="n">
        <v>50431.24</v>
      </c>
      <c r="R14" s="18" t="n">
        <v>41566.26</v>
      </c>
      <c r="S14" s="18" t="n">
        <v>36564.88</v>
      </c>
      <c r="T14" s="18" t="n">
        <v>67460.78</v>
      </c>
      <c r="U14" s="34" t="n">
        <v>67460.78</v>
      </c>
      <c r="V14" s="18" t="n">
        <v>88457.83</v>
      </c>
      <c r="W14" s="18" t="n">
        <v>125331.34</v>
      </c>
      <c r="X14" s="18" t="n">
        <v>138114.96</v>
      </c>
      <c r="Y14" s="18" t="n">
        <v>228784.56</v>
      </c>
      <c r="Z14" s="34" t="n">
        <v>228784.56</v>
      </c>
      <c r="AA14" s="18" t="n">
        <v>316836.38</v>
      </c>
      <c r="AB14" s="19" t="n">
        <v>314871.12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비유동자산</t>
        </is>
      </c>
      <c r="E15" s="18" t="n">
        <v>9268756.93</v>
      </c>
      <c r="F15" s="34" t="n">
        <v>9268756.93</v>
      </c>
      <c r="G15" s="18" t="n">
        <v>9307104.199999999</v>
      </c>
      <c r="H15" s="18" t="n">
        <v>9159581</v>
      </c>
      <c r="I15" s="18" t="n">
        <v>9111342.59</v>
      </c>
      <c r="J15" s="18" t="n">
        <v>9311699.9</v>
      </c>
      <c r="K15" s="34" t="n">
        <v>9311699.9</v>
      </c>
      <c r="L15" s="18" t="n">
        <v>9743843.65</v>
      </c>
      <c r="M15" s="18" t="n">
        <v>9784157.58</v>
      </c>
      <c r="N15" s="18" t="n">
        <v>10054932.61</v>
      </c>
      <c r="O15" s="18" t="n">
        <v>10119747.92</v>
      </c>
      <c r="P15" s="34" t="n">
        <v>10119747.92</v>
      </c>
      <c r="Q15" s="18" t="n">
        <v>10048488.39</v>
      </c>
      <c r="R15" s="18" t="n">
        <v>9761246.029999999</v>
      </c>
      <c r="S15" s="18" t="n">
        <v>9956471.710000001</v>
      </c>
      <c r="T15" s="18" t="n">
        <v>10030123.66</v>
      </c>
      <c r="U15" s="34" t="n">
        <v>10030123.66</v>
      </c>
      <c r="V15" s="18" t="n">
        <v>10085273.15</v>
      </c>
      <c r="W15" s="18" t="n">
        <v>10011893.45</v>
      </c>
      <c r="X15" s="18" t="n">
        <v>10009464.37</v>
      </c>
      <c r="Y15" s="18" t="n">
        <v>10065482.09</v>
      </c>
      <c r="Z15" s="34" t="n">
        <v>10065482.09</v>
      </c>
      <c r="AA15" s="18" t="n">
        <v>10067658.52</v>
      </c>
      <c r="AB15" s="19" t="n">
        <v>10096282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종속기업및관계기업투자</t>
        </is>
      </c>
      <c r="E16" s="18" t="n">
        <v>8298137.42</v>
      </c>
      <c r="F16" s="34" t="n">
        <v>8298137.42</v>
      </c>
      <c r="G16" s="18" t="n">
        <v>8283702.39</v>
      </c>
      <c r="H16" s="18" t="n">
        <v>8165548.35</v>
      </c>
      <c r="I16" s="18" t="n">
        <v>8149415.26</v>
      </c>
      <c r="J16" s="18" t="n">
        <v>8349068.35</v>
      </c>
      <c r="K16" s="34" t="n">
        <v>8349068.35</v>
      </c>
      <c r="L16" s="18" t="n">
        <v>8764495.449999999</v>
      </c>
      <c r="M16" s="18" t="n">
        <v>8803081.1</v>
      </c>
      <c r="N16" s="18" t="n">
        <v>8832251.23</v>
      </c>
      <c r="O16" s="18" t="n">
        <v>8883881.59</v>
      </c>
      <c r="P16" s="34" t="n">
        <v>8883881.59</v>
      </c>
      <c r="Q16" s="18" t="n">
        <v>8883810.76</v>
      </c>
      <c r="R16" s="18" t="n">
        <v>8694162.58</v>
      </c>
      <c r="S16" s="18" t="n">
        <v>8922041.220000001</v>
      </c>
      <c r="T16" s="18" t="n">
        <v>9012227.619999999</v>
      </c>
      <c r="U16" s="34" t="n">
        <v>9012227.619999999</v>
      </c>
      <c r="V16" s="18" t="n">
        <v>9067495.689999999</v>
      </c>
      <c r="W16" s="18" t="n">
        <v>9035213.800000001</v>
      </c>
      <c r="X16" s="18" t="n">
        <v>9065809.15</v>
      </c>
      <c r="Y16" s="18" t="n">
        <v>9235911.59</v>
      </c>
      <c r="Z16" s="34" t="n">
        <v>9235911.59</v>
      </c>
      <c r="AA16" s="18" t="n">
        <v>9260450.720000001</v>
      </c>
      <c r="AB16" s="19" t="n">
        <v>9290755.939999999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투자자산</t>
        </is>
      </c>
      <c r="E17" s="18" t="n">
        <v>8423562.76</v>
      </c>
      <c r="F17" s="34" t="n">
        <v>8423562.76</v>
      </c>
      <c r="G17" s="18" t="n">
        <v>8445715.68</v>
      </c>
      <c r="H17" s="18" t="n">
        <v>8307040.19</v>
      </c>
      <c r="I17" s="18" t="n">
        <v>8269787.59</v>
      </c>
      <c r="J17" s="18" t="n">
        <v>8470131</v>
      </c>
      <c r="K17" s="34" t="n">
        <v>8470131</v>
      </c>
      <c r="L17" s="18" t="n">
        <v>8897521.470000001</v>
      </c>
      <c r="M17" s="18" t="n">
        <v>8938661.1</v>
      </c>
      <c r="N17" s="18" t="n">
        <v>8952660.189999999</v>
      </c>
      <c r="O17" s="18" t="n">
        <v>9014455.050000001</v>
      </c>
      <c r="P17" s="34" t="n">
        <v>9014455.050000001</v>
      </c>
      <c r="Q17" s="18" t="n">
        <v>8946462.140000001</v>
      </c>
      <c r="R17" s="18" t="n">
        <v>8751453.859999999</v>
      </c>
      <c r="S17" s="18" t="n">
        <v>8979296.74</v>
      </c>
      <c r="T17" s="18" t="n">
        <v>9068618.67</v>
      </c>
      <c r="U17" s="34" t="n">
        <v>9068618.67</v>
      </c>
      <c r="V17" s="18" t="n">
        <v>9123941.43</v>
      </c>
      <c r="W17" s="18" t="n">
        <v>9091918.960000001</v>
      </c>
      <c r="X17" s="18" t="n">
        <v>9100095.76</v>
      </c>
      <c r="Y17" s="18" t="n">
        <v>9275981.960000001</v>
      </c>
      <c r="Z17" s="34" t="n">
        <v>9275981.960000001</v>
      </c>
      <c r="AA17" s="18" t="n">
        <v>9305360.970000001</v>
      </c>
      <c r="AB17" s="19" t="n">
        <v>9343852.029999999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장기금융자산</t>
        </is>
      </c>
      <c r="E18" s="18" t="n">
        <v>125425.34</v>
      </c>
      <c r="F18" s="34" t="n">
        <v>125425.34</v>
      </c>
      <c r="G18" s="18" t="n">
        <v>162013.29</v>
      </c>
      <c r="H18" s="18" t="n">
        <v>141491.84</v>
      </c>
      <c r="I18" s="18" t="n">
        <v>120372.33</v>
      </c>
      <c r="J18" s="18" t="n">
        <v>121062.65</v>
      </c>
      <c r="K18" s="34" t="n">
        <v>121062.65</v>
      </c>
      <c r="L18" s="18" t="n">
        <v>133026.02</v>
      </c>
      <c r="M18" s="18" t="n">
        <v>135580</v>
      </c>
      <c r="N18" s="18" t="n">
        <v>120408.96</v>
      </c>
      <c r="O18" s="18" t="n">
        <v>130573.46</v>
      </c>
      <c r="P18" s="34" t="n">
        <v>130573.46</v>
      </c>
      <c r="Q18" s="18" t="n">
        <v>62651.38</v>
      </c>
      <c r="R18" s="18" t="n">
        <v>57291.28</v>
      </c>
      <c r="S18" s="18" t="n">
        <v>57255.52</v>
      </c>
      <c r="T18" s="18" t="n">
        <v>56391.05</v>
      </c>
      <c r="U18" s="34" t="n">
        <v>56391.05</v>
      </c>
      <c r="V18" s="18" t="n">
        <v>56445.74</v>
      </c>
      <c r="W18" s="18" t="n">
        <v>56705.16</v>
      </c>
      <c r="X18" s="18" t="n">
        <v>34286.61</v>
      </c>
      <c r="Y18" s="18" t="n">
        <v>40070.37</v>
      </c>
      <c r="Z18" s="34" t="n">
        <v>40070.37</v>
      </c>
      <c r="AA18" s="18" t="n">
        <v>43682.04</v>
      </c>
      <c r="AB18" s="19" t="n">
        <v>45378.16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장기매출채권및기타채권</t>
        </is>
      </c>
      <c r="E19" s="18" t="n">
        <v>40576.9</v>
      </c>
      <c r="F19" s="34" t="n">
        <v>40576.9</v>
      </c>
      <c r="G19" s="18" t="n">
        <v>63250.05</v>
      </c>
      <c r="H19" s="18" t="n">
        <v>58897.65</v>
      </c>
      <c r="I19" s="18" t="n">
        <v>58967.42</v>
      </c>
      <c r="J19" s="18" t="n">
        <v>16848.99</v>
      </c>
      <c r="K19" s="34" t="n">
        <v>16848.99</v>
      </c>
      <c r="L19" s="18" t="n">
        <v>18713.07</v>
      </c>
      <c r="M19" s="18" t="n">
        <v>19247.17</v>
      </c>
      <c r="N19" s="18" t="n">
        <v>19528.07</v>
      </c>
      <c r="O19" s="18" t="n">
        <v>29452.38</v>
      </c>
      <c r="P19" s="34" t="n">
        <v>29452.38</v>
      </c>
      <c r="Q19" s="18" t="n">
        <v>28081</v>
      </c>
      <c r="R19" s="18" t="n">
        <v>28076.4</v>
      </c>
      <c r="S19" s="18" t="n">
        <v>17927.72</v>
      </c>
      <c r="T19" s="18" t="n">
        <v>5987.56</v>
      </c>
      <c r="U19" s="34" t="n">
        <v>5987.56</v>
      </c>
      <c r="V19" s="18" t="n">
        <v>7906.94</v>
      </c>
      <c r="W19" s="18" t="n">
        <v>8165.59</v>
      </c>
      <c r="X19" s="18" t="n">
        <v>37132.28</v>
      </c>
      <c r="Y19" s="18" t="n">
        <v>8389.860000000001</v>
      </c>
      <c r="Z19" s="34" t="n">
        <v>8389.860000000001</v>
      </c>
      <c r="AA19" s="18" t="n">
        <v>8517.530000000001</v>
      </c>
      <c r="AB19" s="19" t="n">
        <v>8882.35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투자부동산</t>
        </is>
      </c>
      <c r="E20" s="18" t="n">
        <v>145515.41</v>
      </c>
      <c r="F20" s="34" t="n">
        <v>145515.41</v>
      </c>
      <c r="G20" s="18" t="n">
        <v>142410.88</v>
      </c>
      <c r="H20" s="18" t="n">
        <v>141676.9</v>
      </c>
      <c r="I20" s="18" t="n">
        <v>140942.92</v>
      </c>
      <c r="J20" s="18" t="n">
        <v>140208.95</v>
      </c>
      <c r="K20" s="34" t="n">
        <v>140208.95</v>
      </c>
      <c r="L20" s="18" t="n">
        <v>139474.97</v>
      </c>
      <c r="M20" s="18" t="n">
        <v>138740.99</v>
      </c>
      <c r="N20" s="18" t="n">
        <v>138007.01</v>
      </c>
      <c r="O20" s="18" t="n">
        <v>137273.04</v>
      </c>
      <c r="P20" s="34" t="n">
        <v>137273.04</v>
      </c>
      <c r="Q20" s="18" t="n">
        <v>136548.3</v>
      </c>
      <c r="R20" s="18" t="n">
        <v>141233.27</v>
      </c>
      <c r="S20" s="18" t="n">
        <v>140467.35</v>
      </c>
      <c r="T20" s="18" t="n">
        <v>139778.31</v>
      </c>
      <c r="U20" s="34" t="n">
        <v>139778.31</v>
      </c>
      <c r="V20" s="18" t="n">
        <v>139011.7</v>
      </c>
      <c r="W20" s="18" t="n">
        <v>133609.98</v>
      </c>
      <c r="X20" s="18" t="n">
        <v>132877.71</v>
      </c>
      <c r="Y20" s="18" t="n">
        <v>54604.37</v>
      </c>
      <c r="Z20" s="34" t="n">
        <v>54604.37</v>
      </c>
      <c r="AA20" s="18" t="n">
        <v>54397.2</v>
      </c>
      <c r="AB20" s="19" t="n">
        <v>54190.04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유형자산</t>
        </is>
      </c>
      <c r="E21" s="18" t="n">
        <v>623510.77</v>
      </c>
      <c r="F21" s="34" t="n">
        <v>623510.77</v>
      </c>
      <c r="G21" s="18" t="n">
        <v>621545.75</v>
      </c>
      <c r="H21" s="18" t="n">
        <v>621587.14</v>
      </c>
      <c r="I21" s="18" t="n">
        <v>613069.08</v>
      </c>
      <c r="J21" s="18" t="n">
        <v>609038.84</v>
      </c>
      <c r="K21" s="34" t="n">
        <v>609038.84</v>
      </c>
      <c r="L21" s="18" t="n">
        <v>609109.97</v>
      </c>
      <c r="M21" s="18" t="n">
        <v>612731.61</v>
      </c>
      <c r="N21" s="18" t="n">
        <v>613111.7</v>
      </c>
      <c r="O21" s="18" t="n">
        <v>598210.1</v>
      </c>
      <c r="P21" s="34" t="n">
        <v>598210.1</v>
      </c>
      <c r="Q21" s="18" t="n">
        <v>601827.4</v>
      </c>
      <c r="R21" s="18" t="n">
        <v>595607.4399999999</v>
      </c>
      <c r="S21" s="18" t="n">
        <v>595673.04</v>
      </c>
      <c r="T21" s="18" t="n">
        <v>600537.64</v>
      </c>
      <c r="U21" s="34" t="n">
        <v>600537.64</v>
      </c>
      <c r="V21" s="18" t="n">
        <v>600149.91</v>
      </c>
      <c r="W21" s="18" t="n">
        <v>616110.64</v>
      </c>
      <c r="X21" s="18" t="n">
        <v>622059.04</v>
      </c>
      <c r="Y21" s="18" t="n">
        <v>624978.37</v>
      </c>
      <c r="Z21" s="34" t="n">
        <v>624978.37</v>
      </c>
      <c r="AA21" s="18" t="n">
        <v>628318.47</v>
      </c>
      <c r="AB21" s="19" t="n">
        <v>625612.66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사용권자산</t>
        </is>
      </c>
      <c r="E22" s="18" t="n">
        <v>7469.48</v>
      </c>
      <c r="F22" s="34" t="n">
        <v>7469.48</v>
      </c>
      <c r="G22" s="18" t="n">
        <v>6247.36</v>
      </c>
      <c r="H22" s="18" t="n">
        <v>4480.51</v>
      </c>
      <c r="I22" s="18" t="n">
        <v>3511.95</v>
      </c>
      <c r="J22" s="18" t="n">
        <v>24390.29</v>
      </c>
      <c r="K22" s="34" t="n">
        <v>24390.29</v>
      </c>
      <c r="L22" s="18" t="n">
        <v>25860.17</v>
      </c>
      <c r="M22" s="18" t="n">
        <v>23939.56</v>
      </c>
      <c r="N22" s="18" t="n">
        <v>23081.84</v>
      </c>
      <c r="O22" s="18" t="n">
        <v>25116.38</v>
      </c>
      <c r="P22" s="34" t="n">
        <v>25116.38</v>
      </c>
      <c r="Q22" s="18" t="n">
        <v>23706.64</v>
      </c>
      <c r="R22" s="18" t="n">
        <v>22844.83</v>
      </c>
      <c r="S22" s="18" t="n">
        <v>20856.29</v>
      </c>
      <c r="T22" s="18" t="n">
        <v>18740.89</v>
      </c>
      <c r="U22" s="34" t="n">
        <v>18740.89</v>
      </c>
      <c r="V22" s="18" t="n">
        <v>23946.91</v>
      </c>
      <c r="W22" s="18" t="n">
        <v>21401.16</v>
      </c>
      <c r="X22" s="18" t="n">
        <v>18281.39</v>
      </c>
      <c r="Y22" s="18" t="n">
        <v>13586.9</v>
      </c>
      <c r="Z22" s="34" t="n">
        <v>13586.9</v>
      </c>
      <c r="AA22" s="18" t="n">
        <v>11929.53</v>
      </c>
      <c r="AB22" s="19" t="n">
        <v>9761.059999999999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기타비유동자산</t>
        </is>
      </c>
      <c r="E23" s="18" t="n">
        <v>11688.94</v>
      </c>
      <c r="F23" s="34" t="n">
        <v>11688.94</v>
      </c>
      <c r="G23" s="18" t="n">
        <v>9650.110000000001</v>
      </c>
      <c r="H23" s="18" t="n">
        <v>6145.55</v>
      </c>
      <c r="I23" s="18" t="n">
        <v>4248.41</v>
      </c>
      <c r="J23" s="18" t="n">
        <v>29934.92</v>
      </c>
      <c r="K23" s="34" t="n">
        <v>29934.92</v>
      </c>
      <c r="L23" s="18" t="n">
        <v>29555.37</v>
      </c>
      <c r="M23" s="18" t="n">
        <v>25118.39</v>
      </c>
      <c r="N23" s="18" t="n">
        <v>23789.13</v>
      </c>
      <c r="O23" s="18" t="n">
        <v>41687.67</v>
      </c>
      <c r="P23" s="34" t="n">
        <v>41687.67</v>
      </c>
      <c r="Q23" s="18" t="n">
        <v>36587.96</v>
      </c>
      <c r="R23" s="18" t="n">
        <v>33125.45</v>
      </c>
      <c r="S23" s="18" t="n">
        <v>27742.95</v>
      </c>
      <c r="T23" s="18" t="n">
        <v>23578.53</v>
      </c>
      <c r="U23" s="34" t="n">
        <v>23578.53</v>
      </c>
      <c r="V23" s="18" t="n">
        <v>25557.49</v>
      </c>
      <c r="W23" s="18" t="n">
        <v>22057.41</v>
      </c>
      <c r="X23" s="18" t="n">
        <v>18930.35</v>
      </c>
      <c r="Y23" s="18" t="n">
        <v>40237.08</v>
      </c>
      <c r="Z23" s="34" t="n">
        <v>40237.08</v>
      </c>
      <c r="AA23" s="18" t="n">
        <v>32584.82</v>
      </c>
      <c r="AB23" s="19" t="n">
        <v>24445.86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무형자산</t>
        </is>
      </c>
      <c r="E24" s="18" t="n">
        <v>23902.15</v>
      </c>
      <c r="F24" s="34" t="n">
        <v>23902.15</v>
      </c>
      <c r="G24" s="18" t="n">
        <v>24531.72</v>
      </c>
      <c r="H24" s="18" t="n">
        <v>24233.56</v>
      </c>
      <c r="I24" s="18" t="n">
        <v>24327.17</v>
      </c>
      <c r="J24" s="18" t="n">
        <v>24353.83</v>
      </c>
      <c r="K24" s="34" t="n">
        <v>24353.83</v>
      </c>
      <c r="L24" s="18" t="n">
        <v>26026.1</v>
      </c>
      <c r="M24" s="18" t="n">
        <v>28901.46</v>
      </c>
      <c r="N24" s="18" t="n">
        <v>33764.11</v>
      </c>
      <c r="O24" s="18" t="n">
        <v>38762.72</v>
      </c>
      <c r="P24" s="34" t="n">
        <v>38762.72</v>
      </c>
      <c r="Q24" s="18" t="n">
        <v>40452.49</v>
      </c>
      <c r="R24" s="18" t="n">
        <v>42379.58</v>
      </c>
      <c r="S24" s="18" t="n">
        <v>44236.73</v>
      </c>
      <c r="T24" s="18" t="n">
        <v>47459.99</v>
      </c>
      <c r="U24" s="34" t="n">
        <v>47459.99</v>
      </c>
      <c r="V24" s="18" t="n">
        <v>47989.77</v>
      </c>
      <c r="W24" s="18" t="n">
        <v>47650.5</v>
      </c>
      <c r="X24" s="18" t="n">
        <v>48757.85</v>
      </c>
      <c r="Y24" s="18" t="n">
        <v>38422.08</v>
      </c>
      <c r="Z24" s="34" t="n">
        <v>38422.08</v>
      </c>
      <c r="AA24" s="18" t="n">
        <v>38479.53</v>
      </c>
      <c r="AB24" s="19" t="n">
        <v>39299.07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자산총계</t>
        </is>
      </c>
      <c r="E25" s="18" t="n">
        <v>11109138.36</v>
      </c>
      <c r="F25" s="34" t="n">
        <v>11109138.36</v>
      </c>
      <c r="G25" s="18" t="n">
        <v>11163367.97</v>
      </c>
      <c r="H25" s="18" t="n">
        <v>11210255.56</v>
      </c>
      <c r="I25" s="18" t="n">
        <v>11198521.04</v>
      </c>
      <c r="J25" s="18" t="n">
        <v>11430169.71</v>
      </c>
      <c r="K25" s="34" t="n">
        <v>11430169.71</v>
      </c>
      <c r="L25" s="18" t="n">
        <v>11471686.99</v>
      </c>
      <c r="M25" s="18" t="n">
        <v>11456324.41</v>
      </c>
      <c r="N25" s="18" t="n">
        <v>11732007.9</v>
      </c>
      <c r="O25" s="18" t="n">
        <v>11774249.96</v>
      </c>
      <c r="P25" s="34" t="n">
        <v>11774249.96</v>
      </c>
      <c r="Q25" s="18" t="n">
        <v>11760644.13</v>
      </c>
      <c r="R25" s="18" t="n">
        <v>11870886.52</v>
      </c>
      <c r="S25" s="18" t="n">
        <v>11923464.15</v>
      </c>
      <c r="T25" s="18" t="n">
        <v>12057257.41</v>
      </c>
      <c r="U25" s="34" t="n">
        <v>12057257.41</v>
      </c>
      <c r="V25" s="18" t="n">
        <v>13103784.29</v>
      </c>
      <c r="W25" s="18" t="n">
        <v>12829166.4</v>
      </c>
      <c r="X25" s="18" t="n">
        <v>12891837.69</v>
      </c>
      <c r="Y25" s="18" t="n">
        <v>12901125.69</v>
      </c>
      <c r="Z25" s="34" t="n">
        <v>12901125.69</v>
      </c>
      <c r="AA25" s="18" t="n">
        <v>13406604.41</v>
      </c>
      <c r="AB25" s="19" t="n">
        <v>15518285.54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유동부채</t>
        </is>
      </c>
      <c r="E26" s="18" t="n">
        <v>221237.07</v>
      </c>
      <c r="F26" s="34" t="n">
        <v>221237.07</v>
      </c>
      <c r="G26" s="18" t="n">
        <v>208402.63</v>
      </c>
      <c r="H26" s="18" t="n">
        <v>215794.97</v>
      </c>
      <c r="I26" s="18" t="n">
        <v>219455.58</v>
      </c>
      <c r="J26" s="18" t="n">
        <v>258944.57</v>
      </c>
      <c r="K26" s="34" t="n">
        <v>258944.57</v>
      </c>
      <c r="L26" s="18" t="n">
        <v>160027.99</v>
      </c>
      <c r="M26" s="18" t="n">
        <v>127675.02</v>
      </c>
      <c r="N26" s="18" t="n">
        <v>153107.1</v>
      </c>
      <c r="O26" s="18" t="n">
        <v>196119.73</v>
      </c>
      <c r="P26" s="34" t="n">
        <v>196119.73</v>
      </c>
      <c r="Q26" s="18" t="n">
        <v>173854.55</v>
      </c>
      <c r="R26" s="18" t="n">
        <v>177586.86</v>
      </c>
      <c r="S26" s="18" t="n">
        <v>225138</v>
      </c>
      <c r="T26" s="18" t="n">
        <v>331705.96</v>
      </c>
      <c r="U26" s="34" t="n">
        <v>331705.96</v>
      </c>
      <c r="V26" s="18" t="n">
        <v>1312526.8</v>
      </c>
      <c r="W26" s="18" t="n">
        <v>1015876.17</v>
      </c>
      <c r="X26" s="18" t="n">
        <v>990818.33</v>
      </c>
      <c r="Y26" s="18" t="n">
        <v>1116053.71</v>
      </c>
      <c r="Z26" s="34" t="n">
        <v>1116053.71</v>
      </c>
      <c r="AA26" s="18" t="n">
        <v>1677198.34</v>
      </c>
      <c r="AB26" s="19" t="n">
        <v>3431358.8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단기차입금</t>
        </is>
      </c>
      <c r="E27" s="18" t="n">
        <v>170.81</v>
      </c>
      <c r="F27" s="34" t="n">
        <v>170.81</v>
      </c>
      <c r="G27" s="18" t="n">
        <v>174.45</v>
      </c>
      <c r="H27" s="18" t="n">
        <v>186.28</v>
      </c>
      <c r="I27" s="18" t="n">
        <v>206.73</v>
      </c>
      <c r="J27" s="18" t="n">
        <v>4860.97</v>
      </c>
      <c r="K27" s="34" t="n">
        <v>4860.97</v>
      </c>
      <c r="O27" s="18" t="n">
        <v>0</v>
      </c>
      <c r="P27" s="34" t="n">
        <v>0</v>
      </c>
      <c r="R27" s="18" t="n">
        <v>1072.2</v>
      </c>
      <c r="T27" s="18" t="n">
        <v>0</v>
      </c>
      <c r="U27" s="34" t="n">
        <v>0</v>
      </c>
      <c r="V27" s="18" t="n">
        <v>597623.66</v>
      </c>
      <c r="W27" s="18" t="n">
        <v>522979.29</v>
      </c>
      <c r="X27" s="18" t="n">
        <v>495339.36</v>
      </c>
      <c r="Y27" s="18" t="n">
        <v>473565.66</v>
      </c>
      <c r="Z27" s="34" t="n">
        <v>473565.66</v>
      </c>
      <c r="AA27" s="18" t="n">
        <v>427437.86</v>
      </c>
      <c r="AB27" s="19" t="n">
        <v>2549642.37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단기금융부채(face)</t>
        </is>
      </c>
      <c r="E28" s="18" t="n">
        <v>170.81</v>
      </c>
      <c r="F28" s="34" t="n">
        <v>170.81</v>
      </c>
      <c r="G28" s="18" t="n">
        <v>174.45</v>
      </c>
      <c r="H28" s="18" t="n">
        <v>186.28</v>
      </c>
      <c r="I28" s="18" t="n">
        <v>206.73</v>
      </c>
      <c r="J28" s="18" t="n">
        <v>4860.97</v>
      </c>
      <c r="K28" s="34" t="n">
        <v>4860.97</v>
      </c>
      <c r="O28" s="18" t="n">
        <v>0</v>
      </c>
      <c r="P28" s="34" t="n">
        <v>0</v>
      </c>
      <c r="R28" s="18" t="n">
        <v>1072.2</v>
      </c>
      <c r="T28" s="18" t="n">
        <v>0</v>
      </c>
      <c r="U28" s="34" t="n">
        <v>0</v>
      </c>
      <c r="V28" s="18" t="n">
        <v>597623.66</v>
      </c>
      <c r="W28" s="18" t="n">
        <v>522979.29</v>
      </c>
      <c r="X28" s="18" t="n">
        <v>495339.36</v>
      </c>
      <c r="Y28" s="18" t="n">
        <v>473565.66</v>
      </c>
      <c r="Z28" s="34" t="n">
        <v>473565.66</v>
      </c>
      <c r="AA28" s="18" t="n">
        <v>427437.86</v>
      </c>
      <c r="AB28" s="19" t="n">
        <v>2549642.37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유동리스부채</t>
        </is>
      </c>
      <c r="E29" s="18" t="n">
        <v>4773.53</v>
      </c>
      <c r="F29" s="34" t="n">
        <v>4773.53</v>
      </c>
      <c r="G29" s="18" t="n">
        <v>4234.11</v>
      </c>
      <c r="H29" s="18" t="n">
        <v>3147.86</v>
      </c>
      <c r="I29" s="18" t="n">
        <v>2477.75</v>
      </c>
      <c r="J29" s="18" t="n">
        <v>7641.23</v>
      </c>
      <c r="K29" s="34" t="n">
        <v>7641.23</v>
      </c>
      <c r="L29" s="18" t="n">
        <v>8853.82</v>
      </c>
      <c r="M29" s="18" t="n">
        <v>8613.49</v>
      </c>
      <c r="N29" s="18" t="n">
        <v>8690.879999999999</v>
      </c>
      <c r="O29" s="18" t="n">
        <v>9005.9</v>
      </c>
      <c r="P29" s="34" t="n">
        <v>9005.9</v>
      </c>
      <c r="Q29" s="18" t="n">
        <v>8912.059999999999</v>
      </c>
      <c r="R29" s="18" t="n">
        <v>9116.42</v>
      </c>
      <c r="S29" s="18" t="n">
        <v>8880.42</v>
      </c>
      <c r="T29" s="18" t="n">
        <v>8601.860000000001</v>
      </c>
      <c r="U29" s="34" t="n">
        <v>8601.860000000001</v>
      </c>
      <c r="V29" s="18" t="n">
        <v>12781.87</v>
      </c>
      <c r="W29" s="18" t="n">
        <v>13013.22</v>
      </c>
      <c r="X29" s="18" t="n">
        <v>12881.53</v>
      </c>
      <c r="Y29" s="18" t="n">
        <v>10330.51</v>
      </c>
      <c r="Z29" s="34" t="n">
        <v>10330.51</v>
      </c>
      <c r="AA29" s="18" t="n">
        <v>8106.05</v>
      </c>
      <c r="AB29" s="19" t="n">
        <v>6121.32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리스부채</t>
        </is>
      </c>
      <c r="E30" s="18" t="n">
        <v>7739.67</v>
      </c>
      <c r="F30" s="34" t="n">
        <v>7739.67</v>
      </c>
      <c r="G30" s="18" t="n">
        <v>6519.27</v>
      </c>
      <c r="H30" s="18" t="n">
        <v>4605.94</v>
      </c>
      <c r="I30" s="18" t="n">
        <v>3649.8</v>
      </c>
      <c r="J30" s="18" t="n">
        <v>23697.51</v>
      </c>
      <c r="K30" s="34" t="n">
        <v>23697.51</v>
      </c>
      <c r="L30" s="18" t="n">
        <v>25284.18</v>
      </c>
      <c r="M30" s="18" t="n">
        <v>23553.35</v>
      </c>
      <c r="N30" s="18" t="n">
        <v>22787.65</v>
      </c>
      <c r="O30" s="18" t="n">
        <v>24874.82</v>
      </c>
      <c r="P30" s="34" t="n">
        <v>24874.82</v>
      </c>
      <c r="Q30" s="18" t="n">
        <v>23583.98</v>
      </c>
      <c r="R30" s="18" t="n">
        <v>22824.64</v>
      </c>
      <c r="S30" s="18" t="n">
        <v>20974.69</v>
      </c>
      <c r="T30" s="18" t="n">
        <v>18929.81</v>
      </c>
      <c r="U30" s="34" t="n">
        <v>18929.81</v>
      </c>
      <c r="V30" s="18" t="n">
        <v>24220.35</v>
      </c>
      <c r="W30" s="18" t="n">
        <v>21790.97</v>
      </c>
      <c r="X30" s="18" t="n">
        <v>18794.22</v>
      </c>
      <c r="Y30" s="18" t="n">
        <v>13946.19</v>
      </c>
      <c r="Z30" s="34" t="n">
        <v>13946.19</v>
      </c>
      <c r="AA30" s="18" t="n">
        <v>12259.1</v>
      </c>
      <c r="AB30" s="19" t="n">
        <v>9995.5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단기금융부채</t>
        </is>
      </c>
      <c r="E31" s="18" t="n">
        <v>4773.53</v>
      </c>
      <c r="F31" s="34" t="n">
        <v>4773.53</v>
      </c>
      <c r="G31" s="18" t="n">
        <v>4234.11</v>
      </c>
      <c r="H31" s="18" t="n">
        <v>3147.86</v>
      </c>
      <c r="I31" s="18" t="n">
        <v>2477.75</v>
      </c>
      <c r="J31" s="18" t="n">
        <v>7641.23</v>
      </c>
      <c r="K31" s="34" t="n">
        <v>7641.23</v>
      </c>
      <c r="L31" s="18" t="n">
        <v>8853.82</v>
      </c>
      <c r="M31" s="18" t="n">
        <v>8613.49</v>
      </c>
      <c r="N31" s="18" t="n">
        <v>8690.879999999999</v>
      </c>
      <c r="O31" s="18" t="n">
        <v>9005.9</v>
      </c>
      <c r="P31" s="34" t="n">
        <v>9005.9</v>
      </c>
      <c r="Q31" s="18" t="n">
        <v>8912.059999999999</v>
      </c>
      <c r="R31" s="18" t="n">
        <v>9116.42</v>
      </c>
      <c r="S31" s="18" t="n">
        <v>8880.42</v>
      </c>
      <c r="T31" s="18" t="n">
        <v>8601.860000000001</v>
      </c>
      <c r="U31" s="34" t="n">
        <v>8601.860000000001</v>
      </c>
      <c r="V31" s="18" t="n">
        <v>12781.87</v>
      </c>
      <c r="W31" s="18" t="n">
        <v>13013.22</v>
      </c>
      <c r="X31" s="18" t="n">
        <v>12881.53</v>
      </c>
      <c r="Y31" s="18" t="n">
        <v>10330.51</v>
      </c>
      <c r="Z31" s="34" t="n">
        <v>10330.51</v>
      </c>
      <c r="AA31" s="18" t="n">
        <v>8106.05</v>
      </c>
      <c r="AB31" s="19" t="n">
        <v>6121.32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매입채무및기타채무</t>
        </is>
      </c>
      <c r="E32" s="18" t="n">
        <v>178306.07</v>
      </c>
      <c r="F32" s="34" t="n">
        <v>178306.07</v>
      </c>
      <c r="G32" s="18" t="n">
        <v>162665.02</v>
      </c>
      <c r="H32" s="18" t="n">
        <v>168161.42</v>
      </c>
      <c r="I32" s="18" t="n">
        <v>167123.34</v>
      </c>
      <c r="J32" s="18" t="n">
        <v>186935.61</v>
      </c>
      <c r="K32" s="34" t="n">
        <v>186935.61</v>
      </c>
      <c r="L32" s="18" t="n">
        <v>96691.03</v>
      </c>
      <c r="M32" s="18" t="n">
        <v>51219.14</v>
      </c>
      <c r="N32" s="18" t="n">
        <v>47192.2</v>
      </c>
      <c r="O32" s="18" t="n">
        <v>85026.14</v>
      </c>
      <c r="P32" s="34" t="n">
        <v>85026.14</v>
      </c>
      <c r="Q32" s="18" t="n">
        <v>49753.04</v>
      </c>
      <c r="R32" s="18" t="n">
        <v>55293.11</v>
      </c>
      <c r="S32" s="18" t="n">
        <v>63751.58</v>
      </c>
      <c r="T32" s="18" t="n">
        <v>113963.38</v>
      </c>
      <c r="U32" s="34" t="n">
        <v>113963.38</v>
      </c>
      <c r="V32" s="18" t="n">
        <v>439385.05</v>
      </c>
      <c r="W32" s="18" t="n">
        <v>127698.87</v>
      </c>
      <c r="X32" s="18" t="n">
        <v>128454.06</v>
      </c>
      <c r="Y32" s="18" t="n">
        <v>230562.83</v>
      </c>
      <c r="Z32" s="34" t="n">
        <v>230562.83</v>
      </c>
      <c r="AA32" s="18" t="n">
        <v>818457.1899999999</v>
      </c>
      <c r="AB32" s="19" t="n">
        <v>204950.33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계약부채</t>
        </is>
      </c>
      <c r="E33" s="18" t="n">
        <v>4827.19</v>
      </c>
      <c r="F33" s="34" t="n">
        <v>4827.19</v>
      </c>
      <c r="G33" s="18" t="n">
        <v>8220.73</v>
      </c>
      <c r="H33" s="18" t="n">
        <v>8347.620000000001</v>
      </c>
      <c r="I33" s="18" t="n">
        <v>17061.47</v>
      </c>
      <c r="J33" s="18" t="n">
        <v>26788.46</v>
      </c>
      <c r="K33" s="34" t="n">
        <v>26788.46</v>
      </c>
      <c r="L33" s="18" t="n">
        <v>49885.1</v>
      </c>
      <c r="M33" s="18" t="n">
        <v>66994.02</v>
      </c>
      <c r="N33" s="18" t="n">
        <v>96563.14999999999</v>
      </c>
      <c r="O33" s="18" t="n">
        <v>101407.84</v>
      </c>
      <c r="P33" s="34" t="n">
        <v>101407.84</v>
      </c>
      <c r="Q33" s="18" t="n">
        <v>114394.6</v>
      </c>
      <c r="R33" s="18" t="n">
        <v>107893.01</v>
      </c>
      <c r="S33" s="18" t="n">
        <v>151121.4</v>
      </c>
      <c r="T33" s="18" t="n">
        <v>207481.7</v>
      </c>
      <c r="U33" s="34" t="n">
        <v>207481.7</v>
      </c>
      <c r="V33" s="18" t="n">
        <v>245980.03</v>
      </c>
      <c r="W33" s="18" t="n">
        <v>319326.78</v>
      </c>
      <c r="X33" s="18" t="n">
        <v>343949.27</v>
      </c>
      <c r="Y33" s="18" t="n">
        <v>380304.5</v>
      </c>
      <c r="Z33" s="34" t="n">
        <v>380304.5</v>
      </c>
      <c r="AA33" s="18" t="n">
        <v>385027.65</v>
      </c>
      <c r="AB33" s="19" t="n">
        <v>638920.62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선수금</t>
        </is>
      </c>
      <c r="E34" s="18" t="n">
        <v>1528.17</v>
      </c>
      <c r="F34" s="34" t="n">
        <v>1528.17</v>
      </c>
      <c r="K34" s="9" t="n"/>
      <c r="O34" s="18" t="n">
        <v>0</v>
      </c>
      <c r="P34" s="34" t="n">
        <v>0</v>
      </c>
      <c r="U34" s="9" t="n"/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기타유동부채</t>
        </is>
      </c>
      <c r="E35" s="18" t="n">
        <v>1567.55</v>
      </c>
      <c r="F35" s="34" t="n">
        <v>1567.55</v>
      </c>
      <c r="G35" s="18" t="n">
        <v>39.38</v>
      </c>
      <c r="H35" s="18" t="n">
        <v>79.38</v>
      </c>
      <c r="I35" s="18" t="n">
        <v>79.38</v>
      </c>
      <c r="J35" s="18" t="n">
        <v>79.38</v>
      </c>
      <c r="K35" s="34" t="n">
        <v>79.38</v>
      </c>
      <c r="L35" s="18" t="n">
        <v>16.48</v>
      </c>
      <c r="M35" s="18" t="n">
        <v>56.48</v>
      </c>
      <c r="N35" s="18" t="n">
        <v>55.21</v>
      </c>
      <c r="O35" s="18" t="n">
        <v>32.04</v>
      </c>
      <c r="P35" s="34" t="n">
        <v>32.04</v>
      </c>
      <c r="Q35" s="18" t="n">
        <v>32.04</v>
      </c>
      <c r="R35" s="18" t="n">
        <v>32.04</v>
      </c>
      <c r="S35" s="18" t="n">
        <v>32.04</v>
      </c>
      <c r="T35" s="18" t="n">
        <v>32.04</v>
      </c>
      <c r="U35" s="34" t="n">
        <v>32.04</v>
      </c>
      <c r="V35" s="18" t="n">
        <v>32.04</v>
      </c>
      <c r="W35" s="18" t="n">
        <v>0</v>
      </c>
      <c r="X35" s="18" t="n">
        <v>0</v>
      </c>
      <c r="Y35" s="18" t="n">
        <v>0</v>
      </c>
      <c r="Z35" s="34" t="n">
        <v>0</v>
      </c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단기충당부채</t>
        </is>
      </c>
      <c r="E36" s="18" t="n">
        <v>31591.92</v>
      </c>
      <c r="F36" s="34" t="n">
        <v>31591.92</v>
      </c>
      <c r="G36" s="18" t="n">
        <v>31858.92</v>
      </c>
      <c r="H36" s="18" t="n">
        <v>32112.92</v>
      </c>
      <c r="I36" s="18" t="n">
        <v>32377.92</v>
      </c>
      <c r="J36" s="18" t="n">
        <v>32638.92</v>
      </c>
      <c r="K36" s="34" t="n">
        <v>32638.92</v>
      </c>
      <c r="L36" s="18" t="n">
        <v>4581.57</v>
      </c>
      <c r="M36" s="18" t="n">
        <v>791.89</v>
      </c>
      <c r="N36" s="18" t="n">
        <v>605.66</v>
      </c>
      <c r="O36" s="18" t="n">
        <v>647.8</v>
      </c>
      <c r="P36" s="34" t="n">
        <v>647.8</v>
      </c>
      <c r="Q36" s="18" t="n">
        <v>762.8</v>
      </c>
      <c r="R36" s="18" t="n">
        <v>1134.68</v>
      </c>
      <c r="S36" s="18" t="n">
        <v>1352.55</v>
      </c>
      <c r="T36" s="18" t="n">
        <v>1626.99</v>
      </c>
      <c r="U36" s="34" t="n">
        <v>1626.99</v>
      </c>
      <c r="V36" s="18" t="n">
        <v>1775.15</v>
      </c>
      <c r="W36" s="18" t="n">
        <v>1913.68</v>
      </c>
      <c r="X36" s="18" t="n">
        <v>2360.95</v>
      </c>
      <c r="Y36" s="18" t="n">
        <v>2831.3</v>
      </c>
      <c r="Z36" s="34" t="n">
        <v>2831.3</v>
      </c>
      <c r="AA36" s="18" t="n">
        <v>3345.01</v>
      </c>
      <c r="AB36" s="19" t="n">
        <v>4548.16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비유동부채</t>
        </is>
      </c>
      <c r="E37" s="18" t="n">
        <v>110885.36</v>
      </c>
      <c r="F37" s="34" t="n">
        <v>110885.36</v>
      </c>
      <c r="G37" s="18" t="n">
        <v>116241.82</v>
      </c>
      <c r="H37" s="18" t="n">
        <v>114312.1</v>
      </c>
      <c r="I37" s="18" t="n">
        <v>92741.2</v>
      </c>
      <c r="J37" s="18" t="n">
        <v>46736.42</v>
      </c>
      <c r="K37" s="34" t="n">
        <v>46736.42</v>
      </c>
      <c r="L37" s="18" t="n">
        <v>49537.79</v>
      </c>
      <c r="M37" s="18" t="n">
        <v>51464.86</v>
      </c>
      <c r="N37" s="18" t="n">
        <v>48921.73</v>
      </c>
      <c r="O37" s="18" t="n">
        <v>48531.88</v>
      </c>
      <c r="P37" s="34" t="n">
        <v>48531.88</v>
      </c>
      <c r="Q37" s="18" t="n">
        <v>47544.3</v>
      </c>
      <c r="R37" s="18" t="n">
        <v>45574.45</v>
      </c>
      <c r="S37" s="18" t="n">
        <v>43907.99</v>
      </c>
      <c r="T37" s="18" t="n">
        <v>45017.39</v>
      </c>
      <c r="U37" s="34" t="n">
        <v>45017.39</v>
      </c>
      <c r="V37" s="18" t="n">
        <v>47011.69</v>
      </c>
      <c r="W37" s="18" t="n">
        <v>47028.71</v>
      </c>
      <c r="X37" s="18" t="n">
        <v>49024.36</v>
      </c>
      <c r="Y37" s="18" t="n">
        <v>44084.22</v>
      </c>
      <c r="Z37" s="34" t="n">
        <v>44084.22</v>
      </c>
      <c r="AA37" s="18" t="n">
        <v>62450.17</v>
      </c>
      <c r="AB37" s="19" t="n">
        <v>212795.6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장기차입금</t>
        </is>
      </c>
      <c r="E38" s="18" t="n">
        <v>44141.67</v>
      </c>
      <c r="F38" s="34" t="n">
        <v>44141.67</v>
      </c>
      <c r="G38" s="18" t="n">
        <v>35924.5</v>
      </c>
      <c r="H38" s="18" t="n">
        <v>25931.23</v>
      </c>
      <c r="I38" s="18" t="n">
        <v>21287.71</v>
      </c>
      <c r="J38" s="18" t="n">
        <v>11977.28</v>
      </c>
      <c r="K38" s="34" t="n">
        <v>11977.28</v>
      </c>
      <c r="L38" s="18" t="n">
        <v>14482.59</v>
      </c>
      <c r="M38" s="18" t="n">
        <v>17851.91</v>
      </c>
      <c r="N38" s="18" t="n">
        <v>13932.86</v>
      </c>
      <c r="O38" s="18" t="n">
        <v>12901.87</v>
      </c>
      <c r="P38" s="34" t="n">
        <v>12901.87</v>
      </c>
      <c r="Q38" s="18" t="n">
        <v>12893.13</v>
      </c>
      <c r="R38" s="18" t="n">
        <v>11163.46</v>
      </c>
      <c r="S38" s="18" t="n">
        <v>10604.16</v>
      </c>
      <c r="T38" s="18" t="n">
        <v>11812.76</v>
      </c>
      <c r="U38" s="34" t="n">
        <v>11812.76</v>
      </c>
      <c r="V38" s="18" t="n">
        <v>11784.63</v>
      </c>
      <c r="W38" s="18" t="n">
        <v>10899.88</v>
      </c>
      <c r="X38" s="18" t="n">
        <v>11267.92</v>
      </c>
      <c r="Y38" s="18" t="n">
        <v>11530.7</v>
      </c>
      <c r="Z38" s="34" t="n">
        <v>11530.7</v>
      </c>
      <c r="AA38" s="18" t="n">
        <v>12161.51</v>
      </c>
      <c r="AB38" s="19" t="n">
        <v>12387.32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장기금융부채(face)</t>
        </is>
      </c>
      <c r="E39" s="18" t="n">
        <v>44141.67</v>
      </c>
      <c r="F39" s="34" t="n">
        <v>44141.67</v>
      </c>
      <c r="G39" s="18" t="n">
        <v>35924.5</v>
      </c>
      <c r="H39" s="18" t="n">
        <v>25931.23</v>
      </c>
      <c r="I39" s="18" t="n">
        <v>21287.71</v>
      </c>
      <c r="J39" s="18" t="n">
        <v>11977.28</v>
      </c>
      <c r="K39" s="34" t="n">
        <v>11977.28</v>
      </c>
      <c r="L39" s="18" t="n">
        <v>14482.59</v>
      </c>
      <c r="M39" s="18" t="n">
        <v>17851.91</v>
      </c>
      <c r="N39" s="18" t="n">
        <v>13932.86</v>
      </c>
      <c r="O39" s="18" t="n">
        <v>12901.87</v>
      </c>
      <c r="P39" s="34" t="n">
        <v>12901.87</v>
      </c>
      <c r="Q39" s="18" t="n">
        <v>12893.13</v>
      </c>
      <c r="R39" s="18" t="n">
        <v>11163.46</v>
      </c>
      <c r="S39" s="18" t="n">
        <v>10604.16</v>
      </c>
      <c r="T39" s="18" t="n">
        <v>11812.76</v>
      </c>
      <c r="U39" s="34" t="n">
        <v>11812.76</v>
      </c>
      <c r="V39" s="18" t="n">
        <v>11784.63</v>
      </c>
      <c r="W39" s="18" t="n">
        <v>10899.88</v>
      </c>
      <c r="X39" s="18" t="n">
        <v>11267.92</v>
      </c>
      <c r="Y39" s="18" t="n">
        <v>11530.7</v>
      </c>
      <c r="Z39" s="34" t="n">
        <v>11530.7</v>
      </c>
      <c r="AA39" s="18" t="n">
        <v>12161.51</v>
      </c>
      <c r="AB39" s="19" t="n">
        <v>12387.32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비유동리스부채</t>
        </is>
      </c>
      <c r="E40" s="18" t="n">
        <v>2966.14</v>
      </c>
      <c r="F40" s="34" t="n">
        <v>2966.14</v>
      </c>
      <c r="G40" s="18" t="n">
        <v>2285.16</v>
      </c>
      <c r="H40" s="18" t="n">
        <v>1458.08</v>
      </c>
      <c r="I40" s="18" t="n">
        <v>1172.05</v>
      </c>
      <c r="J40" s="18" t="n">
        <v>16056.28</v>
      </c>
      <c r="K40" s="34" t="n">
        <v>16056.28</v>
      </c>
      <c r="L40" s="18" t="n">
        <v>16430.36</v>
      </c>
      <c r="M40" s="18" t="n">
        <v>14939.86</v>
      </c>
      <c r="N40" s="18" t="n">
        <v>14096.77</v>
      </c>
      <c r="O40" s="18" t="n">
        <v>15868.92</v>
      </c>
      <c r="P40" s="34" t="n">
        <v>15868.92</v>
      </c>
      <c r="Q40" s="18" t="n">
        <v>14671.92</v>
      </c>
      <c r="R40" s="18" t="n">
        <v>13708.22</v>
      </c>
      <c r="S40" s="18" t="n">
        <v>12094.27</v>
      </c>
      <c r="T40" s="18" t="n">
        <v>10327.95</v>
      </c>
      <c r="U40" s="34" t="n">
        <v>10327.95</v>
      </c>
      <c r="V40" s="18" t="n">
        <v>11438.48</v>
      </c>
      <c r="W40" s="18" t="n">
        <v>8777.75</v>
      </c>
      <c r="X40" s="18" t="n">
        <v>5912.69</v>
      </c>
      <c r="Y40" s="18" t="n">
        <v>3615.68</v>
      </c>
      <c r="Z40" s="34" t="n">
        <v>3615.68</v>
      </c>
      <c r="AA40" s="18" t="n">
        <v>4153.05</v>
      </c>
      <c r="AB40" s="19" t="n">
        <v>3874.18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장기금융부채</t>
        </is>
      </c>
      <c r="E41" s="18" t="n">
        <v>2966.14</v>
      </c>
      <c r="F41" s="34" t="n">
        <v>2966.14</v>
      </c>
      <c r="G41" s="18" t="n">
        <v>2285.16</v>
      </c>
      <c r="H41" s="18" t="n">
        <v>1458.08</v>
      </c>
      <c r="I41" s="18" t="n">
        <v>1172.05</v>
      </c>
      <c r="J41" s="18" t="n">
        <v>16056.28</v>
      </c>
      <c r="K41" s="34" t="n">
        <v>16056.28</v>
      </c>
      <c r="L41" s="18" t="n">
        <v>16430.36</v>
      </c>
      <c r="M41" s="18" t="n">
        <v>14939.86</v>
      </c>
      <c r="N41" s="18" t="n">
        <v>14096.77</v>
      </c>
      <c r="O41" s="18" t="n">
        <v>15868.92</v>
      </c>
      <c r="P41" s="34" t="n">
        <v>15868.92</v>
      </c>
      <c r="Q41" s="18" t="n">
        <v>14671.92</v>
      </c>
      <c r="R41" s="18" t="n">
        <v>13708.22</v>
      </c>
      <c r="S41" s="18" t="n">
        <v>12094.27</v>
      </c>
      <c r="T41" s="18" t="n">
        <v>10327.95</v>
      </c>
      <c r="U41" s="34" t="n">
        <v>10327.95</v>
      </c>
      <c r="V41" s="18" t="n">
        <v>11438.48</v>
      </c>
      <c r="W41" s="18" t="n">
        <v>8777.75</v>
      </c>
      <c r="X41" s="18" t="n">
        <v>5912.69</v>
      </c>
      <c r="Y41" s="18" t="n">
        <v>3615.68</v>
      </c>
      <c r="Z41" s="34" t="n">
        <v>3615.68</v>
      </c>
      <c r="AA41" s="18" t="n">
        <v>5381.26</v>
      </c>
      <c r="AB41" s="19" t="n">
        <v>11845.98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장기매입채무및기타채무</t>
        </is>
      </c>
      <c r="E42" s="18" t="n">
        <v>6291.46</v>
      </c>
      <c r="F42" s="34" t="n">
        <v>6291.46</v>
      </c>
      <c r="G42" s="18" t="n">
        <v>6294.08</v>
      </c>
      <c r="H42" s="18" t="n">
        <v>6070.86</v>
      </c>
      <c r="I42" s="18" t="n">
        <v>6110.93</v>
      </c>
      <c r="J42" s="18" t="n">
        <v>6387.3</v>
      </c>
      <c r="K42" s="34" t="n">
        <v>6387.3</v>
      </c>
      <c r="L42" s="18" t="n">
        <v>6397.71</v>
      </c>
      <c r="M42" s="18" t="n">
        <v>6459.48</v>
      </c>
      <c r="N42" s="18" t="n">
        <v>6525.61</v>
      </c>
      <c r="O42" s="18" t="n">
        <v>8129.35</v>
      </c>
      <c r="P42" s="34" t="n">
        <v>8129.35</v>
      </c>
      <c r="Q42" s="18" t="n">
        <v>8151.49</v>
      </c>
      <c r="R42" s="18" t="n">
        <v>8732.049999999999</v>
      </c>
      <c r="S42" s="18" t="n">
        <v>9145.5</v>
      </c>
      <c r="T42" s="18" t="n">
        <v>10591.83</v>
      </c>
      <c r="U42" s="34" t="n">
        <v>10591.83</v>
      </c>
      <c r="V42" s="18" t="n">
        <v>11104.17</v>
      </c>
      <c r="W42" s="18" t="n">
        <v>12105.3</v>
      </c>
      <c r="X42" s="18" t="n">
        <v>12636.22</v>
      </c>
      <c r="Y42" s="18" t="n">
        <v>13748.83</v>
      </c>
      <c r="Z42" s="34" t="n">
        <v>13748.83</v>
      </c>
      <c r="AA42" s="18" t="n">
        <v>14374.74</v>
      </c>
      <c r="AB42" s="19" t="n">
        <v>15226.2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확정급여부채</t>
        </is>
      </c>
      <c r="E43" s="18" t="n">
        <v>729.7</v>
      </c>
      <c r="F43" s="34" t="n">
        <v>729.7</v>
      </c>
      <c r="G43" s="18" t="n">
        <v>729.7</v>
      </c>
      <c r="H43" s="18" t="n">
        <v>729.7</v>
      </c>
      <c r="I43" s="18" t="n">
        <v>4971.04</v>
      </c>
      <c r="J43" s="18" t="n">
        <v>1060.42</v>
      </c>
      <c r="K43" s="34" t="n">
        <v>1060.42</v>
      </c>
      <c r="L43" s="18" t="n">
        <v>1060.42</v>
      </c>
      <c r="M43" s="18" t="n">
        <v>1060.42</v>
      </c>
      <c r="N43" s="18" t="n">
        <v>2923.97</v>
      </c>
      <c r="O43" s="18" t="n">
        <v>84.40000000000001</v>
      </c>
      <c r="P43" s="34" t="n">
        <v>84.40000000000001</v>
      </c>
      <c r="Q43" s="18" t="n">
        <v>84.40000000000001</v>
      </c>
      <c r="R43" s="18" t="n">
        <v>84.40000000000001</v>
      </c>
      <c r="S43" s="18" t="n">
        <v>84.40000000000001</v>
      </c>
      <c r="T43" s="18" t="n">
        <v>119.76</v>
      </c>
      <c r="U43" s="34" t="n">
        <v>119.76</v>
      </c>
      <c r="V43" s="18" t="n">
        <v>119.76</v>
      </c>
      <c r="W43" s="18" t="n">
        <v>2483.22</v>
      </c>
      <c r="X43" s="18" t="n">
        <v>6373.53</v>
      </c>
      <c r="Y43" s="18" t="n">
        <v>201.55</v>
      </c>
      <c r="Z43" s="34" t="n">
        <v>201.55</v>
      </c>
      <c r="AA43" s="18" t="n">
        <v>201.55</v>
      </c>
      <c r="AB43" s="19" t="n">
        <v>202.22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부채총계</t>
        </is>
      </c>
      <c r="E44" s="18" t="n">
        <v>332122.43</v>
      </c>
      <c r="F44" s="34" t="n">
        <v>332122.43</v>
      </c>
      <c r="G44" s="18" t="n">
        <v>324644.46</v>
      </c>
      <c r="H44" s="18" t="n">
        <v>330107.07</v>
      </c>
      <c r="I44" s="18" t="n">
        <v>312196.78</v>
      </c>
      <c r="J44" s="18" t="n">
        <v>305680.98</v>
      </c>
      <c r="K44" s="34" t="n">
        <v>305680.98</v>
      </c>
      <c r="L44" s="18" t="n">
        <v>209565.78</v>
      </c>
      <c r="M44" s="18" t="n">
        <v>179139.89</v>
      </c>
      <c r="N44" s="18" t="n">
        <v>202028.83</v>
      </c>
      <c r="O44" s="18" t="n">
        <v>244651.62</v>
      </c>
      <c r="P44" s="34" t="n">
        <v>244651.62</v>
      </c>
      <c r="Q44" s="18" t="n">
        <v>221398.85</v>
      </c>
      <c r="R44" s="18" t="n">
        <v>223161.31</v>
      </c>
      <c r="S44" s="18" t="n">
        <v>269045.99</v>
      </c>
      <c r="T44" s="18" t="n">
        <v>376723.35</v>
      </c>
      <c r="U44" s="34" t="n">
        <v>376723.35</v>
      </c>
      <c r="V44" s="18" t="n">
        <v>1359538.5</v>
      </c>
      <c r="W44" s="18" t="n">
        <v>1062904.88</v>
      </c>
      <c r="X44" s="18" t="n">
        <v>1039842.68</v>
      </c>
      <c r="Y44" s="18" t="n">
        <v>1160137.93</v>
      </c>
      <c r="Z44" s="34" t="n">
        <v>1160137.93</v>
      </c>
      <c r="AA44" s="18" t="n">
        <v>1739648.51</v>
      </c>
      <c r="AB44" s="19" t="n">
        <v>3644154.4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자본금</t>
        </is>
      </c>
      <c r="E45" s="18" t="n">
        <v>353865.58</v>
      </c>
      <c r="F45" s="34" t="n">
        <v>353865.58</v>
      </c>
      <c r="G45" s="18" t="n">
        <v>353865.58</v>
      </c>
      <c r="H45" s="18" t="n">
        <v>353865.58</v>
      </c>
      <c r="I45" s="18" t="n">
        <v>353865.58</v>
      </c>
      <c r="J45" s="18" t="n">
        <v>353865.58</v>
      </c>
      <c r="K45" s="34" t="n">
        <v>353865.58</v>
      </c>
      <c r="L45" s="18" t="n">
        <v>353865.58</v>
      </c>
      <c r="M45" s="18" t="n">
        <v>353865.58</v>
      </c>
      <c r="N45" s="18" t="n">
        <v>353865.58</v>
      </c>
      <c r="O45" s="18" t="n">
        <v>353865.58</v>
      </c>
      <c r="P45" s="34" t="n">
        <v>353865.58</v>
      </c>
      <c r="Q45" s="18" t="n">
        <v>353865.58</v>
      </c>
      <c r="R45" s="18" t="n">
        <v>353865.58</v>
      </c>
      <c r="S45" s="18" t="n">
        <v>353865.58</v>
      </c>
      <c r="T45" s="18" t="n">
        <v>353865.58</v>
      </c>
      <c r="U45" s="34" t="n">
        <v>353865.58</v>
      </c>
      <c r="V45" s="18" t="n">
        <v>353865.58</v>
      </c>
      <c r="W45" s="18" t="n">
        <v>353865.58</v>
      </c>
      <c r="X45" s="18" t="n">
        <v>353865.58</v>
      </c>
      <c r="Y45" s="18" t="n">
        <v>353865.58</v>
      </c>
      <c r="Z45" s="34" t="n">
        <v>353865.58</v>
      </c>
      <c r="AA45" s="18" t="n">
        <v>353865.58</v>
      </c>
      <c r="AB45" s="19" t="n">
        <v>353865.58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자본잉여금</t>
        </is>
      </c>
      <c r="E46" s="18" t="n">
        <v>2352914.99</v>
      </c>
      <c r="F46" s="34" t="n">
        <v>2352914.99</v>
      </c>
      <c r="G46" s="18" t="n">
        <v>2352914.99</v>
      </c>
      <c r="H46" s="18" t="n">
        <v>2352914.99</v>
      </c>
      <c r="I46" s="18" t="n">
        <v>2352914.99</v>
      </c>
      <c r="J46" s="18" t="n">
        <v>2352914.99</v>
      </c>
      <c r="K46" s="34" t="n">
        <v>2352914.99</v>
      </c>
      <c r="L46" s="18" t="n">
        <v>2352914.99</v>
      </c>
      <c r="M46" s="18" t="n">
        <v>2352914.99</v>
      </c>
      <c r="N46" s="18" t="n">
        <v>2352914.99</v>
      </c>
      <c r="O46" s="18" t="n">
        <v>2353534.27</v>
      </c>
      <c r="P46" s="34" t="n">
        <v>2353534.27</v>
      </c>
      <c r="Q46" s="18" t="n">
        <v>2353534.27</v>
      </c>
      <c r="R46" s="18" t="n">
        <v>2353534.27</v>
      </c>
      <c r="S46" s="18" t="n">
        <v>2353534.27</v>
      </c>
      <c r="T46" s="18" t="n">
        <v>2353534.27</v>
      </c>
      <c r="U46" s="34" t="n">
        <v>2353534.27</v>
      </c>
      <c r="V46" s="18" t="n">
        <v>2353534.27</v>
      </c>
      <c r="W46" s="18" t="n">
        <v>2353534.27</v>
      </c>
      <c r="X46" s="18" t="n">
        <v>2353534.27</v>
      </c>
      <c r="Y46" s="18" t="n">
        <v>2353534.27</v>
      </c>
      <c r="Z46" s="34" t="n">
        <v>2353534.27</v>
      </c>
      <c r="AA46" s="18" t="n">
        <v>2353534.27</v>
      </c>
      <c r="AB46" s="19" t="n">
        <v>2353534.27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기타자본</t>
        </is>
      </c>
      <c r="E47" s="18" t="n">
        <v>-8153905.2</v>
      </c>
      <c r="F47" s="34" t="n">
        <v>-8153905.2</v>
      </c>
      <c r="G47" s="18" t="n">
        <v>-8153905.2</v>
      </c>
      <c r="H47" s="18" t="n">
        <v>-8153905.2</v>
      </c>
      <c r="I47" s="18" t="n">
        <v>-8153905.2</v>
      </c>
      <c r="J47" s="18" t="n">
        <v>-8153905.2</v>
      </c>
      <c r="K47" s="34" t="n">
        <v>-8153905.2</v>
      </c>
      <c r="L47" s="18" t="n">
        <v>-8059153.63</v>
      </c>
      <c r="M47" s="18" t="n">
        <v>-8060193.57</v>
      </c>
      <c r="N47" s="18" t="n">
        <v>-8060450.51</v>
      </c>
      <c r="O47" s="18" t="n">
        <v>-8060450.51</v>
      </c>
      <c r="P47" s="34" t="n">
        <v>-8060450.51</v>
      </c>
      <c r="Q47" s="18" t="n">
        <v>-8060450.51</v>
      </c>
      <c r="R47" s="18" t="n">
        <v>-8060450.51</v>
      </c>
      <c r="S47" s="18" t="n">
        <v>-8060450.51</v>
      </c>
      <c r="T47" s="18" t="n">
        <v>-8060450.51</v>
      </c>
      <c r="U47" s="34" t="n">
        <v>-8060450.51</v>
      </c>
      <c r="V47" s="18" t="n">
        <v>-8060450.51</v>
      </c>
      <c r="W47" s="18" t="n">
        <v>-8060450.51</v>
      </c>
      <c r="X47" s="18" t="n">
        <v>-8060450.51</v>
      </c>
      <c r="Y47" s="18" t="n">
        <v>-8060450.51</v>
      </c>
      <c r="Z47" s="34" t="n">
        <v>-8060450.51</v>
      </c>
      <c r="AA47" s="18" t="n">
        <v>-8060450.51</v>
      </c>
      <c r="AB47" s="19" t="n">
        <v>-8060450.51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기타포괄이익누계액</t>
        </is>
      </c>
      <c r="E48" s="18" t="n">
        <v>-128470.9</v>
      </c>
      <c r="F48" s="34" t="n">
        <v>-128470.9</v>
      </c>
      <c r="G48" s="18" t="n">
        <v>-125158.38</v>
      </c>
      <c r="H48" s="18" t="n">
        <v>-140927.86</v>
      </c>
      <c r="I48" s="18" t="n">
        <v>-159795.07</v>
      </c>
      <c r="J48" s="18" t="n">
        <v>-161551.75</v>
      </c>
      <c r="K48" s="34" t="n">
        <v>-161551.75</v>
      </c>
      <c r="L48" s="18" t="n">
        <v>-154009.15</v>
      </c>
      <c r="M48" s="18" t="n">
        <v>-125494.97</v>
      </c>
      <c r="N48" s="18" t="n">
        <v>-137251.55</v>
      </c>
      <c r="O48" s="18" t="n">
        <v>-128341.63</v>
      </c>
      <c r="P48" s="34" t="n">
        <v>-128341.63</v>
      </c>
      <c r="Q48" s="18" t="n">
        <v>95127.94</v>
      </c>
      <c r="R48" s="18" t="n">
        <v>89971.14</v>
      </c>
      <c r="S48" s="18" t="n">
        <v>89943.85000000001</v>
      </c>
      <c r="T48" s="18" t="n">
        <v>89243.60000000001</v>
      </c>
      <c r="U48" s="34" t="n">
        <v>89243.60000000001</v>
      </c>
      <c r="V48" s="18" t="n">
        <v>88769.42</v>
      </c>
      <c r="W48" s="18" t="n">
        <v>124413.6</v>
      </c>
      <c r="X48" s="18" t="n">
        <v>131638.78</v>
      </c>
      <c r="Y48" s="18" t="n">
        <v>127615.13</v>
      </c>
      <c r="Z48" s="34" t="n">
        <v>127615.13</v>
      </c>
      <c r="AA48" s="18" t="n">
        <v>127839.41</v>
      </c>
      <c r="AB48" s="19" t="n">
        <v>124857.18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이익잉여금</t>
        </is>
      </c>
      <c r="E49" s="18" t="n">
        <v>16352611.45</v>
      </c>
      <c r="F49" s="34" t="n">
        <v>16352611.45</v>
      </c>
      <c r="G49" s="18" t="n">
        <v>16411006.52</v>
      </c>
      <c r="H49" s="18" t="n">
        <v>16468200.97</v>
      </c>
      <c r="I49" s="18" t="n">
        <v>16493243.96</v>
      </c>
      <c r="J49" s="18" t="n">
        <v>16733165.1</v>
      </c>
      <c r="K49" s="34" t="n">
        <v>16733165.1</v>
      </c>
      <c r="L49" s="18" t="n">
        <v>16768503.43</v>
      </c>
      <c r="M49" s="18" t="n">
        <v>16756092.5</v>
      </c>
      <c r="N49" s="18" t="n">
        <v>17020900.57</v>
      </c>
      <c r="O49" s="18" t="n">
        <v>17010990.64</v>
      </c>
      <c r="P49" s="34" t="n">
        <v>17010990.64</v>
      </c>
      <c r="Q49" s="18" t="n">
        <v>16797168.01</v>
      </c>
      <c r="R49" s="18" t="n">
        <v>16910804.74</v>
      </c>
      <c r="S49" s="18" t="n">
        <v>16917524.96</v>
      </c>
      <c r="T49" s="18" t="n">
        <v>16944341.12</v>
      </c>
      <c r="U49" s="34" t="n">
        <v>16944341.12</v>
      </c>
      <c r="V49" s="18" t="n">
        <v>17008527.03</v>
      </c>
      <c r="W49" s="18" t="n">
        <v>16994898.59</v>
      </c>
      <c r="X49" s="18" t="n">
        <v>17073406.89</v>
      </c>
      <c r="Y49" s="18" t="n">
        <v>16966423.29</v>
      </c>
      <c r="Z49" s="34" t="n">
        <v>16966423.29</v>
      </c>
      <c r="AA49" s="18" t="n">
        <v>16892167.15</v>
      </c>
      <c r="AB49" s="19" t="n">
        <v>17102324.63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자본총계</t>
        </is>
      </c>
      <c r="E50" s="18" t="n">
        <v>10777015.93</v>
      </c>
      <c r="F50" s="34" t="n">
        <v>10777015.93</v>
      </c>
      <c r="G50" s="18" t="n">
        <v>10838723.52</v>
      </c>
      <c r="H50" s="18" t="n">
        <v>10880148.49</v>
      </c>
      <c r="I50" s="18" t="n">
        <v>10886324.26</v>
      </c>
      <c r="J50" s="18" t="n">
        <v>11124488.72</v>
      </c>
      <c r="K50" s="34" t="n">
        <v>11124488.72</v>
      </c>
      <c r="L50" s="18" t="n">
        <v>11262121.21</v>
      </c>
      <c r="M50" s="18" t="n">
        <v>11277184.52</v>
      </c>
      <c r="N50" s="18" t="n">
        <v>11529979.07</v>
      </c>
      <c r="O50" s="18" t="n">
        <v>11529598.34</v>
      </c>
      <c r="P50" s="34" t="n">
        <v>11529598.34</v>
      </c>
      <c r="Q50" s="18" t="n">
        <v>11539245.29</v>
      </c>
      <c r="R50" s="18" t="n">
        <v>11647725.21</v>
      </c>
      <c r="S50" s="18" t="n">
        <v>11654418.15</v>
      </c>
      <c r="T50" s="18" t="n">
        <v>11680534.06</v>
      </c>
      <c r="U50" s="34" t="n">
        <v>11680534.06</v>
      </c>
      <c r="V50" s="18" t="n">
        <v>11744245.79</v>
      </c>
      <c r="W50" s="18" t="n">
        <v>11766261.52</v>
      </c>
      <c r="X50" s="18" t="n">
        <v>11851995.01</v>
      </c>
      <c r="Y50" s="18" t="n">
        <v>11740987.76</v>
      </c>
      <c r="Z50" s="34" t="n">
        <v>11740987.76</v>
      </c>
      <c r="AA50" s="18" t="n">
        <v>11666955.9</v>
      </c>
      <c r="AB50" s="19" t="n">
        <v>11874131.14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부채와자본총계</t>
        </is>
      </c>
      <c r="E51" s="18" t="n">
        <v>11109138.36</v>
      </c>
      <c r="F51" s="34" t="n">
        <v>11109138.36</v>
      </c>
      <c r="G51" s="18" t="n">
        <v>11163367.97</v>
      </c>
      <c r="H51" s="18" t="n">
        <v>11210255.56</v>
      </c>
      <c r="I51" s="18" t="n">
        <v>11198521.04</v>
      </c>
      <c r="J51" s="18" t="n">
        <v>11430169.71</v>
      </c>
      <c r="K51" s="34" t="n">
        <v>11430169.71</v>
      </c>
      <c r="L51" s="18" t="n">
        <v>11471686.99</v>
      </c>
      <c r="M51" s="18" t="n">
        <v>11456324.41</v>
      </c>
      <c r="N51" s="18" t="n">
        <v>11732007.9</v>
      </c>
      <c r="O51" s="18" t="n">
        <v>11774249.96</v>
      </c>
      <c r="P51" s="34" t="n">
        <v>11774249.96</v>
      </c>
      <c r="Q51" s="18" t="n">
        <v>11760644.13</v>
      </c>
      <c r="R51" s="18" t="n">
        <v>11870886.52</v>
      </c>
      <c r="S51" s="18" t="n">
        <v>11923464.15</v>
      </c>
      <c r="T51" s="18" t="n">
        <v>12057257.41</v>
      </c>
      <c r="U51" s="34" t="n">
        <v>12057257.41</v>
      </c>
      <c r="V51" s="18" t="n">
        <v>13103784.29</v>
      </c>
      <c r="W51" s="18" t="n">
        <v>12829166.4</v>
      </c>
      <c r="X51" s="18" t="n">
        <v>12891837.69</v>
      </c>
      <c r="Y51" s="18" t="n">
        <v>12901125.69</v>
      </c>
      <c r="Z51" s="34" t="n">
        <v>12901125.69</v>
      </c>
      <c r="AA51" s="18" t="n">
        <v>13406604.41</v>
      </c>
      <c r="AB51" s="19" t="n">
        <v>15518285.54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지배주주지분</t>
        </is>
      </c>
      <c r="E52" s="18" t="n">
        <v>10777015.93</v>
      </c>
      <c r="F52" s="34" t="n">
        <v>10777015.93</v>
      </c>
      <c r="G52" s="18" t="n">
        <v>10838723.52</v>
      </c>
      <c r="H52" s="18" t="n">
        <v>10880148.49</v>
      </c>
      <c r="I52" s="18" t="n">
        <v>10886324.26</v>
      </c>
      <c r="J52" s="18" t="n">
        <v>11124488.72</v>
      </c>
      <c r="K52" s="34" t="n">
        <v>11124488.72</v>
      </c>
      <c r="L52" s="18" t="n">
        <v>11262121.21</v>
      </c>
      <c r="M52" s="18" t="n">
        <v>11277184.52</v>
      </c>
      <c r="N52" s="18" t="n">
        <v>11529979.07</v>
      </c>
      <c r="O52" s="18" t="n">
        <v>11529598.34</v>
      </c>
      <c r="P52" s="34" t="n">
        <v>11529598.34</v>
      </c>
      <c r="Q52" s="18" t="n">
        <v>11539245.29</v>
      </c>
      <c r="R52" s="18" t="n">
        <v>11647725.21</v>
      </c>
      <c r="S52" s="18" t="n">
        <v>11654418.15</v>
      </c>
      <c r="T52" s="18" t="n">
        <v>11680534.06</v>
      </c>
      <c r="U52" s="34" t="n">
        <v>11680534.06</v>
      </c>
      <c r="V52" s="18" t="n">
        <v>11744245.79</v>
      </c>
      <c r="W52" s="18" t="n">
        <v>11766261.52</v>
      </c>
      <c r="X52" s="18" t="n">
        <v>11851995.01</v>
      </c>
      <c r="Y52" s="18" t="n">
        <v>11740987.76</v>
      </c>
      <c r="Z52" s="34" t="n">
        <v>11740987.76</v>
      </c>
      <c r="AA52" s="18" t="n">
        <v>11666955.9</v>
      </c>
      <c r="AB52" s="19" t="n">
        <v>11874131.14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총차입금</t>
        </is>
      </c>
      <c r="E53" s="18" t="n">
        <v>44312.48</v>
      </c>
      <c r="F53" s="34" t="n">
        <v>44312.48</v>
      </c>
      <c r="G53" s="18" t="n">
        <v>36098.95</v>
      </c>
      <c r="H53" s="18" t="n">
        <v>26117.51</v>
      </c>
      <c r="I53" s="18" t="n">
        <v>21494.44</v>
      </c>
      <c r="J53" s="18" t="n">
        <v>16838.25</v>
      </c>
      <c r="K53" s="34" t="n">
        <v>16838.25</v>
      </c>
      <c r="L53" s="18" t="n">
        <v>14482.59</v>
      </c>
      <c r="M53" s="18" t="n">
        <v>17851.91</v>
      </c>
      <c r="N53" s="18" t="n">
        <v>13932.86</v>
      </c>
      <c r="O53" s="18" t="n">
        <v>12901.87</v>
      </c>
      <c r="P53" s="34" t="n">
        <v>12901.87</v>
      </c>
      <c r="Q53" s="18" t="n">
        <v>12893.13</v>
      </c>
      <c r="R53" s="18" t="n">
        <v>12235.66</v>
      </c>
      <c r="S53" s="18" t="n">
        <v>10604.16</v>
      </c>
      <c r="T53" s="18" t="n">
        <v>11812.76</v>
      </c>
      <c r="U53" s="34" t="n">
        <v>11812.76</v>
      </c>
      <c r="V53" s="18" t="n">
        <v>609408.29</v>
      </c>
      <c r="W53" s="18" t="n">
        <v>533879.17</v>
      </c>
      <c r="X53" s="18" t="n">
        <v>506607.28</v>
      </c>
      <c r="Y53" s="18" t="n">
        <v>485096.36</v>
      </c>
      <c r="Z53" s="34" t="n">
        <v>485096.36</v>
      </c>
      <c r="AA53" s="18" t="n">
        <v>439599.37</v>
      </c>
      <c r="AB53" s="19" t="n">
        <v>2562029.69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순차입금</t>
        </is>
      </c>
      <c r="E54" s="18" t="n">
        <v>-1756060.32</v>
      </c>
      <c r="F54" s="34" t="n">
        <v>-1756060.32</v>
      </c>
      <c r="G54" s="18" t="n">
        <v>-1780880.72</v>
      </c>
      <c r="H54" s="18" t="n">
        <v>-1990350.59</v>
      </c>
      <c r="I54" s="18" t="n">
        <v>-2013296.86</v>
      </c>
      <c r="J54" s="18" t="n">
        <v>-2032431.44</v>
      </c>
      <c r="K54" s="34" t="n">
        <v>-2032431.44</v>
      </c>
      <c r="L54" s="18" t="n">
        <v>-1617281.44</v>
      </c>
      <c r="M54" s="18" t="n">
        <v>-1541479.04</v>
      </c>
      <c r="N54" s="18" t="n">
        <v>-1513274.29</v>
      </c>
      <c r="O54" s="18" t="n">
        <v>-1442689.39</v>
      </c>
      <c r="P54" s="34" t="n">
        <v>-1442689.39</v>
      </c>
      <c r="Q54" s="18" t="n">
        <v>-1529964.29</v>
      </c>
      <c r="R54" s="18" t="n">
        <v>-1877478.79</v>
      </c>
      <c r="S54" s="18" t="n">
        <v>-1751577.4</v>
      </c>
      <c r="T54" s="18" t="n">
        <v>-1731384.1</v>
      </c>
      <c r="U54" s="34" t="n">
        <v>-1731384.1</v>
      </c>
      <c r="V54" s="18" t="n">
        <v>-1663038.4</v>
      </c>
      <c r="W54" s="18" t="n">
        <v>-1811576.54</v>
      </c>
      <c r="X54" s="18" t="n">
        <v>-1885130.16</v>
      </c>
      <c r="Y54" s="18" t="n">
        <v>-1568591.82</v>
      </c>
      <c r="Z54" s="34" t="n">
        <v>-1568591.82</v>
      </c>
      <c r="AA54" s="18" t="n">
        <v>-1371792.78</v>
      </c>
      <c r="AB54" s="19" t="n">
        <v>-1734866.3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이자발생자산</t>
        </is>
      </c>
      <c r="E55" s="18" t="n">
        <v>1925798.14</v>
      </c>
      <c r="F55" s="34" t="n">
        <v>1925798.14</v>
      </c>
      <c r="G55" s="18" t="n">
        <v>1978992.96</v>
      </c>
      <c r="H55" s="18" t="n">
        <v>2157959.94</v>
      </c>
      <c r="I55" s="18" t="n">
        <v>2155163.63</v>
      </c>
      <c r="J55" s="18" t="n">
        <v>2170332.34</v>
      </c>
      <c r="K55" s="34" t="n">
        <v>2170332.34</v>
      </c>
      <c r="L55" s="18" t="n">
        <v>1764790.05</v>
      </c>
      <c r="M55" s="18" t="n">
        <v>1694910.95</v>
      </c>
      <c r="N55" s="18" t="n">
        <v>1647616.11</v>
      </c>
      <c r="O55" s="18" t="n">
        <v>1586164.72</v>
      </c>
      <c r="P55" s="34" t="n">
        <v>1586164.72</v>
      </c>
      <c r="Q55" s="18" t="n">
        <v>1605508.8</v>
      </c>
      <c r="R55" s="18" t="n">
        <v>1947005.73</v>
      </c>
      <c r="S55" s="18" t="n">
        <v>1819437.08</v>
      </c>
      <c r="T55" s="18" t="n">
        <v>1799587.91</v>
      </c>
      <c r="U55" s="34" t="n">
        <v>1799587.91</v>
      </c>
      <c r="V55" s="18" t="n">
        <v>2328892.43</v>
      </c>
      <c r="W55" s="18" t="n">
        <v>2402160.87</v>
      </c>
      <c r="X55" s="18" t="n">
        <v>2426024.05</v>
      </c>
      <c r="Y55" s="18" t="n">
        <v>2093758.55</v>
      </c>
      <c r="Z55" s="34" t="n">
        <v>2093758.55</v>
      </c>
      <c r="AA55" s="18" t="n">
        <v>1855074.19</v>
      </c>
      <c r="AB55" s="19" t="n">
        <v>4342274.15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당기법인세부채(미지급법인세)</t>
        </is>
      </c>
      <c r="F56" s="9" t="n"/>
      <c r="G56" s="18" t="n">
        <v>1210.02</v>
      </c>
      <c r="H56" s="18" t="n">
        <v>3759.48</v>
      </c>
      <c r="I56" s="18" t="n">
        <v>128.99</v>
      </c>
      <c r="K56" s="9" t="n"/>
      <c r="P56" s="9" t="n"/>
      <c r="R56" s="18" t="n">
        <v>3045.39</v>
      </c>
      <c r="U56" s="9" t="n"/>
      <c r="V56" s="18" t="n">
        <v>14949</v>
      </c>
      <c r="W56" s="18" t="n">
        <v>30944.33</v>
      </c>
      <c r="X56" s="18" t="n">
        <v>7833.15</v>
      </c>
      <c r="Y56" s="18" t="n">
        <v>18458.91</v>
      </c>
      <c r="Z56" s="34" t="n">
        <v>18458.91</v>
      </c>
      <c r="AA56" s="18" t="n">
        <v>34824.58</v>
      </c>
      <c r="AB56" s="19" t="n">
        <v>27175.99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이연법인세자산</t>
        </is>
      </c>
      <c r="F57" s="9" t="n"/>
      <c r="J57" s="18" t="n">
        <v>21183.38</v>
      </c>
      <c r="K57" s="34" t="n">
        <v>21183.38</v>
      </c>
      <c r="L57" s="18" t="n">
        <v>23442.69</v>
      </c>
      <c r="M57" s="18" t="n">
        <v>20756.85</v>
      </c>
      <c r="N57" s="18" t="n">
        <v>274072.4</v>
      </c>
      <c r="O57" s="18" t="n">
        <v>259906.96</v>
      </c>
      <c r="P57" s="34" t="n">
        <v>259906.96</v>
      </c>
      <c r="Q57" s="18" t="n">
        <v>258529.11</v>
      </c>
      <c r="R57" s="18" t="n">
        <v>169370.03</v>
      </c>
      <c r="S57" s="18" t="n">
        <v>151127.18</v>
      </c>
      <c r="T57" s="18" t="n">
        <v>144162.97</v>
      </c>
      <c r="U57" s="34" t="n">
        <v>144162.97</v>
      </c>
      <c r="V57" s="18" t="n">
        <v>140715.92</v>
      </c>
      <c r="W57" s="18" t="n">
        <v>92380.38</v>
      </c>
      <c r="X57" s="18" t="n">
        <v>49611.39</v>
      </c>
      <c r="Y57" s="18" t="n">
        <v>22868.36</v>
      </c>
      <c r="Z57" s="34" t="n">
        <v>22868.36</v>
      </c>
      <c r="AA57" s="18" t="n">
        <v>0</v>
      </c>
      <c r="AB57" s="19" t="n">
        <v>0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장기충당부채</t>
        </is>
      </c>
      <c r="F58" s="9" t="n"/>
      <c r="K58" s="9" t="n"/>
      <c r="M58" s="18" t="n">
        <v>74.91</v>
      </c>
      <c r="N58" s="18" t="n">
        <v>452.88</v>
      </c>
      <c r="O58" s="18" t="n">
        <v>646.36</v>
      </c>
      <c r="P58" s="34" t="n">
        <v>646.36</v>
      </c>
      <c r="Q58" s="18" t="n">
        <v>932.92</v>
      </c>
      <c r="R58" s="18" t="n">
        <v>1166.67</v>
      </c>
      <c r="S58" s="18" t="n">
        <v>1351.01</v>
      </c>
      <c r="T58" s="18" t="n">
        <v>1959.86</v>
      </c>
      <c r="U58" s="34" t="n">
        <v>1959.86</v>
      </c>
      <c r="V58" s="18" t="n">
        <v>2449.97</v>
      </c>
      <c r="W58" s="18" t="n">
        <v>2738.65</v>
      </c>
      <c r="X58" s="18" t="n">
        <v>2901.08</v>
      </c>
      <c r="Y58" s="18" t="n">
        <v>5145.54</v>
      </c>
      <c r="Z58" s="34" t="n">
        <v>5145.54</v>
      </c>
      <c r="AA58" s="18" t="n">
        <v>5953.04</v>
      </c>
      <c r="AB58" s="19" t="n">
        <v>6297.04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이연법인세부채</t>
        </is>
      </c>
      <c r="F59" s="9" t="n"/>
      <c r="K59" s="9" t="n"/>
      <c r="O59" s="18" t="n">
        <v>0</v>
      </c>
      <c r="P59" s="34" t="n">
        <v>0</v>
      </c>
      <c r="U59" s="9" t="n"/>
      <c r="Z59" s="9" t="n"/>
      <c r="AA59" s="18" t="n">
        <v>14629.12</v>
      </c>
      <c r="AB59" s="19" t="n">
        <v>157181.1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비유동확정계약자산</t>
        </is>
      </c>
      <c r="F60" s="9" t="n"/>
      <c r="K60" s="9" t="n"/>
      <c r="P60" s="9" t="n"/>
      <c r="U60" s="9" t="n"/>
      <c r="Z60" s="9" t="n"/>
      <c r="AA60" s="18" t="n">
        <v>1228.21</v>
      </c>
      <c r="AB60" s="19" t="n">
        <v>7442.24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장기파생상품부채</t>
        </is>
      </c>
      <c r="F61" s="9" t="n"/>
      <c r="K61" s="9" t="n"/>
      <c r="P61" s="9" t="n"/>
      <c r="U61" s="9" t="n"/>
      <c r="Z61" s="9" t="n"/>
      <c r="AA61" s="18" t="n">
        <v>1228.21</v>
      </c>
      <c r="AB61" s="19" t="n">
        <v>7971.8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비유동파생상품자산</t>
        </is>
      </c>
      <c r="F62" s="9" t="n"/>
      <c r="K62" s="9" t="n"/>
      <c r="P62" s="9" t="n"/>
      <c r="U62" s="9" t="n"/>
      <c r="Z62" s="9" t="n"/>
      <c r="AB62" s="19" t="n">
        <v>275.69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매출액(수익)</t>
        </is>
      </c>
      <c r="E63" s="18" t="n">
        <v>80420.24000000001</v>
      </c>
      <c r="F63" s="9" t="n"/>
      <c r="G63" s="18" t="n">
        <v>46052.19</v>
      </c>
      <c r="H63" s="18" t="n">
        <v>38861.81</v>
      </c>
      <c r="I63" s="18" t="n">
        <v>42855.82</v>
      </c>
      <c r="J63" s="18" t="n">
        <v>52730.65</v>
      </c>
      <c r="K63" s="34" t="n">
        <v>180500.47</v>
      </c>
      <c r="L63" s="18" t="n">
        <v>53512.93</v>
      </c>
      <c r="M63" s="18" t="n">
        <v>56555.94</v>
      </c>
      <c r="N63" s="18" t="n">
        <v>60687.11</v>
      </c>
      <c r="O63" s="18" t="n">
        <v>99151.67999999999</v>
      </c>
      <c r="P63" s="34" t="n">
        <v>269907.66</v>
      </c>
      <c r="Q63" s="18" t="n">
        <v>104106.37</v>
      </c>
      <c r="R63" s="18" t="n">
        <v>106013.26</v>
      </c>
      <c r="S63" s="18" t="n">
        <v>112806.17</v>
      </c>
      <c r="T63" s="18" t="n">
        <v>193870.54</v>
      </c>
      <c r="U63" s="34" t="n">
        <v>516796.34</v>
      </c>
      <c r="V63" s="18" t="n">
        <v>551782.29</v>
      </c>
      <c r="W63" s="18" t="n">
        <v>140273.39</v>
      </c>
      <c r="X63" s="18" t="n">
        <v>480102.28</v>
      </c>
      <c r="Y63" s="18" t="n">
        <v>321595.87</v>
      </c>
      <c r="Z63" s="34" t="n">
        <v>1493753.83</v>
      </c>
      <c r="AA63" s="18" t="n">
        <v>790716.34</v>
      </c>
      <c r="AB63" s="19" t="n">
        <v>345446.84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매출원가</t>
        </is>
      </c>
      <c r="E64" s="18" t="n">
        <v>35065.64</v>
      </c>
      <c r="F64" s="9" t="n"/>
      <c r="G64" s="18" t="n">
        <v>33909.79</v>
      </c>
      <c r="H64" s="18" t="n">
        <v>33276.08</v>
      </c>
      <c r="I64" s="18" t="n">
        <v>37359.33</v>
      </c>
      <c r="J64" s="18" t="n">
        <v>46756.45</v>
      </c>
      <c r="K64" s="34" t="n">
        <v>151301.65</v>
      </c>
      <c r="L64" s="18" t="n">
        <v>43389.36</v>
      </c>
      <c r="M64" s="18" t="n">
        <v>50029.24</v>
      </c>
      <c r="N64" s="18" t="n">
        <v>53982.42</v>
      </c>
      <c r="O64" s="18" t="n">
        <v>86791.22</v>
      </c>
      <c r="P64" s="34" t="n">
        <v>234192.24</v>
      </c>
      <c r="Q64" s="18" t="n">
        <v>88529.52</v>
      </c>
      <c r="R64" s="18" t="n">
        <v>94076.23</v>
      </c>
      <c r="S64" s="18" t="n">
        <v>100171.69</v>
      </c>
      <c r="T64" s="18" t="n">
        <v>142863.97</v>
      </c>
      <c r="U64" s="34" t="n">
        <v>425641.41</v>
      </c>
      <c r="V64" s="18" t="n">
        <v>114589.9</v>
      </c>
      <c r="W64" s="18" t="n">
        <v>123306.17</v>
      </c>
      <c r="X64" s="18" t="n">
        <v>163264.82</v>
      </c>
      <c r="Y64" s="18" t="n">
        <v>279166.18</v>
      </c>
      <c r="Z64" s="34" t="n">
        <v>680327.0699999999</v>
      </c>
      <c r="AA64" s="18" t="n">
        <v>232189.67</v>
      </c>
      <c r="AB64" s="19" t="n">
        <v>303222.7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매출총이익</t>
        </is>
      </c>
      <c r="E65" s="18" t="n">
        <v>45354.6</v>
      </c>
      <c r="F65" s="9" t="n"/>
      <c r="G65" s="18" t="n">
        <v>12142.4</v>
      </c>
      <c r="H65" s="18" t="n">
        <v>5585.73</v>
      </c>
      <c r="I65" s="18" t="n">
        <v>5496.49</v>
      </c>
      <c r="J65" s="18" t="n">
        <v>5974.2</v>
      </c>
      <c r="K65" s="34" t="n">
        <v>29198.82</v>
      </c>
      <c r="L65" s="18" t="n">
        <v>10123.57</v>
      </c>
      <c r="M65" s="18" t="n">
        <v>6526.7</v>
      </c>
      <c r="N65" s="18" t="n">
        <v>6704.69</v>
      </c>
      <c r="O65" s="18" t="n">
        <v>12360.46</v>
      </c>
      <c r="P65" s="34" t="n">
        <v>35715.42</v>
      </c>
      <c r="Q65" s="18" t="n">
        <v>15576.84</v>
      </c>
      <c r="R65" s="18" t="n">
        <v>11937.02</v>
      </c>
      <c r="S65" s="18" t="n">
        <v>12634.49</v>
      </c>
      <c r="T65" s="18" t="n">
        <v>51006.58</v>
      </c>
      <c r="U65" s="34" t="n">
        <v>91154.92999999999</v>
      </c>
      <c r="V65" s="18" t="n">
        <v>437192.39</v>
      </c>
      <c r="W65" s="18" t="n">
        <v>16967.22</v>
      </c>
      <c r="X65" s="18" t="n">
        <v>316837.47</v>
      </c>
      <c r="Y65" s="18" t="n">
        <v>42429.68</v>
      </c>
      <c r="Z65" s="34" t="n">
        <v>813426.76</v>
      </c>
      <c r="AA65" s="18" t="n">
        <v>558526.67</v>
      </c>
      <c r="AB65" s="19" t="n">
        <v>42224.14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판관비</t>
        </is>
      </c>
      <c r="E66" s="18" t="n">
        <v>25653.04</v>
      </c>
      <c r="F66" s="9" t="n"/>
      <c r="G66" s="18" t="n">
        <v>6495.27</v>
      </c>
      <c r="H66" s="18" t="n">
        <v>12693.65</v>
      </c>
      <c r="I66" s="18" t="n">
        <v>11699.31</v>
      </c>
      <c r="J66" s="18" t="n">
        <v>16595.61</v>
      </c>
      <c r="K66" s="34" t="n">
        <v>47483.84</v>
      </c>
      <c r="L66" s="18" t="n">
        <v>7229.97</v>
      </c>
      <c r="M66" s="18" t="n">
        <v>8883.799999999999</v>
      </c>
      <c r="N66" s="18" t="n">
        <v>12937.15</v>
      </c>
      <c r="O66" s="18" t="n">
        <v>18247.68</v>
      </c>
      <c r="P66" s="34" t="n">
        <v>47298.6</v>
      </c>
      <c r="Q66" s="18" t="n">
        <v>14578.12</v>
      </c>
      <c r="R66" s="18" t="n">
        <v>16435.56</v>
      </c>
      <c r="S66" s="18" t="n">
        <v>20410.98</v>
      </c>
      <c r="T66" s="18" t="n">
        <v>22471.98</v>
      </c>
      <c r="U66" s="34" t="n">
        <v>73896.64</v>
      </c>
      <c r="V66" s="18" t="n">
        <v>20993.85</v>
      </c>
      <c r="W66" s="18" t="n">
        <v>26175.02</v>
      </c>
      <c r="X66" s="18" t="n">
        <v>27402.16</v>
      </c>
      <c r="Y66" s="18" t="n">
        <v>38206.51</v>
      </c>
      <c r="Z66" s="34" t="n">
        <v>112777.54</v>
      </c>
      <c r="AA66" s="18" t="n">
        <v>30009.81</v>
      </c>
      <c r="AB66" s="19" t="n">
        <v>42409.89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영업이익</t>
        </is>
      </c>
      <c r="E67" s="18" t="n">
        <v>19701.56</v>
      </c>
      <c r="F67" s="9" t="n"/>
      <c r="G67" s="18" t="n">
        <v>5647.13</v>
      </c>
      <c r="H67" s="18" t="n">
        <v>-7107.92</v>
      </c>
      <c r="I67" s="18" t="n">
        <v>-6202.82</v>
      </c>
      <c r="J67" s="18" t="n">
        <v>-10621.4</v>
      </c>
      <c r="K67" s="34" t="n">
        <v>-18285.01</v>
      </c>
      <c r="L67" s="18" t="n">
        <v>2893.6</v>
      </c>
      <c r="M67" s="18" t="n">
        <v>-2357.1</v>
      </c>
      <c r="N67" s="18" t="n">
        <v>-6232.46</v>
      </c>
      <c r="O67" s="18" t="n">
        <v>-5887.22</v>
      </c>
      <c r="P67" s="34" t="n">
        <v>-11583.18</v>
      </c>
      <c r="Q67" s="18" t="n">
        <v>998.72</v>
      </c>
      <c r="R67" s="18" t="n">
        <v>-4498.53</v>
      </c>
      <c r="U67" s="9" t="n"/>
      <c r="V67" s="18" t="n">
        <v>416198.54</v>
      </c>
      <c r="W67" s="18" t="n">
        <v>-9207.799999999999</v>
      </c>
      <c r="X67" s="18" t="n">
        <v>289435.31</v>
      </c>
      <c r="Y67" s="18" t="n">
        <v>4223.17</v>
      </c>
      <c r="Z67" s="34" t="n">
        <v>700649.22</v>
      </c>
      <c r="AA67" s="18" t="n">
        <v>528516.86</v>
      </c>
      <c r="AB67" s="19" t="n">
        <v>-185.75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금융수익</t>
        </is>
      </c>
      <c r="E68" s="18" t="n">
        <v>8464.440000000001</v>
      </c>
      <c r="F68" s="9" t="n"/>
      <c r="G68" s="18" t="n">
        <v>17892.37</v>
      </c>
      <c r="H68" s="18" t="n">
        <v>19961.73</v>
      </c>
      <c r="I68" s="18" t="n">
        <v>21274.8</v>
      </c>
      <c r="J68" s="18" t="n">
        <v>23342</v>
      </c>
      <c r="K68" s="34" t="n">
        <v>82470.89999999999</v>
      </c>
      <c r="L68" s="18" t="n">
        <v>31656.14</v>
      </c>
      <c r="M68" s="18" t="n">
        <v>17611.17</v>
      </c>
      <c r="N68" s="18" t="n">
        <v>20514.4</v>
      </c>
      <c r="O68" s="18" t="n">
        <v>15727.94</v>
      </c>
      <c r="P68" s="34" t="n">
        <v>85509.64999999999</v>
      </c>
      <c r="Q68" s="18" t="n">
        <v>18685.23</v>
      </c>
      <c r="R68" s="18" t="n">
        <v>17729.91</v>
      </c>
      <c r="S68" s="18" t="n">
        <v>19194.74</v>
      </c>
      <c r="T68" s="18" t="n">
        <v>22462.14</v>
      </c>
      <c r="U68" s="34" t="n">
        <v>78072.02</v>
      </c>
      <c r="V68" s="18" t="n">
        <v>20692.5</v>
      </c>
      <c r="W68" s="18" t="n">
        <v>32053.78</v>
      </c>
      <c r="X68" s="18" t="n">
        <v>17090.27</v>
      </c>
      <c r="Y68" s="18" t="n">
        <v>23364.39</v>
      </c>
      <c r="Z68" s="34" t="n">
        <v>93200.94</v>
      </c>
      <c r="AA68" s="18" t="n">
        <v>55826.64</v>
      </c>
      <c r="AB68" s="19" t="n">
        <v>597215.98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금융비용</t>
        </is>
      </c>
      <c r="E69" s="18" t="n">
        <v>273.06</v>
      </c>
      <c r="F69" s="9" t="n"/>
      <c r="G69" s="18" t="n">
        <v>663.45</v>
      </c>
      <c r="H69" s="18" t="n">
        <v>1077.07</v>
      </c>
      <c r="I69" s="18" t="n">
        <v>13369.39</v>
      </c>
      <c r="J69" s="18" t="n">
        <v>-3740.77</v>
      </c>
      <c r="K69" s="34" t="n">
        <v>11369.14</v>
      </c>
      <c r="L69" s="18" t="n">
        <v>4241.5</v>
      </c>
      <c r="M69" s="18" t="n">
        <v>7247.7</v>
      </c>
      <c r="N69" s="18" t="n">
        <v>1697.7</v>
      </c>
      <c r="O69" s="18" t="n">
        <v>2147.15</v>
      </c>
      <c r="P69" s="34" t="n">
        <v>15334.05</v>
      </c>
      <c r="Q69" s="18" t="n">
        <v>2343.82</v>
      </c>
      <c r="R69" s="18" t="n">
        <v>2338.91</v>
      </c>
      <c r="S69" s="18" t="n">
        <v>2132.74</v>
      </c>
      <c r="T69" s="18" t="n">
        <v>6130.95</v>
      </c>
      <c r="U69" s="34" t="n">
        <v>12946.42</v>
      </c>
      <c r="V69" s="18" t="n">
        <v>6872.65</v>
      </c>
      <c r="W69" s="18" t="n">
        <v>143378.17</v>
      </c>
      <c r="X69" s="18" t="n">
        <v>56913.96</v>
      </c>
      <c r="Y69" s="18" t="n">
        <v>400.06</v>
      </c>
      <c r="Z69" s="34" t="n">
        <v>207564.84</v>
      </c>
      <c r="AA69" s="18" t="n">
        <v>17095.87</v>
      </c>
      <c r="AB69" s="19" t="n">
        <v>324849.47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기타영업외수익</t>
        </is>
      </c>
      <c r="E70" s="18" t="n">
        <v>12194.3</v>
      </c>
      <c r="F70" s="9" t="n"/>
      <c r="G70" s="18" t="n">
        <v>50811.09</v>
      </c>
      <c r="H70" s="18" t="n">
        <v>63985.11</v>
      </c>
      <c r="I70" s="18" t="n">
        <v>7003.01</v>
      </c>
      <c r="J70" s="18" t="n">
        <v>166023.13</v>
      </c>
      <c r="K70" s="34" t="n">
        <v>287822.34</v>
      </c>
      <c r="L70" s="18" t="n">
        <v>1954.89</v>
      </c>
      <c r="M70" s="18" t="n">
        <v>1027.28</v>
      </c>
      <c r="N70" s="18" t="n">
        <v>1749.44</v>
      </c>
      <c r="O70" s="18" t="n">
        <v>3890.9</v>
      </c>
      <c r="P70" s="34" t="n">
        <v>8622.51</v>
      </c>
      <c r="Q70" s="18" t="n">
        <v>383</v>
      </c>
      <c r="R70" s="18" t="n">
        <v>138366.58</v>
      </c>
      <c r="S70" s="18" t="n">
        <v>189.99</v>
      </c>
      <c r="T70" s="18" t="n">
        <v>431.58</v>
      </c>
      <c r="U70" s="34" t="n">
        <v>139371.15</v>
      </c>
      <c r="V70" s="18" t="n">
        <v>543.13</v>
      </c>
      <c r="W70" s="18" t="n">
        <v>156991.09</v>
      </c>
      <c r="X70" s="18" t="n">
        <v>66803.24000000001</v>
      </c>
      <c r="Y70" s="18" t="n">
        <v>20760.65</v>
      </c>
      <c r="Z70" s="34" t="n">
        <v>245098.11</v>
      </c>
      <c r="AA70" s="18" t="n">
        <v>16069.8</v>
      </c>
      <c r="AB70" s="19" t="n">
        <v>7355.03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기타영업외비용</t>
        </is>
      </c>
      <c r="E71" s="18" t="n">
        <v>8907.969999999999</v>
      </c>
      <c r="F71" s="9" t="n"/>
      <c r="G71" s="18" t="n">
        <v>1233.89</v>
      </c>
      <c r="H71" s="18" t="n">
        <v>1439.45</v>
      </c>
      <c r="I71" s="18" t="n">
        <v>979.09</v>
      </c>
      <c r="J71" s="18" t="n">
        <v>15445.96</v>
      </c>
      <c r="K71" s="34" t="n">
        <v>19098.39</v>
      </c>
      <c r="L71" s="18" t="n">
        <v>3607.93</v>
      </c>
      <c r="M71" s="18" t="n">
        <v>402.48</v>
      </c>
      <c r="N71" s="18" t="n">
        <v>343.3</v>
      </c>
      <c r="O71" s="18" t="n">
        <v>1253.73</v>
      </c>
      <c r="P71" s="34" t="n">
        <v>5607.44</v>
      </c>
      <c r="Q71" s="18" t="n">
        <v>1216.81</v>
      </c>
      <c r="R71" s="18" t="n">
        <v>928.66</v>
      </c>
      <c r="S71" s="18" t="n">
        <v>586.3099999999999</v>
      </c>
      <c r="T71" s="18" t="n">
        <v>4337.34</v>
      </c>
      <c r="U71" s="34" t="n">
        <v>7069.12</v>
      </c>
      <c r="V71" s="18" t="n">
        <v>2370.83</v>
      </c>
      <c r="W71" s="18" t="n">
        <v>64421.1</v>
      </c>
      <c r="X71" s="18" t="n">
        <v>465.15</v>
      </c>
      <c r="Y71" s="18" t="n">
        <v>218276.63</v>
      </c>
      <c r="Z71" s="34" t="n">
        <v>285533.71</v>
      </c>
      <c r="AA71" s="18" t="n">
        <v>1216.49</v>
      </c>
      <c r="AB71" s="19" t="n">
        <v>1244.02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법인세비용차감전계속사업이익</t>
        </is>
      </c>
      <c r="E72" s="18" t="n">
        <v>31179.27</v>
      </c>
      <c r="F72" s="9" t="n"/>
      <c r="G72" s="18" t="n">
        <v>72453.25</v>
      </c>
      <c r="H72" s="18" t="n">
        <v>74322.39999999999</v>
      </c>
      <c r="I72" s="18" t="n">
        <v>7726.52</v>
      </c>
      <c r="J72" s="18" t="n">
        <v>167038.53</v>
      </c>
      <c r="K72" s="34" t="n">
        <v>321540.7</v>
      </c>
      <c r="L72" s="18" t="n">
        <v>28655.2</v>
      </c>
      <c r="M72" s="18" t="n">
        <v>8631.17</v>
      </c>
      <c r="N72" s="18" t="n">
        <v>13990.39</v>
      </c>
      <c r="O72" s="18" t="n">
        <v>10330.74</v>
      </c>
      <c r="P72" s="34" t="n">
        <v>61607.5</v>
      </c>
      <c r="Q72" s="18" t="n">
        <v>16506.33</v>
      </c>
      <c r="R72" s="18" t="n">
        <v>148330.39</v>
      </c>
      <c r="S72" s="18" t="n">
        <v>8889.190000000001</v>
      </c>
      <c r="T72" s="18" t="n">
        <v>40960.01</v>
      </c>
      <c r="U72" s="34" t="n">
        <v>214685.92</v>
      </c>
      <c r="V72" s="18" t="n">
        <v>428190.69</v>
      </c>
      <c r="W72" s="18" t="n">
        <v>-27962.2</v>
      </c>
      <c r="X72" s="18" t="n">
        <v>315949.72</v>
      </c>
      <c r="Y72" s="18" t="n">
        <v>-170328.5</v>
      </c>
      <c r="Z72" s="34" t="n">
        <v>545849.71</v>
      </c>
      <c r="AA72" s="18" t="n">
        <v>582100.9399999999</v>
      </c>
      <c r="AB72" s="19" t="n">
        <v>278291.78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법인세비용</t>
        </is>
      </c>
      <c r="E73" s="18" t="n">
        <v>-62455.25</v>
      </c>
      <c r="F73" s="9" t="n"/>
      <c r="G73" s="18" t="n">
        <v>15101.74</v>
      </c>
      <c r="H73" s="18" t="n">
        <v>16550.02</v>
      </c>
      <c r="I73" s="18" t="n">
        <v>-14623.75</v>
      </c>
      <c r="J73" s="18" t="n">
        <v>-70958.23</v>
      </c>
      <c r="K73" s="34" t="n">
        <v>-53930.22</v>
      </c>
      <c r="L73" s="18" t="n">
        <v>-5025.91</v>
      </c>
      <c r="M73" s="18" t="n">
        <v>620.27</v>
      </c>
      <c r="N73" s="18" t="n">
        <v>-250042.46</v>
      </c>
      <c r="O73" s="18" t="n">
        <v>14598.62</v>
      </c>
      <c r="P73" s="34" t="n">
        <v>-239849.48</v>
      </c>
      <c r="Q73" s="18" t="n">
        <v>2683.58</v>
      </c>
      <c r="R73" s="18" t="n">
        <v>35753.08</v>
      </c>
      <c r="S73" s="18" t="n">
        <v>2168.96</v>
      </c>
      <c r="T73" s="18" t="n">
        <v>8482.32</v>
      </c>
      <c r="U73" s="34" t="n">
        <v>49087.94</v>
      </c>
      <c r="V73" s="18" t="n">
        <v>3876.07</v>
      </c>
      <c r="W73" s="18" t="n">
        <v>-12724.55</v>
      </c>
      <c r="X73" s="18" t="n">
        <v>2851.79</v>
      </c>
      <c r="Y73" s="18" t="n">
        <v>-62488.45</v>
      </c>
      <c r="Z73" s="34" t="n">
        <v>-68485.14</v>
      </c>
      <c r="AA73" s="18" t="n">
        <v>12853.94</v>
      </c>
      <c r="AB73" s="19" t="n">
        <v>71123.89999999999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당기순이익</t>
        </is>
      </c>
      <c r="E74" s="18" t="n">
        <v>93634.52</v>
      </c>
      <c r="F74" s="9" t="n"/>
      <c r="G74" s="18" t="n">
        <v>57351.51</v>
      </c>
      <c r="H74" s="18" t="n">
        <v>57772.38</v>
      </c>
      <c r="I74" s="18" t="n">
        <v>22350.27</v>
      </c>
      <c r="J74" s="18" t="n">
        <v>237996.78</v>
      </c>
      <c r="K74" s="34" t="n">
        <v>375470.94</v>
      </c>
      <c r="L74" s="18" t="n">
        <v>33681.11</v>
      </c>
      <c r="M74" s="18" t="n">
        <v>8010.9</v>
      </c>
      <c r="N74" s="18" t="n">
        <v>264032.85</v>
      </c>
      <c r="O74" s="18" t="n">
        <v>-4267.89</v>
      </c>
      <c r="P74" s="34" t="n">
        <v>301456.97</v>
      </c>
      <c r="Q74" s="18" t="n">
        <v>13822.75</v>
      </c>
      <c r="R74" s="18" t="n">
        <v>112577.31</v>
      </c>
      <c r="S74" s="18" t="n">
        <v>6720.23</v>
      </c>
      <c r="T74" s="18" t="n">
        <v>32477.69</v>
      </c>
      <c r="U74" s="34" t="n">
        <v>165597.98</v>
      </c>
      <c r="V74" s="18" t="n">
        <v>424314.62</v>
      </c>
      <c r="W74" s="18" t="n">
        <v>-15237.65</v>
      </c>
      <c r="X74" s="18" t="n">
        <v>313097.93</v>
      </c>
      <c r="Y74" s="18" t="n">
        <v>-107840.03</v>
      </c>
      <c r="Z74" s="34" t="n">
        <v>614334.87</v>
      </c>
      <c r="AA74" s="18" t="n">
        <v>569246.99</v>
      </c>
      <c r="AB74" s="19" t="n">
        <v>207167.88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총포괄손익</t>
        </is>
      </c>
      <c r="E75" s="18" t="n">
        <v>71599.81</v>
      </c>
      <c r="F75" s="9" t="n"/>
      <c r="G75" s="18" t="n">
        <v>61707.59</v>
      </c>
      <c r="H75" s="18" t="n">
        <v>41424.97</v>
      </c>
      <c r="I75" s="18" t="n">
        <v>6175.77</v>
      </c>
      <c r="J75" s="18" t="n">
        <v>238164.46</v>
      </c>
      <c r="K75" s="34" t="n">
        <v>347472.79</v>
      </c>
      <c r="L75" s="18" t="n">
        <v>42880.93</v>
      </c>
      <c r="M75" s="18" t="n">
        <v>16103.25</v>
      </c>
      <c r="N75" s="18" t="n">
        <v>253051.49</v>
      </c>
      <c r="O75" s="18" t="n">
        <v>-1000.01</v>
      </c>
      <c r="P75" s="34" t="n">
        <v>311035.66</v>
      </c>
      <c r="Q75" s="18" t="n">
        <v>9646.940000000001</v>
      </c>
      <c r="R75" s="18" t="n">
        <v>108479.93</v>
      </c>
      <c r="S75" s="18" t="n">
        <v>6692.94</v>
      </c>
      <c r="T75" s="18" t="n">
        <v>26115.91</v>
      </c>
      <c r="U75" s="34" t="n">
        <v>150935.72</v>
      </c>
      <c r="V75" s="18" t="n">
        <v>424356.35</v>
      </c>
      <c r="W75" s="18" t="n">
        <v>22015.73</v>
      </c>
      <c r="X75" s="18" t="n">
        <v>312020.3</v>
      </c>
      <c r="Y75" s="18" t="n">
        <v>-111007.25</v>
      </c>
      <c r="Z75" s="34" t="n">
        <v>647385.13</v>
      </c>
      <c r="AA75" s="18" t="n">
        <v>569471.28</v>
      </c>
      <c r="AB75" s="19" t="n">
        <v>207175.24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금융손익</t>
        </is>
      </c>
      <c r="E76" s="18" t="n">
        <v>8191.38</v>
      </c>
      <c r="F76" s="9" t="n"/>
      <c r="G76" s="18" t="n">
        <v>17228.92</v>
      </c>
      <c r="H76" s="18" t="n">
        <v>18884.66</v>
      </c>
      <c r="I76" s="18" t="n">
        <v>7905.41</v>
      </c>
      <c r="J76" s="18" t="n">
        <v>27082.77</v>
      </c>
      <c r="K76" s="34" t="n">
        <v>71101.75999999999</v>
      </c>
      <c r="L76" s="18" t="n">
        <v>27414.64</v>
      </c>
      <c r="M76" s="18" t="n">
        <v>10363.47</v>
      </c>
      <c r="N76" s="18" t="n">
        <v>18816.7</v>
      </c>
      <c r="O76" s="18" t="n">
        <v>13580.79</v>
      </c>
      <c r="P76" s="34" t="n">
        <v>70175.60000000001</v>
      </c>
      <c r="Q76" s="18" t="n">
        <v>16341.41</v>
      </c>
      <c r="R76" s="18" t="n">
        <v>15391</v>
      </c>
      <c r="S76" s="18" t="n">
        <v>17062</v>
      </c>
      <c r="T76" s="18" t="n">
        <v>16331.19</v>
      </c>
      <c r="U76" s="34" t="n">
        <v>65125.6</v>
      </c>
      <c r="V76" s="18" t="n">
        <v>13819.85</v>
      </c>
      <c r="W76" s="18" t="n">
        <v>-111324.39</v>
      </c>
      <c r="X76" s="18" t="n">
        <v>-39823.69</v>
      </c>
      <c r="Y76" s="18" t="n">
        <v>22964.33</v>
      </c>
      <c r="Z76" s="34" t="n">
        <v>-114363.9</v>
      </c>
      <c r="AA76" s="18" t="n">
        <v>38730.77</v>
      </c>
      <c r="AB76" s="19" t="n">
        <v>272366.51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기타영업외손익</t>
        </is>
      </c>
      <c r="E77" s="18" t="n">
        <v>3286.33</v>
      </c>
      <c r="F77" s="9" t="n"/>
      <c r="G77" s="18" t="n">
        <v>49577.2</v>
      </c>
      <c r="H77" s="18" t="n">
        <v>62545.66</v>
      </c>
      <c r="I77" s="18" t="n">
        <v>6023.92</v>
      </c>
      <c r="J77" s="18" t="n">
        <v>150577.17</v>
      </c>
      <c r="K77" s="34" t="n">
        <v>268723.95</v>
      </c>
      <c r="L77" s="18" t="n">
        <v>-1653.04</v>
      </c>
      <c r="M77" s="18" t="n">
        <v>624.8</v>
      </c>
      <c r="N77" s="18" t="n">
        <v>1406.14</v>
      </c>
      <c r="O77" s="18" t="n">
        <v>2637.17</v>
      </c>
      <c r="P77" s="34" t="n">
        <v>3015.07</v>
      </c>
      <c r="Q77" s="18" t="n">
        <v>-833.8099999999999</v>
      </c>
      <c r="R77" s="18" t="n">
        <v>137437.92</v>
      </c>
      <c r="S77" s="18" t="n">
        <v>-396.32</v>
      </c>
      <c r="T77" s="18" t="n">
        <v>-3905.76</v>
      </c>
      <c r="U77" s="34" t="n">
        <v>132302.03</v>
      </c>
      <c r="V77" s="18" t="n">
        <v>-1827.7</v>
      </c>
      <c r="W77" s="18" t="n">
        <v>92569.99000000001</v>
      </c>
      <c r="X77" s="18" t="n">
        <v>66338.09</v>
      </c>
      <c r="Y77" s="18" t="n">
        <v>-197515.98</v>
      </c>
      <c r="Z77" s="34" t="n">
        <v>-40435.6</v>
      </c>
      <c r="AA77" s="18" t="n">
        <v>14853.31</v>
      </c>
      <c r="AB77" s="19" t="n">
        <v>6111.01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(지배주주지분)당기순이익</t>
        </is>
      </c>
      <c r="E78" s="18" t="n">
        <v>93634.52</v>
      </c>
      <c r="F78" s="9" t="n"/>
      <c r="G78" s="18" t="n">
        <v>57351.51</v>
      </c>
      <c r="H78" s="18" t="n">
        <v>57772.38</v>
      </c>
      <c r="I78" s="18" t="n">
        <v>22350.27</v>
      </c>
      <c r="J78" s="18" t="n">
        <v>237996.78</v>
      </c>
      <c r="K78" s="34" t="n">
        <v>375470.94</v>
      </c>
      <c r="L78" s="18" t="n">
        <v>33681.11</v>
      </c>
      <c r="M78" s="18" t="n">
        <v>8010.9</v>
      </c>
      <c r="N78" s="18" t="n">
        <v>264032.85</v>
      </c>
      <c r="O78" s="18" t="n">
        <v>-4267.89</v>
      </c>
      <c r="P78" s="34" t="n">
        <v>301456.97</v>
      </c>
      <c r="Q78" s="18" t="n">
        <v>13822.75</v>
      </c>
      <c r="R78" s="18" t="n">
        <v>112577.31</v>
      </c>
      <c r="S78" s="18" t="n">
        <v>6720.23</v>
      </c>
      <c r="T78" s="18" t="n">
        <v>32477.69</v>
      </c>
      <c r="U78" s="34" t="n">
        <v>165597.98</v>
      </c>
      <c r="V78" s="18" t="n">
        <v>424314.62</v>
      </c>
      <c r="W78" s="18" t="n">
        <v>-15237.65</v>
      </c>
      <c r="X78" s="18" t="n">
        <v>313097.93</v>
      </c>
      <c r="Y78" s="18" t="n">
        <v>-107840.03</v>
      </c>
      <c r="Z78" s="34" t="n">
        <v>614334.87</v>
      </c>
      <c r="AA78" s="18" t="n">
        <v>569246.99</v>
      </c>
      <c r="AB78" s="19" t="n">
        <v>207167.88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계속사업이익</t>
        </is>
      </c>
      <c r="E79" s="18" t="n">
        <v>93634.52</v>
      </c>
      <c r="F79" s="9" t="n"/>
      <c r="G79" s="18" t="n">
        <v>57351.51</v>
      </c>
      <c r="H79" s="18" t="n">
        <v>57772.38</v>
      </c>
      <c r="I79" s="18" t="n">
        <v>22350.27</v>
      </c>
      <c r="J79" s="18" t="n">
        <v>237996.78</v>
      </c>
      <c r="K79" s="34" t="n">
        <v>375470.94</v>
      </c>
      <c r="L79" s="18" t="n">
        <v>33681.11</v>
      </c>
      <c r="M79" s="18" t="n">
        <v>8010.9</v>
      </c>
      <c r="N79" s="18" t="n">
        <v>264032.85</v>
      </c>
      <c r="O79" s="18" t="n">
        <v>-4267.89</v>
      </c>
      <c r="P79" s="34" t="n">
        <v>301456.97</v>
      </c>
      <c r="Q79" s="18" t="n">
        <v>13822.75</v>
      </c>
      <c r="R79" s="18" t="n">
        <v>112577.31</v>
      </c>
      <c r="S79" s="18" t="n">
        <v>6720.23</v>
      </c>
      <c r="T79" s="18" t="n">
        <v>32477.69</v>
      </c>
      <c r="U79" s="34" t="n">
        <v>165597.98</v>
      </c>
      <c r="V79" s="18" t="n">
        <v>424314.62</v>
      </c>
      <c r="W79" s="18" t="n">
        <v>-15237.65</v>
      </c>
      <c r="X79" s="18" t="n">
        <v>313097.93</v>
      </c>
      <c r="Y79" s="18" t="n">
        <v>-107840.03</v>
      </c>
      <c r="Z79" s="34" t="n">
        <v>614334.87</v>
      </c>
      <c r="AA79" s="18" t="n">
        <v>569246.99</v>
      </c>
      <c r="AB79" s="19" t="n">
        <v>207167.88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영업활동으로인한현금흐름</t>
        </is>
      </c>
      <c r="E80" s="18" t="n">
        <v>38773.65</v>
      </c>
      <c r="F80" s="9" t="n"/>
      <c r="G80" s="18" t="n">
        <v>30.34</v>
      </c>
      <c r="H80" s="18" t="n">
        <v>16815.37</v>
      </c>
      <c r="I80" s="18" t="n">
        <v>4201.83</v>
      </c>
      <c r="J80" s="18" t="n">
        <v>8879.02</v>
      </c>
      <c r="K80" s="34" t="n">
        <v>29926.56</v>
      </c>
      <c r="L80" s="18" t="n">
        <v>45116.71</v>
      </c>
      <c r="M80" s="18" t="n">
        <v>-36442.71</v>
      </c>
      <c r="N80" s="18" t="n">
        <v>13316.56</v>
      </c>
      <c r="O80" s="18" t="n">
        <v>-14782.22</v>
      </c>
      <c r="P80" s="34" t="n">
        <v>7208.34</v>
      </c>
      <c r="Q80" s="18" t="n">
        <v>27903.3</v>
      </c>
      <c r="R80" s="18" t="n">
        <v>25893.94</v>
      </c>
      <c r="S80" s="18" t="n">
        <v>98824</v>
      </c>
      <c r="T80" s="18" t="n">
        <v>72586.92</v>
      </c>
      <c r="U80" s="34" t="n">
        <v>225208.16</v>
      </c>
      <c r="V80" s="18" t="n">
        <v>-6723.66</v>
      </c>
      <c r="W80" s="18" t="n">
        <v>477891.43</v>
      </c>
      <c r="X80" s="18" t="n">
        <v>341581.26</v>
      </c>
      <c r="Y80" s="18" t="n">
        <v>-58256.87</v>
      </c>
      <c r="Z80" s="34" t="n">
        <v>754492.16</v>
      </c>
      <c r="AA80" s="18" t="n">
        <v>-200654.58</v>
      </c>
      <c r="AB80" s="19" t="n">
        <v>812508.51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이자수취(CF)</t>
        </is>
      </c>
      <c r="E81" s="18" t="n">
        <v>3540.86</v>
      </c>
      <c r="F81" s="9" t="n"/>
      <c r="G81" s="18" t="n">
        <v>6107.88</v>
      </c>
      <c r="H81" s="18" t="n">
        <v>8319</v>
      </c>
      <c r="I81" s="18" t="n">
        <v>10098.72</v>
      </c>
      <c r="J81" s="18" t="n">
        <v>20733.49</v>
      </c>
      <c r="K81" s="34" t="n">
        <v>45259.09</v>
      </c>
      <c r="L81" s="18" t="n">
        <v>19109.74</v>
      </c>
      <c r="M81" s="18" t="n">
        <v>16804.02</v>
      </c>
      <c r="N81" s="18" t="n">
        <v>12059.17</v>
      </c>
      <c r="O81" s="18" t="n">
        <v>13832.78</v>
      </c>
      <c r="P81" s="34" t="n">
        <v>61805.71</v>
      </c>
      <c r="Q81" s="18" t="n">
        <v>17186.69</v>
      </c>
      <c r="R81" s="18" t="n">
        <v>18404.99</v>
      </c>
      <c r="S81" s="18" t="n">
        <v>10295.49</v>
      </c>
      <c r="T81" s="18" t="n">
        <v>19958.29</v>
      </c>
      <c r="U81" s="34" t="n">
        <v>65845.46000000001</v>
      </c>
      <c r="V81" s="18" t="n">
        <v>9742.91</v>
      </c>
      <c r="W81" s="18" t="n">
        <v>24296.71</v>
      </c>
      <c r="X81" s="18" t="n">
        <v>15523.81</v>
      </c>
      <c r="Y81" s="18" t="n">
        <v>8955.27</v>
      </c>
      <c r="Z81" s="34" t="n">
        <v>58518.7</v>
      </c>
      <c r="AA81" s="18" t="n">
        <v>10600.53</v>
      </c>
      <c r="AB81" s="19" t="n">
        <v>28781.13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이자지급(CF)</t>
        </is>
      </c>
      <c r="E82" s="18" t="n">
        <v>-48.46</v>
      </c>
      <c r="F82" s="9" t="n"/>
      <c r="G82" s="18" t="n">
        <v>-56.78</v>
      </c>
      <c r="H82" s="18" t="n">
        <v>-46.35</v>
      </c>
      <c r="I82" s="18" t="n">
        <v>-34.98</v>
      </c>
      <c r="J82" s="18" t="n">
        <v>-124.14</v>
      </c>
      <c r="K82" s="34" t="n">
        <v>-262.25</v>
      </c>
      <c r="L82" s="18" t="n">
        <v>-341.11</v>
      </c>
      <c r="M82" s="18" t="n">
        <v>-349.91</v>
      </c>
      <c r="N82" s="18" t="n">
        <v>-339.51</v>
      </c>
      <c r="O82" s="18" t="n">
        <v>-344.65</v>
      </c>
      <c r="P82" s="34" t="n">
        <v>-1375.18</v>
      </c>
      <c r="Q82" s="18" t="n">
        <v>-363.83</v>
      </c>
      <c r="R82" s="18" t="n">
        <v>-347.1</v>
      </c>
      <c r="S82" s="18" t="n">
        <v>-325.94</v>
      </c>
      <c r="T82" s="18" t="n">
        <v>-297.39</v>
      </c>
      <c r="U82" s="34" t="n">
        <v>-1334.26</v>
      </c>
      <c r="V82" s="18" t="n">
        <v>-364.35</v>
      </c>
      <c r="W82" s="18" t="n">
        <v>-328.99</v>
      </c>
      <c r="X82" s="18" t="n">
        <v>-290.98</v>
      </c>
      <c r="Y82" s="18" t="n">
        <v>-252.38</v>
      </c>
      <c r="Z82" s="34" t="n">
        <v>-1236.7</v>
      </c>
      <c r="AA82" s="18" t="n">
        <v>-186.54</v>
      </c>
      <c r="AB82" s="19" t="n">
        <v>-157.48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배당금수취(CF)</t>
        </is>
      </c>
      <c r="E83" s="18" t="n">
        <v>41513.22</v>
      </c>
      <c r="F83" s="9" t="n"/>
      <c r="G83" s="18" t="n">
        <v>155</v>
      </c>
      <c r="H83" s="18" t="n">
        <v>10194.78</v>
      </c>
      <c r="I83" s="18" t="n">
        <v>9.91</v>
      </c>
      <c r="J83" s="18" t="n">
        <v>0</v>
      </c>
      <c r="K83" s="34" t="n">
        <v>10359.69</v>
      </c>
      <c r="L83" s="18" t="n">
        <v>165</v>
      </c>
      <c r="M83" s="18" t="n">
        <v>8496.23</v>
      </c>
      <c r="N83" s="18" t="n">
        <v>8.949999999999999</v>
      </c>
      <c r="O83" s="18" t="n">
        <v>0</v>
      </c>
      <c r="P83" s="34" t="n">
        <v>8670.18</v>
      </c>
      <c r="Q83" s="18" t="n">
        <v>49</v>
      </c>
      <c r="R83" s="18" t="n">
        <v>8065.62</v>
      </c>
      <c r="S83" s="18" t="n">
        <v>8.949999999999999</v>
      </c>
      <c r="T83" s="18" t="n">
        <v>27835.29</v>
      </c>
      <c r="U83" s="34" t="n">
        <v>35958.86</v>
      </c>
      <c r="V83" s="18" t="n">
        <v>24</v>
      </c>
      <c r="W83" s="18" t="n">
        <v>417562.01</v>
      </c>
      <c r="X83" s="18" t="n">
        <v>298998.52</v>
      </c>
      <c r="Y83" s="18" t="n">
        <v>0</v>
      </c>
      <c r="Z83" s="34" t="n">
        <v>716584.53</v>
      </c>
      <c r="AA83" s="18" t="n">
        <v>12</v>
      </c>
      <c r="AB83" s="19" t="n">
        <v>532027.78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법인세납부(CF)</t>
        </is>
      </c>
      <c r="E84" s="18" t="n">
        <v>-971.85</v>
      </c>
      <c r="F84" s="9" t="n"/>
      <c r="G84" s="18" t="n">
        <v>-968.17</v>
      </c>
      <c r="H84" s="18" t="n">
        <v>564.48</v>
      </c>
      <c r="I84" s="18" t="n">
        <v>-5059.5</v>
      </c>
      <c r="J84" s="18" t="n">
        <v>-2513.73</v>
      </c>
      <c r="K84" s="34" t="n">
        <v>-7976.92</v>
      </c>
      <c r="L84" s="18" t="n">
        <v>-2814.25</v>
      </c>
      <c r="M84" s="18" t="n">
        <v>539.09</v>
      </c>
      <c r="N84" s="18" t="n">
        <v>-2054.37</v>
      </c>
      <c r="O84" s="18" t="n">
        <v>-1701.07</v>
      </c>
      <c r="P84" s="34" t="n">
        <v>-6030.6</v>
      </c>
      <c r="Q84" s="18" t="n">
        <v>-2689.58</v>
      </c>
      <c r="R84" s="18" t="n">
        <v>6545.21</v>
      </c>
      <c r="S84" s="18" t="n">
        <v>-1601.4</v>
      </c>
      <c r="U84" s="9" t="n"/>
      <c r="V84" s="18" t="n">
        <v>-1502.87</v>
      </c>
      <c r="W84" s="18" t="n">
        <v>-3693.8</v>
      </c>
      <c r="X84" s="18" t="n">
        <v>-3008.8</v>
      </c>
      <c r="Y84" s="18" t="n">
        <v>7896.07</v>
      </c>
      <c r="Z84" s="34" t="n">
        <v>-309.4</v>
      </c>
      <c r="AA84" s="18" t="n">
        <v>-1674.43</v>
      </c>
      <c r="AB84" s="19" t="n">
        <v>-23147.75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투자활동으로인한현금흐름</t>
        </is>
      </c>
      <c r="E85" s="18" t="n">
        <v>143745.62</v>
      </c>
      <c r="F85" s="9" t="n"/>
      <c r="G85" s="18" t="n">
        <v>-122174.93</v>
      </c>
      <c r="H85" s="18" t="n">
        <v>433865.03</v>
      </c>
      <c r="I85" s="18" t="n">
        <v>-877050.23</v>
      </c>
      <c r="J85" s="18" t="n">
        <v>77922.73</v>
      </c>
      <c r="K85" s="34" t="n">
        <v>-487437.4</v>
      </c>
      <c r="L85" s="18" t="n">
        <v>-296098.3</v>
      </c>
      <c r="M85" s="18" t="n">
        <v>767594.77</v>
      </c>
      <c r="N85" s="18" t="n">
        <v>-753350.63</v>
      </c>
      <c r="O85" s="18" t="n">
        <v>-154556.08</v>
      </c>
      <c r="P85" s="34" t="n">
        <v>-436410.24</v>
      </c>
      <c r="Q85" s="18" t="n">
        <v>471403.11</v>
      </c>
      <c r="R85" s="18" t="n">
        <v>-383281.4</v>
      </c>
      <c r="S85" s="18" t="n">
        <v>-226664.08</v>
      </c>
      <c r="T85" s="18" t="n">
        <v>179476.58</v>
      </c>
      <c r="U85" s="34" t="n">
        <v>40934.21</v>
      </c>
      <c r="V85" s="18" t="n">
        <v>-310773.85</v>
      </c>
      <c r="W85" s="18" t="n">
        <v>-231060.41</v>
      </c>
      <c r="X85" s="18" t="n">
        <v>-256408.61</v>
      </c>
      <c r="Y85" s="18" t="n">
        <v>-196298.47</v>
      </c>
      <c r="Z85" s="34" t="n">
        <v>-994541.34</v>
      </c>
      <c r="AA85" s="18" t="n">
        <v>441164.73</v>
      </c>
      <c r="AB85" s="19" t="n">
        <v>-137114.03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유형자산의감소</t>
        </is>
      </c>
      <c r="E86" s="18" t="n">
        <v>2036.48</v>
      </c>
      <c r="F86" s="9" t="n"/>
      <c r="I86" s="18" t="n">
        <v>7324.26</v>
      </c>
      <c r="J86" s="18" t="n">
        <v>1991.71</v>
      </c>
      <c r="K86" s="9" t="n"/>
      <c r="L86" s="18" t="n">
        <v>0.72</v>
      </c>
      <c r="M86" s="18" t="n">
        <v>0.78</v>
      </c>
      <c r="N86" s="18" t="n">
        <v>1319.82</v>
      </c>
      <c r="O86" s="18" t="n">
        <v>9755.27</v>
      </c>
      <c r="P86" s="34" t="n">
        <v>11076.59</v>
      </c>
      <c r="Q86" s="18" t="n">
        <v>5.91</v>
      </c>
      <c r="R86" s="18" t="n">
        <v>5758.49</v>
      </c>
      <c r="T86" s="18" t="n">
        <v>366.27</v>
      </c>
      <c r="U86" s="9" t="n"/>
      <c r="V86" s="18" t="n">
        <v>2047.6</v>
      </c>
      <c r="W86" s="18" t="n">
        <v>30781.86</v>
      </c>
      <c r="Z86" s="9" t="n"/>
      <c r="AA86" s="18" t="n">
        <v>8.68</v>
      </c>
      <c r="AB86" s="19" t="n">
        <v>7029.79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무형자산의감소</t>
        </is>
      </c>
      <c r="E87" s="18" t="n">
        <v>0</v>
      </c>
      <c r="F87" s="9" t="n"/>
      <c r="I87" s="18" t="n">
        <v>0</v>
      </c>
      <c r="J87" s="18" t="n">
        <v>0</v>
      </c>
      <c r="K87" s="9" t="n"/>
      <c r="P87" s="9" t="n"/>
      <c r="T87" s="18" t="n">
        <v>0</v>
      </c>
      <c r="U87" s="9" t="n"/>
      <c r="Y87" s="18" t="n">
        <v>0</v>
      </c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유형자산의증가</t>
        </is>
      </c>
      <c r="E88" s="18" t="n">
        <v>990.85</v>
      </c>
      <c r="F88" s="9" t="n"/>
      <c r="G88" s="18" t="n">
        <v>701.05</v>
      </c>
      <c r="H88" s="18" t="n">
        <v>2947.57</v>
      </c>
      <c r="I88" s="18" t="n">
        <v>2834.53</v>
      </c>
      <c r="J88" s="18" t="n">
        <v>3216.44</v>
      </c>
      <c r="K88" s="34" t="n">
        <v>9699.59</v>
      </c>
      <c r="L88" s="18" t="n">
        <v>3590.05</v>
      </c>
      <c r="M88" s="18" t="n">
        <v>5786.18</v>
      </c>
      <c r="N88" s="18" t="n">
        <v>4304.63</v>
      </c>
      <c r="O88" s="18" t="n">
        <v>7766.22</v>
      </c>
      <c r="P88" s="34" t="n">
        <v>21447.08</v>
      </c>
      <c r="Q88" s="18" t="n">
        <v>7473.67</v>
      </c>
      <c r="R88" s="18" t="n">
        <v>6725.13</v>
      </c>
      <c r="S88" s="18" t="n">
        <v>4057.82</v>
      </c>
      <c r="T88" s="18" t="n">
        <v>7061.44</v>
      </c>
      <c r="U88" s="34" t="n">
        <v>25318.06</v>
      </c>
      <c r="V88" s="18" t="n">
        <v>7016.89</v>
      </c>
      <c r="W88" s="18" t="n">
        <v>8385.860000000001</v>
      </c>
      <c r="X88" s="18" t="n">
        <v>11475.29</v>
      </c>
      <c r="Y88" s="18" t="n">
        <v>6613.39</v>
      </c>
      <c r="Z88" s="34" t="n">
        <v>33491.43</v>
      </c>
      <c r="AA88" s="18" t="n">
        <v>8168.65</v>
      </c>
      <c r="AB88" s="19" t="n">
        <v>9746.379999999999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CAPEX</t>
        </is>
      </c>
      <c r="E89" s="18" t="n">
        <v>990.85</v>
      </c>
      <c r="F89" s="9" t="n"/>
      <c r="G89" s="18" t="n">
        <v>1330.62</v>
      </c>
      <c r="H89" s="18" t="n">
        <v>4029.11</v>
      </c>
      <c r="I89" s="18" t="n">
        <v>2928.13</v>
      </c>
      <c r="J89" s="18" t="n">
        <v>3243.11</v>
      </c>
      <c r="K89" s="34" t="n">
        <v>11530.97</v>
      </c>
      <c r="L89" s="18" t="n">
        <v>5264.92</v>
      </c>
      <c r="M89" s="18" t="n">
        <v>6561.38</v>
      </c>
      <c r="N89" s="18" t="n">
        <v>6643.97</v>
      </c>
      <c r="O89" s="18" t="n">
        <v>13002.51</v>
      </c>
      <c r="P89" s="34" t="n">
        <v>31472.78</v>
      </c>
      <c r="Q89" s="18" t="n">
        <v>9496.4</v>
      </c>
      <c r="R89" s="18" t="n">
        <v>8985.200000000001</v>
      </c>
      <c r="S89" s="18" t="n">
        <v>7018.94</v>
      </c>
      <c r="T89" s="18" t="n">
        <v>10617.67</v>
      </c>
      <c r="U89" s="34" t="n">
        <v>36118.21</v>
      </c>
      <c r="V89" s="18" t="n">
        <v>7963.14</v>
      </c>
      <c r="W89" s="18" t="n">
        <v>8976.540000000001</v>
      </c>
      <c r="X89" s="18" t="n">
        <v>11954.84</v>
      </c>
      <c r="Y89" s="18" t="n">
        <v>11647.99</v>
      </c>
      <c r="Z89" s="34" t="n">
        <v>40542.51</v>
      </c>
      <c r="AA89" s="18" t="n">
        <v>8659.93</v>
      </c>
      <c r="AB89" s="19" t="n">
        <v>10999.76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무형자산의증가</t>
        </is>
      </c>
      <c r="E90" s="18" t="n">
        <v>0</v>
      </c>
      <c r="F90" s="9" t="n"/>
      <c r="G90" s="18" t="n">
        <v>629.5700000000001</v>
      </c>
      <c r="H90" s="18" t="n">
        <v>1081.54</v>
      </c>
      <c r="I90" s="18" t="n">
        <v>93.59999999999999</v>
      </c>
      <c r="J90" s="18" t="n">
        <v>26.67</v>
      </c>
      <c r="K90" s="34" t="n">
        <v>1831.38</v>
      </c>
      <c r="L90" s="18" t="n">
        <v>1674.87</v>
      </c>
      <c r="M90" s="18" t="n">
        <v>775.2</v>
      </c>
      <c r="N90" s="18" t="n">
        <v>2339.34</v>
      </c>
      <c r="O90" s="18" t="n">
        <v>5236.29</v>
      </c>
      <c r="P90" s="34" t="n">
        <v>10025.7</v>
      </c>
      <c r="Q90" s="18" t="n">
        <v>2022.73</v>
      </c>
      <c r="R90" s="18" t="n">
        <v>2260.07</v>
      </c>
      <c r="S90" s="18" t="n">
        <v>2961.12</v>
      </c>
      <c r="T90" s="18" t="n">
        <v>3556.23</v>
      </c>
      <c r="U90" s="34" t="n">
        <v>10800.15</v>
      </c>
      <c r="V90" s="18" t="n">
        <v>946.25</v>
      </c>
      <c r="W90" s="18" t="n">
        <v>590.6799999999999</v>
      </c>
      <c r="X90" s="18" t="n">
        <v>479.55</v>
      </c>
      <c r="Y90" s="18" t="n">
        <v>5034.6</v>
      </c>
      <c r="Z90" s="34" t="n">
        <v>7051.08</v>
      </c>
      <c r="AA90" s="18" t="n">
        <v>491.28</v>
      </c>
      <c r="AB90" s="19" t="n">
        <v>1253.38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재무활동으로인한현금흐름</t>
        </is>
      </c>
      <c r="E91" s="18" t="n">
        <v>-1293.99</v>
      </c>
      <c r="F91" s="9" t="n"/>
      <c r="G91" s="18" t="n">
        <v>-1248.41</v>
      </c>
      <c r="H91" s="18" t="n">
        <v>-1191.68</v>
      </c>
      <c r="I91" s="18" t="n">
        <v>-1127.24</v>
      </c>
      <c r="J91" s="18" t="n">
        <v>-1314.21</v>
      </c>
      <c r="K91" s="34" t="n">
        <v>-4881.54</v>
      </c>
      <c r="L91" s="18" t="n">
        <v>-46808.77</v>
      </c>
      <c r="M91" s="18" t="n">
        <v>-2013.36</v>
      </c>
      <c r="N91" s="18" t="n">
        <v>-2100.22</v>
      </c>
      <c r="O91" s="18" t="n">
        <v>-2267.61</v>
      </c>
      <c r="P91" s="34" t="n">
        <v>-53189.96</v>
      </c>
      <c r="Q91" s="18" t="n">
        <v>-2041.54</v>
      </c>
      <c r="R91" s="18" t="n">
        <v>-2116.32</v>
      </c>
      <c r="S91" s="18" t="n">
        <v>-2158.11</v>
      </c>
      <c r="T91" s="18" t="n">
        <v>-2225.81</v>
      </c>
      <c r="U91" s="34" t="n">
        <v>-8541.780000000001</v>
      </c>
      <c r="V91" s="18" t="n">
        <v>597242.12</v>
      </c>
      <c r="W91" s="18" t="n">
        <v>-363819.18</v>
      </c>
      <c r="X91" s="18" t="n">
        <v>-229216.8</v>
      </c>
      <c r="Y91" s="18" t="n">
        <v>-3165.84</v>
      </c>
      <c r="Z91" s="34" t="n">
        <v>1040.3</v>
      </c>
      <c r="AA91" s="18" t="n">
        <v>-2815.93</v>
      </c>
      <c r="AB91" s="19" t="n">
        <v>1635388.5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현금및현금성자산의증감</t>
        </is>
      </c>
      <c r="E92" s="18" t="n">
        <v>181225.29</v>
      </c>
      <c r="F92" s="9" t="n"/>
      <c r="G92" s="18" t="n">
        <v>-123393.13</v>
      </c>
      <c r="H92" s="18" t="n">
        <v>449488.43</v>
      </c>
      <c r="I92" s="18" t="n">
        <v>-873970.08</v>
      </c>
      <c r="J92" s="18" t="n">
        <v>85481.92</v>
      </c>
      <c r="K92" s="34" t="n">
        <v>-462392.86</v>
      </c>
      <c r="L92" s="18" t="n">
        <v>-297787.15</v>
      </c>
      <c r="M92" s="18" t="n">
        <v>729138.16</v>
      </c>
      <c r="N92" s="18" t="n">
        <v>-742134.02</v>
      </c>
      <c r="O92" s="18" t="n">
        <v>-171605.67</v>
      </c>
      <c r="P92" s="34" t="n">
        <v>-482388.68</v>
      </c>
      <c r="Q92" s="18" t="n">
        <v>497266.16</v>
      </c>
      <c r="R92" s="18" t="n">
        <v>-359505.06</v>
      </c>
      <c r="S92" s="18" t="n">
        <v>-129998.2</v>
      </c>
      <c r="T92" s="18" t="n">
        <v>249842.71</v>
      </c>
      <c r="U92" s="34" t="n">
        <v>257605.61</v>
      </c>
      <c r="V92" s="18" t="n">
        <v>279749.83</v>
      </c>
      <c r="W92" s="18" t="n">
        <v>-116990.99</v>
      </c>
      <c r="X92" s="18" t="n">
        <v>-143718.27</v>
      </c>
      <c r="Y92" s="18" t="n">
        <v>-258049.25</v>
      </c>
      <c r="Z92" s="34" t="n">
        <v>-239008.68</v>
      </c>
      <c r="AA92" s="18" t="n">
        <v>237703.97</v>
      </c>
      <c r="AB92" s="19" t="n">
        <v>2384476.84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기말현금및현금성자산</t>
        </is>
      </c>
      <c r="E93" s="18" t="n">
        <v>181225.3</v>
      </c>
      <c r="F93" s="9" t="n"/>
      <c r="G93" s="18" t="n">
        <v>1326479.67</v>
      </c>
      <c r="H93" s="18" t="n">
        <v>449488.43</v>
      </c>
      <c r="I93" s="18" t="n">
        <v>-873970.08</v>
      </c>
      <c r="J93" s="18" t="n">
        <v>85481.92</v>
      </c>
      <c r="K93" s="34" t="n">
        <v>987479.9399999999</v>
      </c>
      <c r="L93" s="18" t="n">
        <v>689692.8</v>
      </c>
      <c r="M93" s="18" t="n">
        <v>729138.15</v>
      </c>
      <c r="N93" s="18" t="n">
        <v>-742134.01</v>
      </c>
      <c r="O93" s="18" t="n">
        <v>-171605.68</v>
      </c>
      <c r="P93" s="34" t="n">
        <v>505091.26</v>
      </c>
      <c r="Q93" s="18" t="n">
        <v>1002357.42</v>
      </c>
      <c r="R93" s="18" t="n">
        <v>-359505.07</v>
      </c>
      <c r="S93" s="18" t="n">
        <v>-129998.19</v>
      </c>
      <c r="T93" s="18" t="n">
        <v>249842.7</v>
      </c>
      <c r="U93" s="34" t="n">
        <v>762696.86</v>
      </c>
      <c r="V93" s="18" t="n">
        <v>1042446.69</v>
      </c>
      <c r="W93" s="18" t="n">
        <v>-116990.98</v>
      </c>
      <c r="X93" s="18" t="n">
        <v>-143718.27</v>
      </c>
      <c r="Y93" s="18" t="n">
        <v>-258049.26</v>
      </c>
      <c r="Z93" s="34" t="n">
        <v>523688.18</v>
      </c>
      <c r="AA93" s="18" t="n">
        <v>761392.15</v>
      </c>
      <c r="AB93" s="19" t="n">
        <v>2384476.84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리스부채의상환</t>
        </is>
      </c>
      <c r="F94" s="9" t="n"/>
      <c r="K94" s="9" t="n"/>
      <c r="L94" s="18" t="n">
        <v>1803.53</v>
      </c>
      <c r="P94" s="9" t="n"/>
      <c r="U94" s="9" t="n"/>
      <c r="Z94" s="9" t="n"/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배당금지급</t>
        </is>
      </c>
      <c r="F95" s="9" t="n"/>
      <c r="K95" s="9" t="n"/>
      <c r="P95" s="9" t="n"/>
      <c r="U95" s="9" t="n"/>
      <c r="X95" s="18" t="n">
        <v>226267.58</v>
      </c>
      <c r="Y95" s="18" t="n">
        <v>0</v>
      </c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4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4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4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4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4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5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5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5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4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4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4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4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4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5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5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5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4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4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4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4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4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5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5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5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4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4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4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4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4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5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5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5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4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4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4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4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4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5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5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5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 t="n">
        <v>-0.1563</v>
      </c>
      <c r="F10" s="34" t="n"/>
      <c r="G10" s="18" t="n">
        <v>-0.1014</v>
      </c>
      <c r="H10" s="18" t="n">
        <v>-0.0633</v>
      </c>
      <c r="I10" s="18" t="n">
        <v>0.0443</v>
      </c>
      <c r="J10" s="18" t="n">
        <v>0.0237</v>
      </c>
      <c r="K10" s="34">
        <f>SUM(G10:J10)</f>
        <v/>
      </c>
      <c r="L10" s="18" t="n">
        <v>-0.0039</v>
      </c>
      <c r="M10" s="18" t="n">
        <v>0.0131</v>
      </c>
      <c r="N10" s="18" t="n">
        <v>0.0138</v>
      </c>
      <c r="O10" s="18" t="n">
        <v>0.0269</v>
      </c>
      <c r="P10" s="34">
        <f>SUM(L10:O10)</f>
        <v/>
      </c>
      <c r="Q10" s="18" t="n">
        <v>0.029</v>
      </c>
      <c r="R10" s="18" t="n">
        <v>0.0569</v>
      </c>
      <c r="S10" s="18" t="n">
        <v>0.0638</v>
      </c>
      <c r="T10" s="18" t="n">
        <v>0.0697</v>
      </c>
      <c r="U10" s="34">
        <f>SUM(Q10:T10)</f>
        <v/>
      </c>
      <c r="V10" s="18" t="n">
        <v>0.1269</v>
      </c>
      <c r="W10" s="18" t="n">
        <v>0.1284</v>
      </c>
      <c r="X10" s="18" t="n">
        <v>0.139</v>
      </c>
      <c r="Y10" s="18" t="n">
        <v>0.1273</v>
      </c>
      <c r="Z10" s="34">
        <f>SUM(V10:Y10)</f>
        <v/>
      </c>
      <c r="AA10" s="18" t="n">
        <v>0.1666</v>
      </c>
      <c r="AB10" s="19" t="n">
        <v>0.1843</v>
      </c>
      <c r="AC10" s="20">
        <f>IFERROR(X10*(1+변수!AC24),"")</f>
        <v/>
      </c>
      <c r="AD10" s="20">
        <f>IFERROR(Y10*(1+변수!AD24),"")</f>
        <v/>
      </c>
      <c r="AE10" s="35">
        <f>SUM(AA10:AD10)</f>
        <v/>
      </c>
      <c r="AF10" s="20">
        <f>IFERROR(AA10*(1+변수!AF24),"")</f>
        <v/>
      </c>
      <c r="AG10" s="20">
        <f>IFERROR(AB10*(1+변수!AG24),"")</f>
        <v/>
      </c>
      <c r="AH10" s="20">
        <f>IFERROR(AC10*(1+변수!AH24),"")</f>
        <v/>
      </c>
      <c r="AI10" s="20">
        <f>IFERROR(AD10*(1+변수!AI24),"")</f>
        <v/>
      </c>
      <c r="AJ10" s="35">
        <f>SUM(AF10:AI10)</f>
        <v/>
      </c>
      <c r="AK10" s="20">
        <f>IFERROR(AF10*(1+변수!AK24),"")</f>
        <v/>
      </c>
      <c r="AL10" s="20">
        <f>IFERROR(AG10*(1+변수!AL24),"")</f>
        <v/>
      </c>
      <c r="AM10" s="20">
        <f>IFERROR(AH10*(1+변수!AM24),"")</f>
        <v/>
      </c>
      <c r="AN10" s="20">
        <f>IFERROR(AI10*(1+변수!AN24),"")</f>
        <v/>
      </c>
      <c r="AO10" s="35">
        <f>SUM(AK10:AN10)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4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4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4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4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4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변수!AC25</f>
        <v/>
      </c>
      <c r="AD11" s="20">
        <f>변수!AD25</f>
        <v/>
      </c>
      <c r="AE11" s="35">
        <f>SUM(AA11:AD11)</f>
        <v/>
      </c>
      <c r="AF11" s="20">
        <f>변수!AF25</f>
        <v/>
      </c>
      <c r="AG11" s="20">
        <f>변수!AG25</f>
        <v/>
      </c>
      <c r="AH11" s="20">
        <f>변수!AH25</f>
        <v/>
      </c>
      <c r="AI11" s="20">
        <f>변수!AI25</f>
        <v/>
      </c>
      <c r="AJ11" s="35">
        <f>SUM(AF11:AI11)</f>
        <v/>
      </c>
      <c r="AK11" s="20">
        <f>변수!AK25</f>
        <v/>
      </c>
      <c r="AL11" s="20">
        <f>변수!AL25</f>
        <v/>
      </c>
      <c r="AM11" s="20">
        <f>변수!AM25</f>
        <v/>
      </c>
      <c r="AN11" s="20">
        <f>변수!AN25</f>
        <v/>
      </c>
      <c r="AO11" s="35">
        <f>SUM(AK11:AN11)</f>
        <v/>
      </c>
    </row>
    <row r="12">
      <c r="A12" s="12" t="inlineStr">
        <is>
          <t>기타영업외손익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기타영업외손익</t>
        </is>
      </c>
      <c r="E12" s="18">
        <f>IFERROR(VLOOKUP($D12,BS연결,MATCH(E$1,BS연결H,0),0)/100,"")</f>
        <v/>
      </c>
      <c r="F12" s="34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4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4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4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4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변수!AC26</f>
        <v/>
      </c>
      <c r="AD12" s="20">
        <f>변수!AD26</f>
        <v/>
      </c>
      <c r="AE12" s="35">
        <f>SUM(AA12:AD12)</f>
        <v/>
      </c>
      <c r="AF12" s="20">
        <f>변수!AF26</f>
        <v/>
      </c>
      <c r="AG12" s="20">
        <f>변수!AG26</f>
        <v/>
      </c>
      <c r="AH12" s="20">
        <f>변수!AH26</f>
        <v/>
      </c>
      <c r="AI12" s="20">
        <f>변수!AI26</f>
        <v/>
      </c>
      <c r="AJ12" s="35">
        <f>SUM(AF12:AI12)</f>
        <v/>
      </c>
      <c r="AK12" s="20">
        <f>변수!AK26</f>
        <v/>
      </c>
      <c r="AL12" s="20">
        <f>변수!AL26</f>
        <v/>
      </c>
      <c r="AM12" s="20">
        <f>변수!AM26</f>
        <v/>
      </c>
      <c r="AN12" s="20">
        <f>변수!AN26</f>
        <v/>
      </c>
      <c r="AO12" s="35">
        <f>SUM(AK12:AN12)</f>
        <v/>
      </c>
    </row>
    <row r="13">
      <c r="A13" s="12" t="inlineStr">
        <is>
          <t>지분법손익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종속기업,공동지배기업및관계기업관련손익</t>
        </is>
      </c>
      <c r="E13" s="18">
        <f>IFERROR(VLOOKUP($D13,BS연결,MATCH(E$1,BS연결H,0),0)/100,"")</f>
        <v/>
      </c>
      <c r="F13" s="34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4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4">
        <f>IFERROR(VLOOKUP($D13,BS연결,MATCH(P$1,BS연결H,0),0)/100,"")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4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4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변수!AC27</f>
        <v/>
      </c>
      <c r="AD13" s="20">
        <f>변수!AD27</f>
        <v/>
      </c>
      <c r="AE13" s="35">
        <f>SUM(AA13:AD13)</f>
        <v/>
      </c>
      <c r="AF13" s="20">
        <f>변수!AF27</f>
        <v/>
      </c>
      <c r="AG13" s="20">
        <f>변수!AG27</f>
        <v/>
      </c>
      <c r="AH13" s="20">
        <f>변수!AH27</f>
        <v/>
      </c>
      <c r="AI13" s="20">
        <f>변수!AI27</f>
        <v/>
      </c>
      <c r="AJ13" s="35">
        <f>SUM(AF13:AI13)</f>
        <v/>
      </c>
      <c r="AK13" s="20">
        <f>변수!AK27</f>
        <v/>
      </c>
      <c r="AL13" s="20">
        <f>변수!AL27</f>
        <v/>
      </c>
      <c r="AM13" s="20">
        <f>변수!AM27</f>
        <v/>
      </c>
      <c r="AN13" s="20">
        <f>변수!AN27</f>
        <v/>
      </c>
      <c r="AO13" s="35">
        <f>SUM(AK13:AN13)</f>
        <v/>
      </c>
    </row>
    <row r="14">
      <c r="A14" s="12" t="inlineStr">
        <is>
          <t>세전이익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법인세비용차감전계속사업이익</t>
        </is>
      </c>
      <c r="E14" s="18">
        <f>IFERROR(VLOOKUP($D14,BS연결,MATCH(E$1,BS연결H,0),0)/100,"")</f>
        <v/>
      </c>
      <c r="F14" s="34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4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4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4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4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IFERROR(AC9+AC11+AC12+AC13,"")</f>
        <v/>
      </c>
      <c r="AD14" s="20">
        <f>IFERROR(AD9+AD11+AD12+AD13,"")</f>
        <v/>
      </c>
      <c r="AE14" s="35">
        <f>SUM(AA14:AD14)</f>
        <v/>
      </c>
      <c r="AF14" s="20">
        <f>IFERROR(AF9+AF11+AF12+AF13,"")</f>
        <v/>
      </c>
      <c r="AG14" s="20">
        <f>IFERROR(AG9+AG11+AG12+AG13,"")</f>
        <v/>
      </c>
      <c r="AH14" s="20">
        <f>IFERROR(AH9+AH11+AH12+AH13,"")</f>
        <v/>
      </c>
      <c r="AI14" s="20">
        <f>IFERROR(AI9+AI11+AI12+AI13,"")</f>
        <v/>
      </c>
      <c r="AJ14" s="35">
        <f>SUM(AF14:AI14)</f>
        <v/>
      </c>
      <c r="AK14" s="20">
        <f>IFERROR(AK9+AK11+AK12+AK13,"")</f>
        <v/>
      </c>
      <c r="AL14" s="20">
        <f>IFERROR(AL9+AL11+AL12+AL13,"")</f>
        <v/>
      </c>
      <c r="AM14" s="20">
        <f>IFERROR(AM9+AM11+AM12+AM13,"")</f>
        <v/>
      </c>
      <c r="AN14" s="20">
        <f>IFERROR(AN9+AN11+AN12+AN13,"")</f>
        <v/>
      </c>
      <c r="AO14" s="35">
        <f>SUM(AK14:AN14)</f>
        <v/>
      </c>
    </row>
    <row r="15">
      <c r="A15" s="12" t="inlineStr">
        <is>
          <t>법인세비용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</t>
        </is>
      </c>
      <c r="E15" s="18">
        <f>IFERROR(VLOOKUP($D15,BS연결,MATCH(E$1,BS연결H,0),0)/100,"")</f>
        <v/>
      </c>
      <c r="F15" s="34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4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4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4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4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IFERROR(AC14*변수!AC28,"")</f>
        <v/>
      </c>
      <c r="AD15" s="20">
        <f>IFERROR(AD14*변수!AD28,"")</f>
        <v/>
      </c>
      <c r="AE15" s="35">
        <f>SUM(AA15:AD15)</f>
        <v/>
      </c>
      <c r="AF15" s="20">
        <f>IFERROR(AF14*변수!AF28,"")</f>
        <v/>
      </c>
      <c r="AG15" s="20">
        <f>IFERROR(AG14*변수!AG28,"")</f>
        <v/>
      </c>
      <c r="AH15" s="20">
        <f>IFERROR(AH14*변수!AH28,"")</f>
        <v/>
      </c>
      <c r="AI15" s="20">
        <f>IFERROR(AI14*변수!AI28,"")</f>
        <v/>
      </c>
      <c r="AJ15" s="35">
        <f>SUM(AF15:AI15)</f>
        <v/>
      </c>
      <c r="AK15" s="20">
        <f>IFERROR(AK14*변수!AK28,"")</f>
        <v/>
      </c>
      <c r="AL15" s="20">
        <f>IFERROR(AL14*변수!AL28,"")</f>
        <v/>
      </c>
      <c r="AM15" s="20">
        <f>IFERROR(AM14*변수!AM28,"")</f>
        <v/>
      </c>
      <c r="AN15" s="20">
        <f>IFERROR(AN14*변수!AN28,"")</f>
        <v/>
      </c>
      <c r="AO15" s="35">
        <f>SUM(AK15:AN15)</f>
        <v/>
      </c>
    </row>
    <row r="16">
      <c r="A16" s="12" t="inlineStr">
        <is>
          <t>당기순이익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당기순이익</t>
        </is>
      </c>
      <c r="E16" s="18">
        <f>IFERROR(VLOOKUP($D16,BS연결,MATCH(E$1,BS연결H,0),0)/100,"")</f>
        <v/>
      </c>
      <c r="F16" s="34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4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4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4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4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IFERROR(AC14-AC15,"")</f>
        <v/>
      </c>
      <c r="AD16" s="20">
        <f>IFERROR(AD14-AD15,"")</f>
        <v/>
      </c>
      <c r="AE16" s="35">
        <f>SUM(AA16:AD16)</f>
        <v/>
      </c>
      <c r="AF16" s="20">
        <f>IFERROR(AF14-AF15,"")</f>
        <v/>
      </c>
      <c r="AG16" s="20">
        <f>IFERROR(AG14-AG15,"")</f>
        <v/>
      </c>
      <c r="AH16" s="20">
        <f>IFERROR(AH14-AH15,"")</f>
        <v/>
      </c>
      <c r="AI16" s="20">
        <f>IFERROR(AI14-AI15,"")</f>
        <v/>
      </c>
      <c r="AJ16" s="35">
        <f>SUM(AF16:AI16)</f>
        <v/>
      </c>
      <c r="AK16" s="20">
        <f>IFERROR(AK14-AK15,"")</f>
        <v/>
      </c>
      <c r="AL16" s="20">
        <f>IFERROR(AL14-AL15,"")</f>
        <v/>
      </c>
      <c r="AM16" s="20">
        <f>IFERROR(AM14-AM15,"")</f>
        <v/>
      </c>
      <c r="AN16" s="20">
        <f>IFERROR(AN14-AN15,"")</f>
        <v/>
      </c>
      <c r="AO16" s="35">
        <f>SUM(AK16:AN16)</f>
        <v/>
      </c>
    </row>
    <row r="17">
      <c r="A17" s="12" t="inlineStr">
        <is>
          <t>지배주주순이익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(지배주주지분)당기순이익</t>
        </is>
      </c>
      <c r="E17" s="18">
        <f>IFERROR(VLOOKUP($D17,BS연결,MATCH(E$1,BS연결H,0),0)/100,"")</f>
        <v/>
      </c>
      <c r="F17" s="34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4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4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4">
        <f>IFERROR(VLOOKUP($D17,BS연결,MATCH(U$1,BS연결H,0),0)/100,"")</f>
        <v/>
      </c>
      <c r="V17" s="18" t="n">
        <v>4953.97</v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4">
        <f>SUM(V17:Y17)</f>
        <v/>
      </c>
      <c r="AA17" s="18" t="n">
        <v>8442.549999999999</v>
      </c>
      <c r="AB17" s="19">
        <f>IFERROR(VLOOKUP($D17,BS연결,MATCH(AB$1,BS연결H,0),0)/100,"")</f>
        <v/>
      </c>
      <c r="AC17" s="20">
        <f>IFERROR(AC16*변수!AC29,"")</f>
        <v/>
      </c>
      <c r="AD17" s="20">
        <f>IFERROR(AD16*변수!AD29,"")</f>
        <v/>
      </c>
      <c r="AE17" s="35">
        <f>SUM(AA17:AD17)</f>
        <v/>
      </c>
      <c r="AF17" s="20">
        <f>IFERROR(AF16*변수!AF29,"")</f>
        <v/>
      </c>
      <c r="AG17" s="20">
        <f>IFERROR(AG16*변수!AG29,"")</f>
        <v/>
      </c>
      <c r="AH17" s="20">
        <f>IFERROR(AH16*변수!AH29,"")</f>
        <v/>
      </c>
      <c r="AI17" s="20">
        <f>IFERROR(AI16*변수!AI29,"")</f>
        <v/>
      </c>
      <c r="AJ17" s="35">
        <f>SUM(AF17:AI17)</f>
        <v/>
      </c>
      <c r="AK17" s="20">
        <f>IFERROR(AK16*변수!AK29,"")</f>
        <v/>
      </c>
      <c r="AL17" s="20">
        <f>IFERROR(AL16*변수!AL29,"")</f>
        <v/>
      </c>
      <c r="AM17" s="20">
        <f>IFERROR(AM16*변수!AM29,"")</f>
        <v/>
      </c>
      <c r="AN17" s="20">
        <f>IFERROR(AN16*변수!AN29,"")</f>
        <v/>
      </c>
      <c r="AO17" s="35">
        <f>SUM(AK17:AN17)</f>
        <v/>
      </c>
    </row>
    <row r="18">
      <c r="A18" s="12" t="inlineStr">
        <is>
          <t>자산총계</t>
        </is>
      </c>
      <c r="B18" t="inlineStr">
        <is>
          <t>재무상태</t>
        </is>
      </c>
      <c r="C18" t="inlineStr">
        <is>
          <t>억원</t>
        </is>
      </c>
      <c r="D18" t="inlineStr">
        <is>
          <t>자산총계</t>
        </is>
      </c>
      <c r="E18" s="18">
        <f>IFERROR(VLOOKUP($D18,BS연결,MATCH(E$1,BS연결H,0),0)/100,"")</f>
        <v/>
      </c>
      <c r="F18" s="34">
        <f>IFERROR(VLOOKUP($D18,BS연결,MATCH(F$1,BS연결H,0),0)/100,"")</f>
        <v/>
      </c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4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4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4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4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IFERROR(AC19+AC20,"")</f>
        <v/>
      </c>
      <c r="AD18" s="20">
        <f>IFERROR(AD19+AD20,"")</f>
        <v/>
      </c>
      <c r="AE18" s="35">
        <f>AD18</f>
        <v/>
      </c>
      <c r="AF18" s="20">
        <f>IFERROR(AF19+AF20,"")</f>
        <v/>
      </c>
      <c r="AG18" s="20">
        <f>IFERROR(AG19+AG20,"")</f>
        <v/>
      </c>
      <c r="AH18" s="20">
        <f>IFERROR(AH19+AH20,"")</f>
        <v/>
      </c>
      <c r="AI18" s="20">
        <f>IFERROR(AI19+AI20,"")</f>
        <v/>
      </c>
      <c r="AJ18" s="35">
        <f>AI18</f>
        <v/>
      </c>
      <c r="AK18" s="20">
        <f>IFERROR(AK19+AK20,"")</f>
        <v/>
      </c>
      <c r="AL18" s="20">
        <f>IFERROR(AL19+AL20,"")</f>
        <v/>
      </c>
      <c r="AM18" s="20">
        <f>IFERROR(AM19+AM20,"")</f>
        <v/>
      </c>
      <c r="AN18" s="20">
        <f>IFERROR(AN19+AN20,"")</f>
        <v/>
      </c>
      <c r="AO18" s="35">
        <f>AN18</f>
        <v/>
      </c>
    </row>
    <row r="19">
      <c r="A19" s="12" t="inlineStr">
        <is>
          <t>부채총계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부채총계</t>
        </is>
      </c>
      <c r="E19" s="18">
        <f>IFERROR(VLOOKUP($D19,BS연결,MATCH(E$1,BS연결H,0),0)/100,"")</f>
        <v/>
      </c>
      <c r="F19" s="34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4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4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4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4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IFERROR(AB19*(1+변수!AC30),"")</f>
        <v/>
      </c>
      <c r="AD19" s="20">
        <f>IFERROR(AC19*(1+변수!AD30),"")</f>
        <v/>
      </c>
      <c r="AE19" s="35">
        <f>AD19</f>
        <v/>
      </c>
      <c r="AF19" s="20">
        <f>IFERROR(AD19*(1+변수!AF30),"")</f>
        <v/>
      </c>
      <c r="AG19" s="20">
        <f>IFERROR(AF19*(1+변수!AG30),"")</f>
        <v/>
      </c>
      <c r="AH19" s="20">
        <f>IFERROR(AG19*(1+변수!AH30),"")</f>
        <v/>
      </c>
      <c r="AI19" s="20">
        <f>IFERROR(AH19*(1+변수!AI30),"")</f>
        <v/>
      </c>
      <c r="AJ19" s="35">
        <f>AI19</f>
        <v/>
      </c>
      <c r="AK19" s="20">
        <f>IFERROR(AI19*(1+변수!AK30),"")</f>
        <v/>
      </c>
      <c r="AL19" s="20">
        <f>IFERROR(AK19*(1+변수!AL30),"")</f>
        <v/>
      </c>
      <c r="AM19" s="20">
        <f>IFERROR(AL19*(1+변수!AM30),"")</f>
        <v/>
      </c>
      <c r="AN19" s="20">
        <f>IFERROR(AM19*(1+변수!AN30),"")</f>
        <v/>
      </c>
      <c r="AO19" s="35">
        <f>AN19</f>
        <v/>
      </c>
    </row>
    <row r="20">
      <c r="A20" s="12" t="inlineStr">
        <is>
          <t>자본총계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자본총계</t>
        </is>
      </c>
      <c r="E20" s="18">
        <f>IFERROR(VLOOKUP($D20,BS연결,MATCH(E$1,BS연결H,0),0)/100,"")</f>
        <v/>
      </c>
      <c r="F20" s="34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4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4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4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4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IFERROR(AB20+AC16-변수!AC31,"")</f>
        <v/>
      </c>
      <c r="AD20" s="20">
        <f>IFERROR(AC20+AD16-변수!AD31,"")</f>
        <v/>
      </c>
      <c r="AE20" s="35">
        <f>AD20</f>
        <v/>
      </c>
      <c r="AF20" s="20">
        <f>IFERROR(AD20+AF16-변수!AF31,"")</f>
        <v/>
      </c>
      <c r="AG20" s="20">
        <f>IFERROR(AF20+AG16-변수!AG31,"")</f>
        <v/>
      </c>
      <c r="AH20" s="20">
        <f>IFERROR(AG20+AH16-변수!AH31,"")</f>
        <v/>
      </c>
      <c r="AI20" s="20">
        <f>IFERROR(AH20+AI16-변수!AI31,"")</f>
        <v/>
      </c>
      <c r="AJ20" s="35">
        <f>AI20</f>
        <v/>
      </c>
      <c r="AK20" s="20">
        <f>IFERROR(AI20+AK16-변수!AK31,"")</f>
        <v/>
      </c>
      <c r="AL20" s="20">
        <f>IFERROR(AK20+AL16-변수!AL31,"")</f>
        <v/>
      </c>
      <c r="AM20" s="20">
        <f>IFERROR(AL20+AM16-변수!AM31,"")</f>
        <v/>
      </c>
      <c r="AN20" s="20">
        <f>IFERROR(AM20+AN16-변수!AN31,"")</f>
        <v/>
      </c>
      <c r="AO20" s="35">
        <f>AN20</f>
        <v/>
      </c>
    </row>
    <row r="21">
      <c r="A21" s="12" t="inlineStr">
        <is>
          <t>지배주주지분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지배주주지분</t>
        </is>
      </c>
      <c r="E21" s="18">
        <f>IFERROR(VLOOKUP($D21,BS연결,MATCH(E$1,BS연결H,0),0)/100,"")</f>
        <v/>
      </c>
      <c r="F21" s="34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4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4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4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4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IFERROR(AB21+AC17-변수!AC32,"")</f>
        <v/>
      </c>
      <c r="AD21" s="20">
        <f>IFERROR(AC21+AD17-변수!AD32,"")</f>
        <v/>
      </c>
      <c r="AE21" s="35">
        <f>AD21</f>
        <v/>
      </c>
      <c r="AF21" s="20">
        <f>IFERROR(AD21+AF17-변수!AF32,"")</f>
        <v/>
      </c>
      <c r="AG21" s="20">
        <f>IFERROR(AF21+AG17-변수!AG32,"")</f>
        <v/>
      </c>
      <c r="AH21" s="20">
        <f>IFERROR(AG21+AH17-변수!AH32,"")</f>
        <v/>
      </c>
      <c r="AI21" s="20">
        <f>IFERROR(AH21+AI17-변수!AI32,"")</f>
        <v/>
      </c>
      <c r="AJ21" s="35">
        <f>AI21</f>
        <v/>
      </c>
      <c r="AK21" s="20">
        <f>IFERROR(AI21+AK17-변수!AK32,"")</f>
        <v/>
      </c>
      <c r="AL21" s="20">
        <f>IFERROR(AK21+AL17-변수!AL32,"")</f>
        <v/>
      </c>
      <c r="AM21" s="20">
        <f>IFERROR(AL21+AM17-변수!AM32,"")</f>
        <v/>
      </c>
      <c r="AN21" s="20">
        <f>IFERROR(AM21+AN17-변수!AN32,"")</f>
        <v/>
      </c>
      <c r="AO21" s="35">
        <f>AN21</f>
        <v/>
      </c>
    </row>
    <row r="22">
      <c r="A22" s="12" t="inlineStr">
        <is>
          <t>총차입금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총차입금</t>
        </is>
      </c>
      <c r="E22" s="18">
        <f>IFERROR(VLOOKUP($D22,BS연결,MATCH(E$1,BS연결H,0),0)/100,"")</f>
        <v/>
      </c>
      <c r="F22" s="34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4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4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4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4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IFERROR(AB22*(1+변수!AC33),"")</f>
        <v/>
      </c>
      <c r="AD22" s="20">
        <f>IFERROR(AC22*(1+변수!AD33),"")</f>
        <v/>
      </c>
      <c r="AE22" s="35">
        <f>AD22</f>
        <v/>
      </c>
      <c r="AF22" s="20">
        <f>IFERROR(AD22*(1+변수!AF33),"")</f>
        <v/>
      </c>
      <c r="AG22" s="20">
        <f>IFERROR(AF22*(1+변수!AG33),"")</f>
        <v/>
      </c>
      <c r="AH22" s="20">
        <f>IFERROR(AG22*(1+변수!AH33),"")</f>
        <v/>
      </c>
      <c r="AI22" s="20">
        <f>IFERROR(AH22*(1+변수!AI33),"")</f>
        <v/>
      </c>
      <c r="AJ22" s="35">
        <f>AI22</f>
        <v/>
      </c>
      <c r="AK22" s="20">
        <f>IFERROR(AI22*(1+변수!AK33),"")</f>
        <v/>
      </c>
      <c r="AL22" s="20">
        <f>IFERROR(AK22*(1+변수!AL33),"")</f>
        <v/>
      </c>
      <c r="AM22" s="20">
        <f>IFERROR(AL22*(1+변수!AM33),"")</f>
        <v/>
      </c>
      <c r="AN22" s="20">
        <f>IFERROR(AM22*(1+변수!AN33),"")</f>
        <v/>
      </c>
      <c r="AO22" s="35">
        <f>AN22</f>
        <v/>
      </c>
    </row>
    <row r="23">
      <c r="A23" s="12" t="inlineStr">
        <is>
          <t>순차입금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순차입금</t>
        </is>
      </c>
      <c r="E23" s="18">
        <f>IFERROR(VLOOKUP($D23,BS연결,MATCH(E$1,BS연결H,0),0)/100,"")</f>
        <v/>
      </c>
      <c r="F23" s="34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4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4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4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4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IFERROR(AB23*(1+변수!AC34),"")</f>
        <v/>
      </c>
      <c r="AD23" s="20">
        <f>IFERROR(AC23*(1+변수!AD34),"")</f>
        <v/>
      </c>
      <c r="AE23" s="35">
        <f>AD23</f>
        <v/>
      </c>
      <c r="AF23" s="20">
        <f>IFERROR(AD23*(1+변수!AF34),"")</f>
        <v/>
      </c>
      <c r="AG23" s="20">
        <f>IFERROR(AF23*(1+변수!AG34),"")</f>
        <v/>
      </c>
      <c r="AH23" s="20">
        <f>IFERROR(AG23*(1+변수!AH34),"")</f>
        <v/>
      </c>
      <c r="AI23" s="20">
        <f>IFERROR(AH23*(1+변수!AI34),"")</f>
        <v/>
      </c>
      <c r="AJ23" s="35">
        <f>AI23</f>
        <v/>
      </c>
      <c r="AK23" s="20">
        <f>IFERROR(AI23*(1+변수!AK34),"")</f>
        <v/>
      </c>
      <c r="AL23" s="20">
        <f>IFERROR(AK23*(1+변수!AL34),"")</f>
        <v/>
      </c>
      <c r="AM23" s="20">
        <f>IFERROR(AL23*(1+변수!AM34),"")</f>
        <v/>
      </c>
      <c r="AN23" s="20">
        <f>IFERROR(AM23*(1+변수!AN34),"")</f>
        <v/>
      </c>
      <c r="AO23" s="35">
        <f>AN23</f>
        <v/>
      </c>
    </row>
    <row r="24">
      <c r="A24" s="12" t="inlineStr">
        <is>
          <t>이자발생자산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이자발생자산</t>
        </is>
      </c>
      <c r="E24" s="18">
        <f>IFERROR(VLOOKUP($D24,BS연결,MATCH(E$1,BS연결H,0),0)/100,"")</f>
        <v/>
      </c>
      <c r="F24" s="34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4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4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4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4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IFERROR(AB24*(1+변수!AC35),"")</f>
        <v/>
      </c>
      <c r="AD24" s="20">
        <f>IFERROR(AC24*(1+변수!AD35),"")</f>
        <v/>
      </c>
      <c r="AE24" s="35">
        <f>AD24</f>
        <v/>
      </c>
      <c r="AF24" s="20">
        <f>IFERROR(AD24*(1+변수!AF35),"")</f>
        <v/>
      </c>
      <c r="AG24" s="20">
        <f>IFERROR(AF24*(1+변수!AG35),"")</f>
        <v/>
      </c>
      <c r="AH24" s="20">
        <f>IFERROR(AG24*(1+변수!AH35),"")</f>
        <v/>
      </c>
      <c r="AI24" s="20">
        <f>IFERROR(AH24*(1+변수!AI35),"")</f>
        <v/>
      </c>
      <c r="AJ24" s="35">
        <f>AI24</f>
        <v/>
      </c>
      <c r="AK24" s="20">
        <f>IFERROR(AI24*(1+변수!AK35),"")</f>
        <v/>
      </c>
      <c r="AL24" s="20">
        <f>IFERROR(AK24*(1+변수!AL35),"")</f>
        <v/>
      </c>
      <c r="AM24" s="20">
        <f>IFERROR(AL24*(1+변수!AM35),"")</f>
        <v/>
      </c>
      <c r="AN24" s="20">
        <f>IFERROR(AM24*(1+변수!AN35),"")</f>
        <v/>
      </c>
      <c r="AO24" s="35">
        <f>AN24</f>
        <v/>
      </c>
    </row>
    <row r="25">
      <c r="A25" s="12" t="inlineStr">
        <is>
          <t>현금및현금성자산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현금및현금성자산</t>
        </is>
      </c>
      <c r="E25" s="18">
        <f>IFERROR(VLOOKUP($D25,BS연결,MATCH(E$1,BS연결H,0),0)/100,"")</f>
        <v/>
      </c>
      <c r="F25" s="34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4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4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4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4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 t="n"/>
      <c r="AD25" s="20" t="n"/>
      <c r="AE25" s="35">
        <f>AD25</f>
        <v/>
      </c>
      <c r="AF25" s="20" t="n"/>
      <c r="AG25" s="20" t="n"/>
      <c r="AH25" s="20" t="n"/>
      <c r="AI25" s="20" t="n"/>
      <c r="AJ25" s="35">
        <f>AI25</f>
        <v/>
      </c>
      <c r="AK25" s="20" t="n"/>
      <c r="AL25" s="20" t="n"/>
      <c r="AM25" s="20" t="n"/>
      <c r="AN25" s="20" t="n"/>
      <c r="AO25" s="35">
        <f>AN25</f>
        <v/>
      </c>
    </row>
    <row r="26">
      <c r="A26" s="12" t="inlineStr">
        <is>
          <t>CAPEX</t>
        </is>
      </c>
      <c r="B26" t="inlineStr">
        <is>
          <t>현금흐름</t>
        </is>
      </c>
      <c r="C26" t="inlineStr">
        <is>
          <t>억원</t>
        </is>
      </c>
      <c r="D26" t="inlineStr">
        <is>
          <t>CAPEX</t>
        </is>
      </c>
      <c r="E26" s="18">
        <f>IFERROR(VLOOKUP($D26,BS연결,MATCH(E$1,BS연결H,0),0)/100,"")</f>
        <v/>
      </c>
      <c r="F26" s="34" t="n"/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4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4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4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4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 t="n"/>
      <c r="AD26" s="20" t="n"/>
      <c r="AE26" s="35">
        <f>SUM(AA26:AD26)</f>
        <v/>
      </c>
      <c r="AF26" s="20" t="n"/>
      <c r="AG26" s="20" t="n"/>
      <c r="AH26" s="20" t="n"/>
      <c r="AI26" s="20" t="n"/>
      <c r="AJ26" s="35">
        <f>SUM(AF26:AI26)</f>
        <v/>
      </c>
      <c r="AK26" s="20" t="n"/>
      <c r="AL26" s="20" t="n"/>
      <c r="AM26" s="20" t="n"/>
      <c r="AN26" s="20" t="n"/>
      <c r="AO26" s="35">
        <f>SUM(AK26:AN26)</f>
        <v/>
      </c>
    </row>
    <row r="27">
      <c r="A27" s="12" t="inlineStr">
        <is>
          <t>영업활동현금흐름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영업활동현금흐름</t>
        </is>
      </c>
      <c r="E27" s="18" t="n">
        <v>-4414.53</v>
      </c>
      <c r="F27" s="34" t="n"/>
      <c r="G27" s="18" t="n">
        <v>194.3</v>
      </c>
      <c r="H27" s="18" t="n">
        <v>2084.04</v>
      </c>
      <c r="I27" s="18" t="n">
        <v>1915.76</v>
      </c>
      <c r="J27" s="18" t="n">
        <v>428.36</v>
      </c>
      <c r="K27" s="34">
        <f>SUM(G27:J27)</f>
        <v/>
      </c>
      <c r="L27" s="18" t="n">
        <v>7627.51</v>
      </c>
      <c r="M27" s="18" t="n">
        <v>5429.91</v>
      </c>
      <c r="N27" s="18" t="n">
        <v>9447.15</v>
      </c>
      <c r="O27" s="18" t="n">
        <v>-1688.67</v>
      </c>
      <c r="P27" s="34">
        <f>SUM(L27:O27)</f>
        <v/>
      </c>
      <c r="Q27" s="18" t="n">
        <v>7555.96</v>
      </c>
      <c r="R27" s="18" t="n">
        <v>15260.58</v>
      </c>
      <c r="S27" s="18" t="n">
        <v>1193.22</v>
      </c>
      <c r="T27" s="18" t="n">
        <v>18876.84</v>
      </c>
      <c r="U27" s="34">
        <f>SUM(Q27:T27)</f>
        <v/>
      </c>
      <c r="V27" s="18" t="n">
        <v>21845.44</v>
      </c>
      <c r="W27" s="18" t="n">
        <v>10829.5</v>
      </c>
      <c r="X27" s="18" t="n">
        <v>17024.42</v>
      </c>
      <c r="Y27" s="18" t="n">
        <v>-5478.85</v>
      </c>
      <c r="Z27" s="34">
        <f>SUM(V27:Y27)</f>
        <v/>
      </c>
      <c r="AA27" s="18" t="n">
        <v>17755.59</v>
      </c>
      <c r="AB27" s="19" t="n">
        <v>26039.51</v>
      </c>
      <c r="AC27" s="20" t="n"/>
      <c r="AD27" s="20" t="n"/>
      <c r="AE27" s="35">
        <f>SUM(AA27:AD27)</f>
        <v/>
      </c>
      <c r="AF27" s="20" t="n"/>
      <c r="AG27" s="20" t="n"/>
      <c r="AH27" s="20" t="n"/>
      <c r="AI27" s="20" t="n"/>
      <c r="AJ27" s="35">
        <f>SUM(AF27:AI27)</f>
        <v/>
      </c>
      <c r="AK27" s="20" t="n"/>
      <c r="AL27" s="20" t="n"/>
      <c r="AM27" s="20" t="n"/>
      <c r="AN27" s="20" t="n"/>
      <c r="AO27" s="35">
        <f>SUM(AK27:AN27)</f>
        <v/>
      </c>
    </row>
    <row r="28">
      <c r="A28" s="12" t="inlineStr">
        <is>
          <t>주식수</t>
        </is>
      </c>
      <c r="B28" t="inlineStr">
        <is>
          <t>주당</t>
        </is>
      </c>
      <c r="C28" t="inlineStr">
        <is>
          <t>백만주</t>
        </is>
      </c>
      <c r="D28" t="inlineStr">
        <is>
          <t>유통주식수</t>
        </is>
      </c>
      <c r="E28" s="26" t="n">
        <v>70.715</v>
      </c>
      <c r="F28" s="27">
        <f>E28</f>
        <v/>
      </c>
      <c r="G28" s="26" t="n">
        <v>70.715</v>
      </c>
      <c r="H28" s="26" t="n">
        <v>70.715</v>
      </c>
      <c r="I28" s="26" t="n">
        <v>70.715</v>
      </c>
      <c r="J28" s="26" t="n">
        <v>70.715</v>
      </c>
      <c r="K28" s="27">
        <f>J28</f>
        <v/>
      </c>
      <c r="L28" s="26" t="n">
        <v>70.715</v>
      </c>
      <c r="M28" s="26" t="n">
        <v>70.715</v>
      </c>
      <c r="N28" s="26" t="n">
        <v>70.715</v>
      </c>
      <c r="O28" s="26" t="n">
        <v>70.715</v>
      </c>
      <c r="P28" s="27">
        <f>O28</f>
        <v/>
      </c>
      <c r="Q28" s="26" t="n">
        <v>70.715</v>
      </c>
      <c r="R28" s="26" t="n">
        <v>70.715</v>
      </c>
      <c r="S28" s="26" t="n">
        <v>70.715</v>
      </c>
      <c r="T28" s="26" t="n">
        <v>70.715</v>
      </c>
      <c r="U28" s="27">
        <f>T28</f>
        <v/>
      </c>
      <c r="V28" s="26" t="n">
        <v>70.715</v>
      </c>
      <c r="W28" s="26" t="n">
        <v>70.715</v>
      </c>
      <c r="X28" s="26" t="n">
        <v>70.715</v>
      </c>
      <c r="Y28" s="26" t="n">
        <v>70.715</v>
      </c>
      <c r="Z28" s="27">
        <f>Y28</f>
        <v/>
      </c>
      <c r="AA28" s="26" t="n">
        <v>70.715</v>
      </c>
      <c r="AB28" s="28" t="n">
        <v>70.715</v>
      </c>
      <c r="AC28" s="36">
        <f>IFERROR(AB28*(1+변수!AC39),"")</f>
        <v/>
      </c>
      <c r="AD28" s="36">
        <f>IFERROR(AC28*(1+변수!AD39),"")</f>
        <v/>
      </c>
      <c r="AE28" s="30">
        <f>AD28</f>
        <v/>
      </c>
      <c r="AF28" s="36">
        <f>IFERROR(AD28*(1+변수!AF39),"")</f>
        <v/>
      </c>
      <c r="AG28" s="36">
        <f>IFERROR(AF28*(1+변수!AG39),"")</f>
        <v/>
      </c>
      <c r="AH28" s="36">
        <f>IFERROR(AG28*(1+변수!AH39),"")</f>
        <v/>
      </c>
      <c r="AI28" s="36">
        <f>IFERROR(AH28*(1+변수!AI39),"")</f>
        <v/>
      </c>
      <c r="AJ28" s="30">
        <f>AI28</f>
        <v/>
      </c>
      <c r="AK28" s="36">
        <f>IFERROR(AI28*(1+변수!AK39),"")</f>
        <v/>
      </c>
      <c r="AL28" s="36">
        <f>IFERROR(AK28*(1+변수!AL39),"")</f>
        <v/>
      </c>
      <c r="AM28" s="36">
        <f>IFERROR(AL28*(1+변수!AM39),"")</f>
        <v/>
      </c>
      <c r="AN28" s="36">
        <f>IFERROR(AM28*(1+변수!AN39),"")</f>
        <v/>
      </c>
      <c r="AO28" s="30">
        <f>AN28</f>
        <v/>
      </c>
    </row>
    <row r="29">
      <c r="A29" s="12" t="inlineStr">
        <is>
          <t>EPS</t>
        </is>
      </c>
      <c r="B29" t="inlineStr">
        <is>
          <t>주당</t>
        </is>
      </c>
      <c r="C29" t="inlineStr">
        <is>
          <t>원</t>
        </is>
      </c>
      <c r="D29" t="inlineStr">
        <is>
          <t>EPS</t>
        </is>
      </c>
      <c r="E29" s="18">
        <f>IFERROR(E17*100/E28,"")</f>
        <v/>
      </c>
      <c r="F29" s="34" t="n"/>
      <c r="G29" s="18">
        <f>IFERROR(G17*100/G28,"")</f>
        <v/>
      </c>
      <c r="H29" s="18">
        <f>IFERROR(H17*100/H28,"")</f>
        <v/>
      </c>
      <c r="I29" s="18">
        <f>IFERROR(I17*100/I28,"")</f>
        <v/>
      </c>
      <c r="J29" s="18">
        <f>IFERROR(J17*100/J28,"")</f>
        <v/>
      </c>
      <c r="K29" s="34">
        <f>SUM(G29:J29)</f>
        <v/>
      </c>
      <c r="L29" s="18">
        <f>IFERROR(L17*100/L28,"")</f>
        <v/>
      </c>
      <c r="M29" s="18">
        <f>IFERROR(M17*100/M28,"")</f>
        <v/>
      </c>
      <c r="N29" s="18">
        <f>IFERROR(N17*100/N28,"")</f>
        <v/>
      </c>
      <c r="O29" s="18">
        <f>IFERROR(O17*100/O28,"")</f>
        <v/>
      </c>
      <c r="P29" s="34">
        <f>SUM(L29:O29)</f>
        <v/>
      </c>
      <c r="Q29" s="18">
        <f>IFERROR(Q17*100/Q28,"")</f>
        <v/>
      </c>
      <c r="R29" s="18">
        <f>IFERROR(R17*100/R28,"")</f>
        <v/>
      </c>
      <c r="S29" s="18">
        <f>IFERROR(S17*100/S28,"")</f>
        <v/>
      </c>
      <c r="T29" s="18">
        <f>IFERROR(T17*100/T28,"")</f>
        <v/>
      </c>
      <c r="U29" s="34">
        <f>SUM(Q29:T29)</f>
        <v/>
      </c>
      <c r="V29" s="18">
        <f>IFERROR(V17*100/V28,"")</f>
        <v/>
      </c>
      <c r="W29" s="18">
        <f>IFERROR(W17*100/W28,"")</f>
        <v/>
      </c>
      <c r="X29" s="18">
        <f>IFERROR(X17*100/X28,"")</f>
        <v/>
      </c>
      <c r="Y29" s="18">
        <f>IFERROR(Y17*100/Y28,"")</f>
        <v/>
      </c>
      <c r="Z29" s="34">
        <f>SUM(V29:Y29)</f>
        <v/>
      </c>
      <c r="AA29" s="18">
        <f>IFERROR(AA17*100/AA28,"")</f>
        <v/>
      </c>
      <c r="AB29" s="19">
        <f>IFERROR(AB17*100/AB28,"")</f>
        <v/>
      </c>
      <c r="AC29" s="20">
        <f>IFERROR(AC17*100/AC28,"")</f>
        <v/>
      </c>
      <c r="AD29" s="20">
        <f>IFERROR(AD17*100/AD28,"")</f>
        <v/>
      </c>
      <c r="AE29" s="35">
        <f>SUM(AA29:AD29)</f>
        <v/>
      </c>
      <c r="AF29" s="20">
        <f>IFERROR(AF17*100/AF28,"")</f>
        <v/>
      </c>
      <c r="AG29" s="20">
        <f>IFERROR(AG17*100/AG28,"")</f>
        <v/>
      </c>
      <c r="AH29" s="20">
        <f>IFERROR(AH17*100/AH28,"")</f>
        <v/>
      </c>
      <c r="AI29" s="20">
        <f>IFERROR(AI17*100/AI28,"")</f>
        <v/>
      </c>
      <c r="AJ29" s="35">
        <f>SUM(AF29:AI29)</f>
        <v/>
      </c>
      <c r="AK29" s="20">
        <f>IFERROR(AK17*100/AK28,"")</f>
        <v/>
      </c>
      <c r="AL29" s="20">
        <f>IFERROR(AL17*100/AL28,"")</f>
        <v/>
      </c>
      <c r="AM29" s="20">
        <f>IFERROR(AM17*100/AM28,"")</f>
        <v/>
      </c>
      <c r="AN29" s="20">
        <f>IFERROR(AN17*100/AN28,"")</f>
        <v/>
      </c>
      <c r="AO29" s="35">
        <f>SUM(AK29:AN29)</f>
        <v/>
      </c>
    </row>
    <row r="30">
      <c r="A30" s="12" t="inlineStr">
        <is>
          <t>BPS</t>
        </is>
      </c>
      <c r="B30" t="inlineStr">
        <is>
          <t>주당</t>
        </is>
      </c>
      <c r="C30" t="inlineStr">
        <is>
          <t>원</t>
        </is>
      </c>
      <c r="D30" t="inlineStr">
        <is>
          <t>BPS</t>
        </is>
      </c>
      <c r="E30" s="18">
        <f>IFERROR(E21*100/E28,"")</f>
        <v/>
      </c>
      <c r="F30" s="34">
        <f>E30</f>
        <v/>
      </c>
      <c r="G30" s="18">
        <f>IFERROR(G21*100/G28,"")</f>
        <v/>
      </c>
      <c r="H30" s="18">
        <f>IFERROR(H21*100/H28,"")</f>
        <v/>
      </c>
      <c r="I30" s="18">
        <f>IFERROR(I21*100/I28,"")</f>
        <v/>
      </c>
      <c r="J30" s="18">
        <f>IFERROR(J21*100/J28,"")</f>
        <v/>
      </c>
      <c r="K30" s="34">
        <f>J30</f>
        <v/>
      </c>
      <c r="L30" s="18">
        <f>IFERROR(L21*100/L28,"")</f>
        <v/>
      </c>
      <c r="M30" s="18">
        <f>IFERROR(M21*100/M28,"")</f>
        <v/>
      </c>
      <c r="N30" s="18">
        <f>IFERROR(N21*100/N28,"")</f>
        <v/>
      </c>
      <c r="O30" s="18">
        <f>IFERROR(O21*100/O28,"")</f>
        <v/>
      </c>
      <c r="P30" s="34">
        <f>O30</f>
        <v/>
      </c>
      <c r="Q30" s="18">
        <f>IFERROR(Q21*100/Q28,"")</f>
        <v/>
      </c>
      <c r="R30" s="18">
        <f>IFERROR(R21*100/R28,"")</f>
        <v/>
      </c>
      <c r="S30" s="18">
        <f>IFERROR(S21*100/S28,"")</f>
        <v/>
      </c>
      <c r="T30" s="18">
        <f>IFERROR(T21*100/T28,"")</f>
        <v/>
      </c>
      <c r="U30" s="34">
        <f>T30</f>
        <v/>
      </c>
      <c r="V30" s="18">
        <f>IFERROR(V21*100/V28,"")</f>
        <v/>
      </c>
      <c r="W30" s="18">
        <f>IFERROR(W21*100/W28,"")</f>
        <v/>
      </c>
      <c r="X30" s="18">
        <f>IFERROR(X21*100/X28,"")</f>
        <v/>
      </c>
      <c r="Y30" s="18">
        <f>IFERROR(Y21*100/Y28,"")</f>
        <v/>
      </c>
      <c r="Z30" s="34">
        <f>Y30</f>
        <v/>
      </c>
      <c r="AA30" s="18">
        <f>IFERROR(AA21*100/AA28,"")</f>
        <v/>
      </c>
      <c r="AB30" s="19">
        <f>IFERROR(AB21*100/AB28,"")</f>
        <v/>
      </c>
      <c r="AC30" s="20">
        <f>IFERROR(AC21*100/AC28,"")</f>
        <v/>
      </c>
      <c r="AD30" s="20">
        <f>IFERROR(AD21*100/AD28,"")</f>
        <v/>
      </c>
      <c r="AE30" s="35">
        <f>AD30</f>
        <v/>
      </c>
      <c r="AF30" s="20">
        <f>IFERROR(AF21*100/AF28,"")</f>
        <v/>
      </c>
      <c r="AG30" s="20">
        <f>IFERROR(AG21*100/AG28,"")</f>
        <v/>
      </c>
      <c r="AH30" s="20">
        <f>IFERROR(AH21*100/AH28,"")</f>
        <v/>
      </c>
      <c r="AI30" s="20">
        <f>IFERROR(AI21*100/AI28,"")</f>
        <v/>
      </c>
      <c r="AJ30" s="35">
        <f>AI30</f>
        <v/>
      </c>
      <c r="AK30" s="20">
        <f>IFERROR(AK21*100/AK28,"")</f>
        <v/>
      </c>
      <c r="AL30" s="20">
        <f>IFERROR(AL21*100/AL28,"")</f>
        <v/>
      </c>
      <c r="AM30" s="20">
        <f>IFERROR(AM21*100/AM28,"")</f>
        <v/>
      </c>
      <c r="AN30" s="20">
        <f>IFERROR(AN21*100/AN28,"")</f>
        <v/>
      </c>
      <c r="AO30" s="35">
        <f>AN30</f>
        <v/>
      </c>
    </row>
    <row r="31">
      <c r="A31" s="12" t="inlineStr">
        <is>
          <t>DPS</t>
        </is>
      </c>
      <c r="B31" t="inlineStr">
        <is>
          <t>주당</t>
        </is>
      </c>
      <c r="C31" t="inlineStr">
        <is>
          <t>원</t>
        </is>
      </c>
      <c r="D31" t="inlineStr">
        <is>
          <t>DPS(보통주)</t>
        </is>
      </c>
      <c r="E31" s="18" t="n">
        <v>0</v>
      </c>
      <c r="F31" s="34" t="n">
        <v>0</v>
      </c>
      <c r="G31" s="18" t="n"/>
      <c r="H31" s="18" t="n"/>
      <c r="I31" s="18" t="n"/>
      <c r="J31" s="18" t="n">
        <v>0</v>
      </c>
      <c r="K31" s="34">
        <f>SUM(G31:J31)</f>
        <v/>
      </c>
      <c r="L31" s="18" t="n"/>
      <c r="M31" s="18" t="n"/>
      <c r="N31" s="18" t="n"/>
      <c r="O31" s="18" t="n">
        <v>0</v>
      </c>
      <c r="P31" s="34">
        <f>SUM(L31:O31)</f>
        <v/>
      </c>
      <c r="Q31" s="18" t="n"/>
      <c r="R31" s="18" t="n"/>
      <c r="S31" s="18" t="n"/>
      <c r="T31" s="18" t="n">
        <v>5100</v>
      </c>
      <c r="U31" s="34">
        <f>SUM(Q31:T31)</f>
        <v/>
      </c>
      <c r="V31" s="18" t="n"/>
      <c r="W31" s="18" t="n"/>
      <c r="X31" s="18" t="n"/>
      <c r="Y31" s="18" t="n">
        <v>12300</v>
      </c>
      <c r="Z31" s="34">
        <f>SUM(V31:Y31)</f>
        <v/>
      </c>
      <c r="AA31" s="18" t="n"/>
      <c r="AB31" s="19" t="n"/>
      <c r="AC31" s="20" t="n"/>
      <c r="AD31" s="20">
        <f>IFERROR(Y31*(1+변수!AD40),"")</f>
        <v/>
      </c>
      <c r="AE31" s="35">
        <f>SUM(AA31:AD31)</f>
        <v/>
      </c>
      <c r="AF31" s="20" t="n"/>
      <c r="AG31" s="20" t="n"/>
      <c r="AH31" s="20" t="n"/>
      <c r="AI31" s="20">
        <f>IFERROR(AD31*(1+변수!AI40),"")</f>
        <v/>
      </c>
      <c r="AJ31" s="35">
        <f>SUM(AF31:AI31)</f>
        <v/>
      </c>
      <c r="AK31" s="20" t="n"/>
      <c r="AL31" s="20" t="n"/>
      <c r="AM31" s="20" t="n"/>
      <c r="AN31" s="20">
        <f>IFERROR(AI31*(1+변수!AN40),"")</f>
        <v/>
      </c>
      <c r="AO31" s="35">
        <f>SUM(AK31:AN31)</f>
        <v/>
      </c>
    </row>
    <row r="32">
      <c r="A32" s="12" t="inlineStr">
        <is>
          <t>PER</t>
        </is>
      </c>
      <c r="B32" t="inlineStr">
        <is>
          <t>주당</t>
        </is>
      </c>
      <c r="C32" t="inlineStr">
        <is>
          <t>배</t>
        </is>
      </c>
      <c r="D32" t="inlineStr">
        <is>
          <t>PER</t>
        </is>
      </c>
      <c r="E32" s="18" t="n"/>
      <c r="F32" s="34" t="n"/>
      <c r="G32" s="18" t="n"/>
      <c r="H32" s="18" t="n"/>
      <c r="I32" s="18" t="n"/>
      <c r="J32" s="18" t="n"/>
      <c r="K32" s="34">
        <f>SUM(G32:J32)</f>
        <v/>
      </c>
      <c r="L32" s="18" t="n"/>
      <c r="M32" s="18" t="n">
        <v>161.75</v>
      </c>
      <c r="N32" s="18" t="n">
        <v>56.65</v>
      </c>
      <c r="O32" s="18" t="n">
        <v>33.11</v>
      </c>
      <c r="P32" s="34">
        <f>SUM(L32:O32)</f>
        <v/>
      </c>
      <c r="Q32" s="18" t="n">
        <v>14.89</v>
      </c>
      <c r="R32" s="18" t="n">
        <v>11.73</v>
      </c>
      <c r="S32" s="18" t="n">
        <v>21.47</v>
      </c>
      <c r="T32" s="18" t="n">
        <v>12</v>
      </c>
      <c r="U32" s="34">
        <f>SUM(Q32:T32)</f>
        <v/>
      </c>
      <c r="V32" s="18" t="n">
        <v>10.79</v>
      </c>
      <c r="W32" s="18" t="n">
        <v>13.13</v>
      </c>
      <c r="X32" s="18" t="n">
        <v>12.95</v>
      </c>
      <c r="Y32" s="18" t="n">
        <v>14.06</v>
      </c>
      <c r="Z32" s="34">
        <f>SUM(V32:Y32)</f>
        <v/>
      </c>
      <c r="AA32" s="18" t="n">
        <v>11.67</v>
      </c>
      <c r="AB32" s="19" t="n">
        <v>8.460000000000001</v>
      </c>
      <c r="AC32" s="20">
        <f>IFERROR(X32*(1+변수!AC41),"")</f>
        <v/>
      </c>
      <c r="AD32" s="20">
        <f>IFERROR(Y32*(1+변수!AD41),"")</f>
        <v/>
      </c>
      <c r="AE32" s="35">
        <f>SUM(AA32:AD32)</f>
        <v/>
      </c>
      <c r="AF32" s="20">
        <f>IFERROR(AA32*(1+변수!AF41),"")</f>
        <v/>
      </c>
      <c r="AG32" s="20">
        <f>IFERROR(AB32*(1+변수!AG41),"")</f>
        <v/>
      </c>
      <c r="AH32" s="20">
        <f>IFERROR(AC32*(1+변수!AH41),"")</f>
        <v/>
      </c>
      <c r="AI32" s="20">
        <f>IFERROR(AD32*(1+변수!AI41),"")</f>
        <v/>
      </c>
      <c r="AJ32" s="35">
        <f>SUM(AF32:AI32)</f>
        <v/>
      </c>
      <c r="AK32" s="20">
        <f>IFERROR(AF32*(1+변수!AK41),"")</f>
        <v/>
      </c>
      <c r="AL32" s="20">
        <f>IFERROR(AG32*(1+변수!AL41),"")</f>
        <v/>
      </c>
      <c r="AM32" s="20">
        <f>IFERROR(AH32*(1+변수!AM41),"")</f>
        <v/>
      </c>
      <c r="AN32" s="20">
        <f>IFERROR(AI32*(1+변수!AN41),"")</f>
        <v/>
      </c>
      <c r="AO32" s="35">
        <f>SUM(AK32:AN32)</f>
        <v/>
      </c>
    </row>
    <row r="33">
      <c r="A33" s="12" t="inlineStr">
        <is>
          <t>PBR</t>
        </is>
      </c>
      <c r="B33" t="inlineStr">
        <is>
          <t>주당</t>
        </is>
      </c>
      <c r="C33" t="inlineStr">
        <is>
          <t>배</t>
        </is>
      </c>
      <c r="D33" t="inlineStr">
        <is>
          <t>PBR</t>
        </is>
      </c>
      <c r="E33" s="18" t="n">
        <v>0.7</v>
      </c>
      <c r="F33" s="34" t="n">
        <v>0.68</v>
      </c>
      <c r="G33" s="18" t="n">
        <v>0.65</v>
      </c>
      <c r="H33" s="18" t="n">
        <v>0.66</v>
      </c>
      <c r="I33" s="18" t="n">
        <v>0.63</v>
      </c>
      <c r="J33" s="18" t="n">
        <v>0.54</v>
      </c>
      <c r="K33" s="34">
        <f>SUM(G33:J33)</f>
        <v/>
      </c>
      <c r="L33" s="18" t="n">
        <v>0.57</v>
      </c>
      <c r="M33" s="18" t="n">
        <v>0.6899999999999999</v>
      </c>
      <c r="N33" s="18" t="n">
        <v>0.85</v>
      </c>
      <c r="O33" s="18" t="n">
        <v>0.74</v>
      </c>
      <c r="P33" s="34">
        <f>SUM(L33:O33)</f>
        <v/>
      </c>
      <c r="Q33" s="18" t="n">
        <v>0.8100000000000001</v>
      </c>
      <c r="R33" s="18" t="n">
        <v>0.88</v>
      </c>
      <c r="S33" s="18" t="n">
        <v>1.22</v>
      </c>
      <c r="T33" s="18" t="n">
        <v>1.27</v>
      </c>
      <c r="U33" s="34">
        <f>SUM(Q33:T33)</f>
        <v/>
      </c>
      <c r="V33" s="18" t="n">
        <v>1.4</v>
      </c>
      <c r="W33" s="18" t="n">
        <v>1.69</v>
      </c>
      <c r="X33" s="18" t="n">
        <v>2.11</v>
      </c>
      <c r="Y33" s="18" t="n">
        <v>2.29</v>
      </c>
      <c r="Z33" s="34">
        <f>SUM(V33:Y33)</f>
        <v/>
      </c>
      <c r="AA33" s="18" t="n">
        <v>2.17</v>
      </c>
      <c r="AB33" s="19" t="n">
        <v>1.97</v>
      </c>
      <c r="AC33" s="20">
        <f>IFERROR(X33*(1+변수!AC42),"")</f>
        <v/>
      </c>
      <c r="AD33" s="20">
        <f>IFERROR(Y33*(1+변수!AD42),"")</f>
        <v/>
      </c>
      <c r="AE33" s="35">
        <f>SUM(AA33:AD33)</f>
        <v/>
      </c>
      <c r="AF33" s="20">
        <f>IFERROR(AA33*(1+변수!AF42),"")</f>
        <v/>
      </c>
      <c r="AG33" s="20">
        <f>IFERROR(AB33*(1+변수!AG42),"")</f>
        <v/>
      </c>
      <c r="AH33" s="20">
        <f>IFERROR(AC33*(1+변수!AH42),"")</f>
        <v/>
      </c>
      <c r="AI33" s="20">
        <f>IFERROR(AD33*(1+변수!AI42),"")</f>
        <v/>
      </c>
      <c r="AJ33" s="35">
        <f>SUM(AF33:AI33)</f>
        <v/>
      </c>
      <c r="AK33" s="20">
        <f>IFERROR(AF33*(1+변수!AK42),"")</f>
        <v/>
      </c>
      <c r="AL33" s="20">
        <f>IFERROR(AG33*(1+변수!AL42),"")</f>
        <v/>
      </c>
      <c r="AM33" s="20">
        <f>IFERROR(AH33*(1+변수!AM42),"")</f>
        <v/>
      </c>
      <c r="AN33" s="20">
        <f>IFERROR(AI33*(1+변수!AN42),"")</f>
        <v/>
      </c>
      <c r="AO33" s="35">
        <f>SUM(AK33:AN33)</f>
        <v/>
      </c>
    </row>
    <row r="34">
      <c r="A34" s="12" t="inlineStr">
        <is>
          <t>매출전사</t>
        </is>
      </c>
      <c r="B34" t="inlineStr">
        <is>
          <t>사업부</t>
        </is>
      </c>
      <c r="C34" t="inlineStr">
        <is>
          <t>억원</t>
        </is>
      </c>
      <c r="D34" t="inlineStr">
        <is>
          <t>매출 전사(부문 미분리)</t>
        </is>
      </c>
      <c r="E34" s="18" t="n">
        <v>44566.49</v>
      </c>
      <c r="F34" s="34" t="n"/>
      <c r="G34" s="18" t="n">
        <v>39077.28</v>
      </c>
      <c r="H34" s="18" t="n">
        <v>41886.06</v>
      </c>
      <c r="I34" s="18" t="n">
        <v>42644.15</v>
      </c>
      <c r="J34" s="18" t="n">
        <v>49412.7</v>
      </c>
      <c r="K34" s="34">
        <f>SUM(G34:J34)</f>
        <v/>
      </c>
      <c r="L34" s="18" t="n">
        <v>48423.59</v>
      </c>
      <c r="M34" s="18" t="n">
        <v>54536.4</v>
      </c>
      <c r="N34" s="18" t="n">
        <v>50112.06</v>
      </c>
      <c r="O34" s="18" t="n">
        <v>59890</v>
      </c>
      <c r="P34" s="34">
        <f>SUM(L34:O34)</f>
        <v/>
      </c>
      <c r="Q34" s="18" t="n">
        <v>55156.26</v>
      </c>
      <c r="R34" s="18" t="n">
        <v>66154.84</v>
      </c>
      <c r="S34" s="18" t="n">
        <v>62457.56</v>
      </c>
      <c r="T34" s="18" t="n">
        <v>71617.12</v>
      </c>
      <c r="U34" s="34">
        <f>SUM(Q34:T34)</f>
        <v/>
      </c>
      <c r="V34" s="18" t="n">
        <v>67717.06</v>
      </c>
      <c r="W34" s="18" t="n">
        <v>74284.17</v>
      </c>
      <c r="X34" s="18" t="n">
        <v>75814.36</v>
      </c>
      <c r="Y34" s="18" t="n">
        <v>81516.57000000001</v>
      </c>
      <c r="Z34" s="34">
        <f>SUM(V34:Y34)</f>
        <v/>
      </c>
      <c r="AA34" s="18" t="n">
        <v>81408.89999999999</v>
      </c>
      <c r="AB34" s="19" t="n">
        <v>89270.46000000001</v>
      </c>
      <c r="AC34" s="20">
        <f>IFERROR(AC5*변수!AC43,"")</f>
        <v/>
      </c>
      <c r="AD34" s="20">
        <f>IFERROR(AD5*변수!AD43,"")</f>
        <v/>
      </c>
      <c r="AE34" s="35">
        <f>SUM(AA34:AD34)</f>
        <v/>
      </c>
      <c r="AF34" s="20">
        <f>IFERROR(AF5*변수!AF43,"")</f>
        <v/>
      </c>
      <c r="AG34" s="20">
        <f>IFERROR(AG5*변수!AG43,"")</f>
        <v/>
      </c>
      <c r="AH34" s="20">
        <f>IFERROR(AH5*변수!AH43,"")</f>
        <v/>
      </c>
      <c r="AI34" s="20">
        <f>IFERROR(AI5*변수!AI43,"")</f>
        <v/>
      </c>
      <c r="AJ34" s="35">
        <f>SUM(AF34:AI34)</f>
        <v/>
      </c>
      <c r="AK34" s="20">
        <f>IFERROR(AK5*변수!AK43,"")</f>
        <v/>
      </c>
      <c r="AL34" s="20">
        <f>IFERROR(AL5*변수!AL43,"")</f>
        <v/>
      </c>
      <c r="AM34" s="20">
        <f>IFERROR(AM5*변수!AM43,"")</f>
        <v/>
      </c>
      <c r="AN34" s="20">
        <f>IFERROR(AN5*변수!AN43,"")</f>
        <v/>
      </c>
      <c r="AO34" s="35">
        <f>SUM(AK34:AN34)</f>
        <v/>
      </c>
    </row>
    <row r="35">
      <c r="A35" s="12" t="inlineStr">
        <is>
          <t>OP전사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OP 전사(부문 미분리)</t>
        </is>
      </c>
      <c r="E35" s="18" t="n">
        <v>-6967.58</v>
      </c>
      <c r="F35" s="34" t="n"/>
      <c r="G35" s="18" t="n">
        <v>-3963.96</v>
      </c>
      <c r="H35" s="18" t="n">
        <v>-2650.85</v>
      </c>
      <c r="I35" s="18" t="n">
        <v>1887.36</v>
      </c>
      <c r="J35" s="18" t="n">
        <v>1171.84</v>
      </c>
      <c r="K35" s="34">
        <f>SUM(G35:J35)</f>
        <v/>
      </c>
      <c r="L35" s="18" t="n">
        <v>-190.44</v>
      </c>
      <c r="M35" s="18" t="n">
        <v>712.5700000000001</v>
      </c>
      <c r="N35" s="18" t="n">
        <v>689.5700000000001</v>
      </c>
      <c r="O35" s="18" t="n">
        <v>1610.91</v>
      </c>
      <c r="P35" s="34">
        <f>SUM(L35:O35)</f>
        <v/>
      </c>
      <c r="Q35" s="18" t="n">
        <v>1601.63</v>
      </c>
      <c r="R35" s="18" t="n">
        <v>3764.65</v>
      </c>
      <c r="S35" s="18" t="n">
        <v>3984.08</v>
      </c>
      <c r="T35" s="18" t="n">
        <v>4990.55</v>
      </c>
      <c r="U35" s="34">
        <f>SUM(Q35:T35)</f>
        <v/>
      </c>
      <c r="V35" s="18" t="n">
        <v>8591.540000000001</v>
      </c>
      <c r="W35" s="18" t="n">
        <v>9536.41</v>
      </c>
      <c r="X35" s="18" t="n">
        <v>10537.75</v>
      </c>
      <c r="Y35" s="18" t="n">
        <v>10379.19</v>
      </c>
      <c r="Z35" s="34">
        <f>SUM(V35:Y35)</f>
        <v/>
      </c>
      <c r="AA35" s="18" t="n">
        <v>13559.7</v>
      </c>
      <c r="AB35" s="19" t="n">
        <v>16451.46</v>
      </c>
      <c r="AC35" s="20">
        <f>IFERROR(AC34*변수!AC44,"")</f>
        <v/>
      </c>
      <c r="AD35" s="20">
        <f>IFERROR(AD34*변수!AD44,"")</f>
        <v/>
      </c>
      <c r="AE35" s="35">
        <f>SUM(AA35:AD35)</f>
        <v/>
      </c>
      <c r="AF35" s="20">
        <f>IFERROR(AF34*변수!AF44,"")</f>
        <v/>
      </c>
      <c r="AG35" s="20">
        <f>IFERROR(AG34*변수!AG44,"")</f>
        <v/>
      </c>
      <c r="AH35" s="20">
        <f>IFERROR(AH34*변수!AH44,"")</f>
        <v/>
      </c>
      <c r="AI35" s="20">
        <f>IFERROR(AI34*변수!AI44,"")</f>
        <v/>
      </c>
      <c r="AJ35" s="35">
        <f>SUM(AF35:AI35)</f>
        <v/>
      </c>
      <c r="AK35" s="20">
        <f>IFERROR(AK34*변수!AK44,"")</f>
        <v/>
      </c>
      <c r="AL35" s="20">
        <f>IFERROR(AL34*변수!AL44,"")</f>
        <v/>
      </c>
      <c r="AM35" s="20">
        <f>IFERROR(AM34*변수!AM44,"")</f>
        <v/>
      </c>
      <c r="AN35" s="20">
        <f>IFERROR(AN34*변수!AN44,"")</f>
        <v/>
      </c>
      <c r="AO35" s="35">
        <f>SUM(AK35:AN35)</f>
        <v/>
      </c>
    </row>
    <row r="36">
      <c r="B36" s="2" t="inlineStr">
        <is>
          <t>비율(참고)</t>
        </is>
      </c>
      <c r="F36" s="9" t="n"/>
      <c r="K36" s="9" t="n"/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s="12" t="inlineStr">
        <is>
          <t>OPM</t>
        </is>
      </c>
      <c r="C37" t="inlineStr">
        <is>
          <t>%</t>
        </is>
      </c>
      <c r="D37" t="inlineStr">
        <is>
          <t>영업이익 / 매출액</t>
        </is>
      </c>
      <c r="E37" s="21">
        <f>IFERROR(E9/E5,"")</f>
        <v/>
      </c>
      <c r="F37" s="22">
        <f>IFERROR(F9/F5,"")</f>
        <v/>
      </c>
      <c r="G37" s="21">
        <f>IFERROR(G9/G5,"")</f>
        <v/>
      </c>
      <c r="H37" s="21">
        <f>IFERROR(H9/H5,"")</f>
        <v/>
      </c>
      <c r="I37" s="21">
        <f>IFERROR(I9/I5,"")</f>
        <v/>
      </c>
      <c r="J37" s="21">
        <f>IFERROR(J9/J5,"")</f>
        <v/>
      </c>
      <c r="K37" s="22">
        <f>IFERROR(K9/K5,"")</f>
        <v/>
      </c>
      <c r="L37" s="21">
        <f>IFERROR(L9/L5,"")</f>
        <v/>
      </c>
      <c r="M37" s="21">
        <f>IFERROR(M9/M5,"")</f>
        <v/>
      </c>
      <c r="N37" s="21">
        <f>IFERROR(N9/N5,"")</f>
        <v/>
      </c>
      <c r="O37" s="21">
        <f>IFERROR(O9/O5,"")</f>
        <v/>
      </c>
      <c r="P37" s="22">
        <f>IFERROR(P9/P5,"")</f>
        <v/>
      </c>
      <c r="Q37" s="21">
        <f>IFERROR(Q9/Q5,"")</f>
        <v/>
      </c>
      <c r="R37" s="21">
        <f>IFERROR(R9/R5,"")</f>
        <v/>
      </c>
      <c r="S37" s="21">
        <f>IFERROR(S9/S5,"")</f>
        <v/>
      </c>
      <c r="T37" s="21">
        <f>IFERROR(T9/T5,"")</f>
        <v/>
      </c>
      <c r="U37" s="22">
        <f>IFERROR(U9/U5,"")</f>
        <v/>
      </c>
      <c r="V37" s="21">
        <f>IFERROR(V9/V5,"")</f>
        <v/>
      </c>
      <c r="W37" s="21">
        <f>IFERROR(W9/W5,"")</f>
        <v/>
      </c>
      <c r="X37" s="21">
        <f>IFERROR(X9/X5,"")</f>
        <v/>
      </c>
      <c r="Y37" s="21">
        <f>IFERROR(Y9/Y5,"")</f>
        <v/>
      </c>
      <c r="Z37" s="22">
        <f>IFERROR(Z9/Z5,"")</f>
        <v/>
      </c>
      <c r="AA37" s="21">
        <f>IFERROR(AA9/AA5,"")</f>
        <v/>
      </c>
      <c r="AB37" s="23">
        <f>IFERROR(AB9/AB5,"")</f>
        <v/>
      </c>
      <c r="AC37" s="31">
        <f>IFERROR(AC9/AC5,"")</f>
        <v/>
      </c>
      <c r="AD37" s="31">
        <f>IFERROR(AD9/AD5,"")</f>
        <v/>
      </c>
      <c r="AE37" s="25">
        <f>IFERROR(AE9/AE5,"")</f>
        <v/>
      </c>
      <c r="AF37" s="31">
        <f>IFERROR(AF9/AF5,"")</f>
        <v/>
      </c>
      <c r="AG37" s="31">
        <f>IFERROR(AG9/AG5,"")</f>
        <v/>
      </c>
      <c r="AH37" s="31">
        <f>IFERROR(AH9/AH5,"")</f>
        <v/>
      </c>
      <c r="AI37" s="31">
        <f>IFERROR(AI9/AI5,"")</f>
        <v/>
      </c>
      <c r="AJ37" s="25">
        <f>IFERROR(AJ9/AJ5,"")</f>
        <v/>
      </c>
      <c r="AK37" s="31">
        <f>IFERROR(AK9/AK5,"")</f>
        <v/>
      </c>
      <c r="AL37" s="31">
        <f>IFERROR(AL9/AL5,"")</f>
        <v/>
      </c>
      <c r="AM37" s="31">
        <f>IFERROR(AM9/AM5,"")</f>
        <v/>
      </c>
      <c r="AN37" s="31">
        <f>IFERROR(AN9/AN5,"")</f>
        <v/>
      </c>
      <c r="AO37" s="25">
        <f>IFERROR(AO9/AO5,"")</f>
        <v/>
      </c>
    </row>
    <row r="38">
      <c r="A38" s="12" t="inlineStr">
        <is>
          <t>NPM</t>
        </is>
      </c>
      <c r="C38" t="inlineStr">
        <is>
          <t>%</t>
        </is>
      </c>
      <c r="D38" t="inlineStr">
        <is>
          <t>지배주주순이익 / 매출액</t>
        </is>
      </c>
      <c r="E38" s="21">
        <f>IFERROR(E17/E5,"")</f>
        <v/>
      </c>
      <c r="F38" s="22">
        <f>IFERROR(F17/F5,"")</f>
        <v/>
      </c>
      <c r="G38" s="21">
        <f>IFERROR(G17/G5,"")</f>
        <v/>
      </c>
      <c r="H38" s="21">
        <f>IFERROR(H17/H5,"")</f>
        <v/>
      </c>
      <c r="I38" s="21">
        <f>IFERROR(I17/I5,"")</f>
        <v/>
      </c>
      <c r="J38" s="21">
        <f>IFERROR(J17/J5,"")</f>
        <v/>
      </c>
      <c r="K38" s="22">
        <f>IFERROR(K17/K5,"")</f>
        <v/>
      </c>
      <c r="L38" s="21">
        <f>IFERROR(L17/L5,"")</f>
        <v/>
      </c>
      <c r="M38" s="21">
        <f>IFERROR(M17/M5,"")</f>
        <v/>
      </c>
      <c r="N38" s="21">
        <f>IFERROR(N17/N5,"")</f>
        <v/>
      </c>
      <c r="O38" s="21">
        <f>IFERROR(O17/O5,"")</f>
        <v/>
      </c>
      <c r="P38" s="22">
        <f>IFERROR(P17/P5,"")</f>
        <v/>
      </c>
      <c r="Q38" s="21">
        <f>IFERROR(Q17/Q5,"")</f>
        <v/>
      </c>
      <c r="R38" s="21">
        <f>IFERROR(R17/R5,"")</f>
        <v/>
      </c>
      <c r="S38" s="21">
        <f>IFERROR(S17/S5,"")</f>
        <v/>
      </c>
      <c r="T38" s="21">
        <f>IFERROR(T17/T5,"")</f>
        <v/>
      </c>
      <c r="U38" s="22">
        <f>IFERROR(U17/U5,"")</f>
        <v/>
      </c>
      <c r="V38" s="21">
        <f>IFERROR(V17/V5,"")</f>
        <v/>
      </c>
      <c r="W38" s="21">
        <f>IFERROR(W17/W5,"")</f>
        <v/>
      </c>
      <c r="X38" s="21">
        <f>IFERROR(X17/X5,"")</f>
        <v/>
      </c>
      <c r="Y38" s="21">
        <f>IFERROR(Y17/Y5,"")</f>
        <v/>
      </c>
      <c r="Z38" s="22">
        <f>IFERROR(Z17/Z5,"")</f>
        <v/>
      </c>
      <c r="AA38" s="21">
        <f>IFERROR(AA17/AA5,"")</f>
        <v/>
      </c>
      <c r="AB38" s="23">
        <f>IFERROR(AB17/AB5,"")</f>
        <v/>
      </c>
      <c r="AC38" s="31">
        <f>IFERROR(AC17/AC5,"")</f>
        <v/>
      </c>
      <c r="AD38" s="31">
        <f>IFERROR(AD17/AD5,"")</f>
        <v/>
      </c>
      <c r="AE38" s="25">
        <f>IFERROR(AE17/AE5,"")</f>
        <v/>
      </c>
      <c r="AF38" s="31">
        <f>IFERROR(AF17/AF5,"")</f>
        <v/>
      </c>
      <c r="AG38" s="31">
        <f>IFERROR(AG17/AG5,"")</f>
        <v/>
      </c>
      <c r="AH38" s="31">
        <f>IFERROR(AH17/AH5,"")</f>
        <v/>
      </c>
      <c r="AI38" s="31">
        <f>IFERROR(AI17/AI5,"")</f>
        <v/>
      </c>
      <c r="AJ38" s="25">
        <f>IFERROR(AJ17/AJ5,"")</f>
        <v/>
      </c>
      <c r="AK38" s="31">
        <f>IFERROR(AK17/AK5,"")</f>
        <v/>
      </c>
      <c r="AL38" s="31">
        <f>IFERROR(AL17/AL5,"")</f>
        <v/>
      </c>
      <c r="AM38" s="31">
        <f>IFERROR(AM17/AM5,"")</f>
        <v/>
      </c>
      <c r="AN38" s="31">
        <f>IFERROR(AN17/AN5,"")</f>
        <v/>
      </c>
      <c r="AO38" s="25">
        <f>IFERROR(AO17/AO5,"")</f>
        <v/>
      </c>
    </row>
    <row r="39">
      <c r="A39" s="12" t="inlineStr">
        <is>
          <t>매출원가율</t>
        </is>
      </c>
      <c r="C39" t="inlineStr">
        <is>
          <t>%</t>
        </is>
      </c>
      <c r="D39" t="inlineStr">
        <is>
          <t>매출원가 / 매출액</t>
        </is>
      </c>
      <c r="E39" s="21">
        <f>IFERROR(E6/E5,"")</f>
        <v/>
      </c>
      <c r="F39" s="22">
        <f>IFERROR(F6/F5,"")</f>
        <v/>
      </c>
      <c r="G39" s="21">
        <f>IFERROR(G6/G5,"")</f>
        <v/>
      </c>
      <c r="H39" s="21">
        <f>IFERROR(H6/H5,"")</f>
        <v/>
      </c>
      <c r="I39" s="21">
        <f>IFERROR(I6/I5,"")</f>
        <v/>
      </c>
      <c r="J39" s="21">
        <f>IFERROR(J6/J5,"")</f>
        <v/>
      </c>
      <c r="K39" s="22">
        <f>IFERROR(K6/K5,"")</f>
        <v/>
      </c>
      <c r="L39" s="21">
        <f>IFERROR(L6/L5,"")</f>
        <v/>
      </c>
      <c r="M39" s="21">
        <f>IFERROR(M6/M5,"")</f>
        <v/>
      </c>
      <c r="N39" s="21">
        <f>IFERROR(N6/N5,"")</f>
        <v/>
      </c>
      <c r="O39" s="21">
        <f>IFERROR(O6/O5,"")</f>
        <v/>
      </c>
      <c r="P39" s="22">
        <f>IFERROR(P6/P5,"")</f>
        <v/>
      </c>
      <c r="Q39" s="21">
        <f>IFERROR(Q6/Q5,"")</f>
        <v/>
      </c>
      <c r="R39" s="21">
        <f>IFERROR(R6/R5,"")</f>
        <v/>
      </c>
      <c r="S39" s="21">
        <f>IFERROR(S6/S5,"")</f>
        <v/>
      </c>
      <c r="T39" s="21">
        <f>IFERROR(T6/T5,"")</f>
        <v/>
      </c>
      <c r="U39" s="22">
        <f>IFERROR(U6/U5,"")</f>
        <v/>
      </c>
      <c r="V39" s="21">
        <f>IFERROR(V6/V5,"")</f>
        <v/>
      </c>
      <c r="W39" s="21">
        <f>IFERROR(W6/W5,"")</f>
        <v/>
      </c>
      <c r="X39" s="21">
        <f>IFERROR(X6/X5,"")</f>
        <v/>
      </c>
      <c r="Y39" s="21">
        <f>IFERROR(Y6/Y5,"")</f>
        <v/>
      </c>
      <c r="Z39" s="22">
        <f>IFERROR(Z6/Z5,"")</f>
        <v/>
      </c>
      <c r="AA39" s="21">
        <f>IFERROR(AA6/AA5,"")</f>
        <v/>
      </c>
      <c r="AB39" s="23">
        <f>IFERROR(AB6/AB5,"")</f>
        <v/>
      </c>
      <c r="AC39" s="31">
        <f>IFERROR(AC6/AC5,"")</f>
        <v/>
      </c>
      <c r="AD39" s="31">
        <f>IFERROR(AD6/AD5,"")</f>
        <v/>
      </c>
      <c r="AE39" s="25">
        <f>IFERROR(AE6/AE5,"")</f>
        <v/>
      </c>
      <c r="AF39" s="31">
        <f>IFERROR(AF6/AF5,"")</f>
        <v/>
      </c>
      <c r="AG39" s="31">
        <f>IFERROR(AG6/AG5,"")</f>
        <v/>
      </c>
      <c r="AH39" s="31">
        <f>IFERROR(AH6/AH5,"")</f>
        <v/>
      </c>
      <c r="AI39" s="31">
        <f>IFERROR(AI6/AI5,"")</f>
        <v/>
      </c>
      <c r="AJ39" s="25">
        <f>IFERROR(AJ6/AJ5,"")</f>
        <v/>
      </c>
      <c r="AK39" s="31">
        <f>IFERROR(AK6/AK5,"")</f>
        <v/>
      </c>
      <c r="AL39" s="31">
        <f>IFERROR(AL6/AL5,"")</f>
        <v/>
      </c>
      <c r="AM39" s="31">
        <f>IFERROR(AM6/AM5,"")</f>
        <v/>
      </c>
      <c r="AN39" s="31">
        <f>IFERROR(AN6/AN5,"")</f>
        <v/>
      </c>
      <c r="AO39" s="25">
        <f>IFERROR(AO6/AO5,"")</f>
        <v/>
      </c>
    </row>
    <row r="40">
      <c r="A40" s="12" t="inlineStr">
        <is>
          <t>판관비율</t>
        </is>
      </c>
      <c r="C40" t="inlineStr">
        <is>
          <t>%</t>
        </is>
      </c>
      <c r="D40" t="inlineStr">
        <is>
          <t>판관비 / 매출액</t>
        </is>
      </c>
      <c r="E40" s="21">
        <f>IFERROR(E8/E5,"")</f>
        <v/>
      </c>
      <c r="F40" s="22">
        <f>IFERROR(F8/F5,"")</f>
        <v/>
      </c>
      <c r="G40" s="21">
        <f>IFERROR(G8/G5,"")</f>
        <v/>
      </c>
      <c r="H40" s="21">
        <f>IFERROR(H8/H5,"")</f>
        <v/>
      </c>
      <c r="I40" s="21">
        <f>IFERROR(I8/I5,"")</f>
        <v/>
      </c>
      <c r="J40" s="21">
        <f>IFERROR(J8/J5,"")</f>
        <v/>
      </c>
      <c r="K40" s="22">
        <f>IFERROR(K8/K5,"")</f>
        <v/>
      </c>
      <c r="L40" s="21">
        <f>IFERROR(L8/L5,"")</f>
        <v/>
      </c>
      <c r="M40" s="21">
        <f>IFERROR(M8/M5,"")</f>
        <v/>
      </c>
      <c r="N40" s="21">
        <f>IFERROR(N8/N5,"")</f>
        <v/>
      </c>
      <c r="O40" s="21">
        <f>IFERROR(O8/O5,"")</f>
        <v/>
      </c>
      <c r="P40" s="22">
        <f>IFERROR(P8/P5,"")</f>
        <v/>
      </c>
      <c r="Q40" s="21">
        <f>IFERROR(Q8/Q5,"")</f>
        <v/>
      </c>
      <c r="R40" s="21">
        <f>IFERROR(R8/R5,"")</f>
        <v/>
      </c>
      <c r="S40" s="21">
        <f>IFERROR(S8/S5,"")</f>
        <v/>
      </c>
      <c r="T40" s="21">
        <f>IFERROR(T8/T5,"")</f>
        <v/>
      </c>
      <c r="U40" s="22">
        <f>IFERROR(U8/U5,"")</f>
        <v/>
      </c>
      <c r="V40" s="21">
        <f>IFERROR(V8/V5,"")</f>
        <v/>
      </c>
      <c r="W40" s="21">
        <f>IFERROR(W8/W5,"")</f>
        <v/>
      </c>
      <c r="X40" s="21">
        <f>IFERROR(X8/X5,"")</f>
        <v/>
      </c>
      <c r="Y40" s="21">
        <f>IFERROR(Y8/Y5,"")</f>
        <v/>
      </c>
      <c r="Z40" s="22">
        <f>IFERROR(Z8/Z5,"")</f>
        <v/>
      </c>
      <c r="AA40" s="21">
        <f>IFERROR(AA8/AA5,"")</f>
        <v/>
      </c>
      <c r="AB40" s="23">
        <f>IFERROR(AB8/AB5,"")</f>
        <v/>
      </c>
      <c r="AC40" s="31">
        <f>IFERROR(AC8/AC5,"")</f>
        <v/>
      </c>
      <c r="AD40" s="31">
        <f>IFERROR(AD8/AD5,"")</f>
        <v/>
      </c>
      <c r="AE40" s="25">
        <f>IFERROR(AE8/AE5,"")</f>
        <v/>
      </c>
      <c r="AF40" s="31">
        <f>IFERROR(AF8/AF5,"")</f>
        <v/>
      </c>
      <c r="AG40" s="31">
        <f>IFERROR(AG8/AG5,"")</f>
        <v/>
      </c>
      <c r="AH40" s="31">
        <f>IFERROR(AH8/AH5,"")</f>
        <v/>
      </c>
      <c r="AI40" s="31">
        <f>IFERROR(AI8/AI5,"")</f>
        <v/>
      </c>
      <c r="AJ40" s="25">
        <f>IFERROR(AJ8/AJ5,"")</f>
        <v/>
      </c>
      <c r="AK40" s="31">
        <f>IFERROR(AK8/AK5,"")</f>
        <v/>
      </c>
      <c r="AL40" s="31">
        <f>IFERROR(AL8/AL5,"")</f>
        <v/>
      </c>
      <c r="AM40" s="31">
        <f>IFERROR(AM8/AM5,"")</f>
        <v/>
      </c>
      <c r="AN40" s="31">
        <f>IFERROR(AN8/AN5,"")</f>
        <v/>
      </c>
      <c r="AO40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H7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</cols>
  <sheetData>
    <row r="1">
      <c r="C1" s="2" t="inlineStr">
        <is>
          <t>이름: SLS_H · 선표 매출인식(백만$) — sls json origin 2026Q2</t>
        </is>
      </c>
      <c r="E1" s="3" t="inlineStr">
        <is>
          <t>3Q19</t>
        </is>
      </c>
      <c r="F1" s="3" t="inlineStr">
        <is>
          <t>4Q19</t>
        </is>
      </c>
      <c r="G1" s="3" t="inlineStr">
        <is>
          <t>1Q20</t>
        </is>
      </c>
      <c r="H1" s="3" t="inlineStr">
        <is>
          <t>2Q20</t>
        </is>
      </c>
      <c r="I1" s="3" t="inlineStr">
        <is>
          <t>3Q20</t>
        </is>
      </c>
      <c r="J1" s="3" t="inlineStr">
        <is>
          <t>4Q20</t>
        </is>
      </c>
      <c r="K1" s="3" t="inlineStr">
        <is>
          <t>1Q21</t>
        </is>
      </c>
      <c r="L1" s="3" t="inlineStr">
        <is>
          <t>2Q21</t>
        </is>
      </c>
      <c r="M1" s="3" t="inlineStr">
        <is>
          <t>3Q21</t>
        </is>
      </c>
      <c r="N1" s="3" t="inlineStr">
        <is>
          <t>4Q21</t>
        </is>
      </c>
      <c r="O1" s="3" t="inlineStr">
        <is>
          <t>1Q22</t>
        </is>
      </c>
      <c r="P1" s="3" t="inlineStr">
        <is>
          <t>2Q22</t>
        </is>
      </c>
      <c r="Q1" s="3" t="inlineStr">
        <is>
          <t>3Q22</t>
        </is>
      </c>
      <c r="R1" s="3" t="inlineStr">
        <is>
          <t>4Q22</t>
        </is>
      </c>
      <c r="S1" s="3" t="inlineStr">
        <is>
          <t>1Q23</t>
        </is>
      </c>
      <c r="T1" s="3" t="inlineStr">
        <is>
          <t>2Q23</t>
        </is>
      </c>
      <c r="U1" s="3" t="inlineStr">
        <is>
          <t>3Q23</t>
        </is>
      </c>
      <c r="V1" s="3" t="inlineStr">
        <is>
          <t>4Q23</t>
        </is>
      </c>
      <c r="W1" s="3" t="inlineStr">
        <is>
          <t>1Q24</t>
        </is>
      </c>
      <c r="X1" s="3" t="inlineStr">
        <is>
          <t>2Q24</t>
        </is>
      </c>
      <c r="Y1" s="3" t="inlineStr">
        <is>
          <t>3Q24</t>
        </is>
      </c>
      <c r="Z1" s="3" t="inlineStr">
        <is>
          <t>4Q24</t>
        </is>
      </c>
      <c r="AA1" s="3" t="inlineStr">
        <is>
          <t>1Q25</t>
        </is>
      </c>
      <c r="AB1" s="3" t="inlineStr">
        <is>
          <t>2Q25</t>
        </is>
      </c>
      <c r="AC1" s="3" t="inlineStr">
        <is>
          <t>3Q25</t>
        </is>
      </c>
      <c r="AD1" s="3" t="inlineStr">
        <is>
          <t>4Q25</t>
        </is>
      </c>
      <c r="AE1" s="3" t="inlineStr">
        <is>
          <t>1Q26</t>
        </is>
      </c>
      <c r="AF1" s="3" t="inlineStr">
        <is>
          <t>2Q26</t>
        </is>
      </c>
      <c r="AG1" s="3" t="inlineStr">
        <is>
          <t>3Q26</t>
        </is>
      </c>
      <c r="AH1" s="3" t="inlineStr">
        <is>
          <t>4Q26</t>
        </is>
      </c>
      <c r="AI1" s="3" t="inlineStr">
        <is>
          <t>1Q27</t>
        </is>
      </c>
      <c r="AJ1" s="3" t="inlineStr">
        <is>
          <t>2Q27</t>
        </is>
      </c>
      <c r="AK1" s="3" t="inlineStr">
        <is>
          <t>3Q27</t>
        </is>
      </c>
      <c r="AL1" s="3" t="inlineStr">
        <is>
          <t>4Q27</t>
        </is>
      </c>
      <c r="AM1" s="3" t="inlineStr">
        <is>
          <t>1Q28</t>
        </is>
      </c>
      <c r="AN1" s="3" t="inlineStr">
        <is>
          <t>2Q28</t>
        </is>
      </c>
      <c r="AO1" s="3" t="inlineStr">
        <is>
          <t>3Q28</t>
        </is>
      </c>
      <c r="AP1" s="3" t="inlineStr">
        <is>
          <t>4Q28</t>
        </is>
      </c>
      <c r="AQ1" s="3" t="inlineStr">
        <is>
          <t>1Q29</t>
        </is>
      </c>
      <c r="AR1" s="3" t="inlineStr">
        <is>
          <t>2Q29</t>
        </is>
      </c>
      <c r="AS1" s="3" t="inlineStr">
        <is>
          <t>3Q29</t>
        </is>
      </c>
      <c r="AT1" s="3" t="inlineStr">
        <is>
          <t>4Q29</t>
        </is>
      </c>
      <c r="AU1" s="3" t="inlineStr">
        <is>
          <t>1Q30</t>
        </is>
      </c>
      <c r="AV1" s="3" t="inlineStr">
        <is>
          <t>2Q30</t>
        </is>
      </c>
      <c r="AW1" s="3" t="n">
        <v>2019</v>
      </c>
      <c r="AX1" s="3" t="n">
        <v>2020</v>
      </c>
      <c r="AY1" s="3" t="n">
        <v>2021</v>
      </c>
      <c r="AZ1" s="3" t="n">
        <v>2022</v>
      </c>
      <c r="BA1" s="3" t="n">
        <v>2023</v>
      </c>
      <c r="BB1" s="3" t="n">
        <v>2024</v>
      </c>
      <c r="BC1" s="3" t="n">
        <v>2025</v>
      </c>
      <c r="BD1" s="3" t="n">
        <v>2026</v>
      </c>
      <c r="BE1" s="3" t="n">
        <v>2027</v>
      </c>
      <c r="BF1" s="3" t="n">
        <v>2028</v>
      </c>
      <c r="BG1" s="3" t="n">
        <v>2029</v>
      </c>
      <c r="BH1" s="3" t="n">
        <v>2030</v>
      </c>
    </row>
    <row r="2">
      <c r="A2" s="2" t="inlineStr">
        <is>
          <t>코호트 표(가정): ①적자 −5% ②BEP 0% ③중마진 5% ④호황 10% ⑤초호황 15% — 회사별 캘리브레이션은 target_opm.basis 참조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  <c r="AP3" s="2" t="n">
        <v>38</v>
      </c>
      <c r="AQ3" s="2" t="n">
        <v>39</v>
      </c>
      <c r="AR3" s="2" t="n">
        <v>40</v>
      </c>
      <c r="AS3" s="2" t="n">
        <v>41</v>
      </c>
      <c r="AT3" s="2" t="n">
        <v>42</v>
      </c>
      <c r="AU3" s="2" t="n">
        <v>43</v>
      </c>
      <c r="AV3" s="2" t="n">
        <v>44</v>
      </c>
      <c r="AW3" s="2" t="n">
        <v>45</v>
      </c>
      <c r="AX3" s="2" t="n">
        <v>46</v>
      </c>
      <c r="AY3" s="2" t="n">
        <v>47</v>
      </c>
      <c r="AZ3" s="2" t="n">
        <v>48</v>
      </c>
      <c r="BA3" s="2" t="n">
        <v>49</v>
      </c>
      <c r="BB3" s="2" t="n">
        <v>50</v>
      </c>
      <c r="BC3" s="2" t="n">
        <v>51</v>
      </c>
      <c r="BD3" s="2" t="n">
        <v>52</v>
      </c>
      <c r="BE3" s="2" t="n">
        <v>53</v>
      </c>
      <c r="BF3" s="2" t="n">
        <v>54</v>
      </c>
      <c r="BG3" s="2" t="n">
        <v>55</v>
      </c>
      <c r="BH3" s="2" t="n">
        <v>56</v>
      </c>
    </row>
    <row r="4">
      <c r="E4" s="7" t="inlineStr">
        <is>
          <t>2019.09</t>
        </is>
      </c>
      <c r="F4" s="7" t="inlineStr">
        <is>
          <t>2019.12</t>
        </is>
      </c>
      <c r="G4" s="7" t="inlineStr">
        <is>
          <t>2020.03</t>
        </is>
      </c>
      <c r="H4" s="7" t="inlineStr">
        <is>
          <t>2020.06</t>
        </is>
      </c>
      <c r="I4" s="7" t="inlineStr">
        <is>
          <t>2020.09</t>
        </is>
      </c>
      <c r="J4" s="7" t="inlineStr">
        <is>
          <t>2020.12</t>
        </is>
      </c>
      <c r="K4" s="7" t="inlineStr">
        <is>
          <t>2021.03</t>
        </is>
      </c>
      <c r="L4" s="7" t="inlineStr">
        <is>
          <t>2021.06</t>
        </is>
      </c>
      <c r="M4" s="7" t="inlineStr">
        <is>
          <t>2021.09</t>
        </is>
      </c>
      <c r="N4" s="7" t="inlineStr">
        <is>
          <t>2021.12</t>
        </is>
      </c>
      <c r="O4" s="7" t="inlineStr">
        <is>
          <t>2022.03</t>
        </is>
      </c>
      <c r="P4" s="7" t="inlineStr">
        <is>
          <t>2022.06</t>
        </is>
      </c>
      <c r="Q4" s="7" t="inlineStr">
        <is>
          <t>2022.09</t>
        </is>
      </c>
      <c r="R4" s="7" t="inlineStr">
        <is>
          <t>2022.12</t>
        </is>
      </c>
      <c r="S4" s="7" t="inlineStr">
        <is>
          <t>2023.03</t>
        </is>
      </c>
      <c r="T4" s="7" t="inlineStr">
        <is>
          <t>2023.06</t>
        </is>
      </c>
      <c r="U4" s="7" t="inlineStr">
        <is>
          <t>2023.09</t>
        </is>
      </c>
      <c r="V4" s="7" t="inlineStr">
        <is>
          <t>2023.12</t>
        </is>
      </c>
      <c r="W4" s="7" t="inlineStr">
        <is>
          <t>2024.03</t>
        </is>
      </c>
      <c r="X4" s="7" t="inlineStr">
        <is>
          <t>2024.06</t>
        </is>
      </c>
      <c r="Y4" s="7" t="inlineStr">
        <is>
          <t>2024.09</t>
        </is>
      </c>
      <c r="Z4" s="7" t="inlineStr">
        <is>
          <t>2024.12</t>
        </is>
      </c>
      <c r="AA4" s="7" t="inlineStr">
        <is>
          <t>2025.03</t>
        </is>
      </c>
      <c r="AB4" s="7" t="inlineStr">
        <is>
          <t>2025.06</t>
        </is>
      </c>
      <c r="AC4" s="7" t="inlineStr">
        <is>
          <t>2025.09</t>
        </is>
      </c>
      <c r="AD4" s="7" t="inlineStr">
        <is>
          <t>2025.12</t>
        </is>
      </c>
      <c r="AE4" s="7" t="inlineStr">
        <is>
          <t>2026.03</t>
        </is>
      </c>
      <c r="AF4" s="7" t="inlineStr">
        <is>
          <t>2026.06</t>
        </is>
      </c>
      <c r="AG4" s="7" t="inlineStr">
        <is>
          <t>2026.09</t>
        </is>
      </c>
      <c r="AH4" s="7" t="inlineStr">
        <is>
          <t>2026.12</t>
        </is>
      </c>
      <c r="AI4" s="7" t="inlineStr">
        <is>
          <t>2027.03</t>
        </is>
      </c>
      <c r="AJ4" s="7" t="inlineStr">
        <is>
          <t>2027.06</t>
        </is>
      </c>
      <c r="AK4" s="7" t="inlineStr">
        <is>
          <t>2027.09</t>
        </is>
      </c>
      <c r="AL4" s="7" t="inlineStr">
        <is>
          <t>2027.12</t>
        </is>
      </c>
      <c r="AM4" s="7" t="inlineStr">
        <is>
          <t>2028.03</t>
        </is>
      </c>
      <c r="AN4" s="7" t="inlineStr">
        <is>
          <t>2028.06</t>
        </is>
      </c>
      <c r="AO4" s="7" t="inlineStr">
        <is>
          <t>2028.09</t>
        </is>
      </c>
      <c r="AP4" s="7" t="inlineStr">
        <is>
          <t>2028.12</t>
        </is>
      </c>
      <c r="AQ4" s="7" t="inlineStr">
        <is>
          <t>2029.03</t>
        </is>
      </c>
      <c r="AR4" s="7" t="inlineStr">
        <is>
          <t>2029.06</t>
        </is>
      </c>
      <c r="AS4" s="7" t="inlineStr">
        <is>
          <t>2029.09</t>
        </is>
      </c>
      <c r="AT4" s="7" t="inlineStr">
        <is>
          <t>2029.12</t>
        </is>
      </c>
      <c r="AU4" s="7" t="inlineStr">
        <is>
          <t>2030.03</t>
        </is>
      </c>
      <c r="AV4" s="7" t="inlineStr">
        <is>
          <t>2030.06</t>
        </is>
      </c>
      <c r="AW4" s="7" t="inlineStr">
        <is>
          <t>2019.12A</t>
        </is>
      </c>
      <c r="AX4" s="7" t="inlineStr">
        <is>
          <t>2020.12A</t>
        </is>
      </c>
      <c r="AY4" s="7" t="inlineStr">
        <is>
          <t>2021.12A</t>
        </is>
      </c>
      <c r="AZ4" s="7" t="inlineStr">
        <is>
          <t>2022.12A</t>
        </is>
      </c>
      <c r="BA4" s="7" t="inlineStr">
        <is>
          <t>2023.12A</t>
        </is>
      </c>
      <c r="BB4" s="7" t="inlineStr">
        <is>
          <t>2024.12A</t>
        </is>
      </c>
      <c r="BC4" s="7" t="inlineStr">
        <is>
          <t>2025.12A</t>
        </is>
      </c>
      <c r="BD4" s="7" t="inlineStr">
        <is>
          <t>2026.12A</t>
        </is>
      </c>
      <c r="BE4" s="7" t="inlineStr">
        <is>
          <t>2027.12A</t>
        </is>
      </c>
      <c r="BF4" s="7" t="inlineStr">
        <is>
          <t>2028.12A</t>
        </is>
      </c>
      <c r="BG4" s="7" t="inlineStr">
        <is>
          <t>2029.12A</t>
        </is>
      </c>
      <c r="BH4" s="7" t="inlineStr">
        <is>
          <t>2030.12A</t>
        </is>
      </c>
    </row>
    <row r="5">
      <c r="A5" s="12" t="inlineStr">
        <is>
          <t>usd_m</t>
        </is>
      </c>
      <c r="D5" t="inlineStr">
        <is>
          <t>매출인식 합계(백만$)</t>
        </is>
      </c>
      <c r="E5" s="26" t="n">
        <v>1.437</v>
      </c>
      <c r="F5" s="26" t="n">
        <v>4.722</v>
      </c>
      <c r="G5" s="26" t="n">
        <v>4.671</v>
      </c>
      <c r="H5" s="26" t="n">
        <v>4.671</v>
      </c>
      <c r="I5" s="26" t="n">
        <v>4.722</v>
      </c>
      <c r="J5" s="26" t="n">
        <v>4.722</v>
      </c>
      <c r="K5" s="26" t="n">
        <v>4.619</v>
      </c>
      <c r="L5" s="26" t="n">
        <v>34.199</v>
      </c>
      <c r="M5" s="26" t="n">
        <v>58.831</v>
      </c>
      <c r="N5" s="26" t="n">
        <v>67.089</v>
      </c>
      <c r="O5" s="26" t="n">
        <v>65.631</v>
      </c>
      <c r="P5" s="26" t="n">
        <v>66.36</v>
      </c>
      <c r="Q5" s="26" t="n">
        <v>67.089</v>
      </c>
      <c r="R5" s="26" t="n">
        <v>67.089</v>
      </c>
      <c r="S5" s="26" t="n">
        <v>65.631</v>
      </c>
      <c r="T5" s="26" t="n">
        <v>66.36</v>
      </c>
      <c r="U5" s="26" t="n">
        <v>67.089</v>
      </c>
      <c r="V5" s="26" t="n">
        <v>67.089</v>
      </c>
      <c r="W5" s="26" t="n">
        <v>66.36</v>
      </c>
      <c r="X5" s="26" t="n">
        <v>66.36</v>
      </c>
      <c r="Y5" s="26" t="n">
        <v>67.089</v>
      </c>
      <c r="Z5" s="26" t="n">
        <v>67.089</v>
      </c>
      <c r="AA5" s="26" t="n">
        <v>65.631</v>
      </c>
      <c r="AB5" s="26" t="n">
        <v>23.894</v>
      </c>
      <c r="AC5" s="26" t="n">
        <v>70.495</v>
      </c>
      <c r="AD5" s="26" t="n">
        <v>140.062</v>
      </c>
      <c r="AE5" s="26" t="n">
        <v>306.595</v>
      </c>
      <c r="AF5" s="26" t="n">
        <v>459.729</v>
      </c>
      <c r="AG5" s="26" t="n">
        <v>554.106</v>
      </c>
      <c r="AH5" s="26" t="n">
        <v>556.538</v>
      </c>
      <c r="AI5" s="26" t="n">
        <v>544.439</v>
      </c>
      <c r="AJ5" s="26" t="n">
        <v>550.489</v>
      </c>
      <c r="AK5" s="26" t="n">
        <v>552.605</v>
      </c>
      <c r="AL5" s="26" t="n">
        <v>544.477</v>
      </c>
      <c r="AM5" s="26" t="n">
        <v>538.559</v>
      </c>
      <c r="AN5" s="26" t="n">
        <v>534.415</v>
      </c>
      <c r="AO5" s="26" t="n">
        <v>506.362</v>
      </c>
      <c r="AP5" s="26" t="n">
        <v>466.421</v>
      </c>
      <c r="AQ5" s="26" t="n">
        <v>349.895</v>
      </c>
      <c r="AR5" s="26" t="n">
        <v>244.231</v>
      </c>
      <c r="AS5" s="26" t="n">
        <v>155.808</v>
      </c>
      <c r="AT5" s="26" t="n">
        <v>86.67100000000001</v>
      </c>
      <c r="AU5" s="26" t="n">
        <v>24.323</v>
      </c>
      <c r="AV5" s="26" t="n">
        <v>16.485</v>
      </c>
      <c r="AW5" s="26" t="n">
        <v>6.159</v>
      </c>
      <c r="AX5" s="26" t="n">
        <v>18.786</v>
      </c>
      <c r="AY5" s="26" t="n">
        <v>164.738</v>
      </c>
      <c r="AZ5" s="26" t="n">
        <v>266.169</v>
      </c>
      <c r="BA5" s="26" t="n">
        <v>266.169</v>
      </c>
      <c r="BB5" s="26" t="n">
        <v>266.898</v>
      </c>
      <c r="BC5" s="26" t="n">
        <v>300.082</v>
      </c>
      <c r="BD5" s="26" t="n">
        <v>1876.968</v>
      </c>
      <c r="BE5" s="26" t="n">
        <v>2192.01</v>
      </c>
      <c r="BF5" s="26" t="n">
        <v>2045.757</v>
      </c>
      <c r="BG5" s="26" t="n">
        <v>836.605</v>
      </c>
      <c r="BH5" s="26" t="n">
        <v>40.808</v>
      </c>
    </row>
    <row r="6">
      <c r="A6" s="12" t="inlineStr">
        <is>
          <t>type:OTHER</t>
        </is>
      </c>
      <c r="D6" t="inlineStr">
        <is>
          <t>선종 OTHER</t>
        </is>
      </c>
      <c r="E6" s="26" t="n">
        <v>1.437</v>
      </c>
      <c r="F6" s="26" t="n">
        <v>4.722</v>
      </c>
      <c r="G6" s="26" t="n">
        <v>4.671</v>
      </c>
      <c r="H6" s="26" t="n">
        <v>4.671</v>
      </c>
      <c r="I6" s="26" t="n">
        <v>4.722</v>
      </c>
      <c r="J6" s="26" t="n">
        <v>4.722</v>
      </c>
      <c r="K6" s="26" t="n">
        <v>4.619</v>
      </c>
      <c r="L6" s="26" t="n">
        <v>4.671</v>
      </c>
      <c r="M6" s="26" t="n">
        <v>8.523999999999999</v>
      </c>
      <c r="N6" s="26" t="n">
        <v>16.782</v>
      </c>
      <c r="O6" s="26" t="n">
        <v>16.418</v>
      </c>
      <c r="P6" s="26" t="n">
        <v>16.6</v>
      </c>
      <c r="Q6" s="26" t="n">
        <v>16.782</v>
      </c>
      <c r="R6" s="26" t="n">
        <v>16.782</v>
      </c>
      <c r="S6" s="26" t="n">
        <v>16.418</v>
      </c>
      <c r="T6" s="26" t="n">
        <v>16.6</v>
      </c>
      <c r="U6" s="26" t="n">
        <v>16.782</v>
      </c>
      <c r="V6" s="26" t="n">
        <v>16.782</v>
      </c>
      <c r="W6" s="26" t="n">
        <v>16.6</v>
      </c>
      <c r="X6" s="26" t="n">
        <v>16.6</v>
      </c>
      <c r="Y6" s="26" t="n">
        <v>16.782</v>
      </c>
      <c r="Z6" s="26" t="n">
        <v>16.782</v>
      </c>
      <c r="AA6" s="26" t="n">
        <v>16.418</v>
      </c>
      <c r="AB6" s="26" t="n">
        <v>16.6</v>
      </c>
      <c r="AC6" s="26" t="n">
        <v>16.782</v>
      </c>
      <c r="AD6" s="26" t="n">
        <v>15.961</v>
      </c>
      <c r="AE6" s="26" t="n">
        <v>11.798</v>
      </c>
      <c r="AF6" s="26" t="n">
        <v>11.929</v>
      </c>
      <c r="AG6" s="26" t="n">
        <v>12.06</v>
      </c>
      <c r="AH6" s="26" t="n">
        <v>12.06</v>
      </c>
      <c r="AI6" s="26" t="n">
        <v>11.798</v>
      </c>
      <c r="AJ6" s="26" t="n">
        <v>11.929</v>
      </c>
      <c r="AK6" s="26" t="n">
        <v>8.128</v>
      </c>
      <c r="AW6" s="26" t="n">
        <v>6.159</v>
      </c>
      <c r="AX6" s="26" t="n">
        <v>18.786</v>
      </c>
      <c r="AY6" s="26" t="n">
        <v>34.596</v>
      </c>
      <c r="AZ6" s="26" t="n">
        <v>66.58199999999999</v>
      </c>
      <c r="BA6" s="26" t="n">
        <v>66.58199999999999</v>
      </c>
      <c r="BB6" s="26" t="n">
        <v>66.764</v>
      </c>
      <c r="BC6" s="26" t="n">
        <v>65.761</v>
      </c>
      <c r="BD6" s="26" t="n">
        <v>47.847</v>
      </c>
      <c r="BE6" s="26" t="n">
        <v>31.855</v>
      </c>
    </row>
    <row r="7">
      <c r="A7" s="12" t="inlineStr">
        <is>
          <t>type:OFFSH</t>
        </is>
      </c>
      <c r="D7" t="inlineStr">
        <is>
          <t>선종 OFFSH</t>
        </is>
      </c>
      <c r="L7" s="26" t="n">
        <v>29.528</v>
      </c>
      <c r="M7" s="26" t="n">
        <v>50.307</v>
      </c>
      <c r="N7" s="26" t="n">
        <v>50.307</v>
      </c>
      <c r="O7" s="26" t="n">
        <v>49.213</v>
      </c>
      <c r="P7" s="26" t="n">
        <v>49.76</v>
      </c>
      <c r="Q7" s="26" t="n">
        <v>50.307</v>
      </c>
      <c r="R7" s="26" t="n">
        <v>50.307</v>
      </c>
      <c r="S7" s="26" t="n">
        <v>49.213</v>
      </c>
      <c r="T7" s="26" t="n">
        <v>49.76</v>
      </c>
      <c r="U7" s="26" t="n">
        <v>50.307</v>
      </c>
      <c r="V7" s="26" t="n">
        <v>50.307</v>
      </c>
      <c r="W7" s="26" t="n">
        <v>49.76</v>
      </c>
      <c r="X7" s="26" t="n">
        <v>49.76</v>
      </c>
      <c r="Y7" s="26" t="n">
        <v>50.307</v>
      </c>
      <c r="Z7" s="26" t="n">
        <v>50.307</v>
      </c>
      <c r="AA7" s="26" t="n">
        <v>49.213</v>
      </c>
      <c r="AB7" s="26" t="n">
        <v>4.375</v>
      </c>
      <c r="AY7" s="26" t="n">
        <v>130.142</v>
      </c>
      <c r="AZ7" s="26" t="n">
        <v>199.587</v>
      </c>
      <c r="BA7" s="26" t="n">
        <v>199.587</v>
      </c>
      <c r="BB7" s="26" t="n">
        <v>200.134</v>
      </c>
      <c r="BC7" s="26" t="n">
        <v>53.588</v>
      </c>
    </row>
    <row r="8">
      <c r="A8" s="12" t="inlineStr">
        <is>
          <t>type:LNGC</t>
        </is>
      </c>
      <c r="D8" t="inlineStr">
        <is>
          <t>선종 LNGC</t>
        </is>
      </c>
      <c r="AB8" s="26" t="n">
        <v>2.919</v>
      </c>
      <c r="AC8" s="26" t="n">
        <v>53.713</v>
      </c>
      <c r="AD8" s="26" t="n">
        <v>60.682</v>
      </c>
      <c r="AE8" s="26" t="n">
        <v>89.625</v>
      </c>
      <c r="AF8" s="26" t="n">
        <v>154.335</v>
      </c>
      <c r="AG8" s="26" t="n">
        <v>176.152</v>
      </c>
      <c r="AH8" s="26" t="n">
        <v>176.152</v>
      </c>
      <c r="AI8" s="26" t="n">
        <v>172.322</v>
      </c>
      <c r="AJ8" s="26" t="n">
        <v>174.237</v>
      </c>
      <c r="AK8" s="26" t="n">
        <v>176.152</v>
      </c>
      <c r="AL8" s="26" t="n">
        <v>176.152</v>
      </c>
      <c r="AM8" s="26" t="n">
        <v>174.237</v>
      </c>
      <c r="AN8" s="26" t="n">
        <v>174.237</v>
      </c>
      <c r="AO8" s="26" t="n">
        <v>150.746</v>
      </c>
      <c r="AP8" s="26" t="n">
        <v>150.746</v>
      </c>
      <c r="AQ8" s="26" t="n">
        <v>93.956</v>
      </c>
      <c r="AR8" s="26" t="n">
        <v>75.51900000000001</v>
      </c>
      <c r="AS8" s="26" t="n">
        <v>46.123</v>
      </c>
      <c r="BC8" s="26" t="n">
        <v>117.314</v>
      </c>
      <c r="BD8" s="26" t="n">
        <v>596.264</v>
      </c>
      <c r="BE8" s="26" t="n">
        <v>698.8630000000001</v>
      </c>
      <c r="BF8" s="26" t="n">
        <v>649.966</v>
      </c>
      <c r="BG8" s="26" t="n">
        <v>215.598</v>
      </c>
    </row>
    <row r="9">
      <c r="A9" s="12" t="inlineStr">
        <is>
          <t>type:CONT</t>
        </is>
      </c>
      <c r="D9" t="inlineStr">
        <is>
          <t>선종 CONT</t>
        </is>
      </c>
      <c r="AD9" s="26" t="n">
        <v>42.327</v>
      </c>
      <c r="AE9" s="26" t="n">
        <v>119.295</v>
      </c>
      <c r="AF9" s="26" t="n">
        <v>120.621</v>
      </c>
      <c r="AG9" s="26" t="n">
        <v>121.946</v>
      </c>
      <c r="AH9" s="26" t="n">
        <v>121.946</v>
      </c>
      <c r="AI9" s="26" t="n">
        <v>119.295</v>
      </c>
      <c r="AJ9" s="26" t="n">
        <v>120.621</v>
      </c>
      <c r="AK9" s="26" t="n">
        <v>121.946</v>
      </c>
      <c r="AL9" s="26" t="n">
        <v>121.946</v>
      </c>
      <c r="AM9" s="26" t="n">
        <v>120.621</v>
      </c>
      <c r="AN9" s="26" t="n">
        <v>120.621</v>
      </c>
      <c r="AO9" s="26" t="n">
        <v>121.946</v>
      </c>
      <c r="AP9" s="26" t="n">
        <v>103.696</v>
      </c>
      <c r="AQ9" s="26" t="n">
        <v>79.233</v>
      </c>
      <c r="AR9" s="26" t="n">
        <v>26.411</v>
      </c>
      <c r="BC9" s="26" t="n">
        <v>42.327</v>
      </c>
      <c r="BD9" s="26" t="n">
        <v>483.808</v>
      </c>
      <c r="BE9" s="26" t="n">
        <v>483.808</v>
      </c>
      <c r="BF9" s="26" t="n">
        <v>466.884</v>
      </c>
      <c r="BG9" s="26" t="n">
        <v>105.644</v>
      </c>
    </row>
    <row r="10">
      <c r="A10" s="12" t="inlineStr">
        <is>
          <t>type:VLCC</t>
        </is>
      </c>
      <c r="D10" t="inlineStr">
        <is>
          <t>선종 VLCC</t>
        </is>
      </c>
      <c r="AD10" s="26" t="n">
        <v>21.092</v>
      </c>
      <c r="AE10" s="26" t="n">
        <v>70.181</v>
      </c>
      <c r="AF10" s="26" t="n">
        <v>80.62</v>
      </c>
      <c r="AG10" s="26" t="n">
        <v>81.506</v>
      </c>
      <c r="AH10" s="26" t="n">
        <v>81.506</v>
      </c>
      <c r="AI10" s="26" t="n">
        <v>79.73399999999999</v>
      </c>
      <c r="AJ10" s="26" t="n">
        <v>80.62</v>
      </c>
      <c r="AK10" s="26" t="n">
        <v>81.506</v>
      </c>
      <c r="AL10" s="26" t="n">
        <v>81.506</v>
      </c>
      <c r="AM10" s="26" t="n">
        <v>80.62</v>
      </c>
      <c r="AN10" s="26" t="n">
        <v>80.62</v>
      </c>
      <c r="AO10" s="26" t="n">
        <v>81.506</v>
      </c>
      <c r="AP10" s="26" t="n">
        <v>60.267</v>
      </c>
      <c r="AQ10" s="26" t="n">
        <v>48.398</v>
      </c>
      <c r="AR10" s="26" t="n">
        <v>44.387</v>
      </c>
      <c r="AS10" s="26" t="n">
        <v>16.99</v>
      </c>
      <c r="BC10" s="26" t="n">
        <v>21.092</v>
      </c>
      <c r="BD10" s="26" t="n">
        <v>313.813</v>
      </c>
      <c r="BE10" s="26" t="n">
        <v>323.366</v>
      </c>
      <c r="BF10" s="26" t="n">
        <v>303.013</v>
      </c>
      <c r="BG10" s="26" t="n">
        <v>109.775</v>
      </c>
    </row>
    <row r="11">
      <c r="A11" s="12" t="inlineStr">
        <is>
          <t>type:VLGC</t>
        </is>
      </c>
      <c r="D11" t="inlineStr">
        <is>
          <t>선종 VLGC</t>
        </is>
      </c>
      <c r="AE11" s="26" t="n">
        <v>15.695</v>
      </c>
      <c r="AF11" s="26" t="n">
        <v>92.22499999999999</v>
      </c>
      <c r="AG11" s="26" t="n">
        <v>162.442</v>
      </c>
      <c r="AH11" s="26" t="n">
        <v>164.874</v>
      </c>
      <c r="AI11" s="26" t="n">
        <v>161.29</v>
      </c>
      <c r="AJ11" s="26" t="n">
        <v>163.082</v>
      </c>
      <c r="AK11" s="26" t="n">
        <v>164.874</v>
      </c>
      <c r="AL11" s="26" t="n">
        <v>164.874</v>
      </c>
      <c r="AM11" s="26" t="n">
        <v>163.082</v>
      </c>
      <c r="AN11" s="26" t="n">
        <v>158.938</v>
      </c>
      <c r="AO11" s="26" t="n">
        <v>152.165</v>
      </c>
      <c r="AP11" s="26" t="n">
        <v>151.713</v>
      </c>
      <c r="AQ11" s="26" t="n">
        <v>128.309</v>
      </c>
      <c r="AR11" s="26" t="n">
        <v>97.91500000000001</v>
      </c>
      <c r="AS11" s="26" t="n">
        <v>92.696</v>
      </c>
      <c r="AT11" s="26" t="n">
        <v>86.67100000000001</v>
      </c>
      <c r="AU11" s="26" t="n">
        <v>24.323</v>
      </c>
      <c r="AV11" s="26" t="n">
        <v>16.485</v>
      </c>
      <c r="BD11" s="26" t="n">
        <v>435.236</v>
      </c>
      <c r="BE11" s="26" t="n">
        <v>654.12</v>
      </c>
      <c r="BF11" s="26" t="n">
        <v>625.898</v>
      </c>
      <c r="BG11" s="26" t="n">
        <v>405.591</v>
      </c>
      <c r="BH11" s="26" t="n">
        <v>40.808</v>
      </c>
    </row>
    <row r="12">
      <c r="A12" s="12" t="inlineStr">
        <is>
          <t>cohort:등급없음</t>
        </is>
      </c>
      <c r="D12" t="inlineStr">
        <is>
          <t>코호트 등급없음</t>
        </is>
      </c>
      <c r="E12" s="26" t="n">
        <v>1.437</v>
      </c>
      <c r="F12" s="26" t="n">
        <v>4.722</v>
      </c>
      <c r="G12" s="26" t="n">
        <v>4.671</v>
      </c>
      <c r="H12" s="26" t="n">
        <v>4.671</v>
      </c>
      <c r="I12" s="26" t="n">
        <v>4.722</v>
      </c>
      <c r="J12" s="26" t="n">
        <v>4.722</v>
      </c>
      <c r="K12" s="26" t="n">
        <v>4.619</v>
      </c>
      <c r="L12" s="26" t="n">
        <v>4.671</v>
      </c>
      <c r="M12" s="26" t="n">
        <v>8.523999999999999</v>
      </c>
      <c r="N12" s="26" t="n">
        <v>16.782</v>
      </c>
      <c r="O12" s="26" t="n">
        <v>16.418</v>
      </c>
      <c r="P12" s="26" t="n">
        <v>16.6</v>
      </c>
      <c r="Q12" s="26" t="n">
        <v>16.782</v>
      </c>
      <c r="R12" s="26" t="n">
        <v>16.782</v>
      </c>
      <c r="S12" s="26" t="n">
        <v>16.418</v>
      </c>
      <c r="T12" s="26" t="n">
        <v>16.6</v>
      </c>
      <c r="U12" s="26" t="n">
        <v>16.782</v>
      </c>
      <c r="V12" s="26" t="n">
        <v>16.782</v>
      </c>
      <c r="W12" s="26" t="n">
        <v>16.6</v>
      </c>
      <c r="X12" s="26" t="n">
        <v>16.6</v>
      </c>
      <c r="Y12" s="26" t="n">
        <v>16.782</v>
      </c>
      <c r="Z12" s="26" t="n">
        <v>16.782</v>
      </c>
      <c r="AA12" s="26" t="n">
        <v>16.418</v>
      </c>
      <c r="AB12" s="26" t="n">
        <v>16.6</v>
      </c>
      <c r="AC12" s="26" t="n">
        <v>16.782</v>
      </c>
      <c r="AD12" s="26" t="n">
        <v>15.961</v>
      </c>
      <c r="AE12" s="26" t="n">
        <v>11.798</v>
      </c>
      <c r="AF12" s="26" t="n">
        <v>11.929</v>
      </c>
      <c r="AG12" s="26" t="n">
        <v>12.06</v>
      </c>
      <c r="AH12" s="26" t="n">
        <v>12.06</v>
      </c>
      <c r="AI12" s="26" t="n">
        <v>11.798</v>
      </c>
      <c r="AJ12" s="26" t="n">
        <v>11.929</v>
      </c>
      <c r="AK12" s="26" t="n">
        <v>8.128</v>
      </c>
      <c r="AW12" s="26" t="n">
        <v>6.159</v>
      </c>
      <c r="AX12" s="26" t="n">
        <v>18.786</v>
      </c>
      <c r="AY12" s="26" t="n">
        <v>34.596</v>
      </c>
      <c r="AZ12" s="26" t="n">
        <v>66.58199999999999</v>
      </c>
      <c r="BA12" s="26" t="n">
        <v>66.58199999999999</v>
      </c>
      <c r="BB12" s="26" t="n">
        <v>66.764</v>
      </c>
      <c r="BC12" s="26" t="n">
        <v>65.761</v>
      </c>
      <c r="BD12" s="26" t="n">
        <v>47.847</v>
      </c>
      <c r="BE12" s="26" t="n">
        <v>31.855</v>
      </c>
    </row>
    <row r="13">
      <c r="A13" s="12" t="inlineStr">
        <is>
          <t>cohort:②BEP</t>
        </is>
      </c>
      <c r="D13" t="inlineStr">
        <is>
          <t>코호트 ②BEP</t>
        </is>
      </c>
      <c r="L13" s="26" t="n">
        <v>29.528</v>
      </c>
      <c r="M13" s="26" t="n">
        <v>50.307</v>
      </c>
      <c r="N13" s="26" t="n">
        <v>50.307</v>
      </c>
      <c r="O13" s="26" t="n">
        <v>49.213</v>
      </c>
      <c r="P13" s="26" t="n">
        <v>49.76</v>
      </c>
      <c r="Q13" s="26" t="n">
        <v>50.307</v>
      </c>
      <c r="R13" s="26" t="n">
        <v>50.307</v>
      </c>
      <c r="S13" s="26" t="n">
        <v>49.213</v>
      </c>
      <c r="T13" s="26" t="n">
        <v>49.76</v>
      </c>
      <c r="U13" s="26" t="n">
        <v>50.307</v>
      </c>
      <c r="V13" s="26" t="n">
        <v>50.307</v>
      </c>
      <c r="W13" s="26" t="n">
        <v>49.76</v>
      </c>
      <c r="X13" s="26" t="n">
        <v>49.76</v>
      </c>
      <c r="Y13" s="26" t="n">
        <v>50.307</v>
      </c>
      <c r="Z13" s="26" t="n">
        <v>50.307</v>
      </c>
      <c r="AA13" s="26" t="n">
        <v>49.213</v>
      </c>
      <c r="AB13" s="26" t="n">
        <v>4.375</v>
      </c>
      <c r="AD13" s="26" t="n">
        <v>6.232</v>
      </c>
      <c r="AE13" s="26" t="n">
        <v>40.062</v>
      </c>
      <c r="AF13" s="26" t="n">
        <v>40.508</v>
      </c>
      <c r="AG13" s="26" t="n">
        <v>40.953</v>
      </c>
      <c r="AH13" s="26" t="n">
        <v>40.953</v>
      </c>
      <c r="AI13" s="26" t="n">
        <v>40.062</v>
      </c>
      <c r="AJ13" s="26" t="n">
        <v>40.508</v>
      </c>
      <c r="AK13" s="26" t="n">
        <v>40.953</v>
      </c>
      <c r="AL13" s="26" t="n">
        <v>40.953</v>
      </c>
      <c r="AM13" s="26" t="n">
        <v>40.508</v>
      </c>
      <c r="AN13" s="26" t="n">
        <v>40.508</v>
      </c>
      <c r="AO13" s="26" t="n">
        <v>40.953</v>
      </c>
      <c r="AP13" s="26" t="n">
        <v>22.702</v>
      </c>
      <c r="AY13" s="26" t="n">
        <v>130.142</v>
      </c>
      <c r="AZ13" s="26" t="n">
        <v>199.587</v>
      </c>
      <c r="BA13" s="26" t="n">
        <v>199.587</v>
      </c>
      <c r="BB13" s="26" t="n">
        <v>200.134</v>
      </c>
      <c r="BC13" s="26" t="n">
        <v>59.82</v>
      </c>
      <c r="BD13" s="26" t="n">
        <v>162.476</v>
      </c>
      <c r="BE13" s="26" t="n">
        <v>162.476</v>
      </c>
      <c r="BF13" s="26" t="n">
        <v>144.671</v>
      </c>
    </row>
    <row r="14">
      <c r="A14" s="12" t="inlineStr">
        <is>
          <t>cohort:③중마진</t>
        </is>
      </c>
      <c r="D14" t="inlineStr">
        <is>
          <t>코호트 ③중마진</t>
        </is>
      </c>
      <c r="AB14" s="26" t="n">
        <v>2.919</v>
      </c>
      <c r="AC14" s="26" t="n">
        <v>53.713</v>
      </c>
      <c r="AD14" s="26" t="n">
        <v>101.652</v>
      </c>
      <c r="AE14" s="26" t="n">
        <v>219.983</v>
      </c>
      <c r="AF14" s="26" t="n">
        <v>372.155</v>
      </c>
      <c r="AG14" s="26" t="n">
        <v>443.138</v>
      </c>
      <c r="AH14" s="26" t="n">
        <v>443.138</v>
      </c>
      <c r="AI14" s="26" t="n">
        <v>433.504</v>
      </c>
      <c r="AJ14" s="26" t="n">
        <v>438.321</v>
      </c>
      <c r="AK14" s="26" t="n">
        <v>443.138</v>
      </c>
      <c r="AL14" s="26" t="n">
        <v>443.138</v>
      </c>
      <c r="AM14" s="26" t="n">
        <v>438.321</v>
      </c>
      <c r="AN14" s="26" t="n">
        <v>434.177</v>
      </c>
      <c r="AO14" s="26" t="n">
        <v>405.023</v>
      </c>
      <c r="AP14" s="26" t="n">
        <v>383.332</v>
      </c>
      <c r="AQ14" s="26" t="n">
        <v>290.821</v>
      </c>
      <c r="AR14" s="26" t="n">
        <v>184.5</v>
      </c>
      <c r="AS14" s="26" t="n">
        <v>113.955</v>
      </c>
      <c r="AT14" s="26" t="n">
        <v>61.808</v>
      </c>
      <c r="BC14" s="26" t="n">
        <v>158.284</v>
      </c>
      <c r="BD14" s="26" t="n">
        <v>1478.414</v>
      </c>
      <c r="BE14" s="26" t="n">
        <v>1758.101</v>
      </c>
      <c r="BF14" s="26" t="n">
        <v>1660.853</v>
      </c>
      <c r="BG14" s="26" t="n">
        <v>651.0839999999999</v>
      </c>
    </row>
    <row r="15">
      <c r="A15" s="12" t="inlineStr">
        <is>
          <t>cohort:④호황</t>
        </is>
      </c>
      <c r="D15" t="inlineStr">
        <is>
          <t>코호트 ④호황</t>
        </is>
      </c>
      <c r="AD15" s="26" t="n">
        <v>16.217</v>
      </c>
      <c r="AE15" s="26" t="n">
        <v>34.752</v>
      </c>
      <c r="AF15" s="26" t="n">
        <v>35.138</v>
      </c>
      <c r="AG15" s="26" t="n">
        <v>57.955</v>
      </c>
      <c r="AH15" s="26" t="n">
        <v>60.387</v>
      </c>
      <c r="AI15" s="26" t="n">
        <v>59.074</v>
      </c>
      <c r="AJ15" s="26" t="n">
        <v>59.731</v>
      </c>
      <c r="AK15" s="26" t="n">
        <v>60.387</v>
      </c>
      <c r="AL15" s="26" t="n">
        <v>60.387</v>
      </c>
      <c r="AM15" s="26" t="n">
        <v>59.731</v>
      </c>
      <c r="AN15" s="26" t="n">
        <v>59.731</v>
      </c>
      <c r="AO15" s="26" t="n">
        <v>60.387</v>
      </c>
      <c r="AP15" s="26" t="n">
        <v>60.387</v>
      </c>
      <c r="AQ15" s="26" t="n">
        <v>59.074</v>
      </c>
      <c r="AR15" s="26" t="n">
        <v>59.731</v>
      </c>
      <c r="AS15" s="26" t="n">
        <v>41.853</v>
      </c>
      <c r="AT15" s="26" t="n">
        <v>24.863</v>
      </c>
      <c r="AU15" s="26" t="n">
        <v>24.323</v>
      </c>
      <c r="AV15" s="26" t="n">
        <v>16.485</v>
      </c>
      <c r="BC15" s="26" t="n">
        <v>16.217</v>
      </c>
      <c r="BD15" s="26" t="n">
        <v>188.232</v>
      </c>
      <c r="BE15" s="26" t="n">
        <v>239.579</v>
      </c>
      <c r="BF15" s="26" t="n">
        <v>240.236</v>
      </c>
      <c r="BG15" s="26" t="n">
        <v>185.521</v>
      </c>
      <c r="BH15" s="26" t="n">
        <v>40.808</v>
      </c>
    </row>
    <row r="16">
      <c r="A16" s="12" t="inlineStr">
        <is>
          <t>hedge_ratio</t>
        </is>
      </c>
      <c r="D16" t="inlineStr">
        <is>
          <t>헤지비율</t>
        </is>
      </c>
      <c r="E16" s="21" t="n">
        <v>0.7</v>
      </c>
      <c r="F16" s="21" t="n">
        <v>0.7</v>
      </c>
      <c r="G16" s="21" t="n">
        <v>0.7</v>
      </c>
      <c r="H16" s="21" t="n">
        <v>0.7</v>
      </c>
      <c r="I16" s="21" t="n">
        <v>0.7</v>
      </c>
      <c r="J16" s="21" t="n">
        <v>0.7</v>
      </c>
      <c r="K16" s="21" t="n">
        <v>0.7</v>
      </c>
      <c r="L16" s="21" t="n">
        <v>0.7</v>
      </c>
      <c r="M16" s="21" t="n">
        <v>0.7</v>
      </c>
      <c r="N16" s="21" t="n">
        <v>0.7</v>
      </c>
      <c r="O16" s="21" t="n">
        <v>0.7</v>
      </c>
      <c r="P16" s="21" t="n">
        <v>0.7</v>
      </c>
      <c r="Q16" s="21" t="n">
        <v>0.7</v>
      </c>
      <c r="R16" s="21" t="n">
        <v>0.7</v>
      </c>
      <c r="S16" s="21" t="n">
        <v>0.7</v>
      </c>
      <c r="T16" s="21" t="n">
        <v>0.7</v>
      </c>
      <c r="U16" s="21" t="n">
        <v>0.7</v>
      </c>
      <c r="V16" s="21" t="n">
        <v>0.7</v>
      </c>
      <c r="W16" s="21" t="n">
        <v>0.7</v>
      </c>
      <c r="X16" s="21" t="n">
        <v>0.7</v>
      </c>
      <c r="Y16" s="21" t="n">
        <v>0.7</v>
      </c>
      <c r="Z16" s="21" t="n">
        <v>0.7</v>
      </c>
      <c r="AA16" s="21" t="n">
        <v>0.7</v>
      </c>
      <c r="AB16" s="21" t="n">
        <v>0.7</v>
      </c>
      <c r="AC16" s="21" t="n">
        <v>0.7</v>
      </c>
      <c r="AD16" s="21" t="n">
        <v>0.7</v>
      </c>
      <c r="AE16" s="21" t="n">
        <v>0.7</v>
      </c>
      <c r="AF16" s="21" t="n">
        <v>0.7</v>
      </c>
      <c r="AG16" s="21" t="n">
        <v>0.7</v>
      </c>
      <c r="AH16" s="21" t="n">
        <v>0.7</v>
      </c>
      <c r="AI16" s="21" t="n">
        <v>0.7</v>
      </c>
      <c r="AJ16" s="21" t="n">
        <v>0.7</v>
      </c>
      <c r="AK16" s="21" t="n">
        <v>0.7</v>
      </c>
      <c r="AL16" s="21" t="n">
        <v>0.7</v>
      </c>
      <c r="AM16" s="21" t="n">
        <v>0.7</v>
      </c>
      <c r="AN16" s="21" t="n">
        <v>0.7</v>
      </c>
      <c r="AO16" s="21" t="n">
        <v>0.7</v>
      </c>
      <c r="AP16" s="21" t="n">
        <v>0.7</v>
      </c>
      <c r="AQ16" s="21" t="n">
        <v>0.7</v>
      </c>
      <c r="AR16" s="21" t="n">
        <v>0.7</v>
      </c>
      <c r="AS16" s="21" t="n">
        <v>0.7</v>
      </c>
      <c r="AT16" s="21" t="n">
        <v>0.7</v>
      </c>
      <c r="AU16" s="21" t="n">
        <v>0.7</v>
      </c>
      <c r="AV16" s="21" t="n">
        <v>0.7</v>
      </c>
    </row>
    <row r="17">
      <c r="A17" s="12" t="inlineStr">
        <is>
          <t>hedge_rate</t>
        </is>
      </c>
      <c r="D17" t="inlineStr">
        <is>
          <t>헤지환율</t>
        </is>
      </c>
      <c r="E17" s="13" t="n">
        <v>1193.96</v>
      </c>
      <c r="F17" s="13" t="n">
        <v>1193.96</v>
      </c>
      <c r="G17" s="13" t="n">
        <v>1193.96</v>
      </c>
      <c r="H17" s="13" t="n">
        <v>1193.96</v>
      </c>
      <c r="I17" s="13" t="n">
        <v>1193.96</v>
      </c>
      <c r="J17" s="13" t="n">
        <v>1193.96</v>
      </c>
      <c r="K17" s="13" t="n">
        <v>1193.96</v>
      </c>
      <c r="L17" s="13" t="n">
        <v>1131.31</v>
      </c>
      <c r="M17" s="13" t="n">
        <v>1129.71</v>
      </c>
      <c r="N17" s="13" t="n">
        <v>1133.43</v>
      </c>
      <c r="O17" s="13" t="n">
        <v>1133.43</v>
      </c>
      <c r="P17" s="13" t="n">
        <v>1133.43</v>
      </c>
      <c r="Q17" s="13" t="n">
        <v>1133.43</v>
      </c>
      <c r="R17" s="13" t="n">
        <v>1133.43</v>
      </c>
      <c r="S17" s="13" t="n">
        <v>1133.43</v>
      </c>
      <c r="T17" s="13" t="n">
        <v>1133.43</v>
      </c>
      <c r="U17" s="13" t="n">
        <v>1133.43</v>
      </c>
      <c r="V17" s="13" t="n">
        <v>1133.43</v>
      </c>
      <c r="W17" s="13" t="n">
        <v>1133.43</v>
      </c>
      <c r="X17" s="13" t="n">
        <v>1133.43</v>
      </c>
      <c r="Y17" s="13" t="n">
        <v>1133.43</v>
      </c>
      <c r="Z17" s="13" t="n">
        <v>1133.43</v>
      </c>
      <c r="AA17" s="13" t="n">
        <v>1133.43</v>
      </c>
      <c r="AB17" s="13" t="n">
        <v>1184.07</v>
      </c>
      <c r="AC17" s="13" t="n">
        <v>1315.33</v>
      </c>
      <c r="AD17" s="13" t="n">
        <v>1383.31</v>
      </c>
      <c r="AE17" s="13" t="n">
        <v>1424.95</v>
      </c>
      <c r="AF17" s="13" t="n">
        <v>1447.25</v>
      </c>
      <c r="AG17" s="13" t="n">
        <v>1452.71</v>
      </c>
      <c r="AH17" s="13" t="n">
        <v>1452.57</v>
      </c>
      <c r="AI17" s="13" t="n">
        <v>1452.57</v>
      </c>
      <c r="AJ17" s="13" t="n">
        <v>1452.57</v>
      </c>
      <c r="AK17" s="13" t="n">
        <v>1454.65</v>
      </c>
      <c r="AL17" s="13" t="n">
        <v>1459.05</v>
      </c>
      <c r="AM17" s="13" t="n">
        <v>1459.05</v>
      </c>
      <c r="AN17" s="13" t="n">
        <v>1459</v>
      </c>
      <c r="AO17" s="13" t="n">
        <v>1458.52</v>
      </c>
      <c r="AP17" s="13" t="n">
        <v>1459.3</v>
      </c>
      <c r="AQ17" s="13" t="n">
        <v>1469.78</v>
      </c>
      <c r="AR17" s="13" t="n">
        <v>1478.89</v>
      </c>
      <c r="AS17" s="13" t="n">
        <v>1482.93</v>
      </c>
      <c r="AT17" s="13" t="n">
        <v>1478.22</v>
      </c>
      <c r="AU17" s="13" t="n">
        <v>1419.72</v>
      </c>
      <c r="AV17" s="13" t="n">
        <v>1419.72</v>
      </c>
    </row>
    <row r="18">
      <c r="A18" s="12" t="inlineStr">
        <is>
          <t>spot_assumed</t>
        </is>
      </c>
      <c r="D18" t="inlineStr">
        <is>
          <t>건조시점 환율(가정)</t>
        </is>
      </c>
      <c r="E18" s="13" t="n">
        <v>1193.96</v>
      </c>
      <c r="F18" s="13" t="n">
        <v>1176.23</v>
      </c>
      <c r="G18" s="13" t="n">
        <v>1193.92</v>
      </c>
      <c r="H18" s="13" t="n">
        <v>1219.69</v>
      </c>
      <c r="I18" s="13" t="n">
        <v>1187.81</v>
      </c>
      <c r="J18" s="13" t="n">
        <v>1117.97</v>
      </c>
      <c r="K18" s="13" t="n">
        <v>1114.99</v>
      </c>
      <c r="L18" s="13" t="n">
        <v>1121.13</v>
      </c>
      <c r="M18" s="13" t="n">
        <v>1159.91</v>
      </c>
      <c r="N18" s="13" t="n">
        <v>1183.5</v>
      </c>
      <c r="O18" s="13" t="n">
        <v>1205.78</v>
      </c>
      <c r="P18" s="13" t="n">
        <v>1262.09</v>
      </c>
      <c r="Q18" s="13" t="n">
        <v>1341.93</v>
      </c>
      <c r="R18" s="13" t="n">
        <v>1360.12</v>
      </c>
      <c r="S18" s="13" t="n">
        <v>1276.95</v>
      </c>
      <c r="T18" s="13" t="n">
        <v>1315.69</v>
      </c>
      <c r="U18" s="13" t="n">
        <v>1313.62</v>
      </c>
      <c r="V18" s="13" t="n">
        <v>1322.01</v>
      </c>
      <c r="W18" s="13" t="n">
        <v>1330.14</v>
      </c>
      <c r="X18" s="13" t="n">
        <v>1371.28</v>
      </c>
      <c r="Y18" s="13" t="n">
        <v>1356.22</v>
      </c>
      <c r="Z18" s="13" t="n">
        <v>1396.3</v>
      </c>
      <c r="AA18" s="13" t="n">
        <v>1452.28</v>
      </c>
      <c r="AB18" s="13" t="n">
        <v>1398.52</v>
      </c>
      <c r="AC18" s="13" t="n">
        <v>1386.95</v>
      </c>
      <c r="AD18" s="13" t="n">
        <v>1449.19</v>
      </c>
      <c r="AE18" s="13" t="n">
        <v>1466.12</v>
      </c>
      <c r="AF18" s="13" t="n">
        <v>1501.75</v>
      </c>
      <c r="AG18" s="13" t="n">
        <v>1419.72</v>
      </c>
      <c r="AH18" s="13" t="n">
        <v>1353.36</v>
      </c>
      <c r="AI18" s="13" t="n">
        <v>1353.36</v>
      </c>
      <c r="AJ18" s="13" t="n">
        <v>1353.36</v>
      </c>
      <c r="AK18" s="13" t="n">
        <v>1353.36</v>
      </c>
      <c r="AL18" s="13" t="n">
        <v>1353.36</v>
      </c>
      <c r="AM18" s="13" t="n">
        <v>1353.36</v>
      </c>
      <c r="AN18" s="13" t="n">
        <v>1353.36</v>
      </c>
      <c r="AO18" s="13" t="n">
        <v>1353.36</v>
      </c>
      <c r="AP18" s="13" t="n">
        <v>1353.36</v>
      </c>
      <c r="AQ18" s="13" t="n">
        <v>1353.36</v>
      </c>
      <c r="AR18" s="13" t="n">
        <v>1353.36</v>
      </c>
      <c r="AS18" s="13" t="n">
        <v>1353.36</v>
      </c>
      <c r="AT18" s="13" t="n">
        <v>1353.36</v>
      </c>
      <c r="AU18" s="13" t="n">
        <v>1353.36</v>
      </c>
      <c r="AV18" s="13" t="n">
        <v>1353.36</v>
      </c>
    </row>
    <row r="19">
      <c r="A19" s="12" t="inlineStr">
        <is>
          <t>applied_rate</t>
        </is>
      </c>
      <c r="D19" t="inlineStr">
        <is>
          <t>적용환율</t>
        </is>
      </c>
      <c r="E19" s="13" t="n">
        <v>1193.96</v>
      </c>
      <c r="F19" s="13" t="n">
        <v>1188.64</v>
      </c>
      <c r="G19" s="13" t="n">
        <v>1193.95</v>
      </c>
      <c r="H19" s="13" t="n">
        <v>1201.68</v>
      </c>
      <c r="I19" s="13" t="n">
        <v>1192.12</v>
      </c>
      <c r="J19" s="13" t="n">
        <v>1171.16</v>
      </c>
      <c r="K19" s="13" t="n">
        <v>1170.27</v>
      </c>
      <c r="L19" s="13" t="n">
        <v>1128.26</v>
      </c>
      <c r="M19" s="13" t="n">
        <v>1138.77</v>
      </c>
      <c r="N19" s="13" t="n">
        <v>1148.45</v>
      </c>
      <c r="O19" s="13" t="n">
        <v>1155.13</v>
      </c>
      <c r="P19" s="13" t="n">
        <v>1172.03</v>
      </c>
      <c r="Q19" s="13" t="n">
        <v>1195.98</v>
      </c>
      <c r="R19" s="13" t="n">
        <v>1201.44</v>
      </c>
      <c r="S19" s="13" t="n">
        <v>1176.49</v>
      </c>
      <c r="T19" s="13" t="n">
        <v>1188.11</v>
      </c>
      <c r="U19" s="13" t="n">
        <v>1187.49</v>
      </c>
      <c r="V19" s="13" t="n">
        <v>1190</v>
      </c>
      <c r="W19" s="13" t="n">
        <v>1192.44</v>
      </c>
      <c r="X19" s="13" t="n">
        <v>1204.78</v>
      </c>
      <c r="Y19" s="13" t="n">
        <v>1200.27</v>
      </c>
      <c r="Z19" s="13" t="n">
        <v>1212.29</v>
      </c>
      <c r="AA19" s="13" t="n">
        <v>1229.08</v>
      </c>
      <c r="AB19" s="13" t="n">
        <v>1248.41</v>
      </c>
      <c r="AC19" s="13" t="n">
        <v>1336.82</v>
      </c>
      <c r="AD19" s="13" t="n">
        <v>1403.08</v>
      </c>
      <c r="AE19" s="13" t="n">
        <v>1437.3</v>
      </c>
      <c r="AF19" s="13" t="n">
        <v>1463.6</v>
      </c>
      <c r="AG19" s="13" t="n">
        <v>1442.82</v>
      </c>
      <c r="AH19" s="13" t="n">
        <v>1422.81</v>
      </c>
      <c r="AI19" s="13" t="n">
        <v>1422.81</v>
      </c>
      <c r="AJ19" s="13" t="n">
        <v>1422.81</v>
      </c>
      <c r="AK19" s="13" t="n">
        <v>1424.26</v>
      </c>
      <c r="AL19" s="13" t="n">
        <v>1427.34</v>
      </c>
      <c r="AM19" s="13" t="n">
        <v>1427.34</v>
      </c>
      <c r="AN19" s="13" t="n">
        <v>1427.31</v>
      </c>
      <c r="AO19" s="13" t="n">
        <v>1426.97</v>
      </c>
      <c r="AP19" s="13" t="n">
        <v>1427.52</v>
      </c>
      <c r="AQ19" s="13" t="n">
        <v>1434.85</v>
      </c>
      <c r="AR19" s="13" t="n">
        <v>1441.23</v>
      </c>
      <c r="AS19" s="13" t="n">
        <v>1444.06</v>
      </c>
      <c r="AT19" s="13" t="n">
        <v>1440.76</v>
      </c>
      <c r="AU19" s="13" t="n">
        <v>1399.81</v>
      </c>
      <c r="AV19" s="13" t="n">
        <v>1399.81</v>
      </c>
    </row>
    <row r="20">
      <c r="A20" s="12" t="inlineStr">
        <is>
          <t>hedged_krw_m</t>
        </is>
      </c>
      <c r="D20" t="inlineStr">
        <is>
          <t>헤지적용 원화매출(백만원)</t>
        </is>
      </c>
      <c r="E20" s="18" t="n">
        <v>1715.9</v>
      </c>
      <c r="F20" s="18" t="n">
        <v>5612.7</v>
      </c>
      <c r="G20" s="18" t="n">
        <v>5576.5</v>
      </c>
      <c r="H20" s="18" t="n">
        <v>5612.6</v>
      </c>
      <c r="I20" s="18" t="n">
        <v>5629.1</v>
      </c>
      <c r="J20" s="18" t="n">
        <v>5530.2</v>
      </c>
      <c r="K20" s="18" t="n">
        <v>5405.8</v>
      </c>
      <c r="L20" s="18" t="n">
        <v>38584.8</v>
      </c>
      <c r="M20" s="18" t="n">
        <v>66994.60000000001</v>
      </c>
      <c r="N20" s="18" t="n">
        <v>77048.8</v>
      </c>
      <c r="O20" s="18" t="n">
        <v>75812.5</v>
      </c>
      <c r="P20" s="18" t="n">
        <v>77775.89999999999</v>
      </c>
      <c r="Q20" s="18" t="n">
        <v>80237.5</v>
      </c>
      <c r="R20" s="18" t="n">
        <v>80603.60000000001</v>
      </c>
      <c r="S20" s="18" t="n">
        <v>77213.8</v>
      </c>
      <c r="T20" s="18" t="n">
        <v>78843</v>
      </c>
      <c r="U20" s="18" t="n">
        <v>79667.7</v>
      </c>
      <c r="V20" s="18" t="n">
        <v>79836.60000000001</v>
      </c>
      <c r="W20" s="18" t="n">
        <v>79130.60000000001</v>
      </c>
      <c r="X20" s="18" t="n">
        <v>79949.7</v>
      </c>
      <c r="Y20" s="18" t="n">
        <v>80525.10000000001</v>
      </c>
      <c r="Z20" s="18" t="n">
        <v>81331.8</v>
      </c>
      <c r="AA20" s="18" t="n">
        <v>80665.89999999999</v>
      </c>
      <c r="AB20" s="18" t="n">
        <v>29829</v>
      </c>
      <c r="AC20" s="18" t="n">
        <v>94238.89999999999</v>
      </c>
      <c r="AD20" s="18" t="n">
        <v>196518.1</v>
      </c>
      <c r="AE20" s="18" t="n">
        <v>440669.5</v>
      </c>
      <c r="AF20" s="18" t="n">
        <v>672859.3</v>
      </c>
      <c r="AG20" s="18" t="n">
        <v>799472.2</v>
      </c>
      <c r="AH20" s="18" t="n">
        <v>791845.8</v>
      </c>
      <c r="AI20" s="18" t="n">
        <v>774631.7</v>
      </c>
      <c r="AJ20" s="18" t="n">
        <v>783238.7</v>
      </c>
      <c r="AK20" s="18" t="n">
        <v>787055.9</v>
      </c>
      <c r="AL20" s="18" t="n">
        <v>777156.8</v>
      </c>
      <c r="AM20" s="18" t="n">
        <v>768709.5</v>
      </c>
      <c r="AN20" s="18" t="n">
        <v>762773.6</v>
      </c>
      <c r="AO20" s="18" t="n">
        <v>722565</v>
      </c>
      <c r="AP20" s="18" t="n">
        <v>665825.3</v>
      </c>
      <c r="AQ20" s="18" t="n">
        <v>502048.9</v>
      </c>
      <c r="AR20" s="18" t="n">
        <v>351994.4</v>
      </c>
      <c r="AS20" s="18" t="n">
        <v>224995.8</v>
      </c>
      <c r="AT20" s="18" t="n">
        <v>124872.9</v>
      </c>
      <c r="AU20" s="18" t="n">
        <v>34047.4</v>
      </c>
      <c r="AV20" s="18" t="n">
        <v>23076.6</v>
      </c>
      <c r="AW20" s="18" t="n">
        <v>7328.6</v>
      </c>
      <c r="AX20" s="18" t="n">
        <v>22348.4</v>
      </c>
      <c r="AY20" s="18" t="n">
        <v>188034</v>
      </c>
      <c r="AZ20" s="18" t="n">
        <v>314429.5</v>
      </c>
      <c r="BA20" s="18" t="n">
        <v>315561.1</v>
      </c>
      <c r="BB20" s="18" t="n">
        <v>320937.2</v>
      </c>
      <c r="BC20" s="18" t="n">
        <v>401251.9</v>
      </c>
      <c r="BD20" s="18" t="n">
        <v>2704846.8</v>
      </c>
      <c r="BE20" s="18" t="n">
        <v>3122083.1</v>
      </c>
      <c r="BF20" s="18" t="n">
        <v>2919873.4</v>
      </c>
      <c r="BG20" s="18" t="n">
        <v>1203912</v>
      </c>
      <c r="BH20" s="18" t="n">
        <v>57124</v>
      </c>
    </row>
    <row r="21">
      <c r="A21" s="12" t="inlineStr">
        <is>
          <t>target_opm</t>
        </is>
      </c>
      <c r="D21" t="inlineStr">
        <is>
          <t>타겟 OPM(코호트)</t>
        </is>
      </c>
      <c r="L21" s="21" t="n">
        <v>0</v>
      </c>
      <c r="M21" s="21" t="n">
        <v>0</v>
      </c>
      <c r="N21" s="21" t="n">
        <v>0</v>
      </c>
      <c r="O21" s="21" t="n">
        <v>0</v>
      </c>
      <c r="P21" s="21" t="n">
        <v>0</v>
      </c>
      <c r="Q21" s="21" t="n">
        <v>0</v>
      </c>
      <c r="R21" s="21" t="n">
        <v>0</v>
      </c>
      <c r="S21" s="21" t="n">
        <v>0</v>
      </c>
      <c r="T21" s="21" t="n">
        <v>0</v>
      </c>
      <c r="U21" s="21" t="n">
        <v>0</v>
      </c>
      <c r="V21" s="21" t="n">
        <v>0</v>
      </c>
      <c r="W21" s="21" t="n">
        <v>0</v>
      </c>
      <c r="X21" s="21" t="n">
        <v>0</v>
      </c>
      <c r="Y21" s="21" t="n">
        <v>0</v>
      </c>
      <c r="Z21" s="21" t="n">
        <v>0</v>
      </c>
      <c r="AA21" s="21" t="n">
        <v>0</v>
      </c>
      <c r="AB21" s="21" t="n">
        <v>0.02</v>
      </c>
      <c r="AC21" s="21" t="n">
        <v>0.05</v>
      </c>
      <c r="AD21" s="21" t="n">
        <v>0.054</v>
      </c>
      <c r="AE21" s="21" t="n">
        <v>0.0491</v>
      </c>
      <c r="AF21" s="21" t="n">
        <v>0.0494</v>
      </c>
      <c r="AG21" s="21" t="n">
        <v>0.0516</v>
      </c>
      <c r="AH21" s="21" t="n">
        <v>0.0518</v>
      </c>
      <c r="AI21" s="21" t="n">
        <v>0.0518</v>
      </c>
      <c r="AJ21" s="21" t="n">
        <v>0.0518</v>
      </c>
      <c r="AK21" s="21" t="n">
        <v>0.0518</v>
      </c>
      <c r="AL21" s="21" t="n">
        <v>0.0518</v>
      </c>
      <c r="AM21" s="21" t="n">
        <v>0.0518</v>
      </c>
      <c r="AN21" s="21" t="n">
        <v>0.0518</v>
      </c>
      <c r="AO21" s="21" t="n">
        <v>0.0519</v>
      </c>
      <c r="AP21" s="21" t="n">
        <v>0.054</v>
      </c>
      <c r="AQ21" s="21" t="n">
        <v>0.0584</v>
      </c>
      <c r="AR21" s="21" t="n">
        <v>0.0622</v>
      </c>
      <c r="AS21" s="21" t="n">
        <v>0.0634</v>
      </c>
      <c r="AT21" s="21" t="n">
        <v>0.0643</v>
      </c>
      <c r="AU21" s="21" t="n">
        <v>0.1</v>
      </c>
      <c r="AV21" s="21" t="n">
        <v>0.1</v>
      </c>
    </row>
    <row r="23">
      <c r="A23" s="1" t="inlineStr">
        <is>
          <t>계약 원장(contracts.json 기반)</t>
        </is>
      </c>
    </row>
    <row r="24">
      <c r="A24" s="1" t="inlineStr">
        <is>
          <t>rcp</t>
        </is>
      </c>
      <c r="B24" s="1" t="inlineStr">
        <is>
          <t>type</t>
        </is>
      </c>
      <c r="C24" s="1" t="inlineStr">
        <is>
          <t>ships</t>
        </is>
      </c>
      <c r="D24" s="1" t="inlineStr">
        <is>
          <t>amt_krw_m</t>
        </is>
      </c>
      <c r="E24" s="1" t="inlineStr">
        <is>
          <t>amt_usd_m</t>
        </is>
      </c>
      <c r="F24" s="1" t="inlineStr">
        <is>
          <t>fx_at_sign</t>
        </is>
      </c>
      <c r="G24" s="1" t="inlineStr">
        <is>
          <t>signed</t>
        </is>
      </c>
      <c r="H24" s="1" t="inlineStr">
        <is>
          <t>start</t>
        </is>
      </c>
      <c r="I24" s="1" t="inlineStr">
        <is>
          <t>end</t>
        </is>
      </c>
      <c r="J24" s="1" t="inlineStr">
        <is>
          <t>cohort</t>
        </is>
      </c>
      <c r="K24" s="1" t="inlineStr">
        <is>
          <t>curve</t>
        </is>
      </c>
      <c r="L24" s="1" t="inlineStr">
        <is>
          <t>estimated_series</t>
        </is>
      </c>
    </row>
    <row r="25">
      <c r="A25" t="inlineStr">
        <is>
          <t>20251121800424</t>
        </is>
      </c>
      <c r="B25" t="inlineStr">
        <is>
          <t>VLCC</t>
        </is>
      </c>
      <c r="C25" t="n">
        <v>4</v>
      </c>
      <c r="D25" t="n">
        <v>762700</v>
      </c>
      <c r="E25" t="n">
        <v>526.294</v>
      </c>
      <c r="F25" t="n">
        <v>1449.19</v>
      </c>
      <c r="G25" t="inlineStr">
        <is>
          <t>2025-11-20</t>
        </is>
      </c>
      <c r="H25" t="inlineStr">
        <is>
          <t>2025-11-20</t>
        </is>
      </c>
      <c r="I25" t="inlineStr">
        <is>
          <t>2029-08-13</t>
        </is>
      </c>
      <c r="J25" t="inlineStr">
        <is>
          <t>④호황</t>
        </is>
      </c>
      <c r="K25" t="inlineStr">
        <is>
          <t>linear_progress</t>
        </is>
      </c>
      <c r="L25" t="b">
        <v>1</v>
      </c>
    </row>
    <row r="26">
      <c r="A26" t="inlineStr">
        <is>
          <t>20251124800131</t>
        </is>
      </c>
      <c r="B26" t="inlineStr">
        <is>
          <t>CONT</t>
        </is>
      </c>
      <c r="C26" t="n">
        <v>6</v>
      </c>
      <c r="D26" t="n">
        <v>1603700</v>
      </c>
      <c r="E26" t="n">
        <v>1106.618</v>
      </c>
      <c r="F26" t="n">
        <v>1449.19</v>
      </c>
      <c r="G26" t="inlineStr">
        <is>
          <t>2025-11-21</t>
        </is>
      </c>
      <c r="H26" t="inlineStr">
        <is>
          <t>2025-11-21</t>
        </is>
      </c>
      <c r="I26" t="inlineStr">
        <is>
          <t>2029-04-30</t>
        </is>
      </c>
      <c r="J26" t="inlineStr">
        <is>
          <t>③중마진</t>
        </is>
      </c>
      <c r="K26" t="inlineStr">
        <is>
          <t>linear_progress</t>
        </is>
      </c>
      <c r="L26" t="b">
        <v>1</v>
      </c>
    </row>
    <row r="27">
      <c r="A27" t="inlineStr">
        <is>
          <t>20251124800132</t>
        </is>
      </c>
      <c r="B27" t="inlineStr">
        <is>
          <t>CONT</t>
        </is>
      </c>
      <c r="C27" t="n">
        <v>2</v>
      </c>
      <c r="D27" t="n">
        <v>534600</v>
      </c>
      <c r="E27" t="n">
        <v>368.896</v>
      </c>
      <c r="F27" t="n">
        <v>1449.19</v>
      </c>
      <c r="G27" t="inlineStr">
        <is>
          <t>2025-11-21</t>
        </is>
      </c>
      <c r="H27" t="inlineStr">
        <is>
          <t>2025-11-21</t>
        </is>
      </c>
      <c r="I27" t="inlineStr">
        <is>
          <t>2028-07-14</t>
        </is>
      </c>
      <c r="K27" t="inlineStr">
        <is>
          <t>linear_progress</t>
        </is>
      </c>
      <c r="L27" t="b">
        <v>1</v>
      </c>
    </row>
    <row r="28">
      <c r="A28" t="inlineStr">
        <is>
          <t>20251202800104</t>
        </is>
      </c>
      <c r="B28" t="inlineStr">
        <is>
          <t>LNGC</t>
        </is>
      </c>
      <c r="C28" t="n">
        <v>1</v>
      </c>
      <c r="D28" t="n">
        <v>367200</v>
      </c>
      <c r="E28" t="n">
        <v>253.383</v>
      </c>
      <c r="F28" t="n">
        <v>1449.19</v>
      </c>
      <c r="G28" t="inlineStr">
        <is>
          <t>2025-12-01</t>
        </is>
      </c>
      <c r="H28" t="inlineStr">
        <is>
          <t>2025-12-01</t>
        </is>
      </c>
      <c r="I28" t="inlineStr">
        <is>
          <t>2028-12-31</t>
        </is>
      </c>
      <c r="J28" t="inlineStr">
        <is>
          <t>③중마진</t>
        </is>
      </c>
      <c r="K28" t="inlineStr">
        <is>
          <t>linear_progress</t>
        </is>
      </c>
      <c r="L28" t="b">
        <v>0</v>
      </c>
    </row>
    <row r="29">
      <c r="A29" t="inlineStr">
        <is>
          <t>20251215800970</t>
        </is>
      </c>
      <c r="B29" t="inlineStr">
        <is>
          <t>OTHER</t>
        </is>
      </c>
      <c r="D29" t="n">
        <v>140700</v>
      </c>
      <c r="E29" t="n">
        <v>117.843</v>
      </c>
      <c r="F29" t="n">
        <v>1193.96</v>
      </c>
      <c r="G29" t="inlineStr">
        <is>
          <t>2019-09-03</t>
        </is>
      </c>
      <c r="H29" t="inlineStr">
        <is>
          <t>2019-09-03</t>
        </is>
      </c>
      <c r="I29" t="inlineStr">
        <is>
          <t>2025-12-15</t>
        </is>
      </c>
      <c r="K29" t="inlineStr">
        <is>
          <t>linear_progress</t>
        </is>
      </c>
      <c r="L29" t="b">
        <v>0</v>
      </c>
    </row>
    <row r="30">
      <c r="A30" t="inlineStr">
        <is>
          <t>20251219800421</t>
        </is>
      </c>
      <c r="B30" t="inlineStr">
        <is>
          <t>LNGC</t>
        </is>
      </c>
      <c r="C30" t="n">
        <v>3</v>
      </c>
      <c r="D30" t="n">
        <v>1047200</v>
      </c>
      <c r="E30" t="n">
        <v>769.491</v>
      </c>
      <c r="F30" t="n">
        <v>1360.9</v>
      </c>
      <c r="G30" t="inlineStr">
        <is>
          <t>2025-06-26</t>
        </is>
      </c>
      <c r="H30" t="inlineStr">
        <is>
          <t>2025-06-26</t>
        </is>
      </c>
      <c r="I30" t="inlineStr">
        <is>
          <t>2029-02-02</t>
        </is>
      </c>
      <c r="J30" t="inlineStr">
        <is>
          <t>③중마진</t>
        </is>
      </c>
      <c r="K30" t="inlineStr">
        <is>
          <t>linear_progress</t>
        </is>
      </c>
      <c r="L30" t="b">
        <v>0</v>
      </c>
    </row>
    <row r="31">
      <c r="A31" t="inlineStr">
        <is>
          <t>20251219800433</t>
        </is>
      </c>
      <c r="B31" t="inlineStr">
        <is>
          <t>CONT</t>
        </is>
      </c>
      <c r="C31" t="n">
        <v>4</v>
      </c>
      <c r="D31" t="n">
        <v>689600</v>
      </c>
      <c r="E31" t="n">
        <v>475.852</v>
      </c>
      <c r="F31" t="n">
        <v>1449.19</v>
      </c>
      <c r="G31" t="inlineStr">
        <is>
          <t>2025-12-18</t>
        </is>
      </c>
      <c r="H31" t="inlineStr">
        <is>
          <t>2025-12-18</t>
        </is>
      </c>
      <c r="I31" t="inlineStr">
        <is>
          <t>2028-11-20</t>
        </is>
      </c>
      <c r="J31" t="inlineStr">
        <is>
          <t>②BEP</t>
        </is>
      </c>
      <c r="K31" t="inlineStr">
        <is>
          <t>linear_progress</t>
        </is>
      </c>
      <c r="L31" t="b">
        <v>1</v>
      </c>
    </row>
    <row r="32">
      <c r="A32" t="inlineStr">
        <is>
          <t>20251224800162</t>
        </is>
      </c>
      <c r="B32" t="inlineStr">
        <is>
          <t>PC</t>
        </is>
      </c>
      <c r="C32" t="n">
        <v>5</v>
      </c>
      <c r="D32" t="n">
        <v>375000</v>
      </c>
      <c r="E32" t="n">
        <v>258.765</v>
      </c>
      <c r="F32" t="n">
        <v>1449.19</v>
      </c>
      <c r="G32" t="inlineStr">
        <is>
          <t>2025-12-23</t>
        </is>
      </c>
      <c r="H32" t="inlineStr">
        <is>
          <t>2025-12-23</t>
        </is>
      </c>
      <c r="I32" t="inlineStr">
        <is>
          <t>2028-07-31</t>
        </is>
      </c>
      <c r="K32" t="inlineStr">
        <is>
          <t>linear_progress</t>
        </is>
      </c>
      <c r="L32" t="b">
        <v>1</v>
      </c>
    </row>
    <row r="33">
      <c r="A33" t="inlineStr">
        <is>
          <t>20251226800855</t>
        </is>
      </c>
      <c r="B33" t="inlineStr">
        <is>
          <t>NAVAL</t>
        </is>
      </c>
      <c r="C33" t="n">
        <v>2</v>
      </c>
      <c r="D33" t="n">
        <v>844700</v>
      </c>
      <c r="E33" t="n">
        <v>582.877</v>
      </c>
      <c r="F33" t="n">
        <v>1449.19</v>
      </c>
      <c r="G33" t="inlineStr">
        <is>
          <t>2025-12-26</t>
        </is>
      </c>
      <c r="H33" t="inlineStr">
        <is>
          <t>2025-12-26</t>
        </is>
      </c>
      <c r="I33" t="inlineStr">
        <is>
          <t>2029-12-20</t>
        </is>
      </c>
      <c r="K33" t="inlineStr">
        <is>
          <t>linear_progress</t>
        </is>
      </c>
      <c r="L33" t="b">
        <v>0</v>
      </c>
    </row>
    <row r="34">
      <c r="A34" t="inlineStr">
        <is>
          <t>20260106800156</t>
        </is>
      </c>
      <c r="B34" t="inlineStr">
        <is>
          <t>LNGC</t>
        </is>
      </c>
      <c r="C34" t="n">
        <v>4</v>
      </c>
      <c r="D34" t="n">
        <v>1499300</v>
      </c>
      <c r="E34" t="n">
        <v>1022.631</v>
      </c>
      <c r="F34" t="n">
        <v>1466.12</v>
      </c>
      <c r="G34" t="inlineStr">
        <is>
          <t>2026-01-05</t>
        </is>
      </c>
      <c r="H34" t="inlineStr">
        <is>
          <t>2026-01-05</t>
        </is>
      </c>
      <c r="I34" t="inlineStr">
        <is>
          <t>2029-03-27</t>
        </is>
      </c>
      <c r="K34" t="inlineStr">
        <is>
          <t>linear_progress</t>
        </is>
      </c>
      <c r="L34" t="b">
        <v>1</v>
      </c>
    </row>
    <row r="35">
      <c r="A35" t="inlineStr">
        <is>
          <t>20260116800207</t>
        </is>
      </c>
      <c r="B35" t="inlineStr">
        <is>
          <t>VLGC</t>
        </is>
      </c>
      <c r="C35" t="n">
        <v>1</v>
      </c>
      <c r="D35" t="n">
        <v>175800</v>
      </c>
      <c r="E35" t="n">
        <v>119.908</v>
      </c>
      <c r="F35" t="n">
        <v>1466.12</v>
      </c>
      <c r="G35" t="inlineStr">
        <is>
          <t>2026-01-15</t>
        </is>
      </c>
      <c r="H35" t="inlineStr">
        <is>
          <t>2026-01-15</t>
        </is>
      </c>
      <c r="I35" t="inlineStr">
        <is>
          <t>2028-05-31</t>
        </is>
      </c>
      <c r="J35" t="inlineStr">
        <is>
          <t>③중마진</t>
        </is>
      </c>
      <c r="K35" t="inlineStr">
        <is>
          <t>linear_progress</t>
        </is>
      </c>
      <c r="L35" t="b">
        <v>0</v>
      </c>
    </row>
    <row r="36">
      <c r="A36" t="inlineStr">
        <is>
          <t>20260120800211</t>
        </is>
      </c>
      <c r="B36" t="inlineStr">
        <is>
          <t>VLCC</t>
        </is>
      </c>
      <c r="C36" t="n">
        <v>2</v>
      </c>
      <c r="D36" t="n">
        <v>481600</v>
      </c>
      <c r="E36" t="n">
        <v>328.486</v>
      </c>
      <c r="F36" t="n">
        <v>1466.12</v>
      </c>
      <c r="G36" t="inlineStr">
        <is>
          <t>2026-01-19</t>
        </is>
      </c>
      <c r="H36" t="inlineStr">
        <is>
          <t>2026-01-19</t>
        </is>
      </c>
      <c r="I36" t="inlineStr">
        <is>
          <t>2029-06-30</t>
        </is>
      </c>
      <c r="K36" t="inlineStr">
        <is>
          <t>linear_progress</t>
        </is>
      </c>
      <c r="L36" t="b">
        <v>0</v>
      </c>
    </row>
    <row r="37">
      <c r="A37" t="inlineStr">
        <is>
          <t>20260202800947</t>
        </is>
      </c>
      <c r="B37" t="inlineStr">
        <is>
          <t>LNGC</t>
        </is>
      </c>
      <c r="C37" t="n">
        <v>1</v>
      </c>
      <c r="D37" t="n">
        <v>357500</v>
      </c>
      <c r="E37" t="n">
        <v>243.841</v>
      </c>
      <c r="F37" t="n">
        <v>1466.12</v>
      </c>
      <c r="G37" t="inlineStr">
        <is>
          <t>2026-01-30</t>
        </is>
      </c>
      <c r="H37" t="inlineStr">
        <is>
          <t>2026-01-30</t>
        </is>
      </c>
      <c r="I37" t="inlineStr">
        <is>
          <t>2028-06-30</t>
        </is>
      </c>
      <c r="J37" t="inlineStr">
        <is>
          <t>③중마진</t>
        </is>
      </c>
      <c r="K37" t="inlineStr">
        <is>
          <t>linear_progress</t>
        </is>
      </c>
      <c r="L37" t="b">
        <v>1</v>
      </c>
    </row>
    <row r="38">
      <c r="A38" t="inlineStr">
        <is>
          <t>20260226800208</t>
        </is>
      </c>
      <c r="B38" t="inlineStr">
        <is>
          <t>LNGC</t>
        </is>
      </c>
      <c r="C38" t="n">
        <v>1</v>
      </c>
      <c r="D38" t="n">
        <v>367800</v>
      </c>
      <c r="E38" t="n">
        <v>250.866</v>
      </c>
      <c r="F38" t="n">
        <v>1466.12</v>
      </c>
      <c r="G38" t="inlineStr">
        <is>
          <t>2026-02-25</t>
        </is>
      </c>
      <c r="H38" t="inlineStr">
        <is>
          <t>2026-02-25</t>
        </is>
      </c>
      <c r="I38" t="inlineStr">
        <is>
          <t>2028-09-29</t>
        </is>
      </c>
      <c r="K38" t="inlineStr">
        <is>
          <t>linear_progress</t>
        </is>
      </c>
      <c r="L38" t="b">
        <v>1</v>
      </c>
    </row>
    <row r="39">
      <c r="A39" t="inlineStr">
        <is>
          <t>20260227800230</t>
        </is>
      </c>
      <c r="B39" t="inlineStr">
        <is>
          <t>CONT</t>
        </is>
      </c>
      <c r="C39" t="n">
        <v>6</v>
      </c>
      <c r="D39" t="n">
        <v>372400</v>
      </c>
      <c r="E39" t="n">
        <v>254.004</v>
      </c>
      <c r="F39" t="n">
        <v>1466.12</v>
      </c>
      <c r="G39" t="inlineStr">
        <is>
          <t>2026-02-26</t>
        </is>
      </c>
      <c r="H39" t="inlineStr">
        <is>
          <t>2026-02-26</t>
        </is>
      </c>
      <c r="I39" t="inlineStr">
        <is>
          <t>2028-06-30</t>
        </is>
      </c>
      <c r="K39" t="inlineStr">
        <is>
          <t>linear_progress</t>
        </is>
      </c>
      <c r="L39" t="b">
        <v>1</v>
      </c>
    </row>
    <row r="40">
      <c r="A40" t="inlineStr">
        <is>
          <t>20260304800002</t>
        </is>
      </c>
      <c r="B40" t="inlineStr">
        <is>
          <t>VLCC</t>
        </is>
      </c>
      <c r="C40" t="n">
        <v>4</v>
      </c>
      <c r="D40" t="n">
        <v>529300</v>
      </c>
      <c r="E40" t="n">
        <v>365.239</v>
      </c>
      <c r="F40" t="n">
        <v>1449.19</v>
      </c>
      <c r="G40" t="inlineStr">
        <is>
          <t>2025-12-18</t>
        </is>
      </c>
      <c r="H40" t="inlineStr">
        <is>
          <t>2025-12-18</t>
        </is>
      </c>
      <c r="I40" t="inlineStr">
        <is>
          <t>2028-10-31</t>
        </is>
      </c>
      <c r="J40" t="inlineStr">
        <is>
          <t>③중마진</t>
        </is>
      </c>
      <c r="K40" t="inlineStr">
        <is>
          <t>linear_progress</t>
        </is>
      </c>
      <c r="L40" t="b">
        <v>1</v>
      </c>
    </row>
    <row r="41">
      <c r="A41" t="inlineStr">
        <is>
          <t>20260305800849</t>
        </is>
      </c>
      <c r="B41" t="inlineStr">
        <is>
          <t>LNGC</t>
        </is>
      </c>
      <c r="C41" t="n">
        <v>4</v>
      </c>
      <c r="D41" t="n">
        <v>1487200</v>
      </c>
      <c r="E41" t="n">
        <v>1014.378</v>
      </c>
      <c r="F41" t="n">
        <v>1466.12</v>
      </c>
      <c r="G41" t="inlineStr">
        <is>
          <t>2026-03-04</t>
        </is>
      </c>
      <c r="H41" t="inlineStr">
        <is>
          <t>2026-03-04</t>
        </is>
      </c>
      <c r="I41" t="inlineStr">
        <is>
          <t>2029-11-30</t>
        </is>
      </c>
      <c r="K41" t="inlineStr">
        <is>
          <t>linear_progress</t>
        </is>
      </c>
      <c r="L41" t="b">
        <v>1</v>
      </c>
    </row>
    <row r="42">
      <c r="A42" t="inlineStr">
        <is>
          <t>20260306800225</t>
        </is>
      </c>
      <c r="B42" t="inlineStr">
        <is>
          <t>VLCC</t>
        </is>
      </c>
      <c r="C42" t="n">
        <v>2</v>
      </c>
      <c r="D42" t="n">
        <v>263200</v>
      </c>
      <c r="E42" t="n">
        <v>179.521</v>
      </c>
      <c r="F42" t="n">
        <v>1466.12</v>
      </c>
      <c r="G42" t="inlineStr">
        <is>
          <t>2026-03-05</t>
        </is>
      </c>
      <c r="H42" t="inlineStr">
        <is>
          <t>2026-03-05</t>
        </is>
      </c>
      <c r="I42" t="inlineStr">
        <is>
          <t>2029-05-31</t>
        </is>
      </c>
      <c r="J42" t="inlineStr">
        <is>
          <t>③중마진</t>
        </is>
      </c>
      <c r="K42" t="inlineStr">
        <is>
          <t>linear_progress</t>
        </is>
      </c>
      <c r="L42" t="b">
        <v>0</v>
      </c>
    </row>
    <row r="43">
      <c r="A43" t="inlineStr">
        <is>
          <t>20260310800414</t>
        </is>
      </c>
      <c r="B43" t="inlineStr">
        <is>
          <t>VLGC</t>
        </is>
      </c>
      <c r="C43" t="n">
        <v>2</v>
      </c>
      <c r="D43" t="n">
        <v>340200</v>
      </c>
      <c r="E43" t="n">
        <v>232.041</v>
      </c>
      <c r="F43" t="n">
        <v>1466.12</v>
      </c>
      <c r="G43" t="inlineStr">
        <is>
          <t>2026-03-09</t>
        </is>
      </c>
      <c r="H43" t="inlineStr">
        <is>
          <t>2026-03-09</t>
        </is>
      </c>
      <c r="I43" t="inlineStr">
        <is>
          <t>2028-12-29</t>
        </is>
      </c>
      <c r="J43" t="inlineStr">
        <is>
          <t>③중마진</t>
        </is>
      </c>
      <c r="K43" t="inlineStr">
        <is>
          <t>linear_progress</t>
        </is>
      </c>
      <c r="L43" t="b">
        <v>1</v>
      </c>
    </row>
    <row r="44">
      <c r="A44" t="inlineStr">
        <is>
          <t>20260316800234</t>
        </is>
      </c>
      <c r="B44" t="inlineStr">
        <is>
          <t>CONT</t>
        </is>
      </c>
      <c r="C44" t="n">
        <v>10</v>
      </c>
      <c r="D44" t="n">
        <v>823700</v>
      </c>
      <c r="E44" t="n">
        <v>561.823</v>
      </c>
      <c r="F44" t="n">
        <v>1466.12</v>
      </c>
      <c r="G44" t="inlineStr">
        <is>
          <t>2026-03-13</t>
        </is>
      </c>
      <c r="H44" t="inlineStr">
        <is>
          <t>2026-03-13</t>
        </is>
      </c>
      <c r="I44" t="inlineStr">
        <is>
          <t>2028-12-31</t>
        </is>
      </c>
      <c r="K44" t="inlineStr">
        <is>
          <t>linear_progress</t>
        </is>
      </c>
      <c r="L44" t="b">
        <v>1</v>
      </c>
    </row>
    <row r="45">
      <c r="A45" t="inlineStr">
        <is>
          <t>20260403800582</t>
        </is>
      </c>
      <c r="B45" t="inlineStr">
        <is>
          <t>VLGC</t>
        </is>
      </c>
      <c r="C45" t="n">
        <v>2</v>
      </c>
      <c r="D45" t="n">
        <v>349800</v>
      </c>
      <c r="E45" t="n">
        <v>232.928</v>
      </c>
      <c r="F45" t="n">
        <v>1501.75</v>
      </c>
      <c r="G45" t="inlineStr">
        <is>
          <t>2026-04-02</t>
        </is>
      </c>
      <c r="H45" t="inlineStr">
        <is>
          <t>2026-04-02</t>
        </is>
      </c>
      <c r="I45" t="inlineStr">
        <is>
          <t>2029-03-30</t>
        </is>
      </c>
      <c r="J45" t="inlineStr">
        <is>
          <t>③중마진</t>
        </is>
      </c>
      <c r="K45" t="inlineStr">
        <is>
          <t>linear_progress</t>
        </is>
      </c>
      <c r="L45" t="b">
        <v>0</v>
      </c>
    </row>
    <row r="46">
      <c r="A46" t="inlineStr">
        <is>
          <t>20260403800587</t>
        </is>
      </c>
      <c r="B46" t="inlineStr">
        <is>
          <t>PC</t>
        </is>
      </c>
      <c r="C46" t="n">
        <v>8</v>
      </c>
      <c r="D46" t="n">
        <v>611700</v>
      </c>
      <c r="E46" t="n">
        <v>407.325</v>
      </c>
      <c r="F46" t="n">
        <v>1501.75</v>
      </c>
      <c r="G46" t="inlineStr">
        <is>
          <t>2026-04-02</t>
        </is>
      </c>
      <c r="H46" t="inlineStr">
        <is>
          <t>2026-04-02</t>
        </is>
      </c>
      <c r="I46" t="inlineStr">
        <is>
          <t>2029-05-31</t>
        </is>
      </c>
      <c r="K46" t="inlineStr">
        <is>
          <t>linear_progress</t>
        </is>
      </c>
      <c r="L46" t="b">
        <v>1</v>
      </c>
    </row>
    <row r="47">
      <c r="A47" t="inlineStr">
        <is>
          <t>20260408800703</t>
        </is>
      </c>
      <c r="B47" t="inlineStr">
        <is>
          <t>LNGC</t>
        </is>
      </c>
      <c r="C47" t="n">
        <v>2</v>
      </c>
      <c r="D47" t="n">
        <v>770200</v>
      </c>
      <c r="E47" t="n">
        <v>512.8680000000001</v>
      </c>
      <c r="F47" t="n">
        <v>1501.75</v>
      </c>
      <c r="G47" t="inlineStr">
        <is>
          <t>2026-04-07</t>
        </is>
      </c>
      <c r="H47" t="inlineStr">
        <is>
          <t>2026-04-07</t>
        </is>
      </c>
      <c r="I47" t="inlineStr">
        <is>
          <t>2029-09-28</t>
        </is>
      </c>
      <c r="J47" t="inlineStr">
        <is>
          <t>③중마진</t>
        </is>
      </c>
      <c r="K47" t="inlineStr">
        <is>
          <t>linear_progress</t>
        </is>
      </c>
      <c r="L47" t="b">
        <v>1</v>
      </c>
    </row>
    <row r="48">
      <c r="A48" t="inlineStr">
        <is>
          <t>20260416800167</t>
        </is>
      </c>
      <c r="B48" t="inlineStr">
        <is>
          <t>VLGC</t>
        </is>
      </c>
      <c r="C48" t="n">
        <v>2</v>
      </c>
      <c r="D48" t="n">
        <v>346600</v>
      </c>
      <c r="E48" t="n">
        <v>230.797</v>
      </c>
      <c r="F48" t="n">
        <v>1501.75</v>
      </c>
      <c r="G48" t="inlineStr">
        <is>
          <t>2026-04-15</t>
        </is>
      </c>
      <c r="H48" t="inlineStr">
        <is>
          <t>2026-04-15</t>
        </is>
      </c>
      <c r="I48" t="inlineStr">
        <is>
          <t>2029-04-30</t>
        </is>
      </c>
      <c r="J48" t="inlineStr">
        <is>
          <t>③중마진</t>
        </is>
      </c>
      <c r="K48" t="inlineStr">
        <is>
          <t>linear_progress</t>
        </is>
      </c>
      <c r="L48" t="b">
        <v>1</v>
      </c>
    </row>
    <row r="49">
      <c r="A49" t="inlineStr">
        <is>
          <t>20260417800196</t>
        </is>
      </c>
      <c r="B49" t="inlineStr">
        <is>
          <t>VLGC</t>
        </is>
      </c>
      <c r="C49" t="n">
        <v>4</v>
      </c>
      <c r="D49" t="n">
        <v>674700</v>
      </c>
      <c r="E49" t="n">
        <v>449.276</v>
      </c>
      <c r="F49" t="n">
        <v>1501.75</v>
      </c>
      <c r="G49" t="inlineStr">
        <is>
          <t>2026-04-16</t>
        </is>
      </c>
      <c r="H49" t="inlineStr">
        <is>
          <t>2026-04-16</t>
        </is>
      </c>
      <c r="I49" t="inlineStr">
        <is>
          <t>2029-11-30</t>
        </is>
      </c>
      <c r="K49" t="inlineStr">
        <is>
          <t>linear_progress</t>
        </is>
      </c>
      <c r="L49" t="b">
        <v>1</v>
      </c>
    </row>
    <row r="50">
      <c r="A50" t="inlineStr">
        <is>
          <t>20260422800051</t>
        </is>
      </c>
      <c r="B50" t="inlineStr">
        <is>
          <t>NAVAL</t>
        </is>
      </c>
      <c r="C50" t="n">
        <v>1</v>
      </c>
      <c r="D50" t="n">
        <v>514800</v>
      </c>
      <c r="E50" t="n">
        <v>342.8</v>
      </c>
      <c r="F50" t="n">
        <v>1501.75</v>
      </c>
      <c r="G50" t="inlineStr">
        <is>
          <t>2026-04-21</t>
        </is>
      </c>
      <c r="H50" t="inlineStr">
        <is>
          <t>2026-04-21</t>
        </is>
      </c>
      <c r="I50" t="inlineStr">
        <is>
          <t>2029-08-28</t>
        </is>
      </c>
      <c r="K50" t="inlineStr">
        <is>
          <t>linear_progress</t>
        </is>
      </c>
      <c r="L50" t="b">
        <v>0</v>
      </c>
    </row>
    <row r="51">
      <c r="A51" t="inlineStr">
        <is>
          <t>20260422800184</t>
        </is>
      </c>
      <c r="B51" t="inlineStr">
        <is>
          <t>OTHER</t>
        </is>
      </c>
      <c r="D51" t="n">
        <v>627100</v>
      </c>
      <c r="E51" t="n">
        <v>417.579</v>
      </c>
      <c r="F51" t="n">
        <v>1501.75</v>
      </c>
      <c r="G51" t="inlineStr">
        <is>
          <t>2026-04-21</t>
        </is>
      </c>
      <c r="H51" t="inlineStr">
        <is>
          <t>2026-04-21</t>
        </is>
      </c>
      <c r="I51" t="inlineStr">
        <is>
          <t>2030-10-21</t>
        </is>
      </c>
      <c r="K51" t="inlineStr">
        <is>
          <t>linear_progress</t>
        </is>
      </c>
      <c r="L51" t="b">
        <v>0</v>
      </c>
    </row>
    <row r="52">
      <c r="A52" t="inlineStr">
        <is>
          <t>20260504800307</t>
        </is>
      </c>
      <c r="B52" t="inlineStr">
        <is>
          <t>VLGC</t>
        </is>
      </c>
      <c r="C52" t="n">
        <v>3</v>
      </c>
      <c r="D52" t="n">
        <v>504800</v>
      </c>
      <c r="E52" t="n">
        <v>336.141</v>
      </c>
      <c r="F52" t="n">
        <v>1501.75</v>
      </c>
      <c r="G52" t="inlineStr">
        <is>
          <t>2026-04-30</t>
        </is>
      </c>
      <c r="H52" t="inlineStr">
        <is>
          <t>2026-04-30</t>
        </is>
      </c>
      <c r="I52" t="inlineStr">
        <is>
          <t>2029-08-31</t>
        </is>
      </c>
      <c r="K52" t="inlineStr">
        <is>
          <t>linear_progress</t>
        </is>
      </c>
      <c r="L52" t="b">
        <v>0</v>
      </c>
    </row>
    <row r="53">
      <c r="A53" t="inlineStr">
        <is>
          <t>20260508800186</t>
        </is>
      </c>
      <c r="B53" t="inlineStr">
        <is>
          <t>CONT</t>
        </is>
      </c>
      <c r="C53" t="n">
        <v>6</v>
      </c>
      <c r="D53" t="n">
        <v>1778700</v>
      </c>
      <c r="E53" t="n">
        <v>1184.418</v>
      </c>
      <c r="F53" t="n">
        <v>1501.75</v>
      </c>
      <c r="G53" t="inlineStr">
        <is>
          <t>2026-05-07</t>
        </is>
      </c>
      <c r="H53" t="inlineStr">
        <is>
          <t>2026-05-07</t>
        </is>
      </c>
      <c r="I53" t="inlineStr">
        <is>
          <t>2029-09-30</t>
        </is>
      </c>
      <c r="K53" t="inlineStr">
        <is>
          <t>linear_progress</t>
        </is>
      </c>
      <c r="L53" t="b">
        <v>1</v>
      </c>
    </row>
    <row r="54">
      <c r="A54" t="inlineStr">
        <is>
          <t>20260513800195</t>
        </is>
      </c>
      <c r="B54" t="inlineStr">
        <is>
          <t>LNGC</t>
        </is>
      </c>
      <c r="C54" t="n">
        <v>2</v>
      </c>
      <c r="D54" t="n">
        <v>748500</v>
      </c>
      <c r="E54" t="n">
        <v>498.419</v>
      </c>
      <c r="F54" t="n">
        <v>1501.75</v>
      </c>
      <c r="G54" t="inlineStr">
        <is>
          <t>2026-05-12</t>
        </is>
      </c>
      <c r="H54" t="inlineStr">
        <is>
          <t>2026-05-12</t>
        </is>
      </c>
      <c r="I54" t="inlineStr">
        <is>
          <t>2029-07-23</t>
        </is>
      </c>
      <c r="J54" t="inlineStr">
        <is>
          <t>③중마진</t>
        </is>
      </c>
      <c r="K54" t="inlineStr">
        <is>
          <t>linear_progress</t>
        </is>
      </c>
      <c r="L54" t="b">
        <v>0</v>
      </c>
    </row>
    <row r="55">
      <c r="A55" t="inlineStr">
        <is>
          <t>20260514800347</t>
        </is>
      </c>
      <c r="B55" t="inlineStr">
        <is>
          <t>LNGC</t>
        </is>
      </c>
      <c r="C55" t="n">
        <v>2</v>
      </c>
      <c r="D55" t="n">
        <v>743900</v>
      </c>
      <c r="E55" t="n">
        <v>495.355</v>
      </c>
      <c r="F55" t="n">
        <v>1501.75</v>
      </c>
      <c r="G55" t="inlineStr">
        <is>
          <t>2026-05-13</t>
        </is>
      </c>
      <c r="H55" t="inlineStr">
        <is>
          <t>2026-05-13</t>
        </is>
      </c>
      <c r="I55" t="inlineStr">
        <is>
          <t>2029-03-30</t>
        </is>
      </c>
      <c r="K55" t="inlineStr">
        <is>
          <t>linear_progress</t>
        </is>
      </c>
      <c r="L55" t="b">
        <v>1</v>
      </c>
    </row>
    <row r="56">
      <c r="A56" t="inlineStr">
        <is>
          <t>20260521800360</t>
        </is>
      </c>
      <c r="B56" t="inlineStr">
        <is>
          <t>VLGC</t>
        </is>
      </c>
      <c r="C56" t="n">
        <v>6</v>
      </c>
      <c r="D56" t="n">
        <v>1078200</v>
      </c>
      <c r="E56" t="n">
        <v>717.962</v>
      </c>
      <c r="F56" t="n">
        <v>1501.75</v>
      </c>
      <c r="G56" t="inlineStr">
        <is>
          <t>2026-05-20</t>
        </is>
      </c>
      <c r="H56" t="inlineStr">
        <is>
          <t>2026-05-20</t>
        </is>
      </c>
      <c r="I56" t="inlineStr">
        <is>
          <t>2029-12-20</t>
        </is>
      </c>
      <c r="J56" t="inlineStr">
        <is>
          <t>③중마진</t>
        </is>
      </c>
      <c r="K56" t="inlineStr">
        <is>
          <t>linear_progress</t>
        </is>
      </c>
      <c r="L56" t="b">
        <v>1</v>
      </c>
    </row>
    <row r="57">
      <c r="A57" t="inlineStr">
        <is>
          <t>20260601800400</t>
        </is>
      </c>
      <c r="B57" t="inlineStr">
        <is>
          <t>VLGC</t>
        </is>
      </c>
      <c r="C57" t="n">
        <v>8</v>
      </c>
      <c r="D57" t="n">
        <v>1416100</v>
      </c>
      <c r="E57" t="n">
        <v>942.967</v>
      </c>
      <c r="F57" t="n">
        <v>1501.75</v>
      </c>
      <c r="G57" t="inlineStr">
        <is>
          <t>2026-05-30</t>
        </is>
      </c>
      <c r="H57" t="inlineStr">
        <is>
          <t>2026-05-30</t>
        </is>
      </c>
      <c r="I57" t="inlineStr">
        <is>
          <t>2030-06-30</t>
        </is>
      </c>
      <c r="K57" t="inlineStr">
        <is>
          <t>linear_progress</t>
        </is>
      </c>
      <c r="L57" t="b">
        <v>1</v>
      </c>
    </row>
    <row r="58">
      <c r="A58" t="inlineStr">
        <is>
          <t>20260629800351</t>
        </is>
      </c>
      <c r="B58" t="inlineStr">
        <is>
          <t>VLGC</t>
        </is>
      </c>
      <c r="C58" t="n">
        <v>2</v>
      </c>
      <c r="D58" t="n">
        <v>366000</v>
      </c>
      <c r="E58" t="n">
        <v>243.716</v>
      </c>
      <c r="F58" t="n">
        <v>1501.75</v>
      </c>
      <c r="G58" t="inlineStr">
        <is>
          <t>2026-06-26</t>
        </is>
      </c>
      <c r="H58" t="inlineStr">
        <is>
          <t>2026-06-26</t>
        </is>
      </c>
      <c r="I58" t="inlineStr">
        <is>
          <t>2029-12-31</t>
        </is>
      </c>
      <c r="J58" t="inlineStr">
        <is>
          <t>③중마진</t>
        </is>
      </c>
      <c r="K58" t="inlineStr">
        <is>
          <t>linear_progress</t>
        </is>
      </c>
      <c r="L58" t="b">
        <v>0</v>
      </c>
    </row>
    <row r="59">
      <c r="A59" t="inlineStr">
        <is>
          <t>20260701800239</t>
        </is>
      </c>
      <c r="B59" t="inlineStr">
        <is>
          <t>LNGC</t>
        </is>
      </c>
      <c r="C59" t="n">
        <v>1</v>
      </c>
      <c r="D59" t="n">
        <v>492800</v>
      </c>
      <c r="E59" t="n">
        <v>328.15</v>
      </c>
      <c r="F59" t="n">
        <v>1501.75</v>
      </c>
      <c r="G59" t="inlineStr">
        <is>
          <t>2026-06-30</t>
        </is>
      </c>
      <c r="H59" t="inlineStr">
        <is>
          <t>2026-06-30</t>
        </is>
      </c>
      <c r="I59" t="inlineStr">
        <is>
          <t>2029-05-31</t>
        </is>
      </c>
      <c r="K59" t="inlineStr">
        <is>
          <t>linear_progress</t>
        </is>
      </c>
      <c r="L59" t="b">
        <v>0</v>
      </c>
    </row>
    <row r="60">
      <c r="A60" t="inlineStr">
        <is>
          <t>20260709800139</t>
        </is>
      </c>
      <c r="B60" t="inlineStr">
        <is>
          <t>PC</t>
        </is>
      </c>
      <c r="C60" t="n">
        <v>6</v>
      </c>
      <c r="D60" t="n">
        <v>469900</v>
      </c>
      <c r="E60" t="n">
        <v>330.981</v>
      </c>
      <c r="F60" t="n">
        <v>1419.72</v>
      </c>
      <c r="G60" t="inlineStr">
        <is>
          <t>2026-07-08</t>
        </is>
      </c>
      <c r="H60" t="inlineStr">
        <is>
          <t>2026-07-08</t>
        </is>
      </c>
      <c r="I60" t="inlineStr">
        <is>
          <t>2029-06-30</t>
        </is>
      </c>
      <c r="K60" t="inlineStr">
        <is>
          <t>linear_progress</t>
        </is>
      </c>
      <c r="L60" t="b">
        <v>1</v>
      </c>
    </row>
    <row r="61">
      <c r="A61" t="inlineStr">
        <is>
          <t>20260713800202</t>
        </is>
      </c>
      <c r="B61" t="inlineStr">
        <is>
          <t>VLGC</t>
        </is>
      </c>
      <c r="C61" t="n">
        <v>3</v>
      </c>
      <c r="D61" t="n">
        <v>545600</v>
      </c>
      <c r="E61" t="n">
        <v>384.301</v>
      </c>
      <c r="F61" t="n">
        <v>1419.72</v>
      </c>
      <c r="G61" t="inlineStr">
        <is>
          <t>2026-07-10</t>
        </is>
      </c>
      <c r="H61" t="inlineStr">
        <is>
          <t>2026-07-10</t>
        </is>
      </c>
      <c r="I61" t="inlineStr">
        <is>
          <t>2030-05-31</t>
        </is>
      </c>
      <c r="J61" t="inlineStr">
        <is>
          <t>④호황</t>
        </is>
      </c>
      <c r="K61" t="inlineStr">
        <is>
          <t>linear_progress</t>
        </is>
      </c>
      <c r="L61" t="b">
        <v>1</v>
      </c>
    </row>
    <row r="62">
      <c r="A62" t="inlineStr">
        <is>
          <t>20260810800150</t>
        </is>
      </c>
      <c r="B62" t="inlineStr">
        <is>
          <t>OTHER</t>
        </is>
      </c>
      <c r="D62" t="n">
        <v>956000</v>
      </c>
      <c r="E62" t="n">
        <v>673.372</v>
      </c>
      <c r="F62" t="n">
        <v>1419.72</v>
      </c>
      <c r="G62" t="inlineStr">
        <is>
          <t>2026-08-07</t>
        </is>
      </c>
      <c r="H62" t="inlineStr">
        <is>
          <t>2026-08-07</t>
        </is>
      </c>
      <c r="I62" t="inlineStr">
        <is>
          <t>2030-07-30</t>
        </is>
      </c>
      <c r="K62" t="inlineStr">
        <is>
          <t>linear_progress</t>
        </is>
      </c>
      <c r="L62" t="b">
        <v>0</v>
      </c>
    </row>
    <row r="63">
      <c r="A63" t="inlineStr">
        <is>
          <t>20260824800125</t>
        </is>
      </c>
      <c r="B63" t="inlineStr">
        <is>
          <t>VLGC</t>
        </is>
      </c>
      <c r="C63" t="n">
        <v>4</v>
      </c>
      <c r="D63" t="n">
        <v>515400</v>
      </c>
      <c r="E63" t="n">
        <v>363.029</v>
      </c>
      <c r="F63" t="n">
        <v>1419.72</v>
      </c>
      <c r="G63" t="inlineStr">
        <is>
          <t>2026-08-21</t>
        </is>
      </c>
      <c r="H63" t="inlineStr">
        <is>
          <t>2026-08-21</t>
        </is>
      </c>
      <c r="I63" t="inlineStr">
        <is>
          <t>2030-03-31</t>
        </is>
      </c>
      <c r="K63" t="inlineStr">
        <is>
          <t>linear_progress</t>
        </is>
      </c>
      <c r="L63" t="b">
        <v>1</v>
      </c>
    </row>
    <row r="64">
      <c r="A64" t="inlineStr">
        <is>
          <t>20260903800523</t>
        </is>
      </c>
      <c r="B64" t="inlineStr">
        <is>
          <t>OFFSH</t>
        </is>
      </c>
      <c r="C64" t="n">
        <v>1</v>
      </c>
      <c r="D64" t="n">
        <v>878100</v>
      </c>
      <c r="E64" t="n">
        <v>783.039</v>
      </c>
      <c r="F64" t="n">
        <v>1121.4</v>
      </c>
      <c r="G64" t="inlineStr">
        <is>
          <t>2021-05-10</t>
        </is>
      </c>
      <c r="H64" t="inlineStr">
        <is>
          <t>2021-05-08</t>
        </is>
      </c>
      <c r="I64" t="inlineStr">
        <is>
          <t>2025-04-08</t>
        </is>
      </c>
      <c r="J64" t="inlineStr">
        <is>
          <t>②BEP</t>
        </is>
      </c>
      <c r="K64" t="inlineStr">
        <is>
          <t>linear_progress</t>
        </is>
      </c>
      <c r="L64" t="b">
        <v>0</v>
      </c>
    </row>
    <row r="65">
      <c r="A65" t="inlineStr">
        <is>
          <t>20260908800414</t>
        </is>
      </c>
      <c r="B65" t="inlineStr">
        <is>
          <t>OTHER</t>
        </is>
      </c>
      <c r="D65" t="n">
        <v>333000</v>
      </c>
      <c r="E65" t="n">
        <v>287.091</v>
      </c>
      <c r="F65" t="n">
        <v>1159.91</v>
      </c>
      <c r="G65" t="inlineStr">
        <is>
          <t>2021-09-02</t>
        </is>
      </c>
      <c r="H65" t="inlineStr">
        <is>
          <t>2021-09-02</t>
        </is>
      </c>
      <c r="I65" t="inlineStr">
        <is>
          <t>2027-08-31</t>
        </is>
      </c>
      <c r="K65" t="inlineStr">
        <is>
          <t>linear_progress</t>
        </is>
      </c>
      <c r="L65" t="b">
        <v>0</v>
      </c>
    </row>
    <row r="66">
      <c r="A66" t="inlineStr">
        <is>
          <t>20260930800164</t>
        </is>
      </c>
      <c r="B66" t="inlineStr">
        <is>
          <t>OFFSH</t>
        </is>
      </c>
      <c r="C66" t="n">
        <v>1</v>
      </c>
      <c r="D66" t="n">
        <v>1953900</v>
      </c>
      <c r="E66" t="n">
        <v>1485.076</v>
      </c>
      <c r="F66" t="n">
        <v>1315.69</v>
      </c>
      <c r="G66" t="inlineStr">
        <is>
          <t>2023-06-30</t>
        </is>
      </c>
      <c r="H66" t="inlineStr">
        <is>
          <t>2023-07-01</t>
        </is>
      </c>
      <c r="I66" t="inlineStr">
        <is>
          <t>2027-06-01</t>
        </is>
      </c>
      <c r="K66" t="inlineStr">
        <is>
          <t>linear_progress</t>
        </is>
      </c>
      <c r="L66" t="b">
        <v>0</v>
      </c>
    </row>
    <row r="67">
      <c r="A67" s="2" t="inlineStr">
        <is>
          <t>⚠ 종료일 = 마지막 호선 인도 예정; 진행률 매출 분기는 계약기간 안에 선형 배분(가정)</t>
        </is>
      </c>
    </row>
    <row r="68">
      <c r="A68" s="2" t="inlineStr">
        <is>
          <t>⚠ HD한국조선해양과 HD현대重 동일 계약 22건 — shared_owner=329180 로 표시하고 이 파일의 합계에서 제외(합산 금지)</t>
        </is>
      </c>
    </row>
    <row r="69">
      <c r="A69" s="2" t="inlineStr">
        <is>
          <t>⚠ 헤지비율 0.7 은 가정(통화선도 공시 없음 → 레퍼런스 SLS 시트의 HEDGE 70% 가정. hedge_rate 는 계약별 수주시점 환율로 대체)</t>
        </is>
      </c>
    </row>
    <row r="70">
      <c r="A70" s="2" t="inlineStr">
        <is>
          <t>⚠ 코호트는 원장 내부 상대 등급(신조선가 지수 없음): 2025~ 수주 물량(백만$) 판정 ②BEP 7%, ③중마진 80%, ④호황 13% — 최다 ③중마진. 레퍼런스 HD현대미포 SLS 는 2025~ 물량을 100% ⑤초호황으로 두어 방향이 다르다(2021 이후 절대 호황 수준 미반영). 타겟 OPM 은 회사 calibrated_shift 로 실측 OPM 에 맞추고, 외부 지수 도입은 사용자 결정</t>
        </is>
      </c>
    </row>
    <row r="71">
      <c r="A71" s="2" t="inlineStr">
        <is>
          <t>⚠ 종료일 '-' 1건은 같은 선종 계약기간 중위로 종료 추정(end_estimated)</t>
        </is>
      </c>
    </row>
    <row r="72">
      <c r="A72" s="2" t="inlineStr">
        <is>
          <t>⚠ 정기보고서 부문 매출(3개월분)을 만들 수 없어 화해 없음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7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변수!D47</f>
        <v/>
      </c>
      <c r="W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39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0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1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1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1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1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1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2">
        <f>IFERROR(VLOOKUP($A10,subQ,MATCH(W$1,SUBQH,0),0),"")</f>
        <v/>
      </c>
      <c r="X10" s="31">
        <f>IFERROR(VLOOKUP($A10,subQ,MATCH(X$1,SUBQH,0),0),"")</f>
        <v/>
      </c>
      <c r="Y10" s="31">
        <f>IFERROR(VLOOKUP($A10,subQ,MATCH(Y$1,SUBQH,0),0),"")</f>
        <v/>
      </c>
      <c r="Z10" s="31">
        <f>IFERROR(VLOOKUP($A10,subQ,MATCH(Z$1,SUBQH,0),0),"")</f>
        <v/>
      </c>
      <c r="AA10" s="31">
        <f>IFERROR(VLOOKUP($A10,subQ,MATCH(AA$1,SUBQH,0),0),"")</f>
        <v/>
      </c>
      <c r="AB10" s="31">
        <f>IFERROR(VLOOKUP($A10,subQ,MATCH(AB$1,SUBQH,0),0),"")</f>
        <v/>
      </c>
      <c r="AC10" s="31">
        <f>IFERROR(VLOOKUP($A10,subQ,MATCH(AC$1,SUBQH,0),0),"")</f>
        <v/>
      </c>
      <c r="AD10" s="31">
        <f>IFERROR(VLOOKUP($A10,subQ,MATCH(AD$1,SUBQH,0),0),"")</f>
        <v/>
      </c>
      <c r="AE10" s="31">
        <f>IFERROR(VLOOKUP($A10,subQ,MATCH(AE$1,SUBQH,0),0),"")</f>
        <v/>
      </c>
      <c r="AF10" s="31">
        <f>IFERROR(VLOOKUP($A10,subQ,MATCH(AF$1,SUBQH,0),0),"")</f>
        <v/>
      </c>
      <c r="AG10" s="31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1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1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지분법손익</t>
        </is>
      </c>
      <c r="D13" t="inlineStr">
        <is>
          <t>지분법손익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1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1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1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1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1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1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1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1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1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1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1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1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1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1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1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6">
        <f>IFERROR(VLOOKUP($A28,subQ,MATCH(E$1,SUBQH,0),0),"")</f>
        <v/>
      </c>
      <c r="F28" s="26">
        <f>IFERROR(VLOOKUP($A28,subQ,MATCH(F$1,SUBQH,0),0),"")</f>
        <v/>
      </c>
      <c r="G28" s="26">
        <f>IFERROR(VLOOKUP($A28,subQ,MATCH(G$1,SUBQH,0),0),"")</f>
        <v/>
      </c>
      <c r="H28" s="26">
        <f>IFERROR(VLOOKUP($A28,subQ,MATCH(H$1,SUBQH,0),0),"")</f>
        <v/>
      </c>
      <c r="I28" s="26">
        <f>IFERROR(VLOOKUP($A28,subQ,MATCH(I$1,SUBQH,0),0),"")</f>
        <v/>
      </c>
      <c r="J28" s="26">
        <f>IFERROR(VLOOKUP($A28,subQ,MATCH(J$1,SUBQH,0),0),"")</f>
        <v/>
      </c>
      <c r="K28" s="26">
        <f>IFERROR(VLOOKUP($A28,subQ,MATCH(K$1,SUBQH,0),0),"")</f>
        <v/>
      </c>
      <c r="L28" s="26">
        <f>IFERROR(VLOOKUP($A28,subQ,MATCH(L$1,SUBQH,0),0),"")</f>
        <v/>
      </c>
      <c r="M28" s="26">
        <f>IFERROR(VLOOKUP($A28,subQ,MATCH(M$1,SUBQH,0),0),"")</f>
        <v/>
      </c>
      <c r="N28" s="26">
        <f>IFERROR(VLOOKUP($A28,subQ,MATCH(N$1,SUBQH,0),0),"")</f>
        <v/>
      </c>
      <c r="O28" s="26">
        <f>IFERROR(VLOOKUP($A28,subQ,MATCH(O$1,SUBQH,0),0),"")</f>
        <v/>
      </c>
      <c r="P28" s="26">
        <f>IFERROR(VLOOKUP($A28,subQ,MATCH(P$1,SUBQH,0),0),"")</f>
        <v/>
      </c>
      <c r="Q28" s="26">
        <f>IFERROR(VLOOKUP($A28,subQ,MATCH(Q$1,SUBQH,0),0),"")</f>
        <v/>
      </c>
      <c r="R28" s="26">
        <f>IFERROR(VLOOKUP($A28,subQ,MATCH(R$1,SUBQH,0),0),"")</f>
        <v/>
      </c>
      <c r="S28" s="26">
        <f>IFERROR(VLOOKUP($A28,subQ,MATCH(S$1,SUBQH,0),0),"")</f>
        <v/>
      </c>
      <c r="T28" s="26">
        <f>IFERROR(VLOOKUP($A28,subQ,MATCH(T$1,SUBQH,0),0),"")</f>
        <v/>
      </c>
      <c r="U28" s="26">
        <f>IFERROR(VLOOKUP($A28,subQ,MATCH(U$1,SUBQH,0),0),"")</f>
        <v/>
      </c>
      <c r="V28" s="26">
        <f>IFERROR(VLOOKUP($A28,subQ,MATCH(V$1,SUBQH,0),0),"")</f>
        <v/>
      </c>
      <c r="W28" s="43">
        <f>IFERROR(VLOOKUP($A28,subQ,MATCH(W$1,SUBQH,0),0),"")</f>
        <v/>
      </c>
      <c r="X28" s="36">
        <f>IFERROR(VLOOKUP($A28,subQ,MATCH(X$1,SUBQH,0),0),"")</f>
        <v/>
      </c>
      <c r="Y28" s="36">
        <f>IFERROR(VLOOKUP($A28,subQ,MATCH(Y$1,SUBQH,0),0),"")</f>
        <v/>
      </c>
      <c r="Z28" s="36">
        <f>IFERROR(VLOOKUP($A28,subQ,MATCH(Z$1,SUBQH,0),0),"")</f>
        <v/>
      </c>
      <c r="AA28" s="36">
        <f>IFERROR(VLOOKUP($A28,subQ,MATCH(AA$1,SUBQH,0),0),"")</f>
        <v/>
      </c>
      <c r="AB28" s="36">
        <f>IFERROR(VLOOKUP($A28,subQ,MATCH(AB$1,SUBQH,0),0),"")</f>
        <v/>
      </c>
      <c r="AC28" s="36">
        <f>IFERROR(VLOOKUP($A28,subQ,MATCH(AC$1,SUBQH,0),0),"")</f>
        <v/>
      </c>
      <c r="AD28" s="36">
        <f>IFERROR(VLOOKUP($A28,subQ,MATCH(AD$1,SUBQH,0),0),"")</f>
        <v/>
      </c>
      <c r="AE28" s="36">
        <f>IFERROR(VLOOKUP($A28,subQ,MATCH(AE$1,SUBQH,0),0),"")</f>
        <v/>
      </c>
      <c r="AF28" s="36">
        <f>IFERROR(VLOOKUP($A28,subQ,MATCH(AF$1,SUBQH,0),0),"")</f>
        <v/>
      </c>
      <c r="AG28" s="36">
        <f>IFERROR(VLOOKUP($A28,subQ,MATCH(AG$1,SUBQH,0),0),"")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1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1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1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1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1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1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1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OPM</t>
        </is>
      </c>
      <c r="D36" t="inlineStr">
        <is>
          <t>영업이익률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21">
        <f>IFERROR(VLOOKUP($A36,subQ,MATCH(I$1,SUBQH,0),0),"")</f>
        <v/>
      </c>
      <c r="J36" s="21">
        <f>IFERROR(VLOOKUP($A36,subQ,MATCH(J$1,SUBQH,0),0),"")</f>
        <v/>
      </c>
      <c r="K36" s="21">
        <f>IFERROR(VLOOKUP($A36,subQ,MATCH(K$1,SUBQH,0),0),"")</f>
        <v/>
      </c>
      <c r="L36" s="21">
        <f>IFERROR(VLOOKUP($A36,subQ,MATCH(L$1,SUBQH,0),0),"")</f>
        <v/>
      </c>
      <c r="M36" s="21">
        <f>IFERROR(VLOOKUP($A36,subQ,MATCH(M$1,SUBQH,0),0),"")</f>
        <v/>
      </c>
      <c r="N36" s="21">
        <f>IFERROR(VLOOKUP($A36,subQ,MATCH(N$1,SUBQH,0),0),"")</f>
        <v/>
      </c>
      <c r="O36" s="21">
        <f>IFERROR(VLOOKUP($A36,subQ,MATCH(O$1,SUBQH,0),0),"")</f>
        <v/>
      </c>
      <c r="P36" s="21">
        <f>IFERROR(VLOOKUP($A36,subQ,MATCH(P$1,SUBQH,0),0),"")</f>
        <v/>
      </c>
      <c r="Q36" s="21">
        <f>IFERROR(VLOOKUP($A36,subQ,MATCH(Q$1,SUBQH,0),0),"")</f>
        <v/>
      </c>
      <c r="R36" s="21">
        <f>IFERROR(VLOOKUP($A36,subQ,MATCH(R$1,SUBQH,0),0),"")</f>
        <v/>
      </c>
      <c r="S36" s="21">
        <f>IFERROR(VLOOKUP($A36,subQ,MATCH(S$1,SUBQH,0),0),"")</f>
        <v/>
      </c>
      <c r="T36" s="21">
        <f>IFERROR(VLOOKUP($A36,subQ,MATCH(T$1,SUBQH,0),0),"")</f>
        <v/>
      </c>
      <c r="U36" s="21">
        <f>IFERROR(VLOOKUP($A36,subQ,MATCH(U$1,SUBQH,0),0),"")</f>
        <v/>
      </c>
      <c r="V36" s="21">
        <f>IFERROR(VLOOKUP($A36,subQ,MATCH(V$1,SUBQH,0),0),"")</f>
        <v/>
      </c>
      <c r="W36" s="42">
        <f>IFERROR(VLOOKUP($A36,subQ,MATCH(W$1,SUBQH,0),0),"")</f>
        <v/>
      </c>
      <c r="X36" s="31">
        <f>IFERROR(VLOOKUP($A36,subQ,MATCH(X$1,SUBQH,0),0),"")</f>
        <v/>
      </c>
      <c r="Y36" s="31">
        <f>IFERROR(VLOOKUP($A36,subQ,MATCH(Y$1,SUBQH,0),0),"")</f>
        <v/>
      </c>
      <c r="Z36" s="31">
        <f>IFERROR(VLOOKUP($A36,subQ,MATCH(Z$1,SUBQH,0),0),"")</f>
        <v/>
      </c>
      <c r="AA36" s="31">
        <f>IFERROR(VLOOKUP($A36,subQ,MATCH(AA$1,SUBQH,0),0),"")</f>
        <v/>
      </c>
      <c r="AB36" s="31">
        <f>IFERROR(VLOOKUP($A36,subQ,MATCH(AB$1,SUBQH,0),0),"")</f>
        <v/>
      </c>
      <c r="AC36" s="31">
        <f>IFERROR(VLOOKUP($A36,subQ,MATCH(AC$1,SUBQH,0),0),"")</f>
        <v/>
      </c>
      <c r="AD36" s="31">
        <f>IFERROR(VLOOKUP($A36,subQ,MATCH(AD$1,SUBQH,0),0),"")</f>
        <v/>
      </c>
      <c r="AE36" s="31">
        <f>IFERROR(VLOOKUP($A36,subQ,MATCH(AE$1,SUBQH,0),0),"")</f>
        <v/>
      </c>
      <c r="AF36" s="31">
        <f>IFERROR(VLOOKUP($A36,subQ,MATCH(AF$1,SUBQH,0),0),"")</f>
        <v/>
      </c>
      <c r="AG36" s="31">
        <f>IFERROR(VLOOKUP($A36,subQ,MATCH(AG$1,SUBQH,0),0),"")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21">
        <f>IFERROR(VLOOKUP($A37,subQ,MATCH(I$1,SUBQH,0),0),"")</f>
        <v/>
      </c>
      <c r="J37" s="21">
        <f>IFERROR(VLOOKUP($A37,subQ,MATCH(J$1,SUBQH,0),0),"")</f>
        <v/>
      </c>
      <c r="K37" s="21">
        <f>IFERROR(VLOOKUP($A37,subQ,MATCH(K$1,SUBQH,0),0),"")</f>
        <v/>
      </c>
      <c r="L37" s="21">
        <f>IFERROR(VLOOKUP($A37,subQ,MATCH(L$1,SUBQH,0),0),"")</f>
        <v/>
      </c>
      <c r="M37" s="21">
        <f>IFERROR(VLOOKUP($A37,subQ,MATCH(M$1,SUBQH,0),0),"")</f>
        <v/>
      </c>
      <c r="N37" s="21">
        <f>IFERROR(VLOOKUP($A37,subQ,MATCH(N$1,SUBQH,0),0),"")</f>
        <v/>
      </c>
      <c r="O37" s="21">
        <f>IFERROR(VLOOKUP($A37,subQ,MATCH(O$1,SUBQH,0),0),"")</f>
        <v/>
      </c>
      <c r="P37" s="21">
        <f>IFERROR(VLOOKUP($A37,subQ,MATCH(P$1,SUBQH,0),0),"")</f>
        <v/>
      </c>
      <c r="Q37" s="21">
        <f>IFERROR(VLOOKUP($A37,subQ,MATCH(Q$1,SUBQH,0),0),"")</f>
        <v/>
      </c>
      <c r="R37" s="21">
        <f>IFERROR(VLOOKUP($A37,subQ,MATCH(R$1,SUBQH,0),0),"")</f>
        <v/>
      </c>
      <c r="S37" s="21">
        <f>IFERROR(VLOOKUP($A37,subQ,MATCH(S$1,SUBQH,0),0),"")</f>
        <v/>
      </c>
      <c r="T37" s="21">
        <f>IFERROR(VLOOKUP($A37,subQ,MATCH(T$1,SUBQH,0),0),"")</f>
        <v/>
      </c>
      <c r="U37" s="21">
        <f>IFERROR(VLOOKUP($A37,subQ,MATCH(U$1,SUBQH,0),0),"")</f>
        <v/>
      </c>
      <c r="V37" s="21">
        <f>IFERROR(VLOOKUP($A37,subQ,MATCH(V$1,SUBQH,0),0),"")</f>
        <v/>
      </c>
      <c r="W37" s="42">
        <f>IFERROR(VLOOKUP($A37,subQ,MATCH(W$1,SUBQH,0),0),"")</f>
        <v/>
      </c>
      <c r="X37" s="31">
        <f>IFERROR(VLOOKUP($A37,subQ,MATCH(X$1,SUBQH,0),0),"")</f>
        <v/>
      </c>
      <c r="Y37" s="31">
        <f>IFERROR(VLOOKUP($A37,subQ,MATCH(Y$1,SUBQH,0),0),"")</f>
        <v/>
      </c>
      <c r="Z37" s="31">
        <f>IFERROR(VLOOKUP($A37,subQ,MATCH(Z$1,SUBQH,0),0),"")</f>
        <v/>
      </c>
      <c r="AA37" s="31">
        <f>IFERROR(VLOOKUP($A37,subQ,MATCH(AA$1,SUBQH,0),0),"")</f>
        <v/>
      </c>
      <c r="AB37" s="31">
        <f>IFERROR(VLOOKUP($A37,subQ,MATCH(AB$1,SUBQH,0),0),"")</f>
        <v/>
      </c>
      <c r="AC37" s="31">
        <f>IFERROR(VLOOKUP($A37,subQ,MATCH(AC$1,SUBQH,0),0),"")</f>
        <v/>
      </c>
      <c r="AD37" s="31">
        <f>IFERROR(VLOOKUP($A37,subQ,MATCH(AD$1,SUBQH,0),0),"")</f>
        <v/>
      </c>
      <c r="AE37" s="31">
        <f>IFERROR(VLOOKUP($A37,subQ,MATCH(AE$1,SUBQH,0),0),"")</f>
        <v/>
      </c>
      <c r="AF37" s="31">
        <f>IFERROR(VLOOKUP($A37,subQ,MATCH(AF$1,SUBQH,0),0),"")</f>
        <v/>
      </c>
      <c r="AG37" s="31">
        <f>IFERROR(VLOOKUP($A37,subQ,MATCH(AG$1,SUBQH,0),0),"")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I38" s="21">
        <f>IFERROR(I5/E5-1,"")</f>
        <v/>
      </c>
      <c r="J38" s="21">
        <f>IFERROR(J5/F5-1,"")</f>
        <v/>
      </c>
      <c r="K38" s="21">
        <f>IFERROR(K5/G5-1,"")</f>
        <v/>
      </c>
      <c r="L38" s="21">
        <f>IFERROR(L5/H5-1,"")</f>
        <v/>
      </c>
      <c r="M38" s="21">
        <f>IFERROR(M5/I5-1,"")</f>
        <v/>
      </c>
      <c r="N38" s="21">
        <f>IFERROR(N5/J5-1,"")</f>
        <v/>
      </c>
      <c r="O38" s="21">
        <f>IFERROR(O5/K5-1,"")</f>
        <v/>
      </c>
      <c r="P38" s="21">
        <f>IFERROR(P5/L5-1,"")</f>
        <v/>
      </c>
      <c r="Q38" s="21">
        <f>IFERROR(Q5/M5-1,"")</f>
        <v/>
      </c>
      <c r="R38" s="21">
        <f>IFERROR(R5/N5-1,"")</f>
        <v/>
      </c>
      <c r="S38" s="21">
        <f>IFERROR(S5/O5-1,"")</f>
        <v/>
      </c>
      <c r="T38" s="21">
        <f>IFERROR(T5/P5-1,"")</f>
        <v/>
      </c>
      <c r="U38" s="21">
        <f>IFERROR(U5/Q5-1,"")</f>
        <v/>
      </c>
      <c r="V38" s="21">
        <f>IFERROR(V5/R5-1,"")</f>
        <v/>
      </c>
      <c r="W38" s="42">
        <f>IFERROR(W5/S5-1,"")</f>
        <v/>
      </c>
      <c r="X38" s="31">
        <f>IFERROR(X5/T5-1,"")</f>
        <v/>
      </c>
      <c r="Y38" s="31">
        <f>IFERROR(Y5/U5-1,"")</f>
        <v/>
      </c>
      <c r="Z38" s="31">
        <f>IFERROR(Z5/V5-1,"")</f>
        <v/>
      </c>
      <c r="AA38" s="31">
        <f>IFERROR(AA5/W5-1,"")</f>
        <v/>
      </c>
      <c r="AB38" s="31">
        <f>IFERROR(AB5/X5-1,"")</f>
        <v/>
      </c>
      <c r="AC38" s="31">
        <f>IFERROR(AC5/Y5-1,"")</f>
        <v/>
      </c>
      <c r="AD38" s="31">
        <f>IFERROR(AD5/Z5-1,"")</f>
        <v/>
      </c>
      <c r="AE38" s="31">
        <f>IFERROR(AE5/AA5-1,"")</f>
        <v/>
      </c>
      <c r="AF38" s="31">
        <f>IFERROR(AF5/AB5-1,"")</f>
        <v/>
      </c>
      <c r="AG38" s="31">
        <f>IFERROR(AG5/AC5-1,"")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I39" s="21">
        <f>IFERROR(I9/E9-1,"")</f>
        <v/>
      </c>
      <c r="J39" s="21">
        <f>IFERROR(J9/F9-1,"")</f>
        <v/>
      </c>
      <c r="K39" s="21">
        <f>IFERROR(K9/G9-1,"")</f>
        <v/>
      </c>
      <c r="L39" s="21">
        <f>IFERROR(L9/H9-1,"")</f>
        <v/>
      </c>
      <c r="M39" s="21">
        <f>IFERROR(M9/I9-1,"")</f>
        <v/>
      </c>
      <c r="N39" s="21">
        <f>IFERROR(N9/J9-1,"")</f>
        <v/>
      </c>
      <c r="O39" s="21">
        <f>IFERROR(O9/K9-1,"")</f>
        <v/>
      </c>
      <c r="P39" s="21">
        <f>IFERROR(P9/L9-1,"")</f>
        <v/>
      </c>
      <c r="Q39" s="21">
        <f>IFERROR(Q9/M9-1,"")</f>
        <v/>
      </c>
      <c r="R39" s="21">
        <f>IFERROR(R9/N9-1,"")</f>
        <v/>
      </c>
      <c r="S39" s="21">
        <f>IFERROR(S9/O9-1,"")</f>
        <v/>
      </c>
      <c r="T39" s="21">
        <f>IFERROR(T9/P9-1,"")</f>
        <v/>
      </c>
      <c r="U39" s="21">
        <f>IFERROR(U9/Q9-1,"")</f>
        <v/>
      </c>
      <c r="V39" s="21">
        <f>IFERROR(V9/R9-1,"")</f>
        <v/>
      </c>
      <c r="W39" s="42">
        <f>IFERROR(W9/S9-1,"")</f>
        <v/>
      </c>
      <c r="X39" s="31">
        <f>IFERROR(X9/T9-1,"")</f>
        <v/>
      </c>
      <c r="Y39" s="31">
        <f>IFERROR(Y9/U9-1,"")</f>
        <v/>
      </c>
      <c r="Z39" s="31">
        <f>IFERROR(Z9/V9-1,"")</f>
        <v/>
      </c>
      <c r="AA39" s="31">
        <f>IFERROR(AA9/W9-1,"")</f>
        <v/>
      </c>
      <c r="AB39" s="31">
        <f>IFERROR(AB9/X9-1,"")</f>
        <v/>
      </c>
      <c r="AC39" s="31">
        <f>IFERROR(AC9/Y9-1,"")</f>
        <v/>
      </c>
      <c r="AD39" s="31">
        <f>IFERROR(AD9/Z9-1,"")</f>
        <v/>
      </c>
      <c r="AE39" s="31">
        <f>IFERROR(AE9/AA9-1,"")</f>
        <v/>
      </c>
      <c r="AF39" s="31">
        <f>IFERROR(AF9/AB9-1,"")</f>
        <v/>
      </c>
      <c r="AG39" s="31">
        <f>IFERROR(AG9/AC9-1,"")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I40" s="21">
        <f>IFERROR(I17/E17-1,"")</f>
        <v/>
      </c>
      <c r="J40" s="21">
        <f>IFERROR(J17/F17-1,"")</f>
        <v/>
      </c>
      <c r="K40" s="21">
        <f>IFERROR(K17/G17-1,"")</f>
        <v/>
      </c>
      <c r="L40" s="21">
        <f>IFERROR(L17/H17-1,"")</f>
        <v/>
      </c>
      <c r="M40" s="21">
        <f>IFERROR(M17/I17-1,"")</f>
        <v/>
      </c>
      <c r="N40" s="21">
        <f>IFERROR(N17/J17-1,"")</f>
        <v/>
      </c>
      <c r="O40" s="21">
        <f>IFERROR(O17/K17-1,"")</f>
        <v/>
      </c>
      <c r="P40" s="21">
        <f>IFERROR(P17/L17-1,"")</f>
        <v/>
      </c>
      <c r="Q40" s="21">
        <f>IFERROR(Q17/M17-1,"")</f>
        <v/>
      </c>
      <c r="R40" s="21">
        <f>IFERROR(R17/N17-1,"")</f>
        <v/>
      </c>
      <c r="S40" s="21">
        <f>IFERROR(S17/O17-1,"")</f>
        <v/>
      </c>
      <c r="T40" s="21">
        <f>IFERROR(T17/P17-1,"")</f>
        <v/>
      </c>
      <c r="U40" s="21">
        <f>IFERROR(U17/Q17-1,"")</f>
        <v/>
      </c>
      <c r="V40" s="21">
        <f>IFERROR(V17/R17-1,"")</f>
        <v/>
      </c>
      <c r="W40" s="42">
        <f>IFERROR(W17/S17-1,"")</f>
        <v/>
      </c>
      <c r="X40" s="31">
        <f>IFERROR(X17/T17-1,"")</f>
        <v/>
      </c>
      <c r="Y40" s="31">
        <f>IFERROR(Y17/U17-1,"")</f>
        <v/>
      </c>
      <c r="Z40" s="31">
        <f>IFERROR(Z17/V17-1,"")</f>
        <v/>
      </c>
      <c r="AA40" s="31">
        <f>IFERROR(AA17/W17-1,"")</f>
        <v/>
      </c>
      <c r="AB40" s="31">
        <f>IFERROR(AB17/X17-1,"")</f>
        <v/>
      </c>
      <c r="AC40" s="31">
        <f>IFERROR(AC17/Y17-1,"")</f>
        <v/>
      </c>
      <c r="AD40" s="31">
        <f>IFERROR(AD17/Z17-1,"")</f>
        <v/>
      </c>
      <c r="AE40" s="31">
        <f>IFERROR(AE17/AA17-1,"")</f>
        <v/>
      </c>
      <c r="AF40" s="31">
        <f>IFERROR(AF17/AB17-1,"")</f>
        <v/>
      </c>
      <c r="AG40" s="31">
        <f>IFERROR(AG17/AC17-1,"")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37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변수!D47</f>
        <v/>
      </c>
      <c r="I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39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0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1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1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1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1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1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2">
        <f>IFERROR(VLOOKUP($A10,subQ,MATCH(I$1,SUBQH,0),0),"")</f>
        <v/>
      </c>
      <c r="J10" s="31">
        <f>IFERROR(VLOOKUP($A10,subQ,MATCH(J$1,SUBQH,0),0),"")</f>
        <v/>
      </c>
      <c r="K10" s="31">
        <f>IFERROR(VLOOKUP($A10,subQ,MATCH(K$1,SUBQH,0),0),"")</f>
        <v/>
      </c>
      <c r="L10" s="31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1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1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지분법손익</t>
        </is>
      </c>
      <c r="D13" t="inlineStr">
        <is>
          <t>지분법손익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1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1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1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1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1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1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1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1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1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1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1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1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1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1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1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6">
        <f>IFERROR(VLOOKUP($A28,subQ,MATCH(E$1,SUBQH,0),0),"")</f>
        <v/>
      </c>
      <c r="F28" s="26">
        <f>IFERROR(VLOOKUP($A28,subQ,MATCH(F$1,SUBQH,0),0),"")</f>
        <v/>
      </c>
      <c r="G28" s="26">
        <f>IFERROR(VLOOKUP($A28,subQ,MATCH(G$1,SUBQH,0),0),"")</f>
        <v/>
      </c>
      <c r="H28" s="26">
        <f>IFERROR(VLOOKUP($A28,subQ,MATCH(H$1,SUBQH,0),0),"")</f>
        <v/>
      </c>
      <c r="I28" s="43">
        <f>IFERROR(VLOOKUP($A28,subQ,MATCH(I$1,SUBQH,0),0),"")</f>
        <v/>
      </c>
      <c r="J28" s="36">
        <f>IFERROR(VLOOKUP($A28,subQ,MATCH(J$1,SUBQH,0),0),"")</f>
        <v/>
      </c>
      <c r="K28" s="36">
        <f>IFERROR(VLOOKUP($A28,subQ,MATCH(K$1,SUBQH,0),0),"")</f>
        <v/>
      </c>
      <c r="L28" s="36">
        <f>IFERROR(VLOOKUP($A28,subQ,MATCH(L$1,SUBQH,0),0),"")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1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1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1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1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1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1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1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OPM</t>
        </is>
      </c>
      <c r="D36" t="inlineStr">
        <is>
          <t>영업이익률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42">
        <f>IFERROR(VLOOKUP($A36,subQ,MATCH(I$1,SUBQH,0),0),"")</f>
        <v/>
      </c>
      <c r="J36" s="31">
        <f>IFERROR(VLOOKUP($A36,subQ,MATCH(J$1,SUBQH,0),0),"")</f>
        <v/>
      </c>
      <c r="K36" s="31">
        <f>IFERROR(VLOOKUP($A36,subQ,MATCH(K$1,SUBQH,0),0),"")</f>
        <v/>
      </c>
      <c r="L36" s="31">
        <f>IFERROR(VLOOKUP($A36,subQ,MATCH(L$1,SUBQH,0),0),"")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42">
        <f>IFERROR(VLOOKUP($A37,subQ,MATCH(I$1,SUBQH,0),0),"")</f>
        <v/>
      </c>
      <c r="J37" s="31">
        <f>IFERROR(VLOOKUP($A37,subQ,MATCH(J$1,SUBQH,0),0),"")</f>
        <v/>
      </c>
      <c r="K37" s="31">
        <f>IFERROR(VLOOKUP($A37,subQ,MATCH(K$1,SUBQH,0),0),"")</f>
        <v/>
      </c>
      <c r="L37" s="31">
        <f>IFERROR(VLOOKUP($A37,subQ,MATCH(L$1,SUBQH,0),0),"")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F38" s="21">
        <f>IFERROR(F5/E5-1,"")</f>
        <v/>
      </c>
      <c r="G38" s="21">
        <f>IFERROR(G5/F5-1,"")</f>
        <v/>
      </c>
      <c r="H38" s="21">
        <f>IFERROR(H5/G5-1,"")</f>
        <v/>
      </c>
      <c r="I38" s="42">
        <f>IFERROR(I5/H5-1,"")</f>
        <v/>
      </c>
      <c r="J38" s="31">
        <f>IFERROR(J5/I5-1,"")</f>
        <v/>
      </c>
      <c r="K38" s="31">
        <f>IFERROR(K5/J5-1,"")</f>
        <v/>
      </c>
      <c r="L38" s="31">
        <f>IFERROR(L5/K5-1,"")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F39" s="21">
        <f>IFERROR(F9/E9-1,"")</f>
        <v/>
      </c>
      <c r="G39" s="21">
        <f>IFERROR(G9/F9-1,"")</f>
        <v/>
      </c>
      <c r="H39" s="21">
        <f>IFERROR(H9/G9-1,"")</f>
        <v/>
      </c>
      <c r="I39" s="42">
        <f>IFERROR(I9/H9-1,"")</f>
        <v/>
      </c>
      <c r="J39" s="31">
        <f>IFERROR(J9/I9-1,"")</f>
        <v/>
      </c>
      <c r="K39" s="31">
        <f>IFERROR(K9/J9-1,"")</f>
        <v/>
      </c>
      <c r="L39" s="31">
        <f>IFERROR(L9/K9-1,"")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F40" s="21">
        <f>IFERROR(F17/E17-1,"")</f>
        <v/>
      </c>
      <c r="G40" s="21">
        <f>IFERROR(G17/F17-1,"")</f>
        <v/>
      </c>
      <c r="H40" s="21">
        <f>IFERROR(H17/G17-1,"")</f>
        <v/>
      </c>
      <c r="I40" s="42">
        <f>IFERROR(I17/H17-1,"")</f>
        <v/>
      </c>
      <c r="J40" s="31">
        <f>IFERROR(J17/I17-1,"")</f>
        <v/>
      </c>
      <c r="K40" s="31">
        <f>IFERROR(K17/J17-1,"")</f>
        <v/>
      </c>
      <c r="L40" s="31">
        <f>IFERROR(L17/K17-1,"")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변수!D47</f>
        <v/>
      </c>
    </row>
    <row r="2">
      <c r="B2" s="1" t="inlineStr">
        <is>
          <t>기준일</t>
        </is>
      </c>
      <c r="C2">
        <f>변수!D48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4" t="n">
        <v>2025</v>
      </c>
      <c r="E5" s="44" t="n">
        <v>2026</v>
      </c>
      <c r="F5" s="44" t="n">
        <v>2027</v>
      </c>
      <c r="G5" s="44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IFERROR(E7*변수!D53+F7*(1-변수!D53),"")</f>
        <v/>
      </c>
    </row>
    <row r="15">
      <c r="C15" t="inlineStr">
        <is>
          <t>적정가치 @PER_lo</t>
        </is>
      </c>
      <c r="D15" s="26">
        <f>변수!D50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변수!D51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변수!D52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변수!D49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48471.7</v>
      </c>
    </row>
    <row r="30">
      <c r="C30" s="2" t="inlineStr">
        <is>
          <t>bps_latest</t>
        </is>
      </c>
      <c r="D30" t="n">
        <v>209715.1</v>
      </c>
    </row>
    <row r="31">
      <c r="C31" s="2" t="inlineStr">
        <is>
          <t>per_now</t>
        </is>
      </c>
      <c r="D31" t="n">
        <v>6.66</v>
      </c>
    </row>
    <row r="32">
      <c r="C32" s="2" t="inlineStr">
        <is>
          <t>pbr_now</t>
        </is>
      </c>
      <c r="D32" t="n">
        <v>1.54</v>
      </c>
    </row>
    <row r="33">
      <c r="C33" s="2" t="inlineStr">
        <is>
          <t>roe_fwd</t>
        </is>
      </c>
      <c r="D33" t="n">
        <v>0.2311</v>
      </c>
    </row>
    <row r="34">
      <c r="C34" s="2" t="inlineStr">
        <is>
          <t>fair_pbr</t>
        </is>
      </c>
      <c r="D34" t="n">
        <v>2.57</v>
      </c>
    </row>
    <row r="35">
      <c r="C35" s="2" t="inlineStr">
        <is>
          <t>fair_value_pbr</t>
        </is>
      </c>
      <c r="D35" t="n">
        <v>539000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5">
        <f>IFERROR(VLOOKUP($D5,환율,MATCH(X$1,변수H,0),0),"")</f>
        <v/>
      </c>
      <c r="Y5" s="45">
        <f>IFERROR(VLOOKUP($D5,환율,MATCH(Y$1,변수H,0),0),"")</f>
        <v/>
      </c>
      <c r="Z5" s="45">
        <f>IFERROR(VLOOKUP($D5,환율,MATCH(Z$1,변수H,0),0),"")</f>
        <v/>
      </c>
      <c r="AA5" s="45">
        <f>IFERROR(VLOOKUP($D5,환율,MATCH(AA$1,변수H,0),0),"")</f>
        <v/>
      </c>
      <c r="AB5" s="45">
        <f>IFERROR(VLOOKUP($D5,환율,MATCH(AB$1,변수H,0),0),"")</f>
        <v/>
      </c>
      <c r="AC5" s="45">
        <f>IFERROR(VLOOKUP($D5,환율,MATCH(AC$1,변수H,0),0),"")</f>
        <v/>
      </c>
      <c r="AD5" s="45">
        <f>IFERROR(VLOOKUP($D5,환율,MATCH(AD$1,변수H,0),0),"")</f>
        <v/>
      </c>
      <c r="AE5" s="45">
        <f>IFERROR(VLOOKUP($D5,환율,MATCH(AE$1,변수H,0),0),"")</f>
        <v/>
      </c>
      <c r="AF5" s="45">
        <f>IFERROR(VLOOKUP($D5,환율,MATCH(AF$1,변수H,0),0),"")</f>
        <v/>
      </c>
      <c r="AG5" s="45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1">
        <f>IFERROR(X5/W5-1,"")</f>
        <v/>
      </c>
      <c r="Y6" s="31">
        <f>IFERROR(Y5/X5-1,"")</f>
        <v/>
      </c>
      <c r="Z6" s="31">
        <f>IFERROR(Z5/Y5-1,"")</f>
        <v/>
      </c>
      <c r="AA6" s="31">
        <f>IFERROR(AA5/Z5-1,"")</f>
        <v/>
      </c>
      <c r="AB6" s="31">
        <f>IFERROR(AB5/AA5-1,"")</f>
        <v/>
      </c>
      <c r="AC6" s="31">
        <f>IFERROR(AC5/AB5-1,"")</f>
        <v/>
      </c>
      <c r="AD6" s="31">
        <f>IFERROR(AD5/AC5-1,"")</f>
        <v/>
      </c>
      <c r="AE6" s="31">
        <f>IFERROR(AE5/AD5-1,"")</f>
        <v/>
      </c>
      <c r="AF6" s="31">
        <f>IFERROR(AF5/AE5-1,"")</f>
        <v/>
      </c>
      <c r="AG6" s="31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5">
        <f>IFERROR(VLOOKUP($D7,환율,MATCH(X$1,변수H,0),0),"")</f>
        <v/>
      </c>
      <c r="Y7" s="45">
        <f>IFERROR(VLOOKUP($D7,환율,MATCH(Y$1,변수H,0),0),"")</f>
        <v/>
      </c>
      <c r="Z7" s="45">
        <f>IFERROR(VLOOKUP($D7,환율,MATCH(Z$1,변수H,0),0),"")</f>
        <v/>
      </c>
      <c r="AA7" s="45">
        <f>IFERROR(VLOOKUP($D7,환율,MATCH(AA$1,변수H,0),0),"")</f>
        <v/>
      </c>
      <c r="AB7" s="45">
        <f>IFERROR(VLOOKUP($D7,환율,MATCH(AB$1,변수H,0),0),"")</f>
        <v/>
      </c>
      <c r="AC7" s="45">
        <f>IFERROR(VLOOKUP($D7,환율,MATCH(AC$1,변수H,0),0),"")</f>
        <v/>
      </c>
      <c r="AD7" s="45">
        <f>IFERROR(VLOOKUP($D7,환율,MATCH(AD$1,변수H,0),0),"")</f>
        <v/>
      </c>
      <c r="AE7" s="45">
        <f>IFERROR(VLOOKUP($D7,환율,MATCH(AE$1,변수H,0),0),"")</f>
        <v/>
      </c>
      <c r="AF7" s="45">
        <f>IFERROR(VLOOKUP($D7,환율,MATCH(AF$1,변수H,0),0),"")</f>
        <v/>
      </c>
      <c r="AG7" s="45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1">
        <f>IFERROR(X7/W7-1,"")</f>
        <v/>
      </c>
      <c r="Y8" s="31">
        <f>IFERROR(Y7/X7-1,"")</f>
        <v/>
      </c>
      <c r="Z8" s="31">
        <f>IFERROR(Z7/Y7-1,"")</f>
        <v/>
      </c>
      <c r="AA8" s="31">
        <f>IFERROR(AA7/Z7-1,"")</f>
        <v/>
      </c>
      <c r="AB8" s="31">
        <f>IFERROR(AB7/AA7-1,"")</f>
        <v/>
      </c>
      <c r="AC8" s="31">
        <f>IFERROR(AC7/AB7-1,"")</f>
        <v/>
      </c>
      <c r="AD8" s="31">
        <f>IFERROR(AD7/AC7-1,"")</f>
        <v/>
      </c>
      <c r="AE8" s="31">
        <f>IFERROR(AE7/AD7-1,"")</f>
        <v/>
      </c>
      <c r="AF8" s="31">
        <f>IFERROR(AF7/AE7-1,"")</f>
        <v/>
      </c>
      <c r="AG8" s="31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5">
        <f>IFERROR(VLOOKUP($D9,환율,MATCH(X$1,변수H,0),0),"")</f>
        <v/>
      </c>
      <c r="Y9" s="45">
        <f>IFERROR(VLOOKUP($D9,환율,MATCH(Y$1,변수H,0),0),"")</f>
        <v/>
      </c>
      <c r="Z9" s="45">
        <f>IFERROR(VLOOKUP($D9,환율,MATCH(Z$1,변수H,0),0),"")</f>
        <v/>
      </c>
      <c r="AA9" s="45">
        <f>IFERROR(VLOOKUP($D9,환율,MATCH(AA$1,변수H,0),0),"")</f>
        <v/>
      </c>
      <c r="AB9" s="45">
        <f>IFERROR(VLOOKUP($D9,환율,MATCH(AB$1,변수H,0),0),"")</f>
        <v/>
      </c>
      <c r="AC9" s="45">
        <f>IFERROR(VLOOKUP($D9,환율,MATCH(AC$1,변수H,0),0),"")</f>
        <v/>
      </c>
      <c r="AD9" s="45">
        <f>IFERROR(VLOOKUP($D9,환율,MATCH(AD$1,변수H,0),0),"")</f>
        <v/>
      </c>
      <c r="AE9" s="45">
        <f>IFERROR(VLOOKUP($D9,환율,MATCH(AE$1,변수H,0),0),"")</f>
        <v/>
      </c>
      <c r="AF9" s="45">
        <f>IFERROR(VLOOKUP($D9,환율,MATCH(AF$1,변수H,0),0),"")</f>
        <v/>
      </c>
      <c r="AG9" s="45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1">
        <f>IFERROR(X9/W9-1,"")</f>
        <v/>
      </c>
      <c r="Y10" s="31">
        <f>IFERROR(Y9/X9-1,"")</f>
        <v/>
      </c>
      <c r="Z10" s="31">
        <f>IFERROR(Z9/Y9-1,"")</f>
        <v/>
      </c>
      <c r="AA10" s="31">
        <f>IFERROR(AA9/Z9-1,"")</f>
        <v/>
      </c>
      <c r="AB10" s="31">
        <f>IFERROR(AB9/AA9-1,"")</f>
        <v/>
      </c>
      <c r="AC10" s="31">
        <f>IFERROR(AC9/AB9-1,"")</f>
        <v/>
      </c>
      <c r="AD10" s="31">
        <f>IFERROR(AD9/AC9-1,"")</f>
        <v/>
      </c>
      <c r="AE10" s="31">
        <f>IFERROR(AE9/AD9-1,"")</f>
        <v/>
      </c>
      <c r="AF10" s="31">
        <f>IFERROR(AF9/AE9-1,"")</f>
        <v/>
      </c>
      <c r="AG10" s="31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5">
        <f>IFERROR(VLOOKUP($D11,환율,MATCH(X$1,변수H,0),0),"")</f>
        <v/>
      </c>
      <c r="Y11" s="45">
        <f>IFERROR(VLOOKUP($D11,환율,MATCH(Y$1,변수H,0),0),"")</f>
        <v/>
      </c>
      <c r="Z11" s="45">
        <f>IFERROR(VLOOKUP($D11,환율,MATCH(Z$1,변수H,0),0),"")</f>
        <v/>
      </c>
      <c r="AA11" s="45">
        <f>IFERROR(VLOOKUP($D11,환율,MATCH(AA$1,변수H,0),0),"")</f>
        <v/>
      </c>
      <c r="AB11" s="45">
        <f>IFERROR(VLOOKUP($D11,환율,MATCH(AB$1,변수H,0),0),"")</f>
        <v/>
      </c>
      <c r="AC11" s="45">
        <f>IFERROR(VLOOKUP($D11,환율,MATCH(AC$1,변수H,0),0),"")</f>
        <v/>
      </c>
      <c r="AD11" s="45">
        <f>IFERROR(VLOOKUP($D11,환율,MATCH(AD$1,변수H,0),0),"")</f>
        <v/>
      </c>
      <c r="AE11" s="45">
        <f>IFERROR(VLOOKUP($D11,환율,MATCH(AE$1,변수H,0),0),"")</f>
        <v/>
      </c>
      <c r="AF11" s="45">
        <f>IFERROR(VLOOKUP($D11,환율,MATCH(AF$1,변수H,0),0),"")</f>
        <v/>
      </c>
      <c r="AG11" s="45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1">
        <f>IFERROR(X11/W11-1,"")</f>
        <v/>
      </c>
      <c r="Y12" s="31">
        <f>IFERROR(Y11/X11-1,"")</f>
        <v/>
      </c>
      <c r="Z12" s="31">
        <f>IFERROR(Z11/Y11-1,"")</f>
        <v/>
      </c>
      <c r="AA12" s="31">
        <f>IFERROR(AA11/Z11-1,"")</f>
        <v/>
      </c>
      <c r="AB12" s="31">
        <f>IFERROR(AB11/AA11-1,"")</f>
        <v/>
      </c>
      <c r="AC12" s="31">
        <f>IFERROR(AC11/AB11-1,"")</f>
        <v/>
      </c>
      <c r="AD12" s="31">
        <f>IFERROR(AD11/AC11-1,"")</f>
        <v/>
      </c>
      <c r="AE12" s="31">
        <f>IFERROR(AE11/AD11-1,"")</f>
        <v/>
      </c>
      <c r="AF12" s="31">
        <f>IFERROR(AF11/AE11-1,"")</f>
        <v/>
      </c>
      <c r="AG12" s="31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5">
        <f>IFERROR(VLOOKUP($D13,환율,MATCH(X$1,변수H,0),0),"")</f>
        <v/>
      </c>
      <c r="Y13" s="45">
        <f>IFERROR(VLOOKUP($D13,환율,MATCH(Y$1,변수H,0),0),"")</f>
        <v/>
      </c>
      <c r="Z13" s="45">
        <f>IFERROR(VLOOKUP($D13,환율,MATCH(Z$1,변수H,0),0),"")</f>
        <v/>
      </c>
      <c r="AA13" s="45">
        <f>IFERROR(VLOOKUP($D13,환율,MATCH(AA$1,변수H,0),0),"")</f>
        <v/>
      </c>
      <c r="AB13" s="45">
        <f>IFERROR(VLOOKUP($D13,환율,MATCH(AB$1,변수H,0),0),"")</f>
        <v/>
      </c>
      <c r="AC13" s="45">
        <f>IFERROR(VLOOKUP($D13,환율,MATCH(AC$1,변수H,0),0),"")</f>
        <v/>
      </c>
      <c r="AD13" s="45">
        <f>IFERROR(VLOOKUP($D13,환율,MATCH(AD$1,변수H,0),0),"")</f>
        <v/>
      </c>
      <c r="AE13" s="45">
        <f>IFERROR(VLOOKUP($D13,환율,MATCH(AE$1,변수H,0),0),"")</f>
        <v/>
      </c>
      <c r="AF13" s="45">
        <f>IFERROR(VLOOKUP($D13,환율,MATCH(AF$1,변수H,0),0),"")</f>
        <v/>
      </c>
      <c r="AG13" s="45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1">
        <f>IFERROR(X13/W13-1,"")</f>
        <v/>
      </c>
      <c r="Y14" s="31">
        <f>IFERROR(Y13/X13-1,"")</f>
        <v/>
      </c>
      <c r="Z14" s="31">
        <f>IFERROR(Z13/Y13-1,"")</f>
        <v/>
      </c>
      <c r="AA14" s="31">
        <f>IFERROR(AA13/Z13-1,"")</f>
        <v/>
      </c>
      <c r="AB14" s="31">
        <f>IFERROR(AB13/AA13-1,"")</f>
        <v/>
      </c>
      <c r="AC14" s="31">
        <f>IFERROR(AC13/AB13-1,"")</f>
        <v/>
      </c>
      <c r="AD14" s="31">
        <f>IFERROR(AD13/AC13-1,"")</f>
        <v/>
      </c>
      <c r="AE14" s="31">
        <f>IFERROR(AE13/AD13-1,"")</f>
        <v/>
      </c>
      <c r="AF14" s="31">
        <f>IFERROR(AF13/AE13-1,"")</f>
        <v/>
      </c>
      <c r="AG14" s="31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변수!D57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2026-09-30T00:00:00Z</dcterms:created>
  <dcterms:modified xmlns:dcterms="http://purl.org/dc/terms/" xmlns:xsi="http://www.w3.org/2001/XMLSchema-instance" xsi:type="dcterms:W3CDTF">2026-09-30T00:00:00Z</dcterms:modified>
</cp:coreProperties>
</file>