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66791억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68546억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72093억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76075억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80863억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85863억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91120억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95315억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98315억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66791억 × 연결/자회사 비율 1.410(2025Q4·2026Q1·2026Q2 실측 중위; 삼호·기타 자회사·내부거래 포함)
[yoy]</t>
      </text>
    </comment>
    <comment ref="AF5" authorId="0" shapeId="0">
      <text>
        <t>추정: HD현대重 모델 매출 68546억 × 연결/자회사 비율 1.410(2025Q4·2026Q1·2026Q2 실측 중위; 삼호·기타 자회사·내부거래 포함)
[yoy]</t>
      </text>
    </comment>
    <comment ref="AG5" authorId="0" shapeId="0">
      <text>
        <t>추정: HD현대重 모델 매출 72093억 × 연결/자회사 비율 1.410(2025Q4·2026Q1·2026Q2 실측 중위; 삼호·기타 자회사·내부거래 포함)
[yoy]</t>
      </text>
    </comment>
    <comment ref="AH5" authorId="0" shapeId="0">
      <text>
        <t>추정: HD현대重 모델 매출 76075억 × 연결/자회사 비율 1.410(2025Q4·2026Q1·2026Q2 실측 중위; 삼호·기타 자회사·내부거래 포함)
[yoy]</t>
      </text>
    </comment>
    <comment ref="AI5" authorId="0" shapeId="0">
      <text>
        <t>추정: HD현대重 모델 매출 80863억 × 연결/자회사 비율 1.410(2025Q4·2026Q1·2026Q2 실측 중위; 삼호·기타 자회사·내부거래 포함)
[yoy]</t>
      </text>
    </comment>
    <comment ref="AK5" authorId="0" shapeId="0">
      <text>
        <t>추정: HD현대重 모델 매출 85863억 × 연결/자회사 비율 1.410(2025Q4·2026Q1·2026Q2 실측 중위; 삼호·기타 자회사·내부거래 포함)
[yoy]</t>
      </text>
    </comment>
    <comment ref="AL5" authorId="0" shapeId="0">
      <text>
        <t>추정: HD현대重 모델 매출 91120억 × 연결/자회사 비율 1.410(2025Q4·2026Q1·2026Q2 실측 중위; 삼호·기타 자회사·내부거래 포함)
[yoy]</t>
      </text>
    </comment>
    <comment ref="AM5" authorId="0" shapeId="0">
      <text>
        <t>추정: HD현대重 모델 매출 95315억 × 연결/자회사 비율 1.410(2025Q4·2026Q1·2026Q2 실측 중위; 삼호·기타 자회사·내부거래 포함)
[yoy]</t>
      </text>
    </comment>
    <comment ref="AN5" authorId="0" shapeId="0">
      <text>
        <t>추정: HD현대重 모델 매출 98315억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175083억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187479억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191881억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205721억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220497억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236252억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244341억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261937억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175083억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187479억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191881억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205721억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220497억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236252억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244341억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261937억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291500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290000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312600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0.226363624</v>
      </c>
      <c r="AD21" s="24" t="n">
        <v>0.15513122</v>
      </c>
      <c r="AE21" s="25" t="n"/>
      <c r="AF21" s="24" t="n">
        <v>0.187038432</v>
      </c>
      <c r="AG21" s="24" t="n">
        <v>0.138519781</v>
      </c>
      <c r="AH21" s="24" t="n">
        <v>0.153522679</v>
      </c>
      <c r="AI21" s="24" t="n">
        <v>0.210675755</v>
      </c>
      <c r="AJ21" s="25" t="n"/>
      <c r="AK21" s="24" t="n">
        <v>0.252645276</v>
      </c>
      <c r="AL21" s="24" t="n">
        <v>0.26393207</v>
      </c>
      <c r="AM21" s="24" t="n">
        <v>0.252908698</v>
      </c>
      <c r="AN21" s="24" t="n">
        <v>0.215828677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0.157199651</v>
      </c>
      <c r="AD23" s="24" t="n">
        <v>0.15749982</v>
      </c>
      <c r="AE23" s="25">
        <f>IFERROR(subQ!AE9/subQ!AE5,"")</f>
        <v/>
      </c>
      <c r="AF23" s="24" t="n">
        <v>0.157499796</v>
      </c>
      <c r="AG23" s="24" t="n">
        <v>0.15752814</v>
      </c>
      <c r="AH23" s="24" t="n">
        <v>0.157610232</v>
      </c>
      <c r="AI23" s="24" t="n">
        <v>0.157670282</v>
      </c>
      <c r="AJ23" s="25">
        <f>IFERROR(subQ!AJ9/subQ!AJ5,"")</f>
        <v/>
      </c>
      <c r="AK23" s="24" t="n">
        <v>0.15773029</v>
      </c>
      <c r="AL23" s="24" t="n">
        <v>0.157790319</v>
      </c>
      <c r="AM23" s="24" t="n">
        <v>0.157942009</v>
      </c>
      <c r="AN23" s="24" t="n">
        <v>0.158163085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0.002045864</v>
      </c>
      <c r="AD32" s="30" t="n">
        <v>-0.003682209</v>
      </c>
      <c r="AE32" s="31" t="n"/>
      <c r="AF32" s="30" t="n">
        <v>0.007503897</v>
      </c>
      <c r="AG32" s="30" t="n">
        <v>8697.897663690001</v>
      </c>
      <c r="AH32" s="30" t="n">
        <v>-0.007159025</v>
      </c>
      <c r="AI32" s="30" t="n">
        <v>-0.003574436</v>
      </c>
      <c r="AJ32" s="31" t="n"/>
      <c r="AK32" s="30" t="n">
        <v>-0.007352606</v>
      </c>
      <c r="AL32" s="30" t="n">
        <v>8697.905035341</v>
      </c>
      <c r="AM32" s="30" t="n">
        <v>-0.0031769</v>
      </c>
      <c r="AN32" s="30" t="n">
        <v>-0.005028694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0.003657883</v>
      </c>
      <c r="AD33" s="30" t="n">
        <v>-8.830000000000001e-05</v>
      </c>
      <c r="AE33" s="31" t="n"/>
      <c r="AF33" s="30" t="n">
        <v>-0.005521165</v>
      </c>
      <c r="AG33" s="30" t="n">
        <v>8697.903175617999</v>
      </c>
      <c r="AH33" s="30" t="n">
        <v>-0.009691629</v>
      </c>
      <c r="AI33" s="30" t="n">
        <v>-0.005581683</v>
      </c>
      <c r="AJ33" s="31" t="n"/>
      <c r="AK33" s="30" t="n">
        <v>-0.000260482</v>
      </c>
      <c r="AL33" s="30" t="n">
        <v>8697.902376376</v>
      </c>
      <c r="AM33" s="30" t="n">
        <v>-0.005163005</v>
      </c>
      <c r="AN33" s="30" t="n">
        <v>-0.005611329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0.091229885</v>
      </c>
      <c r="AE35" s="25" t="n"/>
      <c r="AF35" s="24" t="n">
        <v>0.08624531000000001</v>
      </c>
      <c r="AG35" s="24" t="n">
        <v>0.028192563</v>
      </c>
      <c r="AH35" s="24" t="n">
        <v>0.08621218</v>
      </c>
      <c r="AI35" s="24" t="n">
        <v>0.08473632</v>
      </c>
      <c r="AJ35" s="25" t="n"/>
      <c r="AK35" s="24" t="n">
        <v>0.083296066</v>
      </c>
      <c r="AL35" s="24" t="n">
        <v>0.039476702</v>
      </c>
      <c r="AM35" s="24" t="n">
        <v>0.082614035</v>
      </c>
      <c r="AN35" s="24" t="n">
        <v>0.079167798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0.073691932</v>
      </c>
      <c r="AE36" s="25" t="n"/>
      <c r="AF36" s="24" t="n">
        <v>0.070803581</v>
      </c>
      <c r="AG36" s="24" t="n">
        <v>0.023478611</v>
      </c>
      <c r="AH36" s="24" t="n">
        <v>0.072127763</v>
      </c>
      <c r="AI36" s="24" t="n">
        <v>0.07182427399999999</v>
      </c>
      <c r="AJ36" s="25" t="n"/>
      <c r="AK36" s="24" t="n">
        <v>0.071453985</v>
      </c>
      <c r="AL36" s="24" t="n">
        <v>0.034238702</v>
      </c>
      <c r="AM36" s="24" t="n">
        <v>0.07201512</v>
      </c>
      <c r="AN36" s="24" t="n">
        <v>0.069693321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291500</v>
      </c>
      <c r="E44" s="2" t="inlineStr">
        <is>
          <t>원 — 네이버 정규장 종가(aik 확정종가 대조 · aik 301,500원)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0.1989269481862587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0.04842986317141213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0.7600275542688268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0.02816777281250812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0.1311616137776667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1345.74</v>
      </c>
      <c r="AI18" s="13" t="n">
        <v>1343.46</v>
      </c>
      <c r="AJ18" s="13" t="n">
        <v>1343.46</v>
      </c>
      <c r="AK18" s="13" t="n">
        <v>1343.46</v>
      </c>
      <c r="AL18" s="13" t="n">
        <v>1343.46</v>
      </c>
      <c r="AM18" s="13" t="n">
        <v>1343.46</v>
      </c>
      <c r="AN18" s="13" t="n">
        <v>1343.46</v>
      </c>
      <c r="AO18" s="13" t="n">
        <v>1343.46</v>
      </c>
      <c r="AP18" s="13" t="n">
        <v>1343.46</v>
      </c>
      <c r="AQ18" s="13" t="n">
        <v>1343.46</v>
      </c>
      <c r="AR18" s="13" t="n">
        <v>1343.46</v>
      </c>
      <c r="AS18" s="13" t="n">
        <v>1343.46</v>
      </c>
      <c r="AT18" s="13" t="n">
        <v>1343.46</v>
      </c>
      <c r="AU18" s="13" t="n">
        <v>1343.46</v>
      </c>
      <c r="AV18" s="13" t="n">
        <v>1343.46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1420.42</v>
      </c>
      <c r="AI19" s="13" t="n">
        <v>1419.73</v>
      </c>
      <c r="AJ19" s="13" t="n">
        <v>1419.73</v>
      </c>
      <c r="AK19" s="13" t="n">
        <v>1421.21</v>
      </c>
      <c r="AL19" s="13" t="n">
        <v>1424.34</v>
      </c>
      <c r="AM19" s="13" t="n">
        <v>1424.34</v>
      </c>
      <c r="AN19" s="13" t="n">
        <v>1424.3</v>
      </c>
      <c r="AO19" s="13" t="n">
        <v>1423.97</v>
      </c>
      <c r="AP19" s="13" t="n">
        <v>1424.51</v>
      </c>
      <c r="AQ19" s="13" t="n">
        <v>1431.84</v>
      </c>
      <c r="AR19" s="13" t="n">
        <v>1438.19</v>
      </c>
      <c r="AS19" s="13" t="n">
        <v>1440.97</v>
      </c>
      <c r="AT19" s="13" t="n">
        <v>1437.59</v>
      </c>
      <c r="AU19" s="13" t="n">
        <v>1396.16</v>
      </c>
      <c r="AV19" s="13" t="n">
        <v>1396.16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790822.6</v>
      </c>
      <c r="AI20" s="18" t="n">
        <v>773258.2</v>
      </c>
      <c r="AJ20" s="18" t="n">
        <v>781850</v>
      </c>
      <c r="AK20" s="18" t="n">
        <v>785584.6</v>
      </c>
      <c r="AL20" s="18" t="n">
        <v>775546.6</v>
      </c>
      <c r="AM20" s="18" t="n">
        <v>767116.7</v>
      </c>
      <c r="AN20" s="18" t="n">
        <v>761193.2</v>
      </c>
      <c r="AO20" s="18" t="n">
        <v>721068</v>
      </c>
      <c r="AP20" s="18" t="n">
        <v>664446.9</v>
      </c>
      <c r="AQ20" s="18" t="n">
        <v>501016.4</v>
      </c>
      <c r="AR20" s="18" t="n">
        <v>351275.8</v>
      </c>
      <c r="AS20" s="18" t="n">
        <v>224539.9</v>
      </c>
      <c r="AT20" s="18" t="n">
        <v>124622.3</v>
      </c>
      <c r="AU20" s="18" t="n">
        <v>33981.9</v>
      </c>
      <c r="AV20" s="18" t="n">
        <v>23032.2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2704408</v>
      </c>
      <c r="BE20" s="18" t="n">
        <v>3116239.4</v>
      </c>
      <c r="BF20" s="18" t="n">
        <v>2913824.8</v>
      </c>
      <c r="BG20" s="18" t="n">
        <v>1201454.4</v>
      </c>
      <c r="BH20" s="18" t="n">
        <v>57014.1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775919</v>
      </c>
      <c r="AI21" s="18" t="n">
        <v>758686.9</v>
      </c>
      <c r="AJ21" s="18" t="n">
        <v>767116.7</v>
      </c>
      <c r="AK21" s="18" t="n">
        <v>775546.6</v>
      </c>
      <c r="AL21" s="18" t="n">
        <v>775546.6</v>
      </c>
      <c r="AM21" s="18" t="n">
        <v>767116.7</v>
      </c>
      <c r="AN21" s="18" t="n">
        <v>761193.2</v>
      </c>
      <c r="AO21" s="18" t="n">
        <v>721068</v>
      </c>
      <c r="AP21" s="18" t="n">
        <v>664446.9</v>
      </c>
      <c r="AQ21" s="18" t="n">
        <v>501016.4</v>
      </c>
      <c r="AR21" s="18" t="n">
        <v>351275.8</v>
      </c>
      <c r="AS21" s="18" t="n">
        <v>224539.9</v>
      </c>
      <c r="AT21" s="18" t="n">
        <v>124622.3</v>
      </c>
      <c r="AU21" s="18" t="n">
        <v>33981.9</v>
      </c>
      <c r="AV21" s="18" t="n">
        <v>23032.2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2644010.5</v>
      </c>
      <c r="BE21" s="18" t="n">
        <v>3076896.8</v>
      </c>
      <c r="BF21" s="18" t="n">
        <v>2913824.8</v>
      </c>
      <c r="BG21" s="18" t="n">
        <v>1201454.4</v>
      </c>
      <c r="BH21" s="18" t="n">
        <v>57014.1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741164.9</v>
      </c>
      <c r="AI22" s="18" t="n">
        <v>724705</v>
      </c>
      <c r="AJ22" s="18" t="n">
        <v>732757.3</v>
      </c>
      <c r="AK22" s="18" t="n">
        <v>740809.5</v>
      </c>
      <c r="AL22" s="18" t="n">
        <v>740809.5</v>
      </c>
      <c r="AM22" s="18" t="n">
        <v>732757.3</v>
      </c>
      <c r="AN22" s="18" t="n">
        <v>726833.7</v>
      </c>
      <c r="AO22" s="18" t="n">
        <v>686330.9</v>
      </c>
      <c r="AP22" s="18" t="n">
        <v>629709.8</v>
      </c>
      <c r="AQ22" s="18" t="n">
        <v>467034.5</v>
      </c>
      <c r="AR22" s="18" t="n">
        <v>316916.4</v>
      </c>
      <c r="AS22" s="18" t="n">
        <v>189802.9</v>
      </c>
      <c r="AT22" s="18" t="n">
        <v>89885.3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34754.1</v>
      </c>
      <c r="AI23" s="18" t="n">
        <v>33981.9</v>
      </c>
      <c r="AJ23" s="18" t="n">
        <v>34359.5</v>
      </c>
      <c r="AK23" s="18" t="n">
        <v>34737.1</v>
      </c>
      <c r="AL23" s="18" t="n">
        <v>34737.1</v>
      </c>
      <c r="AM23" s="18" t="n">
        <v>34359.5</v>
      </c>
      <c r="AN23" s="18" t="n">
        <v>34359.5</v>
      </c>
      <c r="AO23" s="18" t="n">
        <v>34737.1</v>
      </c>
      <c r="AP23" s="18" t="n">
        <v>34737.1</v>
      </c>
      <c r="AQ23" s="18" t="n">
        <v>33981.9</v>
      </c>
      <c r="AR23" s="18" t="n">
        <v>34359.5</v>
      </c>
      <c r="AS23" s="18" t="n">
        <v>34737.1</v>
      </c>
      <c r="AT23" s="18" t="n">
        <v>34737.1</v>
      </c>
      <c r="AU23" s="18" t="n">
        <v>33981.9</v>
      </c>
      <c r="AV23" s="18" t="n">
        <v>23032.2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원/달러(평균)",환율,MATCH(AH$1,변수H,0),0),1345.74)</f>
        <v/>
      </c>
      <c r="AI29" s="13">
        <f>IFERROR(VLOOKUP(" 원/달러(평균)",환율,MATCH(AI$1,변수H,0),0),1343.46)</f>
        <v/>
      </c>
      <c r="AJ29" s="13">
        <f>IFERROR(VLOOKUP(" 원/달러(평균)",환율,MATCH(AJ$1,변수H,0),0),1343.46)</f>
        <v/>
      </c>
      <c r="AK29" s="13">
        <f>IFERROR(VLOOKUP(" 원/달러(평균)",환율,MATCH(AK$1,변수H,0),0),1343.46)</f>
        <v/>
      </c>
      <c r="AL29" s="13">
        <f>IFERROR(VLOOKUP(" 원/달러(평균)",환율,MATCH(AL$1,변수H,0),0),1343.46)</f>
        <v/>
      </c>
      <c r="AM29" s="13">
        <f>IFERROR(VLOOKUP(" 원/달러(평균)",환율,MATCH(AM$1,변수H,0),0),1343.46)</f>
        <v/>
      </c>
      <c r="AN29" s="13">
        <f>IFERROR(VLOOKUP(" 원/달러(평균)",환율,MATCH(AN$1,변수H,0),0),1343.46)</f>
        <v/>
      </c>
      <c r="AO29" s="13">
        <f>IFERROR(VLOOKUP(" 원/달러(평균)",환율,MATCH(AO$1,변수H,0),0),1343.46)</f>
        <v/>
      </c>
      <c r="AP29" s="13">
        <f>IFERROR(VLOOKUP(" 원/달러(평균)",환율,MATCH(AP$1,변수H,0),0),1343.46)</f>
        <v/>
      </c>
      <c r="AQ29" s="13">
        <f>IFERROR(VLOOKUP(" 원/달러(평균)",환율,MATCH(AQ$1,변수H,0),0),1343.46)</f>
        <v/>
      </c>
      <c r="AR29" s="13">
        <f>IFERROR(VLOOKUP(" 원/달러(평균)",환율,MATCH(AR$1,변수H,0),0),1343.46)</f>
        <v/>
      </c>
      <c r="AS29" s="13">
        <f>IFERROR(VLOOKUP(" 원/달러(평균)",환율,MATCH(AS$1,변수H,0),0),1343.46)</f>
        <v/>
      </c>
      <c r="AT29" s="13">
        <f>IFERROR(VLOOKUP(" 원/달러(평균)",환율,MATCH(AT$1,변수H,0),0),1343.46)</f>
        <v/>
      </c>
      <c r="AU29" s="13">
        <f>IFERROR(VLOOKUP(" 원/달러(평균)",환율,MATCH(AU$1,변수H,0),0),1343.46)</f>
        <v/>
      </c>
      <c r="AV29" s="13">
        <f>IFERROR(VLOOKUP(" 원/달러(평균)",환율,MATCH(AV$1,변수H,0),0),1343.46)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4164.54</v>
      </c>
      <c r="I6" s="34" t="n">
        <v>9391.610000000001</v>
      </c>
      <c r="J6" s="34" t="n">
        <v>16168.84</v>
      </c>
      <c r="K6" s="34" t="n">
        <v>23977.29</v>
      </c>
      <c r="L6" s="20">
        <f>SUM(H6:K6)</f>
        <v/>
      </c>
      <c r="M6" s="34" t="n">
        <v>32298.09</v>
      </c>
      <c r="N6" s="34" t="n">
        <v>40612.33</v>
      </c>
      <c r="O6" s="34" t="n">
        <v>48401.1</v>
      </c>
      <c r="P6" s="34" t="n">
        <v>55145.52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2695.64</v>
      </c>
      <c r="I18" s="34" t="n">
        <v>6306.65</v>
      </c>
      <c r="J18" s="34" t="n">
        <v>11074.16</v>
      </c>
      <c r="K18" s="34" t="n">
        <v>16624.54</v>
      </c>
      <c r="L18" s="20">
        <f>SUM(H18:K18)</f>
        <v/>
      </c>
      <c r="M18" s="34" t="n">
        <v>22584.18</v>
      </c>
      <c r="N18" s="34" t="n">
        <v>28579.5</v>
      </c>
      <c r="O18" s="34" t="n">
        <v>34236.87</v>
      </c>
      <c r="P18" s="34" t="n">
        <v>39182.67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7000.62</v>
      </c>
      <c r="I24" s="34" t="n">
        <v>15350.03</v>
      </c>
      <c r="J24" s="34" t="n">
        <v>26011.72</v>
      </c>
      <c r="K24" s="34" t="n">
        <v>38186.66</v>
      </c>
      <c r="L24" s="20">
        <f>SUM(H24:K24)</f>
        <v/>
      </c>
      <c r="M24" s="34" t="n">
        <v>51075.78</v>
      </c>
      <c r="N24" s="34" t="n">
        <v>63880.01</v>
      </c>
      <c r="O24" s="34" t="n">
        <v>75800.27</v>
      </c>
      <c r="P24" s="34" t="n">
        <v>86037.53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52977.1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5.5</v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0.2526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