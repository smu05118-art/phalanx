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BS별도!$C$5:$AO$95</definedName>
    <definedName name="SUBQH">subQ!$A$1:$AO$1</definedName>
    <definedName name="subQ">subQ!$A$5:$AO$40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66113억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65637억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64655억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64668억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63916억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63012억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62370억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61037억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59250억 × 연결/자회사 비율 1.410(2025Q4·2026Q1·2026Q2 실측 중위; 삼호·기타 자회사·내부거래 포함)</t>
      </text>
    </comment>
    <comment ref="AC22" authorId="0" shapeId="0">
      <text>
        <t>모델값 역산(implied): v / 매출액
매출액 × 판관비율 4.84%(최근 4분기 중위)</t>
      </text>
    </comment>
    <comment ref="AD22" authorId="0" shapeId="0">
      <text>
        <t>모델값 역산(implied): v / 매출액
매출액 × 판관비율 4.84%(최근 4분기 중위)</t>
      </text>
    </comment>
    <comment ref="AF22" authorId="0" shapeId="0">
      <text>
        <t>모델값 역산(implied): v / 매출액
매출액 × 판관비율 4.84%(최근 4분기 중위)</t>
      </text>
    </comment>
    <comment ref="AG22" authorId="0" shapeId="0">
      <text>
        <t>모델값 역산(implied): v / 매출액
매출액 × 판관비율 4.84%(최근 4분기 중위)</t>
      </text>
    </comment>
    <comment ref="AH22" authorId="0" shapeId="0">
      <text>
        <t>모델값 역산(implied): v / 매출액
매출액 × 판관비율 4.84%(최근 4분기 중위)</t>
      </text>
    </comment>
    <comment ref="AI22" authorId="0" shapeId="0">
      <text>
        <t>모델값 역산(implied): v / 매출액
매출액 × 판관비율 4.84%(최근 4분기 중위)</t>
      </text>
    </comment>
    <comment ref="AK22" authorId="0" shapeId="0">
      <text>
        <t>모델값 역산(implied): v / 매출액
매출액 × 판관비율 4.84%(최근 4분기 중위)</t>
      </text>
    </comment>
    <comment ref="AL22" authorId="0" shapeId="0">
      <text>
        <t>모델값 역산(implied): v / 매출액
매출액 × 판관비율 4.84%(최근 4분기 중위)</t>
      </text>
    </comment>
    <comment ref="AM22" authorId="0" shapeId="0">
      <text>
        <t>모델값 역산(implied): v / 매출액
매출액 × 판관비율 4.84%(최근 4분기 중위)</t>
      </text>
    </comment>
    <comment ref="AN22" authorId="0" shapeId="0">
      <text>
        <t>모델값 역산(implied): v / 매출액
매출액 × 판관비율 4.84%(최근 4분기 중위)</t>
      </text>
    </comment>
    <comment ref="AC23" authorId="0" shapeId="0">
      <text>
        <t>모델값 역산(implied): v / 매출액
매출액 × OPM(자회사 OPM 12.7% + 실측 차이 +1.7%p)</t>
      </text>
    </comment>
    <comment ref="AD23" authorId="0" shapeId="0">
      <text>
        <t>모델값 역산(implied): v / 매출액
매출액 × OPM(자회사 OPM 12.7% + 실측 차이 +1.7%p)</t>
      </text>
    </comment>
    <comment ref="AF23" authorId="0" shapeId="0">
      <text>
        <t>모델값 역산(implied): v / 매출액
매출액 × OPM(자회사 OPM 12.7% + 실측 차이 +1.7%p)</t>
      </text>
    </comment>
    <comment ref="AG23" authorId="0" shapeId="0">
      <text>
        <t>모델값 역산(implied): v / 매출액
매출액 × OPM(자회사 OPM 12.4% + 실측 차이 +1.7%p)</t>
      </text>
    </comment>
    <comment ref="AH23" authorId="0" shapeId="0">
      <text>
        <t>모델값 역산(implied): v / 매출액
매출액 × OPM(자회사 OPM 12.4% + 실측 차이 +1.7%p)</t>
      </text>
    </comment>
    <comment ref="AI23" authorId="0" shapeId="0">
      <text>
        <t>모델값 역산(implied): v / 매출액
매출액 × OPM(자회사 OPM 12.4% + 실측 차이 +1.7%p)</t>
      </text>
    </comment>
    <comment ref="AK23" authorId="0" shapeId="0">
      <text>
        <t>모델값 역산(implied): v / 매출액
매출액 × OPM(자회사 OPM 12.4% + 실측 차이 +1.7%p)</t>
      </text>
    </comment>
    <comment ref="AL23" authorId="0" shapeId="0">
      <text>
        <t>모델값 역산(implied): v / 매출액
매출액 × OPM(자회사 OPM 12.6% + 실측 차이 +1.7%p)</t>
      </text>
    </comment>
    <comment ref="AM23" authorId="0" shapeId="0">
      <text>
        <t>모델값 역산(implied): v / 매출액
매출액 × OPM(자회사 OPM 13.0% + 실측 차이 +1.7%p)</t>
      </text>
    </comment>
    <comment ref="AN23" authorId="0" shapeId="0">
      <text>
        <t>모델값 역산(implied): v / 매출액
매출액 × OPM(자회사 OPM 13.1% + 실측 차이 +1.7%p)</t>
      </text>
    </comment>
    <comment ref="AC24" authorId="0" shapeId="0">
      <text>
        <t>모델값 역산(implied): v / 전년동기 − 1
자회사 OPM 12.7% + 실측 차이 +1.7%p</t>
      </text>
    </comment>
    <comment ref="AD24" authorId="0" shapeId="0">
      <text>
        <t>모델값 역산(implied): v / 전년동기 − 1
자회사 OPM 12.7% + 실측 차이 +1.7%p</t>
      </text>
    </comment>
    <comment ref="AF24" authorId="0" shapeId="0">
      <text>
        <t>모델값 역산(implied): v / 전년동기 − 1
자회사 OPM 12.7% + 실측 차이 +1.7%p</t>
      </text>
    </comment>
    <comment ref="AG24" authorId="0" shapeId="0">
      <text>
        <t>모델값 역산(implied): v / 전년동기 − 1
자회사 OPM 12.4% + 실측 차이 +1.7%p</t>
      </text>
    </comment>
    <comment ref="AH24" authorId="0" shapeId="0">
      <text>
        <t>모델값 역산(implied): v / 전년동기 − 1
자회사 OPM 12.4% + 실측 차이 +1.7%p</t>
      </text>
    </comment>
    <comment ref="AI24" authorId="0" shapeId="0">
      <text>
        <t>모델값 역산(implied): v / 전년동기 − 1
자회사 OPM 12.4% + 실측 차이 +1.7%p</t>
      </text>
    </comment>
    <comment ref="AK24" authorId="0" shapeId="0">
      <text>
        <t>모델값 역산(implied): v / 전년동기 − 1
자회사 OPM 12.4% + 실측 차이 +1.7%p</t>
      </text>
    </comment>
    <comment ref="AL24" authorId="0" shapeId="0">
      <text>
        <t>모델값 역산(implied): v / 전년동기 − 1
자회사 OPM 12.6% + 실측 차이 +1.7%p</t>
      </text>
    </comment>
    <comment ref="AM24" authorId="0" shapeId="0">
      <text>
        <t>모델값 역산(implied): v / 전년동기 − 1
자회사 OPM 13.0% + 실측 차이 +1.7%p</t>
      </text>
    </comment>
    <comment ref="AN24" authorId="0" shapeId="0">
      <text>
        <t>모델값 역산(implied): v / 전년동기 − 1
자회사 OPM 13.1% + 실측 차이 +1.7%p</t>
      </text>
    </comment>
    <comment ref="AC25" authorId="0" shapeId="0">
      <text>
        <t>모델값 역산(implied): 모델 v 그대로
이자손익 = 이자발생자산 151288억 × 2.60% − 총차입금 29860억 × 4.06% (연율, CF 실측) ÷ 4; 환·평가손익 0 가정</t>
      </text>
    </comment>
    <comment ref="AD25" authorId="0" shapeId="0">
      <text>
        <t>모델값 역산(implied): 모델 v 그대로
이자손익 = 이자발생자산 162554억 × 2.60% − 총차입금 29860억 × 4.06% (연율, CF 실측) ÷ 4; 환·평가손익 0 가정</t>
      </text>
    </comment>
    <comment ref="AF25" authorId="0" shapeId="0">
      <text>
        <t>모델값 역산(implied): 모델 v 그대로
이자손익 = 이자발생자산 173853억 × 2.60% − 총차입금 29860억 × 4.06% (연율, CF 실측) ÷ 4; 환·평가손익 0 가정</t>
      </text>
    </comment>
    <comment ref="AG25" authorId="0" shapeId="0">
      <text>
        <t>모델값 역산(implied): 모델 v 그대로
이자손익 = 이자발생자산 185133억 × 2.60% − 총차입금 29860억 × 4.06% (연율, CF 실측) ÷ 4; 환·평가손익 0 가정</t>
      </text>
    </comment>
    <comment ref="AH25" authorId="0" shapeId="0">
      <text>
        <t>모델값 역산(implied): 모델 v 그대로
이자손익 = 이자발생자산 187433억 × 2.60% − 총차입금 29860억 × 4.06% (연율, CF 실측) ÷ 4; 환·평가손익 0 가정</t>
      </text>
    </comment>
    <comment ref="AI25" authorId="0" shapeId="0">
      <text>
        <t>모델값 역산(implied): 모델 v 그대로
이자손익 = 이자발생자산 198430억 × 2.60% − 총차입금 29860억 × 4.06% (연율, CF 실측) ÷ 4; 환·평가손익 0 가정</t>
      </text>
    </comment>
    <comment ref="AK25" authorId="0" shapeId="0">
      <text>
        <t>모델값 역산(implied): 모델 v 그대로
이자손익 = 이자발생자산 209358억 × 2.60% − 총차입금 29860억 × 4.06% (연율, CF 실측) ÷ 4; 환·평가손익 0 가정</t>
      </text>
    </comment>
    <comment ref="AL25" authorId="0" shapeId="0">
      <text>
        <t>모델값 역산(implied): 모델 v 그대로
이자손익 = 이자발생자산 220200억 × 2.60% − 총차입금 29860억 × 4.06% (연율, CF 실측) ÷ 4; 환·평가손익 0 가정</t>
      </text>
    </comment>
    <comment ref="AM25" authorId="0" shapeId="0">
      <text>
        <t>모델값 역산(implied): 모델 v 그대로
이자손익 = 이자발생자산 222453억 × 2.60% − 총차입금 29860억 × 4.06% (연율, CF 실측) ÷ 4; 환·평가손익 0 가정</t>
      </text>
    </comment>
    <comment ref="AN25" authorId="0" shapeId="0">
      <text>
        <t>모델값 역산(implied): 모델 v 그대로
이자손익 = 이자발생자산 233456억 × 2.60% − 총차입금 29860억 × 4.06%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19.9%(최근 12분기 유효세율 19.9% → 5~27% 클립)</t>
      </text>
    </comment>
    <comment ref="AD28" authorId="0" shapeId="0">
      <text>
        <t>모델값 역산(implied): v / 세전이익
max(세전, 0) × 세율 19.9%(최근 12분기 유효세율 19.9% → 5~27% 클립)</t>
      </text>
    </comment>
    <comment ref="AF28" authorId="0" shapeId="0">
      <text>
        <t>모델값 역산(implied): v / 세전이익
max(세전, 0) × 세율 19.9%(최근 12분기 유효세율 19.9% → 5~27% 클립)</t>
      </text>
    </comment>
    <comment ref="AG28" authorId="0" shapeId="0">
      <text>
        <t>모델값 역산(implied): v / 세전이익
max(세전, 0) × 세율 19.9%(최근 12분기 유효세율 19.9% → 5~27% 클립)</t>
      </text>
    </comment>
    <comment ref="AH28" authorId="0" shapeId="0">
      <text>
        <t>모델값 역산(implied): v / 세전이익
max(세전, 0) × 세율 19.9%(최근 12분기 유효세율 19.9% → 5~27% 클립)</t>
      </text>
    </comment>
    <comment ref="AI28" authorId="0" shapeId="0">
      <text>
        <t>모델값 역산(implied): v / 세전이익
max(세전, 0) × 세율 19.9%(최근 12분기 유효세율 19.9% → 5~27% 클립)</t>
      </text>
    </comment>
    <comment ref="AK28" authorId="0" shapeId="0">
      <text>
        <t>모델값 역산(implied): v / 세전이익
max(세전, 0) × 세율 19.9%(최근 12분기 유효세율 19.9% → 5~27% 클립)</t>
      </text>
    </comment>
    <comment ref="AL28" authorId="0" shapeId="0">
      <text>
        <t>모델값 역산(implied): v / 세전이익
max(세전, 0) × 세율 19.9%(최근 12분기 유효세율 19.9% → 5~27% 클립)</t>
      </text>
    </comment>
    <comment ref="AM28" authorId="0" shapeId="0">
      <text>
        <t>모델값 역산(implied): v / 세전이익
max(세전, 0) × 세율 19.9%(최근 12분기 유효세율 19.9% → 5~27% 클립)</t>
      </text>
    </comment>
    <comment ref="AN28" authorId="0" shapeId="0">
      <text>
        <t>모델값 역산(implied): v / 세전이익
max(세전, 0) × 세율 19.9%(최근 12분기 유효세율 19.9% → 5~27% 클립)</t>
      </text>
    </comment>
    <comment ref="AC29" authorId="0" shapeId="0">
      <text>
        <t>모델값 역산(implied): v / 당기순이익
당기순이익 × (1 − 비지배 비중 24.0%, 최근 8분기 실측)</t>
      </text>
    </comment>
    <comment ref="AD29" authorId="0" shapeId="0">
      <text>
        <t>모델값 역산(implied): v / 당기순이익
당기순이익 × (1 − 비지배 비중 24.0%, 최근 8분기 실측)</t>
      </text>
    </comment>
    <comment ref="AF29" authorId="0" shapeId="0">
      <text>
        <t>모델값 역산(implied): v / 당기순이익
당기순이익 × (1 − 비지배 비중 24.0%, 최근 8분기 실측)</t>
      </text>
    </comment>
    <comment ref="AG29" authorId="0" shapeId="0">
      <text>
        <t>모델값 역산(implied): v / 당기순이익
당기순이익 × (1 − 비지배 비중 24.0%, 최근 8분기 실측)</t>
      </text>
    </comment>
    <comment ref="AH29" authorId="0" shapeId="0">
      <text>
        <t>모델값 역산(implied): v / 당기순이익
당기순이익 × (1 − 비지배 비중 24.0%, 최근 8분기 실측)</t>
      </text>
    </comment>
    <comment ref="AI29" authorId="0" shapeId="0">
      <text>
        <t>모델값 역산(implied): v / 당기순이익
당기순이익 × (1 − 비지배 비중 24.0%, 최근 8분기 실측)</t>
      </text>
    </comment>
    <comment ref="AK29" authorId="0" shapeId="0">
      <text>
        <t>모델값 역산(implied): v / 당기순이익
당기순이익 × (1 − 비지배 비중 24.0%, 최근 8분기 실측)</t>
      </text>
    </comment>
    <comment ref="AL29" authorId="0" shapeId="0">
      <text>
        <t>모델값 역산(implied): v / 당기순이익
당기순이익 × (1 − 비지배 비중 24.0%, 최근 8분기 실측)</t>
      </text>
    </comment>
    <comment ref="AM29" authorId="0" shapeId="0">
      <text>
        <t>모델값 역산(implied): v / 당기순이익
당기순이익 × (1 − 비지배 비중 24.0%, 최근 8분기 실측)</t>
      </text>
    </comment>
    <comment ref="AN29" authorId="0" shapeId="0">
      <text>
        <t>모델값 역산(implied): v / 당기순이익
당기순이익 × (1 − 비지배 비중 24.0%,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12,300원 유지</t>
      </text>
    </comment>
    <comment ref="AI40" authorId="0" shapeId="0">
      <text>
        <t>모델값 역산(implied): v / 전년동기 − 1
직전 결산 DPS 12,300원 유지</t>
      </text>
    </comment>
    <comment ref="AN40" authorId="0" shapeId="0">
      <text>
        <t>모델값 역산(implied): v / 전년동기 − 1
직전 결산 DPS 12,300원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65954억 × 연결/자회사 비율 1.410(2025Q4·2026Q1·2026Q2 실측 중위; 삼호·기타 자회사·내부거래 포함)
[yoy]</t>
      </text>
    </comment>
    <comment ref="AD5" authorId="0" shapeId="0">
      <text>
        <t>추정: HD현대重 모델 매출 66113억 × 연결/자회사 비율 1.410(2025Q4·2026Q1·2026Q2 실측 중위; 삼호·기타 자회사·내부거래 포함)
[yoy]</t>
      </text>
    </comment>
    <comment ref="AF5" authorId="0" shapeId="0">
      <text>
        <t>추정: HD현대重 모델 매출 65637억 × 연결/자회사 비율 1.410(2025Q4·2026Q1·2026Q2 실측 중위; 삼호·기타 자회사·내부거래 포함)
[yoy]</t>
      </text>
    </comment>
    <comment ref="AG5" authorId="0" shapeId="0">
      <text>
        <t>추정: HD현대重 모델 매출 64655억 × 연결/자회사 비율 1.410(2025Q4·2026Q1·2026Q2 실측 중위; 삼호·기타 자회사·내부거래 포함)
[yoy]</t>
      </text>
    </comment>
    <comment ref="AH5" authorId="0" shapeId="0">
      <text>
        <t>추정: HD현대重 모델 매출 64668억 × 연결/자회사 비율 1.410(2025Q4·2026Q1·2026Q2 실측 중위; 삼호·기타 자회사·내부거래 포함)
[yoy]</t>
      </text>
    </comment>
    <comment ref="AI5" authorId="0" shapeId="0">
      <text>
        <t>추정: HD현대重 모델 매출 63916억 × 연결/자회사 비율 1.410(2025Q4·2026Q1·2026Q2 실측 중위; 삼호·기타 자회사·내부거래 포함)
[yoy]</t>
      </text>
    </comment>
    <comment ref="AK5" authorId="0" shapeId="0">
      <text>
        <t>추정: HD현대重 모델 매출 63012억 × 연결/자회사 비율 1.410(2025Q4·2026Q1·2026Q2 실측 중위; 삼호·기타 자회사·내부거래 포함)
[yoy]</t>
      </text>
    </comment>
    <comment ref="AL5" authorId="0" shapeId="0">
      <text>
        <t>추정: HD현대重 모델 매출 62370억 × 연결/자회사 비율 1.410(2025Q4·2026Q1·2026Q2 실측 중위; 삼호·기타 자회사·내부거래 포함)
[yoy]</t>
      </text>
    </comment>
    <comment ref="AM5" authorId="0" shapeId="0">
      <text>
        <t>추정: HD현대重 모델 매출 61037억 × 연결/자회사 비율 1.410(2025Q4·2026Q1·2026Q2 실측 중위; 삼호·기타 자회사·내부거래 포함)
[yoy]</t>
      </text>
    </comment>
    <comment ref="AN5" authorId="0" shapeId="0">
      <text>
        <t>추정: HD현대重 모델 매출 59250억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12.7% + 실측 차이 +1.7%p)
[ratio]</t>
      </text>
    </comment>
    <comment ref="AD9" authorId="0" shapeId="0">
      <text>
        <t>추정: 매출액 × OPM(자회사 OPM 12.7% + 실측 차이 +1.7%p)
[ratio]</t>
      </text>
    </comment>
    <comment ref="AF9" authorId="0" shapeId="0">
      <text>
        <t>추정: 매출액 × OPM(자회사 OPM 12.7% + 실측 차이 +1.7%p)
[ratio]</t>
      </text>
    </comment>
    <comment ref="AG9" authorId="0" shapeId="0">
      <text>
        <t>추정: 매출액 × OPM(자회사 OPM 12.4% + 실측 차이 +1.7%p)
[ratio]</t>
      </text>
    </comment>
    <comment ref="AH9" authorId="0" shapeId="0">
      <text>
        <t>추정: 매출액 × OPM(자회사 OPM 12.4% + 실측 차이 +1.7%p)
[ratio]</t>
      </text>
    </comment>
    <comment ref="AI9" authorId="0" shapeId="0">
      <text>
        <t>추정: 매출액 × OPM(자회사 OPM 12.4% + 실측 차이 +1.7%p)
[ratio]</t>
      </text>
    </comment>
    <comment ref="AK9" authorId="0" shapeId="0">
      <text>
        <t>추정: 매출액 × OPM(자회사 OPM 12.4% + 실측 차이 +1.7%p)
[ratio]</t>
      </text>
    </comment>
    <comment ref="AL9" authorId="0" shapeId="0">
      <text>
        <t>추정: 매출액 × OPM(자회사 OPM 12.6% + 실측 차이 +1.7%p)
[ratio]</t>
      </text>
    </comment>
    <comment ref="AM9" authorId="0" shapeId="0">
      <text>
        <t>추정: 매출액 × OPM(자회사 OPM 13.0% + 실측 차이 +1.7%p)
[ratio]</t>
      </text>
    </comment>
    <comment ref="AN9" authorId="0" shapeId="0">
      <text>
        <t>추정: 매출액 × OPM(자회사 OPM 13.1% + 실측 차이 +1.7%p)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자회사 OPM 12.7% + 실측 차이 +1.7%p
[yoy]</t>
      </text>
    </comment>
    <comment ref="AD10" authorId="0" shapeId="0">
      <text>
        <t>추정: 자회사 OPM 12.7% + 실측 차이 +1.7%p
[yoy]</t>
      </text>
    </comment>
    <comment ref="AF10" authorId="0" shapeId="0">
      <text>
        <t>추정: 자회사 OPM 12.7% + 실측 차이 +1.7%p
[yoy]</t>
      </text>
    </comment>
    <comment ref="AG10" authorId="0" shapeId="0">
      <text>
        <t>추정: 자회사 OPM 12.4% + 실측 차이 +1.7%p
[yoy]</t>
      </text>
    </comment>
    <comment ref="AH10" authorId="0" shapeId="0">
      <text>
        <t>추정: 자회사 OPM 12.4% + 실측 차이 +1.7%p
[yoy]</t>
      </text>
    </comment>
    <comment ref="AI10" authorId="0" shapeId="0">
      <text>
        <t>추정: 자회사 OPM 12.4% + 실측 차이 +1.7%p
[yoy]</t>
      </text>
    </comment>
    <comment ref="AK10" authorId="0" shapeId="0">
      <text>
        <t>추정: 자회사 OPM 12.4% + 실측 차이 +1.7%p
[yoy]</t>
      </text>
    </comment>
    <comment ref="AL10" authorId="0" shapeId="0">
      <text>
        <t>추정: 자회사 OPM 12.6% + 실측 차이 +1.7%p
[yoy]</t>
      </text>
    </comment>
    <comment ref="AM10" authorId="0" shapeId="0">
      <text>
        <t>추정: 자회사 OPM 13.0% + 실측 차이 +1.7%p
[yoy]</t>
      </text>
    </comment>
    <comment ref="AN10" authorId="0" shapeId="0">
      <text>
        <t>추정: 자회사 OPM 13.1% + 실측 차이 +1.7%p
[yoy]</t>
      </text>
    </comment>
    <comment ref="AC11" authorId="0" shapeId="0">
      <text>
        <t>추정: 이자손익 = 이자발생자산 151288억 × 2.60% − 총차입금 29860억 × 4.06% (연율, CF 실측) ÷ 4; 환·평가손익 0 가정
[abs]</t>
      </text>
    </comment>
    <comment ref="AD11" authorId="0" shapeId="0">
      <text>
        <t>추정: 이자손익 = 이자발생자산 162554억 × 2.60% − 총차입금 29860억 × 4.06% (연율, CF 실측) ÷ 4; 환·평가손익 0 가정
[abs]</t>
      </text>
    </comment>
    <comment ref="AF11" authorId="0" shapeId="0">
      <text>
        <t>추정: 이자손익 = 이자발생자산 173853억 × 2.60% − 총차입금 29860억 × 4.06% (연율, CF 실측) ÷ 4; 환·평가손익 0 가정
[abs]</t>
      </text>
    </comment>
    <comment ref="AG11" authorId="0" shapeId="0">
      <text>
        <t>추정: 이자손익 = 이자발생자산 185133억 × 2.60% − 총차입금 29860억 × 4.06% (연율, CF 실측) ÷ 4; 환·평가손익 0 가정
[abs]</t>
      </text>
    </comment>
    <comment ref="AH11" authorId="0" shapeId="0">
      <text>
        <t>추정: 이자손익 = 이자발생자산 187433억 × 2.60% − 총차입금 29860억 × 4.06% (연율, CF 실측) ÷ 4; 환·평가손익 0 가정
[abs]</t>
      </text>
    </comment>
    <comment ref="AI11" authorId="0" shapeId="0">
      <text>
        <t>추정: 이자손익 = 이자발생자산 198430억 × 2.60% − 총차입금 29860억 × 4.06% (연율, CF 실측) ÷ 4; 환·평가손익 0 가정
[abs]</t>
      </text>
    </comment>
    <comment ref="AK11" authorId="0" shapeId="0">
      <text>
        <t>추정: 이자손익 = 이자발생자산 209358억 × 2.60% − 총차입금 29860억 × 4.06% (연율, CF 실측) ÷ 4; 환·평가손익 0 가정
[abs]</t>
      </text>
    </comment>
    <comment ref="AL11" authorId="0" shapeId="0">
      <text>
        <t>추정: 이자손익 = 이자발생자산 220200억 × 2.60% − 총차입금 29860억 × 4.06% (연율, CF 실측) ÷ 4; 환·평가손익 0 가정
[abs]</t>
      </text>
    </comment>
    <comment ref="AM11" authorId="0" shapeId="0">
      <text>
        <t>추정: 이자손익 = 이자발생자산 222453억 × 2.60% − 총차입금 29860억 × 4.06% (연율, CF 실측) ÷ 4; 환·평가손익 0 가정
[abs]</t>
      </text>
    </comment>
    <comment ref="AN11" authorId="0" shapeId="0">
      <text>
        <t>추정: 이자손익 = 이자발생자산 233456억 × 2.60% − 총차입금 29860억 × 4.06%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19.9%(최근 12분기 유효세율 19.9% → 5~27% 클립)
[ratio]</t>
      </text>
    </comment>
    <comment ref="AD15" authorId="0" shapeId="0">
      <text>
        <t>추정: max(세전, 0) × 세율 19.9%(최근 12분기 유효세율 19.9% → 5~27% 클립)
[ratio]</t>
      </text>
    </comment>
    <comment ref="AF15" authorId="0" shapeId="0">
      <text>
        <t>추정: max(세전, 0) × 세율 19.9%(최근 12분기 유효세율 19.9% → 5~27% 클립)
[ratio]</t>
      </text>
    </comment>
    <comment ref="AG15" authorId="0" shapeId="0">
      <text>
        <t>추정: max(세전, 0) × 세율 19.9%(최근 12분기 유효세율 19.9% → 5~27% 클립)
[ratio]</t>
      </text>
    </comment>
    <comment ref="AH15" authorId="0" shapeId="0">
      <text>
        <t>추정: max(세전, 0) × 세율 19.9%(최근 12분기 유효세율 19.9% → 5~27% 클립)
[ratio]</t>
      </text>
    </comment>
    <comment ref="AI15" authorId="0" shapeId="0">
      <text>
        <t>추정: max(세전, 0) × 세율 19.9%(최근 12분기 유효세율 19.9% → 5~27% 클립)
[ratio]</t>
      </text>
    </comment>
    <comment ref="AK15" authorId="0" shapeId="0">
      <text>
        <t>추정: max(세전, 0) × 세율 19.9%(최근 12분기 유효세율 19.9% → 5~27% 클립)
[ratio]</t>
      </text>
    </comment>
    <comment ref="AL15" authorId="0" shapeId="0">
      <text>
        <t>추정: max(세전, 0) × 세율 19.9%(최근 12분기 유효세율 19.9% → 5~27% 클립)
[ratio]</t>
      </text>
    </comment>
    <comment ref="AM15" authorId="0" shapeId="0">
      <text>
        <t>추정: max(세전, 0) × 세율 19.9%(최근 12분기 유효세율 19.9% → 5~27% 클립)
[ratio]</t>
      </text>
    </comment>
    <comment ref="AN15" authorId="0" shapeId="0">
      <text>
        <t>추정: max(세전, 0) × 세율 19.9%(최근 12분기 유효세율 19.9%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V17" authorId="0" shapeId="0">
      <text>
        <t>실측(BS연결 시트에 (지배주주지분)당기순이익 2025.03 값 없음 — 모델값 직접) — fin.cons.is.(지배주주지분)당기순이익</t>
      </text>
    </comment>
    <comment ref="AA17" authorId="0" shapeId="0">
      <text>
        <t>실측(BS연결 시트에 (지배주주지분)당기순이익 2026.03 값 없음 — 모델값 직접) — fin.cons.is.(지배주주지분)당기순이익</t>
      </text>
    </comment>
    <comment ref="AC17" authorId="0" shapeId="0">
      <text>
        <t>추정: 당기순이익 × (1 − 비지배 비중 24.0%, 최근 8분기 실측)
[ratio]</t>
      </text>
    </comment>
    <comment ref="AD17" authorId="0" shapeId="0">
      <text>
        <t>추정: 당기순이익 × (1 − 비지배 비중 24.0%, 최근 8분기 실측)
[ratio]</t>
      </text>
    </comment>
    <comment ref="AF17" authorId="0" shapeId="0">
      <text>
        <t>추정: 당기순이익 × (1 − 비지배 비중 24.0%, 최근 8분기 실측)
[ratio]</t>
      </text>
    </comment>
    <comment ref="AG17" authorId="0" shapeId="0">
      <text>
        <t>추정: 당기순이익 × (1 − 비지배 비중 24.0%, 최근 8분기 실측)
[ratio]</t>
      </text>
    </comment>
    <comment ref="AH17" authorId="0" shapeId="0">
      <text>
        <t>추정: 당기순이익 × (1 − 비지배 비중 24.0%, 최근 8분기 실측)
[ratio]</t>
      </text>
    </comment>
    <comment ref="AI17" authorId="0" shapeId="0">
      <text>
        <t>추정: 당기순이익 × (1 − 비지배 비중 24.0%, 최근 8분기 실측)
[ratio]</t>
      </text>
    </comment>
    <comment ref="AK17" authorId="0" shapeId="0">
      <text>
        <t>추정: 당기순이익 × (1 − 비지배 비중 24.0%, 최근 8분기 실측)
[ratio]</t>
      </text>
    </comment>
    <comment ref="AL17" authorId="0" shapeId="0">
      <text>
        <t>추정: 당기순이익 × (1 − 비지배 비중 24.0%, 최근 8분기 실측)
[ratio]</t>
      </text>
    </comment>
    <comment ref="AM17" authorId="0" shapeId="0">
      <text>
        <t>추정: 당기순이익 × (1 − 비지배 비중 24.0%, 최근 8분기 실측)
[ratio]</t>
      </text>
    </comment>
    <comment ref="AN17" authorId="0" shapeId="0">
      <text>
        <t>추정: 당기순이익 × (1 − 비지배 비중 24.0%,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12,300원 유지
[yoy]</t>
      </text>
    </comment>
    <comment ref="AI31" authorId="0" shapeId="0">
      <text>
        <t>추정: 직전 결산 DPS 12,300원 유지
[yoy]</t>
      </text>
    </comment>
    <comment ref="AN31" authorId="0" shapeId="0">
      <text>
        <t>추정: 직전 결산 DPS 12,300원 유지
[yoy]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assets/models/009540.json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2025Q1, 2026Q1 / 감가상각비가 face·CF 에 없음(주석 미파싱) → EBITDA·EV/EBITDA 미산출</t>
        </is>
      </c>
    </row>
    <row r="22">
      <c r="A22" t="inlineStr">
        <is>
          <t>백테스트: {"freeze": "2025Q2", "horizon": 4, "revenue_wape_pct": 9.8, "op_wape_pct": 34.4, "n": 4, "note": "단일 회사 4분기 — 통계 아님", "driver_at_freeze": "subsidiary_yard_scaled",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74060.36, "rev_act": 75814.36, "op_pred": 8360.92, "op_act": 10537.75}, {"q": "2025Q4", "rev_pred": 74060.36, "rev_act": 81516.57, "op_pred": 8360.92, "op_act": 10379.19}, {"q": "2026Q1", "rev_pred": 73789.71, "rev_act": 81408.9, "op_pred": 8330.35, "op_act": 13559.7}, {"q": "2026Q2", "rev_pred": 73925.02, "rev_act": 89270.46, "op_pred": 8345.64,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199000</v>
      </c>
      <c r="W15" s="18" t="n">
        <v>367000</v>
      </c>
      <c r="X15" s="18" t="n">
        <v>410500</v>
      </c>
      <c r="Y15" s="18" t="n">
        <v>407500</v>
      </c>
      <c r="Z15" s="9" t="n"/>
      <c r="AA15" s="18" t="n">
        <v>344500</v>
      </c>
      <c r="AB15" s="19" t="n">
        <v>352500</v>
      </c>
      <c r="AC15" s="20" t="n">
        <v>326500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400000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183300</v>
      </c>
      <c r="X17" s="18" t="n">
        <v>301000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225700</v>
      </c>
      <c r="W18" s="18" t="n">
        <v>286476.7</v>
      </c>
      <c r="X18" s="18" t="n">
        <v>370969.2</v>
      </c>
      <c r="Y18" s="18" t="n">
        <v>431016.9</v>
      </c>
      <c r="Z18" s="9" t="n"/>
      <c r="AA18" s="18" t="n">
        <v>415432.2</v>
      </c>
      <c r="AB18" s="19" t="n">
        <v>412623</v>
      </c>
      <c r="AC18" s="20" t="n">
        <v>356443.5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0.226446</v>
      </c>
      <c r="AD21" s="24" t="n">
        <v>0.143398</v>
      </c>
      <c r="AE21" s="25" t="n"/>
      <c r="AF21" s="24" t="n">
        <v>0.136671</v>
      </c>
      <c r="AG21" s="24" t="n">
        <v>0.021065</v>
      </c>
      <c r="AH21" s="24" t="n">
        <v>-0.019505</v>
      </c>
      <c r="AI21" s="24" t="n">
        <v>-0.033237</v>
      </c>
      <c r="AJ21" s="25" t="n"/>
      <c r="AK21" s="24" t="n">
        <v>-0.039992</v>
      </c>
      <c r="AL21" s="24" t="n">
        <v>-0.035342</v>
      </c>
      <c r="AM21" s="24" t="n">
        <v>-0.056145</v>
      </c>
      <c r="AN21" s="24" t="n">
        <v>-0.07299700000000001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0.04843</v>
      </c>
      <c r="AD22" s="24" t="n">
        <v>0.04843</v>
      </c>
      <c r="AE22" s="25">
        <f>IFERROR(subQ!AE8/subQ!AE5,"")</f>
        <v/>
      </c>
      <c r="AF22" s="24" t="n">
        <v>0.04843</v>
      </c>
      <c r="AG22" s="24" t="n">
        <v>0.04843</v>
      </c>
      <c r="AH22" s="24" t="n">
        <v>0.04843</v>
      </c>
      <c r="AI22" s="24" t="n">
        <v>0.04843</v>
      </c>
      <c r="AJ22" s="25">
        <f>IFERROR(subQ!AJ8/subQ!AJ5,"")</f>
        <v/>
      </c>
      <c r="AK22" s="24" t="n">
        <v>0.04843</v>
      </c>
      <c r="AL22" s="24" t="n">
        <v>0.04843</v>
      </c>
      <c r="AM22" s="24" t="n">
        <v>0.04843</v>
      </c>
      <c r="AN22" s="24" t="n">
        <v>0.04843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0.143933</v>
      </c>
      <c r="AD23" s="24" t="n">
        <v>0.143233</v>
      </c>
      <c r="AE23" s="25">
        <f>IFERROR(subQ!AE9/subQ!AE5,"")</f>
        <v/>
      </c>
      <c r="AF23" s="24" t="n">
        <v>0.143233</v>
      </c>
      <c r="AG23" s="24" t="n">
        <v>0.140733</v>
      </c>
      <c r="AH23" s="24" t="n">
        <v>0.140533</v>
      </c>
      <c r="AI23" s="24" t="n">
        <v>0.140433</v>
      </c>
      <c r="AJ23" s="25">
        <f>IFERROR(subQ!AJ9/subQ!AJ5,"")</f>
        <v/>
      </c>
      <c r="AK23" s="24" t="n">
        <v>0.140433</v>
      </c>
      <c r="AL23" s="24" t="n">
        <v>0.142632</v>
      </c>
      <c r="AM23" s="24" t="n">
        <v>0.146333</v>
      </c>
      <c r="AN23" s="24" t="n">
        <v>0.147233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0.035252</v>
      </c>
      <c r="AD24" s="24" t="n">
        <v>0.124902</v>
      </c>
      <c r="AE24" s="25" t="n"/>
      <c r="AF24" s="24" t="n">
        <v>-0.140456</v>
      </c>
      <c r="AG24" s="24" t="n">
        <v>-0.236571</v>
      </c>
      <c r="AH24" s="24" t="n">
        <v>-0.023628</v>
      </c>
      <c r="AI24" s="24" t="n">
        <v>-0.019553</v>
      </c>
      <c r="AJ24" s="25" t="n"/>
      <c r="AK24" s="24" t="n">
        <v>-0.019553</v>
      </c>
      <c r="AL24" s="24" t="n">
        <v>0.013504</v>
      </c>
      <c r="AM24" s="24" t="n">
        <v>0.041281</v>
      </c>
      <c r="AN24" s="24" t="n">
        <v>0.048433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680.8200000000001</v>
      </c>
      <c r="AD25" s="29" t="n">
        <v>754.08</v>
      </c>
      <c r="AE25" s="30">
        <f>subQ!AE11</f>
        <v/>
      </c>
      <c r="AF25" s="29" t="n">
        <v>827.55</v>
      </c>
      <c r="AG25" s="29" t="n">
        <v>900.9</v>
      </c>
      <c r="AH25" s="29" t="n">
        <v>915.86</v>
      </c>
      <c r="AI25" s="29" t="n">
        <v>987.37</v>
      </c>
      <c r="AJ25" s="30">
        <f>subQ!AJ11</f>
        <v/>
      </c>
      <c r="AK25" s="29" t="n">
        <v>1058.43</v>
      </c>
      <c r="AL25" s="29" t="n">
        <v>1128.93</v>
      </c>
      <c r="AM25" s="29" t="n">
        <v>1143.58</v>
      </c>
      <c r="AN25" s="29" t="n">
        <v>1215.14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0.11</v>
      </c>
      <c r="AD27" s="29" t="n">
        <v>0.11</v>
      </c>
      <c r="AE27" s="30">
        <f>subQ!AE13</f>
        <v/>
      </c>
      <c r="AF27" s="29" t="n">
        <v>0.11</v>
      </c>
      <c r="AG27" s="29" t="n">
        <v>0.11</v>
      </c>
      <c r="AH27" s="29" t="n">
        <v>0.11</v>
      </c>
      <c r="AI27" s="29" t="n">
        <v>0.11</v>
      </c>
      <c r="AJ27" s="30">
        <f>subQ!AJ13</f>
        <v/>
      </c>
      <c r="AK27" s="29" t="n">
        <v>0.11</v>
      </c>
      <c r="AL27" s="29" t="n">
        <v>0.11</v>
      </c>
      <c r="AM27" s="29" t="n">
        <v>0.11</v>
      </c>
      <c r="AN27" s="29" t="n">
        <v>0.11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0.198927</v>
      </c>
      <c r="AD28" s="24" t="n">
        <v>0.198927</v>
      </c>
      <c r="AE28" s="25">
        <f>IFERROR(subQ!AE15/subQ!AE14,"")</f>
        <v/>
      </c>
      <c r="AF28" s="24" t="n">
        <v>0.198927</v>
      </c>
      <c r="AG28" s="24" t="n">
        <v>0.198927</v>
      </c>
      <c r="AH28" s="24" t="n">
        <v>0.198927</v>
      </c>
      <c r="AI28" s="24" t="n">
        <v>0.198927</v>
      </c>
      <c r="AJ28" s="25">
        <f>IFERROR(subQ!AJ15/subQ!AJ14,"")</f>
        <v/>
      </c>
      <c r="AK28" s="24" t="n">
        <v>0.198927</v>
      </c>
      <c r="AL28" s="24" t="n">
        <v>0.198927</v>
      </c>
      <c r="AM28" s="24" t="n">
        <v>0.198927</v>
      </c>
      <c r="AN28" s="24" t="n">
        <v>0.198927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0.760027</v>
      </c>
      <c r="AD29" s="24" t="n">
        <v>0.760028</v>
      </c>
      <c r="AE29" s="25">
        <f>IFERROR(subQ!AE17/subQ!AE16,"")</f>
        <v/>
      </c>
      <c r="AF29" s="24" t="n">
        <v>0.760028</v>
      </c>
      <c r="AG29" s="24" t="n">
        <v>0.760028</v>
      </c>
      <c r="AH29" s="24" t="n">
        <v>0.760027</v>
      </c>
      <c r="AI29" s="24" t="n">
        <v>0.760028</v>
      </c>
      <c r="AJ29" s="25">
        <f>IFERROR(subQ!AJ17/subQ!AJ16,"")</f>
        <v/>
      </c>
      <c r="AK29" s="24" t="n">
        <v>0.760027</v>
      </c>
      <c r="AL29" s="24" t="n">
        <v>0.760028</v>
      </c>
      <c r="AM29" s="24" t="n">
        <v>0.760028</v>
      </c>
      <c r="AN29" s="24" t="n">
        <v>0.760027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0.0061</v>
      </c>
      <c r="AD31" s="29" t="n">
        <v>0</v>
      </c>
      <c r="AE31" s="30" t="n"/>
      <c r="AF31" s="29" t="n">
        <v>-0.01</v>
      </c>
      <c r="AG31" s="29" t="n">
        <v>8697.9</v>
      </c>
      <c r="AH31" s="29" t="n">
        <v>0.01</v>
      </c>
      <c r="AI31" s="29" t="n">
        <v>-0.01</v>
      </c>
      <c r="AJ31" s="30" t="n"/>
      <c r="AK31" s="29" t="n">
        <v>0</v>
      </c>
      <c r="AL31" s="29" t="n">
        <v>8697.9</v>
      </c>
      <c r="AM31" s="29" t="n">
        <v>0.01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-0.0046</v>
      </c>
      <c r="AD32" s="29" t="n">
        <v>-0</v>
      </c>
      <c r="AE32" s="30" t="n"/>
      <c r="AF32" s="29" t="n">
        <v>0</v>
      </c>
      <c r="AG32" s="29" t="n">
        <v>8697.91</v>
      </c>
      <c r="AH32" s="29" t="n">
        <v>0</v>
      </c>
      <c r="AI32" s="29" t="n">
        <v>0</v>
      </c>
      <c r="AJ32" s="30" t="n"/>
      <c r="AK32" s="29" t="n">
        <v>-0.01</v>
      </c>
      <c r="AL32" s="29" t="n">
        <v>8697.91</v>
      </c>
      <c r="AM32" s="29" t="n">
        <v>0</v>
      </c>
      <c r="AN32" s="29" t="n">
        <v>-0.01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0.093933</v>
      </c>
      <c r="AD34" s="24" t="n">
        <v>0.086113</v>
      </c>
      <c r="AE34" s="25" t="n"/>
      <c r="AF34" s="24" t="n">
        <v>0.07915800000000001</v>
      </c>
      <c r="AG34" s="24" t="n">
        <v>0.014956</v>
      </c>
      <c r="AH34" s="24" t="n">
        <v>0.070456</v>
      </c>
      <c r="AI34" s="24" t="n">
        <v>0.065404</v>
      </c>
      <c r="AJ34" s="25" t="n"/>
      <c r="AK34" s="24" t="n">
        <v>0.060904</v>
      </c>
      <c r="AL34" s="24" t="n">
        <v>0.011931</v>
      </c>
      <c r="AM34" s="24" t="n">
        <v>0.057577</v>
      </c>
      <c r="AN34" s="24" t="n">
        <v>0.053562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0.07446999999999999</v>
      </c>
      <c r="AD35" s="24" t="n">
        <v>0.069507</v>
      </c>
      <c r="AE35" s="25" t="n"/>
      <c r="AF35" s="24" t="n">
        <v>0.064885</v>
      </c>
      <c r="AG35" s="24" t="n">
        <v>0.012423</v>
      </c>
      <c r="AH35" s="24" t="n">
        <v>0.058673</v>
      </c>
      <c r="AI35" s="24" t="n">
        <v>0.055072</v>
      </c>
      <c r="AJ35" s="25" t="n"/>
      <c r="AK35" s="24" t="n">
        <v>0.051785</v>
      </c>
      <c r="AL35" s="24" t="n">
        <v>0.010233</v>
      </c>
      <c r="AM35" s="24" t="n">
        <v>0.049463</v>
      </c>
      <c r="AN35" s="24" t="n">
        <v>0.04637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-0.519691</v>
      </c>
      <c r="AD41" s="24" t="n">
        <v>-0.577525</v>
      </c>
      <c r="AE41" s="25" t="n"/>
      <c r="AF41" s="24" t="n">
        <v>-0.492716</v>
      </c>
      <c r="AG41" s="24" t="n">
        <v>-0.208038</v>
      </c>
      <c r="AH41" s="24" t="n">
        <v>0.08360099999999999</v>
      </c>
      <c r="AI41" s="24" t="n">
        <v>0.144781</v>
      </c>
      <c r="AJ41" s="25" t="n"/>
      <c r="AK41" s="24" t="n">
        <v>0.160473</v>
      </c>
      <c r="AL41" s="24" t="n">
        <v>0.025373</v>
      </c>
      <c r="AM41" s="24" t="n">
        <v>0.019288</v>
      </c>
      <c r="AN41" s="24" t="n">
        <v>0.013235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-0.308057</v>
      </c>
      <c r="AD42" s="24" t="n">
        <v>-0.39738</v>
      </c>
      <c r="AE42" s="25" t="n"/>
      <c r="AF42" s="24" t="n">
        <v>-0.396313</v>
      </c>
      <c r="AG42" s="24" t="n">
        <v>-0.329949</v>
      </c>
      <c r="AH42" s="24" t="n">
        <v>-0.143836</v>
      </c>
      <c r="AI42" s="24" t="n">
        <v>-0.130435</v>
      </c>
      <c r="AJ42" s="25" t="n"/>
      <c r="AK42" s="24" t="n">
        <v>-0.122137</v>
      </c>
      <c r="AL42" s="24" t="n">
        <v>-0.128788</v>
      </c>
      <c r="AM42" s="24" t="n">
        <v>-0.112</v>
      </c>
      <c r="AN42" s="24" t="n">
        <v>-0.116667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0.143933</v>
      </c>
      <c r="AD44" s="24" t="n">
        <v>0.143233</v>
      </c>
      <c r="AE44" s="25">
        <f>IFERROR(subQ!AE35/subQ!AE34,"")</f>
        <v/>
      </c>
      <c r="AF44" s="24" t="n">
        <v>0.143233</v>
      </c>
      <c r="AG44" s="24" t="n">
        <v>0.140733</v>
      </c>
      <c r="AH44" s="24" t="n">
        <v>0.140533</v>
      </c>
      <c r="AI44" s="24" t="n">
        <v>0.140433</v>
      </c>
      <c r="AJ44" s="25">
        <f>IFERROR(subQ!AJ35/subQ!AJ34,"")</f>
        <v/>
      </c>
      <c r="AK44" s="24" t="n">
        <v>0.140433</v>
      </c>
      <c r="AL44" s="24" t="n">
        <v>0.142632</v>
      </c>
      <c r="AM44" s="24" t="n">
        <v>0.146333</v>
      </c>
      <c r="AN44" s="24" t="n">
        <v>0.147233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323000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11.7</v>
      </c>
      <c r="E50" s="2" t="inlineStr">
        <is>
          <t>PER 밴드 하단(배) — hist_quarterly(분기 평균가 ÷ TTM EPS, 13분기,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13.1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21.5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0.1989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0.0484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4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4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4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4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4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4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4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4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4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4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4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4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4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4" t="n">
        <v>1922179.18</v>
      </c>
      <c r="V7" s="18" t="n">
        <v>2454897.54</v>
      </c>
      <c r="W7" s="18" t="n">
        <v>2705949.56</v>
      </c>
      <c r="Y7" s="18" t="n">
        <v>4434581.43</v>
      </c>
      <c r="Z7" s="34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4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4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4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4" t="n">
        <v>3115653.59</v>
      </c>
      <c r="V8" s="18" t="n">
        <v>3472603.21</v>
      </c>
      <c r="W8" s="18" t="n">
        <v>3153286.33</v>
      </c>
      <c r="Y8" s="18" t="n">
        <v>5125707.97</v>
      </c>
      <c r="Z8" s="34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4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4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4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4" t="n">
        <v>1640342.82</v>
      </c>
      <c r="V9" s="18" t="n">
        <v>2061517.38</v>
      </c>
      <c r="W9" s="18" t="n">
        <v>1643448.52</v>
      </c>
      <c r="Y9" s="18" t="n">
        <v>1812029.59</v>
      </c>
      <c r="Z9" s="34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4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4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4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4" t="n">
        <v>7503003.89</v>
      </c>
      <c r="V10" s="18" t="n">
        <v>7050616.56</v>
      </c>
      <c r="W10" s="18" t="n">
        <v>6667632.17</v>
      </c>
      <c r="Y10" s="18" t="n">
        <v>7738830.38</v>
      </c>
      <c r="Z10" s="34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4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4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4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4" t="n">
        <v>2232067.01</v>
      </c>
      <c r="V11" s="18" t="n">
        <v>2368177.55</v>
      </c>
      <c r="W11" s="18" t="n">
        <v>2477601.5</v>
      </c>
      <c r="Y11" s="18" t="n">
        <v>2765843.22</v>
      </c>
      <c r="Z11" s="34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4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4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4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4" t="n">
        <v>1162.39</v>
      </c>
      <c r="V12" s="18" t="n">
        <v>2661.44</v>
      </c>
      <c r="W12" s="18" t="n">
        <v>93986.32000000001</v>
      </c>
      <c r="Y12" s="18" t="n">
        <v>13602.67</v>
      </c>
      <c r="Z12" s="34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4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4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4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4" t="n">
        <v>1192312.02</v>
      </c>
      <c r="V13" s="18" t="n">
        <v>1015044.23</v>
      </c>
      <c r="W13" s="18" t="n">
        <v>353350.45</v>
      </c>
      <c r="Y13" s="18" t="n">
        <v>677523.87</v>
      </c>
      <c r="Z13" s="34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4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4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4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4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4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4" t="n">
        <v>13082.98</v>
      </c>
      <c r="K15" s="9" t="n"/>
      <c r="O15" s="18" t="n">
        <v>0</v>
      </c>
      <c r="P15" s="34" t="n">
        <v>0</v>
      </c>
      <c r="T15" s="18" t="n">
        <v>63000.19</v>
      </c>
      <c r="U15" s="34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4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4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4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4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4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4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4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4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4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4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4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4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4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4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4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4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4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4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4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4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4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4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4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4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4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4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4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4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4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4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4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4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4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4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4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4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4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4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4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4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4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4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4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4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4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4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4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4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4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4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4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4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4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4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4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4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4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4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4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4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4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4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4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4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4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4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4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4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4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4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4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4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4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4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4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4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4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4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4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4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4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2375236.56</v>
      </c>
      <c r="F32" s="34" t="n">
        <v>2375236.56</v>
      </c>
      <c r="G32" s="18" t="n">
        <v>2937805.69</v>
      </c>
      <c r="H32" s="18" t="n">
        <v>3277545.01</v>
      </c>
      <c r="I32" s="18" t="n">
        <v>3507875.92</v>
      </c>
      <c r="J32" s="18" t="n">
        <v>2700995.39</v>
      </c>
      <c r="K32" s="34" t="n">
        <v>2700995.39</v>
      </c>
      <c r="L32" s="18" t="n">
        <v>2341278.1</v>
      </c>
      <c r="M32" s="18" t="n">
        <v>2210004.82</v>
      </c>
      <c r="N32" s="18" t="n">
        <v>2332508.85</v>
      </c>
      <c r="O32" s="18" t="n">
        <v>2220091</v>
      </c>
      <c r="P32" s="34" t="n">
        <v>2220091</v>
      </c>
      <c r="Q32" s="18" t="n">
        <v>1838740.24</v>
      </c>
      <c r="R32" s="18" t="n">
        <v>941461.95</v>
      </c>
      <c r="S32" s="18" t="n">
        <v>760796.51</v>
      </c>
      <c r="T32" s="18" t="n">
        <v>562278.96</v>
      </c>
      <c r="U32" s="34" t="n">
        <v>562278.96</v>
      </c>
      <c r="V32" s="18" t="n">
        <v>567336.6800000001</v>
      </c>
      <c r="W32" s="18" t="n">
        <v>481705.93</v>
      </c>
      <c r="X32" s="18" t="n">
        <v>386049.73</v>
      </c>
      <c r="Y32" s="18" t="n">
        <v>252311.44</v>
      </c>
      <c r="Z32" s="34" t="n">
        <v>252311.44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2375236.56</v>
      </c>
      <c r="F33" s="34" t="n">
        <v>2375236.56</v>
      </c>
      <c r="G33" s="18" t="n">
        <v>2937805.69</v>
      </c>
      <c r="H33" s="18" t="n">
        <v>3277545.01</v>
      </c>
      <c r="I33" s="18" t="n">
        <v>3507875.92</v>
      </c>
      <c r="J33" s="18" t="n">
        <v>2700995.39</v>
      </c>
      <c r="K33" s="34" t="n">
        <v>2700995.39</v>
      </c>
      <c r="L33" s="18" t="n">
        <v>2341278.1</v>
      </c>
      <c r="M33" s="18" t="n">
        <v>2210004.82</v>
      </c>
      <c r="N33" s="18" t="n">
        <v>2332508.85</v>
      </c>
      <c r="O33" s="18" t="n">
        <v>2220091</v>
      </c>
      <c r="P33" s="34" t="n">
        <v>2220091</v>
      </c>
      <c r="Q33" s="18" t="n">
        <v>1838740.24</v>
      </c>
      <c r="R33" s="18" t="n">
        <v>941461.95</v>
      </c>
      <c r="S33" s="18" t="n">
        <v>760796.51</v>
      </c>
      <c r="T33" s="18" t="n">
        <v>562278.96</v>
      </c>
      <c r="U33" s="34" t="n">
        <v>562278.96</v>
      </c>
      <c r="V33" s="18" t="n">
        <v>567336.6800000001</v>
      </c>
      <c r="W33" s="18" t="n">
        <v>481705.93</v>
      </c>
      <c r="X33" s="18" t="n">
        <v>386049.73</v>
      </c>
      <c r="Y33" s="18" t="n">
        <v>252311.44</v>
      </c>
      <c r="Z33" s="34" t="n">
        <v>252311.44</v>
      </c>
      <c r="AA33" s="18" t="n">
        <v>983399.58</v>
      </c>
      <c r="AB33" s="19" t="n">
        <v>2927467.69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14911.09</v>
      </c>
      <c r="F34" s="34" t="n">
        <v>14911.09</v>
      </c>
      <c r="G34" s="18" t="n">
        <v>15538.13</v>
      </c>
      <c r="H34" s="18" t="n">
        <v>14396.76</v>
      </c>
      <c r="I34" s="18" t="n">
        <v>13153.23</v>
      </c>
      <c r="J34" s="18" t="n">
        <v>31923.62</v>
      </c>
      <c r="K34" s="34" t="n">
        <v>31923.62</v>
      </c>
      <c r="L34" s="18" t="n">
        <v>33051.47</v>
      </c>
      <c r="M34" s="18" t="n">
        <v>32679.04</v>
      </c>
      <c r="N34" s="18" t="n">
        <v>33951.85</v>
      </c>
      <c r="O34" s="18" t="n">
        <v>31249.55</v>
      </c>
      <c r="P34" s="34" t="n">
        <v>31249.55</v>
      </c>
      <c r="Q34" s="18" t="n">
        <v>31358.42</v>
      </c>
      <c r="R34" s="18" t="n">
        <v>29460.6</v>
      </c>
      <c r="S34" s="18" t="n">
        <v>28669.8</v>
      </c>
      <c r="T34" s="18" t="n">
        <v>30537.73</v>
      </c>
      <c r="U34" s="34" t="n">
        <v>30537.73</v>
      </c>
      <c r="V34" s="18" t="n">
        <v>58639.65</v>
      </c>
      <c r="W34" s="18" t="n">
        <v>57090.66</v>
      </c>
      <c r="X34" s="18" t="n">
        <v>58645.72</v>
      </c>
      <c r="Y34" s="18" t="n">
        <v>55018.44</v>
      </c>
      <c r="Z34" s="34" t="n">
        <v>55018.44</v>
      </c>
      <c r="AA34" s="18" t="n">
        <v>55628.68</v>
      </c>
      <c r="AB34" s="19" t="n">
        <v>51922.4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48003.2</v>
      </c>
      <c r="F35" s="34" t="n">
        <v>48003.2</v>
      </c>
      <c r="G35" s="18" t="n">
        <v>48510.88</v>
      </c>
      <c r="H35" s="18" t="n">
        <v>48271.31</v>
      </c>
      <c r="I35" s="18" t="n">
        <v>46883.15</v>
      </c>
      <c r="J35" s="18" t="n">
        <v>104024.68</v>
      </c>
      <c r="K35" s="34" t="n">
        <v>104024.68</v>
      </c>
      <c r="L35" s="18" t="n">
        <v>102104.87</v>
      </c>
      <c r="M35" s="18" t="n">
        <v>97691.64999999999</v>
      </c>
      <c r="N35" s="18" t="n">
        <v>98646.57000000001</v>
      </c>
      <c r="O35" s="18" t="n">
        <v>98221.72</v>
      </c>
      <c r="P35" s="34" t="n">
        <v>98221.72</v>
      </c>
      <c r="Q35" s="18" t="n">
        <v>96339.00999999999</v>
      </c>
      <c r="R35" s="18" t="n">
        <v>90268.28999999999</v>
      </c>
      <c r="S35" s="18" t="n">
        <v>85363.32000000001</v>
      </c>
      <c r="T35" s="18" t="n">
        <v>483353.65</v>
      </c>
      <c r="U35" s="34" t="n">
        <v>483353.65</v>
      </c>
      <c r="V35" s="18" t="n">
        <v>488740.08</v>
      </c>
      <c r="W35" s="18" t="n">
        <v>459472.45</v>
      </c>
      <c r="X35" s="18" t="n">
        <v>472430.48</v>
      </c>
      <c r="Y35" s="18" t="n">
        <v>453815.85</v>
      </c>
      <c r="Z35" s="34" t="n">
        <v>453815.85</v>
      </c>
      <c r="AA35" s="18" t="n">
        <v>485948.25</v>
      </c>
      <c r="AB35" s="19" t="n">
        <v>492022.2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300684.6</v>
      </c>
      <c r="F36" s="34" t="n">
        <v>300684.6</v>
      </c>
      <c r="G36" s="18" t="n">
        <v>403647.11</v>
      </c>
      <c r="H36" s="18" t="n">
        <v>822609.74</v>
      </c>
      <c r="I36" s="18" t="n">
        <v>1705910.87</v>
      </c>
      <c r="J36" s="18" t="n">
        <v>674445.02</v>
      </c>
      <c r="K36" s="34" t="n">
        <v>674445.02</v>
      </c>
      <c r="L36" s="18" t="n">
        <v>775157.84</v>
      </c>
      <c r="M36" s="18" t="n">
        <v>791139.59</v>
      </c>
      <c r="N36" s="18" t="n">
        <v>930481.36</v>
      </c>
      <c r="O36" s="18" t="n">
        <v>570461.92</v>
      </c>
      <c r="P36" s="34" t="n">
        <v>570461.92</v>
      </c>
      <c r="Q36" s="18" t="n">
        <v>880335.91</v>
      </c>
      <c r="R36" s="18" t="n">
        <v>1087505.66</v>
      </c>
      <c r="S36" s="18" t="n">
        <v>621193.11</v>
      </c>
      <c r="T36" s="18" t="n">
        <v>1722319.46</v>
      </c>
      <c r="U36" s="34" t="n">
        <v>1722319.46</v>
      </c>
      <c r="V36" s="18" t="n">
        <v>1462370.92</v>
      </c>
      <c r="W36" s="18" t="n">
        <v>626150.48</v>
      </c>
      <c r="X36" s="18" t="n">
        <v>827615.27</v>
      </c>
      <c r="Y36" s="18" t="n">
        <v>1028376.17</v>
      </c>
      <c r="Z36" s="34" t="n">
        <v>1028376.17</v>
      </c>
      <c r="AA36" s="18" t="n">
        <v>1649818.39</v>
      </c>
      <c r="AB36" s="19" t="n">
        <v>1954554.87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3181777.13</v>
      </c>
      <c r="F37" s="34" t="n">
        <v>3181777.13</v>
      </c>
      <c r="G37" s="18" t="n">
        <v>3013888.48</v>
      </c>
      <c r="H37" s="18" t="n">
        <v>3173517.83</v>
      </c>
      <c r="I37" s="18" t="n">
        <v>3280239.35</v>
      </c>
      <c r="J37" s="18" t="n">
        <v>2912783.2</v>
      </c>
      <c r="K37" s="34" t="n">
        <v>2912783.2</v>
      </c>
      <c r="L37" s="18" t="n">
        <v>3397179.66</v>
      </c>
      <c r="M37" s="18" t="n">
        <v>3231533.85</v>
      </c>
      <c r="N37" s="18" t="n">
        <v>3040029.09</v>
      </c>
      <c r="O37" s="18" t="n">
        <v>3203614.52</v>
      </c>
      <c r="P37" s="34" t="n">
        <v>3203614.52</v>
      </c>
      <c r="Q37" s="18" t="n">
        <v>3365802.88</v>
      </c>
      <c r="R37" s="18" t="n">
        <v>3468122.15</v>
      </c>
      <c r="S37" s="18" t="n">
        <v>3544745.72</v>
      </c>
      <c r="T37" s="18" t="n">
        <v>3883696.73</v>
      </c>
      <c r="U37" s="34" t="n">
        <v>3883696.73</v>
      </c>
      <c r="V37" s="18" t="n">
        <v>4138323.95</v>
      </c>
      <c r="W37" s="18" t="n">
        <v>3954557.34</v>
      </c>
      <c r="X37" s="18" t="n">
        <v>3904739.9</v>
      </c>
      <c r="Y37" s="18" t="n">
        <v>4314759.55</v>
      </c>
      <c r="Z37" s="34" t="n">
        <v>4314759.55</v>
      </c>
      <c r="AA37" s="18" t="n">
        <v>4885073.2</v>
      </c>
      <c r="AB37" s="19" t="n">
        <v>4563807.84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3646718.93</v>
      </c>
      <c r="F38" s="34" t="n">
        <v>3646718.93</v>
      </c>
      <c r="G38" s="18" t="n">
        <v>4360449.42</v>
      </c>
      <c r="H38" s="18" t="n">
        <v>5217123.86</v>
      </c>
      <c r="I38" s="18" t="n">
        <v>6334131.53</v>
      </c>
      <c r="J38" s="18" t="n">
        <v>7438536.84</v>
      </c>
      <c r="K38" s="34" t="n">
        <v>7438536.84</v>
      </c>
      <c r="L38" s="18" t="n">
        <v>8577531.15</v>
      </c>
      <c r="M38" s="18" t="n">
        <v>9752835.939999999</v>
      </c>
      <c r="N38" s="18" t="n">
        <v>11085377.56</v>
      </c>
      <c r="O38" s="18" t="n">
        <v>11074793.38</v>
      </c>
      <c r="P38" s="34" t="n">
        <v>11074793.38</v>
      </c>
      <c r="Q38" s="18" t="n">
        <v>11037982.5</v>
      </c>
      <c r="R38" s="18" t="n">
        <v>11434858.13</v>
      </c>
      <c r="S38" s="18" t="n">
        <v>11477277.67</v>
      </c>
      <c r="T38" s="18" t="n">
        <v>12715929.77</v>
      </c>
      <c r="U38" s="34" t="n">
        <v>12715929.77</v>
      </c>
      <c r="V38" s="18" t="n">
        <v>14882408.96</v>
      </c>
      <c r="W38" s="18" t="n">
        <v>14289409.39</v>
      </c>
      <c r="X38" s="18" t="n">
        <v>14557032.91</v>
      </c>
      <c r="Y38" s="18" t="n">
        <v>13887788.86</v>
      </c>
      <c r="Z38" s="34" t="n">
        <v>13887788.86</v>
      </c>
      <c r="AA38" s="18" t="n">
        <v>14077283.52</v>
      </c>
      <c r="AB38" s="19" t="n">
        <v>14605308.82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선수금</t>
        </is>
      </c>
      <c r="E39" s="18" t="n">
        <v>30017.43</v>
      </c>
      <c r="F39" s="34" t="n">
        <v>30017.43</v>
      </c>
      <c r="G39" s="18" t="n">
        <v>28578.1</v>
      </c>
      <c r="H39" s="18" t="n">
        <v>28417.08</v>
      </c>
      <c r="I39" s="18" t="n">
        <v>35877.89</v>
      </c>
      <c r="J39" s="18" t="n">
        <v>28578.99</v>
      </c>
      <c r="K39" s="34" t="n">
        <v>28578.99</v>
      </c>
      <c r="L39" s="18" t="n">
        <v>28326.34</v>
      </c>
      <c r="M39" s="18" t="n">
        <v>28326.14</v>
      </c>
      <c r="N39" s="18" t="n">
        <v>28312.76</v>
      </c>
      <c r="O39" s="18" t="n">
        <v>28310.54</v>
      </c>
      <c r="P39" s="34" t="n">
        <v>28310.54</v>
      </c>
      <c r="Q39" s="18" t="n">
        <v>31954.97</v>
      </c>
      <c r="R39" s="18" t="n">
        <v>30434.57</v>
      </c>
      <c r="S39" s="18" t="n">
        <v>29652.65</v>
      </c>
      <c r="T39" s="18" t="n">
        <v>38451.22</v>
      </c>
      <c r="U39" s="34" t="n">
        <v>38451.22</v>
      </c>
      <c r="V39" s="18" t="n">
        <v>24414.63</v>
      </c>
      <c r="W39" s="18" t="n">
        <v>26076.99</v>
      </c>
      <c r="X39" s="18" t="n">
        <v>29886.72</v>
      </c>
      <c r="Y39" s="18" t="n">
        <v>29413</v>
      </c>
      <c r="Z39" s="34" t="n">
        <v>29413</v>
      </c>
      <c r="AA39" s="18" t="n">
        <v>29923.81</v>
      </c>
      <c r="AB39" s="19" t="n">
        <v>29438.99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30105.43</v>
      </c>
      <c r="F40" s="34" t="n">
        <v>30105.43</v>
      </c>
      <c r="G40" s="18" t="n">
        <v>28680.88</v>
      </c>
      <c r="H40" s="18" t="n">
        <v>28526.25</v>
      </c>
      <c r="I40" s="18" t="n">
        <v>35981.92</v>
      </c>
      <c r="J40" s="18" t="n">
        <v>29106.34</v>
      </c>
      <c r="K40" s="34" t="n">
        <v>29106.34</v>
      </c>
      <c r="L40" s="18" t="n">
        <v>28652.82</v>
      </c>
      <c r="M40" s="18" t="n">
        <v>28620.51</v>
      </c>
      <c r="N40" s="18" t="n">
        <v>28508.31</v>
      </c>
      <c r="O40" s="18" t="n">
        <v>28407.23</v>
      </c>
      <c r="P40" s="34" t="n">
        <v>28407.23</v>
      </c>
      <c r="Q40" s="18" t="n">
        <v>32757.21</v>
      </c>
      <c r="R40" s="18" t="n">
        <v>31121.57</v>
      </c>
      <c r="S40" s="18" t="n">
        <v>30329.33</v>
      </c>
      <c r="T40" s="18" t="n">
        <v>39057.87</v>
      </c>
      <c r="U40" s="34" t="n">
        <v>39057.87</v>
      </c>
      <c r="V40" s="18" t="n">
        <v>25115.66</v>
      </c>
      <c r="W40" s="18" t="n">
        <v>26597.76</v>
      </c>
      <c r="X40" s="18" t="n">
        <v>30141.58</v>
      </c>
      <c r="Y40" s="18" t="n">
        <v>29874.07</v>
      </c>
      <c r="Z40" s="34" t="n">
        <v>29874.07</v>
      </c>
      <c r="AA40" s="18" t="n">
        <v>30969.37</v>
      </c>
      <c r="AB40" s="19" t="n">
        <v>30303.79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E41" s="18" t="n">
        <v>285773.51</v>
      </c>
      <c r="F41" s="34" t="n">
        <v>285773.51</v>
      </c>
      <c r="G41" s="18" t="n">
        <v>388108.98</v>
      </c>
      <c r="H41" s="18" t="n">
        <v>808212.98</v>
      </c>
      <c r="I41" s="18" t="n">
        <v>1692757.64</v>
      </c>
      <c r="J41" s="18" t="n">
        <v>642521.4</v>
      </c>
      <c r="K41" s="34" t="n">
        <v>642521.4</v>
      </c>
      <c r="L41" s="18" t="n">
        <v>742106.37</v>
      </c>
      <c r="M41" s="18" t="n">
        <v>758460.55</v>
      </c>
      <c r="N41" s="18" t="n">
        <v>896529.51</v>
      </c>
      <c r="O41" s="18" t="n">
        <v>539212.37</v>
      </c>
      <c r="P41" s="34" t="n">
        <v>539212.37</v>
      </c>
      <c r="Q41" s="18" t="n">
        <v>848977.49</v>
      </c>
      <c r="R41" s="18" t="n">
        <v>1058045.06</v>
      </c>
      <c r="S41" s="18" t="n">
        <v>592523.3100000001</v>
      </c>
      <c r="T41" s="18" t="n">
        <v>1691781.73</v>
      </c>
      <c r="U41" s="34" t="n">
        <v>1691781.73</v>
      </c>
      <c r="V41" s="18" t="n">
        <v>1403731.27</v>
      </c>
      <c r="W41" s="18" t="n">
        <v>569059.8199999999</v>
      </c>
      <c r="X41" s="18" t="n">
        <v>768969.55</v>
      </c>
      <c r="Y41" s="18" t="n">
        <v>973357.73</v>
      </c>
      <c r="Z41" s="34" t="n">
        <v>973357.73</v>
      </c>
      <c r="AA41" s="18" t="n">
        <v>1594189.71</v>
      </c>
      <c r="AB41" s="19" t="n">
        <v>1902632.47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E42" s="18" t="n">
        <v>1529.41</v>
      </c>
      <c r="F42" s="34" t="n">
        <v>1529.41</v>
      </c>
      <c r="G42" s="18" t="n">
        <v>3011.6</v>
      </c>
      <c r="H42" s="18" t="n">
        <v>5618.15</v>
      </c>
      <c r="I42" s="18" t="n">
        <v>1811.26</v>
      </c>
      <c r="J42" s="18" t="n">
        <v>6071.61</v>
      </c>
      <c r="K42" s="34" t="n">
        <v>6071.61</v>
      </c>
      <c r="L42" s="18" t="n">
        <v>5838.66</v>
      </c>
      <c r="M42" s="18" t="n">
        <v>822.13</v>
      </c>
      <c r="N42" s="18" t="n">
        <v>1193.99</v>
      </c>
      <c r="O42" s="18" t="n">
        <v>777.73</v>
      </c>
      <c r="P42" s="34" t="n">
        <v>777.73</v>
      </c>
      <c r="Q42" s="18" t="n">
        <v>1103.58</v>
      </c>
      <c r="R42" s="18" t="n">
        <v>5749.05</v>
      </c>
      <c r="S42" s="18" t="n">
        <v>13895.26</v>
      </c>
      <c r="T42" s="18" t="n">
        <v>19321.11</v>
      </c>
      <c r="U42" s="34" t="n">
        <v>19321.11</v>
      </c>
      <c r="V42" s="18" t="n">
        <v>48935.8</v>
      </c>
      <c r="W42" s="18" t="n">
        <v>72849.61</v>
      </c>
      <c r="X42" s="18" t="n">
        <v>53803.14</v>
      </c>
      <c r="Y42" s="18" t="n">
        <v>61851.4</v>
      </c>
      <c r="Z42" s="34" t="n">
        <v>61851.4</v>
      </c>
      <c r="AA42" s="18" t="n">
        <v>103519.02</v>
      </c>
      <c r="AB42" s="19" t="n">
        <v>355786.65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E43" s="18" t="n">
        <v>1750415.35</v>
      </c>
      <c r="F43" s="34" t="n">
        <v>1750415.35</v>
      </c>
      <c r="G43" s="18" t="n">
        <v>1781345.11</v>
      </c>
      <c r="H43" s="18" t="n">
        <v>1678963.6</v>
      </c>
      <c r="I43" s="18" t="n">
        <v>1262752.04</v>
      </c>
      <c r="J43" s="18" t="n">
        <v>1271544.11</v>
      </c>
      <c r="K43" s="34" t="n">
        <v>1271544.11</v>
      </c>
      <c r="L43" s="18" t="n">
        <v>469524.55</v>
      </c>
      <c r="M43" s="18" t="n">
        <v>368757.7</v>
      </c>
      <c r="N43" s="18" t="n">
        <v>338533.95</v>
      </c>
      <c r="O43" s="18" t="n">
        <v>399721.73</v>
      </c>
      <c r="P43" s="34" t="n">
        <v>399721.73</v>
      </c>
      <c r="Q43" s="18" t="n">
        <v>415061.84</v>
      </c>
      <c r="R43" s="18" t="n">
        <v>433291.62</v>
      </c>
      <c r="S43" s="18" t="n">
        <v>385847.19</v>
      </c>
      <c r="T43" s="18" t="n">
        <v>382454.51</v>
      </c>
      <c r="U43" s="34" t="n">
        <v>382454.51</v>
      </c>
      <c r="V43" s="18" t="n">
        <v>397041.69</v>
      </c>
      <c r="W43" s="18" t="n">
        <v>423932.3</v>
      </c>
      <c r="X43" s="18" t="n">
        <v>403935.33</v>
      </c>
      <c r="Y43" s="18" t="n">
        <v>435852.81</v>
      </c>
      <c r="Z43" s="34" t="n">
        <v>435852.81</v>
      </c>
      <c r="AA43" s="18" t="n">
        <v>447357.45</v>
      </c>
      <c r="AB43" s="19" t="n">
        <v>445632.38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3592871.27</v>
      </c>
      <c r="F44" s="34" t="n">
        <v>3592871.27</v>
      </c>
      <c r="G44" s="18" t="n">
        <v>3243937.93</v>
      </c>
      <c r="H44" s="18" t="n">
        <v>3511979.54</v>
      </c>
      <c r="I44" s="18" t="n">
        <v>4475178.17</v>
      </c>
      <c r="J44" s="18" t="n">
        <v>2537863.97</v>
      </c>
      <c r="K44" s="34" t="n">
        <v>2537863.97</v>
      </c>
      <c r="L44" s="18" t="n">
        <v>2584928.29</v>
      </c>
      <c r="M44" s="18" t="n">
        <v>2963030.17</v>
      </c>
      <c r="N44" s="18" t="n">
        <v>2858683.59</v>
      </c>
      <c r="O44" s="18" t="n">
        <v>2374597.75</v>
      </c>
      <c r="P44" s="34" t="n">
        <v>2374597.75</v>
      </c>
      <c r="Q44" s="18" t="n">
        <v>2379893.48</v>
      </c>
      <c r="R44" s="18" t="n">
        <v>2524206.08</v>
      </c>
      <c r="S44" s="18" t="n">
        <v>1620583.72</v>
      </c>
      <c r="T44" s="18" t="n">
        <v>3238265.83</v>
      </c>
      <c r="U44" s="34" t="n">
        <v>3238265.83</v>
      </c>
      <c r="V44" s="18" t="n">
        <v>3495410.88</v>
      </c>
      <c r="W44" s="18" t="n">
        <v>2092951.65</v>
      </c>
      <c r="X44" s="18" t="n">
        <v>2311914.83</v>
      </c>
      <c r="Y44" s="18" t="n">
        <v>2623046.15</v>
      </c>
      <c r="Z44" s="34" t="n">
        <v>2623046.15</v>
      </c>
      <c r="AA44" s="18" t="n">
        <v>2710874.46</v>
      </c>
      <c r="AB44" s="19" t="n">
        <v>2918055.11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E45" s="18" t="n">
        <v>2843352.92</v>
      </c>
      <c r="F45" s="34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4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4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4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4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장기금융부채(face)</t>
        </is>
      </c>
      <c r="E46" s="18" t="n">
        <v>2843352.92</v>
      </c>
      <c r="F46" s="34" t="n">
        <v>2843352.92</v>
      </c>
      <c r="G46" s="18" t="n">
        <v>2464043</v>
      </c>
      <c r="H46" s="18" t="n">
        <v>2119965.24</v>
      </c>
      <c r="I46" s="18" t="n">
        <v>1851019.81</v>
      </c>
      <c r="J46" s="18" t="n">
        <v>1438739.13</v>
      </c>
      <c r="K46" s="34" t="n">
        <v>1438739.13</v>
      </c>
      <c r="L46" s="18" t="n">
        <v>1449292.64</v>
      </c>
      <c r="M46" s="18" t="n">
        <v>1908352.14</v>
      </c>
      <c r="N46" s="18" t="n">
        <v>1649137.1</v>
      </c>
      <c r="O46" s="18" t="n">
        <v>1698182.75</v>
      </c>
      <c r="P46" s="34" t="n">
        <v>1698182.75</v>
      </c>
      <c r="Q46" s="18" t="n">
        <v>1518486.78</v>
      </c>
      <c r="R46" s="18" t="n">
        <v>1381919.96</v>
      </c>
      <c r="S46" s="18" t="n">
        <v>918999.22</v>
      </c>
      <c r="T46" s="18" t="n">
        <v>866206.84</v>
      </c>
      <c r="U46" s="34" t="n">
        <v>866206.84</v>
      </c>
      <c r="V46" s="18" t="n">
        <v>1199542.82</v>
      </c>
      <c r="W46" s="18" t="n">
        <v>825728.39</v>
      </c>
      <c r="X46" s="18" t="n">
        <v>786420.52</v>
      </c>
      <c r="Y46" s="18" t="n">
        <v>805610.59</v>
      </c>
      <c r="Z46" s="34" t="n">
        <v>805610.59</v>
      </c>
      <c r="AA46" s="18" t="n">
        <v>57260.32</v>
      </c>
      <c r="AB46" s="19" t="n">
        <v>58503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33092.11</v>
      </c>
      <c r="F47" s="34" t="n">
        <v>33092.11</v>
      </c>
      <c r="G47" s="18" t="n">
        <v>32972.75</v>
      </c>
      <c r="H47" s="18" t="n">
        <v>33874.55</v>
      </c>
      <c r="I47" s="18" t="n">
        <v>33729.92</v>
      </c>
      <c r="J47" s="18" t="n">
        <v>72101.06</v>
      </c>
      <c r="K47" s="34" t="n">
        <v>72101.06</v>
      </c>
      <c r="L47" s="18" t="n">
        <v>69053.39999999999</v>
      </c>
      <c r="M47" s="18" t="n">
        <v>65012.61</v>
      </c>
      <c r="N47" s="18" t="n">
        <v>64694.72</v>
      </c>
      <c r="O47" s="18" t="n">
        <v>66972.17</v>
      </c>
      <c r="P47" s="34" t="n">
        <v>66972.17</v>
      </c>
      <c r="Q47" s="18" t="n">
        <v>64980.59</v>
      </c>
      <c r="R47" s="18" t="n">
        <v>60807.69</v>
      </c>
      <c r="S47" s="18" t="n">
        <v>56693.52</v>
      </c>
      <c r="T47" s="18" t="n">
        <v>452815.92</v>
      </c>
      <c r="U47" s="34" t="n">
        <v>452815.92</v>
      </c>
      <c r="V47" s="18" t="n">
        <v>430100.43</v>
      </c>
      <c r="W47" s="18" t="n">
        <v>402381.79</v>
      </c>
      <c r="X47" s="18" t="n">
        <v>413784.76</v>
      </c>
      <c r="Y47" s="18" t="n">
        <v>398797.41</v>
      </c>
      <c r="Z47" s="34" t="n">
        <v>398797.41</v>
      </c>
      <c r="AA47" s="18" t="n">
        <v>430319.57</v>
      </c>
      <c r="AB47" s="19" t="n">
        <v>440099.8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280146.46</v>
      </c>
      <c r="F48" s="34" t="n">
        <v>280146.46</v>
      </c>
      <c r="G48" s="18" t="n">
        <v>288813.47</v>
      </c>
      <c r="H48" s="18" t="n">
        <v>873684.9</v>
      </c>
      <c r="I48" s="18" t="n">
        <v>2089695.2</v>
      </c>
      <c r="J48" s="18" t="n">
        <v>692402.5699999999</v>
      </c>
      <c r="K48" s="34" t="n">
        <v>692402.5699999999</v>
      </c>
      <c r="L48" s="18" t="n">
        <v>765750.99</v>
      </c>
      <c r="M48" s="18" t="n">
        <v>663477.48</v>
      </c>
      <c r="N48" s="18" t="n">
        <v>801795.52</v>
      </c>
      <c r="O48" s="18" t="n">
        <v>487549.74</v>
      </c>
      <c r="P48" s="34" t="n">
        <v>487549.74</v>
      </c>
      <c r="Q48" s="18" t="n">
        <v>672735.83</v>
      </c>
      <c r="R48" s="18" t="n">
        <v>936735.8100000001</v>
      </c>
      <c r="S48" s="18" t="n">
        <v>467987.7</v>
      </c>
      <c r="T48" s="18" t="n">
        <v>2155093.41</v>
      </c>
      <c r="U48" s="34" t="n">
        <v>2155093.41</v>
      </c>
      <c r="V48" s="18" t="n">
        <v>2080210.98</v>
      </c>
      <c r="W48" s="18" t="n">
        <v>1053262.24</v>
      </c>
      <c r="X48" s="18" t="n">
        <v>1300697.42</v>
      </c>
      <c r="Y48" s="18" t="n">
        <v>1590644.08</v>
      </c>
      <c r="Z48" s="34" t="n">
        <v>1590644.08</v>
      </c>
      <c r="AA48" s="18" t="n">
        <v>2405455.73</v>
      </c>
      <c r="AB48" s="19" t="n">
        <v>2463865.63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장기매입채무및기타채무</t>
        </is>
      </c>
      <c r="E49" s="18" t="n">
        <v>9250.1</v>
      </c>
      <c r="F49" s="34" t="n">
        <v>9250.1</v>
      </c>
      <c r="G49" s="18" t="n">
        <v>8831.59</v>
      </c>
      <c r="H49" s="18" t="n">
        <v>8781.950000000001</v>
      </c>
      <c r="I49" s="18" t="n">
        <v>8858.450000000001</v>
      </c>
      <c r="J49" s="18" t="n">
        <v>9225.66</v>
      </c>
      <c r="K49" s="34" t="n">
        <v>9225.66</v>
      </c>
      <c r="L49" s="18" t="n">
        <v>9211.51</v>
      </c>
      <c r="M49" s="18" t="n">
        <v>9584.18</v>
      </c>
      <c r="N49" s="18" t="n">
        <v>20102.28</v>
      </c>
      <c r="O49" s="18" t="n">
        <v>25747.46</v>
      </c>
      <c r="P49" s="34" t="n">
        <v>25747.46</v>
      </c>
      <c r="Q49" s="18" t="n">
        <v>25232.09</v>
      </c>
      <c r="R49" s="18" t="n">
        <v>26760.8</v>
      </c>
      <c r="S49" s="18" t="n">
        <v>28666.04</v>
      </c>
      <c r="T49" s="18" t="n">
        <v>34511.49</v>
      </c>
      <c r="U49" s="34" t="n">
        <v>34511.49</v>
      </c>
      <c r="V49" s="18" t="n">
        <v>36016.99</v>
      </c>
      <c r="W49" s="18" t="n">
        <v>38222.24</v>
      </c>
      <c r="X49" s="18" t="n">
        <v>39955.89</v>
      </c>
      <c r="Y49" s="18" t="n">
        <v>47062.97</v>
      </c>
      <c r="Z49" s="34" t="n">
        <v>47062.97</v>
      </c>
      <c r="AA49" s="18" t="n">
        <v>51962.92</v>
      </c>
      <c r="AB49" s="19" t="n">
        <v>55137.06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확정급여부채</t>
        </is>
      </c>
      <c r="E50" s="18" t="n">
        <v>59562.11</v>
      </c>
      <c r="F50" s="34" t="n">
        <v>59562.11</v>
      </c>
      <c r="G50" s="18" t="n">
        <v>61543.54</v>
      </c>
      <c r="H50" s="18" t="n">
        <v>63183.42</v>
      </c>
      <c r="I50" s="18" t="n">
        <v>69800.12</v>
      </c>
      <c r="J50" s="18" t="n">
        <v>52628.12</v>
      </c>
      <c r="K50" s="34" t="n">
        <v>52628.12</v>
      </c>
      <c r="L50" s="18" t="n">
        <v>53467.39</v>
      </c>
      <c r="M50" s="18" t="n">
        <v>53546.75</v>
      </c>
      <c r="N50" s="18" t="n">
        <v>55321.96</v>
      </c>
      <c r="O50" s="18" t="n">
        <v>55801.68</v>
      </c>
      <c r="P50" s="34" t="n">
        <v>55801.68</v>
      </c>
      <c r="Q50" s="18" t="n">
        <v>55680.39</v>
      </c>
      <c r="R50" s="18" t="n">
        <v>56114.38</v>
      </c>
      <c r="S50" s="18" t="n">
        <v>57783.47</v>
      </c>
      <c r="T50" s="18" t="n">
        <v>58441.45</v>
      </c>
      <c r="U50" s="34" t="n">
        <v>58441.45</v>
      </c>
      <c r="V50" s="18" t="n">
        <v>49324.45</v>
      </c>
      <c r="X50" s="18" t="n">
        <v>55801.36</v>
      </c>
      <c r="Y50" s="18" t="n">
        <v>44333.5</v>
      </c>
      <c r="Z50" s="34" t="n">
        <v>44333.5</v>
      </c>
      <c r="AA50" s="18" t="n">
        <v>45958.51</v>
      </c>
      <c r="AB50" s="19" t="n">
        <v>46936.6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319090.17</v>
      </c>
      <c r="F51" s="34" t="n">
        <v>319090.17</v>
      </c>
      <c r="G51" s="18" t="n">
        <v>331684.26</v>
      </c>
      <c r="H51" s="18" t="n">
        <v>347164.85</v>
      </c>
      <c r="I51" s="18" t="n">
        <v>373963.69</v>
      </c>
      <c r="J51" s="18" t="n">
        <v>321790.6</v>
      </c>
      <c r="K51" s="34" t="n">
        <v>321790.6</v>
      </c>
      <c r="L51" s="18" t="n">
        <v>284280.93</v>
      </c>
      <c r="M51" s="18" t="n">
        <v>305307.22</v>
      </c>
      <c r="N51" s="18" t="n">
        <v>310159.9</v>
      </c>
      <c r="O51" s="18" t="n">
        <v>84658.17</v>
      </c>
      <c r="P51" s="34" t="n">
        <v>84658.17</v>
      </c>
      <c r="Q51" s="18" t="n">
        <v>85260.02</v>
      </c>
      <c r="R51" s="18" t="n">
        <v>96962.37</v>
      </c>
      <c r="S51" s="18" t="n">
        <v>105491.03</v>
      </c>
      <c r="T51" s="18" t="n">
        <v>102619.02</v>
      </c>
      <c r="U51" s="34" t="n">
        <v>102619.02</v>
      </c>
      <c r="V51" s="18" t="n">
        <v>108322.92</v>
      </c>
      <c r="W51" s="18" t="n">
        <v>104717.99</v>
      </c>
      <c r="X51" s="18" t="n">
        <v>103721.5</v>
      </c>
      <c r="Y51" s="18" t="n">
        <v>111316.77</v>
      </c>
      <c r="Z51" s="34" t="n">
        <v>111316.77</v>
      </c>
      <c r="AA51" s="18" t="n">
        <v>116754.78</v>
      </c>
      <c r="AB51" s="19" t="n">
        <v>115934.98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247054.35</v>
      </c>
      <c r="F52" s="34" t="n">
        <v>247054.35</v>
      </c>
      <c r="G52" s="18" t="n">
        <v>255840.72</v>
      </c>
      <c r="H52" s="18" t="n">
        <v>839810.35</v>
      </c>
      <c r="I52" s="18" t="n">
        <v>2055965.28</v>
      </c>
      <c r="J52" s="18" t="n">
        <v>620301.51</v>
      </c>
      <c r="K52" s="34" t="n">
        <v>620301.51</v>
      </c>
      <c r="L52" s="18" t="n">
        <v>696697.59</v>
      </c>
      <c r="M52" s="18" t="n">
        <v>598464.87</v>
      </c>
      <c r="N52" s="18" t="n">
        <v>737100.8</v>
      </c>
      <c r="O52" s="18" t="n">
        <v>420577.57</v>
      </c>
      <c r="P52" s="34" t="n">
        <v>420577.57</v>
      </c>
      <c r="Q52" s="18" t="n">
        <v>607755.24</v>
      </c>
      <c r="R52" s="18" t="n">
        <v>875928.12</v>
      </c>
      <c r="S52" s="18" t="n">
        <v>411294.18</v>
      </c>
      <c r="T52" s="18" t="n">
        <v>1702277.49</v>
      </c>
      <c r="U52" s="34" t="n">
        <v>1702277.49</v>
      </c>
      <c r="V52" s="18" t="n">
        <v>1650110.55</v>
      </c>
      <c r="W52" s="18" t="n">
        <v>650880.45</v>
      </c>
      <c r="X52" s="18" t="n">
        <v>886912.66</v>
      </c>
      <c r="Y52" s="18" t="n">
        <v>1191846.67</v>
      </c>
      <c r="Z52" s="34" t="n">
        <v>1191846.67</v>
      </c>
      <c r="AA52" s="18" t="n">
        <v>1975136.16</v>
      </c>
      <c r="AB52" s="19" t="n">
        <v>2023765.83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59054.29</v>
      </c>
      <c r="F53" s="34" t="n">
        <v>59054.29</v>
      </c>
      <c r="G53" s="18" t="n">
        <v>66758.77</v>
      </c>
      <c r="H53" s="18" t="n">
        <v>77088.05</v>
      </c>
      <c r="I53" s="18" t="n">
        <v>59882.13</v>
      </c>
      <c r="J53" s="18" t="n">
        <v>1271.5</v>
      </c>
      <c r="K53" s="34" t="n">
        <v>1271.5</v>
      </c>
      <c r="L53" s="18" t="n">
        <v>1275.13</v>
      </c>
      <c r="M53" s="18" t="n">
        <v>1269.4</v>
      </c>
      <c r="N53" s="18" t="n">
        <v>830.74</v>
      </c>
      <c r="O53" s="18" t="n">
        <v>1478.77</v>
      </c>
      <c r="P53" s="34" t="n">
        <v>1478.77</v>
      </c>
      <c r="Q53" s="18" t="n">
        <v>1480.35</v>
      </c>
      <c r="R53" s="18" t="n">
        <v>4856.14</v>
      </c>
      <c r="S53" s="18" t="n">
        <v>20961.24</v>
      </c>
      <c r="T53" s="18" t="n">
        <v>1192.62</v>
      </c>
      <c r="U53" s="34" t="n">
        <v>1192.62</v>
      </c>
      <c r="V53" s="18" t="n">
        <v>1955.34</v>
      </c>
      <c r="W53" s="18" t="n">
        <v>1236.06</v>
      </c>
      <c r="X53" s="18" t="n">
        <v>5608.62</v>
      </c>
      <c r="Y53" s="18" t="n">
        <v>4532.74</v>
      </c>
      <c r="Z53" s="34" t="n">
        <v>4532.74</v>
      </c>
      <c r="AA53" s="18" t="n">
        <v>13819.71</v>
      </c>
      <c r="AB53" s="19" t="n">
        <v>158187.18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14879338.67</v>
      </c>
      <c r="F54" s="34" t="n">
        <v>14879338.67</v>
      </c>
      <c r="G54" s="18" t="n">
        <v>15772766.22</v>
      </c>
      <c r="H54" s="18" t="n">
        <v>17715883.98</v>
      </c>
      <c r="I54" s="18" t="n">
        <v>20603881.06</v>
      </c>
      <c r="J54" s="18" t="n">
        <v>17571346.49</v>
      </c>
      <c r="K54" s="34" t="n">
        <v>17571346.49</v>
      </c>
      <c r="L54" s="18" t="n">
        <v>18180091.08</v>
      </c>
      <c r="M54" s="18" t="n">
        <v>19346744.7</v>
      </c>
      <c r="N54" s="18" t="n">
        <v>20615316.7</v>
      </c>
      <c r="O54" s="18" t="n">
        <v>19872465.25</v>
      </c>
      <c r="P54" s="34" t="n">
        <v>19872465.25</v>
      </c>
      <c r="Q54" s="18" t="n">
        <v>19951677.64</v>
      </c>
      <c r="R54" s="18" t="n">
        <v>19926316.21</v>
      </c>
      <c r="S54" s="18" t="n">
        <v>18454668.52</v>
      </c>
      <c r="T54" s="18" t="n">
        <v>22563324.22</v>
      </c>
      <c r="U54" s="34" t="n">
        <v>22563324.22</v>
      </c>
      <c r="V54" s="18" t="n">
        <v>25016944.53</v>
      </c>
      <c r="W54" s="18" t="n">
        <v>21968154.45</v>
      </c>
      <c r="X54" s="18" t="n">
        <v>22475232.69</v>
      </c>
      <c r="Y54" s="18" t="n">
        <v>22633860.46</v>
      </c>
      <c r="Z54" s="34" t="n">
        <v>22633860.46</v>
      </c>
      <c r="AA54" s="18" t="n">
        <v>24888294.97</v>
      </c>
      <c r="AB54" s="19" t="n">
        <v>27800917.16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9856559.08</v>
      </c>
      <c r="F55" s="34" t="n">
        <v>9856559.08</v>
      </c>
      <c r="G55" s="18" t="n">
        <v>9659384.529999999</v>
      </c>
      <c r="H55" s="18" t="n">
        <v>9587848.449999999</v>
      </c>
      <c r="I55" s="18" t="n">
        <v>9801730.939999999</v>
      </c>
      <c r="J55" s="18" t="n">
        <v>9714919.16</v>
      </c>
      <c r="K55" s="34" t="n">
        <v>9714919.16</v>
      </c>
      <c r="L55" s="18" t="n">
        <v>9682086.619999999</v>
      </c>
      <c r="M55" s="18" t="n">
        <v>9728327.210000001</v>
      </c>
      <c r="N55" s="18" t="n">
        <v>10048549.34</v>
      </c>
      <c r="O55" s="18" t="n">
        <v>9903690.5</v>
      </c>
      <c r="P55" s="34" t="n">
        <v>9903690.5</v>
      </c>
      <c r="Q55" s="18" t="n">
        <v>10086861.76</v>
      </c>
      <c r="R55" s="18" t="n">
        <v>10518174.19</v>
      </c>
      <c r="S55" s="18" t="n">
        <v>10671554.24</v>
      </c>
      <c r="T55" s="18" t="n">
        <v>11099427.06</v>
      </c>
      <c r="U55" s="34" t="n">
        <v>11099427.06</v>
      </c>
      <c r="V55" s="18" t="n">
        <v>11369214.6</v>
      </c>
      <c r="W55" s="18" t="n">
        <v>11994278.75</v>
      </c>
      <c r="X55" s="18" t="n">
        <v>12437819.24</v>
      </c>
      <c r="Y55" s="18" t="n">
        <v>13286077.75</v>
      </c>
      <c r="Z55" s="34" t="n">
        <v>13286077.75</v>
      </c>
      <c r="AA55" s="18" t="n">
        <v>13549752.58</v>
      </c>
      <c r="AB55" s="19" t="n">
        <v>14829923.54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353865.58</v>
      </c>
      <c r="F56" s="34" t="n">
        <v>353865.58</v>
      </c>
      <c r="G56" s="18" t="n">
        <v>353865.58</v>
      </c>
      <c r="H56" s="18" t="n">
        <v>353865.58</v>
      </c>
      <c r="I56" s="18" t="n">
        <v>353865.58</v>
      </c>
      <c r="J56" s="18" t="n">
        <v>353865.58</v>
      </c>
      <c r="K56" s="34" t="n">
        <v>353865.58</v>
      </c>
      <c r="L56" s="18" t="n">
        <v>353865.58</v>
      </c>
      <c r="M56" s="18" t="n">
        <v>353865.58</v>
      </c>
      <c r="N56" s="18" t="n">
        <v>353865.58</v>
      </c>
      <c r="O56" s="18" t="n">
        <v>353865.58</v>
      </c>
      <c r="P56" s="34" t="n">
        <v>353865.58</v>
      </c>
      <c r="Q56" s="18" t="n">
        <v>353865.58</v>
      </c>
      <c r="R56" s="18" t="n">
        <v>353865.58</v>
      </c>
      <c r="S56" s="18" t="n">
        <v>353865.58</v>
      </c>
      <c r="T56" s="18" t="n">
        <v>353865.58</v>
      </c>
      <c r="U56" s="34" t="n">
        <v>353865.58</v>
      </c>
      <c r="V56" s="18" t="n">
        <v>353865.58</v>
      </c>
      <c r="W56" s="18" t="n">
        <v>353865.58</v>
      </c>
      <c r="X56" s="18" t="n">
        <v>353865.58</v>
      </c>
      <c r="Y56" s="18" t="n">
        <v>353865.58</v>
      </c>
      <c r="Z56" s="34" t="n">
        <v>353865.58</v>
      </c>
      <c r="AA56" s="18" t="n">
        <v>353865.58</v>
      </c>
      <c r="AB56" s="19" t="n">
        <v>353865.58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자본잉여금</t>
        </is>
      </c>
      <c r="E57" s="18" t="n">
        <v>2400507.23</v>
      </c>
      <c r="F57" s="34" t="n">
        <v>2400507.23</v>
      </c>
      <c r="G57" s="18" t="n">
        <v>2400507.23</v>
      </c>
      <c r="H57" s="18" t="n">
        <v>2467505.93</v>
      </c>
      <c r="I57" s="18" t="n">
        <v>2467505.93</v>
      </c>
      <c r="J57" s="18" t="n">
        <v>2467505.93</v>
      </c>
      <c r="K57" s="34" t="n">
        <v>2467505.93</v>
      </c>
      <c r="L57" s="18" t="n">
        <v>2466883.26</v>
      </c>
      <c r="M57" s="18" t="n">
        <v>2461903.5</v>
      </c>
      <c r="N57" s="18" t="n">
        <v>2459463.66</v>
      </c>
      <c r="O57" s="18" t="n">
        <v>2459694.58</v>
      </c>
      <c r="P57" s="34" t="n">
        <v>2459694.58</v>
      </c>
      <c r="Q57" s="18" t="n">
        <v>2458941.5</v>
      </c>
      <c r="R57" s="18" t="n">
        <v>2599805.72</v>
      </c>
      <c r="S57" s="18" t="n">
        <v>2599768.66</v>
      </c>
      <c r="T57" s="18" t="n">
        <v>2599782.42</v>
      </c>
      <c r="U57" s="34" t="n">
        <v>2599782.42</v>
      </c>
      <c r="V57" s="18" t="n">
        <v>2599782.22</v>
      </c>
      <c r="W57" s="18" t="n">
        <v>2722590.6</v>
      </c>
      <c r="X57" s="18" t="n">
        <v>2762402.1</v>
      </c>
      <c r="Y57" s="18" t="n">
        <v>3016775.29</v>
      </c>
      <c r="Z57" s="34" t="n">
        <v>3016775.29</v>
      </c>
      <c r="AA57" s="18" t="n">
        <v>3043385.05</v>
      </c>
      <c r="AB57" s="19" t="n">
        <v>3026446.38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-8697362.640000001</v>
      </c>
      <c r="F58" s="34" t="n">
        <v>-8697362.640000001</v>
      </c>
      <c r="G58" s="18" t="n">
        <v>-8703261.529999999</v>
      </c>
      <c r="H58" s="18" t="n">
        <v>-8703261.529999999</v>
      </c>
      <c r="I58" s="18" t="n">
        <v>-8703261.529999999</v>
      </c>
      <c r="J58" s="18" t="n">
        <v>-8703261.529999999</v>
      </c>
      <c r="K58" s="34" t="n">
        <v>-8703261.529999999</v>
      </c>
      <c r="L58" s="18" t="n">
        <v>-8608509.970000001</v>
      </c>
      <c r="M58" s="18" t="n">
        <v>-8608509.970000001</v>
      </c>
      <c r="N58" s="18" t="n">
        <v>-8609897.289999999</v>
      </c>
      <c r="O58" s="18" t="n">
        <v>-8609897.210000001</v>
      </c>
      <c r="P58" s="34" t="n">
        <v>-8609897.210000001</v>
      </c>
      <c r="Q58" s="18" t="n">
        <v>-8609897.210000001</v>
      </c>
      <c r="R58" s="18" t="n">
        <v>-8609897.210000001</v>
      </c>
      <c r="S58" s="18" t="n">
        <v>-8609184.550000001</v>
      </c>
      <c r="T58" s="18" t="n">
        <v>-8609021.439999999</v>
      </c>
      <c r="U58" s="34" t="n">
        <v>-8609021.439999999</v>
      </c>
      <c r="V58" s="18" t="n">
        <v>-8488512.27</v>
      </c>
      <c r="W58" s="18" t="n">
        <v>-8526891.119999999</v>
      </c>
      <c r="X58" s="18" t="n">
        <v>-8541364.859999999</v>
      </c>
      <c r="Y58" s="18" t="n">
        <v>-8608784.609999999</v>
      </c>
      <c r="Z58" s="34" t="n">
        <v>-8608784.609999999</v>
      </c>
      <c r="AA58" s="18" t="n">
        <v>-8608763.65</v>
      </c>
      <c r="AB58" s="19" t="n">
        <v>-8615335.189999999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E59" s="18" t="n">
        <v>1332378.58</v>
      </c>
      <c r="F59" s="34" t="n">
        <v>1332378.58</v>
      </c>
      <c r="G59" s="18" t="n">
        <v>1340687.17</v>
      </c>
      <c r="H59" s="18" t="n">
        <v>1324023.58</v>
      </c>
      <c r="I59" s="18" t="n">
        <v>1307202.75</v>
      </c>
      <c r="J59" s="18" t="n">
        <v>1296442.44</v>
      </c>
      <c r="K59" s="34" t="n">
        <v>1296442.44</v>
      </c>
      <c r="L59" s="18" t="n">
        <v>1307514.11</v>
      </c>
      <c r="M59" s="18" t="n">
        <v>1329368.23</v>
      </c>
      <c r="N59" s="18" t="n">
        <v>1315646.28</v>
      </c>
      <c r="O59" s="18" t="n">
        <v>1325567.79</v>
      </c>
      <c r="P59" s="34" t="n">
        <v>1325567.79</v>
      </c>
      <c r="Q59" s="18" t="n">
        <v>1652051.91</v>
      </c>
      <c r="R59" s="18" t="n">
        <v>1649300.64</v>
      </c>
      <c r="S59" s="18" t="n">
        <v>1650953.48</v>
      </c>
      <c r="T59" s="18" t="n">
        <v>1670921.04</v>
      </c>
      <c r="U59" s="34" t="n">
        <v>1670921.04</v>
      </c>
      <c r="V59" s="18" t="n">
        <v>1684934.55</v>
      </c>
      <c r="W59" s="18" t="n">
        <v>1867347.23</v>
      </c>
      <c r="X59" s="18" t="n">
        <v>1886836.07</v>
      </c>
      <c r="Y59" s="18" t="n">
        <v>1856691.82</v>
      </c>
      <c r="Z59" s="34" t="n">
        <v>1856691.82</v>
      </c>
      <c r="AA59" s="18" t="n">
        <v>1892972.69</v>
      </c>
      <c r="AB59" s="19" t="n">
        <v>1906187.61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이익잉여금</t>
        </is>
      </c>
      <c r="E60" s="18" t="n">
        <v>14467170.34</v>
      </c>
      <c r="F60" s="34" t="n">
        <v>14467170.34</v>
      </c>
      <c r="G60" s="18" t="n">
        <v>14267586.08</v>
      </c>
      <c r="H60" s="18" t="n">
        <v>14145714.88</v>
      </c>
      <c r="I60" s="18" t="n">
        <v>14376418.2</v>
      </c>
      <c r="J60" s="18" t="n">
        <v>14300366.74</v>
      </c>
      <c r="K60" s="34" t="n">
        <v>14300366.74</v>
      </c>
      <c r="L60" s="18" t="n">
        <v>14162333.64</v>
      </c>
      <c r="M60" s="18" t="n">
        <v>14191699.87</v>
      </c>
      <c r="N60" s="18" t="n">
        <v>14529471.11</v>
      </c>
      <c r="O60" s="18" t="n">
        <v>14374459.76</v>
      </c>
      <c r="P60" s="34" t="n">
        <v>14374459.76</v>
      </c>
      <c r="Q60" s="18" t="n">
        <v>14231899.99</v>
      </c>
      <c r="R60" s="18" t="n">
        <v>14525099.47</v>
      </c>
      <c r="S60" s="18" t="n">
        <v>14676151.09</v>
      </c>
      <c r="T60" s="18" t="n">
        <v>15083879.46</v>
      </c>
      <c r="U60" s="34" t="n">
        <v>15083879.46</v>
      </c>
      <c r="V60" s="18" t="n">
        <v>15219144.52</v>
      </c>
      <c r="W60" s="18" t="n">
        <v>15577366.46</v>
      </c>
      <c r="X60" s="18" t="n">
        <v>15976080.35</v>
      </c>
      <c r="Y60" s="18" t="n">
        <v>16667529.66</v>
      </c>
      <c r="Z60" s="34" t="n">
        <v>16667529.66</v>
      </c>
      <c r="AA60" s="18" t="n">
        <v>16868292.91</v>
      </c>
      <c r="AB60" s="19" t="n">
        <v>18158759.16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비지배주주지분</t>
        </is>
      </c>
      <c r="E61" s="18" t="n">
        <v>2557196.22</v>
      </c>
      <c r="F61" s="34" t="n">
        <v>2557196.22</v>
      </c>
      <c r="G61" s="18" t="n">
        <v>2509167.96</v>
      </c>
      <c r="H61" s="18" t="n">
        <v>2617984.74</v>
      </c>
      <c r="I61" s="18" t="n">
        <v>2712483.62</v>
      </c>
      <c r="J61" s="18" t="n">
        <v>2597210.65</v>
      </c>
      <c r="K61" s="34" t="n">
        <v>2597210.65</v>
      </c>
      <c r="L61" s="18" t="n">
        <v>2583661.11</v>
      </c>
      <c r="M61" s="18" t="n">
        <v>2561907.65</v>
      </c>
      <c r="N61" s="18" t="n">
        <v>2569720.49</v>
      </c>
      <c r="O61" s="18" t="n">
        <v>2466412.43</v>
      </c>
      <c r="P61" s="34" t="n">
        <v>2466412.43</v>
      </c>
      <c r="Q61" s="18" t="n">
        <v>2471338.24</v>
      </c>
      <c r="R61" s="18" t="n">
        <v>2700999.51</v>
      </c>
      <c r="S61" s="18" t="n">
        <v>2899864.42</v>
      </c>
      <c r="T61" s="18" t="n">
        <v>3056386.15</v>
      </c>
      <c r="U61" s="34" t="n">
        <v>3056386.15</v>
      </c>
      <c r="V61" s="18" t="n">
        <v>3102040.29</v>
      </c>
      <c r="W61" s="18" t="n">
        <v>3310993.29</v>
      </c>
      <c r="X61" s="18" t="n">
        <v>3514460.73</v>
      </c>
      <c r="Y61" s="18" t="n">
        <v>3622275.09</v>
      </c>
      <c r="Z61" s="34" t="n">
        <v>3622275.09</v>
      </c>
      <c r="AA61" s="18" t="n">
        <v>3766804.1</v>
      </c>
      <c r="AB61" s="19" t="n">
        <v>4093996.07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자본총계</t>
        </is>
      </c>
      <c r="E62" s="18" t="n">
        <v>12413755.3</v>
      </c>
      <c r="F62" s="34" t="n">
        <v>12413755.3</v>
      </c>
      <c r="G62" s="18" t="n">
        <v>12168552.49</v>
      </c>
      <c r="H62" s="18" t="n">
        <v>12205833.18</v>
      </c>
      <c r="I62" s="18" t="n">
        <v>12514214.56</v>
      </c>
      <c r="J62" s="18" t="n">
        <v>12312129.81</v>
      </c>
      <c r="K62" s="34" t="n">
        <v>12312129.81</v>
      </c>
      <c r="L62" s="18" t="n">
        <v>12265747.73</v>
      </c>
      <c r="M62" s="18" t="n">
        <v>12290234.86</v>
      </c>
      <c r="N62" s="18" t="n">
        <v>12618269.82</v>
      </c>
      <c r="O62" s="18" t="n">
        <v>12370102.93</v>
      </c>
      <c r="P62" s="34" t="n">
        <v>12370102.93</v>
      </c>
      <c r="Q62" s="18" t="n">
        <v>12558200</v>
      </c>
      <c r="R62" s="18" t="n">
        <v>13219173.7</v>
      </c>
      <c r="S62" s="18" t="n">
        <v>13571418.66</v>
      </c>
      <c r="T62" s="18" t="n">
        <v>14155813.2</v>
      </c>
      <c r="U62" s="34" t="n">
        <v>14155813.2</v>
      </c>
      <c r="V62" s="18" t="n">
        <v>14471254.88</v>
      </c>
      <c r="W62" s="18" t="n">
        <v>15305272.04</v>
      </c>
      <c r="X62" s="18" t="n">
        <v>15952279.97</v>
      </c>
      <c r="Y62" s="18" t="n">
        <v>16908352.83</v>
      </c>
      <c r="Z62" s="34" t="n">
        <v>16908352.83</v>
      </c>
      <c r="AA62" s="18" t="n">
        <v>17316556.68</v>
      </c>
      <c r="AB62" s="19" t="n">
        <v>18923919.61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부채와자본총계</t>
        </is>
      </c>
      <c r="E63" s="18" t="n">
        <v>27293093.98</v>
      </c>
      <c r="F63" s="34" t="n">
        <v>27293093.98</v>
      </c>
      <c r="G63" s="18" t="n">
        <v>27941318.72</v>
      </c>
      <c r="H63" s="18" t="n">
        <v>29921717.16</v>
      </c>
      <c r="I63" s="18" t="n">
        <v>33118095.62</v>
      </c>
      <c r="J63" s="18" t="n">
        <v>29883476.3</v>
      </c>
      <c r="K63" s="34" t="n">
        <v>29883476.3</v>
      </c>
      <c r="L63" s="18" t="n">
        <v>30445838.81</v>
      </c>
      <c r="M63" s="18" t="n">
        <v>31636979.56</v>
      </c>
      <c r="N63" s="18" t="n">
        <v>33233586.52</v>
      </c>
      <c r="O63" s="18" t="n">
        <v>32242568.18</v>
      </c>
      <c r="P63" s="34" t="n">
        <v>32242568.18</v>
      </c>
      <c r="Q63" s="18" t="n">
        <v>32509877.64</v>
      </c>
      <c r="R63" s="18" t="n">
        <v>33145489.91</v>
      </c>
      <c r="S63" s="18" t="n">
        <v>32026087.18</v>
      </c>
      <c r="T63" s="18" t="n">
        <v>36719137.42</v>
      </c>
      <c r="U63" s="34" t="n">
        <v>36719137.42</v>
      </c>
      <c r="V63" s="18" t="n">
        <v>39488199.41</v>
      </c>
      <c r="W63" s="18" t="n">
        <v>37273426.49</v>
      </c>
      <c r="X63" s="18" t="n">
        <v>38427512.65</v>
      </c>
      <c r="Y63" s="18" t="n">
        <v>39542213.29</v>
      </c>
      <c r="Z63" s="34" t="n">
        <v>39542213.29</v>
      </c>
      <c r="AA63" s="18" t="n">
        <v>42204851.66</v>
      </c>
      <c r="AB63" s="19" t="n">
        <v>46724836.77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총차입금</t>
        </is>
      </c>
      <c r="E64" s="18" t="n">
        <v>5218589.48</v>
      </c>
      <c r="F64" s="34" t="n">
        <v>5218589.48</v>
      </c>
      <c r="G64" s="18" t="n">
        <v>5401848.69</v>
      </c>
      <c r="H64" s="18" t="n">
        <v>5397510.25</v>
      </c>
      <c r="I64" s="18" t="n">
        <v>5358895.73</v>
      </c>
      <c r="J64" s="18" t="n">
        <v>4139734.52</v>
      </c>
      <c r="K64" s="34" t="n">
        <v>4139734.52</v>
      </c>
      <c r="L64" s="18" t="n">
        <v>3790570.74</v>
      </c>
      <c r="M64" s="18" t="n">
        <v>4118356.96</v>
      </c>
      <c r="N64" s="18" t="n">
        <v>3981645.95</v>
      </c>
      <c r="O64" s="18" t="n">
        <v>3918273.75</v>
      </c>
      <c r="P64" s="34" t="n">
        <v>3918273.75</v>
      </c>
      <c r="Q64" s="18" t="n">
        <v>3357227.02</v>
      </c>
      <c r="R64" s="18" t="n">
        <v>2323381.91</v>
      </c>
      <c r="S64" s="18" t="n">
        <v>1679795.73</v>
      </c>
      <c r="T64" s="18" t="n">
        <v>1428485.8</v>
      </c>
      <c r="U64" s="34" t="n">
        <v>1428485.8</v>
      </c>
      <c r="V64" s="18" t="n">
        <v>1766879.5</v>
      </c>
      <c r="W64" s="18" t="n">
        <v>1307434.32</v>
      </c>
      <c r="X64" s="18" t="n">
        <v>1172470.25</v>
      </c>
      <c r="Y64" s="18" t="n">
        <v>1057922.03</v>
      </c>
      <c r="Z64" s="34" t="n">
        <v>1057922.03</v>
      </c>
      <c r="AA64" s="18" t="n">
        <v>1040659.9</v>
      </c>
      <c r="AB64" s="19" t="n">
        <v>2985970.69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순차입금</t>
        </is>
      </c>
      <c r="E65" s="18" t="n">
        <v>-196939.27</v>
      </c>
      <c r="F65" s="34" t="n">
        <v>-196939.27</v>
      </c>
      <c r="G65" s="18" t="n">
        <v>-153844.44</v>
      </c>
      <c r="H65" s="18" t="n">
        <v>-567683.97</v>
      </c>
      <c r="I65" s="18" t="n">
        <v>-976762.24</v>
      </c>
      <c r="J65" s="18" t="n">
        <v>-376206.34</v>
      </c>
      <c r="K65" s="34" t="n">
        <v>-376206.34</v>
      </c>
      <c r="L65" s="18" t="n">
        <v>-809800.8</v>
      </c>
      <c r="M65" s="18" t="n">
        <v>-1060659.62</v>
      </c>
      <c r="N65" s="18" t="n">
        <v>-1789558.53</v>
      </c>
      <c r="O65" s="18" t="n">
        <v>-1125130.89</v>
      </c>
      <c r="P65" s="34" t="n">
        <v>-1125130.89</v>
      </c>
      <c r="Q65" s="18" t="n">
        <v>-1883219.52</v>
      </c>
      <c r="R65" s="18" t="n">
        <v>-3632914.81</v>
      </c>
      <c r="S65" s="18" t="n">
        <v>-3067710.95</v>
      </c>
      <c r="T65" s="18" t="n">
        <v>-5404486.75</v>
      </c>
      <c r="U65" s="34" t="n">
        <v>-5404486.75</v>
      </c>
      <c r="V65" s="18" t="n">
        <v>-7306166.82</v>
      </c>
      <c r="W65" s="18" t="n">
        <v>-7359686.06</v>
      </c>
      <c r="X65" s="18" t="n">
        <v>-3536900.69</v>
      </c>
      <c r="Y65" s="18" t="n">
        <v>-7809801.49</v>
      </c>
      <c r="Z65" s="34" t="n">
        <v>-7809801.49</v>
      </c>
      <c r="AA65" s="18" t="n">
        <v>-9855795.15</v>
      </c>
      <c r="AB65" s="19" t="n">
        <v>-11994028.82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이자발생자산</t>
        </is>
      </c>
      <c r="E66" s="18" t="n">
        <v>5610448.83</v>
      </c>
      <c r="F66" s="34" t="n">
        <v>5610448.83</v>
      </c>
      <c r="G66" s="18" t="n">
        <v>5791374.12</v>
      </c>
      <c r="H66" s="18" t="n">
        <v>6173555.74</v>
      </c>
      <c r="I66" s="18" t="n">
        <v>6513416.19</v>
      </c>
      <c r="J66" s="18" t="n">
        <v>4717235.8</v>
      </c>
      <c r="K66" s="34" t="n">
        <v>4717235.8</v>
      </c>
      <c r="L66" s="18" t="n">
        <v>4815379.69</v>
      </c>
      <c r="M66" s="18" t="n">
        <v>5416162.09</v>
      </c>
      <c r="N66" s="18" t="n">
        <v>5990271.75</v>
      </c>
      <c r="O66" s="18" t="n">
        <v>5276118.94</v>
      </c>
      <c r="P66" s="34" t="n">
        <v>5276118.94</v>
      </c>
      <c r="Q66" s="18" t="n">
        <v>5377655.34</v>
      </c>
      <c r="R66" s="18" t="n">
        <v>6089431.24</v>
      </c>
      <c r="S66" s="18" t="n">
        <v>4885962.53</v>
      </c>
      <c r="T66" s="18" t="n">
        <v>6974564.01</v>
      </c>
      <c r="U66" s="34" t="n">
        <v>6974564.01</v>
      </c>
      <c r="V66" s="18" t="n">
        <v>9214474.689999999</v>
      </c>
      <c r="W66" s="18" t="n">
        <v>8814367.83</v>
      </c>
      <c r="X66" s="18" t="n">
        <v>4835825.03</v>
      </c>
      <c r="Y66" s="18" t="n">
        <v>9006900.539999999</v>
      </c>
      <c r="Z66" s="34" t="n">
        <v>9006900.539999999</v>
      </c>
      <c r="AA66" s="18" t="n">
        <v>11042351.91</v>
      </c>
      <c r="AB66" s="19" t="n">
        <v>15128784.17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4456648.68</v>
      </c>
      <c r="F67" s="9" t="n"/>
      <c r="G67" s="18" t="n">
        <v>3907727.92</v>
      </c>
      <c r="H67" s="18" t="n">
        <v>4188606.45</v>
      </c>
      <c r="I67" s="18" t="n">
        <v>4264415.33</v>
      </c>
      <c r="J67" s="18" t="n">
        <v>4941270.48</v>
      </c>
      <c r="K67" s="34" t="n">
        <v>17302020.18</v>
      </c>
      <c r="L67" s="18" t="n">
        <v>4842359.49</v>
      </c>
      <c r="M67" s="18" t="n">
        <v>5453640</v>
      </c>
      <c r="N67" s="18" t="n">
        <v>5011205.86</v>
      </c>
      <c r="O67" s="18" t="n">
        <v>5989000.22</v>
      </c>
      <c r="P67" s="34" t="n">
        <v>21296205.57</v>
      </c>
      <c r="Q67" s="18" t="n">
        <v>5515626</v>
      </c>
      <c r="R67" s="18" t="n">
        <v>6615483.68</v>
      </c>
      <c r="S67" s="18" t="n">
        <v>6245755.75</v>
      </c>
      <c r="T67" s="18" t="n">
        <v>7161711.94</v>
      </c>
      <c r="U67" s="34" t="n">
        <v>25538577.37</v>
      </c>
      <c r="V67" s="18" t="n">
        <v>6771705.88</v>
      </c>
      <c r="W67" s="18" t="n">
        <v>7428417.05</v>
      </c>
      <c r="X67" s="18" t="n">
        <v>7581435.73</v>
      </c>
      <c r="Y67" s="18" t="n">
        <v>8151656.57</v>
      </c>
      <c r="Z67" s="34" t="n">
        <v>29933215.23</v>
      </c>
      <c r="AA67" s="18" t="n">
        <v>8140889.75</v>
      </c>
      <c r="AB67" s="19" t="n">
        <v>8927046.48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4826100.95</v>
      </c>
      <c r="F68" s="9" t="n"/>
      <c r="G68" s="18" t="n">
        <v>4081812.86</v>
      </c>
      <c r="H68" s="18" t="n">
        <v>4242899.04</v>
      </c>
      <c r="I68" s="18" t="n">
        <v>3853876.38</v>
      </c>
      <c r="J68" s="18" t="n">
        <v>4756992.35</v>
      </c>
      <c r="K68" s="34" t="n">
        <v>16935580.63</v>
      </c>
      <c r="L68" s="18" t="n">
        <v>4638593.79</v>
      </c>
      <c r="M68" s="18" t="n">
        <v>5170910.68</v>
      </c>
      <c r="N68" s="18" t="n">
        <v>4714261.3</v>
      </c>
      <c r="O68" s="18" t="n">
        <v>5724412.66</v>
      </c>
      <c r="P68" s="34" t="n">
        <v>20248178.43</v>
      </c>
      <c r="Q68" s="18" t="n">
        <v>5165675.4</v>
      </c>
      <c r="R68" s="18" t="n">
        <v>5906289.59</v>
      </c>
      <c r="S68" s="18" t="n">
        <v>5539033.5</v>
      </c>
      <c r="T68" s="18" t="n">
        <v>6332211.44</v>
      </c>
      <c r="U68" s="34" t="n">
        <v>22943209.93</v>
      </c>
      <c r="V68" s="18" t="n">
        <v>5609799.66</v>
      </c>
      <c r="W68" s="18" t="n">
        <v>6126416.39</v>
      </c>
      <c r="X68" s="18" t="n">
        <v>6183788.88</v>
      </c>
      <c r="Y68" s="18" t="n">
        <v>6684789.26</v>
      </c>
      <c r="Z68" s="34" t="n">
        <v>24604794.19</v>
      </c>
      <c r="AA68" s="18" t="n">
        <v>6396263.36</v>
      </c>
      <c r="AB68" s="19" t="n">
        <v>6843417.37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-369452.26</v>
      </c>
      <c r="F69" s="9" t="n"/>
      <c r="G69" s="18" t="n">
        <v>-174084.94</v>
      </c>
      <c r="H69" s="18" t="n">
        <v>-54292.6</v>
      </c>
      <c r="I69" s="18" t="n">
        <v>410538.95</v>
      </c>
      <c r="J69" s="18" t="n">
        <v>184278.14</v>
      </c>
      <c r="K69" s="34" t="n">
        <v>366439.55</v>
      </c>
      <c r="L69" s="18" t="n">
        <v>203765.7</v>
      </c>
      <c r="M69" s="18" t="n">
        <v>282729.32</v>
      </c>
      <c r="N69" s="18" t="n">
        <v>296944.56</v>
      </c>
      <c r="O69" s="18" t="n">
        <v>264587.57</v>
      </c>
      <c r="P69" s="34" t="n">
        <v>1048027.15</v>
      </c>
      <c r="Q69" s="18" t="n">
        <v>349950.6</v>
      </c>
      <c r="R69" s="18" t="n">
        <v>709194.09</v>
      </c>
      <c r="S69" s="18" t="n">
        <v>706722.25</v>
      </c>
      <c r="T69" s="18" t="n">
        <v>829500.49</v>
      </c>
      <c r="U69" s="34" t="n">
        <v>2595367.43</v>
      </c>
      <c r="V69" s="18" t="n">
        <v>1161906.22</v>
      </c>
      <c r="W69" s="18" t="n">
        <v>1302000.67</v>
      </c>
      <c r="X69" s="18" t="n">
        <v>1397646.85</v>
      </c>
      <c r="Y69" s="18" t="n">
        <v>1466867.31</v>
      </c>
      <c r="Z69" s="34" t="n">
        <v>5328421.05</v>
      </c>
      <c r="AA69" s="18" t="n">
        <v>1744626.39</v>
      </c>
      <c r="AB69" s="19" t="n">
        <v>2083629.11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327305.99</v>
      </c>
      <c r="F70" s="9" t="n"/>
      <c r="G70" s="18" t="n">
        <v>222310.89</v>
      </c>
      <c r="H70" s="18" t="n">
        <v>210792.41</v>
      </c>
      <c r="I70" s="18" t="n">
        <v>221802.67</v>
      </c>
      <c r="J70" s="18" t="n">
        <v>67094.19</v>
      </c>
      <c r="K70" s="34" t="n">
        <v>722000.16</v>
      </c>
      <c r="L70" s="18" t="n">
        <v>222809.96</v>
      </c>
      <c r="M70" s="18" t="n">
        <v>211472.72</v>
      </c>
      <c r="N70" s="18" t="n">
        <v>227987.2</v>
      </c>
      <c r="O70" s="18" t="n">
        <v>103496.54</v>
      </c>
      <c r="P70" s="34" t="n">
        <v>765766.42</v>
      </c>
      <c r="Q70" s="18" t="n">
        <v>189788.02</v>
      </c>
      <c r="R70" s="18" t="n">
        <v>332729.09</v>
      </c>
      <c r="S70" s="18" t="n">
        <v>308314.67</v>
      </c>
      <c r="T70" s="18" t="n">
        <v>330445.16</v>
      </c>
      <c r="U70" s="34" t="n">
        <v>1161276.94</v>
      </c>
      <c r="V70" s="18" t="n">
        <v>302751.78</v>
      </c>
      <c r="W70" s="18" t="n">
        <v>348359.63</v>
      </c>
      <c r="X70" s="18" t="n">
        <v>343871.63</v>
      </c>
      <c r="Y70" s="18" t="n">
        <v>428948.43</v>
      </c>
      <c r="Z70" s="34" t="n">
        <v>1423931.47</v>
      </c>
      <c r="AA70" s="18" t="n">
        <v>388656.27</v>
      </c>
      <c r="AB70" s="19" t="n">
        <v>438482.73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-696758.26</v>
      </c>
      <c r="F71" s="9" t="n"/>
      <c r="G71" s="18" t="n">
        <v>-396395.83</v>
      </c>
      <c r="H71" s="18" t="n">
        <v>-265085</v>
      </c>
      <c r="I71" s="18" t="n">
        <v>188736.28</v>
      </c>
      <c r="J71" s="18" t="n">
        <v>117183.96</v>
      </c>
      <c r="K71" s="34" t="n">
        <v>-355560.59</v>
      </c>
      <c r="L71" s="18" t="n">
        <v>-19044.26</v>
      </c>
      <c r="M71" s="18" t="n">
        <v>71256.60000000001</v>
      </c>
      <c r="N71" s="18" t="n">
        <v>68957.35000000001</v>
      </c>
      <c r="O71" s="18" t="n">
        <v>161091.03</v>
      </c>
      <c r="P71" s="34" t="n">
        <v>282260.72</v>
      </c>
      <c r="Q71" s="18" t="n">
        <v>160162.57</v>
      </c>
      <c r="R71" s="18" t="n">
        <v>376465</v>
      </c>
      <c r="S71" s="18" t="n">
        <v>398407.58</v>
      </c>
      <c r="T71" s="18" t="n">
        <v>499055.34</v>
      </c>
      <c r="U71" s="34" t="n">
        <v>1434090.49</v>
      </c>
      <c r="V71" s="18" t="n">
        <v>859154.45</v>
      </c>
      <c r="W71" s="18" t="n">
        <v>953641.03</v>
      </c>
      <c r="X71" s="18" t="n">
        <v>1053775.23</v>
      </c>
      <c r="Y71" s="18" t="n">
        <v>1037918.87</v>
      </c>
      <c r="Z71" s="34" t="n">
        <v>3904489.58</v>
      </c>
      <c r="AA71" s="18" t="n">
        <v>1355970.12</v>
      </c>
      <c r="AB71" s="19" t="n">
        <v>1645146.38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99675.03</v>
      </c>
      <c r="F72" s="9" t="n"/>
      <c r="G72" s="18" t="n">
        <v>302131.07</v>
      </c>
      <c r="H72" s="18" t="n">
        <v>674396.92</v>
      </c>
      <c r="I72" s="18" t="n">
        <v>1105446.86</v>
      </c>
      <c r="J72" s="18" t="n">
        <v>84883.87</v>
      </c>
      <c r="K72" s="34" t="n">
        <v>2166858.72</v>
      </c>
      <c r="L72" s="18" t="n">
        <v>486109.7</v>
      </c>
      <c r="M72" s="18" t="n">
        <v>295877.12</v>
      </c>
      <c r="N72" s="18" t="n">
        <v>381594.4</v>
      </c>
      <c r="O72" s="18" t="n">
        <v>109828.84</v>
      </c>
      <c r="P72" s="34" t="n">
        <v>1273410.06</v>
      </c>
      <c r="Q72" s="18" t="n">
        <v>562301.87</v>
      </c>
      <c r="R72" s="18" t="n">
        <v>411062.03</v>
      </c>
      <c r="S72" s="18" t="n">
        <v>1436944.45</v>
      </c>
      <c r="T72" s="18" t="n">
        <v>782980.02</v>
      </c>
      <c r="U72" s="34" t="n">
        <v>3193288.37</v>
      </c>
      <c r="V72" s="18" t="n">
        <v>321348.43</v>
      </c>
      <c r="W72" s="18" t="n">
        <v>2599835.37</v>
      </c>
      <c r="X72" s="18" t="n">
        <v>731596.12</v>
      </c>
      <c r="Y72" s="18" t="n">
        <v>-140290.99</v>
      </c>
      <c r="Z72" s="34" t="n">
        <v>3512488.93</v>
      </c>
      <c r="AA72" s="18" t="n">
        <v>849230.39</v>
      </c>
      <c r="AB72" s="19" t="n">
        <v>1074421.34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113466.04</v>
      </c>
      <c r="F73" s="9" t="n"/>
      <c r="G73" s="18" t="n">
        <v>365911.48</v>
      </c>
      <c r="H73" s="18" t="n">
        <v>1677729.68</v>
      </c>
      <c r="I73" s="18" t="n">
        <v>2986823.21</v>
      </c>
      <c r="J73" s="18" t="n">
        <v>-2192068.23</v>
      </c>
      <c r="K73" s="34" t="n">
        <v>2838396.14</v>
      </c>
      <c r="L73" s="18" t="n">
        <v>1259596.38</v>
      </c>
      <c r="M73" s="18" t="n">
        <v>389157.89</v>
      </c>
      <c r="N73" s="18" t="n">
        <v>978487.1899999999</v>
      </c>
      <c r="O73" s="18" t="n">
        <v>-487653.74</v>
      </c>
      <c r="P73" s="34" t="n">
        <v>2139587.72</v>
      </c>
      <c r="Q73" s="18" t="n">
        <v>1466661.7</v>
      </c>
      <c r="R73" s="18" t="n">
        <v>1168172.86</v>
      </c>
      <c r="S73" s="18" t="n">
        <v>715575.95</v>
      </c>
      <c r="T73" s="18" t="n">
        <v>3144413.44</v>
      </c>
      <c r="U73" s="34" t="n">
        <v>6494823.95</v>
      </c>
      <c r="V73" s="18" t="n">
        <v>547228.71</v>
      </c>
      <c r="W73" s="18" t="n">
        <v>949013.33</v>
      </c>
      <c r="X73" s="18" t="n">
        <v>1719400.67</v>
      </c>
      <c r="Y73" s="18" t="n">
        <v>667698.05</v>
      </c>
      <c r="Z73" s="34" t="n">
        <v>3883340.76</v>
      </c>
      <c r="AA73" s="18" t="n">
        <v>2229310.99</v>
      </c>
      <c r="AB73" s="19" t="n">
        <v>1289073.09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14205.93</v>
      </c>
      <c r="F74" s="9" t="n"/>
      <c r="G74" s="18" t="n">
        <v>148724.27</v>
      </c>
      <c r="H74" s="18" t="n">
        <v>1158851.58</v>
      </c>
      <c r="I74" s="18" t="n">
        <v>2276886.16</v>
      </c>
      <c r="J74" s="18" t="n">
        <v>-2219020.49</v>
      </c>
      <c r="K74" s="34" t="n">
        <v>1365441.52</v>
      </c>
      <c r="L74" s="18" t="n">
        <v>737265.25</v>
      </c>
      <c r="M74" s="18" t="n">
        <v>116488.52</v>
      </c>
      <c r="N74" s="18" t="n">
        <v>677647.13</v>
      </c>
      <c r="O74" s="18" t="n">
        <v>-612388.8199999999</v>
      </c>
      <c r="P74" s="34" t="n">
        <v>919012.08</v>
      </c>
      <c r="Q74" s="18" t="n">
        <v>1082684.59</v>
      </c>
      <c r="R74" s="18" t="n">
        <v>863504.14</v>
      </c>
      <c r="S74" s="18" t="n">
        <v>26009.55</v>
      </c>
      <c r="T74" s="18" t="n">
        <v>2765121.39</v>
      </c>
      <c r="U74" s="34" t="n">
        <v>4737319.67</v>
      </c>
      <c r="V74" s="18" t="n">
        <v>239842.36</v>
      </c>
      <c r="W74" s="18" t="n">
        <v>36143.85</v>
      </c>
      <c r="X74" s="18" t="n">
        <v>1126875.09</v>
      </c>
      <c r="Y74" s="18" t="n">
        <v>508596.43</v>
      </c>
      <c r="Z74" s="34" t="n">
        <v>1911457.73</v>
      </c>
      <c r="AA74" s="18" t="n">
        <v>1709624.43</v>
      </c>
      <c r="AB74" s="19" t="n">
        <v>779789.55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307190.98</v>
      </c>
      <c r="F75" s="9" t="n"/>
      <c r="G75" s="18" t="n">
        <v>71416.94</v>
      </c>
      <c r="H75" s="18" t="n">
        <v>41618.98</v>
      </c>
      <c r="I75" s="18" t="n">
        <v>179216.98</v>
      </c>
      <c r="J75" s="18" t="n">
        <v>475695.26</v>
      </c>
      <c r="K75" s="34" t="n">
        <v>767948.16</v>
      </c>
      <c r="L75" s="18" t="n">
        <v>92296.57000000001</v>
      </c>
      <c r="M75" s="18" t="n">
        <v>43014.44</v>
      </c>
      <c r="N75" s="18" t="n">
        <v>24879.55</v>
      </c>
      <c r="O75" s="18" t="n">
        <v>183029.24</v>
      </c>
      <c r="P75" s="34" t="n">
        <v>343219.8</v>
      </c>
      <c r="Q75" s="18" t="n">
        <v>89172.46000000001</v>
      </c>
      <c r="R75" s="18" t="n">
        <v>26988.92</v>
      </c>
      <c r="S75" s="18" t="n">
        <v>928897.9399999999</v>
      </c>
      <c r="T75" s="18" t="n">
        <v>2012.94</v>
      </c>
      <c r="U75" s="34" t="n">
        <v>1047072.26</v>
      </c>
      <c r="V75" s="18" t="n">
        <v>74061.5</v>
      </c>
      <c r="W75" s="18" t="n">
        <v>2094746.69</v>
      </c>
      <c r="X75" s="18" t="n">
        <v>53837.35</v>
      </c>
      <c r="Y75" s="18" t="n">
        <v>-343651.61</v>
      </c>
      <c r="Z75" s="34" t="n">
        <v>1878993.93</v>
      </c>
      <c r="AA75" s="18" t="n">
        <v>117625.14</v>
      </c>
      <c r="AB75" s="19" t="n">
        <v>47688.9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-174.16</v>
      </c>
      <c r="F76" s="9" t="n"/>
      <c r="G76" s="18" t="n">
        <v>-41.21</v>
      </c>
      <c r="H76" s="18" t="n">
        <v>-146.54</v>
      </c>
      <c r="I76" s="18" t="n">
        <v>-15.37</v>
      </c>
      <c r="J76" s="18" t="n">
        <v>-1287.46</v>
      </c>
      <c r="K76" s="34" t="n">
        <v>-1490.58</v>
      </c>
      <c r="L76" s="18" t="n">
        <v>22</v>
      </c>
      <c r="M76" s="18" t="n">
        <v>-18.18</v>
      </c>
      <c r="N76" s="18" t="n">
        <v>25.48</v>
      </c>
      <c r="O76" s="18" t="n">
        <v>49.67</v>
      </c>
      <c r="P76" s="34" t="n">
        <v>78.97</v>
      </c>
      <c r="Q76" s="18" t="n">
        <v>-196.08</v>
      </c>
      <c r="R76" s="18" t="n">
        <v>27.23</v>
      </c>
      <c r="S76" s="18" t="n">
        <v>9.26</v>
      </c>
      <c r="T76" s="18" t="n">
        <v>20.32</v>
      </c>
      <c r="U76" s="34" t="n">
        <v>-139.27</v>
      </c>
      <c r="V76" s="18" t="n">
        <v>100.38</v>
      </c>
      <c r="W76" s="18" t="n">
        <v>74.98999999999999</v>
      </c>
      <c r="X76" s="18" t="n">
        <v>63.8</v>
      </c>
      <c r="Y76" s="18" t="n">
        <v>-34.16</v>
      </c>
      <c r="Z76" s="34" t="n">
        <v>205.01</v>
      </c>
      <c r="AA76" s="18" t="n">
        <v>15.87</v>
      </c>
      <c r="AB76" s="19" t="n">
        <v>6.83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4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4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4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4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-1003708.48</v>
      </c>
      <c r="F78" s="9" t="n"/>
      <c r="G78" s="18" t="n">
        <v>-382910.12</v>
      </c>
      <c r="H78" s="18" t="n">
        <v>-151331.7</v>
      </c>
      <c r="I78" s="18" t="n">
        <v>405013.74</v>
      </c>
      <c r="J78" s="18" t="n">
        <v>-301867.16</v>
      </c>
      <c r="K78" s="34" t="n">
        <v>-431095.24</v>
      </c>
      <c r="L78" s="18" t="n">
        <v>-147540.24</v>
      </c>
      <c r="M78" s="18" t="n">
        <v>51431.72</v>
      </c>
      <c r="N78" s="18" t="n">
        <v>124857.62</v>
      </c>
      <c r="O78" s="18" t="n">
        <v>-36794.78</v>
      </c>
      <c r="P78" s="34" t="n">
        <v>-8045.68</v>
      </c>
      <c r="Q78" s="18" t="n">
        <v>249118.8</v>
      </c>
      <c r="R78" s="18" t="n">
        <v>455896.62</v>
      </c>
      <c r="S78" s="18" t="n">
        <v>216896.95</v>
      </c>
      <c r="T78" s="18" t="n">
        <v>900750.6899999999</v>
      </c>
      <c r="U78" s="34" t="n">
        <v>1822663.06</v>
      </c>
      <c r="V78" s="18" t="n">
        <v>799155.42</v>
      </c>
      <c r="W78" s="18" t="n">
        <v>545935.22</v>
      </c>
      <c r="X78" s="18" t="n">
        <v>1139072.22</v>
      </c>
      <c r="Y78" s="18" t="n">
        <v>1082143.7</v>
      </c>
      <c r="Z78" s="34" t="n">
        <v>3566306.56</v>
      </c>
      <c r="AA78" s="18" t="n">
        <v>1567904.68</v>
      </c>
      <c r="AB78" s="19" t="n">
        <v>2162602.12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-328418.7</v>
      </c>
      <c r="F79" s="9" t="n"/>
      <c r="G79" s="18" t="n">
        <v>-89750.08</v>
      </c>
      <c r="H79" s="18" t="n">
        <v>-45732.17</v>
      </c>
      <c r="I79" s="18" t="n">
        <v>89182.11</v>
      </c>
      <c r="J79" s="18" t="n">
        <v>-89618.03</v>
      </c>
      <c r="K79" s="34" t="n">
        <v>-135918.17</v>
      </c>
      <c r="L79" s="18" t="n">
        <v>4308.73</v>
      </c>
      <c r="M79" s="18" t="n">
        <v>12022.74</v>
      </c>
      <c r="N79" s="18" t="n">
        <v>-221034.56</v>
      </c>
      <c r="O79" s="18" t="n">
        <v>51727.13</v>
      </c>
      <c r="P79" s="34" t="n">
        <v>-152975.96</v>
      </c>
      <c r="Q79" s="18" t="n">
        <v>55773.12</v>
      </c>
      <c r="R79" s="18" t="n">
        <v>98117.64999999999</v>
      </c>
      <c r="S79" s="18" t="n">
        <v>40511.93</v>
      </c>
      <c r="T79" s="18" t="n">
        <v>173680.25</v>
      </c>
      <c r="U79" s="34" t="n">
        <v>368082.95</v>
      </c>
      <c r="V79" s="18" t="n">
        <v>187530.13</v>
      </c>
      <c r="W79" s="18" t="n">
        <v>98862.17999999999</v>
      </c>
      <c r="X79" s="18" t="n">
        <v>262374.79</v>
      </c>
      <c r="Y79" s="18" t="n">
        <v>89144.2</v>
      </c>
      <c r="Z79" s="34" t="n">
        <v>637911.3</v>
      </c>
      <c r="AA79" s="18" t="n">
        <v>426492.62</v>
      </c>
      <c r="AB79" s="19" t="n">
        <v>568448.34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-675289.77</v>
      </c>
      <c r="F80" s="9" t="n"/>
      <c r="G80" s="18" t="n">
        <v>-293160.04</v>
      </c>
      <c r="H80" s="18" t="n">
        <v>-105599.54</v>
      </c>
      <c r="I80" s="18" t="n">
        <v>315831.63</v>
      </c>
      <c r="J80" s="18" t="n">
        <v>-212249.15</v>
      </c>
      <c r="K80" s="34" t="n">
        <v>-295177.1</v>
      </c>
      <c r="L80" s="18" t="n">
        <v>-151848.97</v>
      </c>
      <c r="M80" s="18" t="n">
        <v>39408.99</v>
      </c>
      <c r="N80" s="18" t="n">
        <v>345892.18</v>
      </c>
      <c r="O80" s="18" t="n">
        <v>-88521.92</v>
      </c>
      <c r="P80" s="34" t="n">
        <v>144930.28</v>
      </c>
      <c r="Q80" s="18" t="n">
        <v>193345.68</v>
      </c>
      <c r="R80" s="18" t="n">
        <v>357778.97</v>
      </c>
      <c r="S80" s="18" t="n">
        <v>176385.02</v>
      </c>
      <c r="T80" s="18" t="n">
        <v>727070.4399999999</v>
      </c>
      <c r="U80" s="34" t="n">
        <v>1454580.11</v>
      </c>
      <c r="V80" s="18" t="n">
        <v>611625.28</v>
      </c>
      <c r="W80" s="18" t="n">
        <v>447073.04</v>
      </c>
      <c r="X80" s="18" t="n">
        <v>876697.4399999999</v>
      </c>
      <c r="Y80" s="18" t="n">
        <v>992999.51</v>
      </c>
      <c r="Z80" s="34" t="n">
        <v>2928395.27</v>
      </c>
      <c r="AA80" s="18" t="n">
        <v>1141412.05</v>
      </c>
      <c r="AB80" s="19" t="n">
        <v>1594153.77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-708042.54</v>
      </c>
      <c r="F81" s="9" t="n"/>
      <c r="G81" s="18" t="n">
        <v>-242252.97</v>
      </c>
      <c r="H81" s="18" t="n">
        <v>-124255.82</v>
      </c>
      <c r="I81" s="18" t="n">
        <v>308381.38</v>
      </c>
      <c r="J81" s="18" t="n">
        <v>-202084.75</v>
      </c>
      <c r="K81" s="34" t="n">
        <v>-260212.16</v>
      </c>
      <c r="L81" s="18" t="n">
        <v>-138057.14</v>
      </c>
      <c r="M81" s="18" t="n">
        <v>40512.07</v>
      </c>
      <c r="N81" s="18" t="n">
        <v>333812.57</v>
      </c>
      <c r="O81" s="18" t="n">
        <v>-247335.56</v>
      </c>
      <c r="P81" s="34" t="n">
        <v>-11068.06</v>
      </c>
      <c r="Q81" s="18" t="n">
        <v>190028.74</v>
      </c>
      <c r="R81" s="18" t="n">
        <v>357713.77</v>
      </c>
      <c r="S81" s="18" t="n">
        <v>177876.61</v>
      </c>
      <c r="T81" s="18" t="n">
        <v>549216.62</v>
      </c>
      <c r="U81" s="34" t="n">
        <v>1274835.74</v>
      </c>
      <c r="V81" s="18" t="n">
        <v>629032.12</v>
      </c>
      <c r="W81" s="18" t="n">
        <v>710535.8199999999</v>
      </c>
      <c r="X81" s="18" t="n">
        <v>888107.52</v>
      </c>
      <c r="Y81" s="18" t="n">
        <v>968531.85</v>
      </c>
      <c r="Z81" s="34" t="n">
        <v>3196207.31</v>
      </c>
      <c r="AA81" s="18" t="n">
        <v>1178885.04</v>
      </c>
      <c r="AB81" s="19" t="n">
        <v>1609242.49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E82" s="18" t="n">
        <v>-519774.03</v>
      </c>
      <c r="F82" s="9" t="n"/>
      <c r="G82" s="18" t="n">
        <v>-231682.21</v>
      </c>
      <c r="H82" s="18" t="n">
        <v>-116620.8</v>
      </c>
      <c r="I82" s="18" t="n">
        <v>227971.18</v>
      </c>
      <c r="J82" s="18" t="n">
        <v>-96617.78999999999</v>
      </c>
      <c r="K82" s="34" t="n">
        <v>-216949.62</v>
      </c>
      <c r="L82" s="18" t="n">
        <v>-139792.81</v>
      </c>
      <c r="M82" s="18" t="n">
        <v>49779.53</v>
      </c>
      <c r="N82" s="18" t="n">
        <v>336995.34</v>
      </c>
      <c r="O82" s="18" t="n">
        <v>-25271.07</v>
      </c>
      <c r="P82" s="34" t="n">
        <v>221710.99</v>
      </c>
      <c r="Q82" s="18" t="n">
        <v>188946.85</v>
      </c>
      <c r="R82" s="18" t="n">
        <v>292130.85</v>
      </c>
      <c r="S82" s="18" t="n">
        <v>151043.57</v>
      </c>
      <c r="T82" s="18" t="n">
        <v>540214.6800000001</v>
      </c>
      <c r="U82" s="34" t="n">
        <v>1172335.95</v>
      </c>
      <c r="W82" s="18" t="n">
        <v>356438.68</v>
      </c>
      <c r="X82" s="18" t="n">
        <v>633303.12</v>
      </c>
      <c r="Y82" s="18" t="n">
        <v>683273.4300000001</v>
      </c>
      <c r="Z82" s="9" t="n"/>
      <c r="AB82" s="19" t="n">
        <v>1287492.19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E83" s="18" t="n">
        <v>-155515.74</v>
      </c>
      <c r="F83" s="9" t="n"/>
      <c r="G83" s="18" t="n">
        <v>-61477.84</v>
      </c>
      <c r="H83" s="18" t="n">
        <v>11021.26</v>
      </c>
      <c r="I83" s="18" t="n">
        <v>87860.44</v>
      </c>
      <c r="J83" s="18" t="n">
        <v>-115631.35</v>
      </c>
      <c r="K83" s="34" t="n">
        <v>-78227.49000000001</v>
      </c>
      <c r="L83" s="18" t="n">
        <v>-12056.17</v>
      </c>
      <c r="M83" s="18" t="n">
        <v>-10370.55</v>
      </c>
      <c r="N83" s="18" t="n">
        <v>8896.84</v>
      </c>
      <c r="O83" s="18" t="n">
        <v>-63250.85</v>
      </c>
      <c r="P83" s="34" t="n">
        <v>-76780.73</v>
      </c>
      <c r="Q83" s="18" t="n">
        <v>4398.83</v>
      </c>
      <c r="R83" s="18" t="n">
        <v>65648.12</v>
      </c>
      <c r="S83" s="18" t="n">
        <v>25341.44</v>
      </c>
      <c r="T83" s="18" t="n">
        <v>186855.76</v>
      </c>
      <c r="U83" s="34" t="n">
        <v>282244.15</v>
      </c>
      <c r="V83" s="18" t="n">
        <v>116228.08</v>
      </c>
      <c r="W83" s="18" t="n">
        <v>90634.37</v>
      </c>
      <c r="X83" s="18" t="n">
        <v>243394.32</v>
      </c>
      <c r="Y83" s="18" t="n">
        <v>309726.07</v>
      </c>
      <c r="Z83" s="34" t="n">
        <v>759982.84</v>
      </c>
      <c r="AA83" s="18" t="n">
        <v>297157.14</v>
      </c>
      <c r="AB83" s="19" t="n">
        <v>306661.58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-13791.01</v>
      </c>
      <c r="F84" s="9" t="n"/>
      <c r="G84" s="18" t="n">
        <v>-63780.41</v>
      </c>
      <c r="H84" s="18" t="n">
        <v>-1003332.76</v>
      </c>
      <c r="I84" s="18" t="n">
        <v>-1881376.35</v>
      </c>
      <c r="J84" s="18" t="n">
        <v>2276952.1</v>
      </c>
      <c r="K84" s="34" t="n">
        <v>-671537.42</v>
      </c>
      <c r="L84" s="18" t="n">
        <v>-773486.6800000001</v>
      </c>
      <c r="M84" s="18" t="n">
        <v>-93280.77</v>
      </c>
      <c r="N84" s="18" t="n">
        <v>-596892.79</v>
      </c>
      <c r="O84" s="18" t="n">
        <v>597482.58</v>
      </c>
      <c r="P84" s="34" t="n">
        <v>-866177.66</v>
      </c>
      <c r="Q84" s="18" t="n">
        <v>-904359.83</v>
      </c>
      <c r="R84" s="18" t="n">
        <v>-757110.83</v>
      </c>
      <c r="S84" s="18" t="n">
        <v>721368.5</v>
      </c>
      <c r="T84" s="18" t="n">
        <v>-2361433.42</v>
      </c>
      <c r="U84" s="34" t="n">
        <v>-3301535.58</v>
      </c>
      <c r="V84" s="18" t="n">
        <v>-225880.28</v>
      </c>
      <c r="W84" s="18" t="n">
        <v>1650822.04</v>
      </c>
      <c r="X84" s="18" t="n">
        <v>-987804.55</v>
      </c>
      <c r="Y84" s="18" t="n">
        <v>-807989.04</v>
      </c>
      <c r="Z84" s="34" t="n">
        <v>-370851.83</v>
      </c>
      <c r="AA84" s="18" t="n">
        <v>-1380080.6</v>
      </c>
      <c r="AB84" s="19" t="n">
        <v>-214651.75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-292985.05</v>
      </c>
      <c r="F85" s="9" t="n"/>
      <c r="G85" s="18" t="n">
        <v>77307.33</v>
      </c>
      <c r="H85" s="18" t="n">
        <v>1117232.6</v>
      </c>
      <c r="I85" s="18" t="n">
        <v>2097669.18</v>
      </c>
      <c r="J85" s="18" t="n">
        <v>-2694715.75</v>
      </c>
      <c r="K85" s="34" t="n">
        <v>597493.36</v>
      </c>
      <c r="L85" s="18" t="n">
        <v>644968.6800000001</v>
      </c>
      <c r="M85" s="18" t="n">
        <v>73474.08</v>
      </c>
      <c r="N85" s="18" t="n">
        <v>652767.58</v>
      </c>
      <c r="O85" s="18" t="n">
        <v>-795418.0600000001</v>
      </c>
      <c r="P85" s="34" t="n">
        <v>575792.28</v>
      </c>
      <c r="Q85" s="18" t="n">
        <v>993512.13</v>
      </c>
      <c r="R85" s="18" t="n">
        <v>836515.22</v>
      </c>
      <c r="S85" s="18" t="n">
        <v>-902888.39</v>
      </c>
      <c r="T85" s="18" t="n">
        <v>2763108.45</v>
      </c>
      <c r="U85" s="34" t="n">
        <v>3690247.41</v>
      </c>
      <c r="V85" s="18" t="n">
        <v>165780.86</v>
      </c>
      <c r="W85" s="18" t="n">
        <v>-2058602.84</v>
      </c>
      <c r="X85" s="18" t="n">
        <v>1073037.74</v>
      </c>
      <c r="Y85" s="18" t="n">
        <v>852248.04</v>
      </c>
      <c r="Z85" s="34" t="n">
        <v>32463.8</v>
      </c>
      <c r="AA85" s="18" t="n">
        <v>1591999.29</v>
      </c>
      <c r="AB85" s="19" t="n">
        <v>732100.65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-675289.77</v>
      </c>
      <c r="F86" s="9" t="n"/>
      <c r="G86" s="18" t="n">
        <v>-293160.04</v>
      </c>
      <c r="H86" s="18" t="n">
        <v>-105599.54</v>
      </c>
      <c r="I86" s="18" t="n">
        <v>315831.63</v>
      </c>
      <c r="J86" s="18" t="n">
        <v>-212249.15</v>
      </c>
      <c r="K86" s="34" t="n">
        <v>-295177.1</v>
      </c>
      <c r="L86" s="18" t="n">
        <v>-151848.97</v>
      </c>
      <c r="M86" s="18" t="n">
        <v>39408.99</v>
      </c>
      <c r="N86" s="18" t="n">
        <v>345892.18</v>
      </c>
      <c r="O86" s="18" t="n">
        <v>-88521.92</v>
      </c>
      <c r="P86" s="34" t="n">
        <v>144930.28</v>
      </c>
      <c r="Q86" s="18" t="n">
        <v>193345.68</v>
      </c>
      <c r="R86" s="18" t="n">
        <v>357778.97</v>
      </c>
      <c r="S86" s="18" t="n">
        <v>176385.02</v>
      </c>
      <c r="T86" s="18" t="n">
        <v>727070.4399999999</v>
      </c>
      <c r="U86" s="34" t="n">
        <v>1454580.11</v>
      </c>
      <c r="V86" s="18" t="n">
        <v>611625.28</v>
      </c>
      <c r="W86" s="18" t="n">
        <v>447073.04</v>
      </c>
      <c r="X86" s="18" t="n">
        <v>876697.4399999999</v>
      </c>
      <c r="Y86" s="18" t="n">
        <v>992999.51</v>
      </c>
      <c r="Z86" s="34" t="n">
        <v>2928395.27</v>
      </c>
      <c r="AA86" s="18" t="n">
        <v>1141412.05</v>
      </c>
      <c r="AB86" s="19" t="n">
        <v>1594153.77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-441452.68</v>
      </c>
      <c r="F87" s="9" t="n"/>
      <c r="G87" s="18" t="n">
        <v>19429.74</v>
      </c>
      <c r="H87" s="18" t="n">
        <v>208403.68</v>
      </c>
      <c r="I87" s="18" t="n">
        <v>191575.98</v>
      </c>
      <c r="J87" s="18" t="n">
        <v>42836.37</v>
      </c>
      <c r="K87" s="34" t="n">
        <v>462245.77</v>
      </c>
      <c r="L87" s="18" t="n">
        <v>762750.9300000001</v>
      </c>
      <c r="M87" s="18" t="n">
        <v>542991.39</v>
      </c>
      <c r="N87" s="18" t="n">
        <v>944715.27</v>
      </c>
      <c r="O87" s="18" t="n">
        <v>-168866.66</v>
      </c>
      <c r="P87" s="34" t="n">
        <v>2081590.93</v>
      </c>
      <c r="Q87" s="18" t="n">
        <v>755596.45</v>
      </c>
      <c r="R87" s="18" t="n">
        <v>1526057.79</v>
      </c>
      <c r="S87" s="18" t="n">
        <v>119321.75</v>
      </c>
      <c r="T87" s="18" t="n">
        <v>1887684.19</v>
      </c>
      <c r="U87" s="34" t="n">
        <v>4288660.18</v>
      </c>
      <c r="V87" s="18" t="n">
        <v>2184544.04</v>
      </c>
      <c r="W87" s="18" t="n">
        <v>1082950.18</v>
      </c>
      <c r="X87" s="18" t="n">
        <v>1702441.67</v>
      </c>
      <c r="Y87" s="18" t="n">
        <v>-547885.25</v>
      </c>
      <c r="Z87" s="34" t="n">
        <v>4422050.64</v>
      </c>
      <c r="AA87" s="18" t="n">
        <v>1775559.42</v>
      </c>
      <c r="AB87" s="19" t="n">
        <v>2603951.37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16996.82</v>
      </c>
      <c r="F88" s="9" t="n"/>
      <c r="G88" s="18" t="n">
        <v>18414.8</v>
      </c>
      <c r="H88" s="18" t="n">
        <v>22974.54</v>
      </c>
      <c r="I88" s="18" t="n">
        <v>31343.76</v>
      </c>
      <c r="J88" s="18" t="n">
        <v>51703.69</v>
      </c>
      <c r="K88" s="34" t="n">
        <v>124436.79</v>
      </c>
      <c r="L88" s="18" t="n">
        <v>47765.21</v>
      </c>
      <c r="M88" s="18" t="n">
        <v>41450.99</v>
      </c>
      <c r="N88" s="18" t="n">
        <v>37646.93</v>
      </c>
      <c r="O88" s="18" t="n">
        <v>61566.25</v>
      </c>
      <c r="P88" s="34" t="n">
        <v>188429.38</v>
      </c>
      <c r="Q88" s="18" t="n">
        <v>65644.19</v>
      </c>
      <c r="R88" s="18" t="n">
        <v>50606.21</v>
      </c>
      <c r="S88" s="18" t="n">
        <v>48306.57</v>
      </c>
      <c r="T88" s="18" t="n">
        <v>51513.17</v>
      </c>
      <c r="U88" s="34" t="n">
        <v>216070.14</v>
      </c>
      <c r="V88" s="18" t="n">
        <v>48068.96</v>
      </c>
      <c r="W88" s="18" t="n">
        <v>69575.62</v>
      </c>
      <c r="X88" s="18" t="n">
        <v>61388.33</v>
      </c>
      <c r="Y88" s="18" t="n">
        <v>46506.68</v>
      </c>
      <c r="Z88" s="34" t="n">
        <v>225539.59</v>
      </c>
      <c r="AA88" s="18" t="n">
        <v>62709.95</v>
      </c>
      <c r="AB88" s="19" t="n">
        <v>89592.67999999999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-33999.42</v>
      </c>
      <c r="F89" s="9" t="n"/>
      <c r="G89" s="18" t="n">
        <v>-29831.84</v>
      </c>
      <c r="H89" s="18" t="n">
        <v>-31392.63</v>
      </c>
      <c r="I89" s="18" t="n">
        <v>-34973.1</v>
      </c>
      <c r="J89" s="18" t="n">
        <v>-32004.07</v>
      </c>
      <c r="K89" s="34" t="n">
        <v>-128201.64</v>
      </c>
      <c r="L89" s="18" t="n">
        <v>-46093.64</v>
      </c>
      <c r="M89" s="18" t="n">
        <v>-37699.81</v>
      </c>
      <c r="N89" s="18" t="n">
        <v>-41720.64</v>
      </c>
      <c r="O89" s="18" t="n">
        <v>-52044.08</v>
      </c>
      <c r="P89" s="34" t="n">
        <v>-177558.17</v>
      </c>
      <c r="Q89" s="18" t="n">
        <v>-62119.68</v>
      </c>
      <c r="R89" s="18" t="n">
        <v>-30188.56</v>
      </c>
      <c r="S89" s="18" t="n">
        <v>-41195.57</v>
      </c>
      <c r="T89" s="18" t="n">
        <v>-18127.61</v>
      </c>
      <c r="U89" s="34" t="n">
        <v>-151631.42</v>
      </c>
      <c r="V89" s="18" t="n">
        <v>-24354.76</v>
      </c>
      <c r="W89" s="18" t="n">
        <v>-9728.43</v>
      </c>
      <c r="X89" s="18" t="n">
        <v>-18560.29</v>
      </c>
      <c r="Y89" s="18" t="n">
        <v>-27062.5</v>
      </c>
      <c r="Z89" s="34" t="n">
        <v>-79705.98</v>
      </c>
      <c r="AA89" s="18" t="n">
        <v>-15370.69</v>
      </c>
      <c r="AB89" s="19" t="n">
        <v>-2490.84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40737.12</v>
      </c>
      <c r="F90" s="9" t="n"/>
      <c r="G90" s="18" t="n">
        <v>172.75</v>
      </c>
      <c r="H90" s="18" t="n">
        <v>6258.74</v>
      </c>
      <c r="I90" s="18" t="n">
        <v>13.91</v>
      </c>
      <c r="J90" s="18" t="n">
        <v>4</v>
      </c>
      <c r="K90" s="34" t="n">
        <v>6449.4</v>
      </c>
      <c r="L90" s="18" t="n">
        <v>170.25</v>
      </c>
      <c r="M90" s="18" t="n">
        <v>6771.23</v>
      </c>
      <c r="N90" s="18" t="n">
        <v>12.81</v>
      </c>
      <c r="O90" s="18" t="n">
        <v>4</v>
      </c>
      <c r="P90" s="34" t="n">
        <v>6958.29</v>
      </c>
      <c r="Q90" s="18" t="n">
        <v>54.78</v>
      </c>
      <c r="R90" s="18" t="n">
        <v>3706.77</v>
      </c>
      <c r="S90" s="18" t="n">
        <v>12.41</v>
      </c>
      <c r="T90" s="18" t="n">
        <v>27838.71</v>
      </c>
      <c r="U90" s="34" t="n">
        <v>31612.67</v>
      </c>
      <c r="V90" s="18" t="n">
        <v>37.05</v>
      </c>
      <c r="W90" s="18" t="n">
        <v>1020.28</v>
      </c>
      <c r="X90" s="18" t="n">
        <v>64.84</v>
      </c>
      <c r="Y90" s="18" t="n">
        <v>6.42</v>
      </c>
      <c r="Z90" s="34" t="n">
        <v>1128.59</v>
      </c>
      <c r="AA90" s="18" t="n">
        <v>76.19</v>
      </c>
      <c r="AB90" s="19" t="n">
        <v>1304.09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655.01</v>
      </c>
      <c r="F91" s="9" t="n"/>
      <c r="G91" s="18" t="n">
        <v>-3175.4</v>
      </c>
      <c r="H91" s="18" t="n">
        <v>4117.76</v>
      </c>
      <c r="I91" s="18" t="n">
        <v>-10400.97</v>
      </c>
      <c r="J91" s="18" t="n">
        <v>-9209.02</v>
      </c>
      <c r="K91" s="34" t="n">
        <v>-18667.63</v>
      </c>
      <c r="L91" s="18" t="n">
        <v>-8706.120000000001</v>
      </c>
      <c r="M91" s="18" t="n">
        <v>-1843.93</v>
      </c>
      <c r="N91" s="18" t="n">
        <v>-6611.94</v>
      </c>
      <c r="O91" s="18" t="n">
        <v>-7857</v>
      </c>
      <c r="P91" s="34" t="n">
        <v>-25018.99</v>
      </c>
      <c r="Q91" s="18" t="n">
        <v>-7286.07</v>
      </c>
      <c r="T91" s="18" t="n">
        <v>-8961.690000000001</v>
      </c>
      <c r="U91" s="9" t="n"/>
      <c r="V91" s="18" t="n">
        <v>-12467.11</v>
      </c>
      <c r="Y91" s="18" t="n">
        <v>-8551.040000000001</v>
      </c>
      <c r="Z91" s="9" t="n"/>
      <c r="AA91" s="18" t="n">
        <v>-23026.9</v>
      </c>
      <c r="AB91" s="19" t="n">
        <v>-63819.1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167889.63</v>
      </c>
      <c r="F92" s="9" t="n"/>
      <c r="G92" s="18" t="n">
        <v>-199318.38</v>
      </c>
      <c r="H92" s="18" t="n">
        <v>-19669.57</v>
      </c>
      <c r="I92" s="18" t="n">
        <v>-1039801.34</v>
      </c>
      <c r="J92" s="18" t="n">
        <v>-80681.37</v>
      </c>
      <c r="K92" s="34" t="n">
        <v>-1339470.66</v>
      </c>
      <c r="L92" s="18" t="n">
        <v>-21313.82</v>
      </c>
      <c r="M92" s="18" t="n">
        <v>586275.47</v>
      </c>
      <c r="N92" s="18" t="n">
        <v>-994862.9399999999</v>
      </c>
      <c r="O92" s="18" t="n">
        <v>-836988.26</v>
      </c>
      <c r="P92" s="34" t="n">
        <v>-1266889.55</v>
      </c>
      <c r="Q92" s="18" t="n">
        <v>510535.87</v>
      </c>
      <c r="R92" s="18" t="n">
        <v>-1093407.1</v>
      </c>
      <c r="S92" s="18" t="n">
        <v>-261909.31</v>
      </c>
      <c r="T92" s="18" t="n">
        <v>-388020.87</v>
      </c>
      <c r="U92" s="34" t="n">
        <v>-1232801.41</v>
      </c>
      <c r="V92" s="18" t="n">
        <v>-753976.5600000001</v>
      </c>
      <c r="W92" s="18" t="n">
        <v>-464113.62</v>
      </c>
      <c r="X92" s="18" t="n">
        <v>-2107226.95</v>
      </c>
      <c r="Y92" s="18" t="n">
        <v>-278523.19</v>
      </c>
      <c r="Z92" s="34" t="n">
        <v>-3603840.32</v>
      </c>
      <c r="AA92" s="18" t="n">
        <v>975569.45</v>
      </c>
      <c r="AB92" s="19" t="n">
        <v>446610.35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7674.54</v>
      </c>
      <c r="F93" s="9" t="n"/>
      <c r="G93" s="18" t="n">
        <v>2878.08</v>
      </c>
      <c r="H93" s="18" t="n">
        <v>7116.78</v>
      </c>
      <c r="I93" s="18" t="n">
        <v>10419.17</v>
      </c>
      <c r="J93" s="18" t="n">
        <v>3217.02</v>
      </c>
      <c r="K93" s="34" t="n">
        <v>23631.05</v>
      </c>
      <c r="L93" s="18" t="n">
        <v>2904.18</v>
      </c>
      <c r="M93" s="18" t="n">
        <v>4930.15</v>
      </c>
      <c r="N93" s="18" t="n">
        <v>3602.49</v>
      </c>
      <c r="O93" s="18" t="n">
        <v>12225.01</v>
      </c>
      <c r="P93" s="34" t="n">
        <v>23661.83</v>
      </c>
      <c r="Q93" s="18" t="n">
        <v>8761.559999999999</v>
      </c>
      <c r="R93" s="18" t="n">
        <v>8415.43</v>
      </c>
      <c r="S93" s="18" t="n">
        <v>5498.76</v>
      </c>
      <c r="T93" s="18" t="n">
        <v>1820.38</v>
      </c>
      <c r="U93" s="34" t="n">
        <v>24496.13</v>
      </c>
      <c r="V93" s="18" t="n">
        <v>4219.63</v>
      </c>
      <c r="W93" s="18" t="n">
        <v>15773.93</v>
      </c>
      <c r="X93" s="18" t="n">
        <v>2713.72</v>
      </c>
      <c r="Y93" s="18" t="n">
        <v>9218.65</v>
      </c>
      <c r="Z93" s="34" t="n">
        <v>31925.93</v>
      </c>
      <c r="AA93" s="18" t="n">
        <v>1952.13</v>
      </c>
      <c r="AB93" s="19" t="n">
        <v>9804.360000000001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E94" s="18" t="n">
        <v>300</v>
      </c>
      <c r="F94" s="9" t="n"/>
      <c r="I94" s="18" t="n">
        <v>0</v>
      </c>
      <c r="J94" s="18" t="n">
        <v>0</v>
      </c>
      <c r="K94" s="9" t="n"/>
      <c r="P94" s="9" t="n"/>
      <c r="T94" s="18" t="n">
        <v>0</v>
      </c>
      <c r="U94" s="9" t="n"/>
      <c r="V94" s="18" t="n">
        <v>11.21</v>
      </c>
      <c r="W94" s="18" t="n">
        <v>0</v>
      </c>
      <c r="X94" s="18" t="n">
        <v>985.91</v>
      </c>
      <c r="Y94" s="18" t="n">
        <v>3282.05</v>
      </c>
      <c r="Z94" s="34" t="n">
        <v>4279.17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유형자산의증가</t>
        </is>
      </c>
      <c r="E95" s="18" t="n">
        <v>111586.14</v>
      </c>
      <c r="F95" s="9" t="n"/>
      <c r="G95" s="18" t="n">
        <v>92408.14999999999</v>
      </c>
      <c r="H95" s="18" t="n">
        <v>154627.4</v>
      </c>
      <c r="I95" s="18" t="n">
        <v>211326.34</v>
      </c>
      <c r="J95" s="18" t="n">
        <v>208529.12</v>
      </c>
      <c r="K95" s="34" t="n">
        <v>666891.01</v>
      </c>
      <c r="L95" s="18" t="n">
        <v>146046.52</v>
      </c>
      <c r="M95" s="18" t="n">
        <v>222061.34</v>
      </c>
      <c r="N95" s="18" t="n">
        <v>227623.87</v>
      </c>
      <c r="O95" s="18" t="n">
        <v>226221.37</v>
      </c>
      <c r="P95" s="34" t="n">
        <v>821953.1</v>
      </c>
      <c r="Q95" s="18" t="n">
        <v>184798.26</v>
      </c>
      <c r="R95" s="18" t="n">
        <v>237755</v>
      </c>
      <c r="S95" s="18" t="n">
        <v>242961.79</v>
      </c>
      <c r="T95" s="18" t="n">
        <v>225473.99</v>
      </c>
      <c r="U95" s="34" t="n">
        <v>890989.04</v>
      </c>
      <c r="V95" s="18" t="n">
        <v>305401.7</v>
      </c>
      <c r="W95" s="18" t="n">
        <v>192975.17</v>
      </c>
      <c r="X95" s="18" t="n">
        <v>223086.15</v>
      </c>
      <c r="Y95" s="18" t="n">
        <v>225371.71</v>
      </c>
      <c r="Z95" s="34" t="n">
        <v>946834.73</v>
      </c>
      <c r="AA95" s="18" t="n">
        <v>184515.63</v>
      </c>
      <c r="AB95" s="19" t="n">
        <v>195858.74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CAPEX</t>
        </is>
      </c>
      <c r="E96" s="18" t="n">
        <v>128443.33</v>
      </c>
      <c r="F96" s="9" t="n"/>
      <c r="G96" s="18" t="n">
        <v>97553.85000000001</v>
      </c>
      <c r="H96" s="18" t="n">
        <v>161857.65</v>
      </c>
      <c r="I96" s="18" t="n">
        <v>223384.89</v>
      </c>
      <c r="J96" s="18" t="n">
        <v>224603.23</v>
      </c>
      <c r="K96" s="34" t="n">
        <v>707399.62</v>
      </c>
      <c r="L96" s="18" t="n">
        <v>156070.01</v>
      </c>
      <c r="M96" s="18" t="n">
        <v>233127.78</v>
      </c>
      <c r="N96" s="18" t="n">
        <v>243738.95</v>
      </c>
      <c r="O96" s="18" t="n">
        <v>249103.02</v>
      </c>
      <c r="P96" s="34" t="n">
        <v>882039.76</v>
      </c>
      <c r="Q96" s="18" t="n">
        <v>195556.18</v>
      </c>
      <c r="R96" s="18" t="n">
        <v>248185.1</v>
      </c>
      <c r="S96" s="18" t="n">
        <v>253555.15</v>
      </c>
      <c r="T96" s="18" t="n">
        <v>251745.24</v>
      </c>
      <c r="U96" s="34" t="n">
        <v>949041.67</v>
      </c>
      <c r="V96" s="18" t="n">
        <v>312531.22</v>
      </c>
      <c r="W96" s="18" t="n">
        <v>206038.33</v>
      </c>
      <c r="X96" s="18" t="n">
        <v>233867.76</v>
      </c>
      <c r="Y96" s="18" t="n">
        <v>251263.64</v>
      </c>
      <c r="Z96" s="34" t="n">
        <v>1003700.95</v>
      </c>
      <c r="AA96" s="18" t="n">
        <v>193606.13</v>
      </c>
      <c r="AB96" s="19" t="n">
        <v>209826.55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16857.19</v>
      </c>
      <c r="F97" s="9" t="n"/>
      <c r="G97" s="18" t="n">
        <v>5145.7</v>
      </c>
      <c r="H97" s="18" t="n">
        <v>7230.25</v>
      </c>
      <c r="I97" s="18" t="n">
        <v>12058.55</v>
      </c>
      <c r="J97" s="18" t="n">
        <v>16074.11</v>
      </c>
      <c r="K97" s="34" t="n">
        <v>40508.61</v>
      </c>
      <c r="L97" s="18" t="n">
        <v>10023.49</v>
      </c>
      <c r="M97" s="18" t="n">
        <v>11066.44</v>
      </c>
      <c r="N97" s="18" t="n">
        <v>16115.08</v>
      </c>
      <c r="O97" s="18" t="n">
        <v>22881.65</v>
      </c>
      <c r="P97" s="34" t="n">
        <v>60086.66</v>
      </c>
      <c r="Q97" s="18" t="n">
        <v>10757.92</v>
      </c>
      <c r="R97" s="18" t="n">
        <v>10430.1</v>
      </c>
      <c r="S97" s="18" t="n">
        <v>10593.36</v>
      </c>
      <c r="T97" s="18" t="n">
        <v>26271.25</v>
      </c>
      <c r="U97" s="34" t="n">
        <v>58052.63</v>
      </c>
      <c r="V97" s="18" t="n">
        <v>7129.52</v>
      </c>
      <c r="W97" s="18" t="n">
        <v>13063.16</v>
      </c>
      <c r="X97" s="18" t="n">
        <v>10781.61</v>
      </c>
      <c r="Y97" s="18" t="n">
        <v>25891.93</v>
      </c>
      <c r="Z97" s="34" t="n">
        <v>56866.22</v>
      </c>
      <c r="AA97" s="18" t="n">
        <v>9090.5</v>
      </c>
      <c r="AB97" s="19" t="n">
        <v>13967.81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-717845.88</v>
      </c>
      <c r="F98" s="9" t="n"/>
      <c r="G98" s="18" t="n">
        <v>144143.98</v>
      </c>
      <c r="H98" s="18" t="n">
        <v>27273.1</v>
      </c>
      <c r="I98" s="18" t="n">
        <v>-273298.21</v>
      </c>
      <c r="J98" s="18" t="n">
        <v>-875389.25</v>
      </c>
      <c r="K98" s="34" t="n">
        <v>-977270.38</v>
      </c>
      <c r="L98" s="18" t="n">
        <v>-591077.39</v>
      </c>
      <c r="M98" s="18" t="n">
        <v>292019.11</v>
      </c>
      <c r="N98" s="18" t="n">
        <v>-184404.76</v>
      </c>
      <c r="O98" s="18" t="n">
        <v>-1745.74</v>
      </c>
      <c r="P98" s="34" t="n">
        <v>-485208.78</v>
      </c>
      <c r="Q98" s="18" t="n">
        <v>-611991.71</v>
      </c>
      <c r="R98" s="18" t="n">
        <v>-709438.28</v>
      </c>
      <c r="S98" s="18" t="n">
        <v>-708473.34</v>
      </c>
      <c r="T98" s="18" t="n">
        <v>-329064.71</v>
      </c>
      <c r="U98" s="34" t="n">
        <v>-2358968.04</v>
      </c>
      <c r="V98" s="18" t="n">
        <v>451391.26</v>
      </c>
      <c r="W98" s="18" t="n">
        <v>-699760.55</v>
      </c>
      <c r="X98" s="18" t="n">
        <v>-391971.29</v>
      </c>
      <c r="Y98" s="18" t="n">
        <v>-151935.43</v>
      </c>
      <c r="Z98" s="34" t="n">
        <v>-792276.01</v>
      </c>
      <c r="AA98" s="18" t="n">
        <v>-46384.23</v>
      </c>
      <c r="AB98" s="19" t="n">
        <v>1392171.21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5109.03</v>
      </c>
      <c r="F99" s="9" t="n"/>
      <c r="G99" s="18" t="n">
        <v>4285.59</v>
      </c>
      <c r="H99" s="18" t="n">
        <v>5277.07</v>
      </c>
      <c r="I99" s="18" t="n">
        <v>4540.93</v>
      </c>
      <c r="J99" s="18" t="n">
        <v>6517.29</v>
      </c>
      <c r="K99" s="34" t="n">
        <v>20620.88</v>
      </c>
      <c r="L99" s="18" t="n">
        <v>7182.17</v>
      </c>
      <c r="M99" s="18" t="n">
        <v>9107.540000000001</v>
      </c>
      <c r="N99" s="18" t="n">
        <v>8584.690000000001</v>
      </c>
      <c r="O99" s="18" t="n">
        <v>8135.68</v>
      </c>
      <c r="P99" s="34" t="n">
        <v>33010.08</v>
      </c>
      <c r="Q99" s="18" t="n">
        <v>8944.6</v>
      </c>
      <c r="R99" s="18" t="n">
        <v>9994.799999999999</v>
      </c>
      <c r="S99" s="18" t="n">
        <v>9147.51</v>
      </c>
      <c r="T99" s="18" t="n">
        <v>7139.79</v>
      </c>
      <c r="U99" s="34" t="n">
        <v>35226.7</v>
      </c>
      <c r="V99" s="18" t="n">
        <v>8127.99</v>
      </c>
      <c r="W99" s="18" t="n">
        <v>9213.49</v>
      </c>
      <c r="X99" s="18" t="n">
        <v>9317.610000000001</v>
      </c>
      <c r="Y99" s="18" t="n">
        <v>10689.65</v>
      </c>
      <c r="Z99" s="34" t="n">
        <v>37348.74</v>
      </c>
      <c r="AA99" s="18" t="n">
        <v>9043.379999999999</v>
      </c>
      <c r="AB99" s="19" t="n">
        <v>9937.709999999999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-991955.35</v>
      </c>
      <c r="F100" s="9" t="n"/>
      <c r="G100" s="18" t="n">
        <v>-35166.64</v>
      </c>
      <c r="H100" s="18" t="n">
        <v>220659.62</v>
      </c>
      <c r="I100" s="18" t="n">
        <v>-1118488.92</v>
      </c>
      <c r="J100" s="18" t="n">
        <v>-937249.29</v>
      </c>
      <c r="K100" s="34" t="n">
        <v>-1870245.23</v>
      </c>
      <c r="L100" s="18" t="n">
        <v>155349.75</v>
      </c>
      <c r="M100" s="18" t="n">
        <v>1417737.12</v>
      </c>
      <c r="N100" s="18" t="n">
        <v>-234807.94</v>
      </c>
      <c r="O100" s="18" t="n">
        <v>-1017110.83</v>
      </c>
      <c r="P100" s="34" t="n">
        <v>321168.1</v>
      </c>
      <c r="Q100" s="18" t="n">
        <v>651212.95</v>
      </c>
      <c r="R100" s="18" t="n">
        <v>-271753.66</v>
      </c>
      <c r="S100" s="18" t="n">
        <v>-854473.53</v>
      </c>
      <c r="T100" s="18" t="n">
        <v>1173942.23</v>
      </c>
      <c r="U100" s="34" t="n">
        <v>698927.99</v>
      </c>
      <c r="V100" s="18" t="n">
        <v>1883124.15</v>
      </c>
      <c r="W100" s="18" t="n">
        <v>-86609.06</v>
      </c>
      <c r="X100" s="18" t="n">
        <v>187588.87</v>
      </c>
      <c r="Y100" s="18" t="n">
        <v>-1959407.37</v>
      </c>
      <c r="Z100" s="34" t="n">
        <v>24696.59</v>
      </c>
      <c r="AA100" s="18" t="n">
        <v>2726657.22</v>
      </c>
      <c r="AB100" s="19" t="n">
        <v>4527302.7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-991955.35</v>
      </c>
      <c r="F101" s="9" t="n"/>
      <c r="G101" s="18" t="n">
        <v>4532301.46</v>
      </c>
      <c r="H101" s="18" t="n">
        <v>220659.62</v>
      </c>
      <c r="I101" s="18" t="n">
        <v>-1118488.92</v>
      </c>
      <c r="J101" s="18" t="n">
        <v>-937249.29</v>
      </c>
      <c r="K101" s="34" t="n">
        <v>2697222.87</v>
      </c>
      <c r="L101" s="18" t="n">
        <v>2852572.62</v>
      </c>
      <c r="M101" s="18" t="n">
        <v>1417737.12</v>
      </c>
      <c r="N101" s="18" t="n">
        <v>-234807.95</v>
      </c>
      <c r="O101" s="18" t="n">
        <v>-1017110.83</v>
      </c>
      <c r="P101" s="34" t="n">
        <v>3018390.96</v>
      </c>
      <c r="Q101" s="18" t="n">
        <v>3669603.92</v>
      </c>
      <c r="R101" s="18" t="n">
        <v>-271753.66</v>
      </c>
      <c r="S101" s="18" t="n">
        <v>-854473.54</v>
      </c>
      <c r="T101" s="18" t="n">
        <v>1173942.24</v>
      </c>
      <c r="U101" s="34" t="n">
        <v>3717318.96</v>
      </c>
      <c r="V101" s="18" t="n">
        <v>5600443.11</v>
      </c>
      <c r="W101" s="18" t="n">
        <v>-86609.06</v>
      </c>
      <c r="X101" s="18" t="n">
        <v>3904907.83</v>
      </c>
      <c r="Y101" s="18" t="n">
        <v>-5676726.33</v>
      </c>
      <c r="Z101" s="34" t="n">
        <v>3742015.55</v>
      </c>
      <c r="AA101" s="18" t="n">
        <v>6468672.77</v>
      </c>
      <c r="AB101" s="19" t="n">
        <v>4527302.69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4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4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4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4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4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4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4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4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4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4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4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4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4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4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4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4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4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4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4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4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4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4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4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4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4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4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4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4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4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4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4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4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4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4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4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4" t="n">
        <v>1621.06</v>
      </c>
      <c r="G12" s="18" t="n">
        <v>1704.74</v>
      </c>
      <c r="I12" s="18" t="n">
        <v>157.42</v>
      </c>
      <c r="J12" s="18" t="n">
        <v>3081.69</v>
      </c>
      <c r="K12" s="34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4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4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4" t="n">
        <v>8363.67</v>
      </c>
      <c r="J13" s="18" t="n">
        <v>2871.72</v>
      </c>
      <c r="K13" s="34" t="n">
        <v>2871.72</v>
      </c>
      <c r="O13" s="18" t="n">
        <v>8637.809999999999</v>
      </c>
      <c r="P13" s="34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4626.85</v>
      </c>
      <c r="X13" s="18" t="n">
        <v>4626.85</v>
      </c>
      <c r="Y13" s="18" t="n">
        <v>0</v>
      </c>
      <c r="Z13" s="34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4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4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4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4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4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4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4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4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4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4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4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4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4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4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4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4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4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4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4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4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4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4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4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4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4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4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4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4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4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4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4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4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4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4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4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4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4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4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4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4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4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4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4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4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4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4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4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4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4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4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4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4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4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4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4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4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4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4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4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4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4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4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4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4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4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4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4" t="n">
        <v>4860.97</v>
      </c>
      <c r="O27" s="18" t="n">
        <v>0</v>
      </c>
      <c r="P27" s="34" t="n">
        <v>0</v>
      </c>
      <c r="R27" s="18" t="n">
        <v>1072.2</v>
      </c>
      <c r="T27" s="18" t="n">
        <v>0</v>
      </c>
      <c r="U27" s="34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4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4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4" t="n">
        <v>4860.97</v>
      </c>
      <c r="O28" s="18" t="n">
        <v>0</v>
      </c>
      <c r="P28" s="34" t="n">
        <v>0</v>
      </c>
      <c r="R28" s="18" t="n">
        <v>1072.2</v>
      </c>
      <c r="T28" s="18" t="n">
        <v>0</v>
      </c>
      <c r="U28" s="34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4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4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4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4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4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4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4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4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4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4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4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4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4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4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4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4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4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4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4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4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4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4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4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4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4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4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4" t="n">
        <v>1528.17</v>
      </c>
      <c r="K34" s="9" t="n"/>
      <c r="O34" s="18" t="n">
        <v>0</v>
      </c>
      <c r="P34" s="34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4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4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4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4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4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4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4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4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4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4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4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4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4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4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4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4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4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4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4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4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4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4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4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4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4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4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4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4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4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4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4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4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4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4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4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4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4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4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4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4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4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4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4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4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4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4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4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4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4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4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4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4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4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4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4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4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4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4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4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4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4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4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4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4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4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4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4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4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4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4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4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4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4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4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4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4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4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4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4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4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4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4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4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4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4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4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4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4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4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4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4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4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4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4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4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4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4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4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4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4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4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4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4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4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4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4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4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4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4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4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4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4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4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4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4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4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4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4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4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4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4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4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4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4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4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4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4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4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4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4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4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4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4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4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4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4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4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4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4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4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4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4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4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4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4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4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4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4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4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4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4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4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4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4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4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4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4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4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4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4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4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4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4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4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4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4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4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4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4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4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4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4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4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4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4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4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4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4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4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4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4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4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4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4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4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4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4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4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4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4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4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4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4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4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4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4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4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4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4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4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4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4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4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4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4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4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4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4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4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4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4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4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4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4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4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4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4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4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4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4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4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4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4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4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4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4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4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4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4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-0.1563</v>
      </c>
      <c r="F10" s="34" t="n"/>
      <c r="G10" s="18" t="n">
        <v>-0.1014</v>
      </c>
      <c r="H10" s="18" t="n">
        <v>-0.0633</v>
      </c>
      <c r="I10" s="18" t="n">
        <v>0.0443</v>
      </c>
      <c r="J10" s="18" t="n">
        <v>0.0237</v>
      </c>
      <c r="K10" s="34">
        <f>SUM(G10:J10)</f>
        <v/>
      </c>
      <c r="L10" s="18" t="n">
        <v>-0.0039</v>
      </c>
      <c r="M10" s="18" t="n">
        <v>0.0131</v>
      </c>
      <c r="N10" s="18" t="n">
        <v>0.0138</v>
      </c>
      <c r="O10" s="18" t="n">
        <v>0.0269</v>
      </c>
      <c r="P10" s="34">
        <f>SUM(L10:O10)</f>
        <v/>
      </c>
      <c r="Q10" s="18" t="n">
        <v>0.029</v>
      </c>
      <c r="R10" s="18" t="n">
        <v>0.0569</v>
      </c>
      <c r="S10" s="18" t="n">
        <v>0.0638</v>
      </c>
      <c r="T10" s="18" t="n">
        <v>0.0697</v>
      </c>
      <c r="U10" s="34">
        <f>SUM(Q10:T10)</f>
        <v/>
      </c>
      <c r="V10" s="18" t="n">
        <v>0.1269</v>
      </c>
      <c r="W10" s="18" t="n">
        <v>0.1284</v>
      </c>
      <c r="X10" s="18" t="n">
        <v>0.139</v>
      </c>
      <c r="Y10" s="18" t="n">
        <v>0.1273</v>
      </c>
      <c r="Z10" s="34">
        <f>SUM(V10:Y10)</f>
        <v/>
      </c>
      <c r="AA10" s="18" t="n">
        <v>0.1666</v>
      </c>
      <c r="AB10" s="19" t="n">
        <v>0.1843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 t="n">
        <v>4953.97</v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 t="n">
        <v>8442.549999999999</v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-4414.53</v>
      </c>
      <c r="F27" s="34" t="n"/>
      <c r="G27" s="18" t="n">
        <v>194.3</v>
      </c>
      <c r="H27" s="18" t="n">
        <v>2084.04</v>
      </c>
      <c r="I27" s="18" t="n">
        <v>1915.76</v>
      </c>
      <c r="J27" s="18" t="n">
        <v>428.36</v>
      </c>
      <c r="K27" s="34">
        <f>SUM(G27:J27)</f>
        <v/>
      </c>
      <c r="L27" s="18" t="n">
        <v>7627.51</v>
      </c>
      <c r="M27" s="18" t="n">
        <v>5429.91</v>
      </c>
      <c r="N27" s="18" t="n">
        <v>9447.15</v>
      </c>
      <c r="O27" s="18" t="n">
        <v>-1688.67</v>
      </c>
      <c r="P27" s="34">
        <f>SUM(L27:O27)</f>
        <v/>
      </c>
      <c r="Q27" s="18" t="n">
        <v>7555.96</v>
      </c>
      <c r="R27" s="18" t="n">
        <v>15260.58</v>
      </c>
      <c r="S27" s="18" t="n">
        <v>1193.22</v>
      </c>
      <c r="T27" s="18" t="n">
        <v>18876.84</v>
      </c>
      <c r="U27" s="34">
        <f>SUM(Q27:T27)</f>
        <v/>
      </c>
      <c r="V27" s="18" t="n">
        <v>21845.44</v>
      </c>
      <c r="W27" s="18" t="n">
        <v>10829.5</v>
      </c>
      <c r="X27" s="18" t="n">
        <v>17024.42</v>
      </c>
      <c r="Y27" s="18" t="n">
        <v>-5478.85</v>
      </c>
      <c r="Z27" s="34">
        <f>SUM(V27:Y27)</f>
        <v/>
      </c>
      <c r="AA27" s="18" t="n">
        <v>17755.59</v>
      </c>
      <c r="AB27" s="19" t="n">
        <v>26039.51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70.715</v>
      </c>
      <c r="F28" s="27">
        <f>E28</f>
        <v/>
      </c>
      <c r="G28" s="26" t="n">
        <v>70.715</v>
      </c>
      <c r="H28" s="26" t="n">
        <v>70.715</v>
      </c>
      <c r="I28" s="26" t="n">
        <v>70.715</v>
      </c>
      <c r="J28" s="26" t="n">
        <v>70.715</v>
      </c>
      <c r="K28" s="27">
        <f>J28</f>
        <v/>
      </c>
      <c r="L28" s="26" t="n">
        <v>70.715</v>
      </c>
      <c r="M28" s="26" t="n">
        <v>70.715</v>
      </c>
      <c r="N28" s="26" t="n">
        <v>70.715</v>
      </c>
      <c r="O28" s="26" t="n">
        <v>70.715</v>
      </c>
      <c r="P28" s="27">
        <f>O28</f>
        <v/>
      </c>
      <c r="Q28" s="26" t="n">
        <v>70.715</v>
      </c>
      <c r="R28" s="26" t="n">
        <v>70.715</v>
      </c>
      <c r="S28" s="26" t="n">
        <v>70.715</v>
      </c>
      <c r="T28" s="26" t="n">
        <v>70.715</v>
      </c>
      <c r="U28" s="27">
        <f>T28</f>
        <v/>
      </c>
      <c r="V28" s="26" t="n">
        <v>70.715</v>
      </c>
      <c r="W28" s="26" t="n">
        <v>70.715</v>
      </c>
      <c r="X28" s="26" t="n">
        <v>70.715</v>
      </c>
      <c r="Y28" s="26" t="n">
        <v>70.715</v>
      </c>
      <c r="Z28" s="27">
        <f>Y28</f>
        <v/>
      </c>
      <c r="AA28" s="26" t="n">
        <v>70.715</v>
      </c>
      <c r="AB28" s="28" t="n">
        <v>70.715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5100</v>
      </c>
      <c r="U31" s="34">
        <f>SUM(Q31:T31)</f>
        <v/>
      </c>
      <c r="V31" s="18" t="n"/>
      <c r="W31" s="18" t="n"/>
      <c r="X31" s="18" t="n"/>
      <c r="Y31" s="18" t="n">
        <v>12300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>
        <v>161.75</v>
      </c>
      <c r="N32" s="18" t="n">
        <v>56.65</v>
      </c>
      <c r="O32" s="18" t="n">
        <v>33.11</v>
      </c>
      <c r="P32" s="34">
        <f>SUM(L32:O32)</f>
        <v/>
      </c>
      <c r="Q32" s="18" t="n">
        <v>14.89</v>
      </c>
      <c r="R32" s="18" t="n">
        <v>11.73</v>
      </c>
      <c r="S32" s="18" t="n">
        <v>21.47</v>
      </c>
      <c r="T32" s="18" t="n">
        <v>12</v>
      </c>
      <c r="U32" s="34">
        <f>SUM(Q32:T32)</f>
        <v/>
      </c>
      <c r="V32" s="18" t="n">
        <v>10.79</v>
      </c>
      <c r="W32" s="18" t="n">
        <v>13.13</v>
      </c>
      <c r="X32" s="18" t="n">
        <v>12.95</v>
      </c>
      <c r="Y32" s="18" t="n">
        <v>14.06</v>
      </c>
      <c r="Z32" s="34">
        <f>SUM(V32:Y32)</f>
        <v/>
      </c>
      <c r="AA32" s="18" t="n">
        <v>11.67</v>
      </c>
      <c r="AB32" s="19" t="n">
        <v>8.460000000000001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0.7</v>
      </c>
      <c r="F33" s="34" t="n">
        <v>0.68</v>
      </c>
      <c r="G33" s="18" t="n">
        <v>0.65</v>
      </c>
      <c r="H33" s="18" t="n">
        <v>0.66</v>
      </c>
      <c r="I33" s="18" t="n">
        <v>0.63</v>
      </c>
      <c r="J33" s="18" t="n">
        <v>0.54</v>
      </c>
      <c r="K33" s="34">
        <f>SUM(G33:J33)</f>
        <v/>
      </c>
      <c r="L33" s="18" t="n">
        <v>0.57</v>
      </c>
      <c r="M33" s="18" t="n">
        <v>0.6899999999999999</v>
      </c>
      <c r="N33" s="18" t="n">
        <v>0.85</v>
      </c>
      <c r="O33" s="18" t="n">
        <v>0.74</v>
      </c>
      <c r="P33" s="34">
        <f>SUM(L33:O33)</f>
        <v/>
      </c>
      <c r="Q33" s="18" t="n">
        <v>0.8100000000000001</v>
      </c>
      <c r="R33" s="18" t="n">
        <v>0.88</v>
      </c>
      <c r="S33" s="18" t="n">
        <v>1.22</v>
      </c>
      <c r="T33" s="18" t="n">
        <v>1.27</v>
      </c>
      <c r="U33" s="34">
        <f>SUM(Q33:T33)</f>
        <v/>
      </c>
      <c r="V33" s="18" t="n">
        <v>1.4</v>
      </c>
      <c r="W33" s="18" t="n">
        <v>1.69</v>
      </c>
      <c r="X33" s="18" t="n">
        <v>2.11</v>
      </c>
      <c r="Y33" s="18" t="n">
        <v>2.29</v>
      </c>
      <c r="Z33" s="34">
        <f>SUM(V33:Y33)</f>
        <v/>
      </c>
      <c r="AA33" s="18" t="n">
        <v>2.17</v>
      </c>
      <c r="AB33" s="19" t="n">
        <v>1.97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44566.49</v>
      </c>
      <c r="F34" s="34" t="n"/>
      <c r="G34" s="18" t="n">
        <v>39077.28</v>
      </c>
      <c r="H34" s="18" t="n">
        <v>41886.06</v>
      </c>
      <c r="I34" s="18" t="n">
        <v>42644.15</v>
      </c>
      <c r="J34" s="18" t="n">
        <v>49412.7</v>
      </c>
      <c r="K34" s="34">
        <f>SUM(G34:J34)</f>
        <v/>
      </c>
      <c r="L34" s="18" t="n">
        <v>48423.59</v>
      </c>
      <c r="M34" s="18" t="n">
        <v>54536.4</v>
      </c>
      <c r="N34" s="18" t="n">
        <v>50112.06</v>
      </c>
      <c r="O34" s="18" t="n">
        <v>59890</v>
      </c>
      <c r="P34" s="34">
        <f>SUM(L34:O34)</f>
        <v/>
      </c>
      <c r="Q34" s="18" t="n">
        <v>55156.26</v>
      </c>
      <c r="R34" s="18" t="n">
        <v>66154.84</v>
      </c>
      <c r="S34" s="18" t="n">
        <v>62457.56</v>
      </c>
      <c r="T34" s="18" t="n">
        <v>71617.12</v>
      </c>
      <c r="U34" s="34">
        <f>SUM(Q34:T34)</f>
        <v/>
      </c>
      <c r="V34" s="18" t="n">
        <v>67717.06</v>
      </c>
      <c r="W34" s="18" t="n">
        <v>74284.17</v>
      </c>
      <c r="X34" s="18" t="n">
        <v>75814.36</v>
      </c>
      <c r="Y34" s="18" t="n">
        <v>81516.57000000001</v>
      </c>
      <c r="Z34" s="34">
        <f>SUM(V34:Y34)</f>
        <v/>
      </c>
      <c r="AA34" s="18" t="n">
        <v>81408.89999999999</v>
      </c>
      <c r="AB34" s="19" t="n">
        <v>89270.46000000001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-6967.58</v>
      </c>
      <c r="F35" s="34" t="n"/>
      <c r="G35" s="18" t="n">
        <v>-3963.96</v>
      </c>
      <c r="H35" s="18" t="n">
        <v>-2650.85</v>
      </c>
      <c r="I35" s="18" t="n">
        <v>1887.36</v>
      </c>
      <c r="J35" s="18" t="n">
        <v>1171.84</v>
      </c>
      <c r="K35" s="34">
        <f>SUM(G35:J35)</f>
        <v/>
      </c>
      <c r="L35" s="18" t="n">
        <v>-190.44</v>
      </c>
      <c r="M35" s="18" t="n">
        <v>712.5700000000001</v>
      </c>
      <c r="N35" s="18" t="n">
        <v>689.5700000000001</v>
      </c>
      <c r="O35" s="18" t="n">
        <v>1610.91</v>
      </c>
      <c r="P35" s="34">
        <f>SUM(L35:O35)</f>
        <v/>
      </c>
      <c r="Q35" s="18" t="n">
        <v>1601.63</v>
      </c>
      <c r="R35" s="18" t="n">
        <v>3764.65</v>
      </c>
      <c r="S35" s="18" t="n">
        <v>3984.08</v>
      </c>
      <c r="T35" s="18" t="n">
        <v>4990.55</v>
      </c>
      <c r="U35" s="34">
        <f>SUM(Q35:T35)</f>
        <v/>
      </c>
      <c r="V35" s="18" t="n">
        <v>8591.540000000001</v>
      </c>
      <c r="W35" s="18" t="n">
        <v>9536.41</v>
      </c>
      <c r="X35" s="18" t="n">
        <v>10537.75</v>
      </c>
      <c r="Y35" s="18" t="n">
        <v>10379.19</v>
      </c>
      <c r="Z35" s="34">
        <f>SUM(V35:Y35)</f>
        <v/>
      </c>
      <c r="AA35" s="18" t="n">
        <v>13559.7</v>
      </c>
      <c r="AB35" s="19" t="n">
        <v>16451.46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H7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1.437</v>
      </c>
      <c r="F5" s="26" t="n">
        <v>4.722</v>
      </c>
      <c r="G5" s="26" t="n">
        <v>4.671</v>
      </c>
      <c r="H5" s="26" t="n">
        <v>4.671</v>
      </c>
      <c r="I5" s="26" t="n">
        <v>4.722</v>
      </c>
      <c r="J5" s="26" t="n">
        <v>4.722</v>
      </c>
      <c r="K5" s="26" t="n">
        <v>4.619</v>
      </c>
      <c r="L5" s="26" t="n">
        <v>35.512</v>
      </c>
      <c r="M5" s="26" t="n">
        <v>61.069</v>
      </c>
      <c r="N5" s="26" t="n">
        <v>69.328</v>
      </c>
      <c r="O5" s="26" t="n">
        <v>67.821</v>
      </c>
      <c r="P5" s="26" t="n">
        <v>68.574</v>
      </c>
      <c r="Q5" s="26" t="n">
        <v>69.328</v>
      </c>
      <c r="R5" s="26" t="n">
        <v>69.328</v>
      </c>
      <c r="S5" s="26" t="n">
        <v>67.821</v>
      </c>
      <c r="T5" s="26" t="n">
        <v>68.574</v>
      </c>
      <c r="U5" s="26" t="n">
        <v>69.328</v>
      </c>
      <c r="V5" s="26" t="n">
        <v>69.328</v>
      </c>
      <c r="W5" s="26" t="n">
        <v>68.574</v>
      </c>
      <c r="X5" s="26" t="n">
        <v>68.574</v>
      </c>
      <c r="Y5" s="26" t="n">
        <v>69.328</v>
      </c>
      <c r="Z5" s="26" t="n">
        <v>69.328</v>
      </c>
      <c r="AA5" s="26" t="n">
        <v>37.55</v>
      </c>
      <c r="AB5" s="26" t="n">
        <v>19.519</v>
      </c>
      <c r="AC5" s="26" t="n">
        <v>70.495</v>
      </c>
      <c r="AD5" s="26" t="n">
        <v>140.062</v>
      </c>
      <c r="AE5" s="26" t="n">
        <v>306.595</v>
      </c>
      <c r="AF5" s="26" t="n">
        <v>459.729</v>
      </c>
      <c r="AG5" s="26" t="n">
        <v>554.106</v>
      </c>
      <c r="AH5" s="26" t="n">
        <v>556.538</v>
      </c>
      <c r="AI5" s="26" t="n">
        <v>544.439</v>
      </c>
      <c r="AJ5" s="26" t="n">
        <v>550.489</v>
      </c>
      <c r="AK5" s="26" t="n">
        <v>552.605</v>
      </c>
      <c r="AL5" s="26" t="n">
        <v>544.477</v>
      </c>
      <c r="AM5" s="26" t="n">
        <v>538.559</v>
      </c>
      <c r="AN5" s="26" t="n">
        <v>534.415</v>
      </c>
      <c r="AO5" s="26" t="n">
        <v>506.362</v>
      </c>
      <c r="AP5" s="26" t="n">
        <v>466.421</v>
      </c>
      <c r="AQ5" s="26" t="n">
        <v>349.895</v>
      </c>
      <c r="AR5" s="26" t="n">
        <v>244.231</v>
      </c>
      <c r="AS5" s="26" t="n">
        <v>155.808</v>
      </c>
      <c r="AT5" s="26" t="n">
        <v>86.67100000000001</v>
      </c>
      <c r="AU5" s="26" t="n">
        <v>24.323</v>
      </c>
      <c r="AV5" s="26" t="n">
        <v>16.485</v>
      </c>
      <c r="AW5" s="26" t="n">
        <v>6.159</v>
      </c>
      <c r="AX5" s="26" t="n">
        <v>18.786</v>
      </c>
      <c r="AY5" s="26" t="n">
        <v>170.528</v>
      </c>
      <c r="AZ5" s="26" t="n">
        <v>275.051</v>
      </c>
      <c r="BA5" s="26" t="n">
        <v>275.051</v>
      </c>
      <c r="BB5" s="26" t="n">
        <v>275.804</v>
      </c>
      <c r="BC5" s="26" t="n">
        <v>267.626</v>
      </c>
      <c r="BD5" s="26" t="n">
        <v>1876.968</v>
      </c>
      <c r="BE5" s="26" t="n">
        <v>2192.01</v>
      </c>
      <c r="BF5" s="26" t="n">
        <v>2045.757</v>
      </c>
      <c r="BG5" s="26" t="n">
        <v>836.605</v>
      </c>
      <c r="BH5" s="26" t="n">
        <v>40.808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1.437</v>
      </c>
      <c r="F6" s="26" t="n">
        <v>4.722</v>
      </c>
      <c r="G6" s="26" t="n">
        <v>4.671</v>
      </c>
      <c r="H6" s="26" t="n">
        <v>4.671</v>
      </c>
      <c r="I6" s="26" t="n">
        <v>4.722</v>
      </c>
      <c r="J6" s="26" t="n">
        <v>4.722</v>
      </c>
      <c r="K6" s="26" t="n">
        <v>4.619</v>
      </c>
      <c r="L6" s="26" t="n">
        <v>4.671</v>
      </c>
      <c r="M6" s="26" t="n">
        <v>8.523999999999999</v>
      </c>
      <c r="N6" s="26" t="n">
        <v>16.782</v>
      </c>
      <c r="O6" s="26" t="n">
        <v>16.418</v>
      </c>
      <c r="P6" s="26" t="n">
        <v>16.6</v>
      </c>
      <c r="Q6" s="26" t="n">
        <v>16.782</v>
      </c>
      <c r="R6" s="26" t="n">
        <v>16.782</v>
      </c>
      <c r="S6" s="26" t="n">
        <v>16.418</v>
      </c>
      <c r="T6" s="26" t="n">
        <v>16.6</v>
      </c>
      <c r="U6" s="26" t="n">
        <v>16.782</v>
      </c>
      <c r="V6" s="26" t="n">
        <v>16.782</v>
      </c>
      <c r="W6" s="26" t="n">
        <v>16.6</v>
      </c>
      <c r="X6" s="26" t="n">
        <v>16.6</v>
      </c>
      <c r="Y6" s="26" t="n">
        <v>16.782</v>
      </c>
      <c r="Z6" s="26" t="n">
        <v>16.782</v>
      </c>
      <c r="AA6" s="26" t="n">
        <v>16.418</v>
      </c>
      <c r="AB6" s="26" t="n">
        <v>16.6</v>
      </c>
      <c r="AC6" s="26" t="n">
        <v>16.782</v>
      </c>
      <c r="AD6" s="26" t="n">
        <v>15.961</v>
      </c>
      <c r="AE6" s="26" t="n">
        <v>11.798</v>
      </c>
      <c r="AF6" s="26" t="n">
        <v>11.929</v>
      </c>
      <c r="AG6" s="26" t="n">
        <v>12.06</v>
      </c>
      <c r="AH6" s="26" t="n">
        <v>12.06</v>
      </c>
      <c r="AI6" s="26" t="n">
        <v>11.798</v>
      </c>
      <c r="AJ6" s="26" t="n">
        <v>11.929</v>
      </c>
      <c r="AK6" s="26" t="n">
        <v>8.128</v>
      </c>
      <c r="AW6" s="26" t="n">
        <v>6.159</v>
      </c>
      <c r="AX6" s="26" t="n">
        <v>18.786</v>
      </c>
      <c r="AY6" s="26" t="n">
        <v>34.596</v>
      </c>
      <c r="AZ6" s="26" t="n">
        <v>66.58199999999999</v>
      </c>
      <c r="BA6" s="26" t="n">
        <v>66.58199999999999</v>
      </c>
      <c r="BB6" s="26" t="n">
        <v>66.764</v>
      </c>
      <c r="BC6" s="26" t="n">
        <v>65.761</v>
      </c>
      <c r="BD6" s="26" t="n">
        <v>47.847</v>
      </c>
      <c r="BE6" s="26" t="n">
        <v>31.855</v>
      </c>
    </row>
    <row r="7">
      <c r="A7" s="12" t="inlineStr">
        <is>
          <t>type:OFFSH</t>
        </is>
      </c>
      <c r="D7" t="inlineStr">
        <is>
          <t>선종 OFFSH</t>
        </is>
      </c>
      <c r="L7" s="26" t="n">
        <v>30.842</v>
      </c>
      <c r="M7" s="26" t="n">
        <v>52.545</v>
      </c>
      <c r="N7" s="26" t="n">
        <v>52.545</v>
      </c>
      <c r="O7" s="26" t="n">
        <v>51.403</v>
      </c>
      <c r="P7" s="26" t="n">
        <v>51.974</v>
      </c>
      <c r="Q7" s="26" t="n">
        <v>52.545</v>
      </c>
      <c r="R7" s="26" t="n">
        <v>52.545</v>
      </c>
      <c r="S7" s="26" t="n">
        <v>51.403</v>
      </c>
      <c r="T7" s="26" t="n">
        <v>51.974</v>
      </c>
      <c r="U7" s="26" t="n">
        <v>52.545</v>
      </c>
      <c r="V7" s="26" t="n">
        <v>52.545</v>
      </c>
      <c r="W7" s="26" t="n">
        <v>51.974</v>
      </c>
      <c r="X7" s="26" t="n">
        <v>51.974</v>
      </c>
      <c r="Y7" s="26" t="n">
        <v>52.545</v>
      </c>
      <c r="Z7" s="26" t="n">
        <v>52.545</v>
      </c>
      <c r="AA7" s="26" t="n">
        <v>21.132</v>
      </c>
      <c r="AY7" s="26" t="n">
        <v>135.932</v>
      </c>
      <c r="AZ7" s="26" t="n">
        <v>208.467</v>
      </c>
      <c r="BA7" s="26" t="n">
        <v>208.467</v>
      </c>
      <c r="BB7" s="26" t="n">
        <v>209.038</v>
      </c>
      <c r="BC7" s="26" t="n">
        <v>21.132</v>
      </c>
    </row>
    <row r="8">
      <c r="A8" s="12" t="inlineStr">
        <is>
          <t>type:LNGC</t>
        </is>
      </c>
      <c r="D8" t="inlineStr">
        <is>
          <t>선종 LNGC</t>
        </is>
      </c>
      <c r="AB8" s="26" t="n">
        <v>2.919</v>
      </c>
      <c r="AC8" s="26" t="n">
        <v>53.713</v>
      </c>
      <c r="AD8" s="26" t="n">
        <v>60.682</v>
      </c>
      <c r="AE8" s="26" t="n">
        <v>89.625</v>
      </c>
      <c r="AF8" s="26" t="n">
        <v>154.335</v>
      </c>
      <c r="AG8" s="26" t="n">
        <v>176.152</v>
      </c>
      <c r="AH8" s="26" t="n">
        <v>176.152</v>
      </c>
      <c r="AI8" s="26" t="n">
        <v>172.322</v>
      </c>
      <c r="AJ8" s="26" t="n">
        <v>174.237</v>
      </c>
      <c r="AK8" s="26" t="n">
        <v>176.152</v>
      </c>
      <c r="AL8" s="26" t="n">
        <v>176.152</v>
      </c>
      <c r="AM8" s="26" t="n">
        <v>174.237</v>
      </c>
      <c r="AN8" s="26" t="n">
        <v>174.237</v>
      </c>
      <c r="AO8" s="26" t="n">
        <v>150.746</v>
      </c>
      <c r="AP8" s="26" t="n">
        <v>150.746</v>
      </c>
      <c r="AQ8" s="26" t="n">
        <v>93.956</v>
      </c>
      <c r="AR8" s="26" t="n">
        <v>75.51900000000001</v>
      </c>
      <c r="AS8" s="26" t="n">
        <v>46.123</v>
      </c>
      <c r="BC8" s="26" t="n">
        <v>117.314</v>
      </c>
      <c r="BD8" s="26" t="n">
        <v>596.264</v>
      </c>
      <c r="BE8" s="26" t="n">
        <v>698.8630000000001</v>
      </c>
      <c r="BF8" s="26" t="n">
        <v>649.966</v>
      </c>
      <c r="BG8" s="26" t="n">
        <v>215.598</v>
      </c>
    </row>
    <row r="9">
      <c r="A9" s="12" t="inlineStr">
        <is>
          <t>type:CONT</t>
        </is>
      </c>
      <c r="D9" t="inlineStr">
        <is>
          <t>선종 CONT</t>
        </is>
      </c>
      <c r="AD9" s="26" t="n">
        <v>42.327</v>
      </c>
      <c r="AE9" s="26" t="n">
        <v>119.295</v>
      </c>
      <c r="AF9" s="26" t="n">
        <v>120.621</v>
      </c>
      <c r="AG9" s="26" t="n">
        <v>121.946</v>
      </c>
      <c r="AH9" s="26" t="n">
        <v>121.946</v>
      </c>
      <c r="AI9" s="26" t="n">
        <v>119.295</v>
      </c>
      <c r="AJ9" s="26" t="n">
        <v>120.621</v>
      </c>
      <c r="AK9" s="26" t="n">
        <v>121.946</v>
      </c>
      <c r="AL9" s="26" t="n">
        <v>121.946</v>
      </c>
      <c r="AM9" s="26" t="n">
        <v>120.621</v>
      </c>
      <c r="AN9" s="26" t="n">
        <v>120.621</v>
      </c>
      <c r="AO9" s="26" t="n">
        <v>121.946</v>
      </c>
      <c r="AP9" s="26" t="n">
        <v>103.696</v>
      </c>
      <c r="AQ9" s="26" t="n">
        <v>79.233</v>
      </c>
      <c r="AR9" s="26" t="n">
        <v>26.411</v>
      </c>
      <c r="BC9" s="26" t="n">
        <v>42.327</v>
      </c>
      <c r="BD9" s="26" t="n">
        <v>483.808</v>
      </c>
      <c r="BE9" s="26" t="n">
        <v>483.808</v>
      </c>
      <c r="BF9" s="26" t="n">
        <v>466.884</v>
      </c>
      <c r="BG9" s="26" t="n">
        <v>105.644</v>
      </c>
    </row>
    <row r="10">
      <c r="A10" s="12" t="inlineStr">
        <is>
          <t>type:VLCC</t>
        </is>
      </c>
      <c r="D10" t="inlineStr">
        <is>
          <t>선종 VLCC</t>
        </is>
      </c>
      <c r="AD10" s="26" t="n">
        <v>21.092</v>
      </c>
      <c r="AE10" s="26" t="n">
        <v>70.181</v>
      </c>
      <c r="AF10" s="26" t="n">
        <v>80.62</v>
      </c>
      <c r="AG10" s="26" t="n">
        <v>81.506</v>
      </c>
      <c r="AH10" s="26" t="n">
        <v>81.506</v>
      </c>
      <c r="AI10" s="26" t="n">
        <v>79.73399999999999</v>
      </c>
      <c r="AJ10" s="26" t="n">
        <v>80.62</v>
      </c>
      <c r="AK10" s="26" t="n">
        <v>81.506</v>
      </c>
      <c r="AL10" s="26" t="n">
        <v>81.506</v>
      </c>
      <c r="AM10" s="26" t="n">
        <v>80.62</v>
      </c>
      <c r="AN10" s="26" t="n">
        <v>80.62</v>
      </c>
      <c r="AO10" s="26" t="n">
        <v>81.506</v>
      </c>
      <c r="AP10" s="26" t="n">
        <v>60.267</v>
      </c>
      <c r="AQ10" s="26" t="n">
        <v>48.398</v>
      </c>
      <c r="AR10" s="26" t="n">
        <v>44.387</v>
      </c>
      <c r="AS10" s="26" t="n">
        <v>16.99</v>
      </c>
      <c r="BC10" s="26" t="n">
        <v>21.092</v>
      </c>
      <c r="BD10" s="26" t="n">
        <v>313.813</v>
      </c>
      <c r="BE10" s="26" t="n">
        <v>323.366</v>
      </c>
      <c r="BF10" s="26" t="n">
        <v>303.013</v>
      </c>
      <c r="BG10" s="26" t="n">
        <v>109.775</v>
      </c>
    </row>
    <row r="11">
      <c r="A11" s="12" t="inlineStr">
        <is>
          <t>type:VLGC</t>
        </is>
      </c>
      <c r="D11" t="inlineStr">
        <is>
          <t>선종 VLGC</t>
        </is>
      </c>
      <c r="AE11" s="26" t="n">
        <v>15.695</v>
      </c>
      <c r="AF11" s="26" t="n">
        <v>92.22499999999999</v>
      </c>
      <c r="AG11" s="26" t="n">
        <v>162.442</v>
      </c>
      <c r="AH11" s="26" t="n">
        <v>164.874</v>
      </c>
      <c r="AI11" s="26" t="n">
        <v>161.29</v>
      </c>
      <c r="AJ11" s="26" t="n">
        <v>163.082</v>
      </c>
      <c r="AK11" s="26" t="n">
        <v>164.874</v>
      </c>
      <c r="AL11" s="26" t="n">
        <v>164.874</v>
      </c>
      <c r="AM11" s="26" t="n">
        <v>163.082</v>
      </c>
      <c r="AN11" s="26" t="n">
        <v>158.938</v>
      </c>
      <c r="AO11" s="26" t="n">
        <v>152.165</v>
      </c>
      <c r="AP11" s="26" t="n">
        <v>151.713</v>
      </c>
      <c r="AQ11" s="26" t="n">
        <v>128.309</v>
      </c>
      <c r="AR11" s="26" t="n">
        <v>97.91500000000001</v>
      </c>
      <c r="AS11" s="26" t="n">
        <v>92.696</v>
      </c>
      <c r="AT11" s="26" t="n">
        <v>86.67100000000001</v>
      </c>
      <c r="AU11" s="26" t="n">
        <v>24.323</v>
      </c>
      <c r="AV11" s="26" t="n">
        <v>16.485</v>
      </c>
      <c r="BD11" s="26" t="n">
        <v>435.236</v>
      </c>
      <c r="BE11" s="26" t="n">
        <v>654.12</v>
      </c>
      <c r="BF11" s="26" t="n">
        <v>625.898</v>
      </c>
      <c r="BG11" s="26" t="n">
        <v>405.591</v>
      </c>
      <c r="BH11" s="26" t="n">
        <v>40.808</v>
      </c>
    </row>
    <row r="12">
      <c r="A12" s="12" t="inlineStr">
        <is>
          <t>cohort:등급없음</t>
        </is>
      </c>
      <c r="D12" t="inlineStr">
        <is>
          <t>코호트 등급없음</t>
        </is>
      </c>
      <c r="E12" s="26" t="n">
        <v>1.437</v>
      </c>
      <c r="F12" s="26" t="n">
        <v>4.722</v>
      </c>
      <c r="G12" s="26" t="n">
        <v>4.671</v>
      </c>
      <c r="H12" s="26" t="n">
        <v>4.671</v>
      </c>
      <c r="I12" s="26" t="n">
        <v>4.722</v>
      </c>
      <c r="J12" s="26" t="n">
        <v>4.722</v>
      </c>
      <c r="K12" s="26" t="n">
        <v>4.619</v>
      </c>
      <c r="L12" s="26" t="n">
        <v>4.671</v>
      </c>
      <c r="M12" s="26" t="n">
        <v>8.523999999999999</v>
      </c>
      <c r="N12" s="26" t="n">
        <v>16.782</v>
      </c>
      <c r="O12" s="26" t="n">
        <v>16.418</v>
      </c>
      <c r="P12" s="26" t="n">
        <v>16.6</v>
      </c>
      <c r="Q12" s="26" t="n">
        <v>16.782</v>
      </c>
      <c r="R12" s="26" t="n">
        <v>16.782</v>
      </c>
      <c r="S12" s="26" t="n">
        <v>16.418</v>
      </c>
      <c r="T12" s="26" t="n">
        <v>16.6</v>
      </c>
      <c r="U12" s="26" t="n">
        <v>16.782</v>
      </c>
      <c r="V12" s="26" t="n">
        <v>16.782</v>
      </c>
      <c r="W12" s="26" t="n">
        <v>16.6</v>
      </c>
      <c r="X12" s="26" t="n">
        <v>16.6</v>
      </c>
      <c r="Y12" s="26" t="n">
        <v>16.782</v>
      </c>
      <c r="Z12" s="26" t="n">
        <v>16.782</v>
      </c>
      <c r="AA12" s="26" t="n">
        <v>16.418</v>
      </c>
      <c r="AB12" s="26" t="n">
        <v>16.6</v>
      </c>
      <c r="AC12" s="26" t="n">
        <v>16.782</v>
      </c>
      <c r="AD12" s="26" t="n">
        <v>15.961</v>
      </c>
      <c r="AE12" s="26" t="n">
        <v>11.798</v>
      </c>
      <c r="AF12" s="26" t="n">
        <v>11.929</v>
      </c>
      <c r="AG12" s="26" t="n">
        <v>12.06</v>
      </c>
      <c r="AH12" s="26" t="n">
        <v>12.06</v>
      </c>
      <c r="AI12" s="26" t="n">
        <v>11.798</v>
      </c>
      <c r="AJ12" s="26" t="n">
        <v>11.929</v>
      </c>
      <c r="AK12" s="26" t="n">
        <v>8.128</v>
      </c>
      <c r="AW12" s="26" t="n">
        <v>6.159</v>
      </c>
      <c r="AX12" s="26" t="n">
        <v>18.786</v>
      </c>
      <c r="AY12" s="26" t="n">
        <v>34.596</v>
      </c>
      <c r="AZ12" s="26" t="n">
        <v>66.58199999999999</v>
      </c>
      <c r="BA12" s="26" t="n">
        <v>66.58199999999999</v>
      </c>
      <c r="BB12" s="26" t="n">
        <v>66.764</v>
      </c>
      <c r="BC12" s="26" t="n">
        <v>65.761</v>
      </c>
      <c r="BD12" s="26" t="n">
        <v>47.847</v>
      </c>
      <c r="BE12" s="26" t="n">
        <v>31.855</v>
      </c>
    </row>
    <row r="13">
      <c r="A13" s="12" t="inlineStr">
        <is>
          <t>cohort:②BEP</t>
        </is>
      </c>
      <c r="D13" t="inlineStr">
        <is>
          <t>코호트 ②BEP</t>
        </is>
      </c>
      <c r="L13" s="26" t="n">
        <v>30.842</v>
      </c>
      <c r="M13" s="26" t="n">
        <v>52.545</v>
      </c>
      <c r="N13" s="26" t="n">
        <v>52.545</v>
      </c>
      <c r="O13" s="26" t="n">
        <v>51.403</v>
      </c>
      <c r="P13" s="26" t="n">
        <v>51.974</v>
      </c>
      <c r="Q13" s="26" t="n">
        <v>52.545</v>
      </c>
      <c r="R13" s="26" t="n">
        <v>52.545</v>
      </c>
      <c r="S13" s="26" t="n">
        <v>51.403</v>
      </c>
      <c r="T13" s="26" t="n">
        <v>51.974</v>
      </c>
      <c r="U13" s="26" t="n">
        <v>52.545</v>
      </c>
      <c r="V13" s="26" t="n">
        <v>52.545</v>
      </c>
      <c r="W13" s="26" t="n">
        <v>51.974</v>
      </c>
      <c r="X13" s="26" t="n">
        <v>51.974</v>
      </c>
      <c r="Y13" s="26" t="n">
        <v>52.545</v>
      </c>
      <c r="Z13" s="26" t="n">
        <v>52.545</v>
      </c>
      <c r="AA13" s="26" t="n">
        <v>21.132</v>
      </c>
      <c r="AD13" s="26" t="n">
        <v>6.232</v>
      </c>
      <c r="AE13" s="26" t="n">
        <v>40.062</v>
      </c>
      <c r="AF13" s="26" t="n">
        <v>40.508</v>
      </c>
      <c r="AG13" s="26" t="n">
        <v>40.953</v>
      </c>
      <c r="AH13" s="26" t="n">
        <v>40.953</v>
      </c>
      <c r="AI13" s="26" t="n">
        <v>40.062</v>
      </c>
      <c r="AJ13" s="26" t="n">
        <v>40.508</v>
      </c>
      <c r="AK13" s="26" t="n">
        <v>40.953</v>
      </c>
      <c r="AL13" s="26" t="n">
        <v>40.953</v>
      </c>
      <c r="AM13" s="26" t="n">
        <v>40.508</v>
      </c>
      <c r="AN13" s="26" t="n">
        <v>40.508</v>
      </c>
      <c r="AO13" s="26" t="n">
        <v>40.953</v>
      </c>
      <c r="AP13" s="26" t="n">
        <v>22.702</v>
      </c>
      <c r="AY13" s="26" t="n">
        <v>135.932</v>
      </c>
      <c r="AZ13" s="26" t="n">
        <v>208.467</v>
      </c>
      <c r="BA13" s="26" t="n">
        <v>208.467</v>
      </c>
      <c r="BB13" s="26" t="n">
        <v>209.038</v>
      </c>
      <c r="BC13" s="26" t="n">
        <v>27.364</v>
      </c>
      <c r="BD13" s="26" t="n">
        <v>162.476</v>
      </c>
      <c r="BE13" s="26" t="n">
        <v>162.476</v>
      </c>
      <c r="BF13" s="26" t="n">
        <v>144.671</v>
      </c>
    </row>
    <row r="14">
      <c r="A14" s="12" t="inlineStr">
        <is>
          <t>cohort:③중마진</t>
        </is>
      </c>
      <c r="D14" t="inlineStr">
        <is>
          <t>코호트 ③중마진</t>
        </is>
      </c>
      <c r="AB14" s="26" t="n">
        <v>2.919</v>
      </c>
      <c r="AC14" s="26" t="n">
        <v>53.713</v>
      </c>
      <c r="AD14" s="26" t="n">
        <v>101.652</v>
      </c>
      <c r="AE14" s="26" t="n">
        <v>219.983</v>
      </c>
      <c r="AF14" s="26" t="n">
        <v>372.155</v>
      </c>
      <c r="AG14" s="26" t="n">
        <v>465.569</v>
      </c>
      <c r="AH14" s="26" t="n">
        <v>468.001</v>
      </c>
      <c r="AI14" s="26" t="n">
        <v>457.827</v>
      </c>
      <c r="AJ14" s="26" t="n">
        <v>462.914</v>
      </c>
      <c r="AK14" s="26" t="n">
        <v>468.001</v>
      </c>
      <c r="AL14" s="26" t="n">
        <v>468.001</v>
      </c>
      <c r="AM14" s="26" t="n">
        <v>462.914</v>
      </c>
      <c r="AN14" s="26" t="n">
        <v>458.77</v>
      </c>
      <c r="AO14" s="26" t="n">
        <v>429.886</v>
      </c>
      <c r="AP14" s="26" t="n">
        <v>408.195</v>
      </c>
      <c r="AQ14" s="26" t="n">
        <v>315.144</v>
      </c>
      <c r="AR14" s="26" t="n">
        <v>209.093</v>
      </c>
      <c r="AS14" s="26" t="n">
        <v>138.818</v>
      </c>
      <c r="AT14" s="26" t="n">
        <v>86.67100000000001</v>
      </c>
      <c r="AU14" s="26" t="n">
        <v>24.323</v>
      </c>
      <c r="AV14" s="26" t="n">
        <v>16.485</v>
      </c>
      <c r="BC14" s="26" t="n">
        <v>158.284</v>
      </c>
      <c r="BD14" s="26" t="n">
        <v>1525.708</v>
      </c>
      <c r="BE14" s="26" t="n">
        <v>1856.743</v>
      </c>
      <c r="BF14" s="26" t="n">
        <v>1759.765</v>
      </c>
      <c r="BG14" s="26" t="n">
        <v>749.726</v>
      </c>
      <c r="BH14" s="26" t="n">
        <v>40.808</v>
      </c>
    </row>
    <row r="15">
      <c r="A15" s="12" t="inlineStr">
        <is>
          <t>cohort:④호황</t>
        </is>
      </c>
      <c r="D15" t="inlineStr">
        <is>
          <t>코호트 ④호황</t>
        </is>
      </c>
      <c r="AD15" s="26" t="n">
        <v>16.217</v>
      </c>
      <c r="AE15" s="26" t="n">
        <v>34.752</v>
      </c>
      <c r="AF15" s="26" t="n">
        <v>35.138</v>
      </c>
      <c r="AG15" s="26" t="n">
        <v>35.524</v>
      </c>
      <c r="AH15" s="26" t="n">
        <v>35.524</v>
      </c>
      <c r="AI15" s="26" t="n">
        <v>34.752</v>
      </c>
      <c r="AJ15" s="26" t="n">
        <v>35.138</v>
      </c>
      <c r="AK15" s="26" t="n">
        <v>35.524</v>
      </c>
      <c r="AL15" s="26" t="n">
        <v>35.524</v>
      </c>
      <c r="AM15" s="26" t="n">
        <v>35.138</v>
      </c>
      <c r="AN15" s="26" t="n">
        <v>35.138</v>
      </c>
      <c r="AO15" s="26" t="n">
        <v>35.524</v>
      </c>
      <c r="AP15" s="26" t="n">
        <v>35.524</v>
      </c>
      <c r="AQ15" s="26" t="n">
        <v>34.752</v>
      </c>
      <c r="AR15" s="26" t="n">
        <v>35.138</v>
      </c>
      <c r="AS15" s="26" t="n">
        <v>16.99</v>
      </c>
      <c r="BC15" s="26" t="n">
        <v>16.217</v>
      </c>
      <c r="BD15" s="26" t="n">
        <v>140.938</v>
      </c>
      <c r="BE15" s="26" t="n">
        <v>140.938</v>
      </c>
      <c r="BF15" s="26" t="n">
        <v>141.324</v>
      </c>
      <c r="BG15" s="26" t="n">
        <v>86.88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1130.94</v>
      </c>
      <c r="M17" s="13" t="n">
        <v>1129.41</v>
      </c>
      <c r="N17" s="13" t="n">
        <v>1133.04</v>
      </c>
      <c r="O17" s="13" t="n">
        <v>1133.04</v>
      </c>
      <c r="P17" s="13" t="n">
        <v>1133.04</v>
      </c>
      <c r="Q17" s="13" t="n">
        <v>1133.04</v>
      </c>
      <c r="R17" s="13" t="n">
        <v>1133.04</v>
      </c>
      <c r="S17" s="13" t="n">
        <v>1133.04</v>
      </c>
      <c r="T17" s="13" t="n">
        <v>1133.04</v>
      </c>
      <c r="U17" s="13" t="n">
        <v>1133.04</v>
      </c>
      <c r="V17" s="13" t="n">
        <v>1133.04</v>
      </c>
      <c r="W17" s="13" t="n">
        <v>1133.04</v>
      </c>
      <c r="X17" s="13" t="n">
        <v>1133.04</v>
      </c>
      <c r="Y17" s="13" t="n">
        <v>1133.04</v>
      </c>
      <c r="Z17" s="13" t="n">
        <v>1133.04</v>
      </c>
      <c r="AA17" s="13" t="n">
        <v>1142.43</v>
      </c>
      <c r="AB17" s="13" t="n">
        <v>1198.12</v>
      </c>
      <c r="AC17" s="13" t="n">
        <v>1315.33</v>
      </c>
      <c r="AD17" s="13" t="n">
        <v>1383.31</v>
      </c>
      <c r="AE17" s="13" t="n">
        <v>1424.95</v>
      </c>
      <c r="AF17" s="13" t="n">
        <v>1447.25</v>
      </c>
      <c r="AG17" s="13" t="n">
        <v>1452.71</v>
      </c>
      <c r="AH17" s="13" t="n">
        <v>1452.57</v>
      </c>
      <c r="AI17" s="13" t="n">
        <v>1452.57</v>
      </c>
      <c r="AJ17" s="13" t="n">
        <v>1452.57</v>
      </c>
      <c r="AK17" s="13" t="n">
        <v>1454.65</v>
      </c>
      <c r="AL17" s="13" t="n">
        <v>1459.05</v>
      </c>
      <c r="AM17" s="13" t="n">
        <v>1459.05</v>
      </c>
      <c r="AN17" s="13" t="n">
        <v>1459</v>
      </c>
      <c r="AO17" s="13" t="n">
        <v>1458.52</v>
      </c>
      <c r="AP17" s="13" t="n">
        <v>1459.3</v>
      </c>
      <c r="AQ17" s="13" t="n">
        <v>1469.78</v>
      </c>
      <c r="AR17" s="13" t="n">
        <v>1478.89</v>
      </c>
      <c r="AS17" s="13" t="n">
        <v>1482.93</v>
      </c>
      <c r="AT17" s="13" t="n">
        <v>1478.22</v>
      </c>
      <c r="AU17" s="13" t="n">
        <v>1419.72</v>
      </c>
      <c r="AV17" s="13" t="n">
        <v>1419.72</v>
      </c>
    </row>
    <row r="18">
      <c r="A18" s="12" t="inlineStr">
        <is>
          <t>spot_assumed</t>
        </is>
      </c>
      <c r="D18" t="inlineStr">
        <is>
          <t>건조시점 환율(가정)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1419.72</v>
      </c>
      <c r="AH18" s="13" t="n">
        <v>1353.36</v>
      </c>
      <c r="AI18" s="13" t="n">
        <v>1353.36</v>
      </c>
      <c r="AJ18" s="13" t="n">
        <v>1353.36</v>
      </c>
      <c r="AK18" s="13" t="n">
        <v>1353.36</v>
      </c>
      <c r="AL18" s="13" t="n">
        <v>1353.36</v>
      </c>
      <c r="AM18" s="13" t="n">
        <v>1353.36</v>
      </c>
      <c r="AN18" s="13" t="n">
        <v>1353.36</v>
      </c>
      <c r="AO18" s="13" t="n">
        <v>1353.36</v>
      </c>
      <c r="AP18" s="13" t="n">
        <v>1353.36</v>
      </c>
      <c r="AQ18" s="13" t="n">
        <v>1353.36</v>
      </c>
      <c r="AR18" s="13" t="n">
        <v>1353.36</v>
      </c>
      <c r="AS18" s="13" t="n">
        <v>1353.36</v>
      </c>
      <c r="AT18" s="13" t="n">
        <v>1353.36</v>
      </c>
      <c r="AU18" s="13" t="n">
        <v>1353.36</v>
      </c>
      <c r="AV18" s="13" t="n">
        <v>1353.36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</v>
      </c>
      <c r="M19" s="13" t="n">
        <v>1138.56</v>
      </c>
      <c r="N19" s="13" t="n">
        <v>1148.18</v>
      </c>
      <c r="O19" s="13" t="n">
        <v>1154.86</v>
      </c>
      <c r="P19" s="13" t="n">
        <v>1171.76</v>
      </c>
      <c r="Q19" s="13" t="n">
        <v>1195.71</v>
      </c>
      <c r="R19" s="13" t="n">
        <v>1201.16</v>
      </c>
      <c r="S19" s="13" t="n">
        <v>1176.21</v>
      </c>
      <c r="T19" s="13" t="n">
        <v>1187.84</v>
      </c>
      <c r="U19" s="13" t="n">
        <v>1187.21</v>
      </c>
      <c r="V19" s="13" t="n">
        <v>1189.73</v>
      </c>
      <c r="W19" s="13" t="n">
        <v>1192.17</v>
      </c>
      <c r="X19" s="13" t="n">
        <v>1204.51</v>
      </c>
      <c r="Y19" s="13" t="n">
        <v>1199.99</v>
      </c>
      <c r="Z19" s="13" t="n">
        <v>1212.02</v>
      </c>
      <c r="AA19" s="13" t="n">
        <v>1235.38</v>
      </c>
      <c r="AB19" s="13" t="n">
        <v>1258.24</v>
      </c>
      <c r="AC19" s="13" t="n">
        <v>1336.82</v>
      </c>
      <c r="AD19" s="13" t="n">
        <v>1403.08</v>
      </c>
      <c r="AE19" s="13" t="n">
        <v>1437.3</v>
      </c>
      <c r="AF19" s="13" t="n">
        <v>1463.6</v>
      </c>
      <c r="AG19" s="13" t="n">
        <v>1442.82</v>
      </c>
      <c r="AH19" s="13" t="n">
        <v>1422.81</v>
      </c>
      <c r="AI19" s="13" t="n">
        <v>1422.81</v>
      </c>
      <c r="AJ19" s="13" t="n">
        <v>1422.81</v>
      </c>
      <c r="AK19" s="13" t="n">
        <v>1424.26</v>
      </c>
      <c r="AL19" s="13" t="n">
        <v>1427.34</v>
      </c>
      <c r="AM19" s="13" t="n">
        <v>1427.34</v>
      </c>
      <c r="AN19" s="13" t="n">
        <v>1427.31</v>
      </c>
      <c r="AO19" s="13" t="n">
        <v>1426.97</v>
      </c>
      <c r="AP19" s="13" t="n">
        <v>1427.52</v>
      </c>
      <c r="AQ19" s="13" t="n">
        <v>1434.85</v>
      </c>
      <c r="AR19" s="13" t="n">
        <v>1441.23</v>
      </c>
      <c r="AS19" s="13" t="n">
        <v>1444.06</v>
      </c>
      <c r="AT19" s="13" t="n">
        <v>1440.76</v>
      </c>
      <c r="AU19" s="13" t="n">
        <v>1399.81</v>
      </c>
      <c r="AV19" s="13" t="n">
        <v>1399.81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40058</v>
      </c>
      <c r="M20" s="18" t="n">
        <v>69530.5</v>
      </c>
      <c r="N20" s="18" t="n">
        <v>79600.60000000001</v>
      </c>
      <c r="O20" s="18" t="n">
        <v>78323.39999999999</v>
      </c>
      <c r="P20" s="18" t="n">
        <v>80352.10000000001</v>
      </c>
      <c r="Q20" s="18" t="n">
        <v>82895.60000000001</v>
      </c>
      <c r="R20" s="18" t="n">
        <v>83274</v>
      </c>
      <c r="S20" s="18" t="n">
        <v>79771.5</v>
      </c>
      <c r="T20" s="18" t="n">
        <v>81454.8</v>
      </c>
      <c r="U20" s="18" t="n">
        <v>82306.8</v>
      </c>
      <c r="V20" s="18" t="n">
        <v>82481.3</v>
      </c>
      <c r="W20" s="18" t="n">
        <v>81752.10000000001</v>
      </c>
      <c r="X20" s="18" t="n">
        <v>82598.39999999999</v>
      </c>
      <c r="Y20" s="18" t="n">
        <v>83192.8</v>
      </c>
      <c r="Z20" s="18" t="n">
        <v>84026.39999999999</v>
      </c>
      <c r="AA20" s="18" t="n">
        <v>46388.5</v>
      </c>
      <c r="AB20" s="18" t="n">
        <v>24559.7</v>
      </c>
      <c r="AC20" s="18" t="n">
        <v>94238.89999999999</v>
      </c>
      <c r="AD20" s="18" t="n">
        <v>196518.1</v>
      </c>
      <c r="AE20" s="18" t="n">
        <v>440669.5</v>
      </c>
      <c r="AF20" s="18" t="n">
        <v>672859.3</v>
      </c>
      <c r="AG20" s="18" t="n">
        <v>799472.2</v>
      </c>
      <c r="AH20" s="18" t="n">
        <v>791845.8</v>
      </c>
      <c r="AI20" s="18" t="n">
        <v>774631.7</v>
      </c>
      <c r="AJ20" s="18" t="n">
        <v>783238.7</v>
      </c>
      <c r="AK20" s="18" t="n">
        <v>787055.9</v>
      </c>
      <c r="AL20" s="18" t="n">
        <v>777156.8</v>
      </c>
      <c r="AM20" s="18" t="n">
        <v>768709.5</v>
      </c>
      <c r="AN20" s="18" t="n">
        <v>762773.6</v>
      </c>
      <c r="AO20" s="18" t="n">
        <v>722565</v>
      </c>
      <c r="AP20" s="18" t="n">
        <v>665825.3</v>
      </c>
      <c r="AQ20" s="18" t="n">
        <v>502048.9</v>
      </c>
      <c r="AR20" s="18" t="n">
        <v>351994.4</v>
      </c>
      <c r="AS20" s="18" t="n">
        <v>224995.8</v>
      </c>
      <c r="AT20" s="18" t="n">
        <v>124872.9</v>
      </c>
      <c r="AU20" s="18" t="n">
        <v>34047.4</v>
      </c>
      <c r="AV20" s="18" t="n">
        <v>23076.6</v>
      </c>
      <c r="AW20" s="18" t="n">
        <v>7328.6</v>
      </c>
      <c r="AX20" s="18" t="n">
        <v>22348.4</v>
      </c>
      <c r="AY20" s="18" t="n">
        <v>194594.9</v>
      </c>
      <c r="AZ20" s="18" t="n">
        <v>324845.1</v>
      </c>
      <c r="BA20" s="18" t="n">
        <v>326014.4</v>
      </c>
      <c r="BB20" s="18" t="n">
        <v>331569.7</v>
      </c>
      <c r="BC20" s="18" t="n">
        <v>361705.2</v>
      </c>
      <c r="BD20" s="18" t="n">
        <v>2704846.8</v>
      </c>
      <c r="BE20" s="18" t="n">
        <v>3122083.1</v>
      </c>
      <c r="BF20" s="18" t="n">
        <v>2919873.4</v>
      </c>
      <c r="BG20" s="18" t="n">
        <v>1203912</v>
      </c>
      <c r="BH20" s="18" t="n">
        <v>57124</v>
      </c>
    </row>
    <row r="21">
      <c r="A21" s="12" t="inlineStr">
        <is>
          <t>target_opm</t>
        </is>
      </c>
      <c r="D21" t="inlineStr">
        <is>
          <t>타겟 OPM(코호트)</t>
        </is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0.05</v>
      </c>
      <c r="AC21" s="21" t="n">
        <v>0.05</v>
      </c>
      <c r="AD21" s="21" t="n">
        <v>0.054</v>
      </c>
      <c r="AE21" s="21" t="n">
        <v>0.0491</v>
      </c>
      <c r="AF21" s="21" t="n">
        <v>0.0494</v>
      </c>
      <c r="AG21" s="21" t="n">
        <v>0.0495</v>
      </c>
      <c r="AH21" s="21" t="n">
        <v>0.0495</v>
      </c>
      <c r="AI21" s="21" t="n">
        <v>0.0495</v>
      </c>
      <c r="AJ21" s="21" t="n">
        <v>0.0495</v>
      </c>
      <c r="AK21" s="21" t="n">
        <v>0.0495</v>
      </c>
      <c r="AL21" s="21" t="n">
        <v>0.0495</v>
      </c>
      <c r="AM21" s="21" t="n">
        <v>0.0495</v>
      </c>
      <c r="AN21" s="21" t="n">
        <v>0.0495</v>
      </c>
      <c r="AO21" s="21" t="n">
        <v>0.0495</v>
      </c>
      <c r="AP21" s="21" t="n">
        <v>0.0514</v>
      </c>
      <c r="AQ21" s="21" t="n">
        <v>0.055</v>
      </c>
      <c r="AR21" s="21" t="n">
        <v>0.0572</v>
      </c>
      <c r="AS21" s="21" t="n">
        <v>0.0555</v>
      </c>
      <c r="AT21" s="21" t="n">
        <v>0.05</v>
      </c>
      <c r="AU21" s="21" t="n">
        <v>0.05</v>
      </c>
      <c r="AV21" s="21" t="n">
        <v>0.05</v>
      </c>
    </row>
    <row r="23">
      <c r="A23" s="1" t="inlineStr">
        <is>
          <t>계약 원장(contracts.json 기반)</t>
        </is>
      </c>
    </row>
    <row r="24">
      <c r="A24" s="1" t="inlineStr">
        <is>
          <t>rcp</t>
        </is>
      </c>
      <c r="B24" s="1" t="inlineStr">
        <is>
          <t>type</t>
        </is>
      </c>
      <c r="C24" s="1" t="inlineStr">
        <is>
          <t>ships</t>
        </is>
      </c>
      <c r="D24" s="1" t="inlineStr">
        <is>
          <t>amt_krw_m</t>
        </is>
      </c>
      <c r="E24" s="1" t="inlineStr">
        <is>
          <t>amt_usd_m</t>
        </is>
      </c>
      <c r="F24" s="1" t="inlineStr">
        <is>
          <t>fx_at_sign</t>
        </is>
      </c>
      <c r="G24" s="1" t="inlineStr">
        <is>
          <t>signed</t>
        </is>
      </c>
      <c r="H24" s="1" t="inlineStr">
        <is>
          <t>start</t>
        </is>
      </c>
      <c r="I24" s="1" t="inlineStr">
        <is>
          <t>end</t>
        </is>
      </c>
      <c r="J24" s="1" t="inlineStr">
        <is>
          <t>cohort</t>
        </is>
      </c>
      <c r="K24" s="1" t="inlineStr">
        <is>
          <t>curve</t>
        </is>
      </c>
      <c r="L24" s="1" t="inlineStr">
        <is>
          <t>estimated_series</t>
        </is>
      </c>
    </row>
    <row r="25">
      <c r="A25" t="inlineStr">
        <is>
          <t>20251121800424</t>
        </is>
      </c>
      <c r="B25" t="inlineStr">
        <is>
          <t>VLCC</t>
        </is>
      </c>
      <c r="C25" t="n">
        <v>4</v>
      </c>
      <c r="D25" t="n">
        <v>762700</v>
      </c>
      <c r="E25" t="n">
        <v>526.294</v>
      </c>
      <c r="F25" t="n">
        <v>1449.19</v>
      </c>
      <c r="G25" t="inlineStr">
        <is>
          <t>2025-11-20</t>
        </is>
      </c>
      <c r="H25" t="inlineStr">
        <is>
          <t>2025-11-20</t>
        </is>
      </c>
      <c r="I25" t="inlineStr">
        <is>
          <t>2029-08-13</t>
        </is>
      </c>
      <c r="J25" t="inlineStr">
        <is>
          <t>④호황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20251124800131</t>
        </is>
      </c>
      <c r="B26" t="inlineStr">
        <is>
          <t>CONT</t>
        </is>
      </c>
      <c r="C26" t="n">
        <v>6</v>
      </c>
      <c r="D26" t="n">
        <v>1603700</v>
      </c>
      <c r="E26" t="n">
        <v>1106.618</v>
      </c>
      <c r="F26" t="n">
        <v>1449.19</v>
      </c>
      <c r="G26" t="inlineStr">
        <is>
          <t>2025-11-21</t>
        </is>
      </c>
      <c r="H26" t="inlineStr">
        <is>
          <t>2025-11-21</t>
        </is>
      </c>
      <c r="I26" t="inlineStr">
        <is>
          <t>2029-04-30</t>
        </is>
      </c>
      <c r="J26" t="inlineStr">
        <is>
          <t>③중마진</t>
        </is>
      </c>
      <c r="K26" t="inlineStr">
        <is>
          <t>linear_progress</t>
        </is>
      </c>
      <c r="L26" t="b">
        <v>1</v>
      </c>
    </row>
    <row r="27">
      <c r="A27" t="inlineStr">
        <is>
          <t>20251124800132</t>
        </is>
      </c>
      <c r="B27" t="inlineStr">
        <is>
          <t>CONT</t>
        </is>
      </c>
      <c r="C27" t="n">
        <v>2</v>
      </c>
      <c r="D27" t="n">
        <v>534600</v>
      </c>
      <c r="E27" t="n">
        <v>368.896</v>
      </c>
      <c r="F27" t="n">
        <v>1449.19</v>
      </c>
      <c r="G27" t="inlineStr">
        <is>
          <t>2025-11-21</t>
        </is>
      </c>
      <c r="H27" t="inlineStr">
        <is>
          <t>2025-11-21</t>
        </is>
      </c>
      <c r="I27" t="inlineStr">
        <is>
          <t>2028-07-14</t>
        </is>
      </c>
      <c r="K27" t="inlineStr">
        <is>
          <t>linear_progress</t>
        </is>
      </c>
      <c r="L27" t="b">
        <v>1</v>
      </c>
    </row>
    <row r="28">
      <c r="A28" t="inlineStr">
        <is>
          <t>20251202800104</t>
        </is>
      </c>
      <c r="B28" t="inlineStr">
        <is>
          <t>LNGC</t>
        </is>
      </c>
      <c r="C28" t="n">
        <v>1</v>
      </c>
      <c r="D28" t="n">
        <v>367200</v>
      </c>
      <c r="E28" t="n">
        <v>253.383</v>
      </c>
      <c r="F28" t="n">
        <v>1449.19</v>
      </c>
      <c r="G28" t="inlineStr">
        <is>
          <t>2025-12-01</t>
        </is>
      </c>
      <c r="H28" t="inlineStr">
        <is>
          <t>2025-12-01</t>
        </is>
      </c>
      <c r="I28" t="inlineStr">
        <is>
          <t>2028-12-31</t>
        </is>
      </c>
      <c r="J28" t="inlineStr">
        <is>
          <t>③중마진</t>
        </is>
      </c>
      <c r="K28" t="inlineStr">
        <is>
          <t>linear_progress</t>
        </is>
      </c>
      <c r="L28" t="b">
        <v>0</v>
      </c>
    </row>
    <row r="29">
      <c r="A29" t="inlineStr">
        <is>
          <t>20251215800970</t>
        </is>
      </c>
      <c r="B29" t="inlineStr">
        <is>
          <t>OTHER</t>
        </is>
      </c>
      <c r="D29" t="n">
        <v>140700</v>
      </c>
      <c r="E29" t="n">
        <v>117.843</v>
      </c>
      <c r="F29" t="n">
        <v>1193.96</v>
      </c>
      <c r="G29" t="inlineStr">
        <is>
          <t>2019-09-03</t>
        </is>
      </c>
      <c r="H29" t="inlineStr">
        <is>
          <t>2019-09-03</t>
        </is>
      </c>
      <c r="I29" t="inlineStr">
        <is>
          <t>2025-12-15</t>
        </is>
      </c>
      <c r="K29" t="inlineStr">
        <is>
          <t>linear_progress</t>
        </is>
      </c>
      <c r="L29" t="b">
        <v>0</v>
      </c>
    </row>
    <row r="30">
      <c r="A30" t="inlineStr">
        <is>
          <t>20251219800421</t>
        </is>
      </c>
      <c r="B30" t="inlineStr">
        <is>
          <t>LNGC</t>
        </is>
      </c>
      <c r="C30" t="n">
        <v>3</v>
      </c>
      <c r="D30" t="n">
        <v>1047200</v>
      </c>
      <c r="E30" t="n">
        <v>769.491</v>
      </c>
      <c r="F30" t="n">
        <v>1360.9</v>
      </c>
      <c r="G30" t="inlineStr">
        <is>
          <t>2025-06-26</t>
        </is>
      </c>
      <c r="H30" t="inlineStr">
        <is>
          <t>2025-06-26</t>
        </is>
      </c>
      <c r="I30" t="inlineStr">
        <is>
          <t>2029-02-02</t>
        </is>
      </c>
      <c r="J30" t="inlineStr">
        <is>
          <t>③중마진</t>
        </is>
      </c>
      <c r="K30" t="inlineStr">
        <is>
          <t>linear_progress</t>
        </is>
      </c>
      <c r="L30" t="b">
        <v>0</v>
      </c>
    </row>
    <row r="31">
      <c r="A31" t="inlineStr">
        <is>
          <t>20251219800433</t>
        </is>
      </c>
      <c r="B31" t="inlineStr">
        <is>
          <t>CONT</t>
        </is>
      </c>
      <c r="C31" t="n">
        <v>4</v>
      </c>
      <c r="D31" t="n">
        <v>689600</v>
      </c>
      <c r="E31" t="n">
        <v>475.852</v>
      </c>
      <c r="F31" t="n">
        <v>1449.19</v>
      </c>
      <c r="G31" t="inlineStr">
        <is>
          <t>2025-12-18</t>
        </is>
      </c>
      <c r="H31" t="inlineStr">
        <is>
          <t>2025-12-18</t>
        </is>
      </c>
      <c r="I31" t="inlineStr">
        <is>
          <t>2028-11-20</t>
        </is>
      </c>
      <c r="J31" t="inlineStr">
        <is>
          <t>②BEP</t>
        </is>
      </c>
      <c r="K31" t="inlineStr">
        <is>
          <t>linear_progress</t>
        </is>
      </c>
      <c r="L31" t="b">
        <v>1</v>
      </c>
    </row>
    <row r="32">
      <c r="A32" t="inlineStr">
        <is>
          <t>20251224800162</t>
        </is>
      </c>
      <c r="B32" t="inlineStr">
        <is>
          <t>PC</t>
        </is>
      </c>
      <c r="C32" t="n">
        <v>5</v>
      </c>
      <c r="D32" t="n">
        <v>375000</v>
      </c>
      <c r="E32" t="n">
        <v>258.765</v>
      </c>
      <c r="F32" t="n">
        <v>1449.19</v>
      </c>
      <c r="G32" t="inlineStr">
        <is>
          <t>2025-12-23</t>
        </is>
      </c>
      <c r="H32" t="inlineStr">
        <is>
          <t>2025-12-23</t>
        </is>
      </c>
      <c r="I32" t="inlineStr">
        <is>
          <t>2028-07-31</t>
        </is>
      </c>
      <c r="K32" t="inlineStr">
        <is>
          <t>linear_progress</t>
        </is>
      </c>
      <c r="L32" t="b">
        <v>1</v>
      </c>
    </row>
    <row r="33">
      <c r="A33" t="inlineStr">
        <is>
          <t>20251226800855</t>
        </is>
      </c>
      <c r="B33" t="inlineStr">
        <is>
          <t>NAVAL</t>
        </is>
      </c>
      <c r="C33" t="n">
        <v>2</v>
      </c>
      <c r="D33" t="n">
        <v>844700</v>
      </c>
      <c r="E33" t="n">
        <v>582.877</v>
      </c>
      <c r="F33" t="n">
        <v>1449.19</v>
      </c>
      <c r="G33" t="inlineStr">
        <is>
          <t>2025-12-26</t>
        </is>
      </c>
      <c r="H33" t="inlineStr">
        <is>
          <t>2025-12-26</t>
        </is>
      </c>
      <c r="I33" t="inlineStr">
        <is>
          <t>2029-12-20</t>
        </is>
      </c>
      <c r="K33" t="inlineStr">
        <is>
          <t>linear_progress</t>
        </is>
      </c>
      <c r="L33" t="b">
        <v>0</v>
      </c>
    </row>
    <row r="34">
      <c r="A34" t="inlineStr">
        <is>
          <t>20260106800156</t>
        </is>
      </c>
      <c r="B34" t="inlineStr">
        <is>
          <t>LNGC</t>
        </is>
      </c>
      <c r="C34" t="n">
        <v>4</v>
      </c>
      <c r="D34" t="n">
        <v>1499300</v>
      </c>
      <c r="E34" t="n">
        <v>1022.631</v>
      </c>
      <c r="F34" t="n">
        <v>1466.12</v>
      </c>
      <c r="G34" t="inlineStr">
        <is>
          <t>2026-01-05</t>
        </is>
      </c>
      <c r="H34" t="inlineStr">
        <is>
          <t>2026-01-05</t>
        </is>
      </c>
      <c r="I34" t="inlineStr">
        <is>
          <t>2029-03-27</t>
        </is>
      </c>
      <c r="K34" t="inlineStr">
        <is>
          <t>linear_progress</t>
        </is>
      </c>
      <c r="L34" t="b">
        <v>1</v>
      </c>
    </row>
    <row r="35">
      <c r="A35" t="inlineStr">
        <is>
          <t>20260116800207</t>
        </is>
      </c>
      <c r="B35" t="inlineStr">
        <is>
          <t>VLGC</t>
        </is>
      </c>
      <c r="C35" t="n">
        <v>1</v>
      </c>
      <c r="D35" t="n">
        <v>175800</v>
      </c>
      <c r="E35" t="n">
        <v>119.908</v>
      </c>
      <c r="F35" t="n">
        <v>1466.12</v>
      </c>
      <c r="G35" t="inlineStr">
        <is>
          <t>2026-01-15</t>
        </is>
      </c>
      <c r="H35" t="inlineStr">
        <is>
          <t>2026-01-15</t>
        </is>
      </c>
      <c r="I35" t="inlineStr">
        <is>
          <t>2028-05-31</t>
        </is>
      </c>
      <c r="J35" t="inlineStr">
        <is>
          <t>③중마진</t>
        </is>
      </c>
      <c r="K35" t="inlineStr">
        <is>
          <t>linear_progress</t>
        </is>
      </c>
      <c r="L35" t="b">
        <v>0</v>
      </c>
    </row>
    <row r="36">
      <c r="A36" t="inlineStr">
        <is>
          <t>20260120800211</t>
        </is>
      </c>
      <c r="B36" t="inlineStr">
        <is>
          <t>VLCC</t>
        </is>
      </c>
      <c r="C36" t="n">
        <v>2</v>
      </c>
      <c r="D36" t="n">
        <v>481600</v>
      </c>
      <c r="E36" t="n">
        <v>328.486</v>
      </c>
      <c r="F36" t="n">
        <v>1466.12</v>
      </c>
      <c r="G36" t="inlineStr">
        <is>
          <t>2026-01-19</t>
        </is>
      </c>
      <c r="H36" t="inlineStr">
        <is>
          <t>2026-01-19</t>
        </is>
      </c>
      <c r="I36" t="inlineStr">
        <is>
          <t>2029-06-30</t>
        </is>
      </c>
      <c r="K36" t="inlineStr">
        <is>
          <t>linear_progress</t>
        </is>
      </c>
      <c r="L36" t="b">
        <v>0</v>
      </c>
    </row>
    <row r="37">
      <c r="A37" t="inlineStr">
        <is>
          <t>20260202800947</t>
        </is>
      </c>
      <c r="B37" t="inlineStr">
        <is>
          <t>LNGC</t>
        </is>
      </c>
      <c r="C37" t="n">
        <v>1</v>
      </c>
      <c r="D37" t="n">
        <v>357500</v>
      </c>
      <c r="E37" t="n">
        <v>243.841</v>
      </c>
      <c r="F37" t="n">
        <v>1466.12</v>
      </c>
      <c r="G37" t="inlineStr">
        <is>
          <t>2026-01-30</t>
        </is>
      </c>
      <c r="H37" t="inlineStr">
        <is>
          <t>2026-01-30</t>
        </is>
      </c>
      <c r="I37" t="inlineStr">
        <is>
          <t>2028-06-30</t>
        </is>
      </c>
      <c r="J37" t="inlineStr">
        <is>
          <t>③중마진</t>
        </is>
      </c>
      <c r="K37" t="inlineStr">
        <is>
          <t>linear_progress</t>
        </is>
      </c>
      <c r="L37" t="b">
        <v>1</v>
      </c>
    </row>
    <row r="38">
      <c r="A38" t="inlineStr">
        <is>
          <t>20260226800208</t>
        </is>
      </c>
      <c r="B38" t="inlineStr">
        <is>
          <t>LNGC</t>
        </is>
      </c>
      <c r="C38" t="n">
        <v>1</v>
      </c>
      <c r="D38" t="n">
        <v>367800</v>
      </c>
      <c r="E38" t="n">
        <v>250.866</v>
      </c>
      <c r="F38" t="n">
        <v>1466.12</v>
      </c>
      <c r="G38" t="inlineStr">
        <is>
          <t>2026-02-25</t>
        </is>
      </c>
      <c r="H38" t="inlineStr">
        <is>
          <t>2026-02-25</t>
        </is>
      </c>
      <c r="I38" t="inlineStr">
        <is>
          <t>2028-09-29</t>
        </is>
      </c>
      <c r="K38" t="inlineStr">
        <is>
          <t>linear_progress</t>
        </is>
      </c>
      <c r="L38" t="b">
        <v>1</v>
      </c>
    </row>
    <row r="39">
      <c r="A39" t="inlineStr">
        <is>
          <t>20260227800230</t>
        </is>
      </c>
      <c r="B39" t="inlineStr">
        <is>
          <t>CONT</t>
        </is>
      </c>
      <c r="C39" t="n">
        <v>6</v>
      </c>
      <c r="D39" t="n">
        <v>372400</v>
      </c>
      <c r="E39" t="n">
        <v>254.004</v>
      </c>
      <c r="F39" t="n">
        <v>1466.12</v>
      </c>
      <c r="G39" t="inlineStr">
        <is>
          <t>2026-02-26</t>
        </is>
      </c>
      <c r="H39" t="inlineStr">
        <is>
          <t>2026-02-26</t>
        </is>
      </c>
      <c r="I39" t="inlineStr">
        <is>
          <t>2028-06-30</t>
        </is>
      </c>
      <c r="K39" t="inlineStr">
        <is>
          <t>linear_progress</t>
        </is>
      </c>
      <c r="L39" t="b">
        <v>1</v>
      </c>
    </row>
    <row r="40">
      <c r="A40" t="inlineStr">
        <is>
          <t>20260304800002</t>
        </is>
      </c>
      <c r="B40" t="inlineStr">
        <is>
          <t>VLCC</t>
        </is>
      </c>
      <c r="C40" t="n">
        <v>4</v>
      </c>
      <c r="D40" t="n">
        <v>529300</v>
      </c>
      <c r="E40" t="n">
        <v>365.239</v>
      </c>
      <c r="F40" t="n">
        <v>1449.19</v>
      </c>
      <c r="G40" t="inlineStr">
        <is>
          <t>2025-12-18</t>
        </is>
      </c>
      <c r="H40" t="inlineStr">
        <is>
          <t>2025-12-18</t>
        </is>
      </c>
      <c r="I40" t="inlineStr">
        <is>
          <t>2028-10-31</t>
        </is>
      </c>
      <c r="J40" t="inlineStr">
        <is>
          <t>③중마진</t>
        </is>
      </c>
      <c r="K40" t="inlineStr">
        <is>
          <t>linear_progress</t>
        </is>
      </c>
      <c r="L40" t="b">
        <v>1</v>
      </c>
    </row>
    <row r="41">
      <c r="A41" t="inlineStr">
        <is>
          <t>20260305800849</t>
        </is>
      </c>
      <c r="B41" t="inlineStr">
        <is>
          <t>LNGC</t>
        </is>
      </c>
      <c r="C41" t="n">
        <v>4</v>
      </c>
      <c r="D41" t="n">
        <v>1487200</v>
      </c>
      <c r="E41" t="n">
        <v>1014.378</v>
      </c>
      <c r="F41" t="n">
        <v>1466.12</v>
      </c>
      <c r="G41" t="inlineStr">
        <is>
          <t>2026-03-04</t>
        </is>
      </c>
      <c r="H41" t="inlineStr">
        <is>
          <t>2026-03-04</t>
        </is>
      </c>
      <c r="I41" t="inlineStr">
        <is>
          <t>2029-11-30</t>
        </is>
      </c>
      <c r="K41" t="inlineStr">
        <is>
          <t>linear_progress</t>
        </is>
      </c>
      <c r="L41" t="b">
        <v>1</v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n">
        <v>263200</v>
      </c>
      <c r="E42" t="n">
        <v>179.521</v>
      </c>
      <c r="F42" t="n">
        <v>1466.12</v>
      </c>
      <c r="G42" t="inlineStr">
        <is>
          <t>2026-03-05</t>
        </is>
      </c>
      <c r="H42" t="inlineStr">
        <is>
          <t>2026-03-05</t>
        </is>
      </c>
      <c r="I42" t="inlineStr">
        <is>
          <t>2029-05-31</t>
        </is>
      </c>
      <c r="J42" t="inlineStr">
        <is>
          <t>③중마진</t>
        </is>
      </c>
      <c r="K42" t="inlineStr">
        <is>
          <t>linear_progress</t>
        </is>
      </c>
      <c r="L42" t="b">
        <v>0</v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n">
        <v>340200</v>
      </c>
      <c r="E43" t="n">
        <v>232.041</v>
      </c>
      <c r="F43" t="n">
        <v>1466.12</v>
      </c>
      <c r="G43" t="inlineStr">
        <is>
          <t>2026-03-09</t>
        </is>
      </c>
      <c r="H43" t="inlineStr">
        <is>
          <t>2026-03-09</t>
        </is>
      </c>
      <c r="I43" t="inlineStr">
        <is>
          <t>2028-12-29</t>
        </is>
      </c>
      <c r="J43" t="inlineStr">
        <is>
          <t>③중마진</t>
        </is>
      </c>
      <c r="K43" t="inlineStr">
        <is>
          <t>linear_progress</t>
        </is>
      </c>
      <c r="L43" t="b">
        <v>1</v>
      </c>
    </row>
    <row r="44">
      <c r="A44" t="inlineStr">
        <is>
          <t>20260316800234</t>
        </is>
      </c>
      <c r="B44" t="inlineStr">
        <is>
          <t>CONT</t>
        </is>
      </c>
      <c r="C44" t="n">
        <v>10</v>
      </c>
      <c r="D44" t="n">
        <v>823700</v>
      </c>
      <c r="E44" t="n">
        <v>561.823</v>
      </c>
      <c r="F44" t="n">
        <v>1466.12</v>
      </c>
      <c r="G44" t="inlineStr">
        <is>
          <t>2026-03-13</t>
        </is>
      </c>
      <c r="H44" t="inlineStr">
        <is>
          <t>2026-03-13</t>
        </is>
      </c>
      <c r="I44" t="inlineStr">
        <is>
          <t>2028-12-31</t>
        </is>
      </c>
      <c r="K44" t="inlineStr">
        <is>
          <t>linear_progress</t>
        </is>
      </c>
      <c r="L44" t="b">
        <v>1</v>
      </c>
    </row>
    <row r="45">
      <c r="A45" t="inlineStr">
        <is>
          <t>20260403800582</t>
        </is>
      </c>
      <c r="B45" t="inlineStr">
        <is>
          <t>VLGC</t>
        </is>
      </c>
      <c r="C45" t="n">
        <v>2</v>
      </c>
      <c r="D45" t="n">
        <v>349800</v>
      </c>
      <c r="E45" t="n">
        <v>232.928</v>
      </c>
      <c r="F45" t="n">
        <v>1501.75</v>
      </c>
      <c r="G45" t="inlineStr">
        <is>
          <t>2026-04-02</t>
        </is>
      </c>
      <c r="H45" t="inlineStr">
        <is>
          <t>2026-04-02</t>
        </is>
      </c>
      <c r="I45" t="inlineStr">
        <is>
          <t>2029-03-30</t>
        </is>
      </c>
      <c r="J45" t="inlineStr">
        <is>
          <t>③중마진</t>
        </is>
      </c>
      <c r="K45" t="inlineStr">
        <is>
          <t>linear_progress</t>
        </is>
      </c>
      <c r="L45" t="b">
        <v>0</v>
      </c>
    </row>
    <row r="46">
      <c r="A46" t="inlineStr">
        <is>
          <t>20260403800587</t>
        </is>
      </c>
      <c r="B46" t="inlineStr">
        <is>
          <t>PC</t>
        </is>
      </c>
      <c r="C46" t="n">
        <v>8</v>
      </c>
      <c r="D46" t="n">
        <v>611700</v>
      </c>
      <c r="E46" t="n">
        <v>407.325</v>
      </c>
      <c r="F46" t="n">
        <v>1501.75</v>
      </c>
      <c r="G46" t="inlineStr">
        <is>
          <t>2026-04-02</t>
        </is>
      </c>
      <c r="H46" t="inlineStr">
        <is>
          <t>2026-04-02</t>
        </is>
      </c>
      <c r="I46" t="inlineStr">
        <is>
          <t>2029-05-31</t>
        </is>
      </c>
      <c r="K46" t="inlineStr">
        <is>
          <t>linear_progress</t>
        </is>
      </c>
      <c r="L46" t="b">
        <v>1</v>
      </c>
    </row>
    <row r="47">
      <c r="A47" t="inlineStr">
        <is>
          <t>20260408800703</t>
        </is>
      </c>
      <c r="B47" t="inlineStr">
        <is>
          <t>LNGC</t>
        </is>
      </c>
      <c r="C47" t="n">
        <v>2</v>
      </c>
      <c r="D47" t="n">
        <v>770200</v>
      </c>
      <c r="E47" t="n">
        <v>512.8680000000001</v>
      </c>
      <c r="F47" t="n">
        <v>1501.75</v>
      </c>
      <c r="G47" t="inlineStr">
        <is>
          <t>2026-04-07</t>
        </is>
      </c>
      <c r="H47" t="inlineStr">
        <is>
          <t>2026-04-07</t>
        </is>
      </c>
      <c r="I47" t="inlineStr">
        <is>
          <t>2029-09-28</t>
        </is>
      </c>
      <c r="J47" t="inlineStr">
        <is>
          <t>③중마진</t>
        </is>
      </c>
      <c r="K47" t="inlineStr">
        <is>
          <t>linear_progress</t>
        </is>
      </c>
      <c r="L47" t="b">
        <v>1</v>
      </c>
    </row>
    <row r="48">
      <c r="A48" t="inlineStr">
        <is>
          <t>20260416800167</t>
        </is>
      </c>
      <c r="B48" t="inlineStr">
        <is>
          <t>VLGC</t>
        </is>
      </c>
      <c r="C48" t="n">
        <v>2</v>
      </c>
      <c r="D48" t="n">
        <v>346600</v>
      </c>
      <c r="E48" t="n">
        <v>230.797</v>
      </c>
      <c r="F48" t="n">
        <v>1501.75</v>
      </c>
      <c r="G48" t="inlineStr">
        <is>
          <t>2026-04-15</t>
        </is>
      </c>
      <c r="H48" t="inlineStr">
        <is>
          <t>2026-04-15</t>
        </is>
      </c>
      <c r="I48" t="inlineStr">
        <is>
          <t>2029-04-30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20260417800196</t>
        </is>
      </c>
      <c r="B49" t="inlineStr">
        <is>
          <t>VLGC</t>
        </is>
      </c>
      <c r="C49" t="n">
        <v>4</v>
      </c>
      <c r="D49" t="n">
        <v>674700</v>
      </c>
      <c r="E49" t="n">
        <v>449.276</v>
      </c>
      <c r="F49" t="n">
        <v>1501.75</v>
      </c>
      <c r="G49" t="inlineStr">
        <is>
          <t>2026-04-16</t>
        </is>
      </c>
      <c r="H49" t="inlineStr">
        <is>
          <t>2026-04-16</t>
        </is>
      </c>
      <c r="I49" t="inlineStr">
        <is>
          <t>2029-11-30</t>
        </is>
      </c>
      <c r="K49" t="inlineStr">
        <is>
          <t>linear_progress</t>
        </is>
      </c>
      <c r="L49" t="b">
        <v>1</v>
      </c>
    </row>
    <row r="50">
      <c r="A50" t="inlineStr">
        <is>
          <t>20260422800051</t>
        </is>
      </c>
      <c r="B50" t="inlineStr">
        <is>
          <t>NAVAL</t>
        </is>
      </c>
      <c r="C50" t="n">
        <v>1</v>
      </c>
      <c r="D50" t="n">
        <v>514800</v>
      </c>
      <c r="E50" t="n">
        <v>342.8</v>
      </c>
      <c r="F50" t="n">
        <v>1501.75</v>
      </c>
      <c r="G50" t="inlineStr">
        <is>
          <t>2026-04-21</t>
        </is>
      </c>
      <c r="H50" t="inlineStr">
        <is>
          <t>2026-04-21</t>
        </is>
      </c>
      <c r="I50" t="inlineStr">
        <is>
          <t>2029-08-28</t>
        </is>
      </c>
      <c r="K50" t="inlineStr">
        <is>
          <t>linear_progress</t>
        </is>
      </c>
      <c r="L50" t="b">
        <v>0</v>
      </c>
    </row>
    <row r="51">
      <c r="A51" t="inlineStr">
        <is>
          <t>20260422800184</t>
        </is>
      </c>
      <c r="B51" t="inlineStr">
        <is>
          <t>OTHER</t>
        </is>
      </c>
      <c r="D51" t="n">
        <v>627100</v>
      </c>
      <c r="E51" t="n">
        <v>417.579</v>
      </c>
      <c r="F51" t="n">
        <v>1501.75</v>
      </c>
      <c r="G51" t="inlineStr">
        <is>
          <t>2026-04-21</t>
        </is>
      </c>
      <c r="H51" t="inlineStr">
        <is>
          <t>2026-04-21</t>
        </is>
      </c>
      <c r="I51" t="inlineStr">
        <is>
          <t>2030-10-21</t>
        </is>
      </c>
      <c r="K51" t="inlineStr">
        <is>
          <t>linear_progress</t>
        </is>
      </c>
      <c r="L51" t="b">
        <v>0</v>
      </c>
    </row>
    <row r="52">
      <c r="A52" t="inlineStr">
        <is>
          <t>20260504800307</t>
        </is>
      </c>
      <c r="B52" t="inlineStr">
        <is>
          <t>VLGC</t>
        </is>
      </c>
      <c r="C52" t="n">
        <v>3</v>
      </c>
      <c r="D52" t="n">
        <v>504800</v>
      </c>
      <c r="E52" t="n">
        <v>336.141</v>
      </c>
      <c r="F52" t="n">
        <v>1501.75</v>
      </c>
      <c r="G52" t="inlineStr">
        <is>
          <t>2026-04-30</t>
        </is>
      </c>
      <c r="H52" t="inlineStr">
        <is>
          <t>2026-04-30</t>
        </is>
      </c>
      <c r="I52" t="inlineStr">
        <is>
          <t>2029-08-31</t>
        </is>
      </c>
      <c r="K52" t="inlineStr">
        <is>
          <t>linear_progress</t>
        </is>
      </c>
      <c r="L52" t="b">
        <v>0</v>
      </c>
    </row>
    <row r="53">
      <c r="A53" t="inlineStr">
        <is>
          <t>20260508800186</t>
        </is>
      </c>
      <c r="B53" t="inlineStr">
        <is>
          <t>CONT</t>
        </is>
      </c>
      <c r="C53" t="n">
        <v>6</v>
      </c>
      <c r="D53" t="n">
        <v>1778700</v>
      </c>
      <c r="E53" t="n">
        <v>1184.418</v>
      </c>
      <c r="F53" t="n">
        <v>1501.75</v>
      </c>
      <c r="G53" t="inlineStr">
        <is>
          <t>2026-05-07</t>
        </is>
      </c>
      <c r="H53" t="inlineStr">
        <is>
          <t>2026-05-07</t>
        </is>
      </c>
      <c r="I53" t="inlineStr">
        <is>
          <t>2029-09-30</t>
        </is>
      </c>
      <c r="K53" t="inlineStr">
        <is>
          <t>linear_progress</t>
        </is>
      </c>
      <c r="L53" t="b">
        <v>1</v>
      </c>
    </row>
    <row r="54">
      <c r="A54" t="inlineStr">
        <is>
          <t>20260513800195</t>
        </is>
      </c>
      <c r="B54" t="inlineStr">
        <is>
          <t>LNGC</t>
        </is>
      </c>
      <c r="C54" t="n">
        <v>2</v>
      </c>
      <c r="D54" t="n">
        <v>748500</v>
      </c>
      <c r="E54" t="n">
        <v>498.419</v>
      </c>
      <c r="F54" t="n">
        <v>1501.75</v>
      </c>
      <c r="G54" t="inlineStr">
        <is>
          <t>2026-05-12</t>
        </is>
      </c>
      <c r="H54" t="inlineStr">
        <is>
          <t>2026-05-12</t>
        </is>
      </c>
      <c r="I54" t="inlineStr">
        <is>
          <t>2029-07-23</t>
        </is>
      </c>
      <c r="J54" t="inlineStr">
        <is>
          <t>③중마진</t>
        </is>
      </c>
      <c r="K54" t="inlineStr">
        <is>
          <t>linear_progress</t>
        </is>
      </c>
      <c r="L54" t="b">
        <v>0</v>
      </c>
    </row>
    <row r="55">
      <c r="A55" t="inlineStr">
        <is>
          <t>20260514800347</t>
        </is>
      </c>
      <c r="B55" t="inlineStr">
        <is>
          <t>LNGC</t>
        </is>
      </c>
      <c r="C55" t="n">
        <v>2</v>
      </c>
      <c r="D55" t="n">
        <v>743900</v>
      </c>
      <c r="E55" t="n">
        <v>495.355</v>
      </c>
      <c r="F55" t="n">
        <v>1501.75</v>
      </c>
      <c r="G55" t="inlineStr">
        <is>
          <t>2026-05-13</t>
        </is>
      </c>
      <c r="H55" t="inlineStr">
        <is>
          <t>2026-05-13</t>
        </is>
      </c>
      <c r="I55" t="inlineStr">
        <is>
          <t>2029-03-30</t>
        </is>
      </c>
      <c r="K55" t="inlineStr">
        <is>
          <t>linear_progress</t>
        </is>
      </c>
      <c r="L55" t="b">
        <v>1</v>
      </c>
    </row>
    <row r="56">
      <c r="A56" t="inlineStr">
        <is>
          <t>20260521800360</t>
        </is>
      </c>
      <c r="B56" t="inlineStr">
        <is>
          <t>VLGC</t>
        </is>
      </c>
      <c r="C56" t="n">
        <v>6</v>
      </c>
      <c r="D56" t="n">
        <v>1078200</v>
      </c>
      <c r="E56" t="n">
        <v>717.962</v>
      </c>
      <c r="F56" t="n">
        <v>1501.75</v>
      </c>
      <c r="G56" t="inlineStr">
        <is>
          <t>2026-05-20</t>
        </is>
      </c>
      <c r="H56" t="inlineStr">
        <is>
          <t>2026-05-20</t>
        </is>
      </c>
      <c r="I56" t="inlineStr">
        <is>
          <t>2029-12-20</t>
        </is>
      </c>
      <c r="J56" t="inlineStr">
        <is>
          <t>③중마진</t>
        </is>
      </c>
      <c r="K56" t="inlineStr">
        <is>
          <t>linear_progress</t>
        </is>
      </c>
      <c r="L56" t="b">
        <v>1</v>
      </c>
    </row>
    <row r="57">
      <c r="A57" t="inlineStr">
        <is>
          <t>20260601800400</t>
        </is>
      </c>
      <c r="B57" t="inlineStr">
        <is>
          <t>VLGC</t>
        </is>
      </c>
      <c r="C57" t="n">
        <v>8</v>
      </c>
      <c r="D57" t="n">
        <v>1416100</v>
      </c>
      <c r="E57" t="n">
        <v>942.967</v>
      </c>
      <c r="F57" t="n">
        <v>1501.75</v>
      </c>
      <c r="G57" t="inlineStr">
        <is>
          <t>2026-05-30</t>
        </is>
      </c>
      <c r="H57" t="inlineStr">
        <is>
          <t>2026-05-30</t>
        </is>
      </c>
      <c r="I57" t="inlineStr">
        <is>
          <t>2030-06-30</t>
        </is>
      </c>
      <c r="K57" t="inlineStr">
        <is>
          <t>linear_progress</t>
        </is>
      </c>
      <c r="L57" t="b">
        <v>1</v>
      </c>
    </row>
    <row r="58">
      <c r="A58" t="inlineStr">
        <is>
          <t>20260629800351</t>
        </is>
      </c>
      <c r="B58" t="inlineStr">
        <is>
          <t>VLGC</t>
        </is>
      </c>
      <c r="C58" t="n">
        <v>2</v>
      </c>
      <c r="D58" t="n">
        <v>366000</v>
      </c>
      <c r="E58" t="n">
        <v>243.716</v>
      </c>
      <c r="F58" t="n">
        <v>1501.75</v>
      </c>
      <c r="G58" t="inlineStr">
        <is>
          <t>2026-06-26</t>
        </is>
      </c>
      <c r="H58" t="inlineStr">
        <is>
          <t>2026-06-26</t>
        </is>
      </c>
      <c r="I58" t="inlineStr">
        <is>
          <t>2029-12-31</t>
        </is>
      </c>
      <c r="J58" t="inlineStr">
        <is>
          <t>③중마진</t>
        </is>
      </c>
      <c r="K58" t="inlineStr">
        <is>
          <t>linear_progress</t>
        </is>
      </c>
      <c r="L58" t="b">
        <v>0</v>
      </c>
    </row>
    <row r="59">
      <c r="A59" t="inlineStr">
        <is>
          <t>20260701800239</t>
        </is>
      </c>
      <c r="B59" t="inlineStr">
        <is>
          <t>LNGC</t>
        </is>
      </c>
      <c r="C59" t="n">
        <v>1</v>
      </c>
      <c r="D59" t="n">
        <v>492800</v>
      </c>
      <c r="E59" t="n">
        <v>328.15</v>
      </c>
      <c r="F59" t="n">
        <v>1501.75</v>
      </c>
      <c r="G59" t="inlineStr">
        <is>
          <t>2026-06-30</t>
        </is>
      </c>
      <c r="H59" t="inlineStr">
        <is>
          <t>2026-06-30</t>
        </is>
      </c>
      <c r="I59" t="inlineStr">
        <is>
          <t>2029-05-31</t>
        </is>
      </c>
      <c r="K59" t="inlineStr">
        <is>
          <t>linear_progress</t>
        </is>
      </c>
      <c r="L59" t="b">
        <v>0</v>
      </c>
    </row>
    <row r="60">
      <c r="A60" t="inlineStr">
        <is>
          <t>20260709800139</t>
        </is>
      </c>
      <c r="B60" t="inlineStr">
        <is>
          <t>PC</t>
        </is>
      </c>
      <c r="C60" t="n">
        <v>6</v>
      </c>
      <c r="D60" t="n">
        <v>469900</v>
      </c>
      <c r="E60" t="n">
        <v>330.981</v>
      </c>
      <c r="F60" t="n">
        <v>1419.72</v>
      </c>
      <c r="G60" t="inlineStr">
        <is>
          <t>2026-07-08</t>
        </is>
      </c>
      <c r="H60" t="inlineStr">
        <is>
          <t>2026-07-08</t>
        </is>
      </c>
      <c r="I60" t="inlineStr">
        <is>
          <t>2029-06-30</t>
        </is>
      </c>
      <c r="K60" t="inlineStr">
        <is>
          <t>linear_progress</t>
        </is>
      </c>
      <c r="L60" t="b">
        <v>1</v>
      </c>
    </row>
    <row r="61">
      <c r="A61" t="inlineStr">
        <is>
          <t>20260713800202</t>
        </is>
      </c>
      <c r="B61" t="inlineStr">
        <is>
          <t>VLGC</t>
        </is>
      </c>
      <c r="C61" t="n">
        <v>3</v>
      </c>
      <c r="D61" t="n">
        <v>545600</v>
      </c>
      <c r="E61" t="n">
        <v>384.301</v>
      </c>
      <c r="F61" t="n">
        <v>1419.72</v>
      </c>
      <c r="G61" t="inlineStr">
        <is>
          <t>2026-07-10</t>
        </is>
      </c>
      <c r="H61" t="inlineStr">
        <is>
          <t>2026-07-10</t>
        </is>
      </c>
      <c r="I61" t="inlineStr">
        <is>
          <t>2030-05-31</t>
        </is>
      </c>
      <c r="J61" t="inlineStr">
        <is>
          <t>③중마진</t>
        </is>
      </c>
      <c r="K61" t="inlineStr">
        <is>
          <t>linear_progress</t>
        </is>
      </c>
      <c r="L61" t="b">
        <v>1</v>
      </c>
    </row>
    <row r="62">
      <c r="A62" t="inlineStr">
        <is>
          <t>20260810800150</t>
        </is>
      </c>
      <c r="B62" t="inlineStr">
        <is>
          <t>OTHER</t>
        </is>
      </c>
      <c r="D62" t="n">
        <v>956000</v>
      </c>
      <c r="E62" t="n">
        <v>673.372</v>
      </c>
      <c r="F62" t="n">
        <v>1419.72</v>
      </c>
      <c r="G62" t="inlineStr">
        <is>
          <t>2026-08-07</t>
        </is>
      </c>
      <c r="H62" t="inlineStr">
        <is>
          <t>2026-08-07</t>
        </is>
      </c>
      <c r="I62" t="inlineStr">
        <is>
          <t>2030-07-30</t>
        </is>
      </c>
      <c r="K62" t="inlineStr">
        <is>
          <t>linear_progress</t>
        </is>
      </c>
      <c r="L62" t="b">
        <v>0</v>
      </c>
    </row>
    <row r="63">
      <c r="A63" t="inlineStr">
        <is>
          <t>20260824800125</t>
        </is>
      </c>
      <c r="B63" t="inlineStr">
        <is>
          <t>VLGC</t>
        </is>
      </c>
      <c r="C63" t="n">
        <v>4</v>
      </c>
      <c r="D63" t="n">
        <v>515400</v>
      </c>
      <c r="E63" t="n">
        <v>363.029</v>
      </c>
      <c r="F63" t="n">
        <v>1419.72</v>
      </c>
      <c r="G63" t="inlineStr">
        <is>
          <t>2026-08-21</t>
        </is>
      </c>
      <c r="H63" t="inlineStr">
        <is>
          <t>2026-08-21</t>
        </is>
      </c>
      <c r="I63" t="inlineStr">
        <is>
          <t>2030-03-31</t>
        </is>
      </c>
      <c r="K63" t="inlineStr">
        <is>
          <t>linear_progress</t>
        </is>
      </c>
      <c r="L63" t="b">
        <v>1</v>
      </c>
    </row>
    <row r="64">
      <c r="A64" t="inlineStr">
        <is>
          <t>20260903800523</t>
        </is>
      </c>
      <c r="B64" t="inlineStr">
        <is>
          <t>OFFSH</t>
        </is>
      </c>
      <c r="C64" t="n">
        <v>1</v>
      </c>
      <c r="D64" t="n">
        <v>878100</v>
      </c>
      <c r="E64" t="n">
        <v>783.039</v>
      </c>
      <c r="F64" t="n">
        <v>1121.4</v>
      </c>
      <c r="G64" t="inlineStr">
        <is>
          <t>2021-05-10</t>
        </is>
      </c>
      <c r="H64" t="inlineStr">
        <is>
          <t>2021-05-08</t>
        </is>
      </c>
      <c r="I64" t="inlineStr">
        <is>
          <t>2025-02-06</t>
        </is>
      </c>
      <c r="J64" t="inlineStr">
        <is>
          <t>②BEP</t>
        </is>
      </c>
      <c r="K64" t="inlineStr">
        <is>
          <t>linear_progress</t>
        </is>
      </c>
      <c r="L64" t="b">
        <v>0</v>
      </c>
    </row>
    <row r="65">
      <c r="A65" t="inlineStr">
        <is>
          <t>20260908800414</t>
        </is>
      </c>
      <c r="B65" t="inlineStr">
        <is>
          <t>OTHER</t>
        </is>
      </c>
      <c r="D65" t="n">
        <v>333000</v>
      </c>
      <c r="E65" t="n">
        <v>287.091</v>
      </c>
      <c r="F65" t="n">
        <v>1159.91</v>
      </c>
      <c r="G65" t="inlineStr">
        <is>
          <t>2021-09-02</t>
        </is>
      </c>
      <c r="H65" t="inlineStr">
        <is>
          <t>2021-09-02</t>
        </is>
      </c>
      <c r="I65" t="inlineStr">
        <is>
          <t>2027-08-31</t>
        </is>
      </c>
      <c r="K65" t="inlineStr">
        <is>
          <t>linear_progress</t>
        </is>
      </c>
      <c r="L65" t="b">
        <v>0</v>
      </c>
    </row>
    <row r="66">
      <c r="A66" s="2" t="inlineStr">
        <is>
          <t>⚠ 종료일 = 마지막 호선 인도 예정; 진행률 매출 분기는 계약기간 안에 선형 배분(가정)</t>
        </is>
      </c>
    </row>
    <row r="67">
      <c r="A67" s="2" t="inlineStr">
        <is>
          <t>⚠ HD한국조선해양과 HD현대重 동일 계약 21건 — shared_owner=329180 로 표시하고 이 파일의 합계에서 제외(합산 금지)</t>
        </is>
      </c>
    </row>
    <row r="68">
      <c r="A68" s="2" t="inlineStr">
        <is>
          <t>⚠ 헤지비율 0.7 은 가정(통화선도 공시 없음 → 레퍼런스 SLS 시트의 HEDGE 70% 가정. hedge_rate 는 계약별 수주시점 환율로 대체)</t>
        </is>
      </c>
    </row>
    <row r="69">
      <c r="A69" s="2" t="inlineStr">
        <is>
          <t>⚠ 코호트는 원장 내부 상대 등급(신조선가 지수 없음): 2025~ 수주 물량(백만$) 판정 ②BEP 7%, ③중마진 86%, ④호황 7%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70">
      <c r="A70" s="2" t="inlineStr">
        <is>
          <t>⚠ 종료일 '-' 1건은 같은 선종 계약기간 중위로 종료 추정(end_estimated)</t>
        </is>
      </c>
    </row>
    <row r="71">
      <c r="A71" s="2" t="inlineStr">
        <is>
          <t>⚠ 정기보고서 부문 매출(3개월분)을 만들 수 없어 화해 없음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48196.7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6.7</v>
      </c>
    </row>
    <row r="32">
      <c r="C32" s="2" t="inlineStr">
        <is>
          <t>pbr_now</t>
        </is>
      </c>
      <c r="D32" t="n">
        <v>1.54</v>
      </c>
    </row>
    <row r="33">
      <c r="C33" s="2" t="inlineStr">
        <is>
          <t>roe_fwd</t>
        </is>
      </c>
      <c r="D33" t="n">
        <v>0.2298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534800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