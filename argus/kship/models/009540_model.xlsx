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SLS" sheetId="6" state="visible" r:id="rId6"/>
    <sheet name="시나리오" sheetId="7" state="visible" r:id="rId7"/>
    <sheet name="분기" sheetId="8" state="visible" r:id="rId8"/>
    <sheet name="연간예상" sheetId="9" state="visible" r:id="rId9"/>
    <sheet name="TP" sheetId="10" state="visible" r:id="rId10"/>
    <sheet name="외화" sheetId="11" state="visible" r:id="rId11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BS연결!$C$5:$AO$112</definedName>
    <definedName name="BS별도H">BS별도!$C$1:$AO$1</definedName>
    <definedName name="BS별도">BS별도!$C$5:$AO$95</definedName>
    <definedName name="SUBQH">subQ!$A$1:$AO$1</definedName>
    <definedName name="subQ">subQ!$A$5:$AO$43</definedName>
    <definedName name="SLS_H">SLS!$A$1:$BH$1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166" fontId="0" fillId="0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HD현대重 모델 매출 65950억 × 연결/자회사 비율 1.410(2025Q4·2026Q1·2026Q2 실측 중위; 삼호·기타 자회사·내부거래 포함)</t>
      </text>
    </comment>
    <comment ref="AD21" authorId="0" shapeId="0">
      <text>
        <t>모델값 역산(implied): v / 전년동기 − 1
HD현대重 모델 매출 66789억 × 연결/자회사 비율 1.410(2025Q4·2026Q1·2026Q2 실측 중위; 삼호·기타 자회사·내부거래 포함)</t>
      </text>
    </comment>
    <comment ref="AF21" authorId="0" shapeId="0">
      <text>
        <t>모델값 역산(implied): v / 전년동기 − 1
HD현대重 모델 매출 68537억 × 연결/자회사 비율 1.410(2025Q4·2026Q1·2026Q2 실측 중위; 삼호·기타 자회사·내부거래 포함)</t>
      </text>
    </comment>
    <comment ref="AG21" authorId="0" shapeId="0">
      <text>
        <t>모델값 역산(implied): v / 전년동기 − 1
HD현대重 모델 매출 72084억 × 연결/자회사 비율 1.410(2025Q4·2026Q1·2026Q2 실측 중위; 삼호·기타 자회사·내부거래 포함)</t>
      </text>
    </comment>
    <comment ref="AH21" authorId="0" shapeId="0">
      <text>
        <t>모델값 역산(implied): v / 전년동기 − 1
HD현대重 모델 매출 76066억 × 연결/자회사 비율 1.410(2025Q4·2026Q1·2026Q2 실측 중위; 삼호·기타 자회사·내부거래 포함)</t>
      </text>
    </comment>
    <comment ref="AI21" authorId="0" shapeId="0">
      <text>
        <t>모델값 역산(implied): v / 전년동기 − 1
HD현대重 모델 매출 80855억 × 연결/자회사 비율 1.410(2025Q4·2026Q1·2026Q2 실측 중위; 삼호·기타 자회사·내부거래 포함)</t>
      </text>
    </comment>
    <comment ref="AK21" authorId="0" shapeId="0">
      <text>
        <t>모델값 역산(implied): v / 전년동기 − 1
HD현대重 모델 매출 85856억 × 연결/자회사 비율 1.410(2025Q4·2026Q1·2026Q2 실측 중위; 삼호·기타 자회사·내부거래 포함)</t>
      </text>
    </comment>
    <comment ref="AL21" authorId="0" shapeId="0">
      <text>
        <t>모델값 역산(implied): v / 전년동기 − 1
HD현대重 모델 매출 91113억 × 연결/자회사 비율 1.410(2025Q4·2026Q1·2026Q2 실측 중위; 삼호·기타 자회사·내부거래 포함)</t>
      </text>
    </comment>
    <comment ref="AM21" authorId="0" shapeId="0">
      <text>
        <t>모델값 역산(implied): v / 전년동기 − 1
HD현대重 모델 매출 95308억 × 연결/자회사 비율 1.410(2025Q4·2026Q1·2026Q2 실측 중위; 삼호·기타 자회사·내부거래 포함)</t>
      </text>
    </comment>
    <comment ref="AN21" authorId="0" shapeId="0">
      <text>
        <t>모델값 역산(implied): v / 전년동기 − 1
HD현대重 모델 매출 98309억 × 연결/자회사 비율 1.410(2025Q4·2026Q1·2026Q2 실측 중위; 삼호·기타 자회사·내부거래 포함)</t>
      </text>
    </comment>
    <comment ref="AC22" authorId="0" shapeId="0">
      <text>
        <t>3절 스칼라 '판관비율' 참조 — 숫자로 덮어쓰면 이 분기만 바뀐다
매출액 × 판관비율 4.84%(최근 4분기 중위)</t>
      </text>
    </comment>
    <comment ref="AD22" authorId="0" shapeId="0">
      <text>
        <t>3절 스칼라 '판관비율' 참조 — 숫자로 덮어쓰면 이 분기만 바뀐다
매출액 × 판관비율 4.84%(최근 4분기 중위)</t>
      </text>
    </comment>
    <comment ref="AF22" authorId="0" shapeId="0">
      <text>
        <t>3절 스칼라 '판관비율' 참조 — 숫자로 덮어쓰면 이 분기만 바뀐다
매출액 × 판관비율 4.84%(최근 4분기 중위)</t>
      </text>
    </comment>
    <comment ref="AG22" authorId="0" shapeId="0">
      <text>
        <t>3절 스칼라 '판관비율' 참조 — 숫자로 덮어쓰면 이 분기만 바뀐다
매출액 × 판관비율 4.84%(최근 4분기 중위)</t>
      </text>
    </comment>
    <comment ref="AH22" authorId="0" shapeId="0">
      <text>
        <t>3절 스칼라 '판관비율' 참조 — 숫자로 덮어쓰면 이 분기만 바뀐다
매출액 × 판관비율 4.84%(최근 4분기 중위)</t>
      </text>
    </comment>
    <comment ref="AI22" authorId="0" shapeId="0">
      <text>
        <t>3절 스칼라 '판관비율' 참조 — 숫자로 덮어쓰면 이 분기만 바뀐다
매출액 × 판관비율 4.84%(최근 4분기 중위)</t>
      </text>
    </comment>
    <comment ref="AK22" authorId="0" shapeId="0">
      <text>
        <t>3절 스칼라 '판관비율' 참조 — 숫자로 덮어쓰면 이 분기만 바뀐다
매출액 × 판관비율 4.84%(최근 4분기 중위)</t>
      </text>
    </comment>
    <comment ref="AL22" authorId="0" shapeId="0">
      <text>
        <t>3절 스칼라 '판관비율' 참조 — 숫자로 덮어쓰면 이 분기만 바뀐다
매출액 × 판관비율 4.84%(최근 4분기 중위)</t>
      </text>
    </comment>
    <comment ref="AM22" authorId="0" shapeId="0">
      <text>
        <t>3절 스칼라 '판관비율' 참조 — 숫자로 덮어쓰면 이 분기만 바뀐다
매출액 × 판관비율 4.84%(최근 4분기 중위)</t>
      </text>
    </comment>
    <comment ref="AN22" authorId="0" shapeId="0">
      <text>
        <t>3절 스칼라 '판관비율' 참조 — 숫자로 덮어쓰면 이 분기만 바뀐다
매출액 × 판관비율 4.84%(최근 4분기 중위)</t>
      </text>
    </comment>
    <comment ref="AC23" authorId="0" shapeId="0">
      <text>
        <t>모델값 역산(implied): v / 매출액
매출액 × OPM(자회사 OPM 14.1% + 실측 차이 +1.7%p)</t>
      </text>
    </comment>
    <comment ref="AD23" authorId="0" shapeId="0">
      <text>
        <t>모델값 역산(implied): v / 매출액
매출액 × OPM(자회사 OPM 14.1% + 실측 차이 +1.7%p)</t>
      </text>
    </comment>
    <comment ref="AF23" authorId="0" shapeId="0">
      <text>
        <t>모델값 역산(implied): v / 매출액
매출액 × OPM(자회사 OPM 14.1% + 실측 차이 +1.7%p)</t>
      </text>
    </comment>
    <comment ref="AG23" authorId="0" shapeId="0">
      <text>
        <t>모델값 역산(implied): v / 매출액
매출액 × OPM(자회사 OPM 14.1% + 실측 차이 +1.7%p)</t>
      </text>
    </comment>
    <comment ref="AH23" authorId="0" shapeId="0">
      <text>
        <t>모델값 역산(implied): v / 매출액
매출액 × OPM(자회사 OPM 14.1% + 실측 차이 +1.7%p)</t>
      </text>
    </comment>
    <comment ref="AI23" authorId="0" shapeId="0">
      <text>
        <t>모델값 역산(implied): v / 매출액
매출액 × OPM(자회사 OPM 14.1% + 실측 차이 +1.7%p)</t>
      </text>
    </comment>
    <comment ref="AK23" authorId="0" shapeId="0">
      <text>
        <t>모델값 역산(implied): v / 매출액
매출액 × OPM(자회사 OPM 14.1% + 실측 차이 +1.7%p)</t>
      </text>
    </comment>
    <comment ref="AL23" authorId="0" shapeId="0">
      <text>
        <t>모델값 역산(implied): v / 매출액
매출액 × OPM(자회사 OPM 14.1% + 실측 차이 +1.7%p)</t>
      </text>
    </comment>
    <comment ref="AM23" authorId="0" shapeId="0">
      <text>
        <t>모델값 역산(implied): v / 매출액
매출액 × OPM(자회사 OPM 14.1% + 실측 차이 +1.7%p)</t>
      </text>
    </comment>
    <comment ref="AN23" authorId="0" shapeId="0">
      <text>
        <t>모델값 역산(implied): v / 매출액
매출액 × OPM(자회사 OPM 14.2% + 실측 차이 +1.7%p)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4분기(2025Q3~2026Q2) 잔차 중위</t>
      </text>
    </comment>
    <comment ref="AD26" authorId="0" shapeId="0">
      <text>
        <t>모델값 역산(implied): 모델 v 그대로
최근 4분기(2025Q3~2026Q2) 잔차 중위</t>
      </text>
    </comment>
    <comment ref="AF26" authorId="0" shapeId="0">
      <text>
        <t>모델값 역산(implied): 모델 v 그대로
최근 4분기(2025Q3~2026Q2) 잔차 중위</t>
      </text>
    </comment>
    <comment ref="AG26" authorId="0" shapeId="0">
      <text>
        <t>모델값 역산(implied): 모델 v 그대로
최근 4분기(2025Q3~2026Q2) 잔차 중위</t>
      </text>
    </comment>
    <comment ref="AH26" authorId="0" shapeId="0">
      <text>
        <t>모델값 역산(implied): 모델 v 그대로
최근 4분기(2025Q3~2026Q2) 잔차 중위</t>
      </text>
    </comment>
    <comment ref="AI26" authorId="0" shapeId="0">
      <text>
        <t>모델값 역산(implied): 모델 v 그대로
최근 4분기(2025Q3~2026Q2) 잔차 중위</t>
      </text>
    </comment>
    <comment ref="AK26" authorId="0" shapeId="0">
      <text>
        <t>모델값 역산(implied): 모델 v 그대로
최근 4분기(2025Q3~2026Q2) 잔차 중위</t>
      </text>
    </comment>
    <comment ref="AL26" authorId="0" shapeId="0">
      <text>
        <t>모델값 역산(implied): 모델 v 그대로
최근 4분기(2025Q3~2026Q2) 잔차 중위</t>
      </text>
    </comment>
    <comment ref="AM26" authorId="0" shapeId="0">
      <text>
        <t>모델값 역산(implied): 모델 v 그대로
최근 4분기(2025Q3~2026Q2) 잔차 중위</t>
      </text>
    </comment>
    <comment ref="AN26" authorId="0" shapeId="0">
      <text>
        <t>모델값 역산(implied): 모델 v 그대로
최근 4분기(2025Q3~2026Q2) 잔차 중위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D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F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G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H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I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K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L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M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N29" authorId="0" shapeId="0">
      <text>
        <t>3절 스칼라 '세율' 참조 — 숫자로 덮어쓰면 이 분기만 바뀐다
max(세전, 0) × 세율 19.9%(최근 12분기 유효세율 19.9%(5~27% 안 — 그대로))</t>
      </text>
    </comment>
    <comment ref="AC30" authorId="0" shapeId="0">
      <text>
        <t>3절 스칼라 '지배주주비중' 참조 — 숫자로 덮어쓰면 이 분기만 바뀐다
당기순이익 × (1 − 비지배 비중 24.0%, 최근 8분기 실측)</t>
      </text>
    </comment>
    <comment ref="AD30" authorId="0" shapeId="0">
      <text>
        <t>3절 스칼라 '지배주주비중' 참조 — 숫자로 덮어쓰면 이 분기만 바뀐다
당기순이익 × (1 − 비지배 비중 24.0%, 최근 8분기 실측)</t>
      </text>
    </comment>
    <comment ref="AF30" authorId="0" shapeId="0">
      <text>
        <t>3절 스칼라 '지배주주비중' 참조 — 숫자로 덮어쓰면 이 분기만 바뀐다
당기순이익 × (1 − 비지배 비중 24.0%, 최근 8분기 실측)</t>
      </text>
    </comment>
    <comment ref="AG30" authorId="0" shapeId="0">
      <text>
        <t>3절 스칼라 '지배주주비중' 참조 — 숫자로 덮어쓰면 이 분기만 바뀐다
당기순이익 × (1 − 비지배 비중 24.0%, 최근 8분기 실측)</t>
      </text>
    </comment>
    <comment ref="AH30" authorId="0" shapeId="0">
      <text>
        <t>3절 스칼라 '지배주주비중' 참조 — 숫자로 덮어쓰면 이 분기만 바뀐다
당기순이익 × (1 − 비지배 비중 24.0%, 최근 8분기 실측)</t>
      </text>
    </comment>
    <comment ref="AI30" authorId="0" shapeId="0">
      <text>
        <t>3절 스칼라 '지배주주비중' 참조 — 숫자로 덮어쓰면 이 분기만 바뀐다
당기순이익 × (1 − 비지배 비중 24.0%, 최근 8분기 실측)</t>
      </text>
    </comment>
    <comment ref="AK30" authorId="0" shapeId="0">
      <text>
        <t>3절 스칼라 '지배주주비중' 참조 — 숫자로 덮어쓰면 이 분기만 바뀐다
당기순이익 × (1 − 비지배 비중 24.0%, 최근 8분기 실측)</t>
      </text>
    </comment>
    <comment ref="AL30" authorId="0" shapeId="0">
      <text>
        <t>3절 스칼라 '지배주주비중' 참조 — 숫자로 덮어쓰면 이 분기만 바뀐다
당기순이익 × (1 − 비지배 비중 24.0%, 최근 8분기 실측)</t>
      </text>
    </comment>
    <comment ref="AM30" authorId="0" shapeId="0">
      <text>
        <t>3절 스칼라 '지배주주비중' 참조 — 숫자로 덮어쓰면 이 분기만 바뀐다
당기순이익 × (1 − 비지배 비중 24.0%, 최근 8분기 실측)</t>
      </text>
    </comment>
    <comment ref="AN30" authorId="0" shapeId="0">
      <text>
        <t>3절 스칼라 '지배주주비중' 참조 — 숫자로 덮어쓰면 이 분기만 바뀐다
당기순이익 × (1 − 비지배 비중 24.0%,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2218억은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12,300원 유지</t>
      </text>
    </comment>
    <comment ref="AI41" authorId="0" shapeId="0">
      <text>
        <t>모델값 역산(implied): 모델 v 그대로
직전 결산 DPS 12,300원 유지</t>
      </text>
    </comment>
    <comment ref="AN41" authorId="0" shapeId="0">
      <text>
        <t>모델값 역산(implied): 모델 v 그대로
직전 결산 DPS 12,300원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HD현대重 모델 매출 65950억 × 연결/자회사 비율 1.410(2025Q4·2026Q1·2026Q2 실측 중위; 삼호·기타 자회사·내부거래 포함)
[yoy]</t>
      </text>
    </comment>
    <comment ref="AD5" authorId="0" shapeId="0">
      <text>
        <t>추정: HD현대重 모델 매출 66789억 × 연결/자회사 비율 1.410(2025Q4·2026Q1·2026Q2 실측 중위; 삼호·기타 자회사·내부거래 포함)
[yoy]</t>
      </text>
    </comment>
    <comment ref="AF5" authorId="0" shapeId="0">
      <text>
        <t>추정: HD현대重 모델 매출 68537억 × 연결/자회사 비율 1.410(2025Q4·2026Q1·2026Q2 실측 중위; 삼호·기타 자회사·내부거래 포함)
[yoy]</t>
      </text>
    </comment>
    <comment ref="AG5" authorId="0" shapeId="0">
      <text>
        <t>추정: HD현대重 모델 매출 72084억 × 연결/자회사 비율 1.410(2025Q4·2026Q1·2026Q2 실측 중위; 삼호·기타 자회사·내부거래 포함)
[yoy]</t>
      </text>
    </comment>
    <comment ref="AH5" authorId="0" shapeId="0">
      <text>
        <t>추정: HD현대重 모델 매출 76066억 × 연결/자회사 비율 1.410(2025Q4·2026Q1·2026Q2 실측 중위; 삼호·기타 자회사·내부거래 포함)
[yoy]</t>
      </text>
    </comment>
    <comment ref="AI5" authorId="0" shapeId="0">
      <text>
        <t>추정: HD현대重 모델 매출 80855억 × 연결/자회사 비율 1.410(2025Q4·2026Q1·2026Q2 실측 중위; 삼호·기타 자회사·내부거래 포함)
[yoy]</t>
      </text>
    </comment>
    <comment ref="AK5" authorId="0" shapeId="0">
      <text>
        <t>추정: HD현대重 모델 매출 85856억 × 연결/자회사 비율 1.410(2025Q4·2026Q1·2026Q2 실측 중위; 삼호·기타 자회사·내부거래 포함)
[yoy]</t>
      </text>
    </comment>
    <comment ref="AL5" authorId="0" shapeId="0">
      <text>
        <t>추정: HD현대重 모델 매출 91113억 × 연결/자회사 비율 1.410(2025Q4·2026Q1·2026Q2 실측 중위; 삼호·기타 자회사·내부거래 포함)
[yoy]</t>
      </text>
    </comment>
    <comment ref="AM5" authorId="0" shapeId="0">
      <text>
        <t>추정: HD현대重 모델 매출 95308억 × 연결/자회사 비율 1.410(2025Q4·2026Q1·2026Q2 실측 중위; 삼호·기타 자회사·내부거래 포함)
[yoy]</t>
      </text>
    </comment>
    <comment ref="AN5" authorId="0" shapeId="0">
      <text>
        <t>추정: HD현대重 모델 매출 98309억 × 연결/자회사 비율 1.410(2025Q4·2026Q1·2026Q2 실측 중위; 삼호·기타 자회사·내부거래 포함)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4.84%(최근 4분기 중위)
[ratio]</t>
      </text>
    </comment>
    <comment ref="AD8" authorId="0" shapeId="0">
      <text>
        <t>추정: 매출액 × 판관비율 4.84%(최근 4분기 중위)
[ratio]</t>
      </text>
    </comment>
    <comment ref="AF8" authorId="0" shapeId="0">
      <text>
        <t>추정: 매출액 × 판관비율 4.84%(최근 4분기 중위)
[ratio]</t>
      </text>
    </comment>
    <comment ref="AG8" authorId="0" shapeId="0">
      <text>
        <t>추정: 매출액 × 판관비율 4.84%(최근 4분기 중위)
[ratio]</t>
      </text>
    </comment>
    <comment ref="AH8" authorId="0" shapeId="0">
      <text>
        <t>추정: 매출액 × 판관비율 4.84%(최근 4분기 중위)
[ratio]</t>
      </text>
    </comment>
    <comment ref="AI8" authorId="0" shapeId="0">
      <text>
        <t>추정: 매출액 × 판관비율 4.84%(최근 4분기 중위)
[ratio]</t>
      </text>
    </comment>
    <comment ref="AK8" authorId="0" shapeId="0">
      <text>
        <t>추정: 매출액 × 판관비율 4.84%(최근 4분기 중위)
[ratio]</t>
      </text>
    </comment>
    <comment ref="AL8" authorId="0" shapeId="0">
      <text>
        <t>추정: 매출액 × 판관비율 4.84%(최근 4분기 중위)
[ratio]</t>
      </text>
    </comment>
    <comment ref="AM8" authorId="0" shapeId="0">
      <text>
        <t>추정: 매출액 × 판관비율 4.84%(최근 4분기 중위)
[ratio]</t>
      </text>
    </comment>
    <comment ref="AN8" authorId="0" shapeId="0">
      <text>
        <t>추정: 매출액 × 판관비율 4.84%(최근 4분기 중위)
[ratio]</t>
      </text>
    </comment>
    <comment ref="AC9" authorId="0" shapeId="0">
      <text>
        <t>추정: 매출액 × OPM(자회사 OPM 14.1% + 실측 차이 +1.7%p)
[ratio]</t>
      </text>
    </comment>
    <comment ref="AD9" authorId="0" shapeId="0">
      <text>
        <t>추정: 매출액 × OPM(자회사 OPM 14.1% + 실측 차이 +1.7%p)
[ratio]</t>
      </text>
    </comment>
    <comment ref="AF9" authorId="0" shapeId="0">
      <text>
        <t>추정: 매출액 × OPM(자회사 OPM 14.1% + 실측 차이 +1.7%p)
[ratio]</t>
      </text>
    </comment>
    <comment ref="AG9" authorId="0" shapeId="0">
      <text>
        <t>추정: 매출액 × OPM(자회사 OPM 14.1% + 실측 차이 +1.7%p)
[ratio]</t>
      </text>
    </comment>
    <comment ref="AH9" authorId="0" shapeId="0">
      <text>
        <t>추정: 매출액 × OPM(자회사 OPM 14.1% + 실측 차이 +1.7%p)
[ratio]</t>
      </text>
    </comment>
    <comment ref="AI9" authorId="0" shapeId="0">
      <text>
        <t>추정: 매출액 × OPM(자회사 OPM 14.1% + 실측 차이 +1.7%p)
[ratio]</t>
      </text>
    </comment>
    <comment ref="AK9" authorId="0" shapeId="0">
      <text>
        <t>추정: 매출액 × OPM(자회사 OPM 14.1% + 실측 차이 +1.7%p)
[ratio]</t>
      </text>
    </comment>
    <comment ref="AL9" authorId="0" shapeId="0">
      <text>
        <t>추정: 매출액 × OPM(자회사 OPM 14.1% + 실측 차이 +1.7%p)
[ratio]</t>
      </text>
    </comment>
    <comment ref="AM9" authorId="0" shapeId="0">
      <text>
        <t>추정: 매출액 × OPM(자회사 OPM 14.1% + 실측 차이 +1.7%p)
[ratio]</t>
      </text>
    </comment>
    <comment ref="AN9" authorId="0" shapeId="0">
      <text>
        <t>추정: 매출액 × OPM(자회사 OPM 14.2% + 실측 차이 +1.7%p)
[ratio]</t>
      </text>
    </comment>
    <comment ref="AC10" authorId="0" shapeId="0">
      <text>
        <t>추정: 자회사 OPM 14.1% + 실측 차이 +1.7%p
[divide]</t>
      </text>
    </comment>
    <comment ref="AD10" authorId="0" shapeId="0">
      <text>
        <t>추정: 자회사 OPM 14.1% + 실측 차이 +1.7%p
[divide]</t>
      </text>
    </comment>
    <comment ref="AF10" authorId="0" shapeId="0">
      <text>
        <t>추정: 자회사 OPM 14.1% + 실측 차이 +1.7%p
[divide]</t>
      </text>
    </comment>
    <comment ref="AG10" authorId="0" shapeId="0">
      <text>
        <t>추정: 자회사 OPM 14.1% + 실측 차이 +1.7%p
[divide]</t>
      </text>
    </comment>
    <comment ref="AH10" authorId="0" shapeId="0">
      <text>
        <t>추정: 자회사 OPM 14.1% + 실측 차이 +1.7%p
[divide]</t>
      </text>
    </comment>
    <comment ref="AI10" authorId="0" shapeId="0">
      <text>
        <t>추정: 자회사 OPM 14.1% + 실측 차이 +1.7%p
[divide]</t>
      </text>
    </comment>
    <comment ref="AK10" authorId="0" shapeId="0">
      <text>
        <t>추정: 자회사 OPM 14.1% + 실측 차이 +1.7%p
[divide]</t>
      </text>
    </comment>
    <comment ref="AL10" authorId="0" shapeId="0">
      <text>
        <t>추정: 자회사 OPM 14.1% + 실측 차이 +1.7%p
[divide]</t>
      </text>
    </comment>
    <comment ref="AM10" authorId="0" shapeId="0">
      <text>
        <t>추정: 자회사 OPM 14.1% + 실측 차이 +1.7%p
[divide]</t>
      </text>
    </comment>
    <comment ref="AN10" authorId="0" shapeId="0">
      <text>
        <t>추정: 자회사 OPM 14.2% + 실측 차이 +1.7%p
[divide]</t>
      </text>
    </comment>
    <comment ref="AC11" authorId="0" shapeId="0">
      <text>
        <t>추정: 이자손익 + 외환손익 0 + 파생상품손익 0 + 기타금융손익 +0.85억(최근 4분기(2025Q3~2026Q2) 잔차 중위) (항등식); 이자손익 = 이자발생자산 151288억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+0.85억(최근 4분기(2025Q3~2026Q2) 잔차 중위) (항등식); 이자손익 = 이자발생자산 163066억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+0.85억(최근 4분기(2025Q3~2026Q2) 잔차 중위) (항등식); 이자손익 = 이자발생자산 175082억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+0.85억(최근 4분기(2025Q3~2026Q2) 잔차 중위) (항등식); 이자손익 = 이자발생자산 187477억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+0.85억(최근 4분기(2025Q3~2026Q2) 잔차 중위) (항등식); 이자손익 = 이자발생자산 191877억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+0.85억(최근 4분기(2025Q3~2026Q2) 잔차 중위) (항등식); 이자손익 = 이자발생자산 205716억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+0.85억(최근 4분기(2025Q3~2026Q2) 잔차 중위) (항등식); 이자손익 = 이자발생자산 220490억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+0.85억(최근 4분기(2025Q3~2026Q2) 잔차 중위) (항등식); 이자손익 = 이자발생자산 236244억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+0.85억(최근 4분기(2025Q3~2026Q2) 잔차 중위) (항등식); 이자손익 = 이자발생자산 244331억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+0.85억(최근 4분기(2025Q3~2026Q2) 잔차 중위) (항등식); 이자손익 = 이자발생자산 261926억 × 2.82%(주석 이자수익 ÷ 평균 이자발생자산(2025Q3~2026Q2)) − 총차입금 29860억 × 13.12%(주석 이자비용 ÷ 평균 총차입금(2025Q3~2026Q2)) (연율) ÷ 4; 환율 효과는 환관련손익 행 별도
[identity]</t>
      </text>
    </comment>
    <comment ref="AC12" authorId="0" shapeId="0">
      <text>
        <t>추정: 이자발생자산 151288억 × 2.82%(주석 이자수익 ÷ 평균 이자발생자산(2025Q3~2026Q2)) − 총차입금 29860억 × 13.12%(주석 이자비용 ÷ 평균 총차입금(2025Q3~2026Q2)) (연율) ÷ 4
[interest]</t>
      </text>
    </comment>
    <comment ref="AD12" authorId="0" shapeId="0">
      <text>
        <t>추정: 이자발생자산 163066억 × 2.82%(주석 이자수익 ÷ 평균 이자발생자산(2025Q3~2026Q2)) − 총차입금 29860억 × 13.12%(주석 이자비용 ÷ 평균 총차입금(2025Q3~2026Q2)) (연율) ÷ 4
[interest]</t>
      </text>
    </comment>
    <comment ref="AF12" authorId="0" shapeId="0">
      <text>
        <t>추정: 이자발생자산 175082억 × 2.82%(주석 이자수익 ÷ 평균 이자발생자산(2025Q3~2026Q2)) − 총차입금 29860억 × 13.12%(주석 이자비용 ÷ 평균 총차입금(2025Q3~2026Q2)) (연율) ÷ 4
[interest]</t>
      </text>
    </comment>
    <comment ref="AG12" authorId="0" shapeId="0">
      <text>
        <t>추정: 이자발생자산 187477억 × 2.82%(주석 이자수익 ÷ 평균 이자발생자산(2025Q3~2026Q2)) − 총차입금 29860억 × 13.12%(주석 이자비용 ÷ 평균 총차입금(2025Q3~2026Q2)) (연율) ÷ 4
[interest]</t>
      </text>
    </comment>
    <comment ref="AH12" authorId="0" shapeId="0">
      <text>
        <t>추정: 이자발생자산 191877억 × 2.82%(주석 이자수익 ÷ 평균 이자발생자산(2025Q3~2026Q2)) − 총차입금 29860억 × 13.12%(주석 이자비용 ÷ 평균 총차입금(2025Q3~2026Q2)) (연율) ÷ 4
[interest]</t>
      </text>
    </comment>
    <comment ref="AI12" authorId="0" shapeId="0">
      <text>
        <t>추정: 이자발생자산 205716억 × 2.82%(주석 이자수익 ÷ 평균 이자발생자산(2025Q3~2026Q2)) − 총차입금 29860억 × 13.12%(주석 이자비용 ÷ 평균 총차입금(2025Q3~2026Q2)) (연율) ÷ 4
[interest]</t>
      </text>
    </comment>
    <comment ref="AK12" authorId="0" shapeId="0">
      <text>
        <t>추정: 이자발생자산 220490억 × 2.82%(주석 이자수익 ÷ 평균 이자발생자산(2025Q3~2026Q2)) − 총차입금 29860억 × 13.12%(주석 이자비용 ÷ 평균 총차입금(2025Q3~2026Q2)) (연율) ÷ 4
[interest]</t>
      </text>
    </comment>
    <comment ref="AL12" authorId="0" shapeId="0">
      <text>
        <t>추정: 이자발생자산 236244억 × 2.82%(주석 이자수익 ÷ 평균 이자발생자산(2025Q3~2026Q2)) − 총차입금 29860억 × 13.12%(주석 이자비용 ÷ 평균 총차입금(2025Q3~2026Q2)) (연율) ÷ 4
[interest]</t>
      </text>
    </comment>
    <comment ref="AM12" authorId="0" shapeId="0">
      <text>
        <t>추정: 이자발생자산 244331억 × 2.82%(주석 이자수익 ÷ 평균 이자발생자산(2025Q3~2026Q2)) − 총차입금 29860억 × 13.12%(주석 이자비용 ÷ 평균 총차입금(2025Q3~2026Q2)) (연율) ÷ 4
[interest]</t>
      </text>
    </comment>
    <comment ref="AN12" authorId="0" shapeId="0">
      <text>
        <t>추정: 이자발생자산 261926억 × 2.82%(주석 이자수익 ÷ 평균 이자발생자산(2025Q3~2026Q2)) − 총차입금 29860억 × 13.12%(주석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19.9%(최근 12분기 유효세율 19.9%(5~27% 안 — 그대로))
[tax]</t>
      </text>
    </comment>
    <comment ref="AD19" authorId="0" shapeId="0">
      <text>
        <t>추정: max(세전, 0) × 세율 19.9%(최근 12분기 유효세율 19.9%(5~27% 안 — 그대로))
[tax]</t>
      </text>
    </comment>
    <comment ref="AF19" authorId="0" shapeId="0">
      <text>
        <t>추정: max(세전, 0) × 세율 19.9%(최근 12분기 유효세율 19.9%(5~27% 안 — 그대로))
[tax]</t>
      </text>
    </comment>
    <comment ref="AG19" authorId="0" shapeId="0">
      <text>
        <t>추정: max(세전, 0) × 세율 19.9%(최근 12분기 유효세율 19.9%(5~27% 안 — 그대로))
[tax]</t>
      </text>
    </comment>
    <comment ref="AH19" authorId="0" shapeId="0">
      <text>
        <t>추정: max(세전, 0) × 세율 19.9%(최근 12분기 유효세율 19.9%(5~27% 안 — 그대로))
[tax]</t>
      </text>
    </comment>
    <comment ref="AI19" authorId="0" shapeId="0">
      <text>
        <t>추정: max(세전, 0) × 세율 19.9%(최근 12분기 유효세율 19.9%(5~27% 안 — 그대로))
[tax]</t>
      </text>
    </comment>
    <comment ref="AK19" authorId="0" shapeId="0">
      <text>
        <t>추정: max(세전, 0) × 세율 19.9%(최근 12분기 유효세율 19.9%(5~27% 안 — 그대로))
[tax]</t>
      </text>
    </comment>
    <comment ref="AL19" authorId="0" shapeId="0">
      <text>
        <t>추정: max(세전, 0) × 세율 19.9%(최근 12분기 유효세율 19.9%(5~27% 안 — 그대로))
[tax]</t>
      </text>
    </comment>
    <comment ref="AM19" authorId="0" shapeId="0">
      <text>
        <t>추정: max(세전, 0) × 세율 19.9%(최근 12분기 유효세율 19.9%(5~27% 안 — 그대로))
[tax]</t>
      </text>
    </comment>
    <comment ref="AN19" authorId="0" shapeId="0">
      <text>
        <t>추정: max(세전, 0) × 세율 19.9%(최근 12분기 유효세율 19.9%(5~27% 안 — 그대로))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V21" authorId="0" shapeId="0">
      <text>
        <t>실측(BS연결 시트에 (지배주주지분)당기순이익 2025.03 값 없음 — 모델값 직접) — fin.cons.is.당기순이익 − fin.cons.is.(비지배주주지분)당기순이익(파생)</t>
      </text>
    </comment>
    <comment ref="AA21" authorId="0" shapeId="0">
      <text>
        <t>실측(BS연결 시트에 (지배주주지분)당기순이익 2026.03 값 없음 — 모델값 직접) — fin.cons.is.당기순이익 − fin.cons.is.(비지배주주지분)당기순이익(파생)</t>
      </text>
    </comment>
    <comment ref="AC21" authorId="0" shapeId="0">
      <text>
        <t>추정: 당기순이익 × (1 − 비지배 비중 24.0%, 최근 8분기 실측)
[ratio]</t>
      </text>
    </comment>
    <comment ref="AD21" authorId="0" shapeId="0">
      <text>
        <t>추정: 당기순이익 × (1 − 비지배 비중 24.0%, 최근 8분기 실측)
[ratio]</t>
      </text>
    </comment>
    <comment ref="AF21" authorId="0" shapeId="0">
      <text>
        <t>추정: 당기순이익 × (1 − 비지배 비중 24.0%, 최근 8분기 실측)
[ratio]</t>
      </text>
    </comment>
    <comment ref="AG21" authorId="0" shapeId="0">
      <text>
        <t>추정: 당기순이익 × (1 − 비지배 비중 24.0%, 최근 8분기 실측)
[ratio]</t>
      </text>
    </comment>
    <comment ref="AH21" authorId="0" shapeId="0">
      <text>
        <t>추정: 당기순이익 × (1 − 비지배 비중 24.0%, 최근 8분기 실측)
[ratio]</t>
      </text>
    </comment>
    <comment ref="AI21" authorId="0" shapeId="0">
      <text>
        <t>추정: 당기순이익 × (1 − 비지배 비중 24.0%, 최근 8분기 실측)
[ratio]</t>
      </text>
    </comment>
    <comment ref="AK21" authorId="0" shapeId="0">
      <text>
        <t>추정: 당기순이익 × (1 − 비지배 비중 24.0%, 최근 8분기 실측)
[ratio]</t>
      </text>
    </comment>
    <comment ref="AL21" authorId="0" shapeId="0">
      <text>
        <t>추정: 당기순이익 × (1 − 비지배 비중 24.0%, 최근 8분기 실측)
[ratio]</t>
      </text>
    </comment>
    <comment ref="AM21" authorId="0" shapeId="0">
      <text>
        <t>추정: 당기순이익 × (1 − 비지배 비중 24.0%, 최근 8분기 실측)
[ratio]</t>
      </text>
    </comment>
    <comment ref="AN21" authorId="0" shapeId="0">
      <text>
        <t>추정: 당기순이익 × (1 − 비지배 비중 24.0%,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2218억은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미반영(감가상각비 없음 → CAPEX≈감가 가정)
[yoy]</t>
      </text>
    </comment>
    <comment ref="AD30" authorId="0" shapeId="0">
      <text>
        <t>추정: 최근 4분기(2025Q3~2026Q2) CAPEX 중위 유지 — 순차입금 롤에 미반영(감가상각비 없음 → CAPEX≈감가 가정)
[yoy]</t>
      </text>
    </comment>
    <comment ref="AF30" authorId="0" shapeId="0">
      <text>
        <t>추정: 최근 4분기(2025Q3~2026Q2) CAPEX 중위 유지 — 순차입금 롤에 미반영(감가상각비 없음 → CAPEX≈감가 가정)
[yoy]</t>
      </text>
    </comment>
    <comment ref="AG30" authorId="0" shapeId="0">
      <text>
        <t>추정: 최근 4분기(2025Q3~2026Q2) CAPEX 중위 유지 — 순차입금 롤에 미반영(감가상각비 없음 → CAPEX≈감가 가정)
[yoy]</t>
      </text>
    </comment>
    <comment ref="AH30" authorId="0" shapeId="0">
      <text>
        <t>추정: 최근 4분기(2025Q3~2026Q2) CAPEX 중위 유지 — 순차입금 롤에 미반영(감가상각비 없음 → CAPEX≈감가 가정)
[yoy]</t>
      </text>
    </comment>
    <comment ref="AI30" authorId="0" shapeId="0">
      <text>
        <t>추정: 최근 4분기(2025Q3~2026Q2) CAPEX 중위 유지 — 순차입금 롤에 미반영(감가상각비 없음 → CAPEX≈감가 가정)
[yoy]</t>
      </text>
    </comment>
    <comment ref="AK30" authorId="0" shapeId="0">
      <text>
        <t>추정: 최근 4분기(2025Q3~2026Q2) CAPEX 중위 유지 — 순차입금 롤에 미반영(감가상각비 없음 → CAPEX≈감가 가정)
[yoy]</t>
      </text>
    </comment>
    <comment ref="AL30" authorId="0" shapeId="0">
      <text>
        <t>추정: 최근 4분기(2025Q3~2026Q2) CAPEX 중위 유지 — 순차입금 롤에 미반영(감가상각비 없음 → CAPEX≈감가 가정)
[yoy]</t>
      </text>
    </comment>
    <comment ref="AM30" authorId="0" shapeId="0">
      <text>
        <t>추정: 최근 4분기(2025Q3~2026Q2) CAPEX 중위 유지 — 순차입금 롤에 미반영(감가상각비 없음 → CAPEX≈감가 가정)
[yoy]</t>
      </text>
    </comment>
    <comment ref="AN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12,300원 유지
[abs]</t>
      </text>
    </comment>
    <comment ref="AI35" authorId="0" shapeId="0">
      <text>
        <t>추정: 직전 결산 DPS 12,300원 유지
[abs]</t>
      </text>
    </comment>
    <comment ref="AN35" authorId="0" shapeId="0">
      <text>
        <t>추정: 직전 결산 DPS 12,300원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G38" authorId="0" shapeId="0">
      <text>
        <t>실측(계정 매핑 없음(파생·부문·시세 행) — 모델값 직접) — = 매출액(부문 미분리)</t>
      </text>
    </comment>
    <comment ref="H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실측(계정 매핑 없음(파생·부문·시세 행) — 모델값 직접) — = 매출액(부문 미분리)</t>
      </text>
    </comment>
    <comment ref="L38" authorId="0" shapeId="0">
      <text>
        <t>실측(계정 매핑 없음(파생·부문·시세 행) — 모델값 직접) — = 매출액(부문 미분리)</t>
      </text>
    </comment>
    <comment ref="M38" authorId="0" shapeId="0">
      <text>
        <t>실측(계정 매핑 없음(파생·부문·시세 행) — 모델값 직접) — = 매출액(부문 미분리)</t>
      </text>
    </comment>
    <comment ref="N38" authorId="0" shapeId="0">
      <text>
        <t>실측(계정 매핑 없음(파생·부문·시세 행) — 모델값 직접) — = 매출액(부문 미분리)</t>
      </text>
    </comment>
    <comment ref="O38" authorId="0" shapeId="0">
      <text>
        <t>실측(계정 매핑 없음(파생·부문·시세 행) — 모델값 직접) — = 매출액(부문 미분리)</t>
      </text>
    </comment>
    <comment ref="Q38" authorId="0" shapeId="0">
      <text>
        <t>실측(계정 매핑 없음(파생·부문·시세 행) — 모델값 직접) — = 매출액(부문 미분리)</t>
      </text>
    </comment>
    <comment ref="R38" authorId="0" shapeId="0">
      <text>
        <t>실측(계정 매핑 없음(파생·부문·시세 행) — 모델값 직접) — = 매출액(부문 미분리)</t>
      </text>
    </comment>
    <comment ref="S38" authorId="0" shapeId="0">
      <text>
        <t>실측(계정 매핑 없음(파생·부문·시세 행) — 모델값 직접) — = 매출액(부문 미분리)</t>
      </text>
    </comment>
    <comment ref="T38" authorId="0" shapeId="0">
      <text>
        <t>실측(계정 매핑 없음(파생·부문·시세 행) — 모델값 직접) — = 매출액(부문 미분리)</t>
      </text>
    </comment>
    <comment ref="V38" authorId="0" shapeId="0">
      <text>
        <t>실측(계정 매핑 없음(파생·부문·시세 행) — 모델값 직접) — = 매출액(부문 미분리)</t>
      </text>
    </comment>
    <comment ref="W38" authorId="0" shapeId="0">
      <text>
        <t>실측(계정 매핑 없음(파생·부문·시세 행) — 모델값 직접) — = 매출액(부문 미분리)</t>
      </text>
    </comment>
    <comment ref="X38" authorId="0" shapeId="0">
      <text>
        <t>실측(계정 매핑 없음(파생·부문·시세 행) — 모델값 직접) — = 매출액(부문 미분리)</t>
      </text>
    </comment>
    <comment ref="Y38" authorId="0" shapeId="0">
      <text>
        <t>실측(계정 매핑 없음(파생·부문·시세 행) — 모델값 직접) — = 매출액(부문 미분리)</t>
      </text>
    </comment>
    <comment ref="AA38" authorId="0" shapeId="0">
      <text>
        <t>실측(계정 매핑 없음(파생·부문·시세 행) — 모델값 직접) — = 매출액(부문 미분리)</t>
      </text>
    </comment>
    <comment ref="AB38" authorId="0" shapeId="0">
      <text>
        <t>실측(계정 매핑 없음(파생·부문·시세 행) — 모델값 직접) — = 매출액(부문 미분리)</t>
      </text>
    </comment>
    <comment ref="AC38" authorId="0" shapeId="0">
      <text>
        <t>추정: = 매출액 추정(부문 미분리)
[identity]</t>
      </text>
    </comment>
    <comment ref="AD38" authorId="0" shapeId="0">
      <text>
        <t>추정: = 매출액 추정(부문 미분리)
[identity]</t>
      </text>
    </comment>
    <comment ref="AF38" authorId="0" shapeId="0">
      <text>
        <t>추정: = 매출액 추정(부문 미분리)
[identity]</t>
      </text>
    </comment>
    <comment ref="AG38" authorId="0" shapeId="0">
      <text>
        <t>추정: = 매출액 추정(부문 미분리)
[identity]</t>
      </text>
    </comment>
    <comment ref="AH38" authorId="0" shapeId="0">
      <text>
        <t>추정: = 매출액 추정(부문 미분리)
[identity]</t>
      </text>
    </comment>
    <comment ref="AI38" authorId="0" shapeId="0">
      <text>
        <t>추정: = 매출액 추정(부문 미분리)
[identity]</t>
      </text>
    </comment>
    <comment ref="AK38" authorId="0" shapeId="0">
      <text>
        <t>추정: = 매출액 추정(부문 미분리)
[identity]</t>
      </text>
    </comment>
    <comment ref="AL38" authorId="0" shapeId="0">
      <text>
        <t>추정: = 매출액 추정(부문 미분리)
[identity]</t>
      </text>
    </comment>
    <comment ref="AM38" authorId="0" shapeId="0">
      <text>
        <t>추정: = 매출액 추정(부문 미분리)
[identity]</t>
      </text>
    </comment>
    <comment ref="AN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G39" authorId="0" shapeId="0">
      <text>
        <t>실측(계정 매핑 없음(파생·부문·시세 행) — 모델값 직접) — = 영업이익(부문 미분리)</t>
      </text>
    </comment>
    <comment ref="H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실측(계정 매핑 없음(파생·부문·시세 행) — 모델값 직접) — = 영업이익(부문 미분리)</t>
      </text>
    </comment>
    <comment ref="L39" authorId="0" shapeId="0">
      <text>
        <t>실측(계정 매핑 없음(파생·부문·시세 행) — 모델값 직접) — = 영업이익(부문 미분리)</t>
      </text>
    </comment>
    <comment ref="M39" authorId="0" shapeId="0">
      <text>
        <t>실측(계정 매핑 없음(파생·부문·시세 행) — 모델값 직접) — = 영업이익(부문 미분리)</t>
      </text>
    </comment>
    <comment ref="N39" authorId="0" shapeId="0">
      <text>
        <t>실측(계정 매핑 없음(파생·부문·시세 행) — 모델값 직접) — = 영업이익(부문 미분리)</t>
      </text>
    </comment>
    <comment ref="O39" authorId="0" shapeId="0">
      <text>
        <t>실측(계정 매핑 없음(파생·부문·시세 행) — 모델값 직접) — = 영업이익(부문 미분리)</t>
      </text>
    </comment>
    <comment ref="Q39" authorId="0" shapeId="0">
      <text>
        <t>실측(계정 매핑 없음(파생·부문·시세 행) — 모델값 직접) — = 영업이익(부문 미분리)</t>
      </text>
    </comment>
    <comment ref="R39" authorId="0" shapeId="0">
      <text>
        <t>실측(계정 매핑 없음(파생·부문·시세 행) — 모델값 직접) — = 영업이익(부문 미분리)</t>
      </text>
    </comment>
    <comment ref="S39" authorId="0" shapeId="0">
      <text>
        <t>실측(계정 매핑 없음(파생·부문·시세 행) — 모델값 직접) — = 영업이익(부문 미분리)</t>
      </text>
    </comment>
    <comment ref="T39" authorId="0" shapeId="0">
      <text>
        <t>실측(계정 매핑 없음(파생·부문·시세 행) — 모델값 직접) — = 영업이익(부문 미분리)</t>
      </text>
    </comment>
    <comment ref="V39" authorId="0" shapeId="0">
      <text>
        <t>실측(계정 매핑 없음(파생·부문·시세 행) — 모델값 직접) — = 영업이익(부문 미분리)</t>
      </text>
    </comment>
    <comment ref="W39" authorId="0" shapeId="0">
      <text>
        <t>실측(계정 매핑 없음(파생·부문·시세 행) — 모델값 직접) — = 영업이익(부문 미분리)</t>
      </text>
    </comment>
    <comment ref="X39" authorId="0" shapeId="0">
      <text>
        <t>실측(계정 매핑 없음(파생·부문·시세 행) — 모델값 직접) — = 영업이익(부문 미분리)</t>
      </text>
    </comment>
    <comment ref="Y39" authorId="0" shapeId="0">
      <text>
        <t>실측(계정 매핑 없음(파생·부문·시세 행) — 모델값 직접) — = 영업이익(부문 미분리)</t>
      </text>
    </comment>
    <comment ref="AA39" authorId="0" shapeId="0">
      <text>
        <t>실측(계정 매핑 없음(파생·부문·시세 행) — 모델값 직접) — = 영업이익(부문 미분리)</t>
      </text>
    </comment>
    <comment ref="AB39" authorId="0" shapeId="0">
      <text>
        <t>실측(계정 매핑 없음(파생·부문·시세 행) — 모델값 직접) — = 영업이익(부문 미분리)</t>
      </text>
    </comment>
    <comment ref="AC39" authorId="0" shapeId="0">
      <text>
        <t>추정: = 매출액 × OPM(부문 미분리)
[identity]</t>
      </text>
    </comment>
    <comment ref="AD39" authorId="0" shapeId="0">
      <text>
        <t>추정: = 매출액 × OPM(부문 미분리)
[identity]</t>
      </text>
    </comment>
    <comment ref="AF39" authorId="0" shapeId="0">
      <text>
        <t>추정: = 매출액 × OPM(부문 미분리)
[identity]</t>
      </text>
    </comment>
    <comment ref="AG39" authorId="0" shapeId="0">
      <text>
        <t>추정: = 매출액 × OPM(부문 미분리)
[identity]</t>
      </text>
    </comment>
    <comment ref="AH39" authorId="0" shapeId="0">
      <text>
        <t>추정: = 매출액 × OPM(부문 미분리)
[identity]</t>
      </text>
    </comment>
    <comment ref="AI39" authorId="0" shapeId="0">
      <text>
        <t>추정: = 매출액 × OPM(부문 미분리)
[identity]</t>
      </text>
    </comment>
    <comment ref="AK39" authorId="0" shapeId="0">
      <text>
        <t>추정: = 매출액 × OPM(부문 미분리)
[identity]</t>
      </text>
    </comment>
    <comment ref="AL39" authorId="0" shapeId="0">
      <text>
        <t>추정: = 매출액 × OPM(부문 미분리)
[identity]</t>
      </text>
    </comment>
    <comment ref="AM39" authorId="0" shapeId="0">
      <text>
        <t>추정: = 매출액 × OPM(부문 미분리)
[identity]</t>
      </text>
    </comment>
    <comment ref="AN39" authorId="0" shapeId="0">
      <text>
        <t>추정: = 매출액 × OPM(부문 미분리)
[identity]</t>
      </text>
    </comment>
  </commentList>
</comments>
</file>

<file path=xl/comments/comment3.xml><?xml version="1.0" encoding="utf-8"?>
<comments xmlns="http://schemas.openxmlformats.org/spreadsheetml/2006/main">
  <authors>
    <author>kship</author>
  </authors>
  <commentList>
    <comment ref="BJ3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3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3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3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3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3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3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4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5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5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J52" authorId="0" shapeId="0">
      <text>
        <t>모델 포함 규칙: 해양(type≠OTHER) · origin 분기말까지 체결분(이후 체결은 패널 신규수주에 포함으로 봄). 0 으로 바꾸면 그 계약을 매출에서 뺀다</t>
      </text>
    </comment>
  </commentList>
</comments>
</file>

<file path=xl/comments/comment4.xml><?xml version="1.0" encoding="utf-8"?>
<comments xmlns="http://schemas.openxmlformats.org/spreadsheetml/2006/main">
  <authors>
    <author>kship</author>
  </authors>
  <commentList>
    <comment ref="E6" authorId="0" shapeId="0">
      <text>
        <t>forecast_panel base new_order_revenue(억원) — HD현대重(329180) 모델 scenarios 의 new_order_revenue × 연결/자회사 비율 1.410</t>
      </text>
    </comment>
    <comment ref="F6" authorId="0" shapeId="0">
      <text>
        <t>forecast_panel base new_order_revenue(억원) — HD현대重(329180) 모델 scenarios 의 new_order_revenue × 연결/자회사 비율 1.410</t>
      </text>
    </comment>
    <comment ref="H6" authorId="0" shapeId="0">
      <text>
        <t>forecast_panel base new_order_revenue(억원) — HD현대重(329180) 모델 scenarios 의 new_order_revenue × 연결/자회사 비율 1.410</t>
      </text>
    </comment>
    <comment ref="I6" authorId="0" shapeId="0">
      <text>
        <t>forecast_panel base new_order_revenue(억원) — HD현대重(329180) 모델 scenarios 의 new_order_revenue × 연결/자회사 비율 1.410</t>
      </text>
    </comment>
    <comment ref="J6" authorId="0" shapeId="0">
      <text>
        <t>forecast_panel base new_order_revenue(억원) — HD현대重(329180) 모델 scenarios 의 new_order_revenue × 연결/자회사 비율 1.410</t>
      </text>
    </comment>
    <comment ref="K6" authorId="0" shapeId="0">
      <text>
        <t>forecast_panel base new_order_revenue(억원) — HD현대重(329180) 모델 scenarios 의 new_order_revenue × 연결/자회사 비율 1.410</t>
      </text>
    </comment>
    <comment ref="M6" authorId="0" shapeId="0">
      <text>
        <t>forecast_panel base new_order_revenue(억원) — HD현대重(329180) 모델 scenarios 의 new_order_revenue × 연결/자회사 비율 1.410</t>
      </text>
    </comment>
    <comment ref="N6" authorId="0" shapeId="0">
      <text>
        <t>forecast_panel base new_order_revenue(억원) — HD현대重(329180) 모델 scenarios 의 new_order_revenue × 연결/자회사 비율 1.410</t>
      </text>
    </comment>
    <comment ref="O6" authorId="0" shapeId="0">
      <text>
        <t>forecast_panel base new_order_revenue(억원) — HD현대重(329180) 모델 scenarios 의 new_order_revenue × 연결/자회사 비율 1.410</t>
      </text>
    </comment>
    <comment ref="P6" authorId="0" shapeId="0">
      <text>
        <t>forecast_panel base new_order_revenue(억원) — HD현대重(329180) 모델 scenarios 의 new_order_revenue × 연결/자회사 비율 1.410</t>
      </text>
    </comment>
    <comment ref="E12" authorId="0" shapeId="0">
      <text>
        <t>forecast_panel existing_only new_order_revenue(억원) — HD현대重(329180) 모델 scenarios 의 new_order_revenue × 연결/자회사 비율 1.410</t>
      </text>
    </comment>
    <comment ref="F12" authorId="0" shapeId="0">
      <text>
        <t>forecast_panel existing_only new_order_revenue(억원) — HD현대重(329180) 모델 scenarios 의 new_order_revenue × 연결/자회사 비율 1.410</t>
      </text>
    </comment>
    <comment ref="H12" authorId="0" shapeId="0">
      <text>
        <t>forecast_panel existing_only new_order_revenue(억원) — HD현대重(329180) 모델 scenarios 의 new_order_revenue × 연결/자회사 비율 1.410</t>
      </text>
    </comment>
    <comment ref="I12" authorId="0" shapeId="0">
      <text>
        <t>forecast_panel existing_only new_order_revenue(억원) — HD현대重(329180) 모델 scenarios 의 new_order_revenue × 연결/자회사 비율 1.410</t>
      </text>
    </comment>
    <comment ref="J12" authorId="0" shapeId="0">
      <text>
        <t>forecast_panel existing_only new_order_revenue(억원) — HD현대重(329180) 모델 scenarios 의 new_order_revenue × 연결/자회사 비율 1.410</t>
      </text>
    </comment>
    <comment ref="K12" authorId="0" shapeId="0">
      <text>
        <t>forecast_panel existing_only new_order_revenue(억원) — HD현대重(329180) 모델 scenarios 의 new_order_revenue × 연결/자회사 비율 1.410</t>
      </text>
    </comment>
    <comment ref="M12" authorId="0" shapeId="0">
      <text>
        <t>forecast_panel existing_only new_order_revenue(억원) — HD현대重(329180) 모델 scenarios 의 new_order_revenue × 연결/자회사 비율 1.410</t>
      </text>
    </comment>
    <comment ref="N12" authorId="0" shapeId="0">
      <text>
        <t>forecast_panel existing_only new_order_revenue(억원) — HD현대重(329180) 모델 scenarios 의 new_order_revenue × 연결/자회사 비율 1.410</t>
      </text>
    </comment>
    <comment ref="O12" authorId="0" shapeId="0">
      <text>
        <t>forecast_panel existing_only new_order_revenue(억원) — HD현대重(329180) 모델 scenarios 의 new_order_revenue × 연결/자회사 비율 1.410</t>
      </text>
    </comment>
    <comment ref="P12" authorId="0" shapeId="0">
      <text>
        <t>forecast_panel existing_only new_order_revenue(억원) — HD현대重(329180) 모델 scenarios 의 new_order_revenue × 연결/자회사 비율 1.410</t>
      </text>
    </comment>
    <comment ref="E18" authorId="0" shapeId="0">
      <text>
        <t>forecast_panel conservative new_order_revenue(억원) — HD현대重(329180) 모델 scenarios 의 new_order_revenue × 연결/자회사 비율 1.410</t>
      </text>
    </comment>
    <comment ref="F18" authorId="0" shapeId="0">
      <text>
        <t>forecast_panel conservative new_order_revenue(억원) — HD현대重(329180) 모델 scenarios 의 new_order_revenue × 연결/자회사 비율 1.410</t>
      </text>
    </comment>
    <comment ref="H18" authorId="0" shapeId="0">
      <text>
        <t>forecast_panel conservative new_order_revenue(억원) — HD현대重(329180) 모델 scenarios 의 new_order_revenue × 연결/자회사 비율 1.410</t>
      </text>
    </comment>
    <comment ref="I18" authorId="0" shapeId="0">
      <text>
        <t>forecast_panel conservative new_order_revenue(억원) — HD현대重(329180) 모델 scenarios 의 new_order_revenue × 연결/자회사 비율 1.410</t>
      </text>
    </comment>
    <comment ref="J18" authorId="0" shapeId="0">
      <text>
        <t>forecast_panel conservative new_order_revenue(억원) — HD현대重(329180) 모델 scenarios 의 new_order_revenue × 연결/자회사 비율 1.410</t>
      </text>
    </comment>
    <comment ref="K18" authorId="0" shapeId="0">
      <text>
        <t>forecast_panel conservative new_order_revenue(억원) — HD현대重(329180) 모델 scenarios 의 new_order_revenue × 연결/자회사 비율 1.410</t>
      </text>
    </comment>
    <comment ref="M18" authorId="0" shapeId="0">
      <text>
        <t>forecast_panel conservative new_order_revenue(억원) — HD현대重(329180) 모델 scenarios 의 new_order_revenue × 연결/자회사 비율 1.410</t>
      </text>
    </comment>
    <comment ref="N18" authorId="0" shapeId="0">
      <text>
        <t>forecast_panel conservative new_order_revenue(억원) — HD현대重(329180) 모델 scenarios 의 new_order_revenue × 연결/자회사 비율 1.410</t>
      </text>
    </comment>
    <comment ref="O18" authorId="0" shapeId="0">
      <text>
        <t>forecast_panel conservative new_order_revenue(억원) — HD현대重(329180) 모델 scenarios 의 new_order_revenue × 연결/자회사 비율 1.410</t>
      </text>
    </comment>
    <comment ref="P18" authorId="0" shapeId="0">
      <text>
        <t>forecast_panel conservative new_order_revenue(억원) — HD현대重(329180) 모델 scenarios 의 new_order_revenue × 연결/자회사 비율 1.410</t>
      </text>
    </comment>
    <comment ref="E24" authorId="0" shapeId="0">
      <text>
        <t>forecast_panel optimistic new_order_revenue(억원) — HD현대重(329180) 모델 scenarios 의 new_order_revenue × 연결/자회사 비율 1.410</t>
      </text>
    </comment>
    <comment ref="F24" authorId="0" shapeId="0">
      <text>
        <t>forecast_panel optimistic new_order_revenue(억원) — HD현대重(329180) 모델 scenarios 의 new_order_revenue × 연결/자회사 비율 1.410</t>
      </text>
    </comment>
    <comment ref="H24" authorId="0" shapeId="0">
      <text>
        <t>forecast_panel optimistic new_order_revenue(억원) — HD현대重(329180) 모델 scenarios 의 new_order_revenue × 연결/자회사 비율 1.410</t>
      </text>
    </comment>
    <comment ref="I24" authorId="0" shapeId="0">
      <text>
        <t>forecast_panel optimistic new_order_revenue(억원) — HD현대重(329180) 모델 scenarios 의 new_order_revenue × 연결/자회사 비율 1.410</t>
      </text>
    </comment>
    <comment ref="J24" authorId="0" shapeId="0">
      <text>
        <t>forecast_panel optimistic new_order_revenue(억원) — HD현대重(329180) 모델 scenarios 의 new_order_revenue × 연결/자회사 비율 1.410</t>
      </text>
    </comment>
    <comment ref="K24" authorId="0" shapeId="0">
      <text>
        <t>forecast_panel optimistic new_order_revenue(억원) — HD현대重(329180) 모델 scenarios 의 new_order_revenue × 연결/자회사 비율 1.410</t>
      </text>
    </comment>
    <comment ref="M24" authorId="0" shapeId="0">
      <text>
        <t>forecast_panel optimistic new_order_revenue(억원) — HD현대重(329180) 모델 scenarios 의 new_order_revenue × 연결/자회사 비율 1.410</t>
      </text>
    </comment>
    <comment ref="N24" authorId="0" shapeId="0">
      <text>
        <t>forecast_panel optimistic new_order_revenue(억원) — HD현대重(329180) 모델 scenarios 의 new_order_revenue × 연결/자회사 비율 1.410</t>
      </text>
    </comment>
    <comment ref="O24" authorId="0" shapeId="0">
      <text>
        <t>forecast_panel optimistic new_order_revenue(억원) — HD현대重(329180) 모델 scenarios 의 new_order_revenue × 연결/자회사 비율 1.410</t>
      </text>
    </comment>
    <comment ref="P24" authorId="0" shapeId="0">
      <text>
        <t>forecast_panel optimistic new_order_revenue(억원) — HD현대重(329180) 모델 scenarios 의 new_order_revenue × 연결/자회사 비율 1.410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HD한국조선해양(009540) 실적 모델 — ARGUS 한국조선</t>
        </is>
      </c>
    </row>
    <row r="2">
      <c r="A2" t="inlineStr">
        <is>
          <t>기준 분기 2026Q2 · 마지막 실적 2026Q2 · 생성 2026-10-12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19.89% — 법인세 = MAX(세전,0) × 세율, 추정 전 분기 연결(Σ법인세/Σmax(세전,0) 역산, 재현 오차 ≤ 0.05억). 모델 가정 19.89% · 근거: 최근 12분기 유효세율 19.9%(5~27% 안 — 그대로)</t>
        </is>
      </c>
    </row>
    <row r="23">
      <c r="A23" t="inlineStr">
        <is>
          <t>· 판관비율 4.84% — 판관비 = 매출액 × 판관비율, 추정 전 분기 연결</t>
        </is>
      </c>
    </row>
    <row r="24">
      <c r="A24" t="inlineStr">
        <is>
          <t>· 지배주주 비중 76.0% — 지배주주순이익 = 당기순이익 × 비중, 추정 전 분기 연결</t>
        </is>
      </c>
    </row>
    <row r="25">
      <c r="A25" t="inlineStr">
        <is>
          <t>· 이자율 자산 2.82% / 부채 13.12% — 이자손익 = (전분기 이자발생자산 × 자산이자율 − 전분기 총차입금 × 부채이자율)/4, 최소자승 역산(모델 assumptions [0.0282, 0.1312]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선표(SLS) — 헤지비율 70.0%(estimate) · 헤지환율 계약별 수주시점 환율 · 코호트 모드 reference_anchor · 잔고 캡 미적용 · subQ 매출조선은 SLS 에 연결되지 않음(sls 없음)</t>
        </is>
      </c>
    </row>
    <row r="28">
      <c r="A28" t="inlineStr">
        <is>
          <t>· 신규수주 — forecast_panel base 시나리오를 매출조선신규 행에 포함(calibrated=None, status None — 통계 흐름, 공시 계약 개별 반영 아님). 보수/낙관/기존만 은 시나리오 시트에만(합산 안 함)</t>
        </is>
      </c>
    </row>
    <row r="29">
      <c r="A29" t="inlineStr">
        <is>
          <t>· 연결된 가정: 세율, 판관비율, 지배주주비중, 이자율 · 연결 안 된 가정(모델값·분기별 역산 그대로): 없음</t>
        </is>
      </c>
    </row>
    <row r="30">
      <c r="A30" t="inlineStr">
        <is>
          <t>· 밸류에이션 — PER 밴드 11.7/13.1/21.5배(hist_quarterly(분기 평균가 ÷ TTM EPS, 13분기, 25/50/75 백분위)) · COE 9.0% · 12M fwd EPS 가중 0.5(가정). 모델 산출값 구간이며 추천이 아니다</t>
        </is>
      </c>
    </row>
    <row r="31">
      <c r="A31" t="inlineStr"/>
    </row>
    <row r="32">
      <c r="A32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3">
      <c r="A33" t="inlineStr">
        <is>
          <t>재현: cd argus/kship/tools &amp;&amp; python3 kship_model_xlsx.py --model assets/models/009540.json --verify   (모델 json 부터: kship_model.py --build --all --xlsx · xlsx 58사 일괄: kship_model_xlsx.py --all --verify)</t>
        </is>
      </c>
    </row>
    <row r="34">
      <c r="A34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5">
      <c r="A35" t="inlineStr">
        <is>
          <t>한계: 모델 quality.warnings — 지배주주순이익 face 누락 분기는 당기순이익 − 비지배 로 파생: 2025Q1, 2026Q1 / 총차입금 이자율: 주석 연율 13.1% 가 CF 연율 4.1% 의 3.2배 — 최근 4분기 연속 주석이라 유지(차입금 외 이자 포함 가능 — 주석 확인). 클립 조건: stale 또는 &gt; 20% / 감가상각비가 face·CF 에 없음(주석 미파싱) → EBITDA·EV/EBITDA 미산출 / 금융손익 실적→추정 단절: 최근 4분기 실적 -9878/-8080/-13801/-2147(중위 -8979억) → 추정 2026Q3 +87억(차 +9066억, +101%) — 추정은 이자손익 + 기타금융 중위, 외환·파생 평가손익 0 가정(환율 효과는 환관련손익 행). 값은 바꾸지 않음 — 지배NI·EPS 해석 시 참고</t>
        </is>
      </c>
    </row>
    <row r="36">
      <c r="A36" t="inlineStr">
        <is>
          <t>백테스트: {"freeze": "2025Q2", "horizon": 4, "revenue_wape_pct": 9.8, "op_wape_pct": 40.8, "n": 4, "note": "단일 회사 4분기 — 통계 아님", "driver_at_freeze": "subsidiary_yard_scaled",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74060.53, "rev_act": 75814.36, "op_pred": 7553.95, "op_act": 10537.75}, {"q": "2025Q4", "rev_pred": 74060.53, "rev_act": 81516.57, "op_pred": 7553.95, "op_act": 10379.19}, {"q": "2026Q1", "rev_pred": 73789.18, "rev_act": 81408.9, "op_pred": 7526.28, "op_act": 13559.7}, {"q": "2026Q2", "rev_pred": 73924.83, "rev_act": 89270.46, "op_pred": 7540.11, "op_act": 16451.46}]}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94600</v>
      </c>
      <c r="F15" s="9" t="n"/>
      <c r="G15" s="18" t="n">
        <v>88900</v>
      </c>
      <c r="H15" s="18" t="n">
        <v>93900</v>
      </c>
      <c r="I15" s="18" t="n">
        <v>72900</v>
      </c>
      <c r="J15" s="18" t="n">
        <v>70700</v>
      </c>
      <c r="K15" s="9" t="n"/>
      <c r="L15" s="18" t="n">
        <v>77500</v>
      </c>
      <c r="M15" s="18" t="n">
        <v>116500</v>
      </c>
      <c r="N15" s="18" t="n">
        <v>111000</v>
      </c>
      <c r="O15" s="18" t="n">
        <v>120900</v>
      </c>
      <c r="P15" s="9" t="n"/>
      <c r="Q15" s="18" t="n">
        <v>118400</v>
      </c>
      <c r="R15" s="18" t="n">
        <v>158800</v>
      </c>
      <c r="S15" s="18" t="n">
        <v>187700</v>
      </c>
      <c r="T15" s="18" t="n">
        <v>228000</v>
      </c>
      <c r="U15" s="9" t="n"/>
      <c r="V15" s="18" t="n">
        <v>201000</v>
      </c>
      <c r="W15" s="18" t="n">
        <v>366000</v>
      </c>
      <c r="X15" s="18" t="n">
        <v>411000</v>
      </c>
      <c r="Y15" s="18" t="n">
        <v>407000</v>
      </c>
      <c r="Z15" s="9" t="n"/>
      <c r="AA15" s="18" t="n">
        <v>344000</v>
      </c>
      <c r="AB15" s="19" t="n">
        <v>350000</v>
      </c>
      <c r="AC15" s="20" t="n">
        <v>326500</v>
      </c>
      <c r="AD15" s="20" t="n">
        <v>279500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108500</v>
      </c>
      <c r="F16" s="9" t="n"/>
      <c r="G16" s="18" t="n">
        <v>103500</v>
      </c>
      <c r="H16" s="18" t="n">
        <v>98200</v>
      </c>
      <c r="I16" s="18" t="n">
        <v>101500</v>
      </c>
      <c r="J16" s="18" t="n">
        <v>81000</v>
      </c>
      <c r="K16" s="9" t="n"/>
      <c r="L16" s="18" t="n">
        <v>86500</v>
      </c>
      <c r="M16" s="18" t="n">
        <v>121900</v>
      </c>
      <c r="N16" s="18" t="n">
        <v>130000</v>
      </c>
      <c r="O16" s="18" t="n">
        <v>121400</v>
      </c>
      <c r="P16" s="9" t="n"/>
      <c r="Q16" s="18" t="n">
        <v>129000</v>
      </c>
      <c r="R16" s="18" t="n">
        <v>160000</v>
      </c>
      <c r="S16" s="18" t="n">
        <v>213000</v>
      </c>
      <c r="T16" s="18" t="n">
        <v>238000</v>
      </c>
      <c r="U16" s="9" t="n"/>
      <c r="V16" s="18" t="n">
        <v>253500</v>
      </c>
      <c r="W16" s="18" t="n">
        <v>398500</v>
      </c>
      <c r="X16" s="18" t="n">
        <v>438000</v>
      </c>
      <c r="Y16" s="18" t="n">
        <v>494500</v>
      </c>
      <c r="Z16" s="9" t="n"/>
      <c r="AA16" s="18" t="n">
        <v>474000</v>
      </c>
      <c r="AB16" s="19" t="n">
        <v>488000</v>
      </c>
      <c r="AC16" s="20" t="n">
        <v>412500</v>
      </c>
      <c r="AD16" s="20" t="n">
        <v>328500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87000</v>
      </c>
      <c r="F17" s="9" t="n"/>
      <c r="G17" s="18" t="n">
        <v>76900</v>
      </c>
      <c r="H17" s="18" t="n">
        <v>80900</v>
      </c>
      <c r="I17" s="18" t="n">
        <v>72500</v>
      </c>
      <c r="J17" s="18" t="n">
        <v>68600</v>
      </c>
      <c r="K17" s="9" t="n"/>
      <c r="L17" s="18" t="n">
        <v>68100</v>
      </c>
      <c r="M17" s="18" t="n">
        <v>75500</v>
      </c>
      <c r="N17" s="18" t="n">
        <v>110200</v>
      </c>
      <c r="O17" s="18" t="n">
        <v>89000</v>
      </c>
      <c r="P17" s="9" t="n"/>
      <c r="Q17" s="18" t="n">
        <v>104000</v>
      </c>
      <c r="R17" s="18" t="n">
        <v>110800</v>
      </c>
      <c r="S17" s="18" t="n">
        <v>153600</v>
      </c>
      <c r="T17" s="18" t="n">
        <v>175500</v>
      </c>
      <c r="U17" s="9" t="n"/>
      <c r="V17" s="18" t="n">
        <v>194400</v>
      </c>
      <c r="W17" s="18" t="n">
        <v>185700</v>
      </c>
      <c r="X17" s="18" t="n">
        <v>304500</v>
      </c>
      <c r="Y17" s="18" t="n">
        <v>396000</v>
      </c>
      <c r="Z17" s="9" t="n"/>
      <c r="AA17" s="18" t="n">
        <v>340500</v>
      </c>
      <c r="AB17" s="19" t="n">
        <v>338000</v>
      </c>
      <c r="AC17" s="20" t="n">
        <v>314000</v>
      </c>
      <c r="AD17" s="20" t="n">
        <v>276500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97490.5</v>
      </c>
      <c r="F18" s="9" t="n"/>
      <c r="G18" s="18" t="n">
        <v>89366.10000000001</v>
      </c>
      <c r="H18" s="18" t="n">
        <v>89929</v>
      </c>
      <c r="I18" s="18" t="n">
        <v>87073</v>
      </c>
      <c r="J18" s="18" t="n">
        <v>74871</v>
      </c>
      <c r="K18" s="9" t="n"/>
      <c r="L18" s="18" t="n">
        <v>78014.5</v>
      </c>
      <c r="M18" s="18" t="n">
        <v>94542.60000000001</v>
      </c>
      <c r="N18" s="18" t="n">
        <v>120450</v>
      </c>
      <c r="O18" s="18" t="n">
        <v>103801.7</v>
      </c>
      <c r="P18" s="9" t="n"/>
      <c r="Q18" s="18" t="n">
        <v>115870.5</v>
      </c>
      <c r="R18" s="18" t="n">
        <v>131518.3</v>
      </c>
      <c r="S18" s="18" t="n">
        <v>184258.1</v>
      </c>
      <c r="T18" s="18" t="n">
        <v>198872.1</v>
      </c>
      <c r="U18" s="9" t="n"/>
      <c r="V18" s="18" t="n">
        <v>225800</v>
      </c>
      <c r="W18" s="18" t="n">
        <v>286443.3</v>
      </c>
      <c r="X18" s="18" t="n">
        <v>370384.6</v>
      </c>
      <c r="Y18" s="18" t="n">
        <v>430364.4</v>
      </c>
      <c r="Z18" s="9" t="n"/>
      <c r="AA18" s="18" t="n">
        <v>415415.3</v>
      </c>
      <c r="AB18" s="19" t="n">
        <v>412032.8</v>
      </c>
      <c r="AC18" s="20" t="n">
        <v>356596.8</v>
      </c>
      <c r="AD18" s="20" t="n">
        <v>307083.3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0.226363624</v>
      </c>
      <c r="AD21" s="24" t="n">
        <v>0.155083254</v>
      </c>
      <c r="AE21" s="25" t="n"/>
      <c r="AF21" s="24" t="n">
        <v>0.18688378</v>
      </c>
      <c r="AG21" s="24" t="n">
        <v>0.138380205</v>
      </c>
      <c r="AH21" s="24" t="n">
        <v>0.153394259</v>
      </c>
      <c r="AI21" s="24" t="n">
        <v>0.210603789</v>
      </c>
      <c r="AJ21" s="25" t="n"/>
      <c r="AK21" s="24" t="n">
        <v>0.252695065</v>
      </c>
      <c r="AL21" s="24" t="n">
        <v>0.263983028</v>
      </c>
      <c r="AM21" s="24" t="n">
        <v>0.252956812</v>
      </c>
      <c r="AN21" s="24" t="n">
        <v>0.215874859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0.157199651</v>
      </c>
      <c r="AD23" s="24" t="n">
        <v>0.157499669</v>
      </c>
      <c r="AE23" s="25">
        <f>IFERROR(subQ!AE9/subQ!AE5,"")</f>
        <v/>
      </c>
      <c r="AF23" s="24" t="n">
        <v>0.157499723</v>
      </c>
      <c r="AG23" s="24" t="n">
        <v>0.157528266</v>
      </c>
      <c r="AH23" s="24" t="n">
        <v>0.157610342</v>
      </c>
      <c r="AI23" s="24" t="n">
        <v>0.157670324</v>
      </c>
      <c r="AJ23" s="25">
        <f>IFERROR(subQ!AJ9/subQ!AJ5,"")</f>
        <v/>
      </c>
      <c r="AK23" s="24" t="n">
        <v>0.157730362</v>
      </c>
      <c r="AL23" s="24" t="n">
        <v>0.15779038</v>
      </c>
      <c r="AM23" s="24" t="n">
        <v>0.157941992</v>
      </c>
      <c r="AN23" s="24" t="n">
        <v>0.158163018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0.85</v>
      </c>
      <c r="AD26" s="30" t="n">
        <v>0.85</v>
      </c>
      <c r="AE26" s="31">
        <f>subQ!AE15</f>
        <v/>
      </c>
      <c r="AF26" s="30" t="n">
        <v>0.85</v>
      </c>
      <c r="AG26" s="30" t="n">
        <v>0.85</v>
      </c>
      <c r="AH26" s="30" t="n">
        <v>0.85</v>
      </c>
      <c r="AI26" s="30" t="n">
        <v>0.85</v>
      </c>
      <c r="AJ26" s="31">
        <f>subQ!AJ15</f>
        <v/>
      </c>
      <c r="AK26" s="30" t="n">
        <v>0.85</v>
      </c>
      <c r="AL26" s="30" t="n">
        <v>0.85</v>
      </c>
      <c r="AM26" s="30" t="n">
        <v>0.85</v>
      </c>
      <c r="AN26" s="30" t="n">
        <v>0.85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0.11</v>
      </c>
      <c r="AD28" s="30" t="n">
        <v>0.11</v>
      </c>
      <c r="AE28" s="31">
        <f>subQ!AE17</f>
        <v/>
      </c>
      <c r="AF28" s="30" t="n">
        <v>0.11</v>
      </c>
      <c r="AG28" s="30" t="n">
        <v>0.11</v>
      </c>
      <c r="AH28" s="30" t="n">
        <v>0.11</v>
      </c>
      <c r="AI28" s="30" t="n">
        <v>0.11</v>
      </c>
      <c r="AJ28" s="31">
        <f>subQ!AJ17</f>
        <v/>
      </c>
      <c r="AK28" s="30" t="n">
        <v>0.11</v>
      </c>
      <c r="AL28" s="30" t="n">
        <v>0.11</v>
      </c>
      <c r="AM28" s="30" t="n">
        <v>0.11</v>
      </c>
      <c r="AN28" s="30" t="n">
        <v>0.11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$D$51</f>
        <v/>
      </c>
      <c r="AD29" s="26">
        <f>$D$51</f>
        <v/>
      </c>
      <c r="AE29" s="25">
        <f>IFERROR(subQ!AE19/subQ!AE18,"")</f>
        <v/>
      </c>
      <c r="AF29" s="26">
        <f>$D$51</f>
        <v/>
      </c>
      <c r="AG29" s="26">
        <f>$D$51</f>
        <v/>
      </c>
      <c r="AH29" s="26">
        <f>$D$51</f>
        <v/>
      </c>
      <c r="AI29" s="26">
        <f>$D$51</f>
        <v/>
      </c>
      <c r="AJ29" s="25">
        <f>IFERROR(subQ!AJ19/subQ!AJ18,"")</f>
        <v/>
      </c>
      <c r="AK29" s="26">
        <f>$D$51</f>
        <v/>
      </c>
      <c r="AL29" s="26">
        <f>$D$51</f>
        <v/>
      </c>
      <c r="AM29" s="26">
        <f>$D$51</f>
        <v/>
      </c>
      <c r="AN29" s="26">
        <f>$D$51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$D$53</f>
        <v/>
      </c>
      <c r="AD30" s="26">
        <f>$D$53</f>
        <v/>
      </c>
      <c r="AE30" s="25">
        <f>IFERROR(subQ!AE21/subQ!AE20,"")</f>
        <v/>
      </c>
      <c r="AF30" s="26">
        <f>$D$53</f>
        <v/>
      </c>
      <c r="AG30" s="26">
        <f>$D$53</f>
        <v/>
      </c>
      <c r="AH30" s="26">
        <f>$D$53</f>
        <v/>
      </c>
      <c r="AI30" s="26">
        <f>$D$53</f>
        <v/>
      </c>
      <c r="AJ30" s="25">
        <f>IFERROR(subQ!AJ21/subQ!AJ20,"")</f>
        <v/>
      </c>
      <c r="AK30" s="26">
        <f>$D$53</f>
        <v/>
      </c>
      <c r="AL30" s="26">
        <f>$D$53</f>
        <v/>
      </c>
      <c r="AM30" s="26">
        <f>$D$53</f>
        <v/>
      </c>
      <c r="AN30" s="26">
        <f>$D$53</f>
        <v/>
      </c>
      <c r="AO30" s="25">
        <f>IFERROR(subQ!AO21/subQ!AO20,"")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-6e-09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0.002219706</v>
      </c>
      <c r="AD32" s="30" t="n">
        <v>0.001992804</v>
      </c>
      <c r="AE32" s="31" t="n"/>
      <c r="AF32" s="30" t="n">
        <v>-0.008844609999999999</v>
      </c>
      <c r="AG32" s="30" t="n">
        <v>8697.904508838999</v>
      </c>
      <c r="AH32" s="30" t="n">
        <v>0.004886995</v>
      </c>
      <c r="AI32" s="30" t="n">
        <v>-0.001840368</v>
      </c>
      <c r="AJ32" s="31" t="n"/>
      <c r="AK32" s="30" t="n">
        <v>-0.001684756</v>
      </c>
      <c r="AL32" s="30" t="n">
        <v>8697.891046711</v>
      </c>
      <c r="AM32" s="30" t="n">
        <v>-0.006822408</v>
      </c>
      <c r="AN32" s="30" t="n">
        <v>0.002582778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IFERROR(subQ!E25+subQ!G21-subQ!G25,"")</f>
        <v/>
      </c>
      <c r="H33" s="27">
        <f>IFERROR(subQ!G25+subQ!H21-subQ!H25,"")</f>
        <v/>
      </c>
      <c r="I33" s="27">
        <f>IFERROR(subQ!H25+subQ!I21-subQ!I25,"")</f>
        <v/>
      </c>
      <c r="J33" s="27">
        <f>IFERROR(subQ!I25+subQ!J21-subQ!J25,"")</f>
        <v/>
      </c>
      <c r="K33" s="28" t="n"/>
      <c r="L33" s="27">
        <f>IFERROR(subQ!J25+subQ!L21-subQ!L25,"")</f>
        <v/>
      </c>
      <c r="M33" s="27">
        <f>IFERROR(subQ!L25+subQ!M21-subQ!M25,"")</f>
        <v/>
      </c>
      <c r="N33" s="27">
        <f>IFERROR(subQ!M25+subQ!N21-subQ!N25,"")</f>
        <v/>
      </c>
      <c r="O33" s="27">
        <f>IFERROR(subQ!N25+subQ!O21-subQ!O25,"")</f>
        <v/>
      </c>
      <c r="P33" s="28" t="n"/>
      <c r="Q33" s="27">
        <f>IFERROR(subQ!O25+subQ!Q21-subQ!Q25,"")</f>
        <v/>
      </c>
      <c r="R33" s="27">
        <f>IFERROR(subQ!Q25+subQ!R21-subQ!R25,"")</f>
        <v/>
      </c>
      <c r="S33" s="27">
        <f>IFERROR(subQ!R25+subQ!S21-subQ!S25,"")</f>
        <v/>
      </c>
      <c r="T33" s="27">
        <f>IFERROR(subQ!S25+subQ!T21-subQ!T25,"")</f>
        <v/>
      </c>
      <c r="U33" s="28" t="n"/>
      <c r="V33" s="27">
        <f>IFERROR(subQ!T25+subQ!V21-subQ!V25,"")</f>
        <v/>
      </c>
      <c r="W33" s="27">
        <f>IFERROR(subQ!V25+subQ!W21-subQ!W25,"")</f>
        <v/>
      </c>
      <c r="X33" s="27">
        <f>IFERROR(subQ!W25+subQ!X21-subQ!X25,"")</f>
        <v/>
      </c>
      <c r="Y33" s="27">
        <f>IFERROR(subQ!X25+subQ!Y21-subQ!Y25,"")</f>
        <v/>
      </c>
      <c r="Z33" s="28" t="n"/>
      <c r="AA33" s="27">
        <f>IFERROR(subQ!Y25+subQ!AA21-subQ!AA25,"")</f>
        <v/>
      </c>
      <c r="AB33" s="29">
        <f>IFERROR(subQ!AA25+subQ!AB21-subQ!AB25,"")</f>
        <v/>
      </c>
      <c r="AC33" s="30" t="n">
        <v>0.006392947</v>
      </c>
      <c r="AD33" s="30" t="n">
        <v>-0.000733656</v>
      </c>
      <c r="AE33" s="31" t="n"/>
      <c r="AF33" s="30" t="n">
        <v>0.003949213</v>
      </c>
      <c r="AG33" s="30" t="n">
        <v>8697.900429216001</v>
      </c>
      <c r="AH33" s="30" t="n">
        <v>-0.000320234</v>
      </c>
      <c r="AI33" s="30" t="n">
        <v>0.004160542</v>
      </c>
      <c r="AJ33" s="31" t="n"/>
      <c r="AK33" s="30" t="n">
        <v>-0.001710315</v>
      </c>
      <c r="AL33" s="30" t="n">
        <v>8697.901816695001</v>
      </c>
      <c r="AM33" s="30" t="n">
        <v>0.00551919</v>
      </c>
      <c r="AN33" s="30" t="n">
        <v>-0.002624819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1.04e-07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0.09820029600000001</v>
      </c>
      <c r="AD35" s="24" t="n">
        <v>0.091226089</v>
      </c>
      <c r="AE35" s="25" t="n"/>
      <c r="AF35" s="24" t="n">
        <v>0.086234479</v>
      </c>
      <c r="AG35" s="24" t="n">
        <v>0.028182823</v>
      </c>
      <c r="AH35" s="24" t="n">
        <v>0.08620475</v>
      </c>
      <c r="AI35" s="24" t="n">
        <v>0.08473035399999999</v>
      </c>
      <c r="AJ35" s="25" t="n"/>
      <c r="AK35" s="24" t="n">
        <v>0.08329144199999999</v>
      </c>
      <c r="AL35" s="24" t="n">
        <v>0.039471625</v>
      </c>
      <c r="AM35" s="24" t="n">
        <v>0.082611647</v>
      </c>
      <c r="AN35" s="24" t="n">
        <v>0.079166414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0.077852775</v>
      </c>
      <c r="AD36" s="24" t="n">
        <v>0.07368886500000001</v>
      </c>
      <c r="AE36" s="25" t="n"/>
      <c r="AF36" s="24" t="n">
        <v>0.070794645</v>
      </c>
      <c r="AG36" s="24" t="n">
        <v>0.023470499</v>
      </c>
      <c r="AH36" s="24" t="n">
        <v>0.072121168</v>
      </c>
      <c r="AI36" s="24" t="n">
        <v>0.07181889499999999</v>
      </c>
      <c r="AJ36" s="25" t="n"/>
      <c r="AK36" s="24" t="n">
        <v>0.071449755</v>
      </c>
      <c r="AL36" s="24" t="n">
        <v>0.034234033</v>
      </c>
      <c r="AM36" s="24" t="n">
        <v>0.07201263199999999</v>
      </c>
      <c r="AN36" s="24" t="n">
        <v>0.069691718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24" t="n">
        <v>-0.051399817</v>
      </c>
      <c r="AD38" s="24" t="n">
        <v>-0.117074798</v>
      </c>
      <c r="AE38" s="25" t="n"/>
      <c r="AF38" s="24" t="n">
        <v>0.145867644</v>
      </c>
      <c r="AG38" s="24" t="n">
        <v>0.057287555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32" t="n"/>
      <c r="AD39" s="32" t="n"/>
      <c r="AE39" s="25" t="n"/>
      <c r="AF39" s="32" t="n"/>
      <c r="AG39" s="32" t="n"/>
      <c r="AH39" s="32" t="n"/>
      <c r="AI39" s="32" t="n"/>
      <c r="AJ39" s="25" t="n"/>
      <c r="AK39" s="32" t="n"/>
      <c r="AL39" s="32" t="n"/>
      <c r="AM39" s="32" t="n"/>
      <c r="AN39" s="32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IFERROR(subQ!G32/subQ!E32-1,"")</f>
        <v/>
      </c>
      <c r="H40" s="21">
        <f>IFERROR(subQ!H32/subQ!G32-1,"")</f>
        <v/>
      </c>
      <c r="I40" s="21">
        <f>IFERROR(subQ!I32/subQ!H32-1,"")</f>
        <v/>
      </c>
      <c r="J40" s="21">
        <f>IFERROR(subQ!J32/subQ!I32-1,"")</f>
        <v/>
      </c>
      <c r="K40" s="22" t="n"/>
      <c r="L40" s="21">
        <f>IFERROR(subQ!L32/subQ!J32-1,"")</f>
        <v/>
      </c>
      <c r="M40" s="21">
        <f>IFERROR(subQ!M32/subQ!L32-1,"")</f>
        <v/>
      </c>
      <c r="N40" s="21">
        <f>IFERROR(subQ!N32/subQ!M32-1,"")</f>
        <v/>
      </c>
      <c r="O40" s="21">
        <f>IFERROR(subQ!O32/subQ!N32-1,"")</f>
        <v/>
      </c>
      <c r="P40" s="22" t="n"/>
      <c r="Q40" s="21">
        <f>IFERROR(subQ!Q32/subQ!O32-1,"")</f>
        <v/>
      </c>
      <c r="R40" s="21">
        <f>IFERROR(subQ!R32/subQ!Q32-1,"")</f>
        <v/>
      </c>
      <c r="S40" s="21">
        <f>IFERROR(subQ!S32/subQ!R32-1,"")</f>
        <v/>
      </c>
      <c r="T40" s="21">
        <f>IFERROR(subQ!T32/subQ!S32-1,"")</f>
        <v/>
      </c>
      <c r="U40" s="22" t="n"/>
      <c r="V40" s="21">
        <f>IFERROR(subQ!V32/subQ!T32-1,"")</f>
        <v/>
      </c>
      <c r="W40" s="21">
        <f>IFERROR(subQ!W32/subQ!V32-1,"")</f>
        <v/>
      </c>
      <c r="X40" s="21">
        <f>IFERROR(subQ!X32/subQ!W32-1,"")</f>
        <v/>
      </c>
      <c r="Y40" s="21">
        <f>IFERROR(subQ!Y32/subQ!X32-1,"")</f>
        <v/>
      </c>
      <c r="Z40" s="22" t="n"/>
      <c r="AA40" s="21">
        <f>IFERROR(subQ!AA32/subQ!Y32-1,"")</f>
        <v/>
      </c>
      <c r="AB40" s="23">
        <f>IFERROR(subQ!AB32/subQ!AA32-1,"")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subQ!E35</f>
        <v/>
      </c>
      <c r="F41" s="28">
        <f>subQ!F35</f>
        <v/>
      </c>
      <c r="G41" s="27">
        <f>subQ!G35</f>
        <v/>
      </c>
      <c r="H41" s="27">
        <f>subQ!H35</f>
        <v/>
      </c>
      <c r="I41" s="27">
        <f>subQ!I35</f>
        <v/>
      </c>
      <c r="J41" s="27">
        <f>subQ!J35</f>
        <v/>
      </c>
      <c r="K41" s="28">
        <f>subQ!K35</f>
        <v/>
      </c>
      <c r="L41" s="27">
        <f>subQ!L35</f>
        <v/>
      </c>
      <c r="M41" s="27">
        <f>subQ!M35</f>
        <v/>
      </c>
      <c r="N41" s="27">
        <f>subQ!N35</f>
        <v/>
      </c>
      <c r="O41" s="27">
        <f>subQ!O35</f>
        <v/>
      </c>
      <c r="P41" s="28">
        <f>subQ!P35</f>
        <v/>
      </c>
      <c r="Q41" s="27">
        <f>subQ!Q35</f>
        <v/>
      </c>
      <c r="R41" s="27">
        <f>subQ!R35</f>
        <v/>
      </c>
      <c r="S41" s="27">
        <f>subQ!S35</f>
        <v/>
      </c>
      <c r="T41" s="27">
        <f>subQ!T35</f>
        <v/>
      </c>
      <c r="U41" s="28">
        <f>subQ!U35</f>
        <v/>
      </c>
      <c r="V41" s="27">
        <f>subQ!V35</f>
        <v/>
      </c>
      <c r="W41" s="27">
        <f>subQ!W35</f>
        <v/>
      </c>
      <c r="X41" s="27">
        <f>subQ!X35</f>
        <v/>
      </c>
      <c r="Y41" s="27">
        <f>subQ!Y35</f>
        <v/>
      </c>
      <c r="Z41" s="28">
        <f>subQ!Z35</f>
        <v/>
      </c>
      <c r="AA41" s="27">
        <f>subQ!AA35</f>
        <v/>
      </c>
      <c r="AB41" s="29">
        <f>subQ!AB35</f>
        <v/>
      </c>
      <c r="AC41" s="33" t="n"/>
      <c r="AD41" s="30" t="n">
        <v>12300</v>
      </c>
      <c r="AE41" s="31">
        <f>subQ!AE35</f>
        <v/>
      </c>
      <c r="AF41" s="33" t="n"/>
      <c r="AG41" s="33" t="n"/>
      <c r="AH41" s="33" t="n"/>
      <c r="AI41" s="30" t="n">
        <v>12300</v>
      </c>
      <c r="AJ41" s="31">
        <f>subQ!AJ35</f>
        <v/>
      </c>
      <c r="AK41" s="33" t="n"/>
      <c r="AL41" s="33" t="n"/>
      <c r="AM41" s="33" t="n"/>
      <c r="AN41" s="30" t="n">
        <v>12300</v>
      </c>
      <c r="AO41" s="31">
        <f>subQ!AO35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279500</v>
      </c>
      <c r="E44" s="2" t="inlineStr">
        <is>
          <t>원 — 네이버 정규장 종가(aik 확정종가 대조 · aik 301,500원)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20261012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11.7</v>
      </c>
      <c r="E47" s="2" t="inlineStr">
        <is>
          <t>PER 밴드 하단(배) — hist_quarterly(분기 평균가 ÷ TTM EPS, 13분기, 25/50/75 백분위)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13.1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21.5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0.1989270140199398</v>
      </c>
      <c r="E51" s="2" t="inlineStr">
        <is>
          <t>연결 — 법인세 = MAX(세전,0) × 세율(역산, 재현 오차 ≤ 0.05억 · 모델 assumptions 0.1989) · 최근 12분기 유효세율 19.9%(5~27% 안 — 그대로)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0.04842984396020988</v>
      </c>
      <c r="E52" s="2" t="inlineStr">
        <is>
          <t>연결 — 판관비 = 매출액 × 판관비율(역산, 재현 오차 ≤ 0.05억 · 모델 assumptions 0.0484)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0.7600277752656174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0.02816787182365922</v>
      </c>
      <c r="E54" s="2" t="inlineStr">
        <is>
          <t>연결 — 이자손익 = (전분기 이자발생자산 × 자산이자율 − 전분기 총차입금 × 부채이자율)/4(역산, 재현 오차 ≤ 0.05억 · 모델 assumptions 0.0282)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0.1311619244925925</v>
      </c>
      <c r="E55" s="2" t="inlineStr">
        <is>
          <t>연결 — 같은 수식의 부채 쪽(총차입금 행이 없으면 0)(역산, 재현 오차 ≤ 0.05억 · 모델 assumptions 0.1312)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0.4011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>
        <v>0.7</v>
      </c>
      <c r="E58" s="2" t="inlineStr">
        <is>
          <t>SLS 원화 = Σ 스케줄 × (헤지비율 × 헤지환율 + (1−헤지비율) × 건조시점 환율[원/달러(평균)]) — estimate · 통화선도 공시 없음 → HEDGE 70% 가정(레퍼런스 SLS 시트 HEDGE 행은 미포 65%·삼성重 100% — 그 사이에 둔 설정값). hedge_rate 는 계약별 수주시점 환율로 대체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정기보고서 평균 약정환율(measured) — 비어 있으면 계약별 수주시점 환율(fx_at_sign)을 쓴다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HD한국조선해양(연)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14562196.01</v>
      </c>
      <c r="F5" s="37" t="n">
        <v>14562196.01</v>
      </c>
      <c r="G5" s="18" t="n">
        <v>15055674.2</v>
      </c>
      <c r="H5" s="18" t="n">
        <v>16265600.35</v>
      </c>
      <c r="I5" s="18" t="n">
        <v>18102305.64</v>
      </c>
      <c r="J5" s="18" t="n">
        <v>15775914.22</v>
      </c>
      <c r="K5" s="37" t="n">
        <v>15775914.22</v>
      </c>
      <c r="L5" s="18" t="n">
        <v>16219643.52</v>
      </c>
      <c r="M5" s="18" t="n">
        <v>17381113.45</v>
      </c>
      <c r="N5" s="18" t="n">
        <v>18479102.48</v>
      </c>
      <c r="O5" s="18" t="n">
        <v>17735127.27</v>
      </c>
      <c r="P5" s="37" t="n">
        <v>17735127.27</v>
      </c>
      <c r="Q5" s="18" t="n">
        <v>17895153.07</v>
      </c>
      <c r="R5" s="18" t="n">
        <v>18247450.62</v>
      </c>
      <c r="S5" s="18" t="n">
        <v>17264687.82</v>
      </c>
      <c r="T5" s="18" t="n">
        <v>20431356.43</v>
      </c>
      <c r="U5" s="37" t="n">
        <v>20431356.43</v>
      </c>
      <c r="V5" s="18" t="n">
        <v>23289376.93</v>
      </c>
      <c r="W5" s="18" t="n">
        <v>22015176.07</v>
      </c>
      <c r="X5" s="18" t="n">
        <v>23057853.13</v>
      </c>
      <c r="Y5" s="18" t="n">
        <v>23424477.84</v>
      </c>
      <c r="Z5" s="37" t="n">
        <v>23424477.84</v>
      </c>
      <c r="AA5" s="18" t="n">
        <v>25710146.31</v>
      </c>
      <c r="AB5" s="19" t="n">
        <v>30170024.39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4567468.1</v>
      </c>
      <c r="F6" s="37" t="n">
        <v>4567468.1</v>
      </c>
      <c r="G6" s="18" t="n">
        <v>4532301.46</v>
      </c>
      <c r="H6" s="18" t="n">
        <v>4752961.08</v>
      </c>
      <c r="I6" s="18" t="n">
        <v>3634472.16</v>
      </c>
      <c r="J6" s="18" t="n">
        <v>2697222.87</v>
      </c>
      <c r="K6" s="37" t="n">
        <v>2697222.87</v>
      </c>
      <c r="L6" s="18" t="n">
        <v>2852572.62</v>
      </c>
      <c r="M6" s="18" t="n">
        <v>4270309.74</v>
      </c>
      <c r="N6" s="18" t="n">
        <v>4035501.79</v>
      </c>
      <c r="O6" s="18" t="n">
        <v>3018390.96</v>
      </c>
      <c r="P6" s="37" t="n">
        <v>3018390.96</v>
      </c>
      <c r="Q6" s="18" t="n">
        <v>3669603.92</v>
      </c>
      <c r="R6" s="18" t="n">
        <v>3397850.26</v>
      </c>
      <c r="S6" s="18" t="n">
        <v>2543376.72</v>
      </c>
      <c r="T6" s="18" t="n">
        <v>3717318.96</v>
      </c>
      <c r="U6" s="37" t="n">
        <v>3717318.96</v>
      </c>
      <c r="V6" s="18" t="n">
        <v>5600443.11</v>
      </c>
      <c r="W6" s="18" t="n">
        <v>5513834.05</v>
      </c>
      <c r="X6" s="18" t="n">
        <v>4709370.94</v>
      </c>
      <c r="Y6" s="18" t="n">
        <v>3742015.55</v>
      </c>
      <c r="Z6" s="37" t="n">
        <v>3742015.55</v>
      </c>
      <c r="AA6" s="18" t="n">
        <v>6468672.77</v>
      </c>
      <c r="AB6" s="19" t="n">
        <v>10995975.46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660027.77</v>
      </c>
      <c r="F7" s="37" t="n">
        <v>660027.77</v>
      </c>
      <c r="G7" s="18" t="n">
        <v>754500.51</v>
      </c>
      <c r="H7" s="18" t="n">
        <v>628361.61</v>
      </c>
      <c r="I7" s="18" t="n">
        <v>1443705.98</v>
      </c>
      <c r="J7" s="18" t="n">
        <v>1304041.47</v>
      </c>
      <c r="K7" s="37" t="n">
        <v>1304041.47</v>
      </c>
      <c r="L7" s="18" t="n">
        <v>1170875.3</v>
      </c>
      <c r="M7" s="18" t="n">
        <v>341542.35</v>
      </c>
      <c r="N7" s="18" t="n">
        <v>1057491.3</v>
      </c>
      <c r="O7" s="18" t="n">
        <v>1595618.68</v>
      </c>
      <c r="P7" s="37" t="n">
        <v>1595618.68</v>
      </c>
      <c r="Q7" s="18" t="n">
        <v>983649.16</v>
      </c>
      <c r="R7" s="18" t="n">
        <v>1815275.13</v>
      </c>
      <c r="S7" s="18" t="n">
        <v>1764395.11</v>
      </c>
      <c r="T7" s="18" t="n">
        <v>1922179.18</v>
      </c>
      <c r="U7" s="37" t="n">
        <v>1922179.18</v>
      </c>
      <c r="V7" s="18" t="n">
        <v>2454897.54</v>
      </c>
      <c r="W7" s="18" t="n">
        <v>2705949.56</v>
      </c>
      <c r="Y7" s="18" t="n">
        <v>4434581.43</v>
      </c>
      <c r="Z7" s="37" t="n">
        <v>4434581.43</v>
      </c>
      <c r="AA7" s="18" t="n">
        <v>3267664.3</v>
      </c>
      <c r="AB7" s="19" t="n">
        <v>2596829.43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848060.65</v>
      </c>
      <c r="F8" s="37" t="n">
        <v>848060.65</v>
      </c>
      <c r="G8" s="18" t="n">
        <v>1023391.67</v>
      </c>
      <c r="H8" s="18" t="n">
        <v>1212233.14</v>
      </c>
      <c r="I8" s="18" t="n">
        <v>2701185.81</v>
      </c>
      <c r="J8" s="18" t="n">
        <v>1818717.99</v>
      </c>
      <c r="K8" s="37" t="n">
        <v>1818717.99</v>
      </c>
      <c r="L8" s="18" t="n">
        <v>1747798.92</v>
      </c>
      <c r="M8" s="18" t="n">
        <v>908706.84</v>
      </c>
      <c r="N8" s="18" t="n">
        <v>1735702.69</v>
      </c>
      <c r="O8" s="18" t="n">
        <v>2025013.68</v>
      </c>
      <c r="P8" s="37" t="n">
        <v>2025013.68</v>
      </c>
      <c r="Q8" s="18" t="n">
        <v>1570842.62</v>
      </c>
      <c r="R8" s="18" t="n">
        <v>2558446.46</v>
      </c>
      <c r="S8" s="18" t="n">
        <v>2204129.96</v>
      </c>
      <c r="T8" s="18" t="n">
        <v>3115653.59</v>
      </c>
      <c r="U8" s="37" t="n">
        <v>3115653.59</v>
      </c>
      <c r="V8" s="18" t="n">
        <v>3472603.21</v>
      </c>
      <c r="W8" s="18" t="n">
        <v>3153286.33</v>
      </c>
      <c r="Y8" s="18" t="n">
        <v>5125707.97</v>
      </c>
      <c r="Z8" s="37" t="n">
        <v>5125707.97</v>
      </c>
      <c r="AA8" s="18" t="n">
        <v>4427782.28</v>
      </c>
      <c r="AB8" s="19" t="n">
        <v>3984024.05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1067697.98</v>
      </c>
      <c r="F9" s="37" t="n">
        <v>1067697.98</v>
      </c>
      <c r="G9" s="18" t="n">
        <v>1055271</v>
      </c>
      <c r="H9" s="18" t="n">
        <v>1573081.98</v>
      </c>
      <c r="I9" s="18" t="n">
        <v>1344506.25</v>
      </c>
      <c r="J9" s="18" t="n">
        <v>1026706.27</v>
      </c>
      <c r="K9" s="37" t="n">
        <v>1026706.27</v>
      </c>
      <c r="L9" s="18" t="n">
        <v>1132897.11</v>
      </c>
      <c r="M9" s="18" t="n">
        <v>1112498.87</v>
      </c>
      <c r="N9" s="18" t="n">
        <v>1320685.22</v>
      </c>
      <c r="O9" s="18" t="n">
        <v>1460128.95</v>
      </c>
      <c r="P9" s="37" t="n">
        <v>1460128.95</v>
      </c>
      <c r="Q9" s="18" t="n">
        <v>1444969.52</v>
      </c>
      <c r="R9" s="18" t="n">
        <v>1458522.79</v>
      </c>
      <c r="S9" s="18" t="n">
        <v>1555797</v>
      </c>
      <c r="T9" s="18" t="n">
        <v>1640342.82</v>
      </c>
      <c r="U9" s="37" t="n">
        <v>1640342.82</v>
      </c>
      <c r="V9" s="18" t="n">
        <v>2061517.38</v>
      </c>
      <c r="W9" s="18" t="n">
        <v>1643448.52</v>
      </c>
      <c r="Y9" s="18" t="n">
        <v>1812029.59</v>
      </c>
      <c r="Z9" s="37" t="n">
        <v>1812029.59</v>
      </c>
      <c r="AA9" s="18" t="n">
        <v>1768844.43</v>
      </c>
      <c r="AB9" s="19" t="n">
        <v>1829787.36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5502878.41</v>
      </c>
      <c r="F10" s="37" t="n">
        <v>5502878.41</v>
      </c>
      <c r="G10" s="18" t="n">
        <v>5712921.81</v>
      </c>
      <c r="H10" s="18" t="n">
        <v>5787753.48</v>
      </c>
      <c r="I10" s="18" t="n">
        <v>6879969.6</v>
      </c>
      <c r="J10" s="18" t="n">
        <v>6435957.22</v>
      </c>
      <c r="K10" s="37" t="n">
        <v>6435957.22</v>
      </c>
      <c r="L10" s="18" t="n">
        <v>6404863.48</v>
      </c>
      <c r="M10" s="18" t="n">
        <v>7005608</v>
      </c>
      <c r="N10" s="18" t="n">
        <v>7080262.73</v>
      </c>
      <c r="O10" s="18" t="n">
        <v>7156818.35</v>
      </c>
      <c r="P10" s="37" t="n">
        <v>7156818.35</v>
      </c>
      <c r="Q10" s="18" t="n">
        <v>6962382.63</v>
      </c>
      <c r="R10" s="18" t="n">
        <v>6693699.43</v>
      </c>
      <c r="S10" s="18" t="n">
        <v>6527921.67</v>
      </c>
      <c r="T10" s="18" t="n">
        <v>7503003.89</v>
      </c>
      <c r="U10" s="37" t="n">
        <v>7503003.89</v>
      </c>
      <c r="V10" s="18" t="n">
        <v>7050616.56</v>
      </c>
      <c r="W10" s="18" t="n">
        <v>6667632.17</v>
      </c>
      <c r="Y10" s="18" t="n">
        <v>7738830.38</v>
      </c>
      <c r="Z10" s="37" t="n">
        <v>7738830.38</v>
      </c>
      <c r="AA10" s="18" t="n">
        <v>8059753.99</v>
      </c>
      <c r="AB10" s="19" t="n">
        <v>8242619.98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1554136.72</v>
      </c>
      <c r="F11" s="37" t="n">
        <v>1554136.72</v>
      </c>
      <c r="G11" s="18" t="n">
        <v>1626869.89</v>
      </c>
      <c r="H11" s="18" t="n">
        <v>1750576.78</v>
      </c>
      <c r="I11" s="18" t="n">
        <v>2176607.05</v>
      </c>
      <c r="J11" s="18" t="n">
        <v>2203316.63</v>
      </c>
      <c r="K11" s="37" t="n">
        <v>2203316.63</v>
      </c>
      <c r="L11" s="18" t="n">
        <v>2229702.42</v>
      </c>
      <c r="M11" s="18" t="n">
        <v>2141558.99</v>
      </c>
      <c r="N11" s="18" t="n">
        <v>2174245.41</v>
      </c>
      <c r="O11" s="18" t="n">
        <v>2005664.72</v>
      </c>
      <c r="P11" s="37" t="n">
        <v>2005664.72</v>
      </c>
      <c r="Q11" s="18" t="n">
        <v>2216194</v>
      </c>
      <c r="R11" s="18" t="n">
        <v>2128191.8</v>
      </c>
      <c r="S11" s="18" t="n">
        <v>2337487.48</v>
      </c>
      <c r="T11" s="18" t="n">
        <v>2232067.01</v>
      </c>
      <c r="U11" s="37" t="n">
        <v>2232067.01</v>
      </c>
      <c r="V11" s="18" t="n">
        <v>2368177.55</v>
      </c>
      <c r="W11" s="18" t="n">
        <v>2477601.5</v>
      </c>
      <c r="Y11" s="18" t="n">
        <v>2765843.22</v>
      </c>
      <c r="Z11" s="37" t="n">
        <v>2765843.22</v>
      </c>
      <c r="AA11" s="18" t="n">
        <v>2943570.71</v>
      </c>
      <c r="AB11" s="19" t="n">
        <v>3168879.26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유동파생상품자산</t>
        </is>
      </c>
      <c r="E12" s="18" t="n">
        <v>14528.49</v>
      </c>
      <c r="F12" s="37" t="n">
        <v>14528.49</v>
      </c>
      <c r="G12" s="18" t="n">
        <v>40303.62</v>
      </c>
      <c r="H12" s="18" t="n">
        <v>69900.57000000001</v>
      </c>
      <c r="I12" s="18" t="n">
        <v>131143.12</v>
      </c>
      <c r="J12" s="18" t="n">
        <v>169837.01</v>
      </c>
      <c r="K12" s="37" t="n">
        <v>169837.01</v>
      </c>
      <c r="L12" s="18" t="n">
        <v>130245.86</v>
      </c>
      <c r="M12" s="18" t="n">
        <v>122965.27</v>
      </c>
      <c r="N12" s="18" t="n">
        <v>112831.45</v>
      </c>
      <c r="O12" s="18" t="n">
        <v>143267.3</v>
      </c>
      <c r="P12" s="37" t="n">
        <v>143267.3</v>
      </c>
      <c r="Q12" s="18" t="n">
        <v>36191.34</v>
      </c>
      <c r="R12" s="18" t="n">
        <v>5407.3</v>
      </c>
      <c r="S12" s="18" t="n">
        <v>98613.00999999999</v>
      </c>
      <c r="T12" s="18" t="n">
        <v>1162.39</v>
      </c>
      <c r="U12" s="37" t="n">
        <v>1162.39</v>
      </c>
      <c r="V12" s="18" t="n">
        <v>2661.44</v>
      </c>
      <c r="W12" s="18" t="n">
        <v>93986.32000000001</v>
      </c>
      <c r="Y12" s="18" t="n">
        <v>13602.67</v>
      </c>
      <c r="Z12" s="37" t="n">
        <v>13602.67</v>
      </c>
      <c r="AA12" s="18" t="n">
        <v>89255.86</v>
      </c>
      <c r="AB12" s="19" t="n">
        <v>99637.62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유동확정계약자산</t>
        </is>
      </c>
      <c r="E13" s="18" t="n">
        <v>173504.39</v>
      </c>
      <c r="F13" s="37" t="n">
        <v>173504.39</v>
      </c>
      <c r="G13" s="18" t="n">
        <v>228587.54</v>
      </c>
      <c r="H13" s="18" t="n">
        <v>513970.96</v>
      </c>
      <c r="I13" s="18" t="n">
        <v>1126336.71</v>
      </c>
      <c r="J13" s="18" t="n">
        <v>344839.51</v>
      </c>
      <c r="K13" s="37" t="n">
        <v>344839.51</v>
      </c>
      <c r="L13" s="18" t="n">
        <v>446677.76</v>
      </c>
      <c r="M13" s="18" t="n">
        <v>444199.22</v>
      </c>
      <c r="N13" s="18" t="n">
        <v>565379.9399999999</v>
      </c>
      <c r="O13" s="18" t="n">
        <v>286127.7</v>
      </c>
      <c r="P13" s="37" t="n">
        <v>286127.7</v>
      </c>
      <c r="Q13" s="18" t="n">
        <v>551002.12</v>
      </c>
      <c r="R13" s="18" t="n">
        <v>737764.03</v>
      </c>
      <c r="S13" s="18" t="n">
        <v>341121.84</v>
      </c>
      <c r="T13" s="18" t="n">
        <v>1192312.02</v>
      </c>
      <c r="U13" s="37" t="n">
        <v>1192312.02</v>
      </c>
      <c r="V13" s="18" t="n">
        <v>1015044.23</v>
      </c>
      <c r="W13" s="18" t="n">
        <v>353350.45</v>
      </c>
      <c r="Y13" s="18" t="n">
        <v>677523.87</v>
      </c>
      <c r="Z13" s="37" t="n">
        <v>677523.87</v>
      </c>
      <c r="AA13" s="18" t="n">
        <v>1070862.12</v>
      </c>
      <c r="AB13" s="19" t="n">
        <v>1287557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7762.97</v>
      </c>
      <c r="F14" s="37" t="n">
        <v>7762.97</v>
      </c>
      <c r="G14" s="18" t="n">
        <v>9212.23</v>
      </c>
      <c r="H14" s="18" t="n">
        <v>3680.53</v>
      </c>
      <c r="I14" s="18" t="n">
        <v>6557.67</v>
      </c>
      <c r="J14" s="18" t="n">
        <v>12589.48</v>
      </c>
      <c r="K14" s="37" t="n">
        <v>12589.48</v>
      </c>
      <c r="L14" s="18" t="n">
        <v>18492.13</v>
      </c>
      <c r="M14" s="18" t="n">
        <v>12413.62</v>
      </c>
      <c r="N14" s="18" t="n">
        <v>18160.32</v>
      </c>
      <c r="O14" s="18" t="n">
        <v>22350.22</v>
      </c>
      <c r="P14" s="37" t="n">
        <v>22350.22</v>
      </c>
      <c r="Q14" s="18" t="n">
        <v>29131.28</v>
      </c>
      <c r="R14" s="18" t="n">
        <v>7152.74</v>
      </c>
      <c r="S14" s="18" t="n">
        <v>8924.700000000001</v>
      </c>
      <c r="T14" s="18" t="n">
        <v>6101.77</v>
      </c>
      <c r="U14" s="37" t="n">
        <v>6101.77</v>
      </c>
      <c r="V14" s="18" t="n">
        <v>6733.31</v>
      </c>
      <c r="W14" s="18" t="n">
        <v>1280.41</v>
      </c>
      <c r="X14" s="18" t="n">
        <v>1801.9</v>
      </c>
      <c r="Y14" s="18" t="n">
        <v>657.63</v>
      </c>
      <c r="Z14" s="37" t="n">
        <v>657.63</v>
      </c>
      <c r="AA14" s="18" t="n">
        <v>937.65</v>
      </c>
      <c r="AB14" s="19" t="n">
        <v>4935.35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매각예정비유동자산및처분자산</t>
        </is>
      </c>
      <c r="E15" s="18" t="n">
        <v>13082.98</v>
      </c>
      <c r="F15" s="37" t="n">
        <v>13082.98</v>
      </c>
      <c r="K15" s="9" t="n"/>
      <c r="O15" s="18" t="n">
        <v>0</v>
      </c>
      <c r="P15" s="37" t="n">
        <v>0</v>
      </c>
      <c r="T15" s="18" t="n">
        <v>63000.19</v>
      </c>
      <c r="U15" s="37" t="n">
        <v>63000.19</v>
      </c>
      <c r="V15" s="18" t="n">
        <v>0</v>
      </c>
      <c r="W15" s="18" t="n">
        <v>4626.85</v>
      </c>
      <c r="X15" s="18" t="n">
        <v>4626.85</v>
      </c>
      <c r="Y15" s="18" t="n">
        <v>0</v>
      </c>
      <c r="Z15" s="37" t="n">
        <v>0</v>
      </c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기타유동자산</t>
        </is>
      </c>
      <c r="E16" s="18" t="n">
        <v>1001108.21</v>
      </c>
      <c r="F16" s="37" t="n">
        <v>1001108.21</v>
      </c>
      <c r="G16" s="18" t="n">
        <v>1095706.15</v>
      </c>
      <c r="H16" s="18" t="n">
        <v>1185313.35</v>
      </c>
      <c r="I16" s="18" t="n">
        <v>1359007.11</v>
      </c>
      <c r="J16" s="18" t="n">
        <v>1581403.78</v>
      </c>
      <c r="K16" s="37" t="n">
        <v>1581403.78</v>
      </c>
      <c r="L16" s="18" t="n">
        <v>1833316.84</v>
      </c>
      <c r="M16" s="18" t="n">
        <v>1930017.4</v>
      </c>
      <c r="N16" s="18" t="n">
        <v>2114544.33</v>
      </c>
      <c r="O16" s="18" t="n">
        <v>2046760.37</v>
      </c>
      <c r="P16" s="37" t="n">
        <v>2046760.37</v>
      </c>
      <c r="Q16" s="18" t="n">
        <v>2002029.1</v>
      </c>
      <c r="R16" s="18" t="n">
        <v>2003587.14</v>
      </c>
      <c r="S16" s="18" t="n">
        <v>2087050.28</v>
      </c>
      <c r="T16" s="18" t="n">
        <v>2153868.21</v>
      </c>
      <c r="U16" s="37" t="n">
        <v>2153868.21</v>
      </c>
      <c r="V16" s="18" t="n">
        <v>2729285.81</v>
      </c>
      <c r="W16" s="18" t="n">
        <v>2553466.25</v>
      </c>
      <c r="X16" s="18" t="n">
        <v>2296629.11</v>
      </c>
      <c r="Y16" s="18" t="n">
        <v>2239393.5</v>
      </c>
      <c r="Z16" s="37" t="n">
        <v>2239393.5</v>
      </c>
      <c r="AA16" s="18" t="n">
        <v>2040584.48</v>
      </c>
      <c r="AB16" s="19" t="n">
        <v>1943802.93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12730897.96</v>
      </c>
      <c r="F17" s="37" t="n">
        <v>12730897.96</v>
      </c>
      <c r="G17" s="18" t="n">
        <v>12885644.52</v>
      </c>
      <c r="H17" s="18" t="n">
        <v>13656116.81</v>
      </c>
      <c r="I17" s="18" t="n">
        <v>15015789.98</v>
      </c>
      <c r="J17" s="18" t="n">
        <v>14107562.08</v>
      </c>
      <c r="K17" s="37" t="n">
        <v>14107562.08</v>
      </c>
      <c r="L17" s="18" t="n">
        <v>14226195.29</v>
      </c>
      <c r="M17" s="18" t="n">
        <v>14255866.11</v>
      </c>
      <c r="N17" s="18" t="n">
        <v>14754484.04</v>
      </c>
      <c r="O17" s="18" t="n">
        <v>14507440.91</v>
      </c>
      <c r="P17" s="37" t="n">
        <v>14507440.91</v>
      </c>
      <c r="Q17" s="18" t="n">
        <v>14614724.57</v>
      </c>
      <c r="R17" s="18" t="n">
        <v>14898039.29</v>
      </c>
      <c r="S17" s="18" t="n">
        <v>14761399.36</v>
      </c>
      <c r="T17" s="18" t="n">
        <v>16287780.99</v>
      </c>
      <c r="U17" s="37" t="n">
        <v>16287780.99</v>
      </c>
      <c r="V17" s="18" t="n">
        <v>16198822.48</v>
      </c>
      <c r="W17" s="18" t="n">
        <v>15258250.42</v>
      </c>
      <c r="X17" s="18" t="n">
        <v>15369659.52</v>
      </c>
      <c r="Y17" s="18" t="n">
        <v>16117735.45</v>
      </c>
      <c r="Z17" s="37" t="n">
        <v>16117735.45</v>
      </c>
      <c r="AA17" s="18" t="n">
        <v>16494705.35</v>
      </c>
      <c r="AB17" s="19" t="n">
        <v>16554812.38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321972.07</v>
      </c>
      <c r="F18" s="37" t="n">
        <v>321972.07</v>
      </c>
      <c r="G18" s="18" t="n">
        <v>282267.2</v>
      </c>
      <c r="H18" s="18" t="n">
        <v>281742.73</v>
      </c>
      <c r="I18" s="18" t="n">
        <v>281165.27</v>
      </c>
      <c r="J18" s="18" t="n">
        <v>269723.77</v>
      </c>
      <c r="K18" s="37" t="n">
        <v>269723.77</v>
      </c>
      <c r="L18" s="18" t="n">
        <v>267612.72</v>
      </c>
      <c r="M18" s="18" t="n">
        <v>251483.65</v>
      </c>
      <c r="N18" s="18" t="n">
        <v>264976.49</v>
      </c>
      <c r="O18" s="18" t="n">
        <v>308959.16</v>
      </c>
      <c r="P18" s="37" t="n">
        <v>308959.16</v>
      </c>
      <c r="Q18" s="18" t="n">
        <v>307392.06</v>
      </c>
      <c r="R18" s="18" t="n">
        <v>315049.24</v>
      </c>
      <c r="S18" s="18" t="n">
        <v>298341.77</v>
      </c>
      <c r="T18" s="18" t="n">
        <v>256615.05</v>
      </c>
      <c r="U18" s="37" t="n">
        <v>256615.05</v>
      </c>
      <c r="V18" s="18" t="n">
        <v>255282.18</v>
      </c>
      <c r="W18" s="18" t="n">
        <v>202951.54</v>
      </c>
      <c r="X18" s="18" t="n">
        <v>205915.58</v>
      </c>
      <c r="Y18" s="18" t="n">
        <v>206177.77</v>
      </c>
      <c r="Z18" s="37" t="n">
        <v>206177.77</v>
      </c>
      <c r="AA18" s="18" t="n">
        <v>210058.58</v>
      </c>
      <c r="AB18" s="19" t="n">
        <v>241306.88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801835.8</v>
      </c>
      <c r="F19" s="37" t="n">
        <v>801835.8</v>
      </c>
      <c r="G19" s="18" t="n">
        <v>802175.67</v>
      </c>
      <c r="H19" s="18" t="n">
        <v>1408967.64</v>
      </c>
      <c r="I19" s="18" t="n">
        <v>2676341.76</v>
      </c>
      <c r="J19" s="18" t="n">
        <v>1152709.58</v>
      </c>
      <c r="K19" s="37" t="n">
        <v>1152709.58</v>
      </c>
      <c r="L19" s="18" t="n">
        <v>1197562.27</v>
      </c>
      <c r="M19" s="18" t="n">
        <v>1102008.47</v>
      </c>
      <c r="N19" s="18" t="n">
        <v>1245718.74</v>
      </c>
      <c r="O19" s="18" t="n">
        <v>970881.11</v>
      </c>
      <c r="P19" s="37" t="n">
        <v>970881.11</v>
      </c>
      <c r="Q19" s="18" t="n">
        <v>1076455.84</v>
      </c>
      <c r="R19" s="18" t="n">
        <v>1361295.75</v>
      </c>
      <c r="S19" s="18" t="n">
        <v>872964.91</v>
      </c>
      <c r="T19" s="18" t="n">
        <v>2164452.71</v>
      </c>
      <c r="U19" s="37" t="n">
        <v>2164452.71</v>
      </c>
      <c r="V19" s="18" t="n">
        <v>2109994.44</v>
      </c>
      <c r="W19" s="18" t="n">
        <v>1034095.44</v>
      </c>
      <c r="X19" s="18" t="n">
        <v>1261608.76</v>
      </c>
      <c r="Y19" s="18" t="n">
        <v>1591674.27</v>
      </c>
      <c r="Z19" s="37" t="n">
        <v>1591674.27</v>
      </c>
      <c r="AA19" s="18" t="n">
        <v>2312047.53</v>
      </c>
      <c r="AB19" s="19" t="n">
        <v>2393703.13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장기금융자산</t>
        </is>
      </c>
      <c r="E20" s="18" t="n">
        <v>194920.08</v>
      </c>
      <c r="F20" s="37" t="n">
        <v>194920.08</v>
      </c>
      <c r="G20" s="18" t="n">
        <v>235680.99</v>
      </c>
      <c r="H20" s="18" t="n">
        <v>208361.52</v>
      </c>
      <c r="I20" s="18" t="n">
        <v>177758.22</v>
      </c>
      <c r="J20" s="18" t="n">
        <v>201294.94</v>
      </c>
      <c r="K20" s="37" t="n">
        <v>201294.94</v>
      </c>
      <c r="L20" s="18" t="n">
        <v>215008.15</v>
      </c>
      <c r="M20" s="18" t="n">
        <v>237145.51</v>
      </c>
      <c r="N20" s="18" t="n">
        <v>219067.27</v>
      </c>
      <c r="O20" s="18" t="n">
        <v>232714.3</v>
      </c>
      <c r="P20" s="37" t="n">
        <v>232714.3</v>
      </c>
      <c r="Q20" s="18" t="n">
        <v>137208.8</v>
      </c>
      <c r="R20" s="18" t="n">
        <v>133134.52</v>
      </c>
      <c r="S20" s="18" t="n">
        <v>138455.85</v>
      </c>
      <c r="T20" s="18" t="n">
        <v>141591.46</v>
      </c>
      <c r="U20" s="37" t="n">
        <v>141591.46</v>
      </c>
      <c r="V20" s="18" t="n">
        <v>141428.37</v>
      </c>
      <c r="W20" s="18" t="n">
        <v>147247.45</v>
      </c>
      <c r="X20" s="18" t="n">
        <v>126454.09</v>
      </c>
      <c r="Y20" s="18" t="n">
        <v>139177.02</v>
      </c>
      <c r="Z20" s="37" t="n">
        <v>139177.02</v>
      </c>
      <c r="AA20" s="18" t="n">
        <v>145896.86</v>
      </c>
      <c r="AB20" s="19" t="n">
        <v>148784.66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장기매출채권및기타채권</t>
        </is>
      </c>
      <c r="E21" s="18" t="n">
        <v>150019.08</v>
      </c>
      <c r="F21" s="37" t="n">
        <v>150019.08</v>
      </c>
      <c r="G21" s="18" t="n">
        <v>195653.54</v>
      </c>
      <c r="H21" s="18" t="n">
        <v>236188.38</v>
      </c>
      <c r="I21" s="18" t="n">
        <v>313969.69</v>
      </c>
      <c r="J21" s="18" t="n">
        <v>250490.03</v>
      </c>
      <c r="K21" s="37" t="n">
        <v>250490.03</v>
      </c>
      <c r="L21" s="18" t="n">
        <v>285803.88</v>
      </c>
      <c r="M21" s="18" t="n">
        <v>280599.39</v>
      </c>
      <c r="N21" s="18" t="n">
        <v>302394.19</v>
      </c>
      <c r="O21" s="18" t="n">
        <v>252258.03</v>
      </c>
      <c r="P21" s="37" t="n">
        <v>252258.03</v>
      </c>
      <c r="Q21" s="18" t="n">
        <v>268320.59</v>
      </c>
      <c r="R21" s="18" t="n">
        <v>257891.23</v>
      </c>
      <c r="S21" s="18" t="n">
        <v>225234.83</v>
      </c>
      <c r="T21" s="18" t="n">
        <v>192697.65</v>
      </c>
      <c r="U21" s="37" t="n">
        <v>192697.65</v>
      </c>
      <c r="V21" s="18" t="n">
        <v>161356.45</v>
      </c>
      <c r="W21" s="18" t="n">
        <v>143599.44</v>
      </c>
      <c r="X21" s="18" t="n">
        <v>161208.64</v>
      </c>
      <c r="Y21" s="18" t="n">
        <v>119081.38</v>
      </c>
      <c r="Z21" s="37" t="n">
        <v>119081.38</v>
      </c>
      <c r="AA21" s="18" t="n">
        <v>117875.42</v>
      </c>
      <c r="AB21" s="19" t="n">
        <v>119370.5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231498.68</v>
      </c>
      <c r="F22" s="37" t="n">
        <v>231498.68</v>
      </c>
      <c r="G22" s="18" t="n">
        <v>225622.29</v>
      </c>
      <c r="H22" s="18" t="n">
        <v>224549.19</v>
      </c>
      <c r="I22" s="18" t="n">
        <v>223488.64</v>
      </c>
      <c r="J22" s="18" t="n">
        <v>222373.89</v>
      </c>
      <c r="K22" s="37" t="n">
        <v>222373.89</v>
      </c>
      <c r="L22" s="18" t="n">
        <v>221330.1</v>
      </c>
      <c r="M22" s="18" t="n">
        <v>220618.67</v>
      </c>
      <c r="N22" s="18" t="n">
        <v>219477.79</v>
      </c>
      <c r="O22" s="18" t="n">
        <v>218330.34</v>
      </c>
      <c r="P22" s="37" t="n">
        <v>218330.34</v>
      </c>
      <c r="Q22" s="18" t="n">
        <v>217398.32</v>
      </c>
      <c r="R22" s="18" t="n">
        <v>218390.88</v>
      </c>
      <c r="S22" s="18" t="n">
        <v>303038.83</v>
      </c>
      <c r="T22" s="18" t="n">
        <v>216566.15</v>
      </c>
      <c r="U22" s="37" t="n">
        <v>216566.15</v>
      </c>
      <c r="V22" s="18" t="n">
        <v>215397.29</v>
      </c>
      <c r="W22" s="18" t="n">
        <v>209622.31</v>
      </c>
      <c r="X22" s="18" t="n">
        <v>208545.68</v>
      </c>
      <c r="Y22" s="18" t="n">
        <v>130204.19</v>
      </c>
      <c r="Z22" s="37" t="n">
        <v>130204.19</v>
      </c>
      <c r="AA22" s="18" t="n">
        <v>129671.2</v>
      </c>
      <c r="AB22" s="19" t="n">
        <v>129057.01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유형자산</t>
        </is>
      </c>
      <c r="E23" s="18" t="n">
        <v>9872011.98</v>
      </c>
      <c r="F23" s="37" t="n">
        <v>9872011.98</v>
      </c>
      <c r="G23" s="18" t="n">
        <v>9879817.15</v>
      </c>
      <c r="H23" s="18" t="n">
        <v>9957199.970000001</v>
      </c>
      <c r="I23" s="18" t="n">
        <v>10083239.17</v>
      </c>
      <c r="J23" s="18" t="n">
        <v>10143112.51</v>
      </c>
      <c r="K23" s="37" t="n">
        <v>10143112.51</v>
      </c>
      <c r="L23" s="18" t="n">
        <v>10201692.71</v>
      </c>
      <c r="M23" s="18" t="n">
        <v>10321641.76</v>
      </c>
      <c r="N23" s="18" t="n">
        <v>10432116.2</v>
      </c>
      <c r="O23" s="18" t="n">
        <v>10503503.22</v>
      </c>
      <c r="P23" s="37" t="n">
        <v>10503503.22</v>
      </c>
      <c r="Q23" s="18" t="n">
        <v>10565401.87</v>
      </c>
      <c r="R23" s="18" t="n">
        <v>10687802.23</v>
      </c>
      <c r="S23" s="18" t="n">
        <v>10912699.23</v>
      </c>
      <c r="T23" s="18" t="n">
        <v>11110889.88</v>
      </c>
      <c r="U23" s="37" t="n">
        <v>11110889.88</v>
      </c>
      <c r="V23" s="18" t="n">
        <v>11299188.83</v>
      </c>
      <c r="W23" s="18" t="n">
        <v>11703121.08</v>
      </c>
      <c r="X23" s="18" t="n">
        <v>11816084.2</v>
      </c>
      <c r="Y23" s="18" t="n">
        <v>12025454.75</v>
      </c>
      <c r="Z23" s="37" t="n">
        <v>12025454.75</v>
      </c>
      <c r="AA23" s="18" t="n">
        <v>12036471.77</v>
      </c>
      <c r="AB23" s="19" t="n">
        <v>12153874.01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사용권자산</t>
        </is>
      </c>
      <c r="E24" s="18" t="n">
        <v>51714.13</v>
      </c>
      <c r="F24" s="37" t="n">
        <v>51714.13</v>
      </c>
      <c r="G24" s="18" t="n">
        <v>51765.05</v>
      </c>
      <c r="H24" s="18" t="n">
        <v>52033.52</v>
      </c>
      <c r="I24" s="18" t="n">
        <v>50187.03</v>
      </c>
      <c r="J24" s="18" t="n">
        <v>108493.82</v>
      </c>
      <c r="K24" s="37" t="n">
        <v>108493.82</v>
      </c>
      <c r="L24" s="18" t="n">
        <v>105249.25</v>
      </c>
      <c r="M24" s="18" t="n">
        <v>101373.99</v>
      </c>
      <c r="N24" s="18" t="n">
        <v>101968.75</v>
      </c>
      <c r="O24" s="18" t="n">
        <v>100432.71</v>
      </c>
      <c r="P24" s="37" t="n">
        <v>100432.71</v>
      </c>
      <c r="Q24" s="18" t="n">
        <v>98673.55</v>
      </c>
      <c r="R24" s="18" t="n">
        <v>93883.53</v>
      </c>
      <c r="S24" s="18" t="n">
        <v>87771.75999999999</v>
      </c>
      <c r="T24" s="18" t="n">
        <v>484619.59</v>
      </c>
      <c r="U24" s="37" t="n">
        <v>484619.59</v>
      </c>
      <c r="V24" s="18" t="n">
        <v>480902.57</v>
      </c>
      <c r="W24" s="18" t="n">
        <v>443820.01</v>
      </c>
      <c r="X24" s="18" t="n">
        <v>449018.49</v>
      </c>
      <c r="Y24" s="18" t="n">
        <v>444896.48</v>
      </c>
      <c r="Z24" s="37" t="n">
        <v>444896.48</v>
      </c>
      <c r="AA24" s="18" t="n">
        <v>466872.33</v>
      </c>
      <c r="AB24" s="19" t="n">
        <v>463343.92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기타비유동자산</t>
        </is>
      </c>
      <c r="E25" s="18" t="n">
        <v>112078.03</v>
      </c>
      <c r="F25" s="37" t="n">
        <v>112078.03</v>
      </c>
      <c r="G25" s="18" t="n">
        <v>132621.87</v>
      </c>
      <c r="H25" s="18" t="n">
        <v>132318.96</v>
      </c>
      <c r="I25" s="18" t="n">
        <v>107703.57</v>
      </c>
      <c r="J25" s="18" t="n">
        <v>674090.26</v>
      </c>
      <c r="K25" s="37" t="n">
        <v>674090.26</v>
      </c>
      <c r="L25" s="18" t="n">
        <v>653237.61</v>
      </c>
      <c r="M25" s="18" t="n">
        <v>665461.79</v>
      </c>
      <c r="N25" s="18" t="n">
        <v>649765.75</v>
      </c>
      <c r="O25" s="18" t="n">
        <v>646909.4</v>
      </c>
      <c r="P25" s="37" t="n">
        <v>646909.4</v>
      </c>
      <c r="Q25" s="18" t="n">
        <v>620001.9</v>
      </c>
      <c r="R25" s="18" t="n">
        <v>623381.95</v>
      </c>
      <c r="S25" s="18" t="n">
        <v>604777.8</v>
      </c>
      <c r="T25" s="18" t="n">
        <v>843653.05</v>
      </c>
      <c r="U25" s="37" t="n">
        <v>843653.05</v>
      </c>
      <c r="V25" s="18" t="n">
        <v>790617.88</v>
      </c>
      <c r="W25" s="18" t="n">
        <v>719843.1800000001</v>
      </c>
      <c r="X25" s="18" t="n">
        <v>692160.01</v>
      </c>
      <c r="Y25" s="18" t="n">
        <v>1012788.02</v>
      </c>
      <c r="Z25" s="37" t="n">
        <v>1012788.02</v>
      </c>
      <c r="AA25" s="18" t="n">
        <v>1003419.38</v>
      </c>
      <c r="AB25" s="19" t="n">
        <v>973342.54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무형자산</t>
        </is>
      </c>
      <c r="E26" s="18" t="n">
        <v>133535.87</v>
      </c>
      <c r="F26" s="37" t="n">
        <v>133535.87</v>
      </c>
      <c r="G26" s="18" t="n">
        <v>136254.92</v>
      </c>
      <c r="H26" s="18" t="n">
        <v>138643.79</v>
      </c>
      <c r="I26" s="18" t="n">
        <v>149354.67</v>
      </c>
      <c r="J26" s="18" t="n">
        <v>163697.16</v>
      </c>
      <c r="K26" s="37" t="n">
        <v>163697.16</v>
      </c>
      <c r="L26" s="18" t="n">
        <v>170964.98</v>
      </c>
      <c r="M26" s="18" t="n">
        <v>178935.63</v>
      </c>
      <c r="N26" s="18" t="n">
        <v>193535.36</v>
      </c>
      <c r="O26" s="18" t="n">
        <v>190793.08</v>
      </c>
      <c r="P26" s="37" t="n">
        <v>190793.08</v>
      </c>
      <c r="Q26" s="18" t="n">
        <v>195077.65</v>
      </c>
      <c r="R26" s="18" t="n">
        <v>201972.64</v>
      </c>
      <c r="S26" s="18" t="n">
        <v>322022.47</v>
      </c>
      <c r="T26" s="18" t="n">
        <v>374650.95</v>
      </c>
      <c r="U26" s="37" t="n">
        <v>374650.95</v>
      </c>
      <c r="V26" s="18" t="n">
        <v>384210.88</v>
      </c>
      <c r="W26" s="18" t="n">
        <v>391727.87</v>
      </c>
      <c r="X26" s="18" t="n">
        <v>395543.78</v>
      </c>
      <c r="Y26" s="18" t="n">
        <v>519011.46</v>
      </c>
      <c r="Z26" s="37" t="n">
        <v>519011.46</v>
      </c>
      <c r="AA26" s="18" t="n">
        <v>531927.3</v>
      </c>
      <c r="AB26" s="19" t="n">
        <v>539665.72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비유동파생상품자산</t>
        </is>
      </c>
      <c r="E27" s="18" t="n">
        <v>44764.33</v>
      </c>
      <c r="F27" s="37" t="n">
        <v>44764.33</v>
      </c>
      <c r="G27" s="18" t="n">
        <v>66274.52</v>
      </c>
      <c r="H27" s="18" t="n">
        <v>89606.57000000001</v>
      </c>
      <c r="I27" s="18" t="n">
        <v>168984.18</v>
      </c>
      <c r="J27" s="18" t="n">
        <v>388939.41</v>
      </c>
      <c r="K27" s="37" t="n">
        <v>388939.41</v>
      </c>
      <c r="L27" s="18" t="n">
        <v>191238.26</v>
      </c>
      <c r="M27" s="18" t="n">
        <v>213250.54</v>
      </c>
      <c r="N27" s="18" t="n">
        <v>122759.99</v>
      </c>
      <c r="O27" s="18" t="n">
        <v>250805.05</v>
      </c>
      <c r="P27" s="37" t="n">
        <v>250805.05</v>
      </c>
      <c r="Q27" s="18" t="n">
        <v>84685.03999999999</v>
      </c>
      <c r="R27" s="18" t="n">
        <v>54772.17</v>
      </c>
      <c r="S27" s="18" t="n">
        <v>138915.2</v>
      </c>
      <c r="T27" s="18" t="n">
        <v>64055.7</v>
      </c>
      <c r="U27" s="37" t="n">
        <v>64055.7</v>
      </c>
      <c r="V27" s="18" t="n">
        <v>66263.49000000001</v>
      </c>
      <c r="W27" s="18" t="n">
        <v>316839.19</v>
      </c>
      <c r="X27" s="18" t="n">
        <v>110578.23</v>
      </c>
      <c r="Y27" s="18" t="n">
        <v>102577.92</v>
      </c>
      <c r="Z27" s="37" t="n">
        <v>102577.92</v>
      </c>
      <c r="AA27" s="18" t="n">
        <v>2877.08</v>
      </c>
      <c r="AB27" s="19" t="n">
        <v>8557.09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비유동확정계약자산</t>
        </is>
      </c>
      <c r="E28" s="18" t="n">
        <v>240179.32</v>
      </c>
      <c r="F28" s="37" t="n">
        <v>240179.32</v>
      </c>
      <c r="G28" s="18" t="n">
        <v>217952.96</v>
      </c>
      <c r="H28" s="18" t="n">
        <v>829256.8199999999</v>
      </c>
      <c r="I28" s="18" t="n">
        <v>2048434.09</v>
      </c>
      <c r="J28" s="18" t="n">
        <v>292751.46</v>
      </c>
      <c r="K28" s="37" t="n">
        <v>292751.46</v>
      </c>
      <c r="L28" s="18" t="n">
        <v>523703.14</v>
      </c>
      <c r="M28" s="18" t="n">
        <v>400128.77</v>
      </c>
      <c r="N28" s="18" t="n">
        <v>638914.99</v>
      </c>
      <c r="O28" s="18" t="n">
        <v>178402.6</v>
      </c>
      <c r="P28" s="37" t="n">
        <v>178402.6</v>
      </c>
      <c r="Q28" s="18" t="n">
        <v>547169.9399999999</v>
      </c>
      <c r="R28" s="18" t="n">
        <v>858339.8199999999</v>
      </c>
      <c r="S28" s="18" t="n">
        <v>297252.09</v>
      </c>
      <c r="T28" s="18" t="n">
        <v>1702190.5</v>
      </c>
      <c r="U28" s="37" t="n">
        <v>1702190.5</v>
      </c>
      <c r="V28" s="18" t="n">
        <v>1647020.4</v>
      </c>
      <c r="W28" s="18" t="n">
        <v>367057.26</v>
      </c>
      <c r="X28" s="18" t="n">
        <v>818660.86</v>
      </c>
      <c r="Y28" s="18" t="n">
        <v>1143741.56</v>
      </c>
      <c r="Z28" s="37" t="n">
        <v>1143741.56</v>
      </c>
      <c r="AA28" s="18" t="n">
        <v>1953215.01</v>
      </c>
      <c r="AB28" s="19" t="n">
        <v>1995054.5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이연법인세자산</t>
        </is>
      </c>
      <c r="E29" s="18" t="n">
        <v>1429918.53</v>
      </c>
      <c r="F29" s="37" t="n">
        <v>1429918.53</v>
      </c>
      <c r="G29" s="18" t="n">
        <v>1513499.1</v>
      </c>
      <c r="H29" s="18" t="n">
        <v>1558248.88</v>
      </c>
      <c r="I29" s="18" t="n">
        <v>1461692.46</v>
      </c>
      <c r="J29" s="18" t="n">
        <v>1501088.65</v>
      </c>
      <c r="K29" s="37" t="n">
        <v>1501088.65</v>
      </c>
      <c r="L29" s="18" t="n">
        <v>1495603.74</v>
      </c>
      <c r="M29" s="18" t="n">
        <v>1486600.42</v>
      </c>
      <c r="N29" s="18" t="n">
        <v>1711476.03</v>
      </c>
      <c r="O29" s="18" t="n">
        <v>1724765.73</v>
      </c>
      <c r="P29" s="37" t="n">
        <v>1724765.73</v>
      </c>
      <c r="Q29" s="18" t="n">
        <v>1672068.39</v>
      </c>
      <c r="R29" s="18" t="n">
        <v>1547304.61</v>
      </c>
      <c r="S29" s="18" t="n">
        <v>1520661.28</v>
      </c>
      <c r="T29" s="18" t="n">
        <v>1384870.59</v>
      </c>
      <c r="U29" s="37" t="n">
        <v>1384870.59</v>
      </c>
      <c r="V29" s="18" t="n">
        <v>1238056.7</v>
      </c>
      <c r="W29" s="18" t="n">
        <v>1056241.1</v>
      </c>
      <c r="X29" s="18" t="n">
        <v>834508.46</v>
      </c>
      <c r="Y29" s="18" t="n">
        <v>719521.36</v>
      </c>
      <c r="Z29" s="37" t="n">
        <v>719521.36</v>
      </c>
      <c r="AA29" s="18" t="n">
        <v>363292.75</v>
      </c>
      <c r="AB29" s="19" t="n">
        <v>245799.46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자산총계</t>
        </is>
      </c>
      <c r="E30" s="18" t="n">
        <v>27293093.98</v>
      </c>
      <c r="F30" s="37" t="n">
        <v>27293093.98</v>
      </c>
      <c r="G30" s="18" t="n">
        <v>27941318.72</v>
      </c>
      <c r="H30" s="18" t="n">
        <v>29921717.16</v>
      </c>
      <c r="I30" s="18" t="n">
        <v>33118095.62</v>
      </c>
      <c r="J30" s="18" t="n">
        <v>29883476.3</v>
      </c>
      <c r="K30" s="37" t="n">
        <v>29883476.3</v>
      </c>
      <c r="L30" s="18" t="n">
        <v>30445838.81</v>
      </c>
      <c r="M30" s="18" t="n">
        <v>31636979.56</v>
      </c>
      <c r="N30" s="18" t="n">
        <v>33233586.52</v>
      </c>
      <c r="O30" s="18" t="n">
        <v>32242568.18</v>
      </c>
      <c r="P30" s="37" t="n">
        <v>32242568.18</v>
      </c>
      <c r="Q30" s="18" t="n">
        <v>32509877.64</v>
      </c>
      <c r="R30" s="18" t="n">
        <v>33145489.91</v>
      </c>
      <c r="S30" s="18" t="n">
        <v>32026087.18</v>
      </c>
      <c r="T30" s="18" t="n">
        <v>36719137.42</v>
      </c>
      <c r="U30" s="37" t="n">
        <v>36719137.42</v>
      </c>
      <c r="V30" s="18" t="n">
        <v>39488199.41</v>
      </c>
      <c r="W30" s="18" t="n">
        <v>37273426.49</v>
      </c>
      <c r="X30" s="18" t="n">
        <v>38427512.65</v>
      </c>
      <c r="Y30" s="18" t="n">
        <v>39542213.29</v>
      </c>
      <c r="Z30" s="37" t="n">
        <v>39542213.29</v>
      </c>
      <c r="AA30" s="18" t="n">
        <v>42204851.66</v>
      </c>
      <c r="AB30" s="19" t="n">
        <v>46724836.77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유동부채</t>
        </is>
      </c>
      <c r="E31" s="18" t="n">
        <v>11286467.4</v>
      </c>
      <c r="F31" s="37" t="n">
        <v>11286467.4</v>
      </c>
      <c r="G31" s="18" t="n">
        <v>12528828.3</v>
      </c>
      <c r="H31" s="18" t="n">
        <v>14203904.43</v>
      </c>
      <c r="I31" s="18" t="n">
        <v>16128702.89</v>
      </c>
      <c r="J31" s="18" t="n">
        <v>15033482.52</v>
      </c>
      <c r="K31" s="37" t="n">
        <v>15033482.52</v>
      </c>
      <c r="L31" s="18" t="n">
        <v>15595162.79</v>
      </c>
      <c r="M31" s="18" t="n">
        <v>16383714.53</v>
      </c>
      <c r="N31" s="18" t="n">
        <v>17756633.11</v>
      </c>
      <c r="O31" s="18" t="n">
        <v>17497867.5</v>
      </c>
      <c r="P31" s="37" t="n">
        <v>17497867.5</v>
      </c>
      <c r="Q31" s="18" t="n">
        <v>17571784.16</v>
      </c>
      <c r="R31" s="18" t="n">
        <v>17402110.14</v>
      </c>
      <c r="S31" s="18" t="n">
        <v>16834084.8</v>
      </c>
      <c r="T31" s="18" t="n">
        <v>19325058.39</v>
      </c>
      <c r="U31" s="37" t="n">
        <v>19325058.39</v>
      </c>
      <c r="V31" s="18" t="n">
        <v>21521533.65</v>
      </c>
      <c r="W31" s="18" t="n">
        <v>19875202.8</v>
      </c>
      <c r="X31" s="18" t="n">
        <v>20163317.86</v>
      </c>
      <c r="Y31" s="18" t="n">
        <v>20010814.31</v>
      </c>
      <c r="Z31" s="37" t="n">
        <v>20010814.31</v>
      </c>
      <c r="AA31" s="18" t="n">
        <v>22177420.51</v>
      </c>
      <c r="AB31" s="19" t="n">
        <v>24882862.05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단기차입금</t>
        </is>
      </c>
      <c r="E32" s="18" t="n">
        <v>1219980</v>
      </c>
      <c r="F32" s="37" t="n">
        <v>1219980</v>
      </c>
      <c r="G32" s="18" t="n">
        <v>1480666</v>
      </c>
      <c r="H32" s="18" t="n">
        <v>1348213</v>
      </c>
      <c r="I32" s="18" t="n">
        <v>1305671</v>
      </c>
      <c r="J32" s="18" t="n">
        <v>2700995.39</v>
      </c>
      <c r="K32" s="37" t="n">
        <v>2700995.39</v>
      </c>
      <c r="L32" s="18" t="n">
        <v>745351</v>
      </c>
      <c r="M32" s="18" t="n">
        <v>1076178</v>
      </c>
      <c r="N32" s="18" t="n">
        <v>1306620</v>
      </c>
      <c r="O32" s="18" t="n">
        <v>926171</v>
      </c>
      <c r="P32" s="37" t="n">
        <v>926171</v>
      </c>
      <c r="Q32" s="18" t="n">
        <v>717182</v>
      </c>
      <c r="R32" s="18" t="n">
        <v>362934</v>
      </c>
      <c r="S32" s="18" t="n">
        <v>181573</v>
      </c>
      <c r="T32" s="18" t="n">
        <v>186839</v>
      </c>
      <c r="U32" s="37" t="n">
        <v>186839</v>
      </c>
      <c r="V32" s="18" t="n">
        <v>178003</v>
      </c>
      <c r="W32" s="18" t="n">
        <v>146275</v>
      </c>
      <c r="X32" s="18" t="n">
        <v>127484</v>
      </c>
      <c r="Y32" s="18" t="n">
        <v>97344</v>
      </c>
      <c r="Z32" s="37" t="n">
        <v>97344</v>
      </c>
      <c r="AA32" s="18" t="n">
        <v>983399.58</v>
      </c>
      <c r="AB32" s="19" t="n">
        <v>2927467.69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유동리스부채</t>
        </is>
      </c>
      <c r="E33" s="18" t="n">
        <v>14911.09</v>
      </c>
      <c r="F33" s="37" t="n">
        <v>14911.09</v>
      </c>
      <c r="G33" s="18" t="n">
        <v>15538.13</v>
      </c>
      <c r="H33" s="18" t="n">
        <v>14396.76</v>
      </c>
      <c r="I33" s="18" t="n">
        <v>13153.23</v>
      </c>
      <c r="J33" s="18" t="n">
        <v>31923.62</v>
      </c>
      <c r="K33" s="37" t="n">
        <v>31923.62</v>
      </c>
      <c r="L33" s="18" t="n">
        <v>33051.47</v>
      </c>
      <c r="M33" s="18" t="n">
        <v>32679.04</v>
      </c>
      <c r="N33" s="18" t="n">
        <v>33951.85</v>
      </c>
      <c r="O33" s="18" t="n">
        <v>31249.55</v>
      </c>
      <c r="P33" s="37" t="n">
        <v>31249.55</v>
      </c>
      <c r="Q33" s="18" t="n">
        <v>31358.42</v>
      </c>
      <c r="R33" s="18" t="n">
        <v>29460.6</v>
      </c>
      <c r="S33" s="18" t="n">
        <v>28669.8</v>
      </c>
      <c r="T33" s="18" t="n">
        <v>30537.73</v>
      </c>
      <c r="U33" s="37" t="n">
        <v>30537.73</v>
      </c>
      <c r="V33" s="18" t="n">
        <v>58639.65</v>
      </c>
      <c r="W33" s="18" t="n">
        <v>57090.66</v>
      </c>
      <c r="X33" s="18" t="n">
        <v>58645.72</v>
      </c>
      <c r="Y33" s="18" t="n">
        <v>55018.44</v>
      </c>
      <c r="Z33" s="37" t="n">
        <v>55018.44</v>
      </c>
      <c r="AA33" s="18" t="n">
        <v>55628.68</v>
      </c>
      <c r="AB33" s="19" t="n">
        <v>51922.4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리스부채</t>
        </is>
      </c>
      <c r="E34" s="18" t="n">
        <v>48003.2</v>
      </c>
      <c r="F34" s="37" t="n">
        <v>48003.2</v>
      </c>
      <c r="G34" s="18" t="n">
        <v>48510.88</v>
      </c>
      <c r="H34" s="18" t="n">
        <v>48271.31</v>
      </c>
      <c r="I34" s="18" t="n">
        <v>46883.15</v>
      </c>
      <c r="J34" s="18" t="n">
        <v>104024.68</v>
      </c>
      <c r="K34" s="37" t="n">
        <v>104024.68</v>
      </c>
      <c r="L34" s="18" t="n">
        <v>102104.87</v>
      </c>
      <c r="M34" s="18" t="n">
        <v>97691.64999999999</v>
      </c>
      <c r="N34" s="18" t="n">
        <v>98646.57000000001</v>
      </c>
      <c r="O34" s="18" t="n">
        <v>98221.72</v>
      </c>
      <c r="P34" s="37" t="n">
        <v>98221.72</v>
      </c>
      <c r="Q34" s="18" t="n">
        <v>96339.00999999999</v>
      </c>
      <c r="R34" s="18" t="n">
        <v>90268.28999999999</v>
      </c>
      <c r="S34" s="18" t="n">
        <v>85363.32000000001</v>
      </c>
      <c r="T34" s="18" t="n">
        <v>483353.65</v>
      </c>
      <c r="U34" s="37" t="n">
        <v>483353.65</v>
      </c>
      <c r="V34" s="18" t="n">
        <v>488740.08</v>
      </c>
      <c r="W34" s="18" t="n">
        <v>459472.45</v>
      </c>
      <c r="X34" s="18" t="n">
        <v>472430.48</v>
      </c>
      <c r="Y34" s="18" t="n">
        <v>453815.85</v>
      </c>
      <c r="Z34" s="37" t="n">
        <v>453815.85</v>
      </c>
      <c r="AA34" s="18" t="n">
        <v>485948.25</v>
      </c>
      <c r="AB34" s="19" t="n">
        <v>492022.2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18" t="n">
        <v>300684.6</v>
      </c>
      <c r="F35" s="37" t="n">
        <v>300684.6</v>
      </c>
      <c r="G35" s="18" t="n">
        <v>403647.11</v>
      </c>
      <c r="H35" s="18" t="n">
        <v>822609.74</v>
      </c>
      <c r="I35" s="18" t="n">
        <v>1705910.87</v>
      </c>
      <c r="J35" s="18" t="n">
        <v>674445.02</v>
      </c>
      <c r="K35" s="37" t="n">
        <v>674445.02</v>
      </c>
      <c r="L35" s="18" t="n">
        <v>775157.84</v>
      </c>
      <c r="M35" s="18" t="n">
        <v>791139.59</v>
      </c>
      <c r="N35" s="18" t="n">
        <v>930481.36</v>
      </c>
      <c r="O35" s="18" t="n">
        <v>570461.92</v>
      </c>
      <c r="P35" s="37" t="n">
        <v>570461.92</v>
      </c>
      <c r="Q35" s="18" t="n">
        <v>880335.91</v>
      </c>
      <c r="R35" s="18" t="n">
        <v>1087505.66</v>
      </c>
      <c r="S35" s="18" t="n">
        <v>621193.11</v>
      </c>
      <c r="T35" s="18" t="n">
        <v>1722319.46</v>
      </c>
      <c r="U35" s="37" t="n">
        <v>1722319.46</v>
      </c>
      <c r="V35" s="18" t="n">
        <v>1462370.92</v>
      </c>
      <c r="W35" s="18" t="n">
        <v>626150.48</v>
      </c>
      <c r="X35" s="18" t="n">
        <v>827615.27</v>
      </c>
      <c r="Y35" s="18" t="n">
        <v>1028376.17</v>
      </c>
      <c r="Z35" s="37" t="n">
        <v>1028376.17</v>
      </c>
      <c r="AA35" s="18" t="n">
        <v>1649818.39</v>
      </c>
      <c r="AB35" s="19" t="n">
        <v>1954554.87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매입채무및기타채무</t>
        </is>
      </c>
      <c r="E36" s="18" t="n">
        <v>3181777.13</v>
      </c>
      <c r="F36" s="37" t="n">
        <v>3181777.13</v>
      </c>
      <c r="G36" s="18" t="n">
        <v>3013888.48</v>
      </c>
      <c r="H36" s="18" t="n">
        <v>3173517.83</v>
      </c>
      <c r="I36" s="18" t="n">
        <v>3280239.35</v>
      </c>
      <c r="J36" s="18" t="n">
        <v>2912783.2</v>
      </c>
      <c r="K36" s="37" t="n">
        <v>2912783.2</v>
      </c>
      <c r="L36" s="18" t="n">
        <v>3397179.66</v>
      </c>
      <c r="M36" s="18" t="n">
        <v>3231533.85</v>
      </c>
      <c r="N36" s="18" t="n">
        <v>3040029.09</v>
      </c>
      <c r="O36" s="18" t="n">
        <v>3203614.52</v>
      </c>
      <c r="P36" s="37" t="n">
        <v>3203614.52</v>
      </c>
      <c r="Q36" s="18" t="n">
        <v>3365802.88</v>
      </c>
      <c r="R36" s="18" t="n">
        <v>3468122.15</v>
      </c>
      <c r="S36" s="18" t="n">
        <v>3544745.72</v>
      </c>
      <c r="T36" s="18" t="n">
        <v>3883696.73</v>
      </c>
      <c r="U36" s="37" t="n">
        <v>3883696.73</v>
      </c>
      <c r="V36" s="18" t="n">
        <v>4138323.95</v>
      </c>
      <c r="W36" s="18" t="n">
        <v>3954557.34</v>
      </c>
      <c r="X36" s="18" t="n">
        <v>3904739.9</v>
      </c>
      <c r="Y36" s="18" t="n">
        <v>4314759.55</v>
      </c>
      <c r="Z36" s="37" t="n">
        <v>4314759.55</v>
      </c>
      <c r="AA36" s="18" t="n">
        <v>4885073.2</v>
      </c>
      <c r="AB36" s="19" t="n">
        <v>4563807.84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계약부채</t>
        </is>
      </c>
      <c r="E37" s="18" t="n">
        <v>3646718.93</v>
      </c>
      <c r="F37" s="37" t="n">
        <v>3646718.93</v>
      </c>
      <c r="G37" s="18" t="n">
        <v>4360449.42</v>
      </c>
      <c r="H37" s="18" t="n">
        <v>5217123.86</v>
      </c>
      <c r="I37" s="18" t="n">
        <v>6334131.53</v>
      </c>
      <c r="J37" s="18" t="n">
        <v>7438536.84</v>
      </c>
      <c r="K37" s="37" t="n">
        <v>7438536.84</v>
      </c>
      <c r="L37" s="18" t="n">
        <v>8577531.15</v>
      </c>
      <c r="M37" s="18" t="n">
        <v>9752835.939999999</v>
      </c>
      <c r="N37" s="18" t="n">
        <v>11085377.56</v>
      </c>
      <c r="O37" s="18" t="n">
        <v>11074793.38</v>
      </c>
      <c r="P37" s="37" t="n">
        <v>11074793.38</v>
      </c>
      <c r="Q37" s="18" t="n">
        <v>11037982.5</v>
      </c>
      <c r="R37" s="18" t="n">
        <v>11434858.13</v>
      </c>
      <c r="S37" s="18" t="n">
        <v>11477277.67</v>
      </c>
      <c r="T37" s="18" t="n">
        <v>12715929.77</v>
      </c>
      <c r="U37" s="37" t="n">
        <v>12715929.77</v>
      </c>
      <c r="V37" s="18" t="n">
        <v>14882408.96</v>
      </c>
      <c r="W37" s="18" t="n">
        <v>14289409.39</v>
      </c>
      <c r="X37" s="18" t="n">
        <v>14557032.91</v>
      </c>
      <c r="Y37" s="18" t="n">
        <v>13887788.86</v>
      </c>
      <c r="Z37" s="37" t="n">
        <v>13887788.86</v>
      </c>
      <c r="AA37" s="18" t="n">
        <v>14077283.52</v>
      </c>
      <c r="AB37" s="19" t="n">
        <v>14605308.82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선수금</t>
        </is>
      </c>
      <c r="E38" s="18" t="n">
        <v>30017.43</v>
      </c>
      <c r="F38" s="37" t="n">
        <v>30017.43</v>
      </c>
      <c r="G38" s="18" t="n">
        <v>28578.1</v>
      </c>
      <c r="H38" s="18" t="n">
        <v>28417.08</v>
      </c>
      <c r="I38" s="18" t="n">
        <v>35877.89</v>
      </c>
      <c r="J38" s="18" t="n">
        <v>28578.99</v>
      </c>
      <c r="K38" s="37" t="n">
        <v>28578.99</v>
      </c>
      <c r="L38" s="18" t="n">
        <v>28326.34</v>
      </c>
      <c r="M38" s="18" t="n">
        <v>28326.14</v>
      </c>
      <c r="N38" s="18" t="n">
        <v>28312.76</v>
      </c>
      <c r="O38" s="18" t="n">
        <v>28310.54</v>
      </c>
      <c r="P38" s="37" t="n">
        <v>28310.54</v>
      </c>
      <c r="Q38" s="18" t="n">
        <v>31954.97</v>
      </c>
      <c r="R38" s="18" t="n">
        <v>30434.57</v>
      </c>
      <c r="S38" s="18" t="n">
        <v>29652.65</v>
      </c>
      <c r="T38" s="18" t="n">
        <v>38451.22</v>
      </c>
      <c r="U38" s="37" t="n">
        <v>38451.22</v>
      </c>
      <c r="V38" s="18" t="n">
        <v>24414.63</v>
      </c>
      <c r="W38" s="18" t="n">
        <v>26076.99</v>
      </c>
      <c r="X38" s="18" t="n">
        <v>29886.72</v>
      </c>
      <c r="Y38" s="18" t="n">
        <v>29413</v>
      </c>
      <c r="Z38" s="37" t="n">
        <v>29413</v>
      </c>
      <c r="AA38" s="18" t="n">
        <v>29923.81</v>
      </c>
      <c r="AB38" s="19" t="n">
        <v>29438.99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기타유동부채</t>
        </is>
      </c>
      <c r="E39" s="18" t="n">
        <v>30105.43</v>
      </c>
      <c r="F39" s="37" t="n">
        <v>30105.43</v>
      </c>
      <c r="G39" s="18" t="n">
        <v>28680.88</v>
      </c>
      <c r="H39" s="18" t="n">
        <v>28526.25</v>
      </c>
      <c r="I39" s="18" t="n">
        <v>35981.92</v>
      </c>
      <c r="J39" s="18" t="n">
        <v>29106.34</v>
      </c>
      <c r="K39" s="37" t="n">
        <v>29106.34</v>
      </c>
      <c r="L39" s="18" t="n">
        <v>28652.82</v>
      </c>
      <c r="M39" s="18" t="n">
        <v>28620.51</v>
      </c>
      <c r="N39" s="18" t="n">
        <v>28508.31</v>
      </c>
      <c r="O39" s="18" t="n">
        <v>28407.23</v>
      </c>
      <c r="P39" s="37" t="n">
        <v>28407.23</v>
      </c>
      <c r="Q39" s="18" t="n">
        <v>32757.21</v>
      </c>
      <c r="R39" s="18" t="n">
        <v>31121.57</v>
      </c>
      <c r="S39" s="18" t="n">
        <v>30329.33</v>
      </c>
      <c r="T39" s="18" t="n">
        <v>39057.87</v>
      </c>
      <c r="U39" s="37" t="n">
        <v>39057.87</v>
      </c>
      <c r="V39" s="18" t="n">
        <v>25115.66</v>
      </c>
      <c r="W39" s="18" t="n">
        <v>26597.76</v>
      </c>
      <c r="X39" s="18" t="n">
        <v>30141.58</v>
      </c>
      <c r="Y39" s="18" t="n">
        <v>29874.07</v>
      </c>
      <c r="Z39" s="37" t="n">
        <v>29874.07</v>
      </c>
      <c r="AA39" s="18" t="n">
        <v>30969.37</v>
      </c>
      <c r="AB39" s="19" t="n">
        <v>30303.79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단기파생상품부채</t>
        </is>
      </c>
      <c r="E40" s="18" t="n">
        <v>285773.51</v>
      </c>
      <c r="F40" s="37" t="n">
        <v>285773.51</v>
      </c>
      <c r="G40" s="18" t="n">
        <v>388108.98</v>
      </c>
      <c r="H40" s="18" t="n">
        <v>808212.98</v>
      </c>
      <c r="I40" s="18" t="n">
        <v>1692757.64</v>
      </c>
      <c r="J40" s="18" t="n">
        <v>642521.4</v>
      </c>
      <c r="K40" s="37" t="n">
        <v>642521.4</v>
      </c>
      <c r="L40" s="18" t="n">
        <v>742106.37</v>
      </c>
      <c r="M40" s="18" t="n">
        <v>758460.55</v>
      </c>
      <c r="N40" s="18" t="n">
        <v>896529.51</v>
      </c>
      <c r="O40" s="18" t="n">
        <v>539212.37</v>
      </c>
      <c r="P40" s="37" t="n">
        <v>539212.37</v>
      </c>
      <c r="Q40" s="18" t="n">
        <v>848977.49</v>
      </c>
      <c r="R40" s="18" t="n">
        <v>1058045.06</v>
      </c>
      <c r="S40" s="18" t="n">
        <v>592523.3100000001</v>
      </c>
      <c r="T40" s="18" t="n">
        <v>1691781.73</v>
      </c>
      <c r="U40" s="37" t="n">
        <v>1691781.73</v>
      </c>
      <c r="V40" s="18" t="n">
        <v>1403731.27</v>
      </c>
      <c r="W40" s="18" t="n">
        <v>569059.8199999999</v>
      </c>
      <c r="X40" s="18" t="n">
        <v>768969.55</v>
      </c>
      <c r="Y40" s="18" t="n">
        <v>973357.73</v>
      </c>
      <c r="Z40" s="37" t="n">
        <v>973357.73</v>
      </c>
      <c r="AA40" s="18" t="n">
        <v>1594189.71</v>
      </c>
      <c r="AB40" s="19" t="n">
        <v>1902632.47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당기법인세부채(미지급법인세)</t>
        </is>
      </c>
      <c r="E41" s="18" t="n">
        <v>1529.41</v>
      </c>
      <c r="F41" s="37" t="n">
        <v>1529.41</v>
      </c>
      <c r="G41" s="18" t="n">
        <v>3011.6</v>
      </c>
      <c r="H41" s="18" t="n">
        <v>5618.15</v>
      </c>
      <c r="I41" s="18" t="n">
        <v>1811.26</v>
      </c>
      <c r="J41" s="18" t="n">
        <v>6071.61</v>
      </c>
      <c r="K41" s="37" t="n">
        <v>6071.61</v>
      </c>
      <c r="L41" s="18" t="n">
        <v>5838.66</v>
      </c>
      <c r="M41" s="18" t="n">
        <v>822.13</v>
      </c>
      <c r="N41" s="18" t="n">
        <v>1193.99</v>
      </c>
      <c r="O41" s="18" t="n">
        <v>777.73</v>
      </c>
      <c r="P41" s="37" t="n">
        <v>777.73</v>
      </c>
      <c r="Q41" s="18" t="n">
        <v>1103.58</v>
      </c>
      <c r="R41" s="18" t="n">
        <v>5749.05</v>
      </c>
      <c r="S41" s="18" t="n">
        <v>13895.26</v>
      </c>
      <c r="T41" s="18" t="n">
        <v>19321.11</v>
      </c>
      <c r="U41" s="37" t="n">
        <v>19321.11</v>
      </c>
      <c r="V41" s="18" t="n">
        <v>48935.8</v>
      </c>
      <c r="W41" s="18" t="n">
        <v>72849.61</v>
      </c>
      <c r="X41" s="18" t="n">
        <v>53803.14</v>
      </c>
      <c r="Y41" s="18" t="n">
        <v>61851.4</v>
      </c>
      <c r="Z41" s="37" t="n">
        <v>61851.4</v>
      </c>
      <c r="AA41" s="18" t="n">
        <v>103519.02</v>
      </c>
      <c r="AB41" s="19" t="n">
        <v>355786.65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단기충당부채</t>
        </is>
      </c>
      <c r="E42" s="18" t="n">
        <v>1750415.35</v>
      </c>
      <c r="F42" s="37" t="n">
        <v>1750415.35</v>
      </c>
      <c r="G42" s="18" t="n">
        <v>1781345.11</v>
      </c>
      <c r="H42" s="18" t="n">
        <v>1678963.6</v>
      </c>
      <c r="I42" s="18" t="n">
        <v>1262752.04</v>
      </c>
      <c r="J42" s="18" t="n">
        <v>1271544.11</v>
      </c>
      <c r="K42" s="37" t="n">
        <v>1271544.11</v>
      </c>
      <c r="L42" s="18" t="n">
        <v>469524.55</v>
      </c>
      <c r="M42" s="18" t="n">
        <v>368757.7</v>
      </c>
      <c r="N42" s="18" t="n">
        <v>338533.95</v>
      </c>
      <c r="O42" s="18" t="n">
        <v>399721.73</v>
      </c>
      <c r="P42" s="37" t="n">
        <v>399721.73</v>
      </c>
      <c r="Q42" s="18" t="n">
        <v>415061.84</v>
      </c>
      <c r="R42" s="18" t="n">
        <v>433291.62</v>
      </c>
      <c r="S42" s="18" t="n">
        <v>385847.19</v>
      </c>
      <c r="T42" s="18" t="n">
        <v>382454.51</v>
      </c>
      <c r="U42" s="37" t="n">
        <v>382454.51</v>
      </c>
      <c r="V42" s="18" t="n">
        <v>397041.69</v>
      </c>
      <c r="W42" s="18" t="n">
        <v>423932.3</v>
      </c>
      <c r="X42" s="18" t="n">
        <v>403935.33</v>
      </c>
      <c r="Y42" s="18" t="n">
        <v>435852.81</v>
      </c>
      <c r="Z42" s="37" t="n">
        <v>435852.81</v>
      </c>
      <c r="AA42" s="18" t="n">
        <v>447357.45</v>
      </c>
      <c r="AB42" s="19" t="n">
        <v>445632.38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비유동부채</t>
        </is>
      </c>
      <c r="E43" s="18" t="n">
        <v>3592871.27</v>
      </c>
      <c r="F43" s="37" t="n">
        <v>3592871.27</v>
      </c>
      <c r="G43" s="18" t="n">
        <v>3243937.93</v>
      </c>
      <c r="H43" s="18" t="n">
        <v>3511979.54</v>
      </c>
      <c r="I43" s="18" t="n">
        <v>4475178.17</v>
      </c>
      <c r="J43" s="18" t="n">
        <v>2537863.97</v>
      </c>
      <c r="K43" s="37" t="n">
        <v>2537863.97</v>
      </c>
      <c r="L43" s="18" t="n">
        <v>2584928.29</v>
      </c>
      <c r="M43" s="18" t="n">
        <v>2963030.17</v>
      </c>
      <c r="N43" s="18" t="n">
        <v>2858683.59</v>
      </c>
      <c r="O43" s="18" t="n">
        <v>2374597.75</v>
      </c>
      <c r="P43" s="37" t="n">
        <v>2374597.75</v>
      </c>
      <c r="Q43" s="18" t="n">
        <v>2379893.48</v>
      </c>
      <c r="R43" s="18" t="n">
        <v>2524206.08</v>
      </c>
      <c r="S43" s="18" t="n">
        <v>1620583.72</v>
      </c>
      <c r="T43" s="18" t="n">
        <v>3238265.83</v>
      </c>
      <c r="U43" s="37" t="n">
        <v>3238265.83</v>
      </c>
      <c r="V43" s="18" t="n">
        <v>3495410.88</v>
      </c>
      <c r="W43" s="18" t="n">
        <v>2092951.65</v>
      </c>
      <c r="X43" s="18" t="n">
        <v>2311914.83</v>
      </c>
      <c r="Y43" s="18" t="n">
        <v>2623046.15</v>
      </c>
      <c r="Z43" s="37" t="n">
        <v>2623046.15</v>
      </c>
      <c r="AA43" s="18" t="n">
        <v>2710874.46</v>
      </c>
      <c r="AB43" s="19" t="n">
        <v>2918055.11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장기차입금</t>
        </is>
      </c>
      <c r="E44" s="18" t="n">
        <v>2843352.92</v>
      </c>
      <c r="F44" s="37" t="n">
        <v>2843352.92</v>
      </c>
      <c r="G44" s="18" t="n">
        <v>2464043</v>
      </c>
      <c r="H44" s="18" t="n">
        <v>2119965.24</v>
      </c>
      <c r="I44" s="18" t="n">
        <v>1851019.81</v>
      </c>
      <c r="J44" s="18" t="n">
        <v>1438739.13</v>
      </c>
      <c r="K44" s="37" t="n">
        <v>1438739.13</v>
      </c>
      <c r="L44" s="18" t="n">
        <v>1449292.64</v>
      </c>
      <c r="M44" s="18" t="n">
        <v>1908352.14</v>
      </c>
      <c r="N44" s="18" t="n">
        <v>1649137.1</v>
      </c>
      <c r="O44" s="18" t="n">
        <v>1698182.75</v>
      </c>
      <c r="P44" s="37" t="n">
        <v>1698182.75</v>
      </c>
      <c r="Q44" s="18" t="n">
        <v>1518486.78</v>
      </c>
      <c r="R44" s="18" t="n">
        <v>1381919.96</v>
      </c>
      <c r="S44" s="18" t="n">
        <v>918999.22</v>
      </c>
      <c r="T44" s="18" t="n">
        <v>866206.84</v>
      </c>
      <c r="U44" s="37" t="n">
        <v>866206.84</v>
      </c>
      <c r="V44" s="18" t="n">
        <v>1199542.82</v>
      </c>
      <c r="W44" s="18" t="n">
        <v>825728.39</v>
      </c>
      <c r="X44" s="18" t="n">
        <v>786420.52</v>
      </c>
      <c r="Y44" s="18" t="n">
        <v>805610.59</v>
      </c>
      <c r="Z44" s="37" t="n">
        <v>805610.59</v>
      </c>
      <c r="AA44" s="18" t="n">
        <v>57260.32</v>
      </c>
      <c r="AB44" s="19" t="n">
        <v>58503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장기금융부채(face)</t>
        </is>
      </c>
      <c r="E45" s="18" t="n">
        <v>2843352.92</v>
      </c>
      <c r="F45" s="37" t="n">
        <v>2843352.92</v>
      </c>
      <c r="G45" s="18" t="n">
        <v>2464043</v>
      </c>
      <c r="H45" s="18" t="n">
        <v>2119965.24</v>
      </c>
      <c r="I45" s="18" t="n">
        <v>1851019.81</v>
      </c>
      <c r="J45" s="18" t="n">
        <v>1438739.13</v>
      </c>
      <c r="K45" s="37" t="n">
        <v>1438739.13</v>
      </c>
      <c r="L45" s="18" t="n">
        <v>1449292.64</v>
      </c>
      <c r="M45" s="18" t="n">
        <v>1908352.14</v>
      </c>
      <c r="N45" s="18" t="n">
        <v>1649137.1</v>
      </c>
      <c r="O45" s="18" t="n">
        <v>1698182.75</v>
      </c>
      <c r="P45" s="37" t="n">
        <v>1698182.75</v>
      </c>
      <c r="Q45" s="18" t="n">
        <v>1518486.78</v>
      </c>
      <c r="R45" s="18" t="n">
        <v>1381919.96</v>
      </c>
      <c r="S45" s="18" t="n">
        <v>918999.22</v>
      </c>
      <c r="T45" s="18" t="n">
        <v>866206.84</v>
      </c>
      <c r="U45" s="37" t="n">
        <v>866206.84</v>
      </c>
      <c r="V45" s="18" t="n">
        <v>1199542.82</v>
      </c>
      <c r="W45" s="18" t="n">
        <v>825728.39</v>
      </c>
      <c r="X45" s="18" t="n">
        <v>786420.52</v>
      </c>
      <c r="Y45" s="18" t="n">
        <v>805610.59</v>
      </c>
      <c r="Z45" s="37" t="n">
        <v>805610.59</v>
      </c>
      <c r="AA45" s="18" t="n">
        <v>57260.32</v>
      </c>
      <c r="AB45" s="19" t="n">
        <v>58503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비유동리스부채</t>
        </is>
      </c>
      <c r="E46" s="18" t="n">
        <v>33092.11</v>
      </c>
      <c r="F46" s="37" t="n">
        <v>33092.11</v>
      </c>
      <c r="G46" s="18" t="n">
        <v>32972.75</v>
      </c>
      <c r="H46" s="18" t="n">
        <v>33874.55</v>
      </c>
      <c r="I46" s="18" t="n">
        <v>33729.92</v>
      </c>
      <c r="J46" s="18" t="n">
        <v>72101.06</v>
      </c>
      <c r="K46" s="37" t="n">
        <v>72101.06</v>
      </c>
      <c r="L46" s="18" t="n">
        <v>69053.39999999999</v>
      </c>
      <c r="M46" s="18" t="n">
        <v>65012.61</v>
      </c>
      <c r="N46" s="18" t="n">
        <v>64694.72</v>
      </c>
      <c r="O46" s="18" t="n">
        <v>66972.17</v>
      </c>
      <c r="P46" s="37" t="n">
        <v>66972.17</v>
      </c>
      <c r="Q46" s="18" t="n">
        <v>64980.59</v>
      </c>
      <c r="R46" s="18" t="n">
        <v>60807.69</v>
      </c>
      <c r="S46" s="18" t="n">
        <v>56693.52</v>
      </c>
      <c r="T46" s="18" t="n">
        <v>452815.92</v>
      </c>
      <c r="U46" s="37" t="n">
        <v>452815.92</v>
      </c>
      <c r="V46" s="18" t="n">
        <v>430100.43</v>
      </c>
      <c r="W46" s="18" t="n">
        <v>402381.79</v>
      </c>
      <c r="X46" s="18" t="n">
        <v>413784.76</v>
      </c>
      <c r="Y46" s="18" t="n">
        <v>398797.41</v>
      </c>
      <c r="Z46" s="37" t="n">
        <v>398797.41</v>
      </c>
      <c r="AA46" s="18" t="n">
        <v>430319.57</v>
      </c>
      <c r="AB46" s="19" t="n">
        <v>440099.8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장기금융부채</t>
        </is>
      </c>
      <c r="E47" s="18" t="n">
        <v>280146.46</v>
      </c>
      <c r="F47" s="37" t="n">
        <v>280146.46</v>
      </c>
      <c r="G47" s="18" t="n">
        <v>288813.47</v>
      </c>
      <c r="H47" s="18" t="n">
        <v>873684.9</v>
      </c>
      <c r="I47" s="18" t="n">
        <v>2089695.2</v>
      </c>
      <c r="J47" s="18" t="n">
        <v>692402.5699999999</v>
      </c>
      <c r="K47" s="37" t="n">
        <v>692402.5699999999</v>
      </c>
      <c r="L47" s="18" t="n">
        <v>765750.99</v>
      </c>
      <c r="M47" s="18" t="n">
        <v>663477.48</v>
      </c>
      <c r="N47" s="18" t="n">
        <v>801795.52</v>
      </c>
      <c r="O47" s="18" t="n">
        <v>487549.74</v>
      </c>
      <c r="P47" s="37" t="n">
        <v>487549.74</v>
      </c>
      <c r="Q47" s="18" t="n">
        <v>672735.83</v>
      </c>
      <c r="R47" s="18" t="n">
        <v>936735.8100000001</v>
      </c>
      <c r="S47" s="18" t="n">
        <v>467987.7</v>
      </c>
      <c r="T47" s="18" t="n">
        <v>2155093.41</v>
      </c>
      <c r="U47" s="37" t="n">
        <v>2155093.41</v>
      </c>
      <c r="V47" s="18" t="n">
        <v>2080210.98</v>
      </c>
      <c r="W47" s="18" t="n">
        <v>1053262.24</v>
      </c>
      <c r="X47" s="18" t="n">
        <v>1300697.42</v>
      </c>
      <c r="Y47" s="18" t="n">
        <v>1590644.08</v>
      </c>
      <c r="Z47" s="37" t="n">
        <v>1590644.08</v>
      </c>
      <c r="AA47" s="18" t="n">
        <v>2405455.73</v>
      </c>
      <c r="AB47" s="19" t="n">
        <v>2463865.63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장기매입채무및기타채무</t>
        </is>
      </c>
      <c r="E48" s="18" t="n">
        <v>9250.1</v>
      </c>
      <c r="F48" s="37" t="n">
        <v>9250.1</v>
      </c>
      <c r="G48" s="18" t="n">
        <v>8831.59</v>
      </c>
      <c r="H48" s="18" t="n">
        <v>8781.950000000001</v>
      </c>
      <c r="I48" s="18" t="n">
        <v>8858.450000000001</v>
      </c>
      <c r="J48" s="18" t="n">
        <v>9225.66</v>
      </c>
      <c r="K48" s="37" t="n">
        <v>9225.66</v>
      </c>
      <c r="L48" s="18" t="n">
        <v>9211.51</v>
      </c>
      <c r="M48" s="18" t="n">
        <v>9584.18</v>
      </c>
      <c r="N48" s="18" t="n">
        <v>20102.28</v>
      </c>
      <c r="O48" s="18" t="n">
        <v>25747.46</v>
      </c>
      <c r="P48" s="37" t="n">
        <v>25747.46</v>
      </c>
      <c r="Q48" s="18" t="n">
        <v>25232.09</v>
      </c>
      <c r="R48" s="18" t="n">
        <v>26760.8</v>
      </c>
      <c r="S48" s="18" t="n">
        <v>28666.04</v>
      </c>
      <c r="T48" s="18" t="n">
        <v>34511.49</v>
      </c>
      <c r="U48" s="37" t="n">
        <v>34511.49</v>
      </c>
      <c r="V48" s="18" t="n">
        <v>36016.99</v>
      </c>
      <c r="W48" s="18" t="n">
        <v>38222.24</v>
      </c>
      <c r="X48" s="18" t="n">
        <v>39955.89</v>
      </c>
      <c r="Y48" s="18" t="n">
        <v>47062.97</v>
      </c>
      <c r="Z48" s="37" t="n">
        <v>47062.97</v>
      </c>
      <c r="AA48" s="18" t="n">
        <v>51962.92</v>
      </c>
      <c r="AB48" s="19" t="n">
        <v>55137.06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확정급여부채</t>
        </is>
      </c>
      <c r="E49" s="18" t="n">
        <v>59562.11</v>
      </c>
      <c r="F49" s="37" t="n">
        <v>59562.11</v>
      </c>
      <c r="G49" s="18" t="n">
        <v>61543.54</v>
      </c>
      <c r="H49" s="18" t="n">
        <v>63183.42</v>
      </c>
      <c r="I49" s="18" t="n">
        <v>69800.12</v>
      </c>
      <c r="J49" s="18" t="n">
        <v>52628.12</v>
      </c>
      <c r="K49" s="37" t="n">
        <v>52628.12</v>
      </c>
      <c r="L49" s="18" t="n">
        <v>53467.39</v>
      </c>
      <c r="M49" s="18" t="n">
        <v>53546.75</v>
      </c>
      <c r="N49" s="18" t="n">
        <v>55321.96</v>
      </c>
      <c r="O49" s="18" t="n">
        <v>55801.68</v>
      </c>
      <c r="P49" s="37" t="n">
        <v>55801.68</v>
      </c>
      <c r="Q49" s="18" t="n">
        <v>55680.39</v>
      </c>
      <c r="R49" s="18" t="n">
        <v>56114.38</v>
      </c>
      <c r="S49" s="18" t="n">
        <v>57783.47</v>
      </c>
      <c r="T49" s="18" t="n">
        <v>58441.45</v>
      </c>
      <c r="U49" s="37" t="n">
        <v>58441.45</v>
      </c>
      <c r="V49" s="18" t="n">
        <v>49324.45</v>
      </c>
      <c r="X49" s="18" t="n">
        <v>55801.36</v>
      </c>
      <c r="Y49" s="18" t="n">
        <v>44333.5</v>
      </c>
      <c r="Z49" s="37" t="n">
        <v>44333.5</v>
      </c>
      <c r="AA49" s="18" t="n">
        <v>45958.51</v>
      </c>
      <c r="AB49" s="19" t="n">
        <v>46936.6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장기충당부채</t>
        </is>
      </c>
      <c r="E50" s="18" t="n">
        <v>319090.17</v>
      </c>
      <c r="F50" s="37" t="n">
        <v>319090.17</v>
      </c>
      <c r="G50" s="18" t="n">
        <v>331684.26</v>
      </c>
      <c r="H50" s="18" t="n">
        <v>347164.85</v>
      </c>
      <c r="I50" s="18" t="n">
        <v>373963.69</v>
      </c>
      <c r="J50" s="18" t="n">
        <v>321790.6</v>
      </c>
      <c r="K50" s="37" t="n">
        <v>321790.6</v>
      </c>
      <c r="L50" s="18" t="n">
        <v>284280.93</v>
      </c>
      <c r="M50" s="18" t="n">
        <v>305307.22</v>
      </c>
      <c r="N50" s="18" t="n">
        <v>310159.9</v>
      </c>
      <c r="O50" s="18" t="n">
        <v>84658.17</v>
      </c>
      <c r="P50" s="37" t="n">
        <v>84658.17</v>
      </c>
      <c r="Q50" s="18" t="n">
        <v>85260.02</v>
      </c>
      <c r="R50" s="18" t="n">
        <v>96962.37</v>
      </c>
      <c r="S50" s="18" t="n">
        <v>105491.03</v>
      </c>
      <c r="T50" s="18" t="n">
        <v>102619.02</v>
      </c>
      <c r="U50" s="37" t="n">
        <v>102619.02</v>
      </c>
      <c r="V50" s="18" t="n">
        <v>108322.92</v>
      </c>
      <c r="W50" s="18" t="n">
        <v>104717.99</v>
      </c>
      <c r="X50" s="18" t="n">
        <v>103721.5</v>
      </c>
      <c r="Y50" s="18" t="n">
        <v>111316.77</v>
      </c>
      <c r="Z50" s="37" t="n">
        <v>111316.77</v>
      </c>
      <c r="AA50" s="18" t="n">
        <v>116754.78</v>
      </c>
      <c r="AB50" s="19" t="n">
        <v>115934.98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장기파생상품부채</t>
        </is>
      </c>
      <c r="E51" s="18" t="n">
        <v>247054.35</v>
      </c>
      <c r="F51" s="37" t="n">
        <v>247054.35</v>
      </c>
      <c r="G51" s="18" t="n">
        <v>255840.72</v>
      </c>
      <c r="H51" s="18" t="n">
        <v>839810.35</v>
      </c>
      <c r="I51" s="18" t="n">
        <v>2055965.28</v>
      </c>
      <c r="J51" s="18" t="n">
        <v>620301.51</v>
      </c>
      <c r="K51" s="37" t="n">
        <v>620301.51</v>
      </c>
      <c r="L51" s="18" t="n">
        <v>696697.59</v>
      </c>
      <c r="M51" s="18" t="n">
        <v>598464.87</v>
      </c>
      <c r="N51" s="18" t="n">
        <v>737100.8</v>
      </c>
      <c r="O51" s="18" t="n">
        <v>420577.57</v>
      </c>
      <c r="P51" s="37" t="n">
        <v>420577.57</v>
      </c>
      <c r="Q51" s="18" t="n">
        <v>607755.24</v>
      </c>
      <c r="R51" s="18" t="n">
        <v>875928.12</v>
      </c>
      <c r="S51" s="18" t="n">
        <v>411294.18</v>
      </c>
      <c r="T51" s="18" t="n">
        <v>1702277.49</v>
      </c>
      <c r="U51" s="37" t="n">
        <v>1702277.49</v>
      </c>
      <c r="V51" s="18" t="n">
        <v>1650110.55</v>
      </c>
      <c r="W51" s="18" t="n">
        <v>650880.45</v>
      </c>
      <c r="X51" s="18" t="n">
        <v>886912.66</v>
      </c>
      <c r="Y51" s="18" t="n">
        <v>1191846.67</v>
      </c>
      <c r="Z51" s="37" t="n">
        <v>1191846.67</v>
      </c>
      <c r="AA51" s="18" t="n">
        <v>1975136.16</v>
      </c>
      <c r="AB51" s="19" t="n">
        <v>2023765.83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이연법인세부채</t>
        </is>
      </c>
      <c r="E52" s="18" t="n">
        <v>59054.29</v>
      </c>
      <c r="F52" s="37" t="n">
        <v>59054.29</v>
      </c>
      <c r="G52" s="18" t="n">
        <v>66758.77</v>
      </c>
      <c r="H52" s="18" t="n">
        <v>77088.05</v>
      </c>
      <c r="I52" s="18" t="n">
        <v>59882.13</v>
      </c>
      <c r="J52" s="18" t="n">
        <v>1271.5</v>
      </c>
      <c r="K52" s="37" t="n">
        <v>1271.5</v>
      </c>
      <c r="L52" s="18" t="n">
        <v>1275.13</v>
      </c>
      <c r="M52" s="18" t="n">
        <v>1269.4</v>
      </c>
      <c r="N52" s="18" t="n">
        <v>830.74</v>
      </c>
      <c r="O52" s="18" t="n">
        <v>1478.77</v>
      </c>
      <c r="P52" s="37" t="n">
        <v>1478.77</v>
      </c>
      <c r="Q52" s="18" t="n">
        <v>1480.35</v>
      </c>
      <c r="R52" s="18" t="n">
        <v>4856.14</v>
      </c>
      <c r="S52" s="18" t="n">
        <v>20961.24</v>
      </c>
      <c r="T52" s="18" t="n">
        <v>1192.62</v>
      </c>
      <c r="U52" s="37" t="n">
        <v>1192.62</v>
      </c>
      <c r="V52" s="18" t="n">
        <v>1955.34</v>
      </c>
      <c r="W52" s="18" t="n">
        <v>1236.06</v>
      </c>
      <c r="X52" s="18" t="n">
        <v>5608.62</v>
      </c>
      <c r="Y52" s="18" t="n">
        <v>4532.74</v>
      </c>
      <c r="Z52" s="37" t="n">
        <v>4532.74</v>
      </c>
      <c r="AA52" s="18" t="n">
        <v>13819.71</v>
      </c>
      <c r="AB52" s="19" t="n">
        <v>158187.18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부채총계</t>
        </is>
      </c>
      <c r="E53" s="18" t="n">
        <v>14879338.67</v>
      </c>
      <c r="F53" s="37" t="n">
        <v>14879338.67</v>
      </c>
      <c r="G53" s="18" t="n">
        <v>15772766.22</v>
      </c>
      <c r="H53" s="18" t="n">
        <v>17715883.98</v>
      </c>
      <c r="I53" s="18" t="n">
        <v>20603881.06</v>
      </c>
      <c r="J53" s="18" t="n">
        <v>17571346.49</v>
      </c>
      <c r="K53" s="37" t="n">
        <v>17571346.49</v>
      </c>
      <c r="L53" s="18" t="n">
        <v>18180091.08</v>
      </c>
      <c r="M53" s="18" t="n">
        <v>19346744.7</v>
      </c>
      <c r="N53" s="18" t="n">
        <v>20615316.7</v>
      </c>
      <c r="O53" s="18" t="n">
        <v>19872465.25</v>
      </c>
      <c r="P53" s="37" t="n">
        <v>19872465.25</v>
      </c>
      <c r="Q53" s="18" t="n">
        <v>19951677.64</v>
      </c>
      <c r="R53" s="18" t="n">
        <v>19926316.21</v>
      </c>
      <c r="S53" s="18" t="n">
        <v>18454668.52</v>
      </c>
      <c r="T53" s="18" t="n">
        <v>22563324.22</v>
      </c>
      <c r="U53" s="37" t="n">
        <v>22563324.22</v>
      </c>
      <c r="V53" s="18" t="n">
        <v>25016944.53</v>
      </c>
      <c r="W53" s="18" t="n">
        <v>21968154.45</v>
      </c>
      <c r="X53" s="18" t="n">
        <v>22475232.69</v>
      </c>
      <c r="Y53" s="18" t="n">
        <v>22633860.46</v>
      </c>
      <c r="Z53" s="37" t="n">
        <v>22633860.46</v>
      </c>
      <c r="AA53" s="18" t="n">
        <v>24888294.97</v>
      </c>
      <c r="AB53" s="19" t="n">
        <v>27800917.16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지배주주지분</t>
        </is>
      </c>
      <c r="E54" s="18" t="n">
        <v>9856559.08</v>
      </c>
      <c r="F54" s="37" t="n">
        <v>9856559.08</v>
      </c>
      <c r="G54" s="18" t="n">
        <v>9659384.529999999</v>
      </c>
      <c r="H54" s="18" t="n">
        <v>9587848.449999999</v>
      </c>
      <c r="I54" s="18" t="n">
        <v>9801730.939999999</v>
      </c>
      <c r="J54" s="18" t="n">
        <v>9714919.16</v>
      </c>
      <c r="K54" s="37" t="n">
        <v>9714919.16</v>
      </c>
      <c r="L54" s="18" t="n">
        <v>9682086.619999999</v>
      </c>
      <c r="M54" s="18" t="n">
        <v>9728327.210000001</v>
      </c>
      <c r="N54" s="18" t="n">
        <v>10048549.34</v>
      </c>
      <c r="O54" s="18" t="n">
        <v>9903690.5</v>
      </c>
      <c r="P54" s="37" t="n">
        <v>9903690.5</v>
      </c>
      <c r="Q54" s="18" t="n">
        <v>10086861.76</v>
      </c>
      <c r="R54" s="18" t="n">
        <v>10518174.19</v>
      </c>
      <c r="S54" s="18" t="n">
        <v>10671554.24</v>
      </c>
      <c r="T54" s="18" t="n">
        <v>11099427.06</v>
      </c>
      <c r="U54" s="37" t="n">
        <v>11099427.06</v>
      </c>
      <c r="V54" s="18" t="n">
        <v>11369214.6</v>
      </c>
      <c r="W54" s="18" t="n">
        <v>11994278.75</v>
      </c>
      <c r="X54" s="18" t="n">
        <v>12437819.24</v>
      </c>
      <c r="Y54" s="18" t="n">
        <v>13286077.75</v>
      </c>
      <c r="Z54" s="37" t="n">
        <v>13286077.75</v>
      </c>
      <c r="AA54" s="18" t="n">
        <v>13549752.58</v>
      </c>
      <c r="AB54" s="19" t="n">
        <v>14829923.54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자본금</t>
        </is>
      </c>
      <c r="E55" s="18" t="n">
        <v>353865.58</v>
      </c>
      <c r="F55" s="37" t="n">
        <v>353865.58</v>
      </c>
      <c r="G55" s="18" t="n">
        <v>353865.58</v>
      </c>
      <c r="H55" s="18" t="n">
        <v>353865.58</v>
      </c>
      <c r="I55" s="18" t="n">
        <v>353865.58</v>
      </c>
      <c r="J55" s="18" t="n">
        <v>353865.58</v>
      </c>
      <c r="K55" s="37" t="n">
        <v>353865.58</v>
      </c>
      <c r="L55" s="18" t="n">
        <v>353865.58</v>
      </c>
      <c r="M55" s="18" t="n">
        <v>353865.58</v>
      </c>
      <c r="N55" s="18" t="n">
        <v>353865.58</v>
      </c>
      <c r="O55" s="18" t="n">
        <v>353865.58</v>
      </c>
      <c r="P55" s="37" t="n">
        <v>353865.58</v>
      </c>
      <c r="Q55" s="18" t="n">
        <v>353865.58</v>
      </c>
      <c r="R55" s="18" t="n">
        <v>353865.58</v>
      </c>
      <c r="S55" s="18" t="n">
        <v>353865.58</v>
      </c>
      <c r="T55" s="18" t="n">
        <v>353865.58</v>
      </c>
      <c r="U55" s="37" t="n">
        <v>353865.58</v>
      </c>
      <c r="V55" s="18" t="n">
        <v>353865.58</v>
      </c>
      <c r="W55" s="18" t="n">
        <v>353865.58</v>
      </c>
      <c r="X55" s="18" t="n">
        <v>353865.58</v>
      </c>
      <c r="Y55" s="18" t="n">
        <v>353865.58</v>
      </c>
      <c r="Z55" s="37" t="n">
        <v>353865.58</v>
      </c>
      <c r="AA55" s="18" t="n">
        <v>353865.58</v>
      </c>
      <c r="AB55" s="19" t="n">
        <v>353865.58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자본잉여금</t>
        </is>
      </c>
      <c r="E56" s="18" t="n">
        <v>2400507.23</v>
      </c>
      <c r="F56" s="37" t="n">
        <v>2400507.23</v>
      </c>
      <c r="G56" s="18" t="n">
        <v>2400507.23</v>
      </c>
      <c r="H56" s="18" t="n">
        <v>2467505.93</v>
      </c>
      <c r="I56" s="18" t="n">
        <v>2467505.93</v>
      </c>
      <c r="J56" s="18" t="n">
        <v>2467505.93</v>
      </c>
      <c r="K56" s="37" t="n">
        <v>2467505.93</v>
      </c>
      <c r="L56" s="18" t="n">
        <v>2466883.26</v>
      </c>
      <c r="M56" s="18" t="n">
        <v>2461903.5</v>
      </c>
      <c r="N56" s="18" t="n">
        <v>2459463.66</v>
      </c>
      <c r="O56" s="18" t="n">
        <v>2459694.58</v>
      </c>
      <c r="P56" s="37" t="n">
        <v>2459694.58</v>
      </c>
      <c r="Q56" s="18" t="n">
        <v>2458941.5</v>
      </c>
      <c r="R56" s="18" t="n">
        <v>2599805.72</v>
      </c>
      <c r="S56" s="18" t="n">
        <v>2599768.66</v>
      </c>
      <c r="T56" s="18" t="n">
        <v>2599782.42</v>
      </c>
      <c r="U56" s="37" t="n">
        <v>2599782.42</v>
      </c>
      <c r="V56" s="18" t="n">
        <v>2599782.22</v>
      </c>
      <c r="W56" s="18" t="n">
        <v>2722590.6</v>
      </c>
      <c r="X56" s="18" t="n">
        <v>2762402.1</v>
      </c>
      <c r="Y56" s="18" t="n">
        <v>3016775.29</v>
      </c>
      <c r="Z56" s="37" t="n">
        <v>3016775.29</v>
      </c>
      <c r="AA56" s="18" t="n">
        <v>3043385.05</v>
      </c>
      <c r="AB56" s="19" t="n">
        <v>3026446.38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기타자본</t>
        </is>
      </c>
      <c r="E57" s="18" t="n">
        <v>-8697362.640000001</v>
      </c>
      <c r="F57" s="37" t="n">
        <v>-8697362.640000001</v>
      </c>
      <c r="G57" s="18" t="n">
        <v>-8703261.529999999</v>
      </c>
      <c r="H57" s="18" t="n">
        <v>-8703261.529999999</v>
      </c>
      <c r="I57" s="18" t="n">
        <v>-8703261.529999999</v>
      </c>
      <c r="J57" s="18" t="n">
        <v>-8703261.529999999</v>
      </c>
      <c r="K57" s="37" t="n">
        <v>-8703261.529999999</v>
      </c>
      <c r="L57" s="18" t="n">
        <v>-8608509.970000001</v>
      </c>
      <c r="M57" s="18" t="n">
        <v>-8608509.970000001</v>
      </c>
      <c r="N57" s="18" t="n">
        <v>-8609897.289999999</v>
      </c>
      <c r="O57" s="18" t="n">
        <v>-8609897.210000001</v>
      </c>
      <c r="P57" s="37" t="n">
        <v>-8609897.210000001</v>
      </c>
      <c r="Q57" s="18" t="n">
        <v>-8609897.210000001</v>
      </c>
      <c r="R57" s="18" t="n">
        <v>-8609897.210000001</v>
      </c>
      <c r="S57" s="18" t="n">
        <v>-8609184.550000001</v>
      </c>
      <c r="T57" s="18" t="n">
        <v>-8609021.439999999</v>
      </c>
      <c r="U57" s="37" t="n">
        <v>-8609021.439999999</v>
      </c>
      <c r="V57" s="18" t="n">
        <v>-8488512.27</v>
      </c>
      <c r="W57" s="18" t="n">
        <v>-8526891.119999999</v>
      </c>
      <c r="X57" s="18" t="n">
        <v>-8541364.859999999</v>
      </c>
      <c r="Y57" s="18" t="n">
        <v>-8608784.609999999</v>
      </c>
      <c r="Z57" s="37" t="n">
        <v>-8608784.609999999</v>
      </c>
      <c r="AA57" s="18" t="n">
        <v>-8608763.65</v>
      </c>
      <c r="AB57" s="19" t="n">
        <v>-8615335.189999999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기타포괄이익누계액</t>
        </is>
      </c>
      <c r="E58" s="18" t="n">
        <v>1332378.58</v>
      </c>
      <c r="F58" s="37" t="n">
        <v>1332378.58</v>
      </c>
      <c r="G58" s="18" t="n">
        <v>1340687.17</v>
      </c>
      <c r="H58" s="18" t="n">
        <v>1324023.58</v>
      </c>
      <c r="I58" s="18" t="n">
        <v>1307202.75</v>
      </c>
      <c r="J58" s="18" t="n">
        <v>1296442.44</v>
      </c>
      <c r="K58" s="37" t="n">
        <v>1296442.44</v>
      </c>
      <c r="L58" s="18" t="n">
        <v>1307514.11</v>
      </c>
      <c r="M58" s="18" t="n">
        <v>1329368.23</v>
      </c>
      <c r="N58" s="18" t="n">
        <v>1315646.28</v>
      </c>
      <c r="O58" s="18" t="n">
        <v>1325567.79</v>
      </c>
      <c r="P58" s="37" t="n">
        <v>1325567.79</v>
      </c>
      <c r="Q58" s="18" t="n">
        <v>1652051.91</v>
      </c>
      <c r="R58" s="18" t="n">
        <v>1649300.64</v>
      </c>
      <c r="S58" s="18" t="n">
        <v>1650953.48</v>
      </c>
      <c r="T58" s="18" t="n">
        <v>1670921.04</v>
      </c>
      <c r="U58" s="37" t="n">
        <v>1670921.04</v>
      </c>
      <c r="V58" s="18" t="n">
        <v>1684934.55</v>
      </c>
      <c r="W58" s="18" t="n">
        <v>1867347.23</v>
      </c>
      <c r="X58" s="18" t="n">
        <v>1886836.07</v>
      </c>
      <c r="Y58" s="18" t="n">
        <v>1856691.82</v>
      </c>
      <c r="Z58" s="37" t="n">
        <v>1856691.82</v>
      </c>
      <c r="AA58" s="18" t="n">
        <v>1892972.69</v>
      </c>
      <c r="AB58" s="19" t="n">
        <v>1906187.61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이익잉여금</t>
        </is>
      </c>
      <c r="E59" s="18" t="n">
        <v>14467170.34</v>
      </c>
      <c r="F59" s="37" t="n">
        <v>14467170.34</v>
      </c>
      <c r="G59" s="18" t="n">
        <v>14267586.08</v>
      </c>
      <c r="H59" s="18" t="n">
        <v>14145714.88</v>
      </c>
      <c r="I59" s="18" t="n">
        <v>14376418.2</v>
      </c>
      <c r="J59" s="18" t="n">
        <v>14300366.74</v>
      </c>
      <c r="K59" s="37" t="n">
        <v>14300366.74</v>
      </c>
      <c r="L59" s="18" t="n">
        <v>14162333.64</v>
      </c>
      <c r="M59" s="18" t="n">
        <v>14191699.87</v>
      </c>
      <c r="N59" s="18" t="n">
        <v>14529471.11</v>
      </c>
      <c r="O59" s="18" t="n">
        <v>14374459.76</v>
      </c>
      <c r="P59" s="37" t="n">
        <v>14374459.76</v>
      </c>
      <c r="Q59" s="18" t="n">
        <v>14231899.99</v>
      </c>
      <c r="R59" s="18" t="n">
        <v>14525099.47</v>
      </c>
      <c r="S59" s="18" t="n">
        <v>14676151.09</v>
      </c>
      <c r="T59" s="18" t="n">
        <v>15083879.46</v>
      </c>
      <c r="U59" s="37" t="n">
        <v>15083879.46</v>
      </c>
      <c r="V59" s="18" t="n">
        <v>15219144.52</v>
      </c>
      <c r="W59" s="18" t="n">
        <v>15577366.46</v>
      </c>
      <c r="X59" s="18" t="n">
        <v>15976080.35</v>
      </c>
      <c r="Y59" s="18" t="n">
        <v>16667529.66</v>
      </c>
      <c r="Z59" s="37" t="n">
        <v>16667529.66</v>
      </c>
      <c r="AA59" s="18" t="n">
        <v>16868292.91</v>
      </c>
      <c r="AB59" s="19" t="n">
        <v>18158759.16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비지배주주지분</t>
        </is>
      </c>
      <c r="E60" s="18" t="n">
        <v>2557196.22</v>
      </c>
      <c r="F60" s="37" t="n">
        <v>2557196.22</v>
      </c>
      <c r="G60" s="18" t="n">
        <v>2509167.96</v>
      </c>
      <c r="H60" s="18" t="n">
        <v>2617984.74</v>
      </c>
      <c r="I60" s="18" t="n">
        <v>2712483.62</v>
      </c>
      <c r="J60" s="18" t="n">
        <v>2597210.65</v>
      </c>
      <c r="K60" s="37" t="n">
        <v>2597210.65</v>
      </c>
      <c r="L60" s="18" t="n">
        <v>2583661.11</v>
      </c>
      <c r="M60" s="18" t="n">
        <v>2561907.65</v>
      </c>
      <c r="N60" s="18" t="n">
        <v>2569720.49</v>
      </c>
      <c r="O60" s="18" t="n">
        <v>2466412.43</v>
      </c>
      <c r="P60" s="37" t="n">
        <v>2466412.43</v>
      </c>
      <c r="Q60" s="18" t="n">
        <v>2471338.24</v>
      </c>
      <c r="R60" s="18" t="n">
        <v>2700999.51</v>
      </c>
      <c r="S60" s="18" t="n">
        <v>2899864.42</v>
      </c>
      <c r="T60" s="18" t="n">
        <v>3056386.15</v>
      </c>
      <c r="U60" s="37" t="n">
        <v>3056386.15</v>
      </c>
      <c r="V60" s="18" t="n">
        <v>3102040.29</v>
      </c>
      <c r="W60" s="18" t="n">
        <v>3310993.29</v>
      </c>
      <c r="X60" s="18" t="n">
        <v>3514460.73</v>
      </c>
      <c r="Y60" s="18" t="n">
        <v>3622275.09</v>
      </c>
      <c r="Z60" s="37" t="n">
        <v>3622275.09</v>
      </c>
      <c r="AA60" s="18" t="n">
        <v>3766804.1</v>
      </c>
      <c r="AB60" s="19" t="n">
        <v>4093996.07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자본총계</t>
        </is>
      </c>
      <c r="E61" s="18" t="n">
        <v>12413755.3</v>
      </c>
      <c r="F61" s="37" t="n">
        <v>12413755.3</v>
      </c>
      <c r="G61" s="18" t="n">
        <v>12168552.49</v>
      </c>
      <c r="H61" s="18" t="n">
        <v>12205833.18</v>
      </c>
      <c r="I61" s="18" t="n">
        <v>12514214.56</v>
      </c>
      <c r="J61" s="18" t="n">
        <v>12312129.81</v>
      </c>
      <c r="K61" s="37" t="n">
        <v>12312129.81</v>
      </c>
      <c r="L61" s="18" t="n">
        <v>12265747.73</v>
      </c>
      <c r="M61" s="18" t="n">
        <v>12290234.86</v>
      </c>
      <c r="N61" s="18" t="n">
        <v>12618269.82</v>
      </c>
      <c r="O61" s="18" t="n">
        <v>12370102.93</v>
      </c>
      <c r="P61" s="37" t="n">
        <v>12370102.93</v>
      </c>
      <c r="Q61" s="18" t="n">
        <v>12558200</v>
      </c>
      <c r="R61" s="18" t="n">
        <v>13219173.7</v>
      </c>
      <c r="S61" s="18" t="n">
        <v>13571418.66</v>
      </c>
      <c r="T61" s="18" t="n">
        <v>14155813.2</v>
      </c>
      <c r="U61" s="37" t="n">
        <v>14155813.2</v>
      </c>
      <c r="V61" s="18" t="n">
        <v>14471254.88</v>
      </c>
      <c r="W61" s="18" t="n">
        <v>15305272.04</v>
      </c>
      <c r="X61" s="18" t="n">
        <v>15952279.97</v>
      </c>
      <c r="Y61" s="18" t="n">
        <v>16908352.83</v>
      </c>
      <c r="Z61" s="37" t="n">
        <v>16908352.83</v>
      </c>
      <c r="AA61" s="18" t="n">
        <v>17316556.68</v>
      </c>
      <c r="AB61" s="19" t="n">
        <v>18923919.61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부채와자본총계</t>
        </is>
      </c>
      <c r="E62" s="18" t="n">
        <v>27293093.98</v>
      </c>
      <c r="F62" s="37" t="n">
        <v>27293093.98</v>
      </c>
      <c r="G62" s="18" t="n">
        <v>27941318.72</v>
      </c>
      <c r="H62" s="18" t="n">
        <v>29921717.16</v>
      </c>
      <c r="I62" s="18" t="n">
        <v>33118095.62</v>
      </c>
      <c r="J62" s="18" t="n">
        <v>29883476.3</v>
      </c>
      <c r="K62" s="37" t="n">
        <v>29883476.3</v>
      </c>
      <c r="L62" s="18" t="n">
        <v>30445838.81</v>
      </c>
      <c r="M62" s="18" t="n">
        <v>31636979.56</v>
      </c>
      <c r="N62" s="18" t="n">
        <v>33233586.52</v>
      </c>
      <c r="O62" s="18" t="n">
        <v>32242568.18</v>
      </c>
      <c r="P62" s="37" t="n">
        <v>32242568.18</v>
      </c>
      <c r="Q62" s="18" t="n">
        <v>32509877.64</v>
      </c>
      <c r="R62" s="18" t="n">
        <v>33145489.91</v>
      </c>
      <c r="S62" s="18" t="n">
        <v>32026087.18</v>
      </c>
      <c r="T62" s="18" t="n">
        <v>36719137.42</v>
      </c>
      <c r="U62" s="37" t="n">
        <v>36719137.42</v>
      </c>
      <c r="V62" s="18" t="n">
        <v>39488199.41</v>
      </c>
      <c r="W62" s="18" t="n">
        <v>37273426.49</v>
      </c>
      <c r="X62" s="18" t="n">
        <v>38427512.65</v>
      </c>
      <c r="Y62" s="18" t="n">
        <v>39542213.29</v>
      </c>
      <c r="Z62" s="37" t="n">
        <v>39542213.29</v>
      </c>
      <c r="AA62" s="18" t="n">
        <v>42204851.66</v>
      </c>
      <c r="AB62" s="19" t="n">
        <v>46724836.77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총차입금</t>
        </is>
      </c>
      <c r="E63" s="18" t="n">
        <v>5218589.48</v>
      </c>
      <c r="F63" s="37" t="n">
        <v>5218589.48</v>
      </c>
      <c r="G63" s="18" t="n">
        <v>5401848.69</v>
      </c>
      <c r="H63" s="18" t="n">
        <v>5397510.25</v>
      </c>
      <c r="I63" s="18" t="n">
        <v>5358895.73</v>
      </c>
      <c r="J63" s="18" t="n">
        <v>4139734.52</v>
      </c>
      <c r="K63" s="37" t="n">
        <v>4139734.52</v>
      </c>
      <c r="L63" s="18" t="n">
        <v>3790570.74</v>
      </c>
      <c r="M63" s="18" t="n">
        <v>4118356.96</v>
      </c>
      <c r="N63" s="18" t="n">
        <v>3981645.95</v>
      </c>
      <c r="O63" s="18" t="n">
        <v>3918273.75</v>
      </c>
      <c r="P63" s="37" t="n">
        <v>3918273.75</v>
      </c>
      <c r="Q63" s="18" t="n">
        <v>3357227.02</v>
      </c>
      <c r="R63" s="18" t="n">
        <v>2323381.91</v>
      </c>
      <c r="S63" s="18" t="n">
        <v>1679795.73</v>
      </c>
      <c r="T63" s="18" t="n">
        <v>1428485.8</v>
      </c>
      <c r="U63" s="37" t="n">
        <v>1428485.8</v>
      </c>
      <c r="V63" s="18" t="n">
        <v>1766879.5</v>
      </c>
      <c r="W63" s="18" t="n">
        <v>1307434.32</v>
      </c>
      <c r="X63" s="18" t="n">
        <v>1172470.25</v>
      </c>
      <c r="Y63" s="18" t="n">
        <v>1057922.03</v>
      </c>
      <c r="Z63" s="37" t="n">
        <v>1057922.03</v>
      </c>
      <c r="AA63" s="18" t="n">
        <v>1040659.9</v>
      </c>
      <c r="AB63" s="19" t="n">
        <v>2985970.69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순차입금</t>
        </is>
      </c>
      <c r="E64" s="18" t="n">
        <v>-196939.27</v>
      </c>
      <c r="F64" s="37" t="n">
        <v>-196939.27</v>
      </c>
      <c r="G64" s="18" t="n">
        <v>-153844.44</v>
      </c>
      <c r="H64" s="18" t="n">
        <v>-567683.97</v>
      </c>
      <c r="I64" s="18" t="n">
        <v>-976762.24</v>
      </c>
      <c r="J64" s="18" t="n">
        <v>-376206.34</v>
      </c>
      <c r="K64" s="37" t="n">
        <v>-376206.34</v>
      </c>
      <c r="L64" s="18" t="n">
        <v>-809800.8</v>
      </c>
      <c r="M64" s="18" t="n">
        <v>-1060659.62</v>
      </c>
      <c r="N64" s="18" t="n">
        <v>-1789558.53</v>
      </c>
      <c r="O64" s="18" t="n">
        <v>-1125130.89</v>
      </c>
      <c r="P64" s="37" t="n">
        <v>-1125130.89</v>
      </c>
      <c r="Q64" s="18" t="n">
        <v>-1883219.52</v>
      </c>
      <c r="R64" s="18" t="n">
        <v>-3632914.81</v>
      </c>
      <c r="S64" s="18" t="n">
        <v>-3067710.95</v>
      </c>
      <c r="T64" s="18" t="n">
        <v>-5404486.75</v>
      </c>
      <c r="U64" s="37" t="n">
        <v>-5404486.75</v>
      </c>
      <c r="V64" s="18" t="n">
        <v>-7306166.82</v>
      </c>
      <c r="W64" s="18" t="n">
        <v>-7359686.06</v>
      </c>
      <c r="X64" s="18" t="n">
        <v>-3536900.69</v>
      </c>
      <c r="Y64" s="18" t="n">
        <v>-7809801.49</v>
      </c>
      <c r="Z64" s="37" t="n">
        <v>-7809801.49</v>
      </c>
      <c r="AA64" s="18" t="n">
        <v>-9855795.15</v>
      </c>
      <c r="AB64" s="19" t="n">
        <v>-11994028.82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이자발생자산</t>
        </is>
      </c>
      <c r="E65" s="18" t="n">
        <v>5610448.83</v>
      </c>
      <c r="F65" s="37" t="n">
        <v>5610448.83</v>
      </c>
      <c r="G65" s="18" t="n">
        <v>5791374.12</v>
      </c>
      <c r="H65" s="18" t="n">
        <v>6173555.74</v>
      </c>
      <c r="I65" s="18" t="n">
        <v>6513416.19</v>
      </c>
      <c r="J65" s="18" t="n">
        <v>4717235.8</v>
      </c>
      <c r="K65" s="37" t="n">
        <v>4717235.8</v>
      </c>
      <c r="L65" s="18" t="n">
        <v>4815379.69</v>
      </c>
      <c r="M65" s="18" t="n">
        <v>5416162.09</v>
      </c>
      <c r="N65" s="18" t="n">
        <v>5990271.75</v>
      </c>
      <c r="O65" s="18" t="n">
        <v>5276118.94</v>
      </c>
      <c r="P65" s="37" t="n">
        <v>5276118.94</v>
      </c>
      <c r="Q65" s="18" t="n">
        <v>5377655.34</v>
      </c>
      <c r="R65" s="18" t="n">
        <v>6089431.24</v>
      </c>
      <c r="S65" s="18" t="n">
        <v>4885962.53</v>
      </c>
      <c r="T65" s="18" t="n">
        <v>6974564.01</v>
      </c>
      <c r="U65" s="37" t="n">
        <v>6974564.01</v>
      </c>
      <c r="V65" s="18" t="n">
        <v>9214474.689999999</v>
      </c>
      <c r="W65" s="18" t="n">
        <v>8814367.83</v>
      </c>
      <c r="X65" s="18" t="n">
        <v>4835825.03</v>
      </c>
      <c r="Y65" s="18" t="n">
        <v>9006900.539999999</v>
      </c>
      <c r="Z65" s="37" t="n">
        <v>9006900.539999999</v>
      </c>
      <c r="AA65" s="18" t="n">
        <v>11042351.91</v>
      </c>
      <c r="AB65" s="19" t="n">
        <v>15128784.17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유동성장기부채</t>
        </is>
      </c>
      <c r="E66" s="18" t="n">
        <v>1155256.56</v>
      </c>
      <c r="F66" s="37" t="n">
        <v>1155256.56</v>
      </c>
      <c r="G66" s="18" t="n">
        <v>1457139.69</v>
      </c>
      <c r="H66" s="18" t="n">
        <v>1929332.01</v>
      </c>
      <c r="I66" s="18" t="n">
        <v>2202204.92</v>
      </c>
      <c r="K66" s="9" t="n"/>
      <c r="L66" s="18" t="n">
        <v>1595927.1</v>
      </c>
      <c r="M66" s="18" t="n">
        <v>1133826.82</v>
      </c>
      <c r="N66" s="18" t="n">
        <v>1025888.85</v>
      </c>
      <c r="O66" s="18" t="n">
        <v>1293920</v>
      </c>
      <c r="P66" s="37" t="n">
        <v>1293920</v>
      </c>
      <c r="Q66" s="18" t="n">
        <v>1121558.24</v>
      </c>
      <c r="R66" s="18" t="n">
        <v>578527.95</v>
      </c>
      <c r="S66" s="18" t="n">
        <v>579223.51</v>
      </c>
      <c r="T66" s="18" t="n">
        <v>375439.96</v>
      </c>
      <c r="U66" s="37" t="n">
        <v>375439.96</v>
      </c>
      <c r="V66" s="18" t="n">
        <v>389333.68</v>
      </c>
      <c r="W66" s="18" t="n">
        <v>335430.93</v>
      </c>
      <c r="X66" s="18" t="n">
        <v>258565.73</v>
      </c>
      <c r="Y66" s="18" t="n">
        <v>154967.44</v>
      </c>
      <c r="Z66" s="37" t="n">
        <v>154967.44</v>
      </c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단기금융부채(face)</t>
        </is>
      </c>
      <c r="F67" s="9" t="n"/>
      <c r="J67" s="18" t="n">
        <v>2700995.39</v>
      </c>
      <c r="K67" s="37" t="n">
        <v>2700995.39</v>
      </c>
      <c r="P67" s="9" t="n"/>
      <c r="U67" s="9" t="n"/>
      <c r="Z67" s="9" t="n"/>
      <c r="AA67" s="18" t="n">
        <v>983399.58</v>
      </c>
      <c r="AB67" s="19" t="n">
        <v>2927467.69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매출액(수익)</t>
        </is>
      </c>
      <c r="E68" s="18" t="n">
        <v>4456648.68</v>
      </c>
      <c r="F68" s="9" t="n"/>
      <c r="G68" s="18" t="n">
        <v>3907727.92</v>
      </c>
      <c r="H68" s="18" t="n">
        <v>4188606.45</v>
      </c>
      <c r="I68" s="18" t="n">
        <v>4264415.33</v>
      </c>
      <c r="J68" s="18" t="n">
        <v>4941270.48</v>
      </c>
      <c r="K68" s="37" t="n">
        <v>17302020.18</v>
      </c>
      <c r="L68" s="18" t="n">
        <v>4842359.49</v>
      </c>
      <c r="M68" s="18" t="n">
        <v>5453640</v>
      </c>
      <c r="N68" s="18" t="n">
        <v>5011205.86</v>
      </c>
      <c r="O68" s="18" t="n">
        <v>5989000.22</v>
      </c>
      <c r="P68" s="37" t="n">
        <v>21296205.57</v>
      </c>
      <c r="Q68" s="18" t="n">
        <v>5515626</v>
      </c>
      <c r="R68" s="18" t="n">
        <v>6615483.68</v>
      </c>
      <c r="S68" s="18" t="n">
        <v>6245755.75</v>
      </c>
      <c r="T68" s="18" t="n">
        <v>7161711.94</v>
      </c>
      <c r="U68" s="37" t="n">
        <v>25538577.37</v>
      </c>
      <c r="V68" s="18" t="n">
        <v>6771705.88</v>
      </c>
      <c r="W68" s="18" t="n">
        <v>7428417.05</v>
      </c>
      <c r="X68" s="18" t="n">
        <v>7581435.73</v>
      </c>
      <c r="Y68" s="18" t="n">
        <v>8151656.57</v>
      </c>
      <c r="Z68" s="37" t="n">
        <v>29933215.23</v>
      </c>
      <c r="AA68" s="18" t="n">
        <v>8140889.75</v>
      </c>
      <c r="AB68" s="19" t="n">
        <v>8927046.48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매출원가</t>
        </is>
      </c>
      <c r="E69" s="18" t="n">
        <v>4826100.95</v>
      </c>
      <c r="F69" s="9" t="n"/>
      <c r="G69" s="18" t="n">
        <v>4081812.86</v>
      </c>
      <c r="H69" s="18" t="n">
        <v>4242899.04</v>
      </c>
      <c r="I69" s="18" t="n">
        <v>3853876.38</v>
      </c>
      <c r="J69" s="18" t="n">
        <v>4756992.35</v>
      </c>
      <c r="K69" s="37" t="n">
        <v>16935580.63</v>
      </c>
      <c r="L69" s="18" t="n">
        <v>4638593.79</v>
      </c>
      <c r="M69" s="18" t="n">
        <v>5170910.68</v>
      </c>
      <c r="N69" s="18" t="n">
        <v>4714261.3</v>
      </c>
      <c r="O69" s="18" t="n">
        <v>5724412.66</v>
      </c>
      <c r="P69" s="37" t="n">
        <v>20248178.43</v>
      </c>
      <c r="Q69" s="18" t="n">
        <v>5165675.4</v>
      </c>
      <c r="R69" s="18" t="n">
        <v>5906289.59</v>
      </c>
      <c r="S69" s="18" t="n">
        <v>5539033.5</v>
      </c>
      <c r="T69" s="18" t="n">
        <v>6332211.44</v>
      </c>
      <c r="U69" s="37" t="n">
        <v>22943209.93</v>
      </c>
      <c r="V69" s="18" t="n">
        <v>5609799.66</v>
      </c>
      <c r="W69" s="18" t="n">
        <v>6126416.39</v>
      </c>
      <c r="X69" s="18" t="n">
        <v>6183788.88</v>
      </c>
      <c r="Y69" s="18" t="n">
        <v>6684789.26</v>
      </c>
      <c r="Z69" s="37" t="n">
        <v>24604794.19</v>
      </c>
      <c r="AA69" s="18" t="n">
        <v>6396263.36</v>
      </c>
      <c r="AB69" s="19" t="n">
        <v>6843417.37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매출총이익</t>
        </is>
      </c>
      <c r="E70" s="18" t="n">
        <v>-369452.26</v>
      </c>
      <c r="F70" s="9" t="n"/>
      <c r="G70" s="18" t="n">
        <v>-174084.94</v>
      </c>
      <c r="H70" s="18" t="n">
        <v>-54292.6</v>
      </c>
      <c r="I70" s="18" t="n">
        <v>410538.95</v>
      </c>
      <c r="J70" s="18" t="n">
        <v>184278.14</v>
      </c>
      <c r="K70" s="37" t="n">
        <v>366439.55</v>
      </c>
      <c r="L70" s="18" t="n">
        <v>203765.7</v>
      </c>
      <c r="M70" s="18" t="n">
        <v>282729.32</v>
      </c>
      <c r="N70" s="18" t="n">
        <v>296944.56</v>
      </c>
      <c r="O70" s="18" t="n">
        <v>264587.57</v>
      </c>
      <c r="P70" s="37" t="n">
        <v>1048027.15</v>
      </c>
      <c r="Q70" s="18" t="n">
        <v>349950.6</v>
      </c>
      <c r="R70" s="18" t="n">
        <v>709194.09</v>
      </c>
      <c r="S70" s="18" t="n">
        <v>706722.25</v>
      </c>
      <c r="T70" s="18" t="n">
        <v>829500.49</v>
      </c>
      <c r="U70" s="37" t="n">
        <v>2595367.43</v>
      </c>
      <c r="V70" s="18" t="n">
        <v>1161906.22</v>
      </c>
      <c r="W70" s="18" t="n">
        <v>1302000.67</v>
      </c>
      <c r="X70" s="18" t="n">
        <v>1397646.85</v>
      </c>
      <c r="Y70" s="18" t="n">
        <v>1466867.31</v>
      </c>
      <c r="Z70" s="37" t="n">
        <v>5328421.05</v>
      </c>
      <c r="AA70" s="18" t="n">
        <v>1744626.39</v>
      </c>
      <c r="AB70" s="19" t="n">
        <v>2083629.11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판관비</t>
        </is>
      </c>
      <c r="E71" s="18" t="n">
        <v>327305.99</v>
      </c>
      <c r="F71" s="9" t="n"/>
      <c r="G71" s="18" t="n">
        <v>222310.89</v>
      </c>
      <c r="H71" s="18" t="n">
        <v>210792.41</v>
      </c>
      <c r="I71" s="18" t="n">
        <v>221802.67</v>
      </c>
      <c r="J71" s="18" t="n">
        <v>67094.19</v>
      </c>
      <c r="K71" s="37" t="n">
        <v>722000.16</v>
      </c>
      <c r="L71" s="18" t="n">
        <v>222809.96</v>
      </c>
      <c r="M71" s="18" t="n">
        <v>211472.72</v>
      </c>
      <c r="N71" s="18" t="n">
        <v>227987.2</v>
      </c>
      <c r="O71" s="18" t="n">
        <v>103496.54</v>
      </c>
      <c r="P71" s="37" t="n">
        <v>765766.42</v>
      </c>
      <c r="Q71" s="18" t="n">
        <v>189788.02</v>
      </c>
      <c r="R71" s="18" t="n">
        <v>332729.09</v>
      </c>
      <c r="S71" s="18" t="n">
        <v>308314.67</v>
      </c>
      <c r="T71" s="18" t="n">
        <v>330445.16</v>
      </c>
      <c r="U71" s="37" t="n">
        <v>1161276.94</v>
      </c>
      <c r="V71" s="18" t="n">
        <v>302751.78</v>
      </c>
      <c r="W71" s="18" t="n">
        <v>348359.63</v>
      </c>
      <c r="X71" s="18" t="n">
        <v>343871.63</v>
      </c>
      <c r="Y71" s="18" t="n">
        <v>428948.43</v>
      </c>
      <c r="Z71" s="37" t="n">
        <v>1423931.47</v>
      </c>
      <c r="AA71" s="18" t="n">
        <v>388656.27</v>
      </c>
      <c r="AB71" s="19" t="n">
        <v>438482.73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영업이익</t>
        </is>
      </c>
      <c r="E72" s="18" t="n">
        <v>-696758.26</v>
      </c>
      <c r="F72" s="9" t="n"/>
      <c r="G72" s="18" t="n">
        <v>-396395.83</v>
      </c>
      <c r="H72" s="18" t="n">
        <v>-265085</v>
      </c>
      <c r="I72" s="18" t="n">
        <v>188736.28</v>
      </c>
      <c r="J72" s="18" t="n">
        <v>117183.96</v>
      </c>
      <c r="K72" s="37" t="n">
        <v>-355560.59</v>
      </c>
      <c r="L72" s="18" t="n">
        <v>-19044.26</v>
      </c>
      <c r="M72" s="18" t="n">
        <v>71256.60000000001</v>
      </c>
      <c r="N72" s="18" t="n">
        <v>68957.35000000001</v>
      </c>
      <c r="O72" s="18" t="n">
        <v>161091.03</v>
      </c>
      <c r="P72" s="37" t="n">
        <v>282260.72</v>
      </c>
      <c r="Q72" s="18" t="n">
        <v>160162.57</v>
      </c>
      <c r="R72" s="18" t="n">
        <v>376465</v>
      </c>
      <c r="S72" s="18" t="n">
        <v>398407.58</v>
      </c>
      <c r="T72" s="18" t="n">
        <v>499055.34</v>
      </c>
      <c r="U72" s="37" t="n">
        <v>1434090.49</v>
      </c>
      <c r="V72" s="18" t="n">
        <v>859154.45</v>
      </c>
      <c r="W72" s="18" t="n">
        <v>953641.03</v>
      </c>
      <c r="X72" s="18" t="n">
        <v>1053775.23</v>
      </c>
      <c r="Y72" s="18" t="n">
        <v>1037918.87</v>
      </c>
      <c r="Z72" s="37" t="n">
        <v>3904489.58</v>
      </c>
      <c r="AA72" s="18" t="n">
        <v>1355970.12</v>
      </c>
      <c r="AB72" s="19" t="n">
        <v>1645146.38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금융수익</t>
        </is>
      </c>
      <c r="E73" s="18" t="n">
        <v>99675.03</v>
      </c>
      <c r="F73" s="9" t="n"/>
      <c r="G73" s="18" t="n">
        <v>302131.07</v>
      </c>
      <c r="H73" s="18" t="n">
        <v>674396.92</v>
      </c>
      <c r="I73" s="18" t="n">
        <v>1105446.86</v>
      </c>
      <c r="J73" s="18" t="n">
        <v>84883.87</v>
      </c>
      <c r="K73" s="37" t="n">
        <v>2166858.72</v>
      </c>
      <c r="L73" s="18" t="n">
        <v>486109.7</v>
      </c>
      <c r="M73" s="18" t="n">
        <v>295877.12</v>
      </c>
      <c r="N73" s="18" t="n">
        <v>381594.4</v>
      </c>
      <c r="O73" s="18" t="n">
        <v>109828.84</v>
      </c>
      <c r="P73" s="37" t="n">
        <v>1273410.06</v>
      </c>
      <c r="Q73" s="18" t="n">
        <v>562301.87</v>
      </c>
      <c r="R73" s="18" t="n">
        <v>411062.03</v>
      </c>
      <c r="S73" s="18" t="n">
        <v>1436944.45</v>
      </c>
      <c r="T73" s="18" t="n">
        <v>782980.02</v>
      </c>
      <c r="U73" s="37" t="n">
        <v>3193288.37</v>
      </c>
      <c r="V73" s="18" t="n">
        <v>321348.43</v>
      </c>
      <c r="W73" s="18" t="n">
        <v>2599835.37</v>
      </c>
      <c r="X73" s="18" t="n">
        <v>731596.12</v>
      </c>
      <c r="Y73" s="18" t="n">
        <v>-140290.99</v>
      </c>
      <c r="Z73" s="37" t="n">
        <v>3512488.93</v>
      </c>
      <c r="AA73" s="18" t="n">
        <v>849230.39</v>
      </c>
      <c r="AB73" s="19" t="n">
        <v>1074421.34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금융비용</t>
        </is>
      </c>
      <c r="E74" s="18" t="n">
        <v>113466.04</v>
      </c>
      <c r="F74" s="9" t="n"/>
      <c r="G74" s="18" t="n">
        <v>365911.48</v>
      </c>
      <c r="H74" s="18" t="n">
        <v>1677729.68</v>
      </c>
      <c r="I74" s="18" t="n">
        <v>2986823.21</v>
      </c>
      <c r="J74" s="18" t="n">
        <v>-2192068.23</v>
      </c>
      <c r="K74" s="37" t="n">
        <v>2838396.14</v>
      </c>
      <c r="L74" s="18" t="n">
        <v>1259596.38</v>
      </c>
      <c r="M74" s="18" t="n">
        <v>389157.89</v>
      </c>
      <c r="N74" s="18" t="n">
        <v>978487.1899999999</v>
      </c>
      <c r="O74" s="18" t="n">
        <v>-487653.74</v>
      </c>
      <c r="P74" s="37" t="n">
        <v>2139587.72</v>
      </c>
      <c r="Q74" s="18" t="n">
        <v>1466661.7</v>
      </c>
      <c r="R74" s="18" t="n">
        <v>1168172.86</v>
      </c>
      <c r="S74" s="18" t="n">
        <v>715575.95</v>
      </c>
      <c r="T74" s="18" t="n">
        <v>3144413.44</v>
      </c>
      <c r="U74" s="37" t="n">
        <v>6494823.95</v>
      </c>
      <c r="V74" s="18" t="n">
        <v>547228.71</v>
      </c>
      <c r="W74" s="18" t="n">
        <v>949013.33</v>
      </c>
      <c r="X74" s="18" t="n">
        <v>1719400.67</v>
      </c>
      <c r="Y74" s="18" t="n">
        <v>667698.05</v>
      </c>
      <c r="Z74" s="37" t="n">
        <v>3883340.76</v>
      </c>
      <c r="AA74" s="18" t="n">
        <v>2229310.99</v>
      </c>
      <c r="AB74" s="19" t="n">
        <v>1289073.09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기타영업외수익</t>
        </is>
      </c>
      <c r="E75" s="18" t="n">
        <v>14205.93</v>
      </c>
      <c r="F75" s="9" t="n"/>
      <c r="G75" s="18" t="n">
        <v>148724.27</v>
      </c>
      <c r="H75" s="18" t="n">
        <v>1158851.58</v>
      </c>
      <c r="I75" s="18" t="n">
        <v>2276886.16</v>
      </c>
      <c r="J75" s="18" t="n">
        <v>-2219020.49</v>
      </c>
      <c r="K75" s="37" t="n">
        <v>1365441.52</v>
      </c>
      <c r="L75" s="18" t="n">
        <v>737265.25</v>
      </c>
      <c r="M75" s="18" t="n">
        <v>116488.52</v>
      </c>
      <c r="N75" s="18" t="n">
        <v>677647.13</v>
      </c>
      <c r="O75" s="18" t="n">
        <v>-612388.8199999999</v>
      </c>
      <c r="P75" s="37" t="n">
        <v>919012.08</v>
      </c>
      <c r="Q75" s="18" t="n">
        <v>1082684.59</v>
      </c>
      <c r="R75" s="18" t="n">
        <v>863504.14</v>
      </c>
      <c r="S75" s="18" t="n">
        <v>26009.55</v>
      </c>
      <c r="T75" s="18" t="n">
        <v>2765121.39</v>
      </c>
      <c r="U75" s="37" t="n">
        <v>4737319.67</v>
      </c>
      <c r="V75" s="18" t="n">
        <v>239842.36</v>
      </c>
      <c r="W75" s="18" t="n">
        <v>36143.85</v>
      </c>
      <c r="X75" s="18" t="n">
        <v>1126875.09</v>
      </c>
      <c r="Y75" s="18" t="n">
        <v>508596.43</v>
      </c>
      <c r="Z75" s="37" t="n">
        <v>1911457.73</v>
      </c>
      <c r="AA75" s="18" t="n">
        <v>1709624.43</v>
      </c>
      <c r="AB75" s="19" t="n">
        <v>779789.55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기타영업외비용</t>
        </is>
      </c>
      <c r="E76" s="18" t="n">
        <v>307190.98</v>
      </c>
      <c r="F76" s="9" t="n"/>
      <c r="G76" s="18" t="n">
        <v>71416.94</v>
      </c>
      <c r="H76" s="18" t="n">
        <v>41618.98</v>
      </c>
      <c r="I76" s="18" t="n">
        <v>179216.98</v>
      </c>
      <c r="J76" s="18" t="n">
        <v>475695.26</v>
      </c>
      <c r="K76" s="37" t="n">
        <v>767948.16</v>
      </c>
      <c r="L76" s="18" t="n">
        <v>92296.57000000001</v>
      </c>
      <c r="M76" s="18" t="n">
        <v>43014.44</v>
      </c>
      <c r="N76" s="18" t="n">
        <v>24879.55</v>
      </c>
      <c r="O76" s="18" t="n">
        <v>183029.24</v>
      </c>
      <c r="P76" s="37" t="n">
        <v>343219.8</v>
      </c>
      <c r="Q76" s="18" t="n">
        <v>89172.46000000001</v>
      </c>
      <c r="R76" s="18" t="n">
        <v>26988.92</v>
      </c>
      <c r="S76" s="18" t="n">
        <v>928897.9399999999</v>
      </c>
      <c r="T76" s="18" t="n">
        <v>2012.94</v>
      </c>
      <c r="U76" s="37" t="n">
        <v>1047072.26</v>
      </c>
      <c r="V76" s="18" t="n">
        <v>74061.5</v>
      </c>
      <c r="W76" s="18" t="n">
        <v>2094746.69</v>
      </c>
      <c r="X76" s="18" t="n">
        <v>53837.35</v>
      </c>
      <c r="Y76" s="18" t="n">
        <v>-343651.61</v>
      </c>
      <c r="Z76" s="37" t="n">
        <v>1878993.93</v>
      </c>
      <c r="AA76" s="18" t="n">
        <v>117625.14</v>
      </c>
      <c r="AB76" s="19" t="n">
        <v>47688.9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종속기업,공동지배기업및관계기업관련손익</t>
        </is>
      </c>
      <c r="E77" s="18" t="n">
        <v>-174.16</v>
      </c>
      <c r="F77" s="9" t="n"/>
      <c r="G77" s="18" t="n">
        <v>-41.21</v>
      </c>
      <c r="H77" s="18" t="n">
        <v>-146.54</v>
      </c>
      <c r="I77" s="18" t="n">
        <v>-15.37</v>
      </c>
      <c r="J77" s="18" t="n">
        <v>-1287.46</v>
      </c>
      <c r="K77" s="37" t="n">
        <v>-1490.58</v>
      </c>
      <c r="L77" s="18" t="n">
        <v>22</v>
      </c>
      <c r="M77" s="18" t="n">
        <v>-18.18</v>
      </c>
      <c r="N77" s="18" t="n">
        <v>25.48</v>
      </c>
      <c r="O77" s="18" t="n">
        <v>49.67</v>
      </c>
      <c r="P77" s="37" t="n">
        <v>78.97</v>
      </c>
      <c r="Q77" s="18" t="n">
        <v>-196.08</v>
      </c>
      <c r="R77" s="18" t="n">
        <v>27.23</v>
      </c>
      <c r="S77" s="18" t="n">
        <v>9.26</v>
      </c>
      <c r="T77" s="18" t="n">
        <v>20.32</v>
      </c>
      <c r="U77" s="37" t="n">
        <v>-139.27</v>
      </c>
      <c r="V77" s="18" t="n">
        <v>100.38</v>
      </c>
      <c r="W77" s="18" t="n">
        <v>74.98999999999999</v>
      </c>
      <c r="X77" s="18" t="n">
        <v>63.8</v>
      </c>
      <c r="Y77" s="18" t="n">
        <v>-34.16</v>
      </c>
      <c r="Z77" s="37" t="n">
        <v>205.01</v>
      </c>
      <c r="AA77" s="18" t="n">
        <v>15.87</v>
      </c>
      <c r="AB77" s="19" t="n">
        <v>6.83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지분법관련손익</t>
        </is>
      </c>
      <c r="E78" s="18" t="n">
        <v>-174.16</v>
      </c>
      <c r="F78" s="9" t="n"/>
      <c r="G78" s="18" t="n">
        <v>-41.21</v>
      </c>
      <c r="H78" s="18" t="n">
        <v>-146.54</v>
      </c>
      <c r="I78" s="18" t="n">
        <v>-15.37</v>
      </c>
      <c r="J78" s="18" t="n">
        <v>-1287.46</v>
      </c>
      <c r="K78" s="37" t="n">
        <v>-1490.58</v>
      </c>
      <c r="L78" s="18" t="n">
        <v>22</v>
      </c>
      <c r="M78" s="18" t="n">
        <v>-18.18</v>
      </c>
      <c r="N78" s="18" t="n">
        <v>25.48</v>
      </c>
      <c r="O78" s="18" t="n">
        <v>49.67</v>
      </c>
      <c r="P78" s="37" t="n">
        <v>78.97</v>
      </c>
      <c r="Q78" s="18" t="n">
        <v>-196.08</v>
      </c>
      <c r="R78" s="18" t="n">
        <v>27.23</v>
      </c>
      <c r="S78" s="18" t="n">
        <v>9.26</v>
      </c>
      <c r="T78" s="18" t="n">
        <v>20.32</v>
      </c>
      <c r="U78" s="37" t="n">
        <v>-139.27</v>
      </c>
      <c r="V78" s="18" t="n">
        <v>100.38</v>
      </c>
      <c r="W78" s="18" t="n">
        <v>74.98999999999999</v>
      </c>
      <c r="X78" s="18" t="n">
        <v>63.8</v>
      </c>
      <c r="Y78" s="18" t="n">
        <v>-34.16</v>
      </c>
      <c r="Z78" s="37" t="n">
        <v>205.01</v>
      </c>
      <c r="AA78" s="18" t="n">
        <v>15.87</v>
      </c>
      <c r="AB78" s="19" t="n">
        <v>6.83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법인세비용차감전계속사업이익</t>
        </is>
      </c>
      <c r="E79" s="18" t="n">
        <v>-1003708.48</v>
      </c>
      <c r="F79" s="9" t="n"/>
      <c r="G79" s="18" t="n">
        <v>-382910.12</v>
      </c>
      <c r="H79" s="18" t="n">
        <v>-151331.7</v>
      </c>
      <c r="I79" s="18" t="n">
        <v>405013.74</v>
      </c>
      <c r="J79" s="18" t="n">
        <v>-301867.16</v>
      </c>
      <c r="K79" s="37" t="n">
        <v>-431095.24</v>
      </c>
      <c r="L79" s="18" t="n">
        <v>-147540.24</v>
      </c>
      <c r="M79" s="18" t="n">
        <v>51431.72</v>
      </c>
      <c r="N79" s="18" t="n">
        <v>124857.62</v>
      </c>
      <c r="O79" s="18" t="n">
        <v>-36794.78</v>
      </c>
      <c r="P79" s="37" t="n">
        <v>-8045.68</v>
      </c>
      <c r="Q79" s="18" t="n">
        <v>249118.8</v>
      </c>
      <c r="R79" s="18" t="n">
        <v>455896.62</v>
      </c>
      <c r="S79" s="18" t="n">
        <v>216896.95</v>
      </c>
      <c r="T79" s="18" t="n">
        <v>900750.6899999999</v>
      </c>
      <c r="U79" s="37" t="n">
        <v>1822663.06</v>
      </c>
      <c r="V79" s="18" t="n">
        <v>799155.42</v>
      </c>
      <c r="W79" s="18" t="n">
        <v>545935.22</v>
      </c>
      <c r="X79" s="18" t="n">
        <v>1139072.22</v>
      </c>
      <c r="Y79" s="18" t="n">
        <v>1082143.7</v>
      </c>
      <c r="Z79" s="37" t="n">
        <v>3566306.56</v>
      </c>
      <c r="AA79" s="18" t="n">
        <v>1567904.68</v>
      </c>
      <c r="AB79" s="19" t="n">
        <v>2162602.12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법인세비용</t>
        </is>
      </c>
      <c r="E80" s="18" t="n">
        <v>-328418.7</v>
      </c>
      <c r="F80" s="9" t="n"/>
      <c r="G80" s="18" t="n">
        <v>-89750.08</v>
      </c>
      <c r="H80" s="18" t="n">
        <v>-45732.17</v>
      </c>
      <c r="I80" s="18" t="n">
        <v>89182.11</v>
      </c>
      <c r="J80" s="18" t="n">
        <v>-89618.03</v>
      </c>
      <c r="K80" s="37" t="n">
        <v>-135918.17</v>
      </c>
      <c r="L80" s="18" t="n">
        <v>4308.73</v>
      </c>
      <c r="M80" s="18" t="n">
        <v>12022.74</v>
      </c>
      <c r="N80" s="18" t="n">
        <v>-221034.56</v>
      </c>
      <c r="O80" s="18" t="n">
        <v>51727.13</v>
      </c>
      <c r="P80" s="37" t="n">
        <v>-152975.96</v>
      </c>
      <c r="Q80" s="18" t="n">
        <v>55773.12</v>
      </c>
      <c r="R80" s="18" t="n">
        <v>98117.64999999999</v>
      </c>
      <c r="S80" s="18" t="n">
        <v>40511.93</v>
      </c>
      <c r="T80" s="18" t="n">
        <v>173680.25</v>
      </c>
      <c r="U80" s="37" t="n">
        <v>368082.95</v>
      </c>
      <c r="V80" s="18" t="n">
        <v>187530.13</v>
      </c>
      <c r="W80" s="18" t="n">
        <v>98862.17999999999</v>
      </c>
      <c r="X80" s="18" t="n">
        <v>262374.79</v>
      </c>
      <c r="Y80" s="18" t="n">
        <v>89144.2</v>
      </c>
      <c r="Z80" s="37" t="n">
        <v>637911.3</v>
      </c>
      <c r="AA80" s="18" t="n">
        <v>426492.62</v>
      </c>
      <c r="AB80" s="19" t="n">
        <v>568448.34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당기순이익</t>
        </is>
      </c>
      <c r="E81" s="18" t="n">
        <v>-675289.77</v>
      </c>
      <c r="F81" s="9" t="n"/>
      <c r="G81" s="18" t="n">
        <v>-293160.04</v>
      </c>
      <c r="H81" s="18" t="n">
        <v>-105599.54</v>
      </c>
      <c r="I81" s="18" t="n">
        <v>315831.63</v>
      </c>
      <c r="J81" s="18" t="n">
        <v>-212249.15</v>
      </c>
      <c r="K81" s="37" t="n">
        <v>-295177.1</v>
      </c>
      <c r="L81" s="18" t="n">
        <v>-151848.97</v>
      </c>
      <c r="M81" s="18" t="n">
        <v>39408.99</v>
      </c>
      <c r="N81" s="18" t="n">
        <v>345892.18</v>
      </c>
      <c r="O81" s="18" t="n">
        <v>-88521.92</v>
      </c>
      <c r="P81" s="37" t="n">
        <v>144930.28</v>
      </c>
      <c r="Q81" s="18" t="n">
        <v>193345.68</v>
      </c>
      <c r="R81" s="18" t="n">
        <v>357778.97</v>
      </c>
      <c r="S81" s="18" t="n">
        <v>176385.02</v>
      </c>
      <c r="T81" s="18" t="n">
        <v>727070.4399999999</v>
      </c>
      <c r="U81" s="37" t="n">
        <v>1454580.11</v>
      </c>
      <c r="V81" s="18" t="n">
        <v>611625.28</v>
      </c>
      <c r="W81" s="18" t="n">
        <v>447073.04</v>
      </c>
      <c r="X81" s="18" t="n">
        <v>876697.4399999999</v>
      </c>
      <c r="Y81" s="18" t="n">
        <v>992999.51</v>
      </c>
      <c r="Z81" s="37" t="n">
        <v>2928395.27</v>
      </c>
      <c r="AA81" s="18" t="n">
        <v>1141412.05</v>
      </c>
      <c r="AB81" s="19" t="n">
        <v>1594153.77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총포괄손익</t>
        </is>
      </c>
      <c r="E82" s="18" t="n">
        <v>-708042.54</v>
      </c>
      <c r="F82" s="9" t="n"/>
      <c r="G82" s="18" t="n">
        <v>-242252.97</v>
      </c>
      <c r="H82" s="18" t="n">
        <v>-124255.82</v>
      </c>
      <c r="I82" s="18" t="n">
        <v>308381.38</v>
      </c>
      <c r="J82" s="18" t="n">
        <v>-202084.75</v>
      </c>
      <c r="K82" s="37" t="n">
        <v>-260212.16</v>
      </c>
      <c r="L82" s="18" t="n">
        <v>-138057.14</v>
      </c>
      <c r="M82" s="18" t="n">
        <v>40512.07</v>
      </c>
      <c r="N82" s="18" t="n">
        <v>333812.57</v>
      </c>
      <c r="O82" s="18" t="n">
        <v>-247335.56</v>
      </c>
      <c r="P82" s="37" t="n">
        <v>-11068.06</v>
      </c>
      <c r="Q82" s="18" t="n">
        <v>190028.74</v>
      </c>
      <c r="R82" s="18" t="n">
        <v>357713.77</v>
      </c>
      <c r="S82" s="18" t="n">
        <v>177876.61</v>
      </c>
      <c r="T82" s="18" t="n">
        <v>549216.62</v>
      </c>
      <c r="U82" s="37" t="n">
        <v>1274835.74</v>
      </c>
      <c r="V82" s="18" t="n">
        <v>629032.12</v>
      </c>
      <c r="W82" s="18" t="n">
        <v>710535.8199999999</v>
      </c>
      <c r="X82" s="18" t="n">
        <v>888107.52</v>
      </c>
      <c r="Y82" s="18" t="n">
        <v>968531.85</v>
      </c>
      <c r="Z82" s="37" t="n">
        <v>3196207.31</v>
      </c>
      <c r="AA82" s="18" t="n">
        <v>1178885.04</v>
      </c>
      <c r="AB82" s="19" t="n">
        <v>1609242.49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(지배주주지분)당기순이익</t>
        </is>
      </c>
      <c r="E83" s="18" t="n">
        <v>-519774.03</v>
      </c>
      <c r="F83" s="9" t="n"/>
      <c r="G83" s="18" t="n">
        <v>-231682.21</v>
      </c>
      <c r="H83" s="18" t="n">
        <v>-116620.8</v>
      </c>
      <c r="I83" s="18" t="n">
        <v>227971.18</v>
      </c>
      <c r="J83" s="18" t="n">
        <v>-96617.78999999999</v>
      </c>
      <c r="K83" s="37" t="n">
        <v>-216949.62</v>
      </c>
      <c r="L83" s="18" t="n">
        <v>-139792.81</v>
      </c>
      <c r="M83" s="18" t="n">
        <v>49779.53</v>
      </c>
      <c r="N83" s="18" t="n">
        <v>336995.34</v>
      </c>
      <c r="O83" s="18" t="n">
        <v>-25271.07</v>
      </c>
      <c r="P83" s="37" t="n">
        <v>221710.99</v>
      </c>
      <c r="Q83" s="18" t="n">
        <v>188946.85</v>
      </c>
      <c r="R83" s="18" t="n">
        <v>292130.85</v>
      </c>
      <c r="S83" s="18" t="n">
        <v>151043.57</v>
      </c>
      <c r="T83" s="18" t="n">
        <v>540214.6800000001</v>
      </c>
      <c r="U83" s="37" t="n">
        <v>1172335.95</v>
      </c>
      <c r="W83" s="18" t="n">
        <v>356438.68</v>
      </c>
      <c r="X83" s="18" t="n">
        <v>633303.12</v>
      </c>
      <c r="Y83" s="18" t="n">
        <v>683273.4300000001</v>
      </c>
      <c r="Z83" s="9" t="n"/>
      <c r="AB83" s="19" t="n">
        <v>1287492.19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(비지배주주지분)당기순이익</t>
        </is>
      </c>
      <c r="E84" s="18" t="n">
        <v>-155515.74</v>
      </c>
      <c r="F84" s="9" t="n"/>
      <c r="G84" s="18" t="n">
        <v>-61477.84</v>
      </c>
      <c r="H84" s="18" t="n">
        <v>11021.26</v>
      </c>
      <c r="I84" s="18" t="n">
        <v>87860.44</v>
      </c>
      <c r="J84" s="18" t="n">
        <v>-115631.35</v>
      </c>
      <c r="K84" s="37" t="n">
        <v>-78227.49000000001</v>
      </c>
      <c r="L84" s="18" t="n">
        <v>-12056.17</v>
      </c>
      <c r="M84" s="18" t="n">
        <v>-10370.55</v>
      </c>
      <c r="N84" s="18" t="n">
        <v>8896.84</v>
      </c>
      <c r="O84" s="18" t="n">
        <v>-63250.85</v>
      </c>
      <c r="P84" s="37" t="n">
        <v>-76780.73</v>
      </c>
      <c r="Q84" s="18" t="n">
        <v>4398.83</v>
      </c>
      <c r="R84" s="18" t="n">
        <v>65648.12</v>
      </c>
      <c r="S84" s="18" t="n">
        <v>25341.44</v>
      </c>
      <c r="T84" s="18" t="n">
        <v>186855.76</v>
      </c>
      <c r="U84" s="37" t="n">
        <v>282244.15</v>
      </c>
      <c r="V84" s="18" t="n">
        <v>116228.08</v>
      </c>
      <c r="W84" s="18" t="n">
        <v>90634.37</v>
      </c>
      <c r="X84" s="18" t="n">
        <v>243394.32</v>
      </c>
      <c r="Y84" s="18" t="n">
        <v>309726.07</v>
      </c>
      <c r="Z84" s="37" t="n">
        <v>759982.84</v>
      </c>
      <c r="AA84" s="18" t="n">
        <v>297157.14</v>
      </c>
      <c r="AB84" s="19" t="n">
        <v>306661.58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금융손익</t>
        </is>
      </c>
      <c r="E85" s="18" t="n">
        <v>-13791.01</v>
      </c>
      <c r="F85" s="9" t="n"/>
      <c r="G85" s="18" t="n">
        <v>-63780.41</v>
      </c>
      <c r="H85" s="18" t="n">
        <v>-1003332.76</v>
      </c>
      <c r="I85" s="18" t="n">
        <v>-1881376.35</v>
      </c>
      <c r="J85" s="18" t="n">
        <v>2276952.1</v>
      </c>
      <c r="K85" s="37" t="n">
        <v>-671537.42</v>
      </c>
      <c r="L85" s="18" t="n">
        <v>-773486.6800000001</v>
      </c>
      <c r="M85" s="18" t="n">
        <v>-93280.77</v>
      </c>
      <c r="N85" s="18" t="n">
        <v>-596892.79</v>
      </c>
      <c r="O85" s="18" t="n">
        <v>597482.58</v>
      </c>
      <c r="P85" s="37" t="n">
        <v>-866177.66</v>
      </c>
      <c r="Q85" s="18" t="n">
        <v>-904359.83</v>
      </c>
      <c r="R85" s="18" t="n">
        <v>-757110.83</v>
      </c>
      <c r="S85" s="18" t="n">
        <v>721368.5</v>
      </c>
      <c r="T85" s="18" t="n">
        <v>-2361433.42</v>
      </c>
      <c r="U85" s="37" t="n">
        <v>-3301535.58</v>
      </c>
      <c r="V85" s="18" t="n">
        <v>-225880.28</v>
      </c>
      <c r="W85" s="18" t="n">
        <v>1650822.04</v>
      </c>
      <c r="X85" s="18" t="n">
        <v>-987804.55</v>
      </c>
      <c r="Y85" s="18" t="n">
        <v>-807989.04</v>
      </c>
      <c r="Z85" s="37" t="n">
        <v>-370851.83</v>
      </c>
      <c r="AA85" s="18" t="n">
        <v>-1380080.6</v>
      </c>
      <c r="AB85" s="19" t="n">
        <v>-214651.75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기타영업외손익</t>
        </is>
      </c>
      <c r="E86" s="18" t="n">
        <v>-292985.05</v>
      </c>
      <c r="F86" s="9" t="n"/>
      <c r="G86" s="18" t="n">
        <v>77307.33</v>
      </c>
      <c r="H86" s="18" t="n">
        <v>1117232.6</v>
      </c>
      <c r="I86" s="18" t="n">
        <v>2097669.18</v>
      </c>
      <c r="J86" s="18" t="n">
        <v>-2694715.75</v>
      </c>
      <c r="K86" s="37" t="n">
        <v>597493.36</v>
      </c>
      <c r="L86" s="18" t="n">
        <v>644968.6800000001</v>
      </c>
      <c r="M86" s="18" t="n">
        <v>73474.08</v>
      </c>
      <c r="N86" s="18" t="n">
        <v>652767.58</v>
      </c>
      <c r="O86" s="18" t="n">
        <v>-795418.0600000001</v>
      </c>
      <c r="P86" s="37" t="n">
        <v>575792.28</v>
      </c>
      <c r="Q86" s="18" t="n">
        <v>993512.13</v>
      </c>
      <c r="R86" s="18" t="n">
        <v>836515.22</v>
      </c>
      <c r="S86" s="18" t="n">
        <v>-902888.39</v>
      </c>
      <c r="T86" s="18" t="n">
        <v>2763108.45</v>
      </c>
      <c r="U86" s="37" t="n">
        <v>3690247.41</v>
      </c>
      <c r="V86" s="18" t="n">
        <v>165780.86</v>
      </c>
      <c r="W86" s="18" t="n">
        <v>-2058602.84</v>
      </c>
      <c r="X86" s="18" t="n">
        <v>1073037.74</v>
      </c>
      <c r="Y86" s="18" t="n">
        <v>852248.04</v>
      </c>
      <c r="Z86" s="37" t="n">
        <v>32463.8</v>
      </c>
      <c r="AA86" s="18" t="n">
        <v>1591999.29</v>
      </c>
      <c r="AB86" s="19" t="n">
        <v>732100.65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계속사업이익</t>
        </is>
      </c>
      <c r="E87" s="18" t="n">
        <v>-675289.77</v>
      </c>
      <c r="F87" s="9" t="n"/>
      <c r="G87" s="18" t="n">
        <v>-293160.04</v>
      </c>
      <c r="H87" s="18" t="n">
        <v>-105599.54</v>
      </c>
      <c r="I87" s="18" t="n">
        <v>315831.63</v>
      </c>
      <c r="J87" s="18" t="n">
        <v>-212249.15</v>
      </c>
      <c r="K87" s="37" t="n">
        <v>-295177.1</v>
      </c>
      <c r="L87" s="18" t="n">
        <v>-151848.97</v>
      </c>
      <c r="M87" s="18" t="n">
        <v>39408.99</v>
      </c>
      <c r="N87" s="18" t="n">
        <v>345892.18</v>
      </c>
      <c r="O87" s="18" t="n">
        <v>-88521.92</v>
      </c>
      <c r="P87" s="37" t="n">
        <v>144930.28</v>
      </c>
      <c r="Q87" s="18" t="n">
        <v>193345.68</v>
      </c>
      <c r="R87" s="18" t="n">
        <v>357778.97</v>
      </c>
      <c r="S87" s="18" t="n">
        <v>176385.02</v>
      </c>
      <c r="T87" s="18" t="n">
        <v>727070.4399999999</v>
      </c>
      <c r="U87" s="37" t="n">
        <v>1454580.11</v>
      </c>
      <c r="V87" s="18" t="n">
        <v>611625.28</v>
      </c>
      <c r="W87" s="18" t="n">
        <v>447073.04</v>
      </c>
      <c r="X87" s="18" t="n">
        <v>876697.4399999999</v>
      </c>
      <c r="Y87" s="18" t="n">
        <v>992999.51</v>
      </c>
      <c r="Z87" s="37" t="n">
        <v>2928395.27</v>
      </c>
      <c r="AA87" s="18" t="n">
        <v>1141412.05</v>
      </c>
      <c r="AB87" s="19" t="n">
        <v>1594153.77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이자수익</t>
        </is>
      </c>
      <c r="F88" s="9" t="n"/>
      <c r="G88" s="18" t="n">
        <v>19787</v>
      </c>
      <c r="H88" s="18" t="n">
        <v>26428</v>
      </c>
      <c r="I88" s="18" t="n">
        <v>38678</v>
      </c>
      <c r="J88" s="18" t="n">
        <v>49190</v>
      </c>
      <c r="K88" s="37" t="n">
        <v>134083</v>
      </c>
      <c r="L88" s="18" t="n">
        <v>45641</v>
      </c>
      <c r="M88" s="18" t="n">
        <v>45862</v>
      </c>
      <c r="N88" s="18" t="n">
        <v>50756</v>
      </c>
      <c r="O88" s="18" t="n">
        <v>59699</v>
      </c>
      <c r="P88" s="37" t="n">
        <v>201958</v>
      </c>
      <c r="Q88" s="18" t="n">
        <v>53146</v>
      </c>
      <c r="R88" s="18" t="n">
        <v>51184</v>
      </c>
      <c r="S88" s="18" t="n">
        <v>49722</v>
      </c>
      <c r="T88" s="18" t="n">
        <v>59022</v>
      </c>
      <c r="U88" s="37" t="n">
        <v>213074</v>
      </c>
      <c r="V88" s="18" t="n">
        <v>57847</v>
      </c>
      <c r="W88" s="18" t="n">
        <v>66767</v>
      </c>
      <c r="X88" s="18" t="n">
        <v>66049</v>
      </c>
      <c r="Y88" s="18" t="n">
        <v>64327</v>
      </c>
      <c r="Z88" s="37" t="n">
        <v>254990</v>
      </c>
      <c r="AA88" s="18" t="n">
        <v>66391</v>
      </c>
      <c r="AB88" s="19" t="n">
        <v>85010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배당금수익</t>
        </is>
      </c>
      <c r="F89" s="9" t="n"/>
      <c r="G89" s="18" t="n">
        <v>3043</v>
      </c>
      <c r="H89" s="18" t="n">
        <v>61</v>
      </c>
      <c r="I89" s="18" t="n">
        <v>14</v>
      </c>
      <c r="J89" s="18" t="n">
        <v>4</v>
      </c>
      <c r="K89" s="37" t="n">
        <v>3122</v>
      </c>
      <c r="L89" s="18" t="n">
        <v>5993</v>
      </c>
      <c r="M89" s="18" t="n">
        <v>30</v>
      </c>
      <c r="N89" s="18" t="n">
        <v>13</v>
      </c>
      <c r="O89" s="18" t="n">
        <v>4</v>
      </c>
      <c r="P89" s="37" t="n">
        <v>6040</v>
      </c>
      <c r="Q89" s="18" t="n">
        <v>3591</v>
      </c>
      <c r="R89" s="18" t="n">
        <v>26</v>
      </c>
      <c r="S89" s="18" t="n">
        <v>12</v>
      </c>
      <c r="T89" s="18" t="n">
        <v>3</v>
      </c>
      <c r="U89" s="37" t="n">
        <v>3632</v>
      </c>
      <c r="V89" s="18" t="n">
        <v>170</v>
      </c>
      <c r="W89" s="18" t="n">
        <v>3</v>
      </c>
      <c r="X89" s="18" t="n">
        <v>65</v>
      </c>
      <c r="Y89" s="18" t="n">
        <v>7</v>
      </c>
      <c r="Z89" s="37" t="n">
        <v>245</v>
      </c>
      <c r="AA89" s="18" t="n">
        <v>268</v>
      </c>
      <c r="AB89" s="19" t="n">
        <v>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이자비용</t>
        </is>
      </c>
      <c r="F90" s="9" t="n"/>
      <c r="G90" s="18" t="n">
        <v>37274</v>
      </c>
      <c r="H90" s="18" t="n">
        <v>41383</v>
      </c>
      <c r="I90" s="18" t="n">
        <v>44895</v>
      </c>
      <c r="J90" s="18" t="n">
        <v>42294</v>
      </c>
      <c r="K90" s="37" t="n">
        <v>165846</v>
      </c>
      <c r="L90" s="18" t="n">
        <v>49032</v>
      </c>
      <c r="M90" s="18" t="n">
        <v>55437</v>
      </c>
      <c r="N90" s="18" t="n">
        <v>59397</v>
      </c>
      <c r="O90" s="18" t="n">
        <v>30013</v>
      </c>
      <c r="P90" s="37" t="n">
        <v>193879</v>
      </c>
      <c r="Q90" s="18" t="n">
        <v>60072</v>
      </c>
      <c r="R90" s="18" t="n">
        <v>53985</v>
      </c>
      <c r="S90" s="18" t="n">
        <v>44262</v>
      </c>
      <c r="T90" s="18" t="n">
        <v>48003</v>
      </c>
      <c r="U90" s="37" t="n">
        <v>206322</v>
      </c>
      <c r="V90" s="18" t="n">
        <v>39703</v>
      </c>
      <c r="W90" s="18" t="n">
        <v>44880</v>
      </c>
      <c r="X90" s="18" t="n">
        <v>44101</v>
      </c>
      <c r="Y90" s="18" t="n">
        <v>30078</v>
      </c>
      <c r="Z90" s="37" t="n">
        <v>158762</v>
      </c>
      <c r="AA90" s="18" t="n">
        <v>38616</v>
      </c>
      <c r="AB90" s="19" t="n">
        <v>92377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외환차익</t>
        </is>
      </c>
      <c r="F91" s="9" t="n"/>
      <c r="G91" s="18" t="n">
        <v>118432</v>
      </c>
      <c r="H91" s="18" t="n">
        <v>274720</v>
      </c>
      <c r="I91" s="18" t="n">
        <v>389411</v>
      </c>
      <c r="J91" s="18" t="n">
        <v>442449</v>
      </c>
      <c r="K91" s="37" t="n">
        <v>1225012</v>
      </c>
      <c r="L91" s="18" t="n">
        <v>169088</v>
      </c>
      <c r="M91" s="18" t="n">
        <v>195142</v>
      </c>
      <c r="N91" s="18" t="n">
        <v>182709</v>
      </c>
      <c r="O91" s="18" t="n">
        <v>172623</v>
      </c>
      <c r="P91" s="37" t="n">
        <v>719562</v>
      </c>
      <c r="Q91" s="18" t="n">
        <v>203433</v>
      </c>
      <c r="R91" s="18" t="n">
        <v>302238</v>
      </c>
      <c r="S91" s="18" t="n">
        <v>155388</v>
      </c>
      <c r="T91" s="18" t="n">
        <v>285849</v>
      </c>
      <c r="U91" s="37" t="n">
        <v>946908</v>
      </c>
      <c r="V91" s="18" t="n">
        <v>162258</v>
      </c>
      <c r="W91" s="18" t="n">
        <v>241900</v>
      </c>
      <c r="X91" s="18" t="n">
        <v>176052</v>
      </c>
      <c r="Y91" s="18" t="n">
        <v>233393</v>
      </c>
      <c r="Z91" s="37" t="n">
        <v>813603</v>
      </c>
      <c r="AA91" s="18" t="n">
        <v>364975</v>
      </c>
      <c r="AB91" s="19" t="n">
        <v>448403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외환차손</t>
        </is>
      </c>
      <c r="F92" s="9" t="n"/>
      <c r="G92" s="18" t="n">
        <v>82004</v>
      </c>
      <c r="H92" s="18" t="n">
        <v>127890</v>
      </c>
      <c r="I92" s="18" t="n">
        <v>155572</v>
      </c>
      <c r="J92" s="18" t="n">
        <v>346753</v>
      </c>
      <c r="K92" s="37" t="n">
        <v>712219</v>
      </c>
      <c r="L92" s="18" t="n">
        <v>162231</v>
      </c>
      <c r="M92" s="18" t="n">
        <v>114338</v>
      </c>
      <c r="N92" s="18" t="n">
        <v>112360</v>
      </c>
      <c r="O92" s="18" t="n">
        <v>147961</v>
      </c>
      <c r="P92" s="37" t="n">
        <v>536890</v>
      </c>
      <c r="Q92" s="18" t="n">
        <v>98554</v>
      </c>
      <c r="R92" s="18" t="n">
        <v>121808</v>
      </c>
      <c r="S92" s="18" t="n">
        <v>143996</v>
      </c>
      <c r="T92" s="18" t="n">
        <v>116315</v>
      </c>
      <c r="U92" s="37" t="n">
        <v>480673</v>
      </c>
      <c r="V92" s="18" t="n">
        <v>236630</v>
      </c>
      <c r="W92" s="18" t="n">
        <v>472913</v>
      </c>
      <c r="X92" s="18" t="n">
        <v>282773</v>
      </c>
      <c r="Y92" s="18" t="n">
        <v>162019</v>
      </c>
      <c r="Z92" s="37" t="n">
        <v>1154335</v>
      </c>
      <c r="AA92" s="18" t="n">
        <v>217365</v>
      </c>
      <c r="AB92" s="19" t="n">
        <v>254597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외화환산이익</t>
        </is>
      </c>
      <c r="F93" s="9" t="n"/>
      <c r="G93" s="18" t="n">
        <v>96615</v>
      </c>
      <c r="H93" s="18" t="n">
        <v>274744</v>
      </c>
      <c r="I93" s="18" t="n">
        <v>510436</v>
      </c>
      <c r="J93" s="18" t="n">
        <v>-785382</v>
      </c>
      <c r="K93" s="37" t="n">
        <v>96413</v>
      </c>
      <c r="L93" s="18" t="n">
        <v>181716</v>
      </c>
      <c r="M93" s="18" t="n">
        <v>1</v>
      </c>
      <c r="N93" s="18" t="n">
        <v>116834</v>
      </c>
      <c r="O93" s="18" t="n">
        <v>-232029</v>
      </c>
      <c r="P93" s="37" t="n">
        <v>66522</v>
      </c>
      <c r="Q93" s="18" t="n">
        <v>241717</v>
      </c>
      <c r="R93" s="18" t="n">
        <v>45241</v>
      </c>
      <c r="S93" s="18" t="n">
        <v>0</v>
      </c>
      <c r="T93" s="18" t="n">
        <v>530784</v>
      </c>
      <c r="U93" s="37" t="n">
        <v>817742</v>
      </c>
      <c r="V93" s="18" t="n">
        <v>52531</v>
      </c>
      <c r="W93" s="18" t="n">
        <v>52397</v>
      </c>
      <c r="X93" s="18" t="n">
        <v>334500</v>
      </c>
      <c r="Y93" s="18" t="n">
        <v>51326</v>
      </c>
      <c r="Z93" s="37" t="n">
        <v>490754</v>
      </c>
      <c r="AA93" s="18" t="n">
        <v>381838</v>
      </c>
      <c r="AB93" s="19" t="n">
        <v>135499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외화환산손실</t>
        </is>
      </c>
      <c r="F94" s="9" t="n"/>
      <c r="G94" s="18" t="n">
        <v>55420</v>
      </c>
      <c r="H94" s="18" t="n">
        <v>169680</v>
      </c>
      <c r="I94" s="18" t="n">
        <v>302658</v>
      </c>
      <c r="J94" s="18" t="n">
        <v>-89492</v>
      </c>
      <c r="K94" s="37" t="n">
        <v>438266</v>
      </c>
      <c r="L94" s="18" t="n">
        <v>66574</v>
      </c>
      <c r="M94" s="18" t="n">
        <v>40232</v>
      </c>
      <c r="N94" s="18" t="n">
        <v>46779</v>
      </c>
      <c r="O94" s="18" t="n">
        <v>46200</v>
      </c>
      <c r="P94" s="37" t="n">
        <v>199785</v>
      </c>
      <c r="Q94" s="18" t="n">
        <v>74042</v>
      </c>
      <c r="R94" s="18" t="n">
        <v>26859</v>
      </c>
      <c r="S94" s="18" t="n">
        <v>345213</v>
      </c>
      <c r="T94" s="18" t="n">
        <v>-20614</v>
      </c>
      <c r="U94" s="37" t="n">
        <v>425500</v>
      </c>
      <c r="V94" s="18" t="n">
        <v>27360</v>
      </c>
      <c r="W94" s="18" t="n">
        <v>410728</v>
      </c>
      <c r="X94" s="18" t="n">
        <v>0</v>
      </c>
      <c r="Y94" s="18" t="n">
        <v>-10246</v>
      </c>
      <c r="Z94" s="37" t="n">
        <v>427842</v>
      </c>
      <c r="AA94" s="18" t="n">
        <v>91407</v>
      </c>
      <c r="AB94" s="19" t="n">
        <v>142777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파생상품이익</t>
        </is>
      </c>
      <c r="F95" s="9" t="n"/>
      <c r="G95" s="18" t="n">
        <v>61226</v>
      </c>
      <c r="H95" s="18" t="n">
        <v>96386</v>
      </c>
      <c r="I95" s="18" t="n">
        <v>165783</v>
      </c>
      <c r="J95" s="18" t="n">
        <v>369626</v>
      </c>
      <c r="K95" s="37" t="n">
        <v>693021</v>
      </c>
      <c r="L95" s="18" t="n">
        <v>79888</v>
      </c>
      <c r="M95" s="18" t="n">
        <v>54731</v>
      </c>
      <c r="N95" s="18" t="n">
        <v>26643</v>
      </c>
      <c r="O95" s="18" t="n">
        <v>109137</v>
      </c>
      <c r="P95" s="37" t="n">
        <v>270399</v>
      </c>
      <c r="Q95" s="18" t="n">
        <v>59757</v>
      </c>
      <c r="R95" s="18" t="n">
        <v>10889</v>
      </c>
      <c r="S95" s="18" t="n">
        <v>1230188</v>
      </c>
      <c r="T95" s="18" t="n">
        <v>-91936</v>
      </c>
      <c r="U95" s="37" t="n">
        <v>1208898</v>
      </c>
      <c r="V95" s="18" t="n">
        <v>48443</v>
      </c>
      <c r="W95" s="18" t="n">
        <v>2232287</v>
      </c>
      <c r="X95" s="18" t="n">
        <v>154810</v>
      </c>
      <c r="Y95" s="18" t="n">
        <v>-488050</v>
      </c>
      <c r="Z95" s="37" t="n">
        <v>1947490</v>
      </c>
      <c r="AA95" s="18" t="n">
        <v>35563</v>
      </c>
      <c r="AB95" s="19" t="n">
        <v>24996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파생상품손실</t>
        </is>
      </c>
      <c r="F96" s="9" t="n"/>
      <c r="G96" s="18" t="n">
        <v>190965</v>
      </c>
      <c r="H96" s="18" t="n">
        <v>1326157</v>
      </c>
      <c r="I96" s="18" t="n">
        <v>2447648</v>
      </c>
      <c r="J96" s="18" t="n">
        <v>-2489684</v>
      </c>
      <c r="K96" s="37" t="n">
        <v>1475086</v>
      </c>
      <c r="L96" s="18" t="n">
        <v>829138</v>
      </c>
      <c r="M96" s="18" t="n">
        <v>173207</v>
      </c>
      <c r="N96" s="18" t="n">
        <v>758543</v>
      </c>
      <c r="O96" s="18" t="n">
        <v>-713014</v>
      </c>
      <c r="P96" s="37" t="n">
        <v>1047874</v>
      </c>
      <c r="Q96" s="18" t="n">
        <v>1233915</v>
      </c>
      <c r="R96" s="18" t="n">
        <v>965463</v>
      </c>
      <c r="S96" s="18" t="n">
        <v>182105</v>
      </c>
      <c r="T96" s="18" t="n">
        <v>3000352</v>
      </c>
      <c r="U96" s="37" t="n">
        <v>5381835</v>
      </c>
      <c r="V96" s="18" t="n">
        <v>243285</v>
      </c>
      <c r="W96" s="18" t="n">
        <v>10711</v>
      </c>
      <c r="X96" s="18" t="n">
        <v>1392245</v>
      </c>
      <c r="Y96" s="18" t="n">
        <v>462356</v>
      </c>
      <c r="Z96" s="37" t="n">
        <v>2108597</v>
      </c>
      <c r="AA96" s="18" t="n">
        <v>1881727</v>
      </c>
      <c r="AB96" s="19" t="n">
        <v>799209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이자손익</t>
        </is>
      </c>
      <c r="F97" s="9" t="n"/>
      <c r="G97" s="18" t="n">
        <v>-17487</v>
      </c>
      <c r="H97" s="18" t="n">
        <v>-14955</v>
      </c>
      <c r="I97" s="18" t="n">
        <v>-6217</v>
      </c>
      <c r="J97" s="18" t="n">
        <v>6896</v>
      </c>
      <c r="K97" s="37" t="n">
        <v>-31763</v>
      </c>
      <c r="L97" s="18" t="n">
        <v>-3391</v>
      </c>
      <c r="M97" s="18" t="n">
        <v>-9575</v>
      </c>
      <c r="N97" s="18" t="n">
        <v>-8641</v>
      </c>
      <c r="O97" s="18" t="n">
        <v>29686</v>
      </c>
      <c r="P97" s="37" t="n">
        <v>8079</v>
      </c>
      <c r="Q97" s="18" t="n">
        <v>-6926</v>
      </c>
      <c r="R97" s="18" t="n">
        <v>-2801</v>
      </c>
      <c r="S97" s="18" t="n">
        <v>5460</v>
      </c>
      <c r="T97" s="18" t="n">
        <v>11019</v>
      </c>
      <c r="U97" s="37" t="n">
        <v>6752</v>
      </c>
      <c r="V97" s="18" t="n">
        <v>18144</v>
      </c>
      <c r="W97" s="18" t="n">
        <v>21887</v>
      </c>
      <c r="X97" s="18" t="n">
        <v>21948</v>
      </c>
      <c r="Y97" s="18" t="n">
        <v>34249</v>
      </c>
      <c r="Z97" s="37" t="n">
        <v>96228</v>
      </c>
      <c r="AA97" s="18" t="n">
        <v>27775</v>
      </c>
      <c r="AB97" s="19" t="n">
        <v>-7367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영업활동으로인한현금흐름</t>
        </is>
      </c>
      <c r="E98" s="18" t="n">
        <v>-441452.68</v>
      </c>
      <c r="F98" s="9" t="n"/>
      <c r="G98" s="18" t="n">
        <v>19429.74</v>
      </c>
      <c r="H98" s="18" t="n">
        <v>208403.68</v>
      </c>
      <c r="I98" s="18" t="n">
        <v>191575.98</v>
      </c>
      <c r="J98" s="18" t="n">
        <v>42836.37</v>
      </c>
      <c r="K98" s="37" t="n">
        <v>462245.77</v>
      </c>
      <c r="L98" s="18" t="n">
        <v>762750.9300000001</v>
      </c>
      <c r="M98" s="18" t="n">
        <v>542991.39</v>
      </c>
      <c r="N98" s="18" t="n">
        <v>944715.27</v>
      </c>
      <c r="O98" s="18" t="n">
        <v>-168866.66</v>
      </c>
      <c r="P98" s="37" t="n">
        <v>2081590.93</v>
      </c>
      <c r="Q98" s="18" t="n">
        <v>755596.45</v>
      </c>
      <c r="R98" s="18" t="n">
        <v>1526057.79</v>
      </c>
      <c r="S98" s="18" t="n">
        <v>119321.75</v>
      </c>
      <c r="T98" s="18" t="n">
        <v>1887684.19</v>
      </c>
      <c r="U98" s="37" t="n">
        <v>4288660.18</v>
      </c>
      <c r="V98" s="18" t="n">
        <v>2184544.04</v>
      </c>
      <c r="W98" s="18" t="n">
        <v>1082950.18</v>
      </c>
      <c r="X98" s="18" t="n">
        <v>1702441.67</v>
      </c>
      <c r="Y98" s="18" t="n">
        <v>-547885.25</v>
      </c>
      <c r="Z98" s="37" t="n">
        <v>4422050.64</v>
      </c>
      <c r="AA98" s="18" t="n">
        <v>1775559.42</v>
      </c>
      <c r="AB98" s="19" t="n">
        <v>2603951.37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이자수취(CF)</t>
        </is>
      </c>
      <c r="E99" s="18" t="n">
        <v>16996.82</v>
      </c>
      <c r="F99" s="9" t="n"/>
      <c r="G99" s="18" t="n">
        <v>18414.8</v>
      </c>
      <c r="H99" s="18" t="n">
        <v>22974.54</v>
      </c>
      <c r="I99" s="18" t="n">
        <v>31343.76</v>
      </c>
      <c r="J99" s="18" t="n">
        <v>51703.69</v>
      </c>
      <c r="K99" s="37" t="n">
        <v>124436.79</v>
      </c>
      <c r="L99" s="18" t="n">
        <v>47765.21</v>
      </c>
      <c r="M99" s="18" t="n">
        <v>41450.99</v>
      </c>
      <c r="N99" s="18" t="n">
        <v>37646.93</v>
      </c>
      <c r="O99" s="18" t="n">
        <v>61566.25</v>
      </c>
      <c r="P99" s="37" t="n">
        <v>188429.38</v>
      </c>
      <c r="Q99" s="18" t="n">
        <v>65644.19</v>
      </c>
      <c r="R99" s="18" t="n">
        <v>50606.21</v>
      </c>
      <c r="S99" s="18" t="n">
        <v>48306.57</v>
      </c>
      <c r="T99" s="18" t="n">
        <v>51513.17</v>
      </c>
      <c r="U99" s="37" t="n">
        <v>216070.14</v>
      </c>
      <c r="V99" s="18" t="n">
        <v>48068.96</v>
      </c>
      <c r="W99" s="18" t="n">
        <v>69575.62</v>
      </c>
      <c r="X99" s="18" t="n">
        <v>61388.33</v>
      </c>
      <c r="Y99" s="18" t="n">
        <v>46506.68</v>
      </c>
      <c r="Z99" s="37" t="n">
        <v>225539.59</v>
      </c>
      <c r="AA99" s="18" t="n">
        <v>62709.95</v>
      </c>
      <c r="AB99" s="19" t="n">
        <v>89592.67999999999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이자지급(CF)</t>
        </is>
      </c>
      <c r="E100" s="18" t="n">
        <v>-33999.42</v>
      </c>
      <c r="F100" s="9" t="n"/>
      <c r="G100" s="18" t="n">
        <v>-29831.84</v>
      </c>
      <c r="H100" s="18" t="n">
        <v>-31392.63</v>
      </c>
      <c r="I100" s="18" t="n">
        <v>-34973.1</v>
      </c>
      <c r="J100" s="18" t="n">
        <v>-32004.07</v>
      </c>
      <c r="K100" s="37" t="n">
        <v>-128201.64</v>
      </c>
      <c r="L100" s="18" t="n">
        <v>-46093.64</v>
      </c>
      <c r="M100" s="18" t="n">
        <v>-37699.81</v>
      </c>
      <c r="N100" s="18" t="n">
        <v>-41720.64</v>
      </c>
      <c r="O100" s="18" t="n">
        <v>-52044.08</v>
      </c>
      <c r="P100" s="37" t="n">
        <v>-177558.17</v>
      </c>
      <c r="Q100" s="18" t="n">
        <v>-62119.68</v>
      </c>
      <c r="R100" s="18" t="n">
        <v>-30188.56</v>
      </c>
      <c r="S100" s="18" t="n">
        <v>-41195.57</v>
      </c>
      <c r="T100" s="18" t="n">
        <v>-18127.61</v>
      </c>
      <c r="U100" s="37" t="n">
        <v>-151631.42</v>
      </c>
      <c r="V100" s="18" t="n">
        <v>-24354.76</v>
      </c>
      <c r="W100" s="18" t="n">
        <v>-9728.43</v>
      </c>
      <c r="X100" s="18" t="n">
        <v>-18560.29</v>
      </c>
      <c r="Y100" s="18" t="n">
        <v>-27062.5</v>
      </c>
      <c r="Z100" s="37" t="n">
        <v>-79705.98</v>
      </c>
      <c r="AA100" s="18" t="n">
        <v>-15370.69</v>
      </c>
      <c r="AB100" s="19" t="n">
        <v>-2490.84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배당금수취(CF)</t>
        </is>
      </c>
      <c r="E101" s="18" t="n">
        <v>40737.12</v>
      </c>
      <c r="F101" s="9" t="n"/>
      <c r="G101" s="18" t="n">
        <v>172.75</v>
      </c>
      <c r="H101" s="18" t="n">
        <v>6258.74</v>
      </c>
      <c r="I101" s="18" t="n">
        <v>13.91</v>
      </c>
      <c r="J101" s="18" t="n">
        <v>4</v>
      </c>
      <c r="K101" s="37" t="n">
        <v>6449.4</v>
      </c>
      <c r="L101" s="18" t="n">
        <v>170.25</v>
      </c>
      <c r="M101" s="18" t="n">
        <v>6771.23</v>
      </c>
      <c r="N101" s="18" t="n">
        <v>12.81</v>
      </c>
      <c r="O101" s="18" t="n">
        <v>4</v>
      </c>
      <c r="P101" s="37" t="n">
        <v>6958.29</v>
      </c>
      <c r="Q101" s="18" t="n">
        <v>54.78</v>
      </c>
      <c r="R101" s="18" t="n">
        <v>3706.77</v>
      </c>
      <c r="S101" s="18" t="n">
        <v>12.41</v>
      </c>
      <c r="T101" s="18" t="n">
        <v>27838.71</v>
      </c>
      <c r="U101" s="37" t="n">
        <v>31612.67</v>
      </c>
      <c r="V101" s="18" t="n">
        <v>37.05</v>
      </c>
      <c r="W101" s="18" t="n">
        <v>1020.28</v>
      </c>
      <c r="X101" s="18" t="n">
        <v>64.84</v>
      </c>
      <c r="Y101" s="18" t="n">
        <v>6.42</v>
      </c>
      <c r="Z101" s="37" t="n">
        <v>1128.59</v>
      </c>
      <c r="AA101" s="18" t="n">
        <v>76.19</v>
      </c>
      <c r="AB101" s="19" t="n">
        <v>1304.09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법인세납부(CF)</t>
        </is>
      </c>
      <c r="E102" s="18" t="n">
        <v>655.01</v>
      </c>
      <c r="F102" s="9" t="n"/>
      <c r="G102" s="18" t="n">
        <v>-3175.4</v>
      </c>
      <c r="H102" s="18" t="n">
        <v>4117.76</v>
      </c>
      <c r="I102" s="18" t="n">
        <v>-10400.97</v>
      </c>
      <c r="J102" s="18" t="n">
        <v>-9209.02</v>
      </c>
      <c r="K102" s="37" t="n">
        <v>-18667.63</v>
      </c>
      <c r="L102" s="18" t="n">
        <v>-8706.120000000001</v>
      </c>
      <c r="M102" s="18" t="n">
        <v>-1843.93</v>
      </c>
      <c r="N102" s="18" t="n">
        <v>-6611.94</v>
      </c>
      <c r="O102" s="18" t="n">
        <v>-7857</v>
      </c>
      <c r="P102" s="37" t="n">
        <v>-25018.99</v>
      </c>
      <c r="Q102" s="18" t="n">
        <v>-7286.07</v>
      </c>
      <c r="T102" s="18" t="n">
        <v>-8961.690000000001</v>
      </c>
      <c r="U102" s="9" t="n"/>
      <c r="V102" s="18" t="n">
        <v>-12467.11</v>
      </c>
      <c r="Y102" s="18" t="n">
        <v>-8551.040000000001</v>
      </c>
      <c r="Z102" s="9" t="n"/>
      <c r="AA102" s="18" t="n">
        <v>-23026.9</v>
      </c>
      <c r="AB102" s="19" t="n">
        <v>-63819.1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투자활동으로인한현금흐름</t>
        </is>
      </c>
      <c r="E103" s="18" t="n">
        <v>167889.63</v>
      </c>
      <c r="F103" s="9" t="n"/>
      <c r="G103" s="18" t="n">
        <v>-199318.38</v>
      </c>
      <c r="H103" s="18" t="n">
        <v>-19669.57</v>
      </c>
      <c r="I103" s="18" t="n">
        <v>-1039801.34</v>
      </c>
      <c r="J103" s="18" t="n">
        <v>-80681.37</v>
      </c>
      <c r="K103" s="37" t="n">
        <v>-1339470.66</v>
      </c>
      <c r="L103" s="18" t="n">
        <v>-21313.82</v>
      </c>
      <c r="M103" s="18" t="n">
        <v>586275.47</v>
      </c>
      <c r="N103" s="18" t="n">
        <v>-994862.9399999999</v>
      </c>
      <c r="O103" s="18" t="n">
        <v>-836988.26</v>
      </c>
      <c r="P103" s="37" t="n">
        <v>-1266889.55</v>
      </c>
      <c r="Q103" s="18" t="n">
        <v>510535.87</v>
      </c>
      <c r="R103" s="18" t="n">
        <v>-1093407.1</v>
      </c>
      <c r="S103" s="18" t="n">
        <v>-261909.31</v>
      </c>
      <c r="T103" s="18" t="n">
        <v>-388020.87</v>
      </c>
      <c r="U103" s="37" t="n">
        <v>-1232801.41</v>
      </c>
      <c r="V103" s="18" t="n">
        <v>-753976.5600000001</v>
      </c>
      <c r="W103" s="18" t="n">
        <v>-464113.62</v>
      </c>
      <c r="X103" s="18" t="n">
        <v>-2107226.95</v>
      </c>
      <c r="Y103" s="18" t="n">
        <v>-278523.19</v>
      </c>
      <c r="Z103" s="37" t="n">
        <v>-3603840.32</v>
      </c>
      <c r="AA103" s="18" t="n">
        <v>975569.45</v>
      </c>
      <c r="AB103" s="19" t="n">
        <v>446610.35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유형자산의감소</t>
        </is>
      </c>
      <c r="E104" s="18" t="n">
        <v>7674.54</v>
      </c>
      <c r="F104" s="9" t="n"/>
      <c r="G104" s="18" t="n">
        <v>2878.08</v>
      </c>
      <c r="H104" s="18" t="n">
        <v>7116.78</v>
      </c>
      <c r="I104" s="18" t="n">
        <v>10419.17</v>
      </c>
      <c r="J104" s="18" t="n">
        <v>3217.02</v>
      </c>
      <c r="K104" s="37" t="n">
        <v>23631.05</v>
      </c>
      <c r="L104" s="18" t="n">
        <v>2904.18</v>
      </c>
      <c r="M104" s="18" t="n">
        <v>4930.15</v>
      </c>
      <c r="N104" s="18" t="n">
        <v>3602.49</v>
      </c>
      <c r="O104" s="18" t="n">
        <v>12225.01</v>
      </c>
      <c r="P104" s="37" t="n">
        <v>23661.83</v>
      </c>
      <c r="Q104" s="18" t="n">
        <v>8761.559999999999</v>
      </c>
      <c r="R104" s="18" t="n">
        <v>8415.43</v>
      </c>
      <c r="S104" s="18" t="n">
        <v>5498.76</v>
      </c>
      <c r="T104" s="18" t="n">
        <v>1820.38</v>
      </c>
      <c r="U104" s="37" t="n">
        <v>24496.13</v>
      </c>
      <c r="V104" s="18" t="n">
        <v>4219.63</v>
      </c>
      <c r="W104" s="18" t="n">
        <v>15773.93</v>
      </c>
      <c r="X104" s="18" t="n">
        <v>2713.72</v>
      </c>
      <c r="Y104" s="18" t="n">
        <v>9218.65</v>
      </c>
      <c r="Z104" s="37" t="n">
        <v>31925.93</v>
      </c>
      <c r="AA104" s="18" t="n">
        <v>1952.13</v>
      </c>
      <c r="AB104" s="19" t="n">
        <v>9804.360000000001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무형자산의감소</t>
        </is>
      </c>
      <c r="E105" s="18" t="n">
        <v>300</v>
      </c>
      <c r="F105" s="9" t="n"/>
      <c r="I105" s="18" t="n">
        <v>0</v>
      </c>
      <c r="J105" s="18" t="n">
        <v>0</v>
      </c>
      <c r="K105" s="9" t="n"/>
      <c r="P105" s="9" t="n"/>
      <c r="T105" s="18" t="n">
        <v>0</v>
      </c>
      <c r="U105" s="9" t="n"/>
      <c r="V105" s="18" t="n">
        <v>11.21</v>
      </c>
      <c r="W105" s="18" t="n">
        <v>0</v>
      </c>
      <c r="X105" s="18" t="n">
        <v>985.91</v>
      </c>
      <c r="Y105" s="18" t="n">
        <v>3282.05</v>
      </c>
      <c r="Z105" s="37" t="n">
        <v>4279.17</v>
      </c>
      <c r="AA105" s="18" t="n">
        <v>0</v>
      </c>
      <c r="AB105" s="19" t="n">
        <v>0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유형자산의증가</t>
        </is>
      </c>
      <c r="E106" s="18" t="n">
        <v>111586.14</v>
      </c>
      <c r="F106" s="9" t="n"/>
      <c r="G106" s="18" t="n">
        <v>92408.14999999999</v>
      </c>
      <c r="H106" s="18" t="n">
        <v>154627.4</v>
      </c>
      <c r="I106" s="18" t="n">
        <v>211326.34</v>
      </c>
      <c r="J106" s="18" t="n">
        <v>208529.12</v>
      </c>
      <c r="K106" s="37" t="n">
        <v>666891.01</v>
      </c>
      <c r="L106" s="18" t="n">
        <v>146046.52</v>
      </c>
      <c r="M106" s="18" t="n">
        <v>222061.34</v>
      </c>
      <c r="N106" s="18" t="n">
        <v>227623.87</v>
      </c>
      <c r="O106" s="18" t="n">
        <v>226221.37</v>
      </c>
      <c r="P106" s="37" t="n">
        <v>821953.1</v>
      </c>
      <c r="Q106" s="18" t="n">
        <v>184798.26</v>
      </c>
      <c r="R106" s="18" t="n">
        <v>237755</v>
      </c>
      <c r="S106" s="18" t="n">
        <v>242961.79</v>
      </c>
      <c r="T106" s="18" t="n">
        <v>225473.99</v>
      </c>
      <c r="U106" s="37" t="n">
        <v>890989.04</v>
      </c>
      <c r="V106" s="18" t="n">
        <v>305401.7</v>
      </c>
      <c r="W106" s="18" t="n">
        <v>192975.17</v>
      </c>
      <c r="X106" s="18" t="n">
        <v>223086.15</v>
      </c>
      <c r="Y106" s="18" t="n">
        <v>225371.71</v>
      </c>
      <c r="Z106" s="37" t="n">
        <v>946834.73</v>
      </c>
      <c r="AA106" s="18" t="n">
        <v>184515.63</v>
      </c>
      <c r="AB106" s="19" t="n">
        <v>195858.74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CAPEX</t>
        </is>
      </c>
      <c r="E107" s="18" t="n">
        <v>128443.33</v>
      </c>
      <c r="F107" s="9" t="n"/>
      <c r="G107" s="18" t="n">
        <v>97553.85000000001</v>
      </c>
      <c r="H107" s="18" t="n">
        <v>161857.65</v>
      </c>
      <c r="I107" s="18" t="n">
        <v>223384.89</v>
      </c>
      <c r="J107" s="18" t="n">
        <v>224603.23</v>
      </c>
      <c r="K107" s="37" t="n">
        <v>707399.62</v>
      </c>
      <c r="L107" s="18" t="n">
        <v>156070.01</v>
      </c>
      <c r="M107" s="18" t="n">
        <v>233127.78</v>
      </c>
      <c r="N107" s="18" t="n">
        <v>243738.95</v>
      </c>
      <c r="O107" s="18" t="n">
        <v>249103.02</v>
      </c>
      <c r="P107" s="37" t="n">
        <v>882039.76</v>
      </c>
      <c r="Q107" s="18" t="n">
        <v>195556.18</v>
      </c>
      <c r="R107" s="18" t="n">
        <v>248185.1</v>
      </c>
      <c r="S107" s="18" t="n">
        <v>253555.15</v>
      </c>
      <c r="T107" s="18" t="n">
        <v>251745.24</v>
      </c>
      <c r="U107" s="37" t="n">
        <v>949041.67</v>
      </c>
      <c r="V107" s="18" t="n">
        <v>312531.22</v>
      </c>
      <c r="W107" s="18" t="n">
        <v>206038.33</v>
      </c>
      <c r="X107" s="18" t="n">
        <v>233867.76</v>
      </c>
      <c r="Y107" s="18" t="n">
        <v>251263.64</v>
      </c>
      <c r="Z107" s="37" t="n">
        <v>1003700.95</v>
      </c>
      <c r="AA107" s="18" t="n">
        <v>193606.13</v>
      </c>
      <c r="AB107" s="19" t="n">
        <v>209826.55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무형자산의증가</t>
        </is>
      </c>
      <c r="E108" s="18" t="n">
        <v>16857.19</v>
      </c>
      <c r="F108" s="9" t="n"/>
      <c r="G108" s="18" t="n">
        <v>5145.7</v>
      </c>
      <c r="H108" s="18" t="n">
        <v>7230.25</v>
      </c>
      <c r="I108" s="18" t="n">
        <v>12058.55</v>
      </c>
      <c r="J108" s="18" t="n">
        <v>16074.11</v>
      </c>
      <c r="K108" s="37" t="n">
        <v>40508.61</v>
      </c>
      <c r="L108" s="18" t="n">
        <v>10023.49</v>
      </c>
      <c r="M108" s="18" t="n">
        <v>11066.44</v>
      </c>
      <c r="N108" s="18" t="n">
        <v>16115.08</v>
      </c>
      <c r="O108" s="18" t="n">
        <v>22881.65</v>
      </c>
      <c r="P108" s="37" t="n">
        <v>60086.66</v>
      </c>
      <c r="Q108" s="18" t="n">
        <v>10757.92</v>
      </c>
      <c r="R108" s="18" t="n">
        <v>10430.1</v>
      </c>
      <c r="S108" s="18" t="n">
        <v>10593.36</v>
      </c>
      <c r="T108" s="18" t="n">
        <v>26271.25</v>
      </c>
      <c r="U108" s="37" t="n">
        <v>58052.63</v>
      </c>
      <c r="V108" s="18" t="n">
        <v>7129.52</v>
      </c>
      <c r="W108" s="18" t="n">
        <v>13063.16</v>
      </c>
      <c r="X108" s="18" t="n">
        <v>10781.61</v>
      </c>
      <c r="Y108" s="18" t="n">
        <v>25891.93</v>
      </c>
      <c r="Z108" s="37" t="n">
        <v>56866.22</v>
      </c>
      <c r="AA108" s="18" t="n">
        <v>9090.5</v>
      </c>
      <c r="AB108" s="19" t="n">
        <v>13967.81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재무활동으로인한현금흐름</t>
        </is>
      </c>
      <c r="E109" s="18" t="n">
        <v>-717845.88</v>
      </c>
      <c r="F109" s="9" t="n"/>
      <c r="G109" s="18" t="n">
        <v>144143.98</v>
      </c>
      <c r="H109" s="18" t="n">
        <v>27273.1</v>
      </c>
      <c r="I109" s="18" t="n">
        <v>-273298.21</v>
      </c>
      <c r="J109" s="18" t="n">
        <v>-875389.25</v>
      </c>
      <c r="K109" s="37" t="n">
        <v>-977270.38</v>
      </c>
      <c r="L109" s="18" t="n">
        <v>-591077.39</v>
      </c>
      <c r="M109" s="18" t="n">
        <v>292019.11</v>
      </c>
      <c r="N109" s="18" t="n">
        <v>-184404.76</v>
      </c>
      <c r="O109" s="18" t="n">
        <v>-1745.74</v>
      </c>
      <c r="P109" s="37" t="n">
        <v>-485208.78</v>
      </c>
      <c r="Q109" s="18" t="n">
        <v>-611991.71</v>
      </c>
      <c r="R109" s="18" t="n">
        <v>-709438.28</v>
      </c>
      <c r="S109" s="18" t="n">
        <v>-708473.34</v>
      </c>
      <c r="T109" s="18" t="n">
        <v>-329064.71</v>
      </c>
      <c r="U109" s="37" t="n">
        <v>-2358968.04</v>
      </c>
      <c r="V109" s="18" t="n">
        <v>451391.26</v>
      </c>
      <c r="W109" s="18" t="n">
        <v>-699760.55</v>
      </c>
      <c r="X109" s="18" t="n">
        <v>-391971.29</v>
      </c>
      <c r="Y109" s="18" t="n">
        <v>-151935.43</v>
      </c>
      <c r="Z109" s="37" t="n">
        <v>-792276.01</v>
      </c>
      <c r="AA109" s="18" t="n">
        <v>-46384.23</v>
      </c>
      <c r="AB109" s="19" t="n">
        <v>1392171.21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리스부채의상환</t>
        </is>
      </c>
      <c r="E110" s="18" t="n">
        <v>5109.03</v>
      </c>
      <c r="F110" s="9" t="n"/>
      <c r="G110" s="18" t="n">
        <v>4285.59</v>
      </c>
      <c r="H110" s="18" t="n">
        <v>5277.07</v>
      </c>
      <c r="I110" s="18" t="n">
        <v>4540.93</v>
      </c>
      <c r="J110" s="18" t="n">
        <v>6517.29</v>
      </c>
      <c r="K110" s="37" t="n">
        <v>20620.88</v>
      </c>
      <c r="L110" s="18" t="n">
        <v>7182.17</v>
      </c>
      <c r="M110" s="18" t="n">
        <v>9107.540000000001</v>
      </c>
      <c r="N110" s="18" t="n">
        <v>8584.690000000001</v>
      </c>
      <c r="O110" s="18" t="n">
        <v>8135.68</v>
      </c>
      <c r="P110" s="37" t="n">
        <v>33010.08</v>
      </c>
      <c r="Q110" s="18" t="n">
        <v>8944.6</v>
      </c>
      <c r="R110" s="18" t="n">
        <v>9994.799999999999</v>
      </c>
      <c r="S110" s="18" t="n">
        <v>9147.51</v>
      </c>
      <c r="T110" s="18" t="n">
        <v>7139.79</v>
      </c>
      <c r="U110" s="37" t="n">
        <v>35226.7</v>
      </c>
      <c r="V110" s="18" t="n">
        <v>8127.99</v>
      </c>
      <c r="W110" s="18" t="n">
        <v>9213.49</v>
      </c>
      <c r="X110" s="18" t="n">
        <v>9317.610000000001</v>
      </c>
      <c r="Y110" s="18" t="n">
        <v>10689.65</v>
      </c>
      <c r="Z110" s="37" t="n">
        <v>37348.74</v>
      </c>
      <c r="AA110" s="18" t="n">
        <v>9043.379999999999</v>
      </c>
      <c r="AB110" s="19" t="n">
        <v>9937.709999999999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현금및현금성자산의증감</t>
        </is>
      </c>
      <c r="E111" s="18" t="n">
        <v>-991955.35</v>
      </c>
      <c r="F111" s="9" t="n"/>
      <c r="G111" s="18" t="n">
        <v>-35166.64</v>
      </c>
      <c r="H111" s="18" t="n">
        <v>220659.62</v>
      </c>
      <c r="I111" s="18" t="n">
        <v>-1118488.92</v>
      </c>
      <c r="J111" s="18" t="n">
        <v>-937249.29</v>
      </c>
      <c r="K111" s="37" t="n">
        <v>-1870245.23</v>
      </c>
      <c r="L111" s="18" t="n">
        <v>155349.75</v>
      </c>
      <c r="M111" s="18" t="n">
        <v>1417737.12</v>
      </c>
      <c r="N111" s="18" t="n">
        <v>-234807.94</v>
      </c>
      <c r="O111" s="18" t="n">
        <v>-1017110.83</v>
      </c>
      <c r="P111" s="37" t="n">
        <v>321168.1</v>
      </c>
      <c r="Q111" s="18" t="n">
        <v>651212.95</v>
      </c>
      <c r="R111" s="18" t="n">
        <v>-271753.66</v>
      </c>
      <c r="S111" s="18" t="n">
        <v>-854473.53</v>
      </c>
      <c r="T111" s="18" t="n">
        <v>1173942.23</v>
      </c>
      <c r="U111" s="37" t="n">
        <v>698927.99</v>
      </c>
      <c r="V111" s="18" t="n">
        <v>1883124.15</v>
      </c>
      <c r="W111" s="18" t="n">
        <v>-86609.06</v>
      </c>
      <c r="X111" s="18" t="n">
        <v>187588.87</v>
      </c>
      <c r="Y111" s="18" t="n">
        <v>-1959407.37</v>
      </c>
      <c r="Z111" s="37" t="n">
        <v>24696.59</v>
      </c>
      <c r="AA111" s="18" t="n">
        <v>2726657.22</v>
      </c>
      <c r="AB111" s="19" t="n">
        <v>4527302.7</v>
      </c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기말현금및현금성자산</t>
        </is>
      </c>
      <c r="E112" s="18" t="n">
        <v>-991955.35</v>
      </c>
      <c r="F112" s="9" t="n"/>
      <c r="G112" s="18" t="n">
        <v>4532301.46</v>
      </c>
      <c r="H112" s="18" t="n">
        <v>220659.62</v>
      </c>
      <c r="I112" s="18" t="n">
        <v>-1118488.92</v>
      </c>
      <c r="J112" s="18" t="n">
        <v>-937249.29</v>
      </c>
      <c r="K112" s="37" t="n">
        <v>2697222.87</v>
      </c>
      <c r="L112" s="18" t="n">
        <v>2852572.62</v>
      </c>
      <c r="M112" s="18" t="n">
        <v>1417737.12</v>
      </c>
      <c r="N112" s="18" t="n">
        <v>-234807.95</v>
      </c>
      <c r="O112" s="18" t="n">
        <v>-1017110.83</v>
      </c>
      <c r="P112" s="37" t="n">
        <v>3018390.96</v>
      </c>
      <c r="Q112" s="18" t="n">
        <v>3669603.92</v>
      </c>
      <c r="R112" s="18" t="n">
        <v>-271753.66</v>
      </c>
      <c r="S112" s="18" t="n">
        <v>-854473.54</v>
      </c>
      <c r="T112" s="18" t="n">
        <v>1173942.24</v>
      </c>
      <c r="U112" s="37" t="n">
        <v>3717318.96</v>
      </c>
      <c r="V112" s="18" t="n">
        <v>5600443.11</v>
      </c>
      <c r="W112" s="18" t="n">
        <v>-86609.06</v>
      </c>
      <c r="X112" s="18" t="n">
        <v>3904907.83</v>
      </c>
      <c r="Y112" s="18" t="n">
        <v>-5676726.33</v>
      </c>
      <c r="Z112" s="37" t="n">
        <v>3742015.55</v>
      </c>
      <c r="AA112" s="18" t="n">
        <v>6468672.77</v>
      </c>
      <c r="AB112" s="19" t="n">
        <v>4527302.69</v>
      </c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HD한국조선해양(별)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1840381.43</v>
      </c>
      <c r="F5" s="37" t="n">
        <v>1840381.43</v>
      </c>
      <c r="G5" s="18" t="n">
        <v>1856263.77</v>
      </c>
      <c r="H5" s="18" t="n">
        <v>2050674.56</v>
      </c>
      <c r="I5" s="18" t="n">
        <v>2087178.45</v>
      </c>
      <c r="J5" s="18" t="n">
        <v>2118469.81</v>
      </c>
      <c r="K5" s="37" t="n">
        <v>2118469.81</v>
      </c>
      <c r="L5" s="18" t="n">
        <v>1727843.35</v>
      </c>
      <c r="M5" s="18" t="n">
        <v>1672166.82</v>
      </c>
      <c r="N5" s="18" t="n">
        <v>1677075.3</v>
      </c>
      <c r="O5" s="18" t="n">
        <v>1654502.04</v>
      </c>
      <c r="P5" s="37" t="n">
        <v>1654502.04</v>
      </c>
      <c r="Q5" s="18" t="n">
        <v>1712155.74</v>
      </c>
      <c r="R5" s="18" t="n">
        <v>2109640.49</v>
      </c>
      <c r="S5" s="18" t="n">
        <v>1966992.43</v>
      </c>
      <c r="T5" s="18" t="n">
        <v>2027133.75</v>
      </c>
      <c r="U5" s="37" t="n">
        <v>2027133.75</v>
      </c>
      <c r="V5" s="18" t="n">
        <v>3018511.14</v>
      </c>
      <c r="W5" s="18" t="n">
        <v>2817272.95</v>
      </c>
      <c r="X5" s="18" t="n">
        <v>2882373.32</v>
      </c>
      <c r="Y5" s="18" t="n">
        <v>2835643.6</v>
      </c>
      <c r="Z5" s="37" t="n">
        <v>2835643.6</v>
      </c>
      <c r="AA5" s="18" t="n">
        <v>3338945.9</v>
      </c>
      <c r="AB5" s="19" t="n">
        <v>5422003.54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1449872.8</v>
      </c>
      <c r="F6" s="37" t="n">
        <v>1449872.8</v>
      </c>
      <c r="G6" s="18" t="n">
        <v>1326479.67</v>
      </c>
      <c r="H6" s="18" t="n">
        <v>1775968.1</v>
      </c>
      <c r="I6" s="18" t="n">
        <v>901998.02</v>
      </c>
      <c r="J6" s="18" t="n">
        <v>987479.9399999999</v>
      </c>
      <c r="K6" s="37" t="n">
        <v>987479.9399999999</v>
      </c>
      <c r="L6" s="18" t="n">
        <v>689692.8</v>
      </c>
      <c r="M6" s="18" t="n">
        <v>1418830.95</v>
      </c>
      <c r="N6" s="18" t="n">
        <v>676696.9399999999</v>
      </c>
      <c r="O6" s="18" t="n">
        <v>505091.26</v>
      </c>
      <c r="P6" s="37" t="n">
        <v>505091.26</v>
      </c>
      <c r="Q6" s="18" t="n">
        <v>1002357.42</v>
      </c>
      <c r="R6" s="18" t="n">
        <v>642852.35</v>
      </c>
      <c r="S6" s="18" t="n">
        <v>512854.16</v>
      </c>
      <c r="T6" s="18" t="n">
        <v>762696.86</v>
      </c>
      <c r="U6" s="37" t="n">
        <v>762696.86</v>
      </c>
      <c r="V6" s="18" t="n">
        <v>1042446.69</v>
      </c>
      <c r="W6" s="18" t="n">
        <v>925455.71</v>
      </c>
      <c r="X6" s="18" t="n">
        <v>781737.4399999999</v>
      </c>
      <c r="Y6" s="18" t="n">
        <v>523688.18</v>
      </c>
      <c r="Z6" s="37" t="n">
        <v>523688.18</v>
      </c>
      <c r="AA6" s="18" t="n">
        <v>761392.15</v>
      </c>
      <c r="AB6" s="19" t="n">
        <v>3145868.99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350500</v>
      </c>
      <c r="F7" s="37" t="n">
        <v>350500</v>
      </c>
      <c r="G7" s="18" t="n">
        <v>490500</v>
      </c>
      <c r="H7" s="18" t="n">
        <v>240500</v>
      </c>
      <c r="I7" s="18" t="n">
        <v>1132793.28</v>
      </c>
      <c r="J7" s="18" t="n">
        <v>1061789.75</v>
      </c>
      <c r="K7" s="37" t="n">
        <v>1061789.75</v>
      </c>
      <c r="L7" s="18" t="n">
        <v>942071.23</v>
      </c>
      <c r="M7" s="18" t="n">
        <v>140500</v>
      </c>
      <c r="N7" s="18" t="n">
        <v>850510.21</v>
      </c>
      <c r="O7" s="18" t="n">
        <v>950500</v>
      </c>
      <c r="P7" s="37" t="n">
        <v>950500</v>
      </c>
      <c r="Q7" s="18" t="n">
        <v>540500</v>
      </c>
      <c r="R7" s="18" t="n">
        <v>1246862.1</v>
      </c>
      <c r="S7" s="18" t="n">
        <v>1249327.4</v>
      </c>
      <c r="T7" s="18" t="n">
        <v>980500</v>
      </c>
      <c r="U7" s="37" t="n">
        <v>980500</v>
      </c>
      <c r="V7" s="18" t="n">
        <v>1230000</v>
      </c>
      <c r="W7" s="18" t="n">
        <v>1420000</v>
      </c>
      <c r="X7" s="18" t="n">
        <v>1610000</v>
      </c>
      <c r="Y7" s="18" t="n">
        <v>1530000</v>
      </c>
      <c r="Z7" s="37" t="n">
        <v>1530000</v>
      </c>
      <c r="AA7" s="18" t="n">
        <v>1050000</v>
      </c>
      <c r="AB7" s="19" t="n">
        <v>1151027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350500</v>
      </c>
      <c r="F8" s="37" t="n">
        <v>350500</v>
      </c>
      <c r="G8" s="18" t="n">
        <v>490500</v>
      </c>
      <c r="H8" s="18" t="n">
        <v>240500</v>
      </c>
      <c r="I8" s="18" t="n">
        <v>1132793.28</v>
      </c>
      <c r="J8" s="18" t="n">
        <v>1061789.75</v>
      </c>
      <c r="K8" s="37" t="n">
        <v>1061789.75</v>
      </c>
      <c r="L8" s="18" t="n">
        <v>942071.23</v>
      </c>
      <c r="M8" s="18" t="n">
        <v>140500</v>
      </c>
      <c r="N8" s="18" t="n">
        <v>850510.21</v>
      </c>
      <c r="O8" s="18" t="n">
        <v>950500</v>
      </c>
      <c r="P8" s="37" t="n">
        <v>950500</v>
      </c>
      <c r="Q8" s="18" t="n">
        <v>540500</v>
      </c>
      <c r="R8" s="18" t="n">
        <v>1246862.1</v>
      </c>
      <c r="S8" s="18" t="n">
        <v>1249327.4</v>
      </c>
      <c r="T8" s="18" t="n">
        <v>980500</v>
      </c>
      <c r="U8" s="37" t="n">
        <v>980500</v>
      </c>
      <c r="V8" s="18" t="n">
        <v>1230000</v>
      </c>
      <c r="W8" s="18" t="n">
        <v>1420000</v>
      </c>
      <c r="X8" s="18" t="n">
        <v>1610000</v>
      </c>
      <c r="Y8" s="18" t="n">
        <v>1530000</v>
      </c>
      <c r="Z8" s="37" t="n">
        <v>1530000</v>
      </c>
      <c r="AA8" s="18" t="n">
        <v>1050000</v>
      </c>
      <c r="AB8" s="19" t="n">
        <v>1151027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27520.26</v>
      </c>
      <c r="F9" s="37" t="n">
        <v>27520.26</v>
      </c>
      <c r="G9" s="18" t="n">
        <v>25121.81</v>
      </c>
      <c r="H9" s="18" t="n">
        <v>21390.79</v>
      </c>
      <c r="I9" s="18" t="n">
        <v>39034.75</v>
      </c>
      <c r="J9" s="18" t="n">
        <v>52635.81</v>
      </c>
      <c r="K9" s="37" t="n">
        <v>52635.81</v>
      </c>
      <c r="L9" s="18" t="n">
        <v>59789.2</v>
      </c>
      <c r="M9" s="18" t="n">
        <v>57352.16</v>
      </c>
      <c r="N9" s="18" t="n">
        <v>75781.77</v>
      </c>
      <c r="O9" s="18" t="n">
        <v>105934.61</v>
      </c>
      <c r="P9" s="37" t="n">
        <v>105934.61</v>
      </c>
      <c r="Q9" s="18" t="n">
        <v>55247.88</v>
      </c>
      <c r="R9" s="18" t="n">
        <v>110808.05</v>
      </c>
      <c r="S9" s="18" t="n">
        <v>73075.22</v>
      </c>
      <c r="T9" s="18" t="n">
        <v>142205.89</v>
      </c>
      <c r="U9" s="37" t="n">
        <v>142205.89</v>
      </c>
      <c r="V9" s="18" t="n">
        <v>537659.34</v>
      </c>
      <c r="W9" s="18" t="n">
        <v>174536.58</v>
      </c>
      <c r="X9" s="18" t="n">
        <v>158454.22</v>
      </c>
      <c r="Y9" s="18" t="n">
        <v>345911.87</v>
      </c>
      <c r="Z9" s="37" t="n">
        <v>345911.87</v>
      </c>
      <c r="AA9" s="18" t="n">
        <v>912986.66</v>
      </c>
      <c r="AB9" s="19" t="n">
        <v>375257.14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904.65</v>
      </c>
      <c r="F10" s="37" t="n">
        <v>904.65</v>
      </c>
      <c r="G10" s="18" t="n">
        <v>9190</v>
      </c>
      <c r="H10" s="18" t="n">
        <v>10220.26</v>
      </c>
      <c r="I10" s="18" t="n">
        <v>10655.27</v>
      </c>
      <c r="J10" s="18" t="n">
        <v>850.84</v>
      </c>
      <c r="K10" s="37" t="n">
        <v>850.84</v>
      </c>
      <c r="L10" s="18" t="n">
        <v>16121.93</v>
      </c>
      <c r="M10" s="18" t="n">
        <v>15084.44</v>
      </c>
      <c r="N10" s="18" t="n">
        <v>16467.08</v>
      </c>
      <c r="O10" s="18" t="n">
        <v>974.29</v>
      </c>
      <c r="P10" s="37" t="n">
        <v>974.29</v>
      </c>
      <c r="Q10" s="18" t="n">
        <v>17369.15</v>
      </c>
      <c r="R10" s="18" t="n">
        <v>17128.01</v>
      </c>
      <c r="S10" s="18" t="n">
        <v>22643.12</v>
      </c>
      <c r="T10" s="18" t="n">
        <v>556.29</v>
      </c>
      <c r="U10" s="37" t="n">
        <v>556.29</v>
      </c>
      <c r="V10" s="18" t="n">
        <v>22416.01</v>
      </c>
      <c r="W10" s="18" t="n">
        <v>22969.34</v>
      </c>
      <c r="X10" s="18" t="n">
        <v>23422.85</v>
      </c>
      <c r="Y10" s="18" t="n">
        <v>7781.49</v>
      </c>
      <c r="Z10" s="37" t="n">
        <v>7781.49</v>
      </c>
      <c r="AA10" s="18" t="n">
        <v>44341.11</v>
      </c>
      <c r="AB10" s="19" t="n">
        <v>89841.59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729.6799999999999</v>
      </c>
      <c r="F11" s="37" t="n">
        <v>729.6799999999999</v>
      </c>
      <c r="G11" s="18" t="n">
        <v>774.1900000000001</v>
      </c>
      <c r="H11" s="18" t="n">
        <v>780.85</v>
      </c>
      <c r="I11" s="18" t="n">
        <v>992.62</v>
      </c>
      <c r="J11" s="18" t="n">
        <v>2280.75</v>
      </c>
      <c r="K11" s="37" t="n">
        <v>2280.75</v>
      </c>
      <c r="L11" s="18" t="n">
        <v>4144.05</v>
      </c>
      <c r="M11" s="18" t="n">
        <v>7006.13</v>
      </c>
      <c r="N11" s="18" t="n">
        <v>14791.62</v>
      </c>
      <c r="O11" s="18" t="n">
        <v>31510.6</v>
      </c>
      <c r="P11" s="37" t="n">
        <v>31510.6</v>
      </c>
      <c r="Q11" s="18" t="n">
        <v>34155.35</v>
      </c>
      <c r="R11" s="18" t="n">
        <v>45304.64</v>
      </c>
      <c r="S11" s="18" t="n">
        <v>66535.88</v>
      </c>
      <c r="T11" s="18" t="n">
        <v>71499.27</v>
      </c>
      <c r="U11" s="37" t="n">
        <v>71499.27</v>
      </c>
      <c r="V11" s="18" t="n">
        <v>95225.95</v>
      </c>
      <c r="W11" s="18" t="n">
        <v>144353.14</v>
      </c>
      <c r="X11" s="18" t="n">
        <v>166017.02</v>
      </c>
      <c r="Y11" s="18" t="n">
        <v>199477.5</v>
      </c>
      <c r="Z11" s="37" t="n">
        <v>199477.5</v>
      </c>
      <c r="AA11" s="18" t="n">
        <v>253389.6</v>
      </c>
      <c r="AB11" s="19" t="n">
        <v>345137.7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1621.06</v>
      </c>
      <c r="F12" s="37" t="n">
        <v>1621.06</v>
      </c>
      <c r="G12" s="18" t="n">
        <v>1704.74</v>
      </c>
      <c r="I12" s="18" t="n">
        <v>157.42</v>
      </c>
      <c r="J12" s="18" t="n">
        <v>3081.69</v>
      </c>
      <c r="K12" s="37" t="n">
        <v>3081.69</v>
      </c>
      <c r="L12" s="18" t="n">
        <v>5899.01</v>
      </c>
      <c r="M12" s="18" t="n">
        <v>5672.61</v>
      </c>
      <c r="N12" s="18" t="n">
        <v>7752.59</v>
      </c>
      <c r="O12" s="18" t="n">
        <v>9413.780000000001</v>
      </c>
      <c r="P12" s="37" t="n">
        <v>9413.780000000001</v>
      </c>
      <c r="Q12" s="18" t="n">
        <v>12094.7</v>
      </c>
      <c r="R12" s="18" t="n">
        <v>5119.07</v>
      </c>
      <c r="S12" s="18" t="n">
        <v>5991.76</v>
      </c>
      <c r="T12" s="18" t="n">
        <v>2214.65</v>
      </c>
      <c r="U12" s="37" t="n">
        <v>2214.65</v>
      </c>
      <c r="V12" s="18" t="n">
        <v>2305.31</v>
      </c>
      <c r="W12" s="18" t="n">
        <v>0</v>
      </c>
      <c r="X12" s="18" t="n">
        <v>0</v>
      </c>
      <c r="Y12" s="18" t="n">
        <v>0</v>
      </c>
      <c r="Z12" s="37" t="n">
        <v>0</v>
      </c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매각예정비유동자산및처분자산</t>
        </is>
      </c>
      <c r="E13" s="18" t="n">
        <v>8363.67</v>
      </c>
      <c r="F13" s="37" t="n">
        <v>8363.67</v>
      </c>
      <c r="J13" s="18" t="n">
        <v>2871.72</v>
      </c>
      <c r="K13" s="37" t="n">
        <v>2871.72</v>
      </c>
      <c r="O13" s="18" t="n">
        <v>8637.809999999999</v>
      </c>
      <c r="P13" s="37" t="n">
        <v>8637.809999999999</v>
      </c>
      <c r="Q13" s="18" t="n">
        <v>0</v>
      </c>
      <c r="R13" s="18" t="n">
        <v>0</v>
      </c>
      <c r="S13" s="18" t="n">
        <v>0</v>
      </c>
      <c r="T13" s="18" t="n">
        <v>0</v>
      </c>
      <c r="U13" s="37" t="n">
        <v>0</v>
      </c>
      <c r="W13" s="18" t="n">
        <v>4626.85</v>
      </c>
      <c r="X13" s="18" t="n">
        <v>4626.85</v>
      </c>
      <c r="Y13" s="18" t="n">
        <v>0</v>
      </c>
      <c r="Z13" s="37" t="n">
        <v>0</v>
      </c>
      <c r="AB13" s="5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기타유동자산</t>
        </is>
      </c>
      <c r="E14" s="18" t="n">
        <v>869.3200000000001</v>
      </c>
      <c r="F14" s="37" t="n">
        <v>869.3200000000001</v>
      </c>
      <c r="G14" s="18" t="n">
        <v>2493.37</v>
      </c>
      <c r="H14" s="18" t="n">
        <v>1814.55</v>
      </c>
      <c r="I14" s="18" t="n">
        <v>1547.09</v>
      </c>
      <c r="J14" s="18" t="n">
        <v>7479.3</v>
      </c>
      <c r="K14" s="37" t="n">
        <v>7479.3</v>
      </c>
      <c r="L14" s="18" t="n">
        <v>10125.13</v>
      </c>
      <c r="M14" s="18" t="n">
        <v>27720.53</v>
      </c>
      <c r="N14" s="18" t="n">
        <v>35075.1</v>
      </c>
      <c r="O14" s="18" t="n">
        <v>42439.69</v>
      </c>
      <c r="P14" s="37" t="n">
        <v>42439.69</v>
      </c>
      <c r="Q14" s="18" t="n">
        <v>50431.24</v>
      </c>
      <c r="R14" s="18" t="n">
        <v>41566.26</v>
      </c>
      <c r="S14" s="18" t="n">
        <v>36564.88</v>
      </c>
      <c r="T14" s="18" t="n">
        <v>67460.78</v>
      </c>
      <c r="U14" s="37" t="n">
        <v>67460.78</v>
      </c>
      <c r="V14" s="18" t="n">
        <v>88457.83</v>
      </c>
      <c r="W14" s="18" t="n">
        <v>125331.34</v>
      </c>
      <c r="X14" s="18" t="n">
        <v>138114.96</v>
      </c>
      <c r="Y14" s="18" t="n">
        <v>228784.56</v>
      </c>
      <c r="Z14" s="37" t="n">
        <v>228784.56</v>
      </c>
      <c r="AA14" s="18" t="n">
        <v>316836.38</v>
      </c>
      <c r="AB14" s="19" t="n">
        <v>314871.12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9268756.93</v>
      </c>
      <c r="F15" s="37" t="n">
        <v>9268756.93</v>
      </c>
      <c r="G15" s="18" t="n">
        <v>9307104.199999999</v>
      </c>
      <c r="H15" s="18" t="n">
        <v>9159581</v>
      </c>
      <c r="I15" s="18" t="n">
        <v>9111342.59</v>
      </c>
      <c r="J15" s="18" t="n">
        <v>9311699.9</v>
      </c>
      <c r="K15" s="37" t="n">
        <v>9311699.9</v>
      </c>
      <c r="L15" s="18" t="n">
        <v>9743843.65</v>
      </c>
      <c r="M15" s="18" t="n">
        <v>9784157.58</v>
      </c>
      <c r="N15" s="18" t="n">
        <v>10054932.61</v>
      </c>
      <c r="O15" s="18" t="n">
        <v>10119747.92</v>
      </c>
      <c r="P15" s="37" t="n">
        <v>10119747.92</v>
      </c>
      <c r="Q15" s="18" t="n">
        <v>10048488.39</v>
      </c>
      <c r="R15" s="18" t="n">
        <v>9761246.029999999</v>
      </c>
      <c r="S15" s="18" t="n">
        <v>9956471.710000001</v>
      </c>
      <c r="T15" s="18" t="n">
        <v>10030123.66</v>
      </c>
      <c r="U15" s="37" t="n">
        <v>10030123.66</v>
      </c>
      <c r="V15" s="18" t="n">
        <v>10085273.15</v>
      </c>
      <c r="W15" s="18" t="n">
        <v>10011893.45</v>
      </c>
      <c r="X15" s="18" t="n">
        <v>10009464.37</v>
      </c>
      <c r="Y15" s="18" t="n">
        <v>10065482.09</v>
      </c>
      <c r="Z15" s="37" t="n">
        <v>10065482.09</v>
      </c>
      <c r="AA15" s="18" t="n">
        <v>10067658.52</v>
      </c>
      <c r="AB15" s="19" t="n">
        <v>10096282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종속기업및관계기업투자</t>
        </is>
      </c>
      <c r="E16" s="18" t="n">
        <v>8298137.42</v>
      </c>
      <c r="F16" s="37" t="n">
        <v>8298137.42</v>
      </c>
      <c r="G16" s="18" t="n">
        <v>8283702.39</v>
      </c>
      <c r="H16" s="18" t="n">
        <v>8165548.35</v>
      </c>
      <c r="I16" s="18" t="n">
        <v>8149415.26</v>
      </c>
      <c r="J16" s="18" t="n">
        <v>8349068.35</v>
      </c>
      <c r="K16" s="37" t="n">
        <v>8349068.35</v>
      </c>
      <c r="L16" s="18" t="n">
        <v>8764495.449999999</v>
      </c>
      <c r="M16" s="18" t="n">
        <v>8803081.1</v>
      </c>
      <c r="N16" s="18" t="n">
        <v>8832251.23</v>
      </c>
      <c r="O16" s="18" t="n">
        <v>8883881.59</v>
      </c>
      <c r="P16" s="37" t="n">
        <v>8883881.59</v>
      </c>
      <c r="Q16" s="18" t="n">
        <v>8883810.76</v>
      </c>
      <c r="R16" s="18" t="n">
        <v>8694162.58</v>
      </c>
      <c r="S16" s="18" t="n">
        <v>8922041.220000001</v>
      </c>
      <c r="T16" s="18" t="n">
        <v>9012227.619999999</v>
      </c>
      <c r="U16" s="37" t="n">
        <v>9012227.619999999</v>
      </c>
      <c r="V16" s="18" t="n">
        <v>9067495.689999999</v>
      </c>
      <c r="W16" s="18" t="n">
        <v>9035213.800000001</v>
      </c>
      <c r="X16" s="18" t="n">
        <v>9065809.15</v>
      </c>
      <c r="Y16" s="18" t="n">
        <v>9235911.59</v>
      </c>
      <c r="Z16" s="37" t="n">
        <v>9235911.59</v>
      </c>
      <c r="AA16" s="18" t="n">
        <v>9260450.720000001</v>
      </c>
      <c r="AB16" s="19" t="n">
        <v>9290755.939999999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8423562.76</v>
      </c>
      <c r="F17" s="37" t="n">
        <v>8423562.76</v>
      </c>
      <c r="G17" s="18" t="n">
        <v>8445715.68</v>
      </c>
      <c r="H17" s="18" t="n">
        <v>8307040.19</v>
      </c>
      <c r="I17" s="18" t="n">
        <v>8269787.59</v>
      </c>
      <c r="J17" s="18" t="n">
        <v>8470131</v>
      </c>
      <c r="K17" s="37" t="n">
        <v>8470131</v>
      </c>
      <c r="L17" s="18" t="n">
        <v>8897521.470000001</v>
      </c>
      <c r="M17" s="18" t="n">
        <v>8938661.1</v>
      </c>
      <c r="N17" s="18" t="n">
        <v>8952660.189999999</v>
      </c>
      <c r="O17" s="18" t="n">
        <v>9014455.050000001</v>
      </c>
      <c r="P17" s="37" t="n">
        <v>9014455.050000001</v>
      </c>
      <c r="Q17" s="18" t="n">
        <v>8946462.140000001</v>
      </c>
      <c r="R17" s="18" t="n">
        <v>8751453.859999999</v>
      </c>
      <c r="S17" s="18" t="n">
        <v>8979296.74</v>
      </c>
      <c r="T17" s="18" t="n">
        <v>9068618.67</v>
      </c>
      <c r="U17" s="37" t="n">
        <v>9068618.67</v>
      </c>
      <c r="V17" s="18" t="n">
        <v>9123941.43</v>
      </c>
      <c r="W17" s="18" t="n">
        <v>9091918.960000001</v>
      </c>
      <c r="X17" s="18" t="n">
        <v>9100095.76</v>
      </c>
      <c r="Y17" s="18" t="n">
        <v>9275981.960000001</v>
      </c>
      <c r="Z17" s="37" t="n">
        <v>9275981.960000001</v>
      </c>
      <c r="AA17" s="18" t="n">
        <v>9305360.970000001</v>
      </c>
      <c r="AB17" s="19" t="n">
        <v>9343852.029999999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장기금융자산</t>
        </is>
      </c>
      <c r="E18" s="18" t="n">
        <v>125425.34</v>
      </c>
      <c r="F18" s="37" t="n">
        <v>125425.34</v>
      </c>
      <c r="G18" s="18" t="n">
        <v>162013.29</v>
      </c>
      <c r="H18" s="18" t="n">
        <v>141491.84</v>
      </c>
      <c r="I18" s="18" t="n">
        <v>120372.33</v>
      </c>
      <c r="J18" s="18" t="n">
        <v>121062.65</v>
      </c>
      <c r="K18" s="37" t="n">
        <v>121062.65</v>
      </c>
      <c r="L18" s="18" t="n">
        <v>133026.02</v>
      </c>
      <c r="M18" s="18" t="n">
        <v>135580</v>
      </c>
      <c r="N18" s="18" t="n">
        <v>120408.96</v>
      </c>
      <c r="O18" s="18" t="n">
        <v>130573.46</v>
      </c>
      <c r="P18" s="37" t="n">
        <v>130573.46</v>
      </c>
      <c r="Q18" s="18" t="n">
        <v>62651.38</v>
      </c>
      <c r="R18" s="18" t="n">
        <v>57291.28</v>
      </c>
      <c r="S18" s="18" t="n">
        <v>57255.52</v>
      </c>
      <c r="T18" s="18" t="n">
        <v>56391.05</v>
      </c>
      <c r="U18" s="37" t="n">
        <v>56391.05</v>
      </c>
      <c r="V18" s="18" t="n">
        <v>56445.74</v>
      </c>
      <c r="W18" s="18" t="n">
        <v>56705.16</v>
      </c>
      <c r="X18" s="18" t="n">
        <v>34286.61</v>
      </c>
      <c r="Y18" s="18" t="n">
        <v>40070.37</v>
      </c>
      <c r="Z18" s="37" t="n">
        <v>40070.37</v>
      </c>
      <c r="AA18" s="18" t="n">
        <v>43682.04</v>
      </c>
      <c r="AB18" s="19" t="n">
        <v>45378.16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장기매출채권및기타채권</t>
        </is>
      </c>
      <c r="E19" s="18" t="n">
        <v>40576.9</v>
      </c>
      <c r="F19" s="37" t="n">
        <v>40576.9</v>
      </c>
      <c r="G19" s="18" t="n">
        <v>63250.05</v>
      </c>
      <c r="H19" s="18" t="n">
        <v>58897.65</v>
      </c>
      <c r="I19" s="18" t="n">
        <v>58967.42</v>
      </c>
      <c r="J19" s="18" t="n">
        <v>16848.99</v>
      </c>
      <c r="K19" s="37" t="n">
        <v>16848.99</v>
      </c>
      <c r="L19" s="18" t="n">
        <v>18713.07</v>
      </c>
      <c r="M19" s="18" t="n">
        <v>19247.17</v>
      </c>
      <c r="N19" s="18" t="n">
        <v>19528.07</v>
      </c>
      <c r="O19" s="18" t="n">
        <v>29452.38</v>
      </c>
      <c r="P19" s="37" t="n">
        <v>29452.38</v>
      </c>
      <c r="Q19" s="18" t="n">
        <v>28081</v>
      </c>
      <c r="R19" s="18" t="n">
        <v>28076.4</v>
      </c>
      <c r="S19" s="18" t="n">
        <v>17927.72</v>
      </c>
      <c r="T19" s="18" t="n">
        <v>5987.56</v>
      </c>
      <c r="U19" s="37" t="n">
        <v>5987.56</v>
      </c>
      <c r="V19" s="18" t="n">
        <v>7906.94</v>
      </c>
      <c r="W19" s="18" t="n">
        <v>8165.59</v>
      </c>
      <c r="X19" s="18" t="n">
        <v>37132.28</v>
      </c>
      <c r="Y19" s="18" t="n">
        <v>8389.860000000001</v>
      </c>
      <c r="Z19" s="37" t="n">
        <v>8389.860000000001</v>
      </c>
      <c r="AA19" s="18" t="n">
        <v>8517.530000000001</v>
      </c>
      <c r="AB19" s="19" t="n">
        <v>8882.35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투자부동산</t>
        </is>
      </c>
      <c r="E20" s="18" t="n">
        <v>145515.41</v>
      </c>
      <c r="F20" s="37" t="n">
        <v>145515.41</v>
      </c>
      <c r="G20" s="18" t="n">
        <v>142410.88</v>
      </c>
      <c r="H20" s="18" t="n">
        <v>141676.9</v>
      </c>
      <c r="I20" s="18" t="n">
        <v>140942.92</v>
      </c>
      <c r="J20" s="18" t="n">
        <v>140208.95</v>
      </c>
      <c r="K20" s="37" t="n">
        <v>140208.95</v>
      </c>
      <c r="L20" s="18" t="n">
        <v>139474.97</v>
      </c>
      <c r="M20" s="18" t="n">
        <v>138740.99</v>
      </c>
      <c r="N20" s="18" t="n">
        <v>138007.01</v>
      </c>
      <c r="O20" s="18" t="n">
        <v>137273.04</v>
      </c>
      <c r="P20" s="37" t="n">
        <v>137273.04</v>
      </c>
      <c r="Q20" s="18" t="n">
        <v>136548.3</v>
      </c>
      <c r="R20" s="18" t="n">
        <v>141233.27</v>
      </c>
      <c r="S20" s="18" t="n">
        <v>140467.35</v>
      </c>
      <c r="T20" s="18" t="n">
        <v>139778.31</v>
      </c>
      <c r="U20" s="37" t="n">
        <v>139778.31</v>
      </c>
      <c r="V20" s="18" t="n">
        <v>139011.7</v>
      </c>
      <c r="W20" s="18" t="n">
        <v>133609.98</v>
      </c>
      <c r="X20" s="18" t="n">
        <v>132877.71</v>
      </c>
      <c r="Y20" s="18" t="n">
        <v>54604.37</v>
      </c>
      <c r="Z20" s="37" t="n">
        <v>54604.37</v>
      </c>
      <c r="AA20" s="18" t="n">
        <v>54397.2</v>
      </c>
      <c r="AB20" s="19" t="n">
        <v>54190.04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유형자산</t>
        </is>
      </c>
      <c r="E21" s="18" t="n">
        <v>623510.77</v>
      </c>
      <c r="F21" s="37" t="n">
        <v>623510.77</v>
      </c>
      <c r="G21" s="18" t="n">
        <v>621545.75</v>
      </c>
      <c r="H21" s="18" t="n">
        <v>621587.14</v>
      </c>
      <c r="I21" s="18" t="n">
        <v>613069.08</v>
      </c>
      <c r="J21" s="18" t="n">
        <v>609038.84</v>
      </c>
      <c r="K21" s="37" t="n">
        <v>609038.84</v>
      </c>
      <c r="L21" s="18" t="n">
        <v>609109.97</v>
      </c>
      <c r="M21" s="18" t="n">
        <v>612731.61</v>
      </c>
      <c r="N21" s="18" t="n">
        <v>613111.7</v>
      </c>
      <c r="O21" s="18" t="n">
        <v>598210.1</v>
      </c>
      <c r="P21" s="37" t="n">
        <v>598210.1</v>
      </c>
      <c r="Q21" s="18" t="n">
        <v>601827.4</v>
      </c>
      <c r="R21" s="18" t="n">
        <v>595607.4399999999</v>
      </c>
      <c r="S21" s="18" t="n">
        <v>595673.04</v>
      </c>
      <c r="T21" s="18" t="n">
        <v>600537.64</v>
      </c>
      <c r="U21" s="37" t="n">
        <v>600537.64</v>
      </c>
      <c r="V21" s="18" t="n">
        <v>600149.91</v>
      </c>
      <c r="W21" s="18" t="n">
        <v>616110.64</v>
      </c>
      <c r="X21" s="18" t="n">
        <v>622059.04</v>
      </c>
      <c r="Y21" s="18" t="n">
        <v>624978.37</v>
      </c>
      <c r="Z21" s="37" t="n">
        <v>624978.37</v>
      </c>
      <c r="AA21" s="18" t="n">
        <v>628318.47</v>
      </c>
      <c r="AB21" s="19" t="n">
        <v>625612.66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사용권자산</t>
        </is>
      </c>
      <c r="E22" s="18" t="n">
        <v>7469.48</v>
      </c>
      <c r="F22" s="37" t="n">
        <v>7469.48</v>
      </c>
      <c r="G22" s="18" t="n">
        <v>6247.36</v>
      </c>
      <c r="H22" s="18" t="n">
        <v>4480.51</v>
      </c>
      <c r="I22" s="18" t="n">
        <v>3511.95</v>
      </c>
      <c r="J22" s="18" t="n">
        <v>24390.29</v>
      </c>
      <c r="K22" s="37" t="n">
        <v>24390.29</v>
      </c>
      <c r="L22" s="18" t="n">
        <v>25860.17</v>
      </c>
      <c r="M22" s="18" t="n">
        <v>23939.56</v>
      </c>
      <c r="N22" s="18" t="n">
        <v>23081.84</v>
      </c>
      <c r="O22" s="18" t="n">
        <v>25116.38</v>
      </c>
      <c r="P22" s="37" t="n">
        <v>25116.38</v>
      </c>
      <c r="Q22" s="18" t="n">
        <v>23706.64</v>
      </c>
      <c r="R22" s="18" t="n">
        <v>22844.83</v>
      </c>
      <c r="S22" s="18" t="n">
        <v>20856.29</v>
      </c>
      <c r="T22" s="18" t="n">
        <v>18740.89</v>
      </c>
      <c r="U22" s="37" t="n">
        <v>18740.89</v>
      </c>
      <c r="V22" s="18" t="n">
        <v>23946.91</v>
      </c>
      <c r="W22" s="18" t="n">
        <v>21401.16</v>
      </c>
      <c r="X22" s="18" t="n">
        <v>18281.39</v>
      </c>
      <c r="Y22" s="18" t="n">
        <v>13586.9</v>
      </c>
      <c r="Z22" s="37" t="n">
        <v>13586.9</v>
      </c>
      <c r="AA22" s="18" t="n">
        <v>11929.53</v>
      </c>
      <c r="AB22" s="19" t="n">
        <v>9761.059999999999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기타비유동자산</t>
        </is>
      </c>
      <c r="E23" s="18" t="n">
        <v>11688.94</v>
      </c>
      <c r="F23" s="37" t="n">
        <v>11688.94</v>
      </c>
      <c r="G23" s="18" t="n">
        <v>9650.110000000001</v>
      </c>
      <c r="H23" s="18" t="n">
        <v>6145.55</v>
      </c>
      <c r="I23" s="18" t="n">
        <v>4248.41</v>
      </c>
      <c r="J23" s="18" t="n">
        <v>29934.92</v>
      </c>
      <c r="K23" s="37" t="n">
        <v>29934.92</v>
      </c>
      <c r="L23" s="18" t="n">
        <v>29555.37</v>
      </c>
      <c r="M23" s="18" t="n">
        <v>25118.39</v>
      </c>
      <c r="N23" s="18" t="n">
        <v>23789.13</v>
      </c>
      <c r="O23" s="18" t="n">
        <v>41687.67</v>
      </c>
      <c r="P23" s="37" t="n">
        <v>41687.67</v>
      </c>
      <c r="Q23" s="18" t="n">
        <v>36587.96</v>
      </c>
      <c r="R23" s="18" t="n">
        <v>33125.45</v>
      </c>
      <c r="S23" s="18" t="n">
        <v>27742.95</v>
      </c>
      <c r="T23" s="18" t="n">
        <v>23578.53</v>
      </c>
      <c r="U23" s="37" t="n">
        <v>23578.53</v>
      </c>
      <c r="V23" s="18" t="n">
        <v>25557.49</v>
      </c>
      <c r="W23" s="18" t="n">
        <v>22057.41</v>
      </c>
      <c r="X23" s="18" t="n">
        <v>18930.35</v>
      </c>
      <c r="Y23" s="18" t="n">
        <v>40237.08</v>
      </c>
      <c r="Z23" s="37" t="n">
        <v>40237.08</v>
      </c>
      <c r="AA23" s="18" t="n">
        <v>32584.82</v>
      </c>
      <c r="AB23" s="19" t="n">
        <v>24445.86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무형자산</t>
        </is>
      </c>
      <c r="E24" s="18" t="n">
        <v>23902.15</v>
      </c>
      <c r="F24" s="37" t="n">
        <v>23902.15</v>
      </c>
      <c r="G24" s="18" t="n">
        <v>24531.72</v>
      </c>
      <c r="H24" s="18" t="n">
        <v>24233.56</v>
      </c>
      <c r="I24" s="18" t="n">
        <v>24327.17</v>
      </c>
      <c r="J24" s="18" t="n">
        <v>24353.83</v>
      </c>
      <c r="K24" s="37" t="n">
        <v>24353.83</v>
      </c>
      <c r="L24" s="18" t="n">
        <v>26026.1</v>
      </c>
      <c r="M24" s="18" t="n">
        <v>28901.46</v>
      </c>
      <c r="N24" s="18" t="n">
        <v>33764.11</v>
      </c>
      <c r="O24" s="18" t="n">
        <v>38762.72</v>
      </c>
      <c r="P24" s="37" t="n">
        <v>38762.72</v>
      </c>
      <c r="Q24" s="18" t="n">
        <v>40452.49</v>
      </c>
      <c r="R24" s="18" t="n">
        <v>42379.58</v>
      </c>
      <c r="S24" s="18" t="n">
        <v>44236.73</v>
      </c>
      <c r="T24" s="18" t="n">
        <v>47459.99</v>
      </c>
      <c r="U24" s="37" t="n">
        <v>47459.99</v>
      </c>
      <c r="V24" s="18" t="n">
        <v>47989.77</v>
      </c>
      <c r="W24" s="18" t="n">
        <v>47650.5</v>
      </c>
      <c r="X24" s="18" t="n">
        <v>48757.85</v>
      </c>
      <c r="Y24" s="18" t="n">
        <v>38422.08</v>
      </c>
      <c r="Z24" s="37" t="n">
        <v>38422.08</v>
      </c>
      <c r="AA24" s="18" t="n">
        <v>38479.53</v>
      </c>
      <c r="AB24" s="19" t="n">
        <v>39299.07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자산총계</t>
        </is>
      </c>
      <c r="E25" s="18" t="n">
        <v>11109138.36</v>
      </c>
      <c r="F25" s="37" t="n">
        <v>11109138.36</v>
      </c>
      <c r="G25" s="18" t="n">
        <v>11163367.97</v>
      </c>
      <c r="H25" s="18" t="n">
        <v>11210255.56</v>
      </c>
      <c r="I25" s="18" t="n">
        <v>11198521.04</v>
      </c>
      <c r="J25" s="18" t="n">
        <v>11430169.71</v>
      </c>
      <c r="K25" s="37" t="n">
        <v>11430169.71</v>
      </c>
      <c r="L25" s="18" t="n">
        <v>11471686.99</v>
      </c>
      <c r="M25" s="18" t="n">
        <v>11456324.41</v>
      </c>
      <c r="N25" s="18" t="n">
        <v>11732007.9</v>
      </c>
      <c r="O25" s="18" t="n">
        <v>11774249.96</v>
      </c>
      <c r="P25" s="37" t="n">
        <v>11774249.96</v>
      </c>
      <c r="Q25" s="18" t="n">
        <v>11760644.13</v>
      </c>
      <c r="R25" s="18" t="n">
        <v>11870886.52</v>
      </c>
      <c r="S25" s="18" t="n">
        <v>11923464.15</v>
      </c>
      <c r="T25" s="18" t="n">
        <v>12057257.41</v>
      </c>
      <c r="U25" s="37" t="n">
        <v>12057257.41</v>
      </c>
      <c r="V25" s="18" t="n">
        <v>13103784.29</v>
      </c>
      <c r="W25" s="18" t="n">
        <v>12829166.4</v>
      </c>
      <c r="X25" s="18" t="n">
        <v>12891837.69</v>
      </c>
      <c r="Y25" s="18" t="n">
        <v>12901125.69</v>
      </c>
      <c r="Z25" s="37" t="n">
        <v>12901125.69</v>
      </c>
      <c r="AA25" s="18" t="n">
        <v>13406604.41</v>
      </c>
      <c r="AB25" s="19" t="n">
        <v>15518285.54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유동부채</t>
        </is>
      </c>
      <c r="E26" s="18" t="n">
        <v>221237.07</v>
      </c>
      <c r="F26" s="37" t="n">
        <v>221237.07</v>
      </c>
      <c r="G26" s="18" t="n">
        <v>208402.63</v>
      </c>
      <c r="H26" s="18" t="n">
        <v>215794.97</v>
      </c>
      <c r="I26" s="18" t="n">
        <v>219455.58</v>
      </c>
      <c r="J26" s="18" t="n">
        <v>258944.57</v>
      </c>
      <c r="K26" s="37" t="n">
        <v>258944.57</v>
      </c>
      <c r="L26" s="18" t="n">
        <v>160027.99</v>
      </c>
      <c r="M26" s="18" t="n">
        <v>127675.02</v>
      </c>
      <c r="N26" s="18" t="n">
        <v>153107.1</v>
      </c>
      <c r="O26" s="18" t="n">
        <v>196119.73</v>
      </c>
      <c r="P26" s="37" t="n">
        <v>196119.73</v>
      </c>
      <c r="Q26" s="18" t="n">
        <v>173854.55</v>
      </c>
      <c r="R26" s="18" t="n">
        <v>177586.86</v>
      </c>
      <c r="S26" s="18" t="n">
        <v>225138</v>
      </c>
      <c r="T26" s="18" t="n">
        <v>331705.96</v>
      </c>
      <c r="U26" s="37" t="n">
        <v>331705.96</v>
      </c>
      <c r="V26" s="18" t="n">
        <v>1312526.8</v>
      </c>
      <c r="W26" s="18" t="n">
        <v>1015876.17</v>
      </c>
      <c r="X26" s="18" t="n">
        <v>990818.33</v>
      </c>
      <c r="Y26" s="18" t="n">
        <v>1116053.71</v>
      </c>
      <c r="Z26" s="37" t="n">
        <v>1116053.71</v>
      </c>
      <c r="AA26" s="18" t="n">
        <v>1677198.34</v>
      </c>
      <c r="AB26" s="19" t="n">
        <v>3431358.8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단기차입금</t>
        </is>
      </c>
      <c r="E27" s="18" t="n">
        <v>170.81</v>
      </c>
      <c r="F27" s="37" t="n">
        <v>170.81</v>
      </c>
      <c r="G27" s="18" t="n">
        <v>174.45</v>
      </c>
      <c r="H27" s="18" t="n">
        <v>186.28</v>
      </c>
      <c r="I27" s="18" t="n">
        <v>206.73</v>
      </c>
      <c r="J27" s="18" t="n">
        <v>4860.97</v>
      </c>
      <c r="K27" s="37" t="n">
        <v>4860.97</v>
      </c>
      <c r="O27" s="18" t="n">
        <v>0</v>
      </c>
      <c r="P27" s="37" t="n">
        <v>0</v>
      </c>
      <c r="R27" s="18" t="n">
        <v>1072.2</v>
      </c>
      <c r="T27" s="18" t="n">
        <v>0</v>
      </c>
      <c r="U27" s="37" t="n">
        <v>0</v>
      </c>
      <c r="V27" s="18" t="n">
        <v>597623.66</v>
      </c>
      <c r="W27" s="18" t="n">
        <v>522979.29</v>
      </c>
      <c r="X27" s="18" t="n">
        <v>495339.36</v>
      </c>
      <c r="Y27" s="18" t="n">
        <v>473565.66</v>
      </c>
      <c r="Z27" s="37" t="n">
        <v>473565.66</v>
      </c>
      <c r="AA27" s="18" t="n">
        <v>427437.86</v>
      </c>
      <c r="AB27" s="19" t="n">
        <v>2549642.37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단기금융부채(face)</t>
        </is>
      </c>
      <c r="E28" s="18" t="n">
        <v>170.81</v>
      </c>
      <c r="F28" s="37" t="n">
        <v>170.81</v>
      </c>
      <c r="G28" s="18" t="n">
        <v>174.45</v>
      </c>
      <c r="H28" s="18" t="n">
        <v>186.28</v>
      </c>
      <c r="I28" s="18" t="n">
        <v>206.73</v>
      </c>
      <c r="J28" s="18" t="n">
        <v>4860.97</v>
      </c>
      <c r="K28" s="37" t="n">
        <v>4860.97</v>
      </c>
      <c r="O28" s="18" t="n">
        <v>0</v>
      </c>
      <c r="P28" s="37" t="n">
        <v>0</v>
      </c>
      <c r="R28" s="18" t="n">
        <v>1072.2</v>
      </c>
      <c r="T28" s="18" t="n">
        <v>0</v>
      </c>
      <c r="U28" s="37" t="n">
        <v>0</v>
      </c>
      <c r="V28" s="18" t="n">
        <v>597623.66</v>
      </c>
      <c r="W28" s="18" t="n">
        <v>522979.29</v>
      </c>
      <c r="X28" s="18" t="n">
        <v>495339.36</v>
      </c>
      <c r="Y28" s="18" t="n">
        <v>473565.66</v>
      </c>
      <c r="Z28" s="37" t="n">
        <v>473565.66</v>
      </c>
      <c r="AA28" s="18" t="n">
        <v>427437.86</v>
      </c>
      <c r="AB28" s="19" t="n">
        <v>2549642.37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4773.53</v>
      </c>
      <c r="F29" s="37" t="n">
        <v>4773.53</v>
      </c>
      <c r="G29" s="18" t="n">
        <v>4234.11</v>
      </c>
      <c r="H29" s="18" t="n">
        <v>3147.86</v>
      </c>
      <c r="I29" s="18" t="n">
        <v>2477.75</v>
      </c>
      <c r="J29" s="18" t="n">
        <v>7641.23</v>
      </c>
      <c r="K29" s="37" t="n">
        <v>7641.23</v>
      </c>
      <c r="L29" s="18" t="n">
        <v>8853.82</v>
      </c>
      <c r="M29" s="18" t="n">
        <v>8613.49</v>
      </c>
      <c r="N29" s="18" t="n">
        <v>8690.879999999999</v>
      </c>
      <c r="O29" s="18" t="n">
        <v>9005.9</v>
      </c>
      <c r="P29" s="37" t="n">
        <v>9005.9</v>
      </c>
      <c r="Q29" s="18" t="n">
        <v>8912.059999999999</v>
      </c>
      <c r="R29" s="18" t="n">
        <v>9116.42</v>
      </c>
      <c r="S29" s="18" t="n">
        <v>8880.42</v>
      </c>
      <c r="T29" s="18" t="n">
        <v>8601.860000000001</v>
      </c>
      <c r="U29" s="37" t="n">
        <v>8601.860000000001</v>
      </c>
      <c r="V29" s="18" t="n">
        <v>12781.87</v>
      </c>
      <c r="W29" s="18" t="n">
        <v>13013.22</v>
      </c>
      <c r="X29" s="18" t="n">
        <v>12881.53</v>
      </c>
      <c r="Y29" s="18" t="n">
        <v>10330.51</v>
      </c>
      <c r="Z29" s="37" t="n">
        <v>10330.51</v>
      </c>
      <c r="AA29" s="18" t="n">
        <v>8106.05</v>
      </c>
      <c r="AB29" s="19" t="n">
        <v>6121.32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7739.67</v>
      </c>
      <c r="F30" s="37" t="n">
        <v>7739.67</v>
      </c>
      <c r="G30" s="18" t="n">
        <v>6519.27</v>
      </c>
      <c r="H30" s="18" t="n">
        <v>4605.94</v>
      </c>
      <c r="I30" s="18" t="n">
        <v>3649.8</v>
      </c>
      <c r="J30" s="18" t="n">
        <v>23697.51</v>
      </c>
      <c r="K30" s="37" t="n">
        <v>23697.51</v>
      </c>
      <c r="L30" s="18" t="n">
        <v>25284.18</v>
      </c>
      <c r="M30" s="18" t="n">
        <v>23553.35</v>
      </c>
      <c r="N30" s="18" t="n">
        <v>22787.65</v>
      </c>
      <c r="O30" s="18" t="n">
        <v>24874.82</v>
      </c>
      <c r="P30" s="37" t="n">
        <v>24874.82</v>
      </c>
      <c r="Q30" s="18" t="n">
        <v>23583.98</v>
      </c>
      <c r="R30" s="18" t="n">
        <v>22824.64</v>
      </c>
      <c r="S30" s="18" t="n">
        <v>20974.69</v>
      </c>
      <c r="T30" s="18" t="n">
        <v>18929.81</v>
      </c>
      <c r="U30" s="37" t="n">
        <v>18929.81</v>
      </c>
      <c r="V30" s="18" t="n">
        <v>24220.35</v>
      </c>
      <c r="W30" s="18" t="n">
        <v>21790.97</v>
      </c>
      <c r="X30" s="18" t="n">
        <v>18794.22</v>
      </c>
      <c r="Y30" s="18" t="n">
        <v>13946.19</v>
      </c>
      <c r="Z30" s="37" t="n">
        <v>13946.19</v>
      </c>
      <c r="AA30" s="18" t="n">
        <v>12259.1</v>
      </c>
      <c r="AB30" s="19" t="n">
        <v>9995.5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단기금융부채</t>
        </is>
      </c>
      <c r="E31" s="18" t="n">
        <v>4773.53</v>
      </c>
      <c r="F31" s="37" t="n">
        <v>4773.53</v>
      </c>
      <c r="G31" s="18" t="n">
        <v>4234.11</v>
      </c>
      <c r="H31" s="18" t="n">
        <v>3147.86</v>
      </c>
      <c r="I31" s="18" t="n">
        <v>2477.75</v>
      </c>
      <c r="J31" s="18" t="n">
        <v>7641.23</v>
      </c>
      <c r="K31" s="37" t="n">
        <v>7641.23</v>
      </c>
      <c r="L31" s="18" t="n">
        <v>8853.82</v>
      </c>
      <c r="M31" s="18" t="n">
        <v>8613.49</v>
      </c>
      <c r="N31" s="18" t="n">
        <v>8690.879999999999</v>
      </c>
      <c r="O31" s="18" t="n">
        <v>9005.9</v>
      </c>
      <c r="P31" s="37" t="n">
        <v>9005.9</v>
      </c>
      <c r="Q31" s="18" t="n">
        <v>8912.059999999999</v>
      </c>
      <c r="R31" s="18" t="n">
        <v>9116.42</v>
      </c>
      <c r="S31" s="18" t="n">
        <v>8880.42</v>
      </c>
      <c r="T31" s="18" t="n">
        <v>8601.860000000001</v>
      </c>
      <c r="U31" s="37" t="n">
        <v>8601.860000000001</v>
      </c>
      <c r="V31" s="18" t="n">
        <v>12781.87</v>
      </c>
      <c r="W31" s="18" t="n">
        <v>13013.22</v>
      </c>
      <c r="X31" s="18" t="n">
        <v>12881.53</v>
      </c>
      <c r="Y31" s="18" t="n">
        <v>10330.51</v>
      </c>
      <c r="Z31" s="37" t="n">
        <v>10330.51</v>
      </c>
      <c r="AA31" s="18" t="n">
        <v>8106.05</v>
      </c>
      <c r="AB31" s="19" t="n">
        <v>6121.32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매입채무및기타채무</t>
        </is>
      </c>
      <c r="E32" s="18" t="n">
        <v>178306.07</v>
      </c>
      <c r="F32" s="37" t="n">
        <v>178306.07</v>
      </c>
      <c r="G32" s="18" t="n">
        <v>162665.02</v>
      </c>
      <c r="H32" s="18" t="n">
        <v>168161.42</v>
      </c>
      <c r="I32" s="18" t="n">
        <v>167123.34</v>
      </c>
      <c r="J32" s="18" t="n">
        <v>186935.61</v>
      </c>
      <c r="K32" s="37" t="n">
        <v>186935.61</v>
      </c>
      <c r="L32" s="18" t="n">
        <v>96691.03</v>
      </c>
      <c r="M32" s="18" t="n">
        <v>51219.14</v>
      </c>
      <c r="N32" s="18" t="n">
        <v>47192.2</v>
      </c>
      <c r="O32" s="18" t="n">
        <v>85026.14</v>
      </c>
      <c r="P32" s="37" t="n">
        <v>85026.14</v>
      </c>
      <c r="Q32" s="18" t="n">
        <v>49753.04</v>
      </c>
      <c r="R32" s="18" t="n">
        <v>55293.11</v>
      </c>
      <c r="S32" s="18" t="n">
        <v>63751.58</v>
      </c>
      <c r="T32" s="18" t="n">
        <v>113963.38</v>
      </c>
      <c r="U32" s="37" t="n">
        <v>113963.38</v>
      </c>
      <c r="V32" s="18" t="n">
        <v>439385.05</v>
      </c>
      <c r="W32" s="18" t="n">
        <v>127698.87</v>
      </c>
      <c r="X32" s="18" t="n">
        <v>128454.06</v>
      </c>
      <c r="Y32" s="18" t="n">
        <v>230562.83</v>
      </c>
      <c r="Z32" s="37" t="n">
        <v>230562.83</v>
      </c>
      <c r="AA32" s="18" t="n">
        <v>818457.1899999999</v>
      </c>
      <c r="AB32" s="19" t="n">
        <v>204950.33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계약부채</t>
        </is>
      </c>
      <c r="E33" s="18" t="n">
        <v>4827.19</v>
      </c>
      <c r="F33" s="37" t="n">
        <v>4827.19</v>
      </c>
      <c r="G33" s="18" t="n">
        <v>8220.73</v>
      </c>
      <c r="H33" s="18" t="n">
        <v>8347.620000000001</v>
      </c>
      <c r="I33" s="18" t="n">
        <v>17061.47</v>
      </c>
      <c r="J33" s="18" t="n">
        <v>26788.46</v>
      </c>
      <c r="K33" s="37" t="n">
        <v>26788.46</v>
      </c>
      <c r="L33" s="18" t="n">
        <v>49885.1</v>
      </c>
      <c r="M33" s="18" t="n">
        <v>66994.02</v>
      </c>
      <c r="N33" s="18" t="n">
        <v>96563.14999999999</v>
      </c>
      <c r="O33" s="18" t="n">
        <v>101407.84</v>
      </c>
      <c r="P33" s="37" t="n">
        <v>101407.84</v>
      </c>
      <c r="Q33" s="18" t="n">
        <v>114394.6</v>
      </c>
      <c r="R33" s="18" t="n">
        <v>107893.01</v>
      </c>
      <c r="S33" s="18" t="n">
        <v>151121.4</v>
      </c>
      <c r="T33" s="18" t="n">
        <v>207481.7</v>
      </c>
      <c r="U33" s="37" t="n">
        <v>207481.7</v>
      </c>
      <c r="V33" s="18" t="n">
        <v>245980.03</v>
      </c>
      <c r="W33" s="18" t="n">
        <v>319326.78</v>
      </c>
      <c r="X33" s="18" t="n">
        <v>343949.27</v>
      </c>
      <c r="Y33" s="18" t="n">
        <v>380304.5</v>
      </c>
      <c r="Z33" s="37" t="n">
        <v>380304.5</v>
      </c>
      <c r="AA33" s="18" t="n">
        <v>385027.65</v>
      </c>
      <c r="AB33" s="19" t="n">
        <v>638920.62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선수금</t>
        </is>
      </c>
      <c r="E34" s="18" t="n">
        <v>1528.17</v>
      </c>
      <c r="F34" s="37" t="n">
        <v>1528.17</v>
      </c>
      <c r="K34" s="9" t="n"/>
      <c r="O34" s="18" t="n">
        <v>0</v>
      </c>
      <c r="P34" s="37" t="n">
        <v>0</v>
      </c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기타유동부채</t>
        </is>
      </c>
      <c r="E35" s="18" t="n">
        <v>1567.55</v>
      </c>
      <c r="F35" s="37" t="n">
        <v>1567.55</v>
      </c>
      <c r="G35" s="18" t="n">
        <v>39.38</v>
      </c>
      <c r="H35" s="18" t="n">
        <v>79.38</v>
      </c>
      <c r="I35" s="18" t="n">
        <v>79.38</v>
      </c>
      <c r="J35" s="18" t="n">
        <v>79.38</v>
      </c>
      <c r="K35" s="37" t="n">
        <v>79.38</v>
      </c>
      <c r="L35" s="18" t="n">
        <v>16.48</v>
      </c>
      <c r="M35" s="18" t="n">
        <v>56.48</v>
      </c>
      <c r="N35" s="18" t="n">
        <v>55.21</v>
      </c>
      <c r="O35" s="18" t="n">
        <v>32.04</v>
      </c>
      <c r="P35" s="37" t="n">
        <v>32.04</v>
      </c>
      <c r="Q35" s="18" t="n">
        <v>32.04</v>
      </c>
      <c r="R35" s="18" t="n">
        <v>32.04</v>
      </c>
      <c r="S35" s="18" t="n">
        <v>32.04</v>
      </c>
      <c r="T35" s="18" t="n">
        <v>32.04</v>
      </c>
      <c r="U35" s="37" t="n">
        <v>32.04</v>
      </c>
      <c r="V35" s="18" t="n">
        <v>32.04</v>
      </c>
      <c r="W35" s="18" t="n">
        <v>0</v>
      </c>
      <c r="X35" s="18" t="n">
        <v>0</v>
      </c>
      <c r="Y35" s="18" t="n">
        <v>0</v>
      </c>
      <c r="Z35" s="37" t="n">
        <v>0</v>
      </c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단기충당부채</t>
        </is>
      </c>
      <c r="E36" s="18" t="n">
        <v>31591.92</v>
      </c>
      <c r="F36" s="37" t="n">
        <v>31591.92</v>
      </c>
      <c r="G36" s="18" t="n">
        <v>31858.92</v>
      </c>
      <c r="H36" s="18" t="n">
        <v>32112.92</v>
      </c>
      <c r="I36" s="18" t="n">
        <v>32377.92</v>
      </c>
      <c r="J36" s="18" t="n">
        <v>32638.92</v>
      </c>
      <c r="K36" s="37" t="n">
        <v>32638.92</v>
      </c>
      <c r="L36" s="18" t="n">
        <v>4581.57</v>
      </c>
      <c r="M36" s="18" t="n">
        <v>791.89</v>
      </c>
      <c r="N36" s="18" t="n">
        <v>605.66</v>
      </c>
      <c r="O36" s="18" t="n">
        <v>647.8</v>
      </c>
      <c r="P36" s="37" t="n">
        <v>647.8</v>
      </c>
      <c r="Q36" s="18" t="n">
        <v>762.8</v>
      </c>
      <c r="R36" s="18" t="n">
        <v>1134.68</v>
      </c>
      <c r="S36" s="18" t="n">
        <v>1352.55</v>
      </c>
      <c r="T36" s="18" t="n">
        <v>1626.99</v>
      </c>
      <c r="U36" s="37" t="n">
        <v>1626.99</v>
      </c>
      <c r="V36" s="18" t="n">
        <v>1775.15</v>
      </c>
      <c r="W36" s="18" t="n">
        <v>1913.68</v>
      </c>
      <c r="X36" s="18" t="n">
        <v>2360.95</v>
      </c>
      <c r="Y36" s="18" t="n">
        <v>2831.3</v>
      </c>
      <c r="Z36" s="37" t="n">
        <v>2831.3</v>
      </c>
      <c r="AA36" s="18" t="n">
        <v>3345.01</v>
      </c>
      <c r="AB36" s="19" t="n">
        <v>4548.16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비유동부채</t>
        </is>
      </c>
      <c r="E37" s="18" t="n">
        <v>110885.36</v>
      </c>
      <c r="F37" s="37" t="n">
        <v>110885.36</v>
      </c>
      <c r="G37" s="18" t="n">
        <v>116241.82</v>
      </c>
      <c r="H37" s="18" t="n">
        <v>114312.1</v>
      </c>
      <c r="I37" s="18" t="n">
        <v>92741.2</v>
      </c>
      <c r="J37" s="18" t="n">
        <v>46736.42</v>
      </c>
      <c r="K37" s="37" t="n">
        <v>46736.42</v>
      </c>
      <c r="L37" s="18" t="n">
        <v>49537.79</v>
      </c>
      <c r="M37" s="18" t="n">
        <v>51464.86</v>
      </c>
      <c r="N37" s="18" t="n">
        <v>48921.73</v>
      </c>
      <c r="O37" s="18" t="n">
        <v>48531.88</v>
      </c>
      <c r="P37" s="37" t="n">
        <v>48531.88</v>
      </c>
      <c r="Q37" s="18" t="n">
        <v>47544.3</v>
      </c>
      <c r="R37" s="18" t="n">
        <v>45574.45</v>
      </c>
      <c r="S37" s="18" t="n">
        <v>43907.99</v>
      </c>
      <c r="T37" s="18" t="n">
        <v>45017.39</v>
      </c>
      <c r="U37" s="37" t="n">
        <v>45017.39</v>
      </c>
      <c r="V37" s="18" t="n">
        <v>47011.69</v>
      </c>
      <c r="W37" s="18" t="n">
        <v>47028.71</v>
      </c>
      <c r="X37" s="18" t="n">
        <v>49024.36</v>
      </c>
      <c r="Y37" s="18" t="n">
        <v>44084.22</v>
      </c>
      <c r="Z37" s="37" t="n">
        <v>44084.22</v>
      </c>
      <c r="AA37" s="18" t="n">
        <v>62450.17</v>
      </c>
      <c r="AB37" s="19" t="n">
        <v>212795.6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장기차입금</t>
        </is>
      </c>
      <c r="E38" s="18" t="n">
        <v>44141.67</v>
      </c>
      <c r="F38" s="37" t="n">
        <v>44141.67</v>
      </c>
      <c r="G38" s="18" t="n">
        <v>35924.5</v>
      </c>
      <c r="H38" s="18" t="n">
        <v>25931.23</v>
      </c>
      <c r="I38" s="18" t="n">
        <v>21287.71</v>
      </c>
      <c r="J38" s="18" t="n">
        <v>11977.28</v>
      </c>
      <c r="K38" s="37" t="n">
        <v>11977.28</v>
      </c>
      <c r="L38" s="18" t="n">
        <v>14482.59</v>
      </c>
      <c r="M38" s="18" t="n">
        <v>17851.91</v>
      </c>
      <c r="N38" s="18" t="n">
        <v>13932.86</v>
      </c>
      <c r="O38" s="18" t="n">
        <v>12901.87</v>
      </c>
      <c r="P38" s="37" t="n">
        <v>12901.87</v>
      </c>
      <c r="Q38" s="18" t="n">
        <v>12893.13</v>
      </c>
      <c r="R38" s="18" t="n">
        <v>11163.46</v>
      </c>
      <c r="S38" s="18" t="n">
        <v>10604.16</v>
      </c>
      <c r="T38" s="18" t="n">
        <v>11812.76</v>
      </c>
      <c r="U38" s="37" t="n">
        <v>11812.76</v>
      </c>
      <c r="V38" s="18" t="n">
        <v>11784.63</v>
      </c>
      <c r="W38" s="18" t="n">
        <v>10899.88</v>
      </c>
      <c r="X38" s="18" t="n">
        <v>11267.92</v>
      </c>
      <c r="Y38" s="18" t="n">
        <v>11530.7</v>
      </c>
      <c r="Z38" s="37" t="n">
        <v>11530.7</v>
      </c>
      <c r="AA38" s="18" t="n">
        <v>12161.51</v>
      </c>
      <c r="AB38" s="19" t="n">
        <v>12387.32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장기금융부채(face)</t>
        </is>
      </c>
      <c r="E39" s="18" t="n">
        <v>44141.67</v>
      </c>
      <c r="F39" s="37" t="n">
        <v>44141.67</v>
      </c>
      <c r="G39" s="18" t="n">
        <v>35924.5</v>
      </c>
      <c r="H39" s="18" t="n">
        <v>25931.23</v>
      </c>
      <c r="I39" s="18" t="n">
        <v>21287.71</v>
      </c>
      <c r="J39" s="18" t="n">
        <v>11977.28</v>
      </c>
      <c r="K39" s="37" t="n">
        <v>11977.28</v>
      </c>
      <c r="L39" s="18" t="n">
        <v>14482.59</v>
      </c>
      <c r="M39" s="18" t="n">
        <v>17851.91</v>
      </c>
      <c r="N39" s="18" t="n">
        <v>13932.86</v>
      </c>
      <c r="O39" s="18" t="n">
        <v>12901.87</v>
      </c>
      <c r="P39" s="37" t="n">
        <v>12901.87</v>
      </c>
      <c r="Q39" s="18" t="n">
        <v>12893.13</v>
      </c>
      <c r="R39" s="18" t="n">
        <v>11163.46</v>
      </c>
      <c r="S39" s="18" t="n">
        <v>10604.16</v>
      </c>
      <c r="T39" s="18" t="n">
        <v>11812.76</v>
      </c>
      <c r="U39" s="37" t="n">
        <v>11812.76</v>
      </c>
      <c r="V39" s="18" t="n">
        <v>11784.63</v>
      </c>
      <c r="W39" s="18" t="n">
        <v>10899.88</v>
      </c>
      <c r="X39" s="18" t="n">
        <v>11267.92</v>
      </c>
      <c r="Y39" s="18" t="n">
        <v>11530.7</v>
      </c>
      <c r="Z39" s="37" t="n">
        <v>11530.7</v>
      </c>
      <c r="AA39" s="18" t="n">
        <v>12161.51</v>
      </c>
      <c r="AB39" s="19" t="n">
        <v>12387.32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E40" s="18" t="n">
        <v>2966.14</v>
      </c>
      <c r="F40" s="37" t="n">
        <v>2966.14</v>
      </c>
      <c r="G40" s="18" t="n">
        <v>2285.16</v>
      </c>
      <c r="H40" s="18" t="n">
        <v>1458.08</v>
      </c>
      <c r="I40" s="18" t="n">
        <v>1172.05</v>
      </c>
      <c r="J40" s="18" t="n">
        <v>16056.28</v>
      </c>
      <c r="K40" s="37" t="n">
        <v>16056.28</v>
      </c>
      <c r="L40" s="18" t="n">
        <v>16430.36</v>
      </c>
      <c r="M40" s="18" t="n">
        <v>14939.86</v>
      </c>
      <c r="N40" s="18" t="n">
        <v>14096.77</v>
      </c>
      <c r="O40" s="18" t="n">
        <v>15868.92</v>
      </c>
      <c r="P40" s="37" t="n">
        <v>15868.92</v>
      </c>
      <c r="Q40" s="18" t="n">
        <v>14671.92</v>
      </c>
      <c r="R40" s="18" t="n">
        <v>13708.22</v>
      </c>
      <c r="S40" s="18" t="n">
        <v>12094.27</v>
      </c>
      <c r="T40" s="18" t="n">
        <v>10327.95</v>
      </c>
      <c r="U40" s="37" t="n">
        <v>10327.95</v>
      </c>
      <c r="V40" s="18" t="n">
        <v>11438.48</v>
      </c>
      <c r="W40" s="18" t="n">
        <v>8777.75</v>
      </c>
      <c r="X40" s="18" t="n">
        <v>5912.69</v>
      </c>
      <c r="Y40" s="18" t="n">
        <v>3615.68</v>
      </c>
      <c r="Z40" s="37" t="n">
        <v>3615.68</v>
      </c>
      <c r="AA40" s="18" t="n">
        <v>4153.05</v>
      </c>
      <c r="AB40" s="19" t="n">
        <v>3874.18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장기금융부채</t>
        </is>
      </c>
      <c r="E41" s="18" t="n">
        <v>2966.14</v>
      </c>
      <c r="F41" s="37" t="n">
        <v>2966.14</v>
      </c>
      <c r="G41" s="18" t="n">
        <v>2285.16</v>
      </c>
      <c r="H41" s="18" t="n">
        <v>1458.08</v>
      </c>
      <c r="I41" s="18" t="n">
        <v>1172.05</v>
      </c>
      <c r="J41" s="18" t="n">
        <v>16056.28</v>
      </c>
      <c r="K41" s="37" t="n">
        <v>16056.28</v>
      </c>
      <c r="L41" s="18" t="n">
        <v>16430.36</v>
      </c>
      <c r="M41" s="18" t="n">
        <v>14939.86</v>
      </c>
      <c r="N41" s="18" t="n">
        <v>14096.77</v>
      </c>
      <c r="O41" s="18" t="n">
        <v>15868.92</v>
      </c>
      <c r="P41" s="37" t="n">
        <v>15868.92</v>
      </c>
      <c r="Q41" s="18" t="n">
        <v>14671.92</v>
      </c>
      <c r="R41" s="18" t="n">
        <v>13708.22</v>
      </c>
      <c r="S41" s="18" t="n">
        <v>12094.27</v>
      </c>
      <c r="T41" s="18" t="n">
        <v>10327.95</v>
      </c>
      <c r="U41" s="37" t="n">
        <v>10327.95</v>
      </c>
      <c r="V41" s="18" t="n">
        <v>11438.48</v>
      </c>
      <c r="W41" s="18" t="n">
        <v>8777.75</v>
      </c>
      <c r="X41" s="18" t="n">
        <v>5912.69</v>
      </c>
      <c r="Y41" s="18" t="n">
        <v>3615.68</v>
      </c>
      <c r="Z41" s="37" t="n">
        <v>3615.68</v>
      </c>
      <c r="AA41" s="18" t="n">
        <v>5381.26</v>
      </c>
      <c r="AB41" s="19" t="n">
        <v>11845.98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장기매입채무및기타채무</t>
        </is>
      </c>
      <c r="E42" s="18" t="n">
        <v>6291.46</v>
      </c>
      <c r="F42" s="37" t="n">
        <v>6291.46</v>
      </c>
      <c r="G42" s="18" t="n">
        <v>6294.08</v>
      </c>
      <c r="H42" s="18" t="n">
        <v>6070.86</v>
      </c>
      <c r="I42" s="18" t="n">
        <v>6110.93</v>
      </c>
      <c r="J42" s="18" t="n">
        <v>6387.3</v>
      </c>
      <c r="K42" s="37" t="n">
        <v>6387.3</v>
      </c>
      <c r="L42" s="18" t="n">
        <v>6397.71</v>
      </c>
      <c r="M42" s="18" t="n">
        <v>6459.48</v>
      </c>
      <c r="N42" s="18" t="n">
        <v>6525.61</v>
      </c>
      <c r="O42" s="18" t="n">
        <v>8129.35</v>
      </c>
      <c r="P42" s="37" t="n">
        <v>8129.35</v>
      </c>
      <c r="Q42" s="18" t="n">
        <v>8151.49</v>
      </c>
      <c r="R42" s="18" t="n">
        <v>8732.049999999999</v>
      </c>
      <c r="S42" s="18" t="n">
        <v>9145.5</v>
      </c>
      <c r="T42" s="18" t="n">
        <v>10591.83</v>
      </c>
      <c r="U42" s="37" t="n">
        <v>10591.83</v>
      </c>
      <c r="V42" s="18" t="n">
        <v>11104.17</v>
      </c>
      <c r="W42" s="18" t="n">
        <v>12105.3</v>
      </c>
      <c r="X42" s="18" t="n">
        <v>12636.22</v>
      </c>
      <c r="Y42" s="18" t="n">
        <v>13748.83</v>
      </c>
      <c r="Z42" s="37" t="n">
        <v>13748.83</v>
      </c>
      <c r="AA42" s="18" t="n">
        <v>14374.74</v>
      </c>
      <c r="AB42" s="19" t="n">
        <v>15226.2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확정급여부채</t>
        </is>
      </c>
      <c r="E43" s="18" t="n">
        <v>729.7</v>
      </c>
      <c r="F43" s="37" t="n">
        <v>729.7</v>
      </c>
      <c r="G43" s="18" t="n">
        <v>729.7</v>
      </c>
      <c r="H43" s="18" t="n">
        <v>729.7</v>
      </c>
      <c r="I43" s="18" t="n">
        <v>4971.04</v>
      </c>
      <c r="J43" s="18" t="n">
        <v>1060.42</v>
      </c>
      <c r="K43" s="37" t="n">
        <v>1060.42</v>
      </c>
      <c r="L43" s="18" t="n">
        <v>1060.42</v>
      </c>
      <c r="M43" s="18" t="n">
        <v>1060.42</v>
      </c>
      <c r="N43" s="18" t="n">
        <v>2923.97</v>
      </c>
      <c r="O43" s="18" t="n">
        <v>84.40000000000001</v>
      </c>
      <c r="P43" s="37" t="n">
        <v>84.40000000000001</v>
      </c>
      <c r="Q43" s="18" t="n">
        <v>84.40000000000001</v>
      </c>
      <c r="R43" s="18" t="n">
        <v>84.40000000000001</v>
      </c>
      <c r="S43" s="18" t="n">
        <v>84.40000000000001</v>
      </c>
      <c r="T43" s="18" t="n">
        <v>119.76</v>
      </c>
      <c r="U43" s="37" t="n">
        <v>119.76</v>
      </c>
      <c r="V43" s="18" t="n">
        <v>119.76</v>
      </c>
      <c r="W43" s="18" t="n">
        <v>2483.22</v>
      </c>
      <c r="X43" s="18" t="n">
        <v>6373.53</v>
      </c>
      <c r="Y43" s="18" t="n">
        <v>201.55</v>
      </c>
      <c r="Z43" s="37" t="n">
        <v>201.55</v>
      </c>
      <c r="AA43" s="18" t="n">
        <v>201.55</v>
      </c>
      <c r="AB43" s="19" t="n">
        <v>202.22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부채총계</t>
        </is>
      </c>
      <c r="E44" s="18" t="n">
        <v>332122.43</v>
      </c>
      <c r="F44" s="37" t="n">
        <v>332122.43</v>
      </c>
      <c r="G44" s="18" t="n">
        <v>324644.46</v>
      </c>
      <c r="H44" s="18" t="n">
        <v>330107.07</v>
      </c>
      <c r="I44" s="18" t="n">
        <v>312196.78</v>
      </c>
      <c r="J44" s="18" t="n">
        <v>305680.98</v>
      </c>
      <c r="K44" s="37" t="n">
        <v>305680.98</v>
      </c>
      <c r="L44" s="18" t="n">
        <v>209565.78</v>
      </c>
      <c r="M44" s="18" t="n">
        <v>179139.89</v>
      </c>
      <c r="N44" s="18" t="n">
        <v>202028.83</v>
      </c>
      <c r="O44" s="18" t="n">
        <v>244651.62</v>
      </c>
      <c r="P44" s="37" t="n">
        <v>244651.62</v>
      </c>
      <c r="Q44" s="18" t="n">
        <v>221398.85</v>
      </c>
      <c r="R44" s="18" t="n">
        <v>223161.31</v>
      </c>
      <c r="S44" s="18" t="n">
        <v>269045.99</v>
      </c>
      <c r="T44" s="18" t="n">
        <v>376723.35</v>
      </c>
      <c r="U44" s="37" t="n">
        <v>376723.35</v>
      </c>
      <c r="V44" s="18" t="n">
        <v>1359538.5</v>
      </c>
      <c r="W44" s="18" t="n">
        <v>1062904.88</v>
      </c>
      <c r="X44" s="18" t="n">
        <v>1039842.68</v>
      </c>
      <c r="Y44" s="18" t="n">
        <v>1160137.93</v>
      </c>
      <c r="Z44" s="37" t="n">
        <v>1160137.93</v>
      </c>
      <c r="AA44" s="18" t="n">
        <v>1739648.51</v>
      </c>
      <c r="AB44" s="19" t="n">
        <v>3644154.4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353865.58</v>
      </c>
      <c r="F45" s="37" t="n">
        <v>353865.58</v>
      </c>
      <c r="G45" s="18" t="n">
        <v>353865.58</v>
      </c>
      <c r="H45" s="18" t="n">
        <v>353865.58</v>
      </c>
      <c r="I45" s="18" t="n">
        <v>353865.58</v>
      </c>
      <c r="J45" s="18" t="n">
        <v>353865.58</v>
      </c>
      <c r="K45" s="37" t="n">
        <v>353865.58</v>
      </c>
      <c r="L45" s="18" t="n">
        <v>353865.58</v>
      </c>
      <c r="M45" s="18" t="n">
        <v>353865.58</v>
      </c>
      <c r="N45" s="18" t="n">
        <v>353865.58</v>
      </c>
      <c r="O45" s="18" t="n">
        <v>353865.58</v>
      </c>
      <c r="P45" s="37" t="n">
        <v>353865.58</v>
      </c>
      <c r="Q45" s="18" t="n">
        <v>353865.58</v>
      </c>
      <c r="R45" s="18" t="n">
        <v>353865.58</v>
      </c>
      <c r="S45" s="18" t="n">
        <v>353865.58</v>
      </c>
      <c r="T45" s="18" t="n">
        <v>353865.58</v>
      </c>
      <c r="U45" s="37" t="n">
        <v>353865.58</v>
      </c>
      <c r="V45" s="18" t="n">
        <v>353865.58</v>
      </c>
      <c r="W45" s="18" t="n">
        <v>353865.58</v>
      </c>
      <c r="X45" s="18" t="n">
        <v>353865.58</v>
      </c>
      <c r="Y45" s="18" t="n">
        <v>353865.58</v>
      </c>
      <c r="Z45" s="37" t="n">
        <v>353865.58</v>
      </c>
      <c r="AA45" s="18" t="n">
        <v>353865.58</v>
      </c>
      <c r="AB45" s="19" t="n">
        <v>353865.58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2352914.99</v>
      </c>
      <c r="F46" s="37" t="n">
        <v>2352914.99</v>
      </c>
      <c r="G46" s="18" t="n">
        <v>2352914.99</v>
      </c>
      <c r="H46" s="18" t="n">
        <v>2352914.99</v>
      </c>
      <c r="I46" s="18" t="n">
        <v>2352914.99</v>
      </c>
      <c r="J46" s="18" t="n">
        <v>2352914.99</v>
      </c>
      <c r="K46" s="37" t="n">
        <v>2352914.99</v>
      </c>
      <c r="L46" s="18" t="n">
        <v>2352914.99</v>
      </c>
      <c r="M46" s="18" t="n">
        <v>2352914.99</v>
      </c>
      <c r="N46" s="18" t="n">
        <v>2352914.99</v>
      </c>
      <c r="O46" s="18" t="n">
        <v>2353534.27</v>
      </c>
      <c r="P46" s="37" t="n">
        <v>2353534.27</v>
      </c>
      <c r="Q46" s="18" t="n">
        <v>2353534.27</v>
      </c>
      <c r="R46" s="18" t="n">
        <v>2353534.27</v>
      </c>
      <c r="S46" s="18" t="n">
        <v>2353534.27</v>
      </c>
      <c r="T46" s="18" t="n">
        <v>2353534.27</v>
      </c>
      <c r="U46" s="37" t="n">
        <v>2353534.27</v>
      </c>
      <c r="V46" s="18" t="n">
        <v>2353534.27</v>
      </c>
      <c r="W46" s="18" t="n">
        <v>2353534.27</v>
      </c>
      <c r="X46" s="18" t="n">
        <v>2353534.27</v>
      </c>
      <c r="Y46" s="18" t="n">
        <v>2353534.27</v>
      </c>
      <c r="Z46" s="37" t="n">
        <v>2353534.27</v>
      </c>
      <c r="AA46" s="18" t="n">
        <v>2353534.27</v>
      </c>
      <c r="AB46" s="19" t="n">
        <v>2353534.27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-8153905.2</v>
      </c>
      <c r="F47" s="37" t="n">
        <v>-8153905.2</v>
      </c>
      <c r="G47" s="18" t="n">
        <v>-8153905.2</v>
      </c>
      <c r="H47" s="18" t="n">
        <v>-8153905.2</v>
      </c>
      <c r="I47" s="18" t="n">
        <v>-8153905.2</v>
      </c>
      <c r="J47" s="18" t="n">
        <v>-8153905.2</v>
      </c>
      <c r="K47" s="37" t="n">
        <v>-8153905.2</v>
      </c>
      <c r="L47" s="18" t="n">
        <v>-8059153.63</v>
      </c>
      <c r="M47" s="18" t="n">
        <v>-8060193.57</v>
      </c>
      <c r="N47" s="18" t="n">
        <v>-8060450.51</v>
      </c>
      <c r="O47" s="18" t="n">
        <v>-8060450.51</v>
      </c>
      <c r="P47" s="37" t="n">
        <v>-8060450.51</v>
      </c>
      <c r="Q47" s="18" t="n">
        <v>-8060450.51</v>
      </c>
      <c r="R47" s="18" t="n">
        <v>-8060450.51</v>
      </c>
      <c r="S47" s="18" t="n">
        <v>-8060450.51</v>
      </c>
      <c r="T47" s="18" t="n">
        <v>-8060450.51</v>
      </c>
      <c r="U47" s="37" t="n">
        <v>-8060450.51</v>
      </c>
      <c r="V47" s="18" t="n">
        <v>-8060450.51</v>
      </c>
      <c r="W47" s="18" t="n">
        <v>-8060450.51</v>
      </c>
      <c r="X47" s="18" t="n">
        <v>-8060450.51</v>
      </c>
      <c r="Y47" s="18" t="n">
        <v>-8060450.51</v>
      </c>
      <c r="Z47" s="37" t="n">
        <v>-8060450.51</v>
      </c>
      <c r="AA47" s="18" t="n">
        <v>-8060450.51</v>
      </c>
      <c r="AB47" s="19" t="n">
        <v>-8060450.51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기타포괄이익누계액</t>
        </is>
      </c>
      <c r="E48" s="18" t="n">
        <v>-128470.9</v>
      </c>
      <c r="F48" s="37" t="n">
        <v>-128470.9</v>
      </c>
      <c r="G48" s="18" t="n">
        <v>-125158.38</v>
      </c>
      <c r="H48" s="18" t="n">
        <v>-140927.86</v>
      </c>
      <c r="I48" s="18" t="n">
        <v>-159795.07</v>
      </c>
      <c r="J48" s="18" t="n">
        <v>-161551.75</v>
      </c>
      <c r="K48" s="37" t="n">
        <v>-161551.75</v>
      </c>
      <c r="L48" s="18" t="n">
        <v>-154009.15</v>
      </c>
      <c r="M48" s="18" t="n">
        <v>-125494.97</v>
      </c>
      <c r="N48" s="18" t="n">
        <v>-137251.55</v>
      </c>
      <c r="O48" s="18" t="n">
        <v>-128341.63</v>
      </c>
      <c r="P48" s="37" t="n">
        <v>-128341.63</v>
      </c>
      <c r="Q48" s="18" t="n">
        <v>95127.94</v>
      </c>
      <c r="R48" s="18" t="n">
        <v>89971.14</v>
      </c>
      <c r="S48" s="18" t="n">
        <v>89943.85000000001</v>
      </c>
      <c r="T48" s="18" t="n">
        <v>89243.60000000001</v>
      </c>
      <c r="U48" s="37" t="n">
        <v>89243.60000000001</v>
      </c>
      <c r="V48" s="18" t="n">
        <v>88769.42</v>
      </c>
      <c r="W48" s="18" t="n">
        <v>124413.6</v>
      </c>
      <c r="X48" s="18" t="n">
        <v>131638.78</v>
      </c>
      <c r="Y48" s="18" t="n">
        <v>127615.13</v>
      </c>
      <c r="Z48" s="37" t="n">
        <v>127615.13</v>
      </c>
      <c r="AA48" s="18" t="n">
        <v>127839.41</v>
      </c>
      <c r="AB48" s="19" t="n">
        <v>124857.18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16352611.45</v>
      </c>
      <c r="F49" s="37" t="n">
        <v>16352611.45</v>
      </c>
      <c r="G49" s="18" t="n">
        <v>16411006.52</v>
      </c>
      <c r="H49" s="18" t="n">
        <v>16468200.97</v>
      </c>
      <c r="I49" s="18" t="n">
        <v>16493243.96</v>
      </c>
      <c r="J49" s="18" t="n">
        <v>16733165.1</v>
      </c>
      <c r="K49" s="37" t="n">
        <v>16733165.1</v>
      </c>
      <c r="L49" s="18" t="n">
        <v>16768503.43</v>
      </c>
      <c r="M49" s="18" t="n">
        <v>16756092.5</v>
      </c>
      <c r="N49" s="18" t="n">
        <v>17020900.57</v>
      </c>
      <c r="O49" s="18" t="n">
        <v>17010990.64</v>
      </c>
      <c r="P49" s="37" t="n">
        <v>17010990.64</v>
      </c>
      <c r="Q49" s="18" t="n">
        <v>16797168.01</v>
      </c>
      <c r="R49" s="18" t="n">
        <v>16910804.74</v>
      </c>
      <c r="S49" s="18" t="n">
        <v>16917524.96</v>
      </c>
      <c r="T49" s="18" t="n">
        <v>16944341.12</v>
      </c>
      <c r="U49" s="37" t="n">
        <v>16944341.12</v>
      </c>
      <c r="V49" s="18" t="n">
        <v>17008527.03</v>
      </c>
      <c r="W49" s="18" t="n">
        <v>16994898.59</v>
      </c>
      <c r="X49" s="18" t="n">
        <v>17073406.89</v>
      </c>
      <c r="Y49" s="18" t="n">
        <v>16966423.29</v>
      </c>
      <c r="Z49" s="37" t="n">
        <v>16966423.29</v>
      </c>
      <c r="AA49" s="18" t="n">
        <v>16892167.15</v>
      </c>
      <c r="AB49" s="19" t="n">
        <v>17102324.63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자본총계</t>
        </is>
      </c>
      <c r="E50" s="18" t="n">
        <v>10777015.93</v>
      </c>
      <c r="F50" s="37" t="n">
        <v>10777015.93</v>
      </c>
      <c r="G50" s="18" t="n">
        <v>10838723.52</v>
      </c>
      <c r="H50" s="18" t="n">
        <v>10880148.49</v>
      </c>
      <c r="I50" s="18" t="n">
        <v>10886324.26</v>
      </c>
      <c r="J50" s="18" t="n">
        <v>11124488.72</v>
      </c>
      <c r="K50" s="37" t="n">
        <v>11124488.72</v>
      </c>
      <c r="L50" s="18" t="n">
        <v>11262121.21</v>
      </c>
      <c r="M50" s="18" t="n">
        <v>11277184.52</v>
      </c>
      <c r="N50" s="18" t="n">
        <v>11529979.07</v>
      </c>
      <c r="O50" s="18" t="n">
        <v>11529598.34</v>
      </c>
      <c r="P50" s="37" t="n">
        <v>11529598.34</v>
      </c>
      <c r="Q50" s="18" t="n">
        <v>11539245.29</v>
      </c>
      <c r="R50" s="18" t="n">
        <v>11647725.21</v>
      </c>
      <c r="S50" s="18" t="n">
        <v>11654418.15</v>
      </c>
      <c r="T50" s="18" t="n">
        <v>11680534.06</v>
      </c>
      <c r="U50" s="37" t="n">
        <v>11680534.06</v>
      </c>
      <c r="V50" s="18" t="n">
        <v>11744245.79</v>
      </c>
      <c r="W50" s="18" t="n">
        <v>11766261.52</v>
      </c>
      <c r="X50" s="18" t="n">
        <v>11851995.01</v>
      </c>
      <c r="Y50" s="18" t="n">
        <v>11740987.76</v>
      </c>
      <c r="Z50" s="37" t="n">
        <v>11740987.76</v>
      </c>
      <c r="AA50" s="18" t="n">
        <v>11666955.9</v>
      </c>
      <c r="AB50" s="19" t="n">
        <v>11874131.14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부채와자본총계</t>
        </is>
      </c>
      <c r="E51" s="18" t="n">
        <v>11109138.36</v>
      </c>
      <c r="F51" s="37" t="n">
        <v>11109138.36</v>
      </c>
      <c r="G51" s="18" t="n">
        <v>11163367.97</v>
      </c>
      <c r="H51" s="18" t="n">
        <v>11210255.56</v>
      </c>
      <c r="I51" s="18" t="n">
        <v>11198521.04</v>
      </c>
      <c r="J51" s="18" t="n">
        <v>11430169.71</v>
      </c>
      <c r="K51" s="37" t="n">
        <v>11430169.71</v>
      </c>
      <c r="L51" s="18" t="n">
        <v>11471686.99</v>
      </c>
      <c r="M51" s="18" t="n">
        <v>11456324.41</v>
      </c>
      <c r="N51" s="18" t="n">
        <v>11732007.9</v>
      </c>
      <c r="O51" s="18" t="n">
        <v>11774249.96</v>
      </c>
      <c r="P51" s="37" t="n">
        <v>11774249.96</v>
      </c>
      <c r="Q51" s="18" t="n">
        <v>11760644.13</v>
      </c>
      <c r="R51" s="18" t="n">
        <v>11870886.52</v>
      </c>
      <c r="S51" s="18" t="n">
        <v>11923464.15</v>
      </c>
      <c r="T51" s="18" t="n">
        <v>12057257.41</v>
      </c>
      <c r="U51" s="37" t="n">
        <v>12057257.41</v>
      </c>
      <c r="V51" s="18" t="n">
        <v>13103784.29</v>
      </c>
      <c r="W51" s="18" t="n">
        <v>12829166.4</v>
      </c>
      <c r="X51" s="18" t="n">
        <v>12891837.69</v>
      </c>
      <c r="Y51" s="18" t="n">
        <v>12901125.69</v>
      </c>
      <c r="Z51" s="37" t="n">
        <v>12901125.69</v>
      </c>
      <c r="AA51" s="18" t="n">
        <v>13406604.41</v>
      </c>
      <c r="AB51" s="19" t="n">
        <v>15518285.54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지배주주지분</t>
        </is>
      </c>
      <c r="E52" s="18" t="n">
        <v>10777015.93</v>
      </c>
      <c r="F52" s="37" t="n">
        <v>10777015.93</v>
      </c>
      <c r="G52" s="18" t="n">
        <v>10838723.52</v>
      </c>
      <c r="H52" s="18" t="n">
        <v>10880148.49</v>
      </c>
      <c r="I52" s="18" t="n">
        <v>10886324.26</v>
      </c>
      <c r="J52" s="18" t="n">
        <v>11124488.72</v>
      </c>
      <c r="K52" s="37" t="n">
        <v>11124488.72</v>
      </c>
      <c r="L52" s="18" t="n">
        <v>11262121.21</v>
      </c>
      <c r="M52" s="18" t="n">
        <v>11277184.52</v>
      </c>
      <c r="N52" s="18" t="n">
        <v>11529979.07</v>
      </c>
      <c r="O52" s="18" t="n">
        <v>11529598.34</v>
      </c>
      <c r="P52" s="37" t="n">
        <v>11529598.34</v>
      </c>
      <c r="Q52" s="18" t="n">
        <v>11539245.29</v>
      </c>
      <c r="R52" s="18" t="n">
        <v>11647725.21</v>
      </c>
      <c r="S52" s="18" t="n">
        <v>11654418.15</v>
      </c>
      <c r="T52" s="18" t="n">
        <v>11680534.06</v>
      </c>
      <c r="U52" s="37" t="n">
        <v>11680534.06</v>
      </c>
      <c r="V52" s="18" t="n">
        <v>11744245.79</v>
      </c>
      <c r="W52" s="18" t="n">
        <v>11766261.52</v>
      </c>
      <c r="X52" s="18" t="n">
        <v>11851995.01</v>
      </c>
      <c r="Y52" s="18" t="n">
        <v>11740987.76</v>
      </c>
      <c r="Z52" s="37" t="n">
        <v>11740987.76</v>
      </c>
      <c r="AA52" s="18" t="n">
        <v>11666955.9</v>
      </c>
      <c r="AB52" s="19" t="n">
        <v>11874131.14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44312.48</v>
      </c>
      <c r="F53" s="37" t="n">
        <v>44312.48</v>
      </c>
      <c r="G53" s="18" t="n">
        <v>36098.95</v>
      </c>
      <c r="H53" s="18" t="n">
        <v>26117.51</v>
      </c>
      <c r="I53" s="18" t="n">
        <v>21494.44</v>
      </c>
      <c r="J53" s="18" t="n">
        <v>16838.25</v>
      </c>
      <c r="K53" s="37" t="n">
        <v>16838.25</v>
      </c>
      <c r="L53" s="18" t="n">
        <v>14482.59</v>
      </c>
      <c r="M53" s="18" t="n">
        <v>17851.91</v>
      </c>
      <c r="N53" s="18" t="n">
        <v>13932.86</v>
      </c>
      <c r="O53" s="18" t="n">
        <v>12901.87</v>
      </c>
      <c r="P53" s="37" t="n">
        <v>12901.87</v>
      </c>
      <c r="Q53" s="18" t="n">
        <v>12893.13</v>
      </c>
      <c r="R53" s="18" t="n">
        <v>12235.66</v>
      </c>
      <c r="S53" s="18" t="n">
        <v>10604.16</v>
      </c>
      <c r="T53" s="18" t="n">
        <v>11812.76</v>
      </c>
      <c r="U53" s="37" t="n">
        <v>11812.76</v>
      </c>
      <c r="V53" s="18" t="n">
        <v>609408.29</v>
      </c>
      <c r="W53" s="18" t="n">
        <v>533879.17</v>
      </c>
      <c r="X53" s="18" t="n">
        <v>506607.28</v>
      </c>
      <c r="Y53" s="18" t="n">
        <v>485096.36</v>
      </c>
      <c r="Z53" s="37" t="n">
        <v>485096.36</v>
      </c>
      <c r="AA53" s="18" t="n">
        <v>439599.37</v>
      </c>
      <c r="AB53" s="19" t="n">
        <v>2562029.69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-1756060.32</v>
      </c>
      <c r="F54" s="37" t="n">
        <v>-1756060.32</v>
      </c>
      <c r="G54" s="18" t="n">
        <v>-1780880.72</v>
      </c>
      <c r="H54" s="18" t="n">
        <v>-1990350.59</v>
      </c>
      <c r="I54" s="18" t="n">
        <v>-2013296.86</v>
      </c>
      <c r="J54" s="18" t="n">
        <v>-2032431.44</v>
      </c>
      <c r="K54" s="37" t="n">
        <v>-2032431.44</v>
      </c>
      <c r="L54" s="18" t="n">
        <v>-1617281.44</v>
      </c>
      <c r="M54" s="18" t="n">
        <v>-1541479.04</v>
      </c>
      <c r="N54" s="18" t="n">
        <v>-1513274.29</v>
      </c>
      <c r="O54" s="18" t="n">
        <v>-1442689.39</v>
      </c>
      <c r="P54" s="37" t="n">
        <v>-1442689.39</v>
      </c>
      <c r="Q54" s="18" t="n">
        <v>-1529964.29</v>
      </c>
      <c r="R54" s="18" t="n">
        <v>-1877478.79</v>
      </c>
      <c r="S54" s="18" t="n">
        <v>-1751577.4</v>
      </c>
      <c r="T54" s="18" t="n">
        <v>-1731384.1</v>
      </c>
      <c r="U54" s="37" t="n">
        <v>-1731384.1</v>
      </c>
      <c r="V54" s="18" t="n">
        <v>-1663038.4</v>
      </c>
      <c r="W54" s="18" t="n">
        <v>-1811576.54</v>
      </c>
      <c r="X54" s="18" t="n">
        <v>-1885130.16</v>
      </c>
      <c r="Y54" s="18" t="n">
        <v>-1568591.82</v>
      </c>
      <c r="Z54" s="37" t="n">
        <v>-1568591.82</v>
      </c>
      <c r="AA54" s="18" t="n">
        <v>-1371792.78</v>
      </c>
      <c r="AB54" s="19" t="n">
        <v>-1734866.3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1925798.14</v>
      </c>
      <c r="F55" s="37" t="n">
        <v>1925798.14</v>
      </c>
      <c r="G55" s="18" t="n">
        <v>1978992.96</v>
      </c>
      <c r="H55" s="18" t="n">
        <v>2157959.94</v>
      </c>
      <c r="I55" s="18" t="n">
        <v>2155163.63</v>
      </c>
      <c r="J55" s="18" t="n">
        <v>2170332.34</v>
      </c>
      <c r="K55" s="37" t="n">
        <v>2170332.34</v>
      </c>
      <c r="L55" s="18" t="n">
        <v>1764790.05</v>
      </c>
      <c r="M55" s="18" t="n">
        <v>1694910.95</v>
      </c>
      <c r="N55" s="18" t="n">
        <v>1647616.11</v>
      </c>
      <c r="O55" s="18" t="n">
        <v>1586164.72</v>
      </c>
      <c r="P55" s="37" t="n">
        <v>1586164.72</v>
      </c>
      <c r="Q55" s="18" t="n">
        <v>1605508.8</v>
      </c>
      <c r="R55" s="18" t="n">
        <v>1947005.73</v>
      </c>
      <c r="S55" s="18" t="n">
        <v>1819437.08</v>
      </c>
      <c r="T55" s="18" t="n">
        <v>1799587.91</v>
      </c>
      <c r="U55" s="37" t="n">
        <v>1799587.91</v>
      </c>
      <c r="V55" s="18" t="n">
        <v>2328892.43</v>
      </c>
      <c r="W55" s="18" t="n">
        <v>2402160.87</v>
      </c>
      <c r="X55" s="18" t="n">
        <v>2426024.05</v>
      </c>
      <c r="Y55" s="18" t="n">
        <v>2093758.55</v>
      </c>
      <c r="Z55" s="37" t="n">
        <v>2093758.55</v>
      </c>
      <c r="AA55" s="18" t="n">
        <v>1855074.19</v>
      </c>
      <c r="AB55" s="19" t="n">
        <v>4342274.15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당기법인세부채(미지급법인세)</t>
        </is>
      </c>
      <c r="F56" s="9" t="n"/>
      <c r="G56" s="18" t="n">
        <v>1210.02</v>
      </c>
      <c r="H56" s="18" t="n">
        <v>3759.48</v>
      </c>
      <c r="I56" s="18" t="n">
        <v>128.99</v>
      </c>
      <c r="K56" s="9" t="n"/>
      <c r="P56" s="9" t="n"/>
      <c r="R56" s="18" t="n">
        <v>3045.39</v>
      </c>
      <c r="U56" s="9" t="n"/>
      <c r="V56" s="18" t="n">
        <v>14949</v>
      </c>
      <c r="W56" s="18" t="n">
        <v>30944.33</v>
      </c>
      <c r="X56" s="18" t="n">
        <v>7833.15</v>
      </c>
      <c r="Y56" s="18" t="n">
        <v>18458.91</v>
      </c>
      <c r="Z56" s="37" t="n">
        <v>18458.91</v>
      </c>
      <c r="AA56" s="18" t="n">
        <v>34824.58</v>
      </c>
      <c r="AB56" s="19" t="n">
        <v>27175.99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이연법인세자산</t>
        </is>
      </c>
      <c r="F57" s="9" t="n"/>
      <c r="J57" s="18" t="n">
        <v>21183.38</v>
      </c>
      <c r="K57" s="37" t="n">
        <v>21183.38</v>
      </c>
      <c r="L57" s="18" t="n">
        <v>23442.69</v>
      </c>
      <c r="M57" s="18" t="n">
        <v>20756.85</v>
      </c>
      <c r="N57" s="18" t="n">
        <v>274072.4</v>
      </c>
      <c r="O57" s="18" t="n">
        <v>259906.96</v>
      </c>
      <c r="P57" s="37" t="n">
        <v>259906.96</v>
      </c>
      <c r="Q57" s="18" t="n">
        <v>258529.11</v>
      </c>
      <c r="R57" s="18" t="n">
        <v>169370.03</v>
      </c>
      <c r="S57" s="18" t="n">
        <v>151127.18</v>
      </c>
      <c r="T57" s="18" t="n">
        <v>144162.97</v>
      </c>
      <c r="U57" s="37" t="n">
        <v>144162.97</v>
      </c>
      <c r="V57" s="18" t="n">
        <v>140715.92</v>
      </c>
      <c r="W57" s="18" t="n">
        <v>92380.38</v>
      </c>
      <c r="X57" s="18" t="n">
        <v>49611.39</v>
      </c>
      <c r="Y57" s="18" t="n">
        <v>22868.36</v>
      </c>
      <c r="Z57" s="37" t="n">
        <v>22868.36</v>
      </c>
      <c r="AA57" s="18" t="n">
        <v>0</v>
      </c>
      <c r="AB57" s="19" t="n">
        <v>0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장기충당부채</t>
        </is>
      </c>
      <c r="F58" s="9" t="n"/>
      <c r="K58" s="9" t="n"/>
      <c r="M58" s="18" t="n">
        <v>74.91</v>
      </c>
      <c r="N58" s="18" t="n">
        <v>452.88</v>
      </c>
      <c r="O58" s="18" t="n">
        <v>646.36</v>
      </c>
      <c r="P58" s="37" t="n">
        <v>646.36</v>
      </c>
      <c r="Q58" s="18" t="n">
        <v>932.92</v>
      </c>
      <c r="R58" s="18" t="n">
        <v>1166.67</v>
      </c>
      <c r="S58" s="18" t="n">
        <v>1351.01</v>
      </c>
      <c r="T58" s="18" t="n">
        <v>1959.86</v>
      </c>
      <c r="U58" s="37" t="n">
        <v>1959.86</v>
      </c>
      <c r="V58" s="18" t="n">
        <v>2449.97</v>
      </c>
      <c r="W58" s="18" t="n">
        <v>2738.65</v>
      </c>
      <c r="X58" s="18" t="n">
        <v>2901.08</v>
      </c>
      <c r="Y58" s="18" t="n">
        <v>5145.54</v>
      </c>
      <c r="Z58" s="37" t="n">
        <v>5145.54</v>
      </c>
      <c r="AA58" s="18" t="n">
        <v>5953.04</v>
      </c>
      <c r="AB58" s="19" t="n">
        <v>6297.04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이연법인세부채</t>
        </is>
      </c>
      <c r="F59" s="9" t="n"/>
      <c r="K59" s="9" t="n"/>
      <c r="O59" s="18" t="n">
        <v>0</v>
      </c>
      <c r="P59" s="37" t="n">
        <v>0</v>
      </c>
      <c r="U59" s="9" t="n"/>
      <c r="Z59" s="9" t="n"/>
      <c r="AA59" s="18" t="n">
        <v>14629.12</v>
      </c>
      <c r="AB59" s="19" t="n">
        <v>157181.1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비유동확정계약자산</t>
        </is>
      </c>
      <c r="F60" s="9" t="n"/>
      <c r="K60" s="9" t="n"/>
      <c r="P60" s="9" t="n"/>
      <c r="U60" s="9" t="n"/>
      <c r="Z60" s="9" t="n"/>
      <c r="AA60" s="18" t="n">
        <v>1228.21</v>
      </c>
      <c r="AB60" s="19" t="n">
        <v>7442.24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장기파생상품부채</t>
        </is>
      </c>
      <c r="F61" s="9" t="n"/>
      <c r="K61" s="9" t="n"/>
      <c r="P61" s="9" t="n"/>
      <c r="U61" s="9" t="n"/>
      <c r="Z61" s="9" t="n"/>
      <c r="AA61" s="18" t="n">
        <v>1228.21</v>
      </c>
      <c r="AB61" s="19" t="n">
        <v>7971.8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비유동파생상품자산</t>
        </is>
      </c>
      <c r="F62" s="9" t="n"/>
      <c r="K62" s="9" t="n"/>
      <c r="P62" s="9" t="n"/>
      <c r="U62" s="9" t="n"/>
      <c r="Z62" s="9" t="n"/>
      <c r="AB62" s="19" t="n">
        <v>275.69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매출액(수익)</t>
        </is>
      </c>
      <c r="E63" s="18" t="n">
        <v>80420.24000000001</v>
      </c>
      <c r="F63" s="9" t="n"/>
      <c r="G63" s="18" t="n">
        <v>46052.19</v>
      </c>
      <c r="H63" s="18" t="n">
        <v>38861.81</v>
      </c>
      <c r="I63" s="18" t="n">
        <v>42855.82</v>
      </c>
      <c r="J63" s="18" t="n">
        <v>52730.65</v>
      </c>
      <c r="K63" s="37" t="n">
        <v>180500.47</v>
      </c>
      <c r="L63" s="18" t="n">
        <v>53512.93</v>
      </c>
      <c r="M63" s="18" t="n">
        <v>56555.94</v>
      </c>
      <c r="N63" s="18" t="n">
        <v>60687.11</v>
      </c>
      <c r="O63" s="18" t="n">
        <v>99151.67999999999</v>
      </c>
      <c r="P63" s="37" t="n">
        <v>269907.66</v>
      </c>
      <c r="Q63" s="18" t="n">
        <v>104106.37</v>
      </c>
      <c r="R63" s="18" t="n">
        <v>106013.26</v>
      </c>
      <c r="S63" s="18" t="n">
        <v>112806.17</v>
      </c>
      <c r="T63" s="18" t="n">
        <v>193870.54</v>
      </c>
      <c r="U63" s="37" t="n">
        <v>516796.34</v>
      </c>
      <c r="V63" s="18" t="n">
        <v>551782.29</v>
      </c>
      <c r="W63" s="18" t="n">
        <v>140273.39</v>
      </c>
      <c r="X63" s="18" t="n">
        <v>480102.28</v>
      </c>
      <c r="Y63" s="18" t="n">
        <v>321595.87</v>
      </c>
      <c r="Z63" s="37" t="n">
        <v>1493753.83</v>
      </c>
      <c r="AA63" s="18" t="n">
        <v>790716.34</v>
      </c>
      <c r="AB63" s="19" t="n">
        <v>345446.84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매출원가</t>
        </is>
      </c>
      <c r="E64" s="18" t="n">
        <v>35065.64</v>
      </c>
      <c r="F64" s="9" t="n"/>
      <c r="G64" s="18" t="n">
        <v>33909.79</v>
      </c>
      <c r="H64" s="18" t="n">
        <v>33276.08</v>
      </c>
      <c r="I64" s="18" t="n">
        <v>37359.33</v>
      </c>
      <c r="J64" s="18" t="n">
        <v>46756.45</v>
      </c>
      <c r="K64" s="37" t="n">
        <v>151301.65</v>
      </c>
      <c r="L64" s="18" t="n">
        <v>43389.36</v>
      </c>
      <c r="M64" s="18" t="n">
        <v>50029.24</v>
      </c>
      <c r="N64" s="18" t="n">
        <v>53982.42</v>
      </c>
      <c r="O64" s="18" t="n">
        <v>86791.22</v>
      </c>
      <c r="P64" s="37" t="n">
        <v>234192.24</v>
      </c>
      <c r="Q64" s="18" t="n">
        <v>88529.52</v>
      </c>
      <c r="R64" s="18" t="n">
        <v>94076.23</v>
      </c>
      <c r="S64" s="18" t="n">
        <v>100171.69</v>
      </c>
      <c r="T64" s="18" t="n">
        <v>142863.97</v>
      </c>
      <c r="U64" s="37" t="n">
        <v>425641.41</v>
      </c>
      <c r="V64" s="18" t="n">
        <v>114589.9</v>
      </c>
      <c r="W64" s="18" t="n">
        <v>123306.17</v>
      </c>
      <c r="X64" s="18" t="n">
        <v>163264.82</v>
      </c>
      <c r="Y64" s="18" t="n">
        <v>279166.18</v>
      </c>
      <c r="Z64" s="37" t="n">
        <v>680327.0699999999</v>
      </c>
      <c r="AA64" s="18" t="n">
        <v>232189.67</v>
      </c>
      <c r="AB64" s="19" t="n">
        <v>303222.7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매출총이익</t>
        </is>
      </c>
      <c r="E65" s="18" t="n">
        <v>45354.6</v>
      </c>
      <c r="F65" s="9" t="n"/>
      <c r="G65" s="18" t="n">
        <v>12142.4</v>
      </c>
      <c r="H65" s="18" t="n">
        <v>5585.73</v>
      </c>
      <c r="I65" s="18" t="n">
        <v>5496.49</v>
      </c>
      <c r="J65" s="18" t="n">
        <v>5974.2</v>
      </c>
      <c r="K65" s="37" t="n">
        <v>29198.82</v>
      </c>
      <c r="L65" s="18" t="n">
        <v>10123.57</v>
      </c>
      <c r="M65" s="18" t="n">
        <v>6526.7</v>
      </c>
      <c r="N65" s="18" t="n">
        <v>6704.69</v>
      </c>
      <c r="O65" s="18" t="n">
        <v>12360.46</v>
      </c>
      <c r="P65" s="37" t="n">
        <v>35715.42</v>
      </c>
      <c r="Q65" s="18" t="n">
        <v>15576.84</v>
      </c>
      <c r="R65" s="18" t="n">
        <v>11937.02</v>
      </c>
      <c r="S65" s="18" t="n">
        <v>12634.49</v>
      </c>
      <c r="T65" s="18" t="n">
        <v>51006.58</v>
      </c>
      <c r="U65" s="37" t="n">
        <v>91154.92999999999</v>
      </c>
      <c r="V65" s="18" t="n">
        <v>437192.39</v>
      </c>
      <c r="W65" s="18" t="n">
        <v>16967.22</v>
      </c>
      <c r="X65" s="18" t="n">
        <v>316837.47</v>
      </c>
      <c r="Y65" s="18" t="n">
        <v>42429.68</v>
      </c>
      <c r="Z65" s="37" t="n">
        <v>813426.76</v>
      </c>
      <c r="AA65" s="18" t="n">
        <v>558526.67</v>
      </c>
      <c r="AB65" s="19" t="n">
        <v>42224.14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판관비</t>
        </is>
      </c>
      <c r="E66" s="18" t="n">
        <v>25653.04</v>
      </c>
      <c r="F66" s="9" t="n"/>
      <c r="G66" s="18" t="n">
        <v>6495.27</v>
      </c>
      <c r="H66" s="18" t="n">
        <v>12693.65</v>
      </c>
      <c r="I66" s="18" t="n">
        <v>11699.31</v>
      </c>
      <c r="J66" s="18" t="n">
        <v>16595.61</v>
      </c>
      <c r="K66" s="37" t="n">
        <v>47483.84</v>
      </c>
      <c r="L66" s="18" t="n">
        <v>7229.97</v>
      </c>
      <c r="M66" s="18" t="n">
        <v>8883.799999999999</v>
      </c>
      <c r="N66" s="18" t="n">
        <v>12937.15</v>
      </c>
      <c r="O66" s="18" t="n">
        <v>18247.68</v>
      </c>
      <c r="P66" s="37" t="n">
        <v>47298.6</v>
      </c>
      <c r="Q66" s="18" t="n">
        <v>14578.12</v>
      </c>
      <c r="R66" s="18" t="n">
        <v>16435.56</v>
      </c>
      <c r="S66" s="18" t="n">
        <v>20410.98</v>
      </c>
      <c r="T66" s="18" t="n">
        <v>22471.98</v>
      </c>
      <c r="U66" s="37" t="n">
        <v>73896.64</v>
      </c>
      <c r="V66" s="18" t="n">
        <v>20993.85</v>
      </c>
      <c r="W66" s="18" t="n">
        <v>26175.02</v>
      </c>
      <c r="X66" s="18" t="n">
        <v>27402.16</v>
      </c>
      <c r="Y66" s="18" t="n">
        <v>38206.51</v>
      </c>
      <c r="Z66" s="37" t="n">
        <v>112777.54</v>
      </c>
      <c r="AA66" s="18" t="n">
        <v>30009.81</v>
      </c>
      <c r="AB66" s="19" t="n">
        <v>42409.89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영업이익</t>
        </is>
      </c>
      <c r="E67" s="18" t="n">
        <v>19701.56</v>
      </c>
      <c r="F67" s="9" t="n"/>
      <c r="G67" s="18" t="n">
        <v>5647.13</v>
      </c>
      <c r="H67" s="18" t="n">
        <v>-7107.92</v>
      </c>
      <c r="I67" s="18" t="n">
        <v>-6202.82</v>
      </c>
      <c r="J67" s="18" t="n">
        <v>-10621.4</v>
      </c>
      <c r="K67" s="37" t="n">
        <v>-18285.01</v>
      </c>
      <c r="L67" s="18" t="n">
        <v>2893.6</v>
      </c>
      <c r="M67" s="18" t="n">
        <v>-2357.1</v>
      </c>
      <c r="N67" s="18" t="n">
        <v>-6232.46</v>
      </c>
      <c r="O67" s="18" t="n">
        <v>-5887.22</v>
      </c>
      <c r="P67" s="37" t="n">
        <v>-11583.18</v>
      </c>
      <c r="Q67" s="18" t="n">
        <v>998.72</v>
      </c>
      <c r="R67" s="18" t="n">
        <v>-4498.53</v>
      </c>
      <c r="U67" s="9" t="n"/>
      <c r="V67" s="18" t="n">
        <v>416198.54</v>
      </c>
      <c r="W67" s="18" t="n">
        <v>-9207.799999999999</v>
      </c>
      <c r="X67" s="18" t="n">
        <v>289435.31</v>
      </c>
      <c r="Y67" s="18" t="n">
        <v>4223.17</v>
      </c>
      <c r="Z67" s="37" t="n">
        <v>700649.22</v>
      </c>
      <c r="AA67" s="18" t="n">
        <v>528516.86</v>
      </c>
      <c r="AB67" s="19" t="n">
        <v>-185.75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8464.440000000001</v>
      </c>
      <c r="F68" s="9" t="n"/>
      <c r="G68" s="18" t="n">
        <v>17892.37</v>
      </c>
      <c r="H68" s="18" t="n">
        <v>19961.73</v>
      </c>
      <c r="I68" s="18" t="n">
        <v>21274.8</v>
      </c>
      <c r="J68" s="18" t="n">
        <v>23342</v>
      </c>
      <c r="K68" s="37" t="n">
        <v>82470.89999999999</v>
      </c>
      <c r="L68" s="18" t="n">
        <v>31656.14</v>
      </c>
      <c r="M68" s="18" t="n">
        <v>17611.17</v>
      </c>
      <c r="N68" s="18" t="n">
        <v>20514.4</v>
      </c>
      <c r="O68" s="18" t="n">
        <v>15727.94</v>
      </c>
      <c r="P68" s="37" t="n">
        <v>85509.64999999999</v>
      </c>
      <c r="Q68" s="18" t="n">
        <v>18685.23</v>
      </c>
      <c r="R68" s="18" t="n">
        <v>17729.91</v>
      </c>
      <c r="S68" s="18" t="n">
        <v>19194.74</v>
      </c>
      <c r="T68" s="18" t="n">
        <v>22462.14</v>
      </c>
      <c r="U68" s="37" t="n">
        <v>78072.02</v>
      </c>
      <c r="V68" s="18" t="n">
        <v>20692.5</v>
      </c>
      <c r="W68" s="18" t="n">
        <v>32053.78</v>
      </c>
      <c r="X68" s="18" t="n">
        <v>17090.27</v>
      </c>
      <c r="Y68" s="18" t="n">
        <v>23364.39</v>
      </c>
      <c r="Z68" s="37" t="n">
        <v>93200.94</v>
      </c>
      <c r="AA68" s="18" t="n">
        <v>55826.64</v>
      </c>
      <c r="AB68" s="19" t="n">
        <v>597215.98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273.06</v>
      </c>
      <c r="F69" s="9" t="n"/>
      <c r="G69" s="18" t="n">
        <v>663.45</v>
      </c>
      <c r="H69" s="18" t="n">
        <v>1077.07</v>
      </c>
      <c r="I69" s="18" t="n">
        <v>13369.39</v>
      </c>
      <c r="J69" s="18" t="n">
        <v>-3740.77</v>
      </c>
      <c r="K69" s="37" t="n">
        <v>11369.14</v>
      </c>
      <c r="L69" s="18" t="n">
        <v>4241.5</v>
      </c>
      <c r="M69" s="18" t="n">
        <v>7247.7</v>
      </c>
      <c r="N69" s="18" t="n">
        <v>1697.7</v>
      </c>
      <c r="O69" s="18" t="n">
        <v>2147.15</v>
      </c>
      <c r="P69" s="37" t="n">
        <v>15334.05</v>
      </c>
      <c r="Q69" s="18" t="n">
        <v>2343.82</v>
      </c>
      <c r="R69" s="18" t="n">
        <v>2338.91</v>
      </c>
      <c r="S69" s="18" t="n">
        <v>2132.74</v>
      </c>
      <c r="T69" s="18" t="n">
        <v>6130.95</v>
      </c>
      <c r="U69" s="37" t="n">
        <v>12946.42</v>
      </c>
      <c r="V69" s="18" t="n">
        <v>6872.65</v>
      </c>
      <c r="W69" s="18" t="n">
        <v>143378.17</v>
      </c>
      <c r="X69" s="18" t="n">
        <v>56913.96</v>
      </c>
      <c r="Y69" s="18" t="n">
        <v>400.06</v>
      </c>
      <c r="Z69" s="37" t="n">
        <v>207564.84</v>
      </c>
      <c r="AA69" s="18" t="n">
        <v>17095.87</v>
      </c>
      <c r="AB69" s="19" t="n">
        <v>324849.47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기타영업외수익</t>
        </is>
      </c>
      <c r="E70" s="18" t="n">
        <v>12194.3</v>
      </c>
      <c r="F70" s="9" t="n"/>
      <c r="G70" s="18" t="n">
        <v>50811.09</v>
      </c>
      <c r="H70" s="18" t="n">
        <v>63985.11</v>
      </c>
      <c r="I70" s="18" t="n">
        <v>7003.01</v>
      </c>
      <c r="J70" s="18" t="n">
        <v>166023.13</v>
      </c>
      <c r="K70" s="37" t="n">
        <v>287822.34</v>
      </c>
      <c r="L70" s="18" t="n">
        <v>1954.89</v>
      </c>
      <c r="M70" s="18" t="n">
        <v>1027.28</v>
      </c>
      <c r="N70" s="18" t="n">
        <v>1749.44</v>
      </c>
      <c r="O70" s="18" t="n">
        <v>3890.9</v>
      </c>
      <c r="P70" s="37" t="n">
        <v>8622.51</v>
      </c>
      <c r="Q70" s="18" t="n">
        <v>383</v>
      </c>
      <c r="R70" s="18" t="n">
        <v>138366.58</v>
      </c>
      <c r="S70" s="18" t="n">
        <v>189.99</v>
      </c>
      <c r="T70" s="18" t="n">
        <v>431.58</v>
      </c>
      <c r="U70" s="37" t="n">
        <v>139371.15</v>
      </c>
      <c r="V70" s="18" t="n">
        <v>543.13</v>
      </c>
      <c r="W70" s="18" t="n">
        <v>156991.09</v>
      </c>
      <c r="X70" s="18" t="n">
        <v>66803.24000000001</v>
      </c>
      <c r="Y70" s="18" t="n">
        <v>20760.65</v>
      </c>
      <c r="Z70" s="37" t="n">
        <v>245098.11</v>
      </c>
      <c r="AA70" s="18" t="n">
        <v>16069.8</v>
      </c>
      <c r="AB70" s="19" t="n">
        <v>7355.03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기타영업외비용</t>
        </is>
      </c>
      <c r="E71" s="18" t="n">
        <v>8907.969999999999</v>
      </c>
      <c r="F71" s="9" t="n"/>
      <c r="G71" s="18" t="n">
        <v>1233.89</v>
      </c>
      <c r="H71" s="18" t="n">
        <v>1439.45</v>
      </c>
      <c r="I71" s="18" t="n">
        <v>979.09</v>
      </c>
      <c r="J71" s="18" t="n">
        <v>15445.96</v>
      </c>
      <c r="K71" s="37" t="n">
        <v>19098.39</v>
      </c>
      <c r="L71" s="18" t="n">
        <v>3607.93</v>
      </c>
      <c r="M71" s="18" t="n">
        <v>402.48</v>
      </c>
      <c r="N71" s="18" t="n">
        <v>343.3</v>
      </c>
      <c r="O71" s="18" t="n">
        <v>1253.73</v>
      </c>
      <c r="P71" s="37" t="n">
        <v>5607.44</v>
      </c>
      <c r="Q71" s="18" t="n">
        <v>1216.81</v>
      </c>
      <c r="R71" s="18" t="n">
        <v>928.66</v>
      </c>
      <c r="S71" s="18" t="n">
        <v>586.3099999999999</v>
      </c>
      <c r="T71" s="18" t="n">
        <v>4337.34</v>
      </c>
      <c r="U71" s="37" t="n">
        <v>7069.12</v>
      </c>
      <c r="V71" s="18" t="n">
        <v>2370.83</v>
      </c>
      <c r="W71" s="18" t="n">
        <v>64421.1</v>
      </c>
      <c r="X71" s="18" t="n">
        <v>465.15</v>
      </c>
      <c r="Y71" s="18" t="n">
        <v>218276.63</v>
      </c>
      <c r="Z71" s="37" t="n">
        <v>285533.71</v>
      </c>
      <c r="AA71" s="18" t="n">
        <v>1216.49</v>
      </c>
      <c r="AB71" s="19" t="n">
        <v>1244.02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법인세비용차감전계속사업이익</t>
        </is>
      </c>
      <c r="E72" s="18" t="n">
        <v>31179.27</v>
      </c>
      <c r="F72" s="9" t="n"/>
      <c r="G72" s="18" t="n">
        <v>72453.25</v>
      </c>
      <c r="H72" s="18" t="n">
        <v>74322.39999999999</v>
      </c>
      <c r="I72" s="18" t="n">
        <v>7726.52</v>
      </c>
      <c r="J72" s="18" t="n">
        <v>167038.53</v>
      </c>
      <c r="K72" s="37" t="n">
        <v>321540.7</v>
      </c>
      <c r="L72" s="18" t="n">
        <v>28655.2</v>
      </c>
      <c r="M72" s="18" t="n">
        <v>8631.17</v>
      </c>
      <c r="N72" s="18" t="n">
        <v>13990.39</v>
      </c>
      <c r="O72" s="18" t="n">
        <v>10330.74</v>
      </c>
      <c r="P72" s="37" t="n">
        <v>61607.5</v>
      </c>
      <c r="Q72" s="18" t="n">
        <v>16506.33</v>
      </c>
      <c r="R72" s="18" t="n">
        <v>148330.39</v>
      </c>
      <c r="S72" s="18" t="n">
        <v>8889.190000000001</v>
      </c>
      <c r="T72" s="18" t="n">
        <v>40960.01</v>
      </c>
      <c r="U72" s="37" t="n">
        <v>214685.92</v>
      </c>
      <c r="V72" s="18" t="n">
        <v>428190.69</v>
      </c>
      <c r="W72" s="18" t="n">
        <v>-27962.2</v>
      </c>
      <c r="X72" s="18" t="n">
        <v>315949.72</v>
      </c>
      <c r="Y72" s="18" t="n">
        <v>-170328.5</v>
      </c>
      <c r="Z72" s="37" t="n">
        <v>545849.71</v>
      </c>
      <c r="AA72" s="18" t="n">
        <v>582100.9399999999</v>
      </c>
      <c r="AB72" s="19" t="n">
        <v>278291.78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</t>
        </is>
      </c>
      <c r="E73" s="18" t="n">
        <v>-62455.25</v>
      </c>
      <c r="F73" s="9" t="n"/>
      <c r="G73" s="18" t="n">
        <v>15101.74</v>
      </c>
      <c r="H73" s="18" t="n">
        <v>16550.02</v>
      </c>
      <c r="I73" s="18" t="n">
        <v>-14623.75</v>
      </c>
      <c r="J73" s="18" t="n">
        <v>-70958.23</v>
      </c>
      <c r="K73" s="37" t="n">
        <v>-53930.22</v>
      </c>
      <c r="L73" s="18" t="n">
        <v>-5025.91</v>
      </c>
      <c r="M73" s="18" t="n">
        <v>620.27</v>
      </c>
      <c r="N73" s="18" t="n">
        <v>-250042.46</v>
      </c>
      <c r="O73" s="18" t="n">
        <v>14598.62</v>
      </c>
      <c r="P73" s="37" t="n">
        <v>-239849.48</v>
      </c>
      <c r="Q73" s="18" t="n">
        <v>2683.58</v>
      </c>
      <c r="R73" s="18" t="n">
        <v>35753.08</v>
      </c>
      <c r="S73" s="18" t="n">
        <v>2168.96</v>
      </c>
      <c r="T73" s="18" t="n">
        <v>8482.32</v>
      </c>
      <c r="U73" s="37" t="n">
        <v>49087.94</v>
      </c>
      <c r="V73" s="18" t="n">
        <v>3876.07</v>
      </c>
      <c r="W73" s="18" t="n">
        <v>-12724.55</v>
      </c>
      <c r="X73" s="18" t="n">
        <v>2851.79</v>
      </c>
      <c r="Y73" s="18" t="n">
        <v>-62488.45</v>
      </c>
      <c r="Z73" s="37" t="n">
        <v>-68485.14</v>
      </c>
      <c r="AA73" s="18" t="n">
        <v>12853.94</v>
      </c>
      <c r="AB73" s="19" t="n">
        <v>71123.89999999999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당기순이익</t>
        </is>
      </c>
      <c r="E74" s="18" t="n">
        <v>93634.52</v>
      </c>
      <c r="F74" s="9" t="n"/>
      <c r="G74" s="18" t="n">
        <v>57351.51</v>
      </c>
      <c r="H74" s="18" t="n">
        <v>57772.38</v>
      </c>
      <c r="I74" s="18" t="n">
        <v>22350.27</v>
      </c>
      <c r="J74" s="18" t="n">
        <v>237996.78</v>
      </c>
      <c r="K74" s="37" t="n">
        <v>375470.94</v>
      </c>
      <c r="L74" s="18" t="n">
        <v>33681.11</v>
      </c>
      <c r="M74" s="18" t="n">
        <v>8010.9</v>
      </c>
      <c r="N74" s="18" t="n">
        <v>264032.85</v>
      </c>
      <c r="O74" s="18" t="n">
        <v>-4267.89</v>
      </c>
      <c r="P74" s="37" t="n">
        <v>301456.97</v>
      </c>
      <c r="Q74" s="18" t="n">
        <v>13822.75</v>
      </c>
      <c r="R74" s="18" t="n">
        <v>112577.31</v>
      </c>
      <c r="S74" s="18" t="n">
        <v>6720.23</v>
      </c>
      <c r="T74" s="18" t="n">
        <v>32477.69</v>
      </c>
      <c r="U74" s="37" t="n">
        <v>165597.98</v>
      </c>
      <c r="V74" s="18" t="n">
        <v>424314.62</v>
      </c>
      <c r="W74" s="18" t="n">
        <v>-15237.65</v>
      </c>
      <c r="X74" s="18" t="n">
        <v>313097.93</v>
      </c>
      <c r="Y74" s="18" t="n">
        <v>-107840.03</v>
      </c>
      <c r="Z74" s="37" t="n">
        <v>614334.87</v>
      </c>
      <c r="AA74" s="18" t="n">
        <v>569246.99</v>
      </c>
      <c r="AB74" s="19" t="n">
        <v>207167.88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총포괄손익</t>
        </is>
      </c>
      <c r="E75" s="18" t="n">
        <v>71599.81</v>
      </c>
      <c r="F75" s="9" t="n"/>
      <c r="G75" s="18" t="n">
        <v>61707.59</v>
      </c>
      <c r="H75" s="18" t="n">
        <v>41424.97</v>
      </c>
      <c r="I75" s="18" t="n">
        <v>6175.77</v>
      </c>
      <c r="J75" s="18" t="n">
        <v>238164.46</v>
      </c>
      <c r="K75" s="37" t="n">
        <v>347472.79</v>
      </c>
      <c r="L75" s="18" t="n">
        <v>42880.93</v>
      </c>
      <c r="M75" s="18" t="n">
        <v>16103.25</v>
      </c>
      <c r="N75" s="18" t="n">
        <v>253051.49</v>
      </c>
      <c r="O75" s="18" t="n">
        <v>-1000.01</v>
      </c>
      <c r="P75" s="37" t="n">
        <v>311035.66</v>
      </c>
      <c r="Q75" s="18" t="n">
        <v>9646.940000000001</v>
      </c>
      <c r="R75" s="18" t="n">
        <v>108479.93</v>
      </c>
      <c r="S75" s="18" t="n">
        <v>6692.94</v>
      </c>
      <c r="T75" s="18" t="n">
        <v>26115.91</v>
      </c>
      <c r="U75" s="37" t="n">
        <v>150935.72</v>
      </c>
      <c r="V75" s="18" t="n">
        <v>424356.35</v>
      </c>
      <c r="W75" s="18" t="n">
        <v>22015.73</v>
      </c>
      <c r="X75" s="18" t="n">
        <v>312020.3</v>
      </c>
      <c r="Y75" s="18" t="n">
        <v>-111007.25</v>
      </c>
      <c r="Z75" s="37" t="n">
        <v>647385.13</v>
      </c>
      <c r="AA75" s="18" t="n">
        <v>569471.28</v>
      </c>
      <c r="AB75" s="19" t="n">
        <v>207175.24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금융손익</t>
        </is>
      </c>
      <c r="E76" s="18" t="n">
        <v>8191.38</v>
      </c>
      <c r="F76" s="9" t="n"/>
      <c r="G76" s="18" t="n">
        <v>17228.92</v>
      </c>
      <c r="H76" s="18" t="n">
        <v>18884.66</v>
      </c>
      <c r="I76" s="18" t="n">
        <v>7905.41</v>
      </c>
      <c r="J76" s="18" t="n">
        <v>27082.77</v>
      </c>
      <c r="K76" s="37" t="n">
        <v>71101.75999999999</v>
      </c>
      <c r="L76" s="18" t="n">
        <v>27414.64</v>
      </c>
      <c r="M76" s="18" t="n">
        <v>10363.47</v>
      </c>
      <c r="N76" s="18" t="n">
        <v>18816.7</v>
      </c>
      <c r="O76" s="18" t="n">
        <v>13580.79</v>
      </c>
      <c r="P76" s="37" t="n">
        <v>70175.60000000001</v>
      </c>
      <c r="Q76" s="18" t="n">
        <v>16341.41</v>
      </c>
      <c r="R76" s="18" t="n">
        <v>15391</v>
      </c>
      <c r="S76" s="18" t="n">
        <v>17062</v>
      </c>
      <c r="T76" s="18" t="n">
        <v>16331.19</v>
      </c>
      <c r="U76" s="37" t="n">
        <v>65125.6</v>
      </c>
      <c r="V76" s="18" t="n">
        <v>13819.85</v>
      </c>
      <c r="W76" s="18" t="n">
        <v>-111324.39</v>
      </c>
      <c r="X76" s="18" t="n">
        <v>-39823.69</v>
      </c>
      <c r="Y76" s="18" t="n">
        <v>22964.33</v>
      </c>
      <c r="Z76" s="37" t="n">
        <v>-114363.9</v>
      </c>
      <c r="AA76" s="18" t="n">
        <v>38730.77</v>
      </c>
      <c r="AB76" s="19" t="n">
        <v>272366.51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기타영업외손익</t>
        </is>
      </c>
      <c r="E77" s="18" t="n">
        <v>3286.33</v>
      </c>
      <c r="F77" s="9" t="n"/>
      <c r="G77" s="18" t="n">
        <v>49577.2</v>
      </c>
      <c r="H77" s="18" t="n">
        <v>62545.66</v>
      </c>
      <c r="I77" s="18" t="n">
        <v>6023.92</v>
      </c>
      <c r="J77" s="18" t="n">
        <v>150577.17</v>
      </c>
      <c r="K77" s="37" t="n">
        <v>268723.95</v>
      </c>
      <c r="L77" s="18" t="n">
        <v>-1653.04</v>
      </c>
      <c r="M77" s="18" t="n">
        <v>624.8</v>
      </c>
      <c r="N77" s="18" t="n">
        <v>1406.14</v>
      </c>
      <c r="O77" s="18" t="n">
        <v>2637.17</v>
      </c>
      <c r="P77" s="37" t="n">
        <v>3015.07</v>
      </c>
      <c r="Q77" s="18" t="n">
        <v>-833.8099999999999</v>
      </c>
      <c r="R77" s="18" t="n">
        <v>137437.92</v>
      </c>
      <c r="S77" s="18" t="n">
        <v>-396.32</v>
      </c>
      <c r="T77" s="18" t="n">
        <v>-3905.76</v>
      </c>
      <c r="U77" s="37" t="n">
        <v>132302.03</v>
      </c>
      <c r="V77" s="18" t="n">
        <v>-1827.7</v>
      </c>
      <c r="W77" s="18" t="n">
        <v>92569.99000000001</v>
      </c>
      <c r="X77" s="18" t="n">
        <v>66338.09</v>
      </c>
      <c r="Y77" s="18" t="n">
        <v>-197515.98</v>
      </c>
      <c r="Z77" s="37" t="n">
        <v>-40435.6</v>
      </c>
      <c r="AA77" s="18" t="n">
        <v>14853.31</v>
      </c>
      <c r="AB77" s="19" t="n">
        <v>6111.01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(지배주주지분)당기순이익</t>
        </is>
      </c>
      <c r="E78" s="18" t="n">
        <v>93634.52</v>
      </c>
      <c r="F78" s="9" t="n"/>
      <c r="G78" s="18" t="n">
        <v>57351.51</v>
      </c>
      <c r="H78" s="18" t="n">
        <v>57772.38</v>
      </c>
      <c r="I78" s="18" t="n">
        <v>22350.27</v>
      </c>
      <c r="J78" s="18" t="n">
        <v>237996.78</v>
      </c>
      <c r="K78" s="37" t="n">
        <v>375470.94</v>
      </c>
      <c r="L78" s="18" t="n">
        <v>33681.11</v>
      </c>
      <c r="M78" s="18" t="n">
        <v>8010.9</v>
      </c>
      <c r="N78" s="18" t="n">
        <v>264032.85</v>
      </c>
      <c r="O78" s="18" t="n">
        <v>-4267.89</v>
      </c>
      <c r="P78" s="37" t="n">
        <v>301456.97</v>
      </c>
      <c r="Q78" s="18" t="n">
        <v>13822.75</v>
      </c>
      <c r="R78" s="18" t="n">
        <v>112577.31</v>
      </c>
      <c r="S78" s="18" t="n">
        <v>6720.23</v>
      </c>
      <c r="T78" s="18" t="n">
        <v>32477.69</v>
      </c>
      <c r="U78" s="37" t="n">
        <v>165597.98</v>
      </c>
      <c r="V78" s="18" t="n">
        <v>424314.62</v>
      </c>
      <c r="W78" s="18" t="n">
        <v>-15237.65</v>
      </c>
      <c r="X78" s="18" t="n">
        <v>313097.93</v>
      </c>
      <c r="Y78" s="18" t="n">
        <v>-107840.03</v>
      </c>
      <c r="Z78" s="37" t="n">
        <v>614334.87</v>
      </c>
      <c r="AA78" s="18" t="n">
        <v>569246.99</v>
      </c>
      <c r="AB78" s="19" t="n">
        <v>207167.88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계속사업이익</t>
        </is>
      </c>
      <c r="E79" s="18" t="n">
        <v>93634.52</v>
      </c>
      <c r="F79" s="9" t="n"/>
      <c r="G79" s="18" t="n">
        <v>57351.51</v>
      </c>
      <c r="H79" s="18" t="n">
        <v>57772.38</v>
      </c>
      <c r="I79" s="18" t="n">
        <v>22350.27</v>
      </c>
      <c r="J79" s="18" t="n">
        <v>237996.78</v>
      </c>
      <c r="K79" s="37" t="n">
        <v>375470.94</v>
      </c>
      <c r="L79" s="18" t="n">
        <v>33681.11</v>
      </c>
      <c r="M79" s="18" t="n">
        <v>8010.9</v>
      </c>
      <c r="N79" s="18" t="n">
        <v>264032.85</v>
      </c>
      <c r="O79" s="18" t="n">
        <v>-4267.89</v>
      </c>
      <c r="P79" s="37" t="n">
        <v>301456.97</v>
      </c>
      <c r="Q79" s="18" t="n">
        <v>13822.75</v>
      </c>
      <c r="R79" s="18" t="n">
        <v>112577.31</v>
      </c>
      <c r="S79" s="18" t="n">
        <v>6720.23</v>
      </c>
      <c r="T79" s="18" t="n">
        <v>32477.69</v>
      </c>
      <c r="U79" s="37" t="n">
        <v>165597.98</v>
      </c>
      <c r="V79" s="18" t="n">
        <v>424314.62</v>
      </c>
      <c r="W79" s="18" t="n">
        <v>-15237.65</v>
      </c>
      <c r="X79" s="18" t="n">
        <v>313097.93</v>
      </c>
      <c r="Y79" s="18" t="n">
        <v>-107840.03</v>
      </c>
      <c r="Z79" s="37" t="n">
        <v>614334.87</v>
      </c>
      <c r="AA79" s="18" t="n">
        <v>569246.99</v>
      </c>
      <c r="AB79" s="19" t="n">
        <v>207167.88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38773.65</v>
      </c>
      <c r="F80" s="9" t="n"/>
      <c r="G80" s="18" t="n">
        <v>30.34</v>
      </c>
      <c r="H80" s="18" t="n">
        <v>16815.37</v>
      </c>
      <c r="I80" s="18" t="n">
        <v>4201.83</v>
      </c>
      <c r="J80" s="18" t="n">
        <v>8879.02</v>
      </c>
      <c r="K80" s="37" t="n">
        <v>29926.56</v>
      </c>
      <c r="L80" s="18" t="n">
        <v>45116.71</v>
      </c>
      <c r="M80" s="18" t="n">
        <v>-36442.71</v>
      </c>
      <c r="N80" s="18" t="n">
        <v>13316.56</v>
      </c>
      <c r="O80" s="18" t="n">
        <v>-14782.22</v>
      </c>
      <c r="P80" s="37" t="n">
        <v>7208.34</v>
      </c>
      <c r="Q80" s="18" t="n">
        <v>27903.3</v>
      </c>
      <c r="R80" s="18" t="n">
        <v>25893.94</v>
      </c>
      <c r="S80" s="18" t="n">
        <v>98824</v>
      </c>
      <c r="T80" s="18" t="n">
        <v>72586.92</v>
      </c>
      <c r="U80" s="37" t="n">
        <v>225208.16</v>
      </c>
      <c r="V80" s="18" t="n">
        <v>-6723.66</v>
      </c>
      <c r="W80" s="18" t="n">
        <v>477891.43</v>
      </c>
      <c r="X80" s="18" t="n">
        <v>341581.26</v>
      </c>
      <c r="Y80" s="18" t="n">
        <v>-58256.87</v>
      </c>
      <c r="Z80" s="37" t="n">
        <v>754492.16</v>
      </c>
      <c r="AA80" s="18" t="n">
        <v>-200654.58</v>
      </c>
      <c r="AB80" s="19" t="n">
        <v>812508.51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이자수취(CF)</t>
        </is>
      </c>
      <c r="E81" s="18" t="n">
        <v>3540.86</v>
      </c>
      <c r="F81" s="9" t="n"/>
      <c r="G81" s="18" t="n">
        <v>6107.88</v>
      </c>
      <c r="H81" s="18" t="n">
        <v>8319</v>
      </c>
      <c r="I81" s="18" t="n">
        <v>10098.72</v>
      </c>
      <c r="J81" s="18" t="n">
        <v>20733.49</v>
      </c>
      <c r="K81" s="37" t="n">
        <v>45259.09</v>
      </c>
      <c r="L81" s="18" t="n">
        <v>19109.74</v>
      </c>
      <c r="M81" s="18" t="n">
        <v>16804.02</v>
      </c>
      <c r="N81" s="18" t="n">
        <v>12059.17</v>
      </c>
      <c r="O81" s="18" t="n">
        <v>13832.78</v>
      </c>
      <c r="P81" s="37" t="n">
        <v>61805.71</v>
      </c>
      <c r="Q81" s="18" t="n">
        <v>17186.69</v>
      </c>
      <c r="R81" s="18" t="n">
        <v>18404.99</v>
      </c>
      <c r="S81" s="18" t="n">
        <v>10295.49</v>
      </c>
      <c r="T81" s="18" t="n">
        <v>19958.29</v>
      </c>
      <c r="U81" s="37" t="n">
        <v>65845.46000000001</v>
      </c>
      <c r="V81" s="18" t="n">
        <v>9742.91</v>
      </c>
      <c r="W81" s="18" t="n">
        <v>24296.71</v>
      </c>
      <c r="X81" s="18" t="n">
        <v>15523.81</v>
      </c>
      <c r="Y81" s="18" t="n">
        <v>8955.27</v>
      </c>
      <c r="Z81" s="37" t="n">
        <v>58518.7</v>
      </c>
      <c r="AA81" s="18" t="n">
        <v>10600.53</v>
      </c>
      <c r="AB81" s="19" t="n">
        <v>28781.13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이자지급(CF)</t>
        </is>
      </c>
      <c r="E82" s="18" t="n">
        <v>-48.46</v>
      </c>
      <c r="F82" s="9" t="n"/>
      <c r="G82" s="18" t="n">
        <v>-56.78</v>
      </c>
      <c r="H82" s="18" t="n">
        <v>-46.35</v>
      </c>
      <c r="I82" s="18" t="n">
        <v>-34.98</v>
      </c>
      <c r="J82" s="18" t="n">
        <v>-124.14</v>
      </c>
      <c r="K82" s="37" t="n">
        <v>-262.25</v>
      </c>
      <c r="L82" s="18" t="n">
        <v>-341.11</v>
      </c>
      <c r="M82" s="18" t="n">
        <v>-349.91</v>
      </c>
      <c r="N82" s="18" t="n">
        <v>-339.51</v>
      </c>
      <c r="O82" s="18" t="n">
        <v>-344.65</v>
      </c>
      <c r="P82" s="37" t="n">
        <v>-1375.18</v>
      </c>
      <c r="Q82" s="18" t="n">
        <v>-363.83</v>
      </c>
      <c r="R82" s="18" t="n">
        <v>-347.1</v>
      </c>
      <c r="S82" s="18" t="n">
        <v>-325.94</v>
      </c>
      <c r="T82" s="18" t="n">
        <v>-297.39</v>
      </c>
      <c r="U82" s="37" t="n">
        <v>-1334.26</v>
      </c>
      <c r="V82" s="18" t="n">
        <v>-364.35</v>
      </c>
      <c r="W82" s="18" t="n">
        <v>-328.99</v>
      </c>
      <c r="X82" s="18" t="n">
        <v>-290.98</v>
      </c>
      <c r="Y82" s="18" t="n">
        <v>-252.38</v>
      </c>
      <c r="Z82" s="37" t="n">
        <v>-1236.7</v>
      </c>
      <c r="AA82" s="18" t="n">
        <v>-186.54</v>
      </c>
      <c r="AB82" s="19" t="n">
        <v>-157.48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배당금수취(CF)</t>
        </is>
      </c>
      <c r="E83" s="18" t="n">
        <v>41513.22</v>
      </c>
      <c r="F83" s="9" t="n"/>
      <c r="G83" s="18" t="n">
        <v>155</v>
      </c>
      <c r="H83" s="18" t="n">
        <v>10194.78</v>
      </c>
      <c r="I83" s="18" t="n">
        <v>9.91</v>
      </c>
      <c r="J83" s="18" t="n">
        <v>0</v>
      </c>
      <c r="K83" s="37" t="n">
        <v>10359.69</v>
      </c>
      <c r="L83" s="18" t="n">
        <v>165</v>
      </c>
      <c r="M83" s="18" t="n">
        <v>8496.23</v>
      </c>
      <c r="N83" s="18" t="n">
        <v>8.949999999999999</v>
      </c>
      <c r="O83" s="18" t="n">
        <v>0</v>
      </c>
      <c r="P83" s="37" t="n">
        <v>8670.18</v>
      </c>
      <c r="Q83" s="18" t="n">
        <v>49</v>
      </c>
      <c r="R83" s="18" t="n">
        <v>8065.62</v>
      </c>
      <c r="S83" s="18" t="n">
        <v>8.949999999999999</v>
      </c>
      <c r="T83" s="18" t="n">
        <v>27835.29</v>
      </c>
      <c r="U83" s="37" t="n">
        <v>35958.86</v>
      </c>
      <c r="V83" s="18" t="n">
        <v>24</v>
      </c>
      <c r="W83" s="18" t="n">
        <v>417562.01</v>
      </c>
      <c r="X83" s="18" t="n">
        <v>298998.52</v>
      </c>
      <c r="Y83" s="18" t="n">
        <v>0</v>
      </c>
      <c r="Z83" s="37" t="n">
        <v>716584.53</v>
      </c>
      <c r="AA83" s="18" t="n">
        <v>12</v>
      </c>
      <c r="AB83" s="19" t="n">
        <v>532027.78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법인세납부(CF)</t>
        </is>
      </c>
      <c r="E84" s="18" t="n">
        <v>-971.85</v>
      </c>
      <c r="F84" s="9" t="n"/>
      <c r="G84" s="18" t="n">
        <v>-968.17</v>
      </c>
      <c r="H84" s="18" t="n">
        <v>564.48</v>
      </c>
      <c r="I84" s="18" t="n">
        <v>-5059.5</v>
      </c>
      <c r="J84" s="18" t="n">
        <v>-2513.73</v>
      </c>
      <c r="K84" s="37" t="n">
        <v>-7976.92</v>
      </c>
      <c r="L84" s="18" t="n">
        <v>-2814.25</v>
      </c>
      <c r="M84" s="18" t="n">
        <v>539.09</v>
      </c>
      <c r="N84" s="18" t="n">
        <v>-2054.37</v>
      </c>
      <c r="O84" s="18" t="n">
        <v>-1701.07</v>
      </c>
      <c r="P84" s="37" t="n">
        <v>-6030.6</v>
      </c>
      <c r="Q84" s="18" t="n">
        <v>-2689.58</v>
      </c>
      <c r="R84" s="18" t="n">
        <v>6545.21</v>
      </c>
      <c r="S84" s="18" t="n">
        <v>-1601.4</v>
      </c>
      <c r="U84" s="9" t="n"/>
      <c r="V84" s="18" t="n">
        <v>-1502.87</v>
      </c>
      <c r="W84" s="18" t="n">
        <v>-3693.8</v>
      </c>
      <c r="X84" s="18" t="n">
        <v>-3008.8</v>
      </c>
      <c r="Y84" s="18" t="n">
        <v>7896.07</v>
      </c>
      <c r="Z84" s="37" t="n">
        <v>-309.4</v>
      </c>
      <c r="AA84" s="18" t="n">
        <v>-1674.43</v>
      </c>
      <c r="AB84" s="19" t="n">
        <v>-23147.75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투자활동으로인한현금흐름</t>
        </is>
      </c>
      <c r="E85" s="18" t="n">
        <v>143745.62</v>
      </c>
      <c r="F85" s="9" t="n"/>
      <c r="G85" s="18" t="n">
        <v>-122174.93</v>
      </c>
      <c r="H85" s="18" t="n">
        <v>433865.03</v>
      </c>
      <c r="I85" s="18" t="n">
        <v>-877050.23</v>
      </c>
      <c r="J85" s="18" t="n">
        <v>77922.73</v>
      </c>
      <c r="K85" s="37" t="n">
        <v>-487437.4</v>
      </c>
      <c r="L85" s="18" t="n">
        <v>-296098.3</v>
      </c>
      <c r="M85" s="18" t="n">
        <v>767594.77</v>
      </c>
      <c r="N85" s="18" t="n">
        <v>-753350.63</v>
      </c>
      <c r="O85" s="18" t="n">
        <v>-154556.08</v>
      </c>
      <c r="P85" s="37" t="n">
        <v>-436410.24</v>
      </c>
      <c r="Q85" s="18" t="n">
        <v>471403.11</v>
      </c>
      <c r="R85" s="18" t="n">
        <v>-383281.4</v>
      </c>
      <c r="S85" s="18" t="n">
        <v>-226664.08</v>
      </c>
      <c r="T85" s="18" t="n">
        <v>179476.58</v>
      </c>
      <c r="U85" s="37" t="n">
        <v>40934.21</v>
      </c>
      <c r="V85" s="18" t="n">
        <v>-310773.85</v>
      </c>
      <c r="W85" s="18" t="n">
        <v>-231060.41</v>
      </c>
      <c r="X85" s="18" t="n">
        <v>-256408.61</v>
      </c>
      <c r="Y85" s="18" t="n">
        <v>-196298.47</v>
      </c>
      <c r="Z85" s="37" t="n">
        <v>-994541.34</v>
      </c>
      <c r="AA85" s="18" t="n">
        <v>441164.73</v>
      </c>
      <c r="AB85" s="19" t="n">
        <v>-137114.03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유형자산의감소</t>
        </is>
      </c>
      <c r="E86" s="18" t="n">
        <v>2036.48</v>
      </c>
      <c r="F86" s="9" t="n"/>
      <c r="I86" s="18" t="n">
        <v>7324.26</v>
      </c>
      <c r="J86" s="18" t="n">
        <v>1991.71</v>
      </c>
      <c r="K86" s="9" t="n"/>
      <c r="L86" s="18" t="n">
        <v>0.72</v>
      </c>
      <c r="M86" s="18" t="n">
        <v>0.78</v>
      </c>
      <c r="N86" s="18" t="n">
        <v>1319.82</v>
      </c>
      <c r="O86" s="18" t="n">
        <v>9755.27</v>
      </c>
      <c r="P86" s="37" t="n">
        <v>11076.59</v>
      </c>
      <c r="Q86" s="18" t="n">
        <v>5.91</v>
      </c>
      <c r="R86" s="18" t="n">
        <v>5758.49</v>
      </c>
      <c r="T86" s="18" t="n">
        <v>366.27</v>
      </c>
      <c r="U86" s="9" t="n"/>
      <c r="V86" s="18" t="n">
        <v>2047.6</v>
      </c>
      <c r="W86" s="18" t="n">
        <v>30781.86</v>
      </c>
      <c r="Z86" s="9" t="n"/>
      <c r="AA86" s="18" t="n">
        <v>8.68</v>
      </c>
      <c r="AB86" s="19" t="n">
        <v>7029.79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무형자산의감소</t>
        </is>
      </c>
      <c r="E87" s="18" t="n">
        <v>0</v>
      </c>
      <c r="F87" s="9" t="n"/>
      <c r="I87" s="18" t="n">
        <v>0</v>
      </c>
      <c r="J87" s="18" t="n">
        <v>0</v>
      </c>
      <c r="K87" s="9" t="n"/>
      <c r="P87" s="9" t="n"/>
      <c r="T87" s="18" t="n">
        <v>0</v>
      </c>
      <c r="U87" s="9" t="n"/>
      <c r="Y87" s="18" t="n">
        <v>0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유형자산의증가</t>
        </is>
      </c>
      <c r="E88" s="18" t="n">
        <v>990.85</v>
      </c>
      <c r="F88" s="9" t="n"/>
      <c r="G88" s="18" t="n">
        <v>701.05</v>
      </c>
      <c r="H88" s="18" t="n">
        <v>2947.57</v>
      </c>
      <c r="I88" s="18" t="n">
        <v>2834.53</v>
      </c>
      <c r="J88" s="18" t="n">
        <v>3216.44</v>
      </c>
      <c r="K88" s="37" t="n">
        <v>9699.59</v>
      </c>
      <c r="L88" s="18" t="n">
        <v>3590.05</v>
      </c>
      <c r="M88" s="18" t="n">
        <v>5786.18</v>
      </c>
      <c r="N88" s="18" t="n">
        <v>4304.63</v>
      </c>
      <c r="O88" s="18" t="n">
        <v>7766.22</v>
      </c>
      <c r="P88" s="37" t="n">
        <v>21447.08</v>
      </c>
      <c r="Q88" s="18" t="n">
        <v>7473.67</v>
      </c>
      <c r="R88" s="18" t="n">
        <v>6725.13</v>
      </c>
      <c r="S88" s="18" t="n">
        <v>4057.82</v>
      </c>
      <c r="T88" s="18" t="n">
        <v>7061.44</v>
      </c>
      <c r="U88" s="37" t="n">
        <v>25318.06</v>
      </c>
      <c r="V88" s="18" t="n">
        <v>7016.89</v>
      </c>
      <c r="W88" s="18" t="n">
        <v>8385.860000000001</v>
      </c>
      <c r="X88" s="18" t="n">
        <v>11475.29</v>
      </c>
      <c r="Y88" s="18" t="n">
        <v>6613.39</v>
      </c>
      <c r="Z88" s="37" t="n">
        <v>33491.43</v>
      </c>
      <c r="AA88" s="18" t="n">
        <v>8168.65</v>
      </c>
      <c r="AB88" s="19" t="n">
        <v>9746.379999999999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CAPEX</t>
        </is>
      </c>
      <c r="E89" s="18" t="n">
        <v>990.85</v>
      </c>
      <c r="F89" s="9" t="n"/>
      <c r="G89" s="18" t="n">
        <v>1330.62</v>
      </c>
      <c r="H89" s="18" t="n">
        <v>4029.11</v>
      </c>
      <c r="I89" s="18" t="n">
        <v>2928.13</v>
      </c>
      <c r="J89" s="18" t="n">
        <v>3243.11</v>
      </c>
      <c r="K89" s="37" t="n">
        <v>11530.97</v>
      </c>
      <c r="L89" s="18" t="n">
        <v>5264.92</v>
      </c>
      <c r="M89" s="18" t="n">
        <v>6561.38</v>
      </c>
      <c r="N89" s="18" t="n">
        <v>6643.97</v>
      </c>
      <c r="O89" s="18" t="n">
        <v>13002.51</v>
      </c>
      <c r="P89" s="37" t="n">
        <v>31472.78</v>
      </c>
      <c r="Q89" s="18" t="n">
        <v>9496.4</v>
      </c>
      <c r="R89" s="18" t="n">
        <v>8985.200000000001</v>
      </c>
      <c r="S89" s="18" t="n">
        <v>7018.94</v>
      </c>
      <c r="T89" s="18" t="n">
        <v>10617.67</v>
      </c>
      <c r="U89" s="37" t="n">
        <v>36118.21</v>
      </c>
      <c r="V89" s="18" t="n">
        <v>7963.14</v>
      </c>
      <c r="W89" s="18" t="n">
        <v>8976.540000000001</v>
      </c>
      <c r="X89" s="18" t="n">
        <v>11954.84</v>
      </c>
      <c r="Y89" s="18" t="n">
        <v>11647.99</v>
      </c>
      <c r="Z89" s="37" t="n">
        <v>40542.51</v>
      </c>
      <c r="AA89" s="18" t="n">
        <v>8659.93</v>
      </c>
      <c r="AB89" s="19" t="n">
        <v>10999.76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무형자산의증가</t>
        </is>
      </c>
      <c r="E90" s="18" t="n">
        <v>0</v>
      </c>
      <c r="F90" s="9" t="n"/>
      <c r="G90" s="18" t="n">
        <v>629.5700000000001</v>
      </c>
      <c r="H90" s="18" t="n">
        <v>1081.54</v>
      </c>
      <c r="I90" s="18" t="n">
        <v>93.59999999999999</v>
      </c>
      <c r="J90" s="18" t="n">
        <v>26.67</v>
      </c>
      <c r="K90" s="37" t="n">
        <v>1831.38</v>
      </c>
      <c r="L90" s="18" t="n">
        <v>1674.87</v>
      </c>
      <c r="M90" s="18" t="n">
        <v>775.2</v>
      </c>
      <c r="N90" s="18" t="n">
        <v>2339.34</v>
      </c>
      <c r="O90" s="18" t="n">
        <v>5236.29</v>
      </c>
      <c r="P90" s="37" t="n">
        <v>10025.7</v>
      </c>
      <c r="Q90" s="18" t="n">
        <v>2022.73</v>
      </c>
      <c r="R90" s="18" t="n">
        <v>2260.07</v>
      </c>
      <c r="S90" s="18" t="n">
        <v>2961.12</v>
      </c>
      <c r="T90" s="18" t="n">
        <v>3556.23</v>
      </c>
      <c r="U90" s="37" t="n">
        <v>10800.15</v>
      </c>
      <c r="V90" s="18" t="n">
        <v>946.25</v>
      </c>
      <c r="W90" s="18" t="n">
        <v>590.6799999999999</v>
      </c>
      <c r="X90" s="18" t="n">
        <v>479.55</v>
      </c>
      <c r="Y90" s="18" t="n">
        <v>5034.6</v>
      </c>
      <c r="Z90" s="37" t="n">
        <v>7051.08</v>
      </c>
      <c r="AA90" s="18" t="n">
        <v>491.28</v>
      </c>
      <c r="AB90" s="19" t="n">
        <v>1253.38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재무활동으로인한현금흐름</t>
        </is>
      </c>
      <c r="E91" s="18" t="n">
        <v>-1293.99</v>
      </c>
      <c r="F91" s="9" t="n"/>
      <c r="G91" s="18" t="n">
        <v>-1248.41</v>
      </c>
      <c r="H91" s="18" t="n">
        <v>-1191.68</v>
      </c>
      <c r="I91" s="18" t="n">
        <v>-1127.24</v>
      </c>
      <c r="J91" s="18" t="n">
        <v>-1314.21</v>
      </c>
      <c r="K91" s="37" t="n">
        <v>-4881.54</v>
      </c>
      <c r="L91" s="18" t="n">
        <v>-46808.77</v>
      </c>
      <c r="M91" s="18" t="n">
        <v>-2013.36</v>
      </c>
      <c r="N91" s="18" t="n">
        <v>-2100.22</v>
      </c>
      <c r="O91" s="18" t="n">
        <v>-2267.61</v>
      </c>
      <c r="P91" s="37" t="n">
        <v>-53189.96</v>
      </c>
      <c r="Q91" s="18" t="n">
        <v>-2041.54</v>
      </c>
      <c r="R91" s="18" t="n">
        <v>-2116.32</v>
      </c>
      <c r="S91" s="18" t="n">
        <v>-2158.11</v>
      </c>
      <c r="T91" s="18" t="n">
        <v>-2225.81</v>
      </c>
      <c r="U91" s="37" t="n">
        <v>-8541.780000000001</v>
      </c>
      <c r="V91" s="18" t="n">
        <v>597242.12</v>
      </c>
      <c r="W91" s="18" t="n">
        <v>-363819.18</v>
      </c>
      <c r="X91" s="18" t="n">
        <v>-229216.8</v>
      </c>
      <c r="Y91" s="18" t="n">
        <v>-3165.84</v>
      </c>
      <c r="Z91" s="37" t="n">
        <v>1040.3</v>
      </c>
      <c r="AA91" s="18" t="n">
        <v>-2815.93</v>
      </c>
      <c r="AB91" s="19" t="n">
        <v>1635388.5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181225.29</v>
      </c>
      <c r="F92" s="9" t="n"/>
      <c r="G92" s="18" t="n">
        <v>-123393.13</v>
      </c>
      <c r="H92" s="18" t="n">
        <v>449488.43</v>
      </c>
      <c r="I92" s="18" t="n">
        <v>-873970.08</v>
      </c>
      <c r="J92" s="18" t="n">
        <v>85481.92</v>
      </c>
      <c r="K92" s="37" t="n">
        <v>-462392.86</v>
      </c>
      <c r="L92" s="18" t="n">
        <v>-297787.15</v>
      </c>
      <c r="M92" s="18" t="n">
        <v>729138.16</v>
      </c>
      <c r="N92" s="18" t="n">
        <v>-742134.02</v>
      </c>
      <c r="O92" s="18" t="n">
        <v>-171605.67</v>
      </c>
      <c r="P92" s="37" t="n">
        <v>-482388.68</v>
      </c>
      <c r="Q92" s="18" t="n">
        <v>497266.16</v>
      </c>
      <c r="R92" s="18" t="n">
        <v>-359505.06</v>
      </c>
      <c r="S92" s="18" t="n">
        <v>-129998.2</v>
      </c>
      <c r="T92" s="18" t="n">
        <v>249842.71</v>
      </c>
      <c r="U92" s="37" t="n">
        <v>257605.61</v>
      </c>
      <c r="V92" s="18" t="n">
        <v>279749.83</v>
      </c>
      <c r="W92" s="18" t="n">
        <v>-116990.99</v>
      </c>
      <c r="X92" s="18" t="n">
        <v>-143718.27</v>
      </c>
      <c r="Y92" s="18" t="n">
        <v>-258049.25</v>
      </c>
      <c r="Z92" s="37" t="n">
        <v>-239008.68</v>
      </c>
      <c r="AA92" s="18" t="n">
        <v>237703.97</v>
      </c>
      <c r="AB92" s="19" t="n">
        <v>2384476.84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181225.3</v>
      </c>
      <c r="F93" s="9" t="n"/>
      <c r="G93" s="18" t="n">
        <v>1326479.67</v>
      </c>
      <c r="H93" s="18" t="n">
        <v>449488.43</v>
      </c>
      <c r="I93" s="18" t="n">
        <v>-873970.08</v>
      </c>
      <c r="J93" s="18" t="n">
        <v>85481.92</v>
      </c>
      <c r="K93" s="37" t="n">
        <v>987479.9399999999</v>
      </c>
      <c r="L93" s="18" t="n">
        <v>689692.8</v>
      </c>
      <c r="M93" s="18" t="n">
        <v>729138.15</v>
      </c>
      <c r="N93" s="18" t="n">
        <v>-742134.01</v>
      </c>
      <c r="O93" s="18" t="n">
        <v>-171605.68</v>
      </c>
      <c r="P93" s="37" t="n">
        <v>505091.26</v>
      </c>
      <c r="Q93" s="18" t="n">
        <v>1002357.42</v>
      </c>
      <c r="R93" s="18" t="n">
        <v>-359505.07</v>
      </c>
      <c r="S93" s="18" t="n">
        <v>-129998.19</v>
      </c>
      <c r="T93" s="18" t="n">
        <v>249842.7</v>
      </c>
      <c r="U93" s="37" t="n">
        <v>762696.86</v>
      </c>
      <c r="V93" s="18" t="n">
        <v>1042446.69</v>
      </c>
      <c r="W93" s="18" t="n">
        <v>-116990.98</v>
      </c>
      <c r="X93" s="18" t="n">
        <v>-143718.27</v>
      </c>
      <c r="Y93" s="18" t="n">
        <v>-258049.26</v>
      </c>
      <c r="Z93" s="37" t="n">
        <v>523688.18</v>
      </c>
      <c r="AA93" s="18" t="n">
        <v>761392.15</v>
      </c>
      <c r="AB93" s="19" t="n">
        <v>2384476.84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리스부채의상환</t>
        </is>
      </c>
      <c r="F94" s="9" t="n"/>
      <c r="K94" s="9" t="n"/>
      <c r="L94" s="18" t="n">
        <v>1803.53</v>
      </c>
      <c r="P94" s="9" t="n"/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배당금지급</t>
        </is>
      </c>
      <c r="F95" s="9" t="n"/>
      <c r="K95" s="9" t="n"/>
      <c r="P95" s="9" t="n"/>
      <c r="U95" s="9" t="n"/>
      <c r="X95" s="18" t="n">
        <v>226267.58</v>
      </c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IFERROR((AB28*변수!$D$54-AB26*변수!$D$55)/4,"")</f>
        <v/>
      </c>
      <c r="AD12" s="20">
        <f>IFERROR((AC28*변수!$D$54-AC26*변수!$D$55)/4,"")</f>
        <v/>
      </c>
      <c r="AE12" s="38">
        <f>SUM(AA12:AD12)</f>
        <v/>
      </c>
      <c r="AF12" s="20">
        <f>IFERROR((AD28*변수!$D$54-AD26*변수!$D$55)/4,"")</f>
        <v/>
      </c>
      <c r="AG12" s="20">
        <f>IFERROR((AF28*변수!$D$54-AF26*변수!$D$55)/4,"")</f>
        <v/>
      </c>
      <c r="AH12" s="20">
        <f>IFERROR((AG28*변수!$D$54-AG26*변수!$D$55)/4,"")</f>
        <v/>
      </c>
      <c r="AI12" s="20">
        <f>IFERROR((AH28*변수!$D$54-AH26*변수!$D$55)/4,"")</f>
        <v/>
      </c>
      <c r="AJ12" s="38">
        <f>SUM(AF12:AI12)</f>
        <v/>
      </c>
      <c r="AK12" s="20">
        <f>IFERROR((AI28*변수!$D$54-AI26*변수!$D$55)/4,"")</f>
        <v/>
      </c>
      <c r="AL12" s="20">
        <f>IFERROR((AK28*변수!$D$54-AK26*변수!$D$55)/4,"")</f>
        <v/>
      </c>
      <c r="AM12" s="20">
        <f>IFERROR((AL28*변수!$D$54-AL26*변수!$D$55)/4,"")</f>
        <v/>
      </c>
      <c r="AN12" s="20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>
        <f>IFERROR(Q11-Q12-Q13-Q14,"")</f>
        <v/>
      </c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 t="n">
        <v>4953.97</v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SUM(V21:Y21)</f>
        <v/>
      </c>
      <c r="AA21" s="18" t="n">
        <v>8442.549999999999</v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IFERROR(AB25+AC21-변수!AC33,"")</f>
        <v/>
      </c>
      <c r="AD25" s="20">
        <f>IFERROR(AC25+AD21-변수!AD33,"")</f>
        <v/>
      </c>
      <c r="AE25" s="38">
        <f>AD25</f>
        <v/>
      </c>
      <c r="AF25" s="20">
        <f>IFERROR(AD25+AF21-변수!AF33,"")</f>
        <v/>
      </c>
      <c r="AG25" s="20">
        <f>IFERROR(AF25+AG21-변수!AG33,"")</f>
        <v/>
      </c>
      <c r="AH25" s="20">
        <f>IFERROR(AG25+AH21-변수!AH33,"")</f>
        <v/>
      </c>
      <c r="AI25" s="20">
        <f>IFERROR(AH25+AI21-변수!AI33,"")</f>
        <v/>
      </c>
      <c r="AJ25" s="38">
        <f>AI25</f>
        <v/>
      </c>
      <c r="AK25" s="20">
        <f>IFERROR(AI25+AK21-변수!AK33,"")</f>
        <v/>
      </c>
      <c r="AL25" s="20">
        <f>IFERROR(AK25+AL21-변수!AL33,"")</f>
        <v/>
      </c>
      <c r="AM25" s="20">
        <f>IFERROR(AL25+AM21-변수!AM33,"")</f>
        <v/>
      </c>
      <c r="AN25" s="20">
        <f>IFERROR(AM25+AN21-변수!AN33,"")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IFERROR(X30*(1+변수!AC38),"")</f>
        <v/>
      </c>
      <c r="AD30" s="20">
        <f>IFERROR(Y30*(1+변수!AD38),"")</f>
        <v/>
      </c>
      <c r="AE30" s="38">
        <f>SUM(AA30:AD30)</f>
        <v/>
      </c>
      <c r="AF30" s="20">
        <f>IFERROR(AA30*(1+변수!AF38),"")</f>
        <v/>
      </c>
      <c r="AG30" s="20">
        <f>IFERROR(AB30*(1+변수!AG38),"")</f>
        <v/>
      </c>
      <c r="AH30" s="20">
        <f>IFERROR(AC30*(1+변수!AH38),"")</f>
        <v/>
      </c>
      <c r="AI30" s="20">
        <f>IFERROR(AD30*(1+변수!AI38),"")</f>
        <v/>
      </c>
      <c r="AJ30" s="38">
        <f>SUM(AF30:AI30)</f>
        <v/>
      </c>
      <c r="AK30" s="20">
        <f>IFERROR(AF30*(1+변수!AK38),"")</f>
        <v/>
      </c>
      <c r="AL30" s="20">
        <f>IFERROR(AG30*(1+변수!AL38),"")</f>
        <v/>
      </c>
      <c r="AM30" s="20">
        <f>IFERROR(AH30*(1+변수!AM38),"")</f>
        <v/>
      </c>
      <c r="AN30" s="20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70.715</v>
      </c>
      <c r="F32" s="28">
        <f>E32</f>
        <v/>
      </c>
      <c r="G32" s="27" t="n">
        <v>70.715</v>
      </c>
      <c r="H32" s="27" t="n">
        <v>70.715</v>
      </c>
      <c r="I32" s="27" t="n">
        <v>70.715</v>
      </c>
      <c r="J32" s="27" t="n">
        <v>70.715</v>
      </c>
      <c r="K32" s="28">
        <f>J32</f>
        <v/>
      </c>
      <c r="L32" s="27" t="n">
        <v>70.715</v>
      </c>
      <c r="M32" s="27" t="n">
        <v>70.715</v>
      </c>
      <c r="N32" s="27" t="n">
        <v>70.715</v>
      </c>
      <c r="O32" s="27" t="n">
        <v>70.715</v>
      </c>
      <c r="P32" s="28">
        <f>O32</f>
        <v/>
      </c>
      <c r="Q32" s="27" t="n">
        <v>70.715</v>
      </c>
      <c r="R32" s="27" t="n">
        <v>70.715</v>
      </c>
      <c r="S32" s="27" t="n">
        <v>70.715</v>
      </c>
      <c r="T32" s="27" t="n">
        <v>70.715</v>
      </c>
      <c r="U32" s="28">
        <f>T32</f>
        <v/>
      </c>
      <c r="V32" s="27" t="n">
        <v>70.715</v>
      </c>
      <c r="W32" s="27" t="n">
        <v>70.715</v>
      </c>
      <c r="X32" s="27" t="n">
        <v>70.715</v>
      </c>
      <c r="Y32" s="27" t="n">
        <v>70.715</v>
      </c>
      <c r="Z32" s="28">
        <f>Y32</f>
        <v/>
      </c>
      <c r="AA32" s="27" t="n">
        <v>70.715</v>
      </c>
      <c r="AB32" s="29" t="n">
        <v>70.715</v>
      </c>
      <c r="AC32" s="33">
        <f>IFERROR(AB32*(1+변수!AC40),"")</f>
        <v/>
      </c>
      <c r="AD32" s="33">
        <f>IFERROR(AC32*(1+변수!AD40),"")</f>
        <v/>
      </c>
      <c r="AE32" s="31">
        <f>AD32</f>
        <v/>
      </c>
      <c r="AF32" s="33">
        <f>IFERROR(AD32*(1+변수!AF40),"")</f>
        <v/>
      </c>
      <c r="AG32" s="33">
        <f>IFERROR(AF32*(1+변수!AG40),"")</f>
        <v/>
      </c>
      <c r="AH32" s="33">
        <f>IFERROR(AG32*(1+변수!AH40),"")</f>
        <v/>
      </c>
      <c r="AI32" s="33">
        <f>IFERROR(AH32*(1+변수!AI40),"")</f>
        <v/>
      </c>
      <c r="AJ32" s="31">
        <f>AI32</f>
        <v/>
      </c>
      <c r="AK32" s="33">
        <f>IFERROR(AI32*(1+변수!AK40),"")</f>
        <v/>
      </c>
      <c r="AL32" s="33">
        <f>IFERROR(AK32*(1+변수!AL40),"")</f>
        <v/>
      </c>
      <c r="AM32" s="33">
        <f>IFERROR(AL32*(1+변수!AM40),"")</f>
        <v/>
      </c>
      <c r="AN32" s="33">
        <f>IFERROR(AM32*(1+변수!AN40),"")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7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7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7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7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7">
        <f>SUM(V33:Y33)</f>
        <v/>
      </c>
      <c r="AA33" s="18">
        <f>IFERROR(AA21*100/AA32,"")</f>
        <v/>
      </c>
      <c r="AB33" s="19">
        <f>IFERROR(AB21*100/AB32,"")</f>
        <v/>
      </c>
      <c r="AC33" s="20">
        <f>IFERROR(AC21*100/AC32,"")</f>
        <v/>
      </c>
      <c r="AD33" s="20">
        <f>IFERROR(AD21*100/AD32,"")</f>
        <v/>
      </c>
      <c r="AE33" s="38">
        <f>SUM(AA33:AD33)</f>
        <v/>
      </c>
      <c r="AF33" s="20">
        <f>IFERROR(AF21*100/AF32,"")</f>
        <v/>
      </c>
      <c r="AG33" s="20">
        <f>IFERROR(AG21*100/AG32,"")</f>
        <v/>
      </c>
      <c r="AH33" s="20">
        <f>IFERROR(AH21*100/AH32,"")</f>
        <v/>
      </c>
      <c r="AI33" s="20">
        <f>IFERROR(AI21*100/AI32,"")</f>
        <v/>
      </c>
      <c r="AJ33" s="38">
        <f>SUM(AF33:AI33)</f>
        <v/>
      </c>
      <c r="AK33" s="20">
        <f>IFERROR(AK21*100/AK32,"")</f>
        <v/>
      </c>
      <c r="AL33" s="20">
        <f>IFERROR(AL21*100/AL32,"")</f>
        <v/>
      </c>
      <c r="AM33" s="20">
        <f>IFERROR(AM21*100/AM32,"")</f>
        <v/>
      </c>
      <c r="AN33" s="20">
        <f>IFERROR(AN21*100/AN32,"")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7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7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7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7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7">
        <f>Y34</f>
        <v/>
      </c>
      <c r="AA34" s="18">
        <f>IFERROR(AA25*100/AA32,"")</f>
        <v/>
      </c>
      <c r="AB34" s="19">
        <f>IFERROR(AB25*100/AB32,"")</f>
        <v/>
      </c>
      <c r="AC34" s="20">
        <f>IFERROR(AC25*100/AC32,"")</f>
        <v/>
      </c>
      <c r="AD34" s="20">
        <f>IFERROR(AD25*100/AD32,"")</f>
        <v/>
      </c>
      <c r="AE34" s="38">
        <f>AD34</f>
        <v/>
      </c>
      <c r="AF34" s="20">
        <f>IFERROR(AF25*100/AF32,"")</f>
        <v/>
      </c>
      <c r="AG34" s="20">
        <f>IFERROR(AG25*100/AG32,"")</f>
        <v/>
      </c>
      <c r="AH34" s="20">
        <f>IFERROR(AH25*100/AH32,"")</f>
        <v/>
      </c>
      <c r="AI34" s="20">
        <f>IFERROR(AI25*100/AI32,"")</f>
        <v/>
      </c>
      <c r="AJ34" s="38">
        <f>AI34</f>
        <v/>
      </c>
      <c r="AK34" s="20">
        <f>IFERROR(AK25*100/AK32,"")</f>
        <v/>
      </c>
      <c r="AL34" s="20">
        <f>IFERROR(AL25*100/AL32,"")</f>
        <v/>
      </c>
      <c r="AM34" s="20">
        <f>IFERROR(AM25*100/AM32,"")</f>
        <v/>
      </c>
      <c r="AN34" s="20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0</v>
      </c>
      <c r="F35" s="37" t="n">
        <v>0</v>
      </c>
      <c r="G35" s="18" t="n"/>
      <c r="H35" s="18" t="n"/>
      <c r="I35" s="18" t="n"/>
      <c r="J35" s="18" t="n">
        <v>0</v>
      </c>
      <c r="K35" s="37">
        <f>SUM(G35:J35)</f>
        <v/>
      </c>
      <c r="L35" s="18" t="n"/>
      <c r="M35" s="18" t="n"/>
      <c r="N35" s="18" t="n"/>
      <c r="O35" s="18" t="n">
        <v>0</v>
      </c>
      <c r="P35" s="37">
        <f>SUM(L35:O35)</f>
        <v/>
      </c>
      <c r="Q35" s="18" t="n"/>
      <c r="R35" s="18" t="n"/>
      <c r="S35" s="18" t="n"/>
      <c r="T35" s="18" t="n">
        <v>5100</v>
      </c>
      <c r="U35" s="37">
        <f>SUM(Q35:T35)</f>
        <v/>
      </c>
      <c r="V35" s="18" t="n"/>
      <c r="W35" s="18" t="n"/>
      <c r="X35" s="18" t="n"/>
      <c r="Y35" s="18" t="n">
        <v>12300</v>
      </c>
      <c r="Z35" s="37">
        <f>SUM(V35:Y35)</f>
        <v/>
      </c>
      <c r="AA35" s="18" t="n"/>
      <c r="AB35" s="19" t="n"/>
      <c r="AC35" s="20" t="n"/>
      <c r="AD35" s="20">
        <f>변수!AD41</f>
        <v/>
      </c>
      <c r="AE35" s="38">
        <f>SUM(AA35:AD35)</f>
        <v/>
      </c>
      <c r="AF35" s="20" t="n"/>
      <c r="AG35" s="20" t="n"/>
      <c r="AH35" s="20" t="n"/>
      <c r="AI35" s="20">
        <f>변수!AI41</f>
        <v/>
      </c>
      <c r="AJ35" s="38">
        <f>SUM(AF35:AI35)</f>
        <v/>
      </c>
      <c r="AK35" s="20" t="n"/>
      <c r="AL35" s="20" t="n"/>
      <c r="AM35" s="20" t="n"/>
      <c r="AN35" s="20">
        <f>변수!AN41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 t="n"/>
      <c r="J36" s="13" t="n"/>
      <c r="K36" s="14">
        <f>J36</f>
        <v/>
      </c>
      <c r="L36" s="13" t="n"/>
      <c r="M36" s="13">
        <f>IFERROR(변수!M18/(I33+J33+L33+M33),"")</f>
        <v/>
      </c>
      <c r="N36" s="13">
        <f>IFERROR(변수!N18/(J33+L33+M33+N33),"")</f>
        <v/>
      </c>
      <c r="O36" s="13">
        <f>IFERROR(변수!O18/(L33+M33+N33+O33),"")</f>
        <v/>
      </c>
      <c r="P36" s="14">
        <f>O36</f>
        <v/>
      </c>
      <c r="Q36" s="13">
        <f>IFERROR(변수!Q18/(M33+N33+O33+Q33),"")</f>
        <v/>
      </c>
      <c r="R36" s="13">
        <f>IFERROR(변수!R18/(N33+O33+Q33+R33),"")</f>
        <v/>
      </c>
      <c r="S36" s="13">
        <f>IFERROR(변수!S18/(O33+Q33+R33+S33),"")</f>
        <v/>
      </c>
      <c r="T36" s="13">
        <f>IFERROR(변수!T18/(Q33+R33+S33+T33),"")</f>
        <v/>
      </c>
      <c r="U36" s="14">
        <f>T36</f>
        <v/>
      </c>
      <c r="V36" s="13">
        <f>IFERROR(변수!V18/(R33+S33+T33+V33),"")</f>
        <v/>
      </c>
      <c r="W36" s="13">
        <f>IFERROR(변수!W18/(S33+T33+V33+W33),"")</f>
        <v/>
      </c>
      <c r="X36" s="13">
        <f>IFERROR(변수!X18/(T33+V33+W33+X33),"")</f>
        <v/>
      </c>
      <c r="Y36" s="13">
        <f>IFERROR(변수!Y18/(V33+W33+X33+Y33),"")</f>
        <v/>
      </c>
      <c r="Z36" s="14">
        <f>Y36</f>
        <v/>
      </c>
      <c r="AA36" s="13">
        <f>IFERROR(변수!AA18/(W33+X33+Y33+AA33),"")</f>
        <v/>
      </c>
      <c r="AB36" s="15">
        <f>IFERROR(변수!AB18/(X33+Y33+AA33+AB33),"")</f>
        <v/>
      </c>
      <c r="AC36" s="39">
        <f>IFERROR(변수!$D$44/(Y33+AA33+AB33+AC33),"")</f>
        <v/>
      </c>
      <c r="AD36" s="39">
        <f>IFERROR(변수!$D$44/(AA33+AB33+AC33+AD33),"")</f>
        <v/>
      </c>
      <c r="AE36" s="40">
        <f>AD36</f>
        <v/>
      </c>
      <c r="AF36" s="39">
        <f>IFERROR(변수!$D$44/(AB33+AC33+AD33+AF33),"")</f>
        <v/>
      </c>
      <c r="AG36" s="39">
        <f>IFERROR(변수!$D$44/(AC33+AD33+AF33+AG33),"")</f>
        <v/>
      </c>
      <c r="AH36" s="39">
        <f>IFERROR(변수!$D$44/(AD33+AF33+AG33+AH33),"")</f>
        <v/>
      </c>
      <c r="AI36" s="39">
        <f>IFERROR(변수!$D$44/(AF33+AG33+AH33+AI33),"")</f>
        <v/>
      </c>
      <c r="AJ36" s="40">
        <f>AI36</f>
        <v/>
      </c>
      <c r="AK36" s="39">
        <f>IFERROR(변수!$D$44/(AG33+AH33+AI33+AK33),"")</f>
        <v/>
      </c>
      <c r="AL36" s="39">
        <f>IFERROR(변수!$D$44/(AH33+AI33+AK33+AL33),"")</f>
        <v/>
      </c>
      <c r="AM36" s="39">
        <f>IFERROR(변수!$D$44/(AI33+AK33+AL33+AM33),"")</f>
        <v/>
      </c>
      <c r="AN36" s="39">
        <f>IFERROR(변수!$D$44/(AK33+AL33+AM33+AN33),"")</f>
        <v/>
      </c>
      <c r="AO36" s="40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39">
        <f>IFERROR(변수!$D$44/AC34,"")</f>
        <v/>
      </c>
      <c r="AD37" s="39">
        <f>IFERROR(변수!$D$44/AD34,"")</f>
        <v/>
      </c>
      <c r="AE37" s="40">
        <f>AD37</f>
        <v/>
      </c>
      <c r="AF37" s="39">
        <f>IFERROR(변수!$D$44/AF34,"")</f>
        <v/>
      </c>
      <c r="AG37" s="39">
        <f>IFERROR(변수!$D$44/AG34,"")</f>
        <v/>
      </c>
      <c r="AH37" s="39">
        <f>IFERROR(변수!$D$44/AH34,"")</f>
        <v/>
      </c>
      <c r="AI37" s="39">
        <f>IFERROR(변수!$D$44/AI34,"")</f>
        <v/>
      </c>
      <c r="AJ37" s="40">
        <f>AI37</f>
        <v/>
      </c>
      <c r="AK37" s="39">
        <f>IFERROR(변수!$D$44/AK34,"")</f>
        <v/>
      </c>
      <c r="AL37" s="39">
        <f>IFERROR(변수!$D$44/AL34,"")</f>
        <v/>
      </c>
      <c r="AM37" s="39">
        <f>IFERROR(변수!$D$44/AM34,"")</f>
        <v/>
      </c>
      <c r="AN37" s="39">
        <f>IFERROR(변수!$D$44/AN34,"")</f>
        <v/>
      </c>
      <c r="AO37" s="40">
        <f>AN37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44566.49</v>
      </c>
      <c r="F38" s="37" t="n"/>
      <c r="G38" s="18" t="n">
        <v>39077.28</v>
      </c>
      <c r="H38" s="18" t="n">
        <v>41886.06</v>
      </c>
      <c r="I38" s="18" t="n">
        <v>42644.15</v>
      </c>
      <c r="J38" s="18" t="n">
        <v>49412.7</v>
      </c>
      <c r="K38" s="37">
        <f>SUM(G38:J38)</f>
        <v/>
      </c>
      <c r="L38" s="18" t="n">
        <v>48423.59</v>
      </c>
      <c r="M38" s="18" t="n">
        <v>54536.4</v>
      </c>
      <c r="N38" s="18" t="n">
        <v>50112.06</v>
      </c>
      <c r="O38" s="18" t="n">
        <v>59890</v>
      </c>
      <c r="P38" s="37">
        <f>SUM(L38:O38)</f>
        <v/>
      </c>
      <c r="Q38" s="18" t="n">
        <v>55156.26</v>
      </c>
      <c r="R38" s="18" t="n">
        <v>66154.84</v>
      </c>
      <c r="S38" s="18" t="n">
        <v>62457.56</v>
      </c>
      <c r="T38" s="18" t="n">
        <v>71617.12</v>
      </c>
      <c r="U38" s="37">
        <f>SUM(Q38:T38)</f>
        <v/>
      </c>
      <c r="V38" s="18" t="n">
        <v>67717.06</v>
      </c>
      <c r="W38" s="18" t="n">
        <v>74284.17</v>
      </c>
      <c r="X38" s="18" t="n">
        <v>75814.36</v>
      </c>
      <c r="Y38" s="18" t="n">
        <v>81516.57000000001</v>
      </c>
      <c r="Z38" s="37">
        <f>SUM(V38:Y38)</f>
        <v/>
      </c>
      <c r="AA38" s="18" t="n">
        <v>81408.89999999999</v>
      </c>
      <c r="AB38" s="19" t="n">
        <v>89270.46000000001</v>
      </c>
      <c r="AC38" s="20">
        <f>IFERROR(AC5,"")</f>
        <v/>
      </c>
      <c r="AD38" s="20">
        <f>IFERROR(AD5,"")</f>
        <v/>
      </c>
      <c r="AE38" s="38">
        <f>SUM(AA38:AD38)</f>
        <v/>
      </c>
      <c r="AF38" s="20">
        <f>IFERROR(AF5,"")</f>
        <v/>
      </c>
      <c r="AG38" s="20">
        <f>IFERROR(AG5,"")</f>
        <v/>
      </c>
      <c r="AH38" s="20">
        <f>IFERROR(AH5,"")</f>
        <v/>
      </c>
      <c r="AI38" s="20">
        <f>IFERROR(AI5,"")</f>
        <v/>
      </c>
      <c r="AJ38" s="38">
        <f>SUM(AF38:AI38)</f>
        <v/>
      </c>
      <c r="AK38" s="20">
        <f>IFERROR(AK5,"")</f>
        <v/>
      </c>
      <c r="AL38" s="20">
        <f>IFERROR(AL5,"")</f>
        <v/>
      </c>
      <c r="AM38" s="20">
        <f>IFERROR(AM5,"")</f>
        <v/>
      </c>
      <c r="AN38" s="20">
        <f>IFERROR(AN5,"")</f>
        <v/>
      </c>
      <c r="AO38" s="38">
        <f>SUM(AK38:AN38)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-6967.58</v>
      </c>
      <c r="F39" s="37" t="n"/>
      <c r="G39" s="18" t="n">
        <v>-3963.96</v>
      </c>
      <c r="H39" s="18" t="n">
        <v>-2650.85</v>
      </c>
      <c r="I39" s="18" t="n">
        <v>1887.36</v>
      </c>
      <c r="J39" s="18" t="n">
        <v>1171.84</v>
      </c>
      <c r="K39" s="37">
        <f>SUM(G39:J39)</f>
        <v/>
      </c>
      <c r="L39" s="18" t="n">
        <v>-190.44</v>
      </c>
      <c r="M39" s="18" t="n">
        <v>712.5700000000001</v>
      </c>
      <c r="N39" s="18" t="n">
        <v>689.5700000000001</v>
      </c>
      <c r="O39" s="18" t="n">
        <v>1610.91</v>
      </c>
      <c r="P39" s="37">
        <f>SUM(L39:O39)</f>
        <v/>
      </c>
      <c r="Q39" s="18" t="n">
        <v>1601.63</v>
      </c>
      <c r="R39" s="18" t="n">
        <v>3764.65</v>
      </c>
      <c r="S39" s="18" t="n">
        <v>3984.08</v>
      </c>
      <c r="T39" s="18" t="n">
        <v>4990.55</v>
      </c>
      <c r="U39" s="37">
        <f>SUM(Q39:T39)</f>
        <v/>
      </c>
      <c r="V39" s="18" t="n">
        <v>8591.540000000001</v>
      </c>
      <c r="W39" s="18" t="n">
        <v>9536.41</v>
      </c>
      <c r="X39" s="18" t="n">
        <v>10537.75</v>
      </c>
      <c r="Y39" s="18" t="n">
        <v>10379.19</v>
      </c>
      <c r="Z39" s="37">
        <f>SUM(V39:Y39)</f>
        <v/>
      </c>
      <c r="AA39" s="18" t="n">
        <v>13559.7</v>
      </c>
      <c r="AB39" s="19" t="n">
        <v>16451.46</v>
      </c>
      <c r="AC39" s="20">
        <f>IFERROR(AC9,"")</f>
        <v/>
      </c>
      <c r="AD39" s="20">
        <f>IFERROR(AD9,"")</f>
        <v/>
      </c>
      <c r="AE39" s="38">
        <f>SUM(AA39:AD39)</f>
        <v/>
      </c>
      <c r="AF39" s="20">
        <f>IFERROR(AF9,"")</f>
        <v/>
      </c>
      <c r="AG39" s="20">
        <f>IFERROR(AG9,"")</f>
        <v/>
      </c>
      <c r="AH39" s="20">
        <f>IFERROR(AH9,"")</f>
        <v/>
      </c>
      <c r="AI39" s="20">
        <f>IFERROR(AI9,"")</f>
        <v/>
      </c>
      <c r="AJ39" s="38">
        <f>SUM(AF39:AI39)</f>
        <v/>
      </c>
      <c r="AK39" s="20">
        <f>IFERROR(AK9,"")</f>
        <v/>
      </c>
      <c r="AL39" s="20">
        <f>IFERROR(AL9,"")</f>
        <v/>
      </c>
      <c r="AM39" s="20">
        <f>IFERROR(AM9,"")</f>
        <v/>
      </c>
      <c r="AN39" s="20">
        <f>IFERROR(AN9,"")</f>
        <v/>
      </c>
      <c r="AO39" s="38">
        <f>SUM(AK39:AN39)</f>
        <v/>
      </c>
    </row>
    <row r="40">
      <c r="B40" s="2" t="inlineStr">
        <is>
          <t>비율(참고)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IFERROR(E21/E5,"")</f>
        <v/>
      </c>
      <c r="F41" s="22">
        <f>IFERROR(F21/F5,"")</f>
        <v/>
      </c>
      <c r="G41" s="21">
        <f>IFERROR(G21/G5,"")</f>
        <v/>
      </c>
      <c r="H41" s="21">
        <f>IFERROR(H21/H5,"")</f>
        <v/>
      </c>
      <c r="I41" s="21">
        <f>IFERROR(I21/I5,"")</f>
        <v/>
      </c>
      <c r="J41" s="21">
        <f>IFERROR(J21/J5,"")</f>
        <v/>
      </c>
      <c r="K41" s="22">
        <f>IFERROR(K21/K5,"")</f>
        <v/>
      </c>
      <c r="L41" s="21">
        <f>IFERROR(L21/L5,"")</f>
        <v/>
      </c>
      <c r="M41" s="21">
        <f>IFERROR(M21/M5,"")</f>
        <v/>
      </c>
      <c r="N41" s="21">
        <f>IFERROR(N21/N5,"")</f>
        <v/>
      </c>
      <c r="O41" s="21">
        <f>IFERROR(O21/O5,"")</f>
        <v/>
      </c>
      <c r="P41" s="22">
        <f>IFERROR(P21/P5,"")</f>
        <v/>
      </c>
      <c r="Q41" s="21">
        <f>IFERROR(Q21/Q5,"")</f>
        <v/>
      </c>
      <c r="R41" s="21">
        <f>IFERROR(R21/R5,"")</f>
        <v/>
      </c>
      <c r="S41" s="21">
        <f>IFERROR(S21/S5,"")</f>
        <v/>
      </c>
      <c r="T41" s="21">
        <f>IFERROR(T21/T5,"")</f>
        <v/>
      </c>
      <c r="U41" s="22">
        <f>IFERROR(U21/U5,"")</f>
        <v/>
      </c>
      <c r="V41" s="21">
        <f>IFERROR(V21/V5,"")</f>
        <v/>
      </c>
      <c r="W41" s="21">
        <f>IFERROR(W21/W5,"")</f>
        <v/>
      </c>
      <c r="X41" s="21">
        <f>IFERROR(X21/X5,"")</f>
        <v/>
      </c>
      <c r="Y41" s="21">
        <f>IFERROR(Y21/Y5,"")</f>
        <v/>
      </c>
      <c r="Z41" s="22">
        <f>IFERROR(Z21/Z5,"")</f>
        <v/>
      </c>
      <c r="AA41" s="21">
        <f>IFERROR(AA21/AA5,"")</f>
        <v/>
      </c>
      <c r="AB41" s="23">
        <f>IFERROR(AB21/AB5,"")</f>
        <v/>
      </c>
      <c r="AC41" s="32">
        <f>IFERROR(AC21/AC5,"")</f>
        <v/>
      </c>
      <c r="AD41" s="32">
        <f>IFERROR(AD21/AD5,"")</f>
        <v/>
      </c>
      <c r="AE41" s="25">
        <f>IFERROR(AE21/AE5,"")</f>
        <v/>
      </c>
      <c r="AF41" s="32">
        <f>IFERROR(AF21/AF5,"")</f>
        <v/>
      </c>
      <c r="AG41" s="32">
        <f>IFERROR(AG21/AG5,"")</f>
        <v/>
      </c>
      <c r="AH41" s="32">
        <f>IFERROR(AH21/AH5,"")</f>
        <v/>
      </c>
      <c r="AI41" s="32">
        <f>IFERROR(AI21/AI5,"")</f>
        <v/>
      </c>
      <c r="AJ41" s="25">
        <f>IFERROR(AJ21/AJ5,"")</f>
        <v/>
      </c>
      <c r="AK41" s="32">
        <f>IFERROR(AK21/AK5,"")</f>
        <v/>
      </c>
      <c r="AL41" s="32">
        <f>IFERROR(AL21/AL5,"")</f>
        <v/>
      </c>
      <c r="AM41" s="32">
        <f>IFERROR(AM21/AM5,"")</f>
        <v/>
      </c>
      <c r="AN41" s="32">
        <f>IFERROR(AN21/AN5,"")</f>
        <v/>
      </c>
      <c r="AO41" s="25">
        <f>IFERROR(AO21/AO5,"")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2">
        <f>IFERROR(F6/F5,"")</f>
        <v/>
      </c>
      <c r="G42" s="21">
        <f>IFERROR(G6/G5,"")</f>
        <v/>
      </c>
      <c r="H42" s="21">
        <f>IFERROR(H6/H5,"")</f>
        <v/>
      </c>
      <c r="I42" s="21">
        <f>IFERROR(I6/I5,"")</f>
        <v/>
      </c>
      <c r="J42" s="21">
        <f>IFERROR(J6/J5,"")</f>
        <v/>
      </c>
      <c r="K42" s="22">
        <f>IFERROR(K6/K5,"")</f>
        <v/>
      </c>
      <c r="L42" s="21">
        <f>IFERROR(L6/L5,"")</f>
        <v/>
      </c>
      <c r="M42" s="21">
        <f>IFERROR(M6/M5,"")</f>
        <v/>
      </c>
      <c r="N42" s="21">
        <f>IFERROR(N6/N5,"")</f>
        <v/>
      </c>
      <c r="O42" s="21">
        <f>IFERROR(O6/O5,"")</f>
        <v/>
      </c>
      <c r="P42" s="22">
        <f>IFERROR(P6/P5,"")</f>
        <v/>
      </c>
      <c r="Q42" s="21">
        <f>IFERROR(Q6/Q5,"")</f>
        <v/>
      </c>
      <c r="R42" s="21">
        <f>IFERROR(R6/R5,"")</f>
        <v/>
      </c>
      <c r="S42" s="21">
        <f>IFERROR(S6/S5,"")</f>
        <v/>
      </c>
      <c r="T42" s="21">
        <f>IFERROR(T6/T5,"")</f>
        <v/>
      </c>
      <c r="U42" s="22">
        <f>IFERROR(U6/U5,"")</f>
        <v/>
      </c>
      <c r="V42" s="21">
        <f>IFERROR(V6/V5,"")</f>
        <v/>
      </c>
      <c r="W42" s="21">
        <f>IFERROR(W6/W5,"")</f>
        <v/>
      </c>
      <c r="X42" s="21">
        <f>IFERROR(X6/X5,"")</f>
        <v/>
      </c>
      <c r="Y42" s="21">
        <f>IFERROR(Y6/Y5,"")</f>
        <v/>
      </c>
      <c r="Z42" s="22">
        <f>IFERROR(Z6/Z5,"")</f>
        <v/>
      </c>
      <c r="AA42" s="21">
        <f>IFERROR(AA6/AA5,"")</f>
        <v/>
      </c>
      <c r="AB42" s="23">
        <f>IFERROR(AB6/AB5,"")</f>
        <v/>
      </c>
      <c r="AC42" s="32">
        <f>IFERROR(AC6/AC5,"")</f>
        <v/>
      </c>
      <c r="AD42" s="32">
        <f>IFERROR(AD6/AD5,"")</f>
        <v/>
      </c>
      <c r="AE42" s="25">
        <f>IFERROR(AE6/AE5,"")</f>
        <v/>
      </c>
      <c r="AF42" s="32">
        <f>IFERROR(AF6/AF5,"")</f>
        <v/>
      </c>
      <c r="AG42" s="32">
        <f>IFERROR(AG6/AG5,"")</f>
        <v/>
      </c>
      <c r="AH42" s="32">
        <f>IFERROR(AH6/AH5,"")</f>
        <v/>
      </c>
      <c r="AI42" s="32">
        <f>IFERROR(AI6/AI5,"")</f>
        <v/>
      </c>
      <c r="AJ42" s="25">
        <f>IFERROR(AJ6/AJ5,"")</f>
        <v/>
      </c>
      <c r="AK42" s="32">
        <f>IFERROR(AK6/AK5,"")</f>
        <v/>
      </c>
      <c r="AL42" s="32">
        <f>IFERROR(AL6/AL5,"")</f>
        <v/>
      </c>
      <c r="AM42" s="32">
        <f>IFERROR(AM6/AM5,"")</f>
        <v/>
      </c>
      <c r="AN42" s="32">
        <f>IFERROR(AN6/AN5,"")</f>
        <v/>
      </c>
      <c r="AO42" s="25">
        <f>IFERROR(AO6/AO5,"")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2">
        <f>IFERROR(F8/F5,"")</f>
        <v/>
      </c>
      <c r="G43" s="21">
        <f>IFERROR(G8/G5,"")</f>
        <v/>
      </c>
      <c r="H43" s="21">
        <f>IFERROR(H8/H5,"")</f>
        <v/>
      </c>
      <c r="I43" s="21">
        <f>IFERROR(I8/I5,"")</f>
        <v/>
      </c>
      <c r="J43" s="21">
        <f>IFERROR(J8/J5,"")</f>
        <v/>
      </c>
      <c r="K43" s="22">
        <f>IFERROR(K8/K5,"")</f>
        <v/>
      </c>
      <c r="L43" s="21">
        <f>IFERROR(L8/L5,"")</f>
        <v/>
      </c>
      <c r="M43" s="21">
        <f>IFERROR(M8/M5,"")</f>
        <v/>
      </c>
      <c r="N43" s="21">
        <f>IFERROR(N8/N5,"")</f>
        <v/>
      </c>
      <c r="O43" s="21">
        <f>IFERROR(O8/O5,"")</f>
        <v/>
      </c>
      <c r="P43" s="22">
        <f>IFERROR(P8/P5,"")</f>
        <v/>
      </c>
      <c r="Q43" s="21">
        <f>IFERROR(Q8/Q5,"")</f>
        <v/>
      </c>
      <c r="R43" s="21">
        <f>IFERROR(R8/R5,"")</f>
        <v/>
      </c>
      <c r="S43" s="21">
        <f>IFERROR(S8/S5,"")</f>
        <v/>
      </c>
      <c r="T43" s="21">
        <f>IFERROR(T8/T5,"")</f>
        <v/>
      </c>
      <c r="U43" s="22">
        <f>IFERROR(U8/U5,"")</f>
        <v/>
      </c>
      <c r="V43" s="21">
        <f>IFERROR(V8/V5,"")</f>
        <v/>
      </c>
      <c r="W43" s="21">
        <f>IFERROR(W8/W5,"")</f>
        <v/>
      </c>
      <c r="X43" s="21">
        <f>IFERROR(X8/X5,"")</f>
        <v/>
      </c>
      <c r="Y43" s="21">
        <f>IFERROR(Y8/Y5,"")</f>
        <v/>
      </c>
      <c r="Z43" s="22">
        <f>IFERROR(Z8/Z5,"")</f>
        <v/>
      </c>
      <c r="AA43" s="21">
        <f>IFERROR(AA8/AA5,"")</f>
        <v/>
      </c>
      <c r="AB43" s="23">
        <f>IFERROR(AB8/AB5,"")</f>
        <v/>
      </c>
      <c r="AC43" s="32">
        <f>IFERROR(AC8/AC5,"")</f>
        <v/>
      </c>
      <c r="AD43" s="32">
        <f>IFERROR(AD8/AD5,"")</f>
        <v/>
      </c>
      <c r="AE43" s="25">
        <f>IFERROR(AE8/AE5,"")</f>
        <v/>
      </c>
      <c r="AF43" s="32">
        <f>IFERROR(AF8/AF5,"")</f>
        <v/>
      </c>
      <c r="AG43" s="32">
        <f>IFERROR(AG8/AG5,"")</f>
        <v/>
      </c>
      <c r="AH43" s="32">
        <f>IFERROR(AH8/AH5,"")</f>
        <v/>
      </c>
      <c r="AI43" s="32">
        <f>IFERROR(AI8/AI5,"")</f>
        <v/>
      </c>
      <c r="AJ43" s="25">
        <f>IFERROR(AJ8/AJ5,"")</f>
        <v/>
      </c>
      <c r="AK43" s="32">
        <f>IFERROR(AK8/AK5,"")</f>
        <v/>
      </c>
      <c r="AL43" s="32">
        <f>IFERROR(AL8/AL5,"")</f>
        <v/>
      </c>
      <c r="AM43" s="32">
        <f>IFERROR(AM8/AM5,"")</f>
        <v/>
      </c>
      <c r="AN43" s="32">
        <f>IFERROR(AN8/AN5,"")</f>
        <v/>
      </c>
      <c r="AO43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1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>
      <c r="C1" s="2" t="inlineStr">
        <is>
          <t>이름: SLS_H · 선표 매출인식(백만$) — sls json origin 2026Q2</t>
        </is>
      </c>
      <c r="E1" s="3" t="inlineStr">
        <is>
          <t>3Q19</t>
        </is>
      </c>
      <c r="F1" s="3" t="inlineStr">
        <is>
          <t>4Q19</t>
        </is>
      </c>
      <c r="G1" s="3" t="inlineStr">
        <is>
          <t>1Q20</t>
        </is>
      </c>
      <c r="H1" s="3" t="inlineStr">
        <is>
          <t>2Q20</t>
        </is>
      </c>
      <c r="I1" s="3" t="inlineStr">
        <is>
          <t>3Q20</t>
        </is>
      </c>
      <c r="J1" s="3" t="inlineStr">
        <is>
          <t>4Q20</t>
        </is>
      </c>
      <c r="K1" s="3" t="inlineStr">
        <is>
          <t>1Q21</t>
        </is>
      </c>
      <c r="L1" s="3" t="inlineStr">
        <is>
          <t>2Q21</t>
        </is>
      </c>
      <c r="M1" s="3" t="inlineStr">
        <is>
          <t>3Q21</t>
        </is>
      </c>
      <c r="N1" s="3" t="inlineStr">
        <is>
          <t>4Q21</t>
        </is>
      </c>
      <c r="O1" s="3" t="inlineStr">
        <is>
          <t>1Q22</t>
        </is>
      </c>
      <c r="P1" s="3" t="inlineStr">
        <is>
          <t>2Q22</t>
        </is>
      </c>
      <c r="Q1" s="3" t="inlineStr">
        <is>
          <t>3Q22</t>
        </is>
      </c>
      <c r="R1" s="3" t="inlineStr">
        <is>
          <t>4Q22</t>
        </is>
      </c>
      <c r="S1" s="3" t="inlineStr">
        <is>
          <t>1Q23</t>
        </is>
      </c>
      <c r="T1" s="3" t="inlineStr">
        <is>
          <t>2Q23</t>
        </is>
      </c>
      <c r="U1" s="3" t="inlineStr">
        <is>
          <t>3Q23</t>
        </is>
      </c>
      <c r="V1" s="3" t="inlineStr">
        <is>
          <t>4Q23</t>
        </is>
      </c>
      <c r="W1" s="3" t="inlineStr">
        <is>
          <t>1Q24</t>
        </is>
      </c>
      <c r="X1" s="3" t="inlineStr">
        <is>
          <t>2Q24</t>
        </is>
      </c>
      <c r="Y1" s="3" t="inlineStr">
        <is>
          <t>3Q24</t>
        </is>
      </c>
      <c r="Z1" s="3" t="inlineStr">
        <is>
          <t>4Q24</t>
        </is>
      </c>
      <c r="AA1" s="3" t="inlineStr">
        <is>
          <t>1Q25</t>
        </is>
      </c>
      <c r="AB1" s="3" t="inlineStr">
        <is>
          <t>2Q25</t>
        </is>
      </c>
      <c r="AC1" s="3" t="inlineStr">
        <is>
          <t>3Q25</t>
        </is>
      </c>
      <c r="AD1" s="3" t="inlineStr">
        <is>
          <t>4Q25</t>
        </is>
      </c>
      <c r="AE1" s="3" t="inlineStr">
        <is>
          <t>1Q26</t>
        </is>
      </c>
      <c r="AF1" s="3" t="inlineStr">
        <is>
          <t>2Q26</t>
        </is>
      </c>
      <c r="AG1" s="3" t="inlineStr">
        <is>
          <t>3Q26</t>
        </is>
      </c>
      <c r="AH1" s="3" t="inlineStr">
        <is>
          <t>4Q26</t>
        </is>
      </c>
      <c r="AI1" s="3" t="inlineStr">
        <is>
          <t>1Q27</t>
        </is>
      </c>
      <c r="AJ1" s="3" t="inlineStr">
        <is>
          <t>2Q27</t>
        </is>
      </c>
      <c r="AK1" s="3" t="inlineStr">
        <is>
          <t>3Q27</t>
        </is>
      </c>
      <c r="AL1" s="3" t="inlineStr">
        <is>
          <t>4Q27</t>
        </is>
      </c>
      <c r="AM1" s="3" t="inlineStr">
        <is>
          <t>1Q28</t>
        </is>
      </c>
      <c r="AN1" s="3" t="inlineStr">
        <is>
          <t>2Q28</t>
        </is>
      </c>
      <c r="AO1" s="3" t="inlineStr">
        <is>
          <t>3Q28</t>
        </is>
      </c>
      <c r="AP1" s="3" t="inlineStr">
        <is>
          <t>4Q28</t>
        </is>
      </c>
      <c r="AQ1" s="3" t="inlineStr">
        <is>
          <t>1Q29</t>
        </is>
      </c>
      <c r="AR1" s="3" t="inlineStr">
        <is>
          <t>2Q29</t>
        </is>
      </c>
      <c r="AS1" s="3" t="inlineStr">
        <is>
          <t>3Q29</t>
        </is>
      </c>
      <c r="AT1" s="3" t="inlineStr">
        <is>
          <t>4Q29</t>
        </is>
      </c>
      <c r="AU1" s="3" t="inlineStr">
        <is>
          <t>1Q30</t>
        </is>
      </c>
      <c r="AV1" s="3" t="inlineStr">
        <is>
          <t>2Q30</t>
        </is>
      </c>
      <c r="AW1" s="3" t="n">
        <v>2019</v>
      </c>
      <c r="AX1" s="3" t="n">
        <v>2020</v>
      </c>
      <c r="AY1" s="3" t="n">
        <v>2021</v>
      </c>
      <c r="AZ1" s="3" t="n">
        <v>2022</v>
      </c>
      <c r="BA1" s="3" t="n">
        <v>2023</v>
      </c>
      <c r="BB1" s="3" t="n">
        <v>2024</v>
      </c>
      <c r="BC1" s="3" t="n">
        <v>2025</v>
      </c>
      <c r="BD1" s="3" t="n">
        <v>2026</v>
      </c>
      <c r="BE1" s="3" t="n">
        <v>2027</v>
      </c>
      <c r="BF1" s="3" t="n">
        <v>2028</v>
      </c>
      <c r="BG1" s="3" t="n">
        <v>2029</v>
      </c>
      <c r="BH1" s="3" t="n">
        <v>2030</v>
      </c>
    </row>
    <row r="2">
      <c r="A2" s="2" t="inlineStr">
        <is>
          <t>코호트 표(레퍼런스 실측 캘리브레이션): ①적자 −1.1% ②BEP 1% ③중마진 4.3% ④호황 5.4% ⑤초호황 10.8% — 회사별 캘리브레이션은 target_opm.basis 참조 · 코호트 모드 reference_anchor(대안 ledger_relative) · 잔고 캡 미적용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  <c r="AP3" s="2" t="n">
        <v>38</v>
      </c>
      <c r="AQ3" s="2" t="n">
        <v>39</v>
      </c>
      <c r="AR3" s="2" t="n">
        <v>40</v>
      </c>
      <c r="AS3" s="2" t="n">
        <v>41</v>
      </c>
      <c r="AT3" s="2" t="n">
        <v>42</v>
      </c>
      <c r="AU3" s="2" t="n">
        <v>43</v>
      </c>
      <c r="AV3" s="2" t="n">
        <v>44</v>
      </c>
      <c r="AW3" s="2" t="n">
        <v>45</v>
      </c>
      <c r="AX3" s="2" t="n">
        <v>46</v>
      </c>
      <c r="AY3" s="2" t="n">
        <v>47</v>
      </c>
      <c r="AZ3" s="2" t="n">
        <v>48</v>
      </c>
      <c r="BA3" s="2" t="n">
        <v>49</v>
      </c>
      <c r="BB3" s="2" t="n">
        <v>50</v>
      </c>
      <c r="BC3" s="2" t="n">
        <v>51</v>
      </c>
      <c r="BD3" s="2" t="n">
        <v>52</v>
      </c>
      <c r="BE3" s="2" t="n">
        <v>53</v>
      </c>
      <c r="BF3" s="2" t="n">
        <v>54</v>
      </c>
      <c r="BG3" s="2" t="n">
        <v>55</v>
      </c>
      <c r="BH3" s="2" t="n">
        <v>56</v>
      </c>
    </row>
    <row r="4">
      <c r="E4" s="7" t="inlineStr">
        <is>
          <t>2019.09</t>
        </is>
      </c>
      <c r="F4" s="7" t="inlineStr">
        <is>
          <t>2019.12</t>
        </is>
      </c>
      <c r="G4" s="7" t="inlineStr">
        <is>
          <t>2020.03</t>
        </is>
      </c>
      <c r="H4" s="7" t="inlineStr">
        <is>
          <t>2020.06</t>
        </is>
      </c>
      <c r="I4" s="7" t="inlineStr">
        <is>
          <t>2020.09</t>
        </is>
      </c>
      <c r="J4" s="7" t="inlineStr">
        <is>
          <t>2020.12</t>
        </is>
      </c>
      <c r="K4" s="7" t="inlineStr">
        <is>
          <t>2021.03</t>
        </is>
      </c>
      <c r="L4" s="7" t="inlineStr">
        <is>
          <t>2021.06</t>
        </is>
      </c>
      <c r="M4" s="7" t="inlineStr">
        <is>
          <t>2021.09</t>
        </is>
      </c>
      <c r="N4" s="7" t="inlineStr">
        <is>
          <t>2021.12</t>
        </is>
      </c>
      <c r="O4" s="7" t="inlineStr">
        <is>
          <t>2022.03</t>
        </is>
      </c>
      <c r="P4" s="7" t="inlineStr">
        <is>
          <t>2022.06</t>
        </is>
      </c>
      <c r="Q4" s="7" t="inlineStr">
        <is>
          <t>2022.09</t>
        </is>
      </c>
      <c r="R4" s="7" t="inlineStr">
        <is>
          <t>2022.12</t>
        </is>
      </c>
      <c r="S4" s="7" t="inlineStr">
        <is>
          <t>2023.03</t>
        </is>
      </c>
      <c r="T4" s="7" t="inlineStr">
        <is>
          <t>2023.06</t>
        </is>
      </c>
      <c r="U4" s="7" t="inlineStr">
        <is>
          <t>2023.09</t>
        </is>
      </c>
      <c r="V4" s="7" t="inlineStr">
        <is>
          <t>2023.12</t>
        </is>
      </c>
      <c r="W4" s="7" t="inlineStr">
        <is>
          <t>2024.03</t>
        </is>
      </c>
      <c r="X4" s="7" t="inlineStr">
        <is>
          <t>2024.06</t>
        </is>
      </c>
      <c r="Y4" s="7" t="inlineStr">
        <is>
          <t>2024.09</t>
        </is>
      </c>
      <c r="Z4" s="7" t="inlineStr">
        <is>
          <t>2024.12</t>
        </is>
      </c>
      <c r="AA4" s="7" t="inlineStr">
        <is>
          <t>2025.03</t>
        </is>
      </c>
      <c r="AB4" s="7" t="inlineStr">
        <is>
          <t>2025.06</t>
        </is>
      </c>
      <c r="AC4" s="7" t="inlineStr">
        <is>
          <t>2025.09</t>
        </is>
      </c>
      <c r="AD4" s="7" t="inlineStr">
        <is>
          <t>2025.12</t>
        </is>
      </c>
      <c r="AE4" s="7" t="inlineStr">
        <is>
          <t>2026.03</t>
        </is>
      </c>
      <c r="AF4" s="7" t="inlineStr">
        <is>
          <t>2026.06</t>
        </is>
      </c>
      <c r="AG4" s="7" t="inlineStr">
        <is>
          <t>2026.09</t>
        </is>
      </c>
      <c r="AH4" s="7" t="inlineStr">
        <is>
          <t>2026.12</t>
        </is>
      </c>
      <c r="AI4" s="7" t="inlineStr">
        <is>
          <t>2027.03</t>
        </is>
      </c>
      <c r="AJ4" s="7" t="inlineStr">
        <is>
          <t>2027.06</t>
        </is>
      </c>
      <c r="AK4" s="7" t="inlineStr">
        <is>
          <t>2027.09</t>
        </is>
      </c>
      <c r="AL4" s="7" t="inlineStr">
        <is>
          <t>2027.12</t>
        </is>
      </c>
      <c r="AM4" s="7" t="inlineStr">
        <is>
          <t>2028.03</t>
        </is>
      </c>
      <c r="AN4" s="7" t="inlineStr">
        <is>
          <t>2028.06</t>
        </is>
      </c>
      <c r="AO4" s="7" t="inlineStr">
        <is>
          <t>2028.09</t>
        </is>
      </c>
      <c r="AP4" s="7" t="inlineStr">
        <is>
          <t>2028.12</t>
        </is>
      </c>
      <c r="AQ4" s="7" t="inlineStr">
        <is>
          <t>2029.03</t>
        </is>
      </c>
      <c r="AR4" s="7" t="inlineStr">
        <is>
          <t>2029.06</t>
        </is>
      </c>
      <c r="AS4" s="7" t="inlineStr">
        <is>
          <t>2029.09</t>
        </is>
      </c>
      <c r="AT4" s="7" t="inlineStr">
        <is>
          <t>2029.12</t>
        </is>
      </c>
      <c r="AU4" s="7" t="inlineStr">
        <is>
          <t>2030.03</t>
        </is>
      </c>
      <c r="AV4" s="7" t="inlineStr">
        <is>
          <t>2030.06</t>
        </is>
      </c>
      <c r="AW4" s="7" t="inlineStr">
        <is>
          <t>2019.12A</t>
        </is>
      </c>
      <c r="AX4" s="7" t="inlineStr">
        <is>
          <t>2020.12A</t>
        </is>
      </c>
      <c r="AY4" s="7" t="inlineStr">
        <is>
          <t>2021.12A</t>
        </is>
      </c>
      <c r="AZ4" s="7" t="inlineStr">
        <is>
          <t>2022.12A</t>
        </is>
      </c>
      <c r="BA4" s="7" t="inlineStr">
        <is>
          <t>2023.12A</t>
        </is>
      </c>
      <c r="BB4" s="7" t="inlineStr">
        <is>
          <t>2024.12A</t>
        </is>
      </c>
      <c r="BC4" s="7" t="inlineStr">
        <is>
          <t>2025.12A</t>
        </is>
      </c>
      <c r="BD4" s="7" t="inlineStr">
        <is>
          <t>2026.12A</t>
        </is>
      </c>
      <c r="BE4" s="7" t="inlineStr">
        <is>
          <t>2027.12A</t>
        </is>
      </c>
      <c r="BF4" s="7" t="inlineStr">
        <is>
          <t>2028.12A</t>
        </is>
      </c>
      <c r="BG4" s="7" t="inlineStr">
        <is>
          <t>2029.12A</t>
        </is>
      </c>
      <c r="BH4" s="7" t="inlineStr">
        <is>
          <t>2030.12A</t>
        </is>
      </c>
    </row>
    <row r="5">
      <c r="A5" s="12" t="inlineStr">
        <is>
          <t>usd_m</t>
        </is>
      </c>
      <c r="D5" t="inlineStr">
        <is>
          <t>매출인식 합계(백만$)</t>
        </is>
      </c>
      <c r="E5" s="27" t="n">
        <v>1.437</v>
      </c>
      <c r="F5" s="27" t="n">
        <v>4.722</v>
      </c>
      <c r="G5" s="27" t="n">
        <v>4.671</v>
      </c>
      <c r="H5" s="27" t="n">
        <v>4.671</v>
      </c>
      <c r="I5" s="27" t="n">
        <v>4.722</v>
      </c>
      <c r="J5" s="27" t="n">
        <v>4.722</v>
      </c>
      <c r="K5" s="27" t="n">
        <v>4.619</v>
      </c>
      <c r="L5" s="27" t="n">
        <v>34.199</v>
      </c>
      <c r="M5" s="27" t="n">
        <v>58.893</v>
      </c>
      <c r="N5" s="27" t="n">
        <v>67.289</v>
      </c>
      <c r="O5" s="27" t="n">
        <v>65.82599999999999</v>
      </c>
      <c r="P5" s="27" t="n">
        <v>66.557</v>
      </c>
      <c r="Q5" s="27" t="n">
        <v>67.289</v>
      </c>
      <c r="R5" s="27" t="n">
        <v>67.289</v>
      </c>
      <c r="S5" s="27" t="n">
        <v>65.82599999999999</v>
      </c>
      <c r="T5" s="27" t="n">
        <v>66.557</v>
      </c>
      <c r="U5" s="27" t="n">
        <v>67.289</v>
      </c>
      <c r="V5" s="27" t="n">
        <v>67.289</v>
      </c>
      <c r="W5" s="27" t="n">
        <v>66.557</v>
      </c>
      <c r="X5" s="27" t="n">
        <v>66.557</v>
      </c>
      <c r="Y5" s="27" t="n">
        <v>67.289</v>
      </c>
      <c r="Z5" s="27" t="n">
        <v>67.289</v>
      </c>
      <c r="AA5" s="27" t="n">
        <v>65.82599999999999</v>
      </c>
      <c r="AB5" s="27" t="n">
        <v>24.091</v>
      </c>
      <c r="AC5" s="27" t="n">
        <v>70.694</v>
      </c>
      <c r="AD5" s="27" t="n">
        <v>140.261</v>
      </c>
      <c r="AE5" s="27" t="n">
        <v>306.79</v>
      </c>
      <c r="AF5" s="27" t="n">
        <v>459.926</v>
      </c>
      <c r="AG5" s="27" t="n">
        <v>554.3200000000001</v>
      </c>
      <c r="AH5" s="27" t="n">
        <v>556.754</v>
      </c>
      <c r="AI5" s="27" t="n">
        <v>544.651</v>
      </c>
      <c r="AJ5" s="27" t="n">
        <v>550.702</v>
      </c>
      <c r="AK5" s="27" t="n">
        <v>552.756</v>
      </c>
      <c r="AL5" s="27" t="n">
        <v>544.494</v>
      </c>
      <c r="AM5" s="27" t="n">
        <v>538.576</v>
      </c>
      <c r="AN5" s="27" t="n">
        <v>534.432</v>
      </c>
      <c r="AO5" s="27" t="n">
        <v>506.379</v>
      </c>
      <c r="AP5" s="27" t="n">
        <v>466.438</v>
      </c>
      <c r="AQ5" s="27" t="n">
        <v>349.912</v>
      </c>
      <c r="AR5" s="27" t="n">
        <v>244.248</v>
      </c>
      <c r="AS5" s="27" t="n">
        <v>155.825</v>
      </c>
      <c r="AT5" s="27" t="n">
        <v>86.68899999999999</v>
      </c>
      <c r="AU5" s="27" t="n">
        <v>24.339</v>
      </c>
      <c r="AV5" s="27" t="n">
        <v>16.497</v>
      </c>
      <c r="AW5" s="27" t="n">
        <v>6.159</v>
      </c>
      <c r="AX5" s="27" t="n">
        <v>18.786</v>
      </c>
      <c r="AY5" s="27" t="n">
        <v>165</v>
      </c>
      <c r="AZ5" s="27" t="n">
        <v>266.961</v>
      </c>
      <c r="BA5" s="27" t="n">
        <v>266.961</v>
      </c>
      <c r="BB5" s="27" t="n">
        <v>267.692</v>
      </c>
      <c r="BC5" s="27" t="n">
        <v>300.872</v>
      </c>
      <c r="BD5" s="27" t="n">
        <v>1877.79</v>
      </c>
      <c r="BE5" s="27" t="n">
        <v>2192.603</v>
      </c>
      <c r="BF5" s="27" t="n">
        <v>2045.825</v>
      </c>
      <c r="BG5" s="27" t="n">
        <v>836.674</v>
      </c>
      <c r="BH5" s="27" t="n">
        <v>40.836</v>
      </c>
    </row>
    <row r="6">
      <c r="A6" s="12" t="inlineStr">
        <is>
          <t>marine_usd_m</t>
        </is>
      </c>
      <c r="D6" t="inlineStr">
        <is>
          <t>해양(type≠OTHER) 합계(백만$)</t>
        </is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29.528</v>
      </c>
      <c r="M6" s="27" t="n">
        <v>50.307</v>
      </c>
      <c r="N6" s="27" t="n">
        <v>50.307</v>
      </c>
      <c r="O6" s="27" t="n">
        <v>49.213</v>
      </c>
      <c r="P6" s="27" t="n">
        <v>49.76</v>
      </c>
      <c r="Q6" s="27" t="n">
        <v>50.307</v>
      </c>
      <c r="R6" s="27" t="n">
        <v>50.307</v>
      </c>
      <c r="S6" s="27" t="n">
        <v>49.213</v>
      </c>
      <c r="T6" s="27" t="n">
        <v>49.76</v>
      </c>
      <c r="U6" s="27" t="n">
        <v>50.307</v>
      </c>
      <c r="V6" s="27" t="n">
        <v>50.307</v>
      </c>
      <c r="W6" s="27" t="n">
        <v>49.76</v>
      </c>
      <c r="X6" s="27" t="n">
        <v>49.76</v>
      </c>
      <c r="Y6" s="27" t="n">
        <v>50.307</v>
      </c>
      <c r="Z6" s="27" t="n">
        <v>50.307</v>
      </c>
      <c r="AA6" s="27" t="n">
        <v>49.213</v>
      </c>
      <c r="AB6" s="27" t="n">
        <v>7.294</v>
      </c>
      <c r="AC6" s="27" t="n">
        <v>53.713</v>
      </c>
      <c r="AD6" s="27" t="n">
        <v>124.101</v>
      </c>
      <c r="AE6" s="27" t="n">
        <v>294.797</v>
      </c>
      <c r="AF6" s="27" t="n">
        <v>447.8</v>
      </c>
      <c r="AG6" s="27" t="n">
        <v>542.0599999999999</v>
      </c>
      <c r="AH6" s="27" t="n">
        <v>544.494</v>
      </c>
      <c r="AI6" s="27" t="n">
        <v>532.658</v>
      </c>
      <c r="AJ6" s="27" t="n">
        <v>538.576</v>
      </c>
      <c r="AK6" s="27" t="n">
        <v>544.494</v>
      </c>
      <c r="AL6" s="27" t="n">
        <v>544.494</v>
      </c>
      <c r="AM6" s="27" t="n">
        <v>538.576</v>
      </c>
      <c r="AN6" s="27" t="n">
        <v>534.432</v>
      </c>
      <c r="AO6" s="27" t="n">
        <v>506.379</v>
      </c>
      <c r="AP6" s="27" t="n">
        <v>466.438</v>
      </c>
      <c r="AQ6" s="27" t="n">
        <v>349.912</v>
      </c>
      <c r="AR6" s="27" t="n">
        <v>244.248</v>
      </c>
      <c r="AS6" s="27" t="n">
        <v>155.825</v>
      </c>
      <c r="AT6" s="27" t="n">
        <v>86.68899999999999</v>
      </c>
      <c r="AU6" s="27" t="n">
        <v>24.339</v>
      </c>
      <c r="AV6" s="27" t="n">
        <v>16.497</v>
      </c>
      <c r="AW6" s="27" t="n">
        <v>0</v>
      </c>
      <c r="AX6" s="27" t="n">
        <v>0</v>
      </c>
      <c r="AY6" s="27" t="n">
        <v>130.142</v>
      </c>
      <c r="AZ6" s="27" t="n">
        <v>199.587</v>
      </c>
      <c r="BA6" s="27" t="n">
        <v>199.587</v>
      </c>
      <c r="BB6" s="27" t="n">
        <v>200.134</v>
      </c>
      <c r="BC6" s="27" t="n">
        <v>234.321</v>
      </c>
      <c r="BD6" s="27" t="n">
        <v>1829.151</v>
      </c>
      <c r="BE6" s="27" t="n">
        <v>2160.222</v>
      </c>
      <c r="BF6" s="27" t="n">
        <v>2045.825</v>
      </c>
      <c r="BG6" s="27" t="n">
        <v>836.674</v>
      </c>
      <c r="BH6" s="27" t="n">
        <v>40.836</v>
      </c>
    </row>
    <row r="7">
      <c r="A7" s="12" t="inlineStr">
        <is>
          <t>type:OTHER</t>
        </is>
      </c>
      <c r="D7" t="inlineStr">
        <is>
          <t>선종 OTHER</t>
        </is>
      </c>
      <c r="E7" s="27" t="n">
        <v>1.437</v>
      </c>
      <c r="F7" s="27" t="n">
        <v>4.722</v>
      </c>
      <c r="G7" s="27" t="n">
        <v>4.671</v>
      </c>
      <c r="H7" s="27" t="n">
        <v>4.671</v>
      </c>
      <c r="I7" s="27" t="n">
        <v>4.722</v>
      </c>
      <c r="J7" s="27" t="n">
        <v>4.722</v>
      </c>
      <c r="K7" s="27" t="n">
        <v>4.619</v>
      </c>
      <c r="L7" s="27" t="n">
        <v>4.671</v>
      </c>
      <c r="M7" s="27" t="n">
        <v>8.586</v>
      </c>
      <c r="N7" s="27" t="n">
        <v>16.982</v>
      </c>
      <c r="O7" s="27" t="n">
        <v>16.612</v>
      </c>
      <c r="P7" s="27" t="n">
        <v>16.797</v>
      </c>
      <c r="Q7" s="27" t="n">
        <v>16.982</v>
      </c>
      <c r="R7" s="27" t="n">
        <v>16.982</v>
      </c>
      <c r="S7" s="27" t="n">
        <v>16.612</v>
      </c>
      <c r="T7" s="27" t="n">
        <v>16.797</v>
      </c>
      <c r="U7" s="27" t="n">
        <v>16.982</v>
      </c>
      <c r="V7" s="27" t="n">
        <v>16.982</v>
      </c>
      <c r="W7" s="27" t="n">
        <v>16.797</v>
      </c>
      <c r="X7" s="27" t="n">
        <v>16.797</v>
      </c>
      <c r="Y7" s="27" t="n">
        <v>16.982</v>
      </c>
      <c r="Z7" s="27" t="n">
        <v>16.982</v>
      </c>
      <c r="AA7" s="27" t="n">
        <v>16.612</v>
      </c>
      <c r="AB7" s="27" t="n">
        <v>16.797</v>
      </c>
      <c r="AC7" s="27" t="n">
        <v>16.982</v>
      </c>
      <c r="AD7" s="27" t="n">
        <v>16.16</v>
      </c>
      <c r="AE7" s="27" t="n">
        <v>11.993</v>
      </c>
      <c r="AF7" s="27" t="n">
        <v>12.126</v>
      </c>
      <c r="AG7" s="27" t="n">
        <v>12.26</v>
      </c>
      <c r="AH7" s="27" t="n">
        <v>12.26</v>
      </c>
      <c r="AI7" s="27" t="n">
        <v>11.993</v>
      </c>
      <c r="AJ7" s="27" t="n">
        <v>12.126</v>
      </c>
      <c r="AK7" s="27" t="n">
        <v>8.262</v>
      </c>
      <c r="AW7" s="27" t="n">
        <v>6.159</v>
      </c>
      <c r="AX7" s="27" t="n">
        <v>18.786</v>
      </c>
      <c r="AY7" s="27" t="n">
        <v>34.858</v>
      </c>
      <c r="AZ7" s="27" t="n">
        <v>67.373</v>
      </c>
      <c r="BA7" s="27" t="n">
        <v>67.373</v>
      </c>
      <c r="BB7" s="27" t="n">
        <v>67.55800000000001</v>
      </c>
      <c r="BC7" s="27" t="n">
        <v>66.551</v>
      </c>
      <c r="BD7" s="27" t="n">
        <v>48.639</v>
      </c>
      <c r="BE7" s="27" t="n">
        <v>32.381</v>
      </c>
    </row>
    <row r="8">
      <c r="A8" s="12" t="inlineStr">
        <is>
          <t>type:OFFSH</t>
        </is>
      </c>
      <c r="D8" t="inlineStr">
        <is>
          <t>선종 OFFSH</t>
        </is>
      </c>
      <c r="L8" s="27" t="n">
        <v>29.528</v>
      </c>
      <c r="M8" s="27" t="n">
        <v>50.307</v>
      </c>
      <c r="N8" s="27" t="n">
        <v>50.307</v>
      </c>
      <c r="O8" s="27" t="n">
        <v>49.213</v>
      </c>
      <c r="P8" s="27" t="n">
        <v>49.76</v>
      </c>
      <c r="Q8" s="27" t="n">
        <v>50.307</v>
      </c>
      <c r="R8" s="27" t="n">
        <v>50.307</v>
      </c>
      <c r="S8" s="27" t="n">
        <v>49.213</v>
      </c>
      <c r="T8" s="27" t="n">
        <v>49.76</v>
      </c>
      <c r="U8" s="27" t="n">
        <v>50.307</v>
      </c>
      <c r="V8" s="27" t="n">
        <v>50.307</v>
      </c>
      <c r="W8" s="27" t="n">
        <v>49.76</v>
      </c>
      <c r="X8" s="27" t="n">
        <v>49.76</v>
      </c>
      <c r="Y8" s="27" t="n">
        <v>50.307</v>
      </c>
      <c r="Z8" s="27" t="n">
        <v>50.307</v>
      </c>
      <c r="AA8" s="27" t="n">
        <v>49.213</v>
      </c>
      <c r="AB8" s="27" t="n">
        <v>4.375</v>
      </c>
      <c r="AY8" s="27" t="n">
        <v>130.142</v>
      </c>
      <c r="AZ8" s="27" t="n">
        <v>199.587</v>
      </c>
      <c r="BA8" s="27" t="n">
        <v>199.587</v>
      </c>
      <c r="BB8" s="27" t="n">
        <v>200.134</v>
      </c>
      <c r="BC8" s="27" t="n">
        <v>53.588</v>
      </c>
    </row>
    <row r="9">
      <c r="A9" s="12" t="inlineStr">
        <is>
          <t>type:LNGC</t>
        </is>
      </c>
      <c r="D9" t="inlineStr">
        <is>
          <t>선종 LNGC</t>
        </is>
      </c>
      <c r="AB9" s="27" t="n">
        <v>2.919</v>
      </c>
      <c r="AC9" s="27" t="n">
        <v>53.713</v>
      </c>
      <c r="AD9" s="27" t="n">
        <v>60.682</v>
      </c>
      <c r="AE9" s="27" t="n">
        <v>89.625</v>
      </c>
      <c r="AF9" s="27" t="n">
        <v>154.335</v>
      </c>
      <c r="AG9" s="27" t="n">
        <v>176.152</v>
      </c>
      <c r="AH9" s="27" t="n">
        <v>176.152</v>
      </c>
      <c r="AI9" s="27" t="n">
        <v>172.322</v>
      </c>
      <c r="AJ9" s="27" t="n">
        <v>174.237</v>
      </c>
      <c r="AK9" s="27" t="n">
        <v>176.152</v>
      </c>
      <c r="AL9" s="27" t="n">
        <v>176.152</v>
      </c>
      <c r="AM9" s="27" t="n">
        <v>174.237</v>
      </c>
      <c r="AN9" s="27" t="n">
        <v>174.237</v>
      </c>
      <c r="AO9" s="27" t="n">
        <v>150.746</v>
      </c>
      <c r="AP9" s="27" t="n">
        <v>150.746</v>
      </c>
      <c r="AQ9" s="27" t="n">
        <v>93.956</v>
      </c>
      <c r="AR9" s="27" t="n">
        <v>75.51900000000001</v>
      </c>
      <c r="AS9" s="27" t="n">
        <v>46.123</v>
      </c>
      <c r="BC9" s="27" t="n">
        <v>117.314</v>
      </c>
      <c r="BD9" s="27" t="n">
        <v>596.264</v>
      </c>
      <c r="BE9" s="27" t="n">
        <v>698.8630000000001</v>
      </c>
      <c r="BF9" s="27" t="n">
        <v>649.966</v>
      </c>
      <c r="BG9" s="27" t="n">
        <v>215.598</v>
      </c>
    </row>
    <row r="10">
      <c r="A10" s="12" t="inlineStr">
        <is>
          <t>type:CONT</t>
        </is>
      </c>
      <c r="D10" t="inlineStr">
        <is>
          <t>선종 CONT</t>
        </is>
      </c>
      <c r="AD10" s="27" t="n">
        <v>42.327</v>
      </c>
      <c r="AE10" s="27" t="n">
        <v>119.295</v>
      </c>
      <c r="AF10" s="27" t="n">
        <v>120.621</v>
      </c>
      <c r="AG10" s="27" t="n">
        <v>121.946</v>
      </c>
      <c r="AH10" s="27" t="n">
        <v>121.946</v>
      </c>
      <c r="AI10" s="27" t="n">
        <v>119.295</v>
      </c>
      <c r="AJ10" s="27" t="n">
        <v>120.621</v>
      </c>
      <c r="AK10" s="27" t="n">
        <v>121.946</v>
      </c>
      <c r="AL10" s="27" t="n">
        <v>121.946</v>
      </c>
      <c r="AM10" s="27" t="n">
        <v>120.621</v>
      </c>
      <c r="AN10" s="27" t="n">
        <v>120.621</v>
      </c>
      <c r="AO10" s="27" t="n">
        <v>121.946</v>
      </c>
      <c r="AP10" s="27" t="n">
        <v>103.696</v>
      </c>
      <c r="AQ10" s="27" t="n">
        <v>79.233</v>
      </c>
      <c r="AR10" s="27" t="n">
        <v>26.411</v>
      </c>
      <c r="BC10" s="27" t="n">
        <v>42.327</v>
      </c>
      <c r="BD10" s="27" t="n">
        <v>483.808</v>
      </c>
      <c r="BE10" s="27" t="n">
        <v>483.808</v>
      </c>
      <c r="BF10" s="27" t="n">
        <v>466.884</v>
      </c>
      <c r="BG10" s="27" t="n">
        <v>105.644</v>
      </c>
    </row>
    <row r="11">
      <c r="A11" s="12" t="inlineStr">
        <is>
          <t>type:VLCC</t>
        </is>
      </c>
      <c r="D11" t="inlineStr">
        <is>
          <t>선종 VLCC</t>
        </is>
      </c>
      <c r="AD11" s="27" t="n">
        <v>21.092</v>
      </c>
      <c r="AE11" s="27" t="n">
        <v>70.181</v>
      </c>
      <c r="AF11" s="27" t="n">
        <v>80.62</v>
      </c>
      <c r="AG11" s="27" t="n">
        <v>81.506</v>
      </c>
      <c r="AH11" s="27" t="n">
        <v>81.506</v>
      </c>
      <c r="AI11" s="27" t="n">
        <v>79.73399999999999</v>
      </c>
      <c r="AJ11" s="27" t="n">
        <v>80.62</v>
      </c>
      <c r="AK11" s="27" t="n">
        <v>81.506</v>
      </c>
      <c r="AL11" s="27" t="n">
        <v>81.506</v>
      </c>
      <c r="AM11" s="27" t="n">
        <v>80.62</v>
      </c>
      <c r="AN11" s="27" t="n">
        <v>80.62</v>
      </c>
      <c r="AO11" s="27" t="n">
        <v>81.506</v>
      </c>
      <c r="AP11" s="27" t="n">
        <v>60.267</v>
      </c>
      <c r="AQ11" s="27" t="n">
        <v>48.398</v>
      </c>
      <c r="AR11" s="27" t="n">
        <v>44.387</v>
      </c>
      <c r="AS11" s="27" t="n">
        <v>16.99</v>
      </c>
      <c r="BC11" s="27" t="n">
        <v>21.092</v>
      </c>
      <c r="BD11" s="27" t="n">
        <v>313.813</v>
      </c>
      <c r="BE11" s="27" t="n">
        <v>323.366</v>
      </c>
      <c r="BF11" s="27" t="n">
        <v>303.013</v>
      </c>
      <c r="BG11" s="27" t="n">
        <v>109.775</v>
      </c>
    </row>
    <row r="12">
      <c r="A12" s="12" t="inlineStr">
        <is>
          <t>type:VLGC</t>
        </is>
      </c>
      <c r="D12" t="inlineStr">
        <is>
          <t>선종 VLGC</t>
        </is>
      </c>
      <c r="AE12" s="27" t="n">
        <v>15.695</v>
      </c>
      <c r="AF12" s="27" t="n">
        <v>92.22499999999999</v>
      </c>
      <c r="AG12" s="27" t="n">
        <v>162.457</v>
      </c>
      <c r="AH12" s="27" t="n">
        <v>164.891</v>
      </c>
      <c r="AI12" s="27" t="n">
        <v>161.306</v>
      </c>
      <c r="AJ12" s="27" t="n">
        <v>163.099</v>
      </c>
      <c r="AK12" s="27" t="n">
        <v>164.891</v>
      </c>
      <c r="AL12" s="27" t="n">
        <v>164.891</v>
      </c>
      <c r="AM12" s="27" t="n">
        <v>163.099</v>
      </c>
      <c r="AN12" s="27" t="n">
        <v>158.955</v>
      </c>
      <c r="AO12" s="27" t="n">
        <v>152.182</v>
      </c>
      <c r="AP12" s="27" t="n">
        <v>151.73</v>
      </c>
      <c r="AQ12" s="27" t="n">
        <v>128.326</v>
      </c>
      <c r="AR12" s="27" t="n">
        <v>97.931</v>
      </c>
      <c r="AS12" s="27" t="n">
        <v>92.71299999999999</v>
      </c>
      <c r="AT12" s="27" t="n">
        <v>86.68899999999999</v>
      </c>
      <c r="AU12" s="27" t="n">
        <v>24.339</v>
      </c>
      <c r="AV12" s="27" t="n">
        <v>16.497</v>
      </c>
      <c r="BD12" s="27" t="n">
        <v>435.268</v>
      </c>
      <c r="BE12" s="27" t="n">
        <v>654.187</v>
      </c>
      <c r="BF12" s="27" t="n">
        <v>625.966</v>
      </c>
      <c r="BG12" s="27" t="n">
        <v>405.659</v>
      </c>
      <c r="BH12" s="27" t="n">
        <v>40.836</v>
      </c>
    </row>
    <row r="13">
      <c r="A13" s="12" t="inlineStr">
        <is>
          <t>cohort:등급없음</t>
        </is>
      </c>
      <c r="D13" t="inlineStr">
        <is>
          <t>코호트 등급없음</t>
        </is>
      </c>
      <c r="E13" s="27" t="n">
        <v>1.437</v>
      </c>
      <c r="F13" s="27" t="n">
        <v>4.722</v>
      </c>
      <c r="G13" s="27" t="n">
        <v>4.671</v>
      </c>
      <c r="H13" s="27" t="n">
        <v>4.671</v>
      </c>
      <c r="I13" s="27" t="n">
        <v>4.722</v>
      </c>
      <c r="J13" s="27" t="n">
        <v>4.722</v>
      </c>
      <c r="K13" s="27" t="n">
        <v>4.619</v>
      </c>
      <c r="L13" s="27" t="n">
        <v>4.671</v>
      </c>
      <c r="M13" s="27" t="n">
        <v>8.586</v>
      </c>
      <c r="N13" s="27" t="n">
        <v>16.982</v>
      </c>
      <c r="O13" s="27" t="n">
        <v>16.612</v>
      </c>
      <c r="P13" s="27" t="n">
        <v>16.797</v>
      </c>
      <c r="Q13" s="27" t="n">
        <v>16.982</v>
      </c>
      <c r="R13" s="27" t="n">
        <v>16.982</v>
      </c>
      <c r="S13" s="27" t="n">
        <v>16.612</v>
      </c>
      <c r="T13" s="27" t="n">
        <v>16.797</v>
      </c>
      <c r="U13" s="27" t="n">
        <v>16.982</v>
      </c>
      <c r="V13" s="27" t="n">
        <v>16.982</v>
      </c>
      <c r="W13" s="27" t="n">
        <v>16.797</v>
      </c>
      <c r="X13" s="27" t="n">
        <v>16.797</v>
      </c>
      <c r="Y13" s="27" t="n">
        <v>16.982</v>
      </c>
      <c r="Z13" s="27" t="n">
        <v>16.982</v>
      </c>
      <c r="AA13" s="27" t="n">
        <v>16.612</v>
      </c>
      <c r="AB13" s="27" t="n">
        <v>16.797</v>
      </c>
      <c r="AC13" s="27" t="n">
        <v>16.982</v>
      </c>
      <c r="AD13" s="27" t="n">
        <v>16.16</v>
      </c>
      <c r="AE13" s="27" t="n">
        <v>11.993</v>
      </c>
      <c r="AF13" s="27" t="n">
        <v>12.126</v>
      </c>
      <c r="AG13" s="27" t="n">
        <v>12.26</v>
      </c>
      <c r="AH13" s="27" t="n">
        <v>12.26</v>
      </c>
      <c r="AI13" s="27" t="n">
        <v>11.993</v>
      </c>
      <c r="AJ13" s="27" t="n">
        <v>12.126</v>
      </c>
      <c r="AK13" s="27" t="n">
        <v>8.262</v>
      </c>
      <c r="AW13" s="27" t="n">
        <v>6.159</v>
      </c>
      <c r="AX13" s="27" t="n">
        <v>18.786</v>
      </c>
      <c r="AY13" s="27" t="n">
        <v>34.858</v>
      </c>
      <c r="AZ13" s="27" t="n">
        <v>67.373</v>
      </c>
      <c r="BA13" s="27" t="n">
        <v>67.373</v>
      </c>
      <c r="BB13" s="27" t="n">
        <v>67.55800000000001</v>
      </c>
      <c r="BC13" s="27" t="n">
        <v>66.551</v>
      </c>
      <c r="BD13" s="27" t="n">
        <v>48.639</v>
      </c>
      <c r="BE13" s="27" t="n">
        <v>32.381</v>
      </c>
    </row>
    <row r="14">
      <c r="A14" s="12" t="inlineStr">
        <is>
          <t>cohort:④호황</t>
        </is>
      </c>
      <c r="D14" t="inlineStr">
        <is>
          <t>코호트 ④호황</t>
        </is>
      </c>
      <c r="L14" s="27" t="n">
        <v>29.528</v>
      </c>
      <c r="M14" s="27" t="n">
        <v>50.307</v>
      </c>
      <c r="N14" s="27" t="n">
        <v>50.307</v>
      </c>
      <c r="O14" s="27" t="n">
        <v>49.213</v>
      </c>
      <c r="P14" s="27" t="n">
        <v>49.76</v>
      </c>
      <c r="Q14" s="27" t="n">
        <v>50.307</v>
      </c>
      <c r="R14" s="27" t="n">
        <v>50.307</v>
      </c>
      <c r="S14" s="27" t="n">
        <v>49.213</v>
      </c>
      <c r="T14" s="27" t="n">
        <v>49.76</v>
      </c>
      <c r="U14" s="27" t="n">
        <v>50.307</v>
      </c>
      <c r="V14" s="27" t="n">
        <v>50.307</v>
      </c>
      <c r="W14" s="27" t="n">
        <v>49.76</v>
      </c>
      <c r="X14" s="27" t="n">
        <v>49.76</v>
      </c>
      <c r="Y14" s="27" t="n">
        <v>50.307</v>
      </c>
      <c r="Z14" s="27" t="n">
        <v>50.307</v>
      </c>
      <c r="AA14" s="27" t="n">
        <v>49.213</v>
      </c>
      <c r="AB14" s="27" t="n">
        <v>4.375</v>
      </c>
      <c r="AY14" s="27" t="n">
        <v>130.142</v>
      </c>
      <c r="AZ14" s="27" t="n">
        <v>199.587</v>
      </c>
      <c r="BA14" s="27" t="n">
        <v>199.587</v>
      </c>
      <c r="BB14" s="27" t="n">
        <v>200.134</v>
      </c>
      <c r="BC14" s="27" t="n">
        <v>53.588</v>
      </c>
    </row>
    <row r="15">
      <c r="A15" s="12" t="inlineStr">
        <is>
          <t>cohort:⑤초호황</t>
        </is>
      </c>
      <c r="D15" t="inlineStr">
        <is>
          <t>코호트 ⑤초호황</t>
        </is>
      </c>
      <c r="AB15" s="27" t="n">
        <v>2.919</v>
      </c>
      <c r="AC15" s="27" t="n">
        <v>53.713</v>
      </c>
      <c r="AD15" s="27" t="n">
        <v>124.101</v>
      </c>
      <c r="AE15" s="27" t="n">
        <v>294.797</v>
      </c>
      <c r="AF15" s="27" t="n">
        <v>447.8</v>
      </c>
      <c r="AG15" s="27" t="n">
        <v>542.0599999999999</v>
      </c>
      <c r="AH15" s="27" t="n">
        <v>544.494</v>
      </c>
      <c r="AI15" s="27" t="n">
        <v>532.658</v>
      </c>
      <c r="AJ15" s="27" t="n">
        <v>538.576</v>
      </c>
      <c r="AK15" s="27" t="n">
        <v>544.494</v>
      </c>
      <c r="AL15" s="27" t="n">
        <v>544.494</v>
      </c>
      <c r="AM15" s="27" t="n">
        <v>538.576</v>
      </c>
      <c r="AN15" s="27" t="n">
        <v>534.432</v>
      </c>
      <c r="AO15" s="27" t="n">
        <v>506.379</v>
      </c>
      <c r="AP15" s="27" t="n">
        <v>466.438</v>
      </c>
      <c r="AQ15" s="27" t="n">
        <v>349.912</v>
      </c>
      <c r="AR15" s="27" t="n">
        <v>244.248</v>
      </c>
      <c r="AS15" s="27" t="n">
        <v>155.825</v>
      </c>
      <c r="AT15" s="27" t="n">
        <v>86.68899999999999</v>
      </c>
      <c r="AU15" s="27" t="n">
        <v>24.339</v>
      </c>
      <c r="AV15" s="27" t="n">
        <v>16.497</v>
      </c>
      <c r="BC15" s="27" t="n">
        <v>180.733</v>
      </c>
      <c r="BD15" s="27" t="n">
        <v>1829.151</v>
      </c>
      <c r="BE15" s="27" t="n">
        <v>2160.222</v>
      </c>
      <c r="BF15" s="27" t="n">
        <v>2045.825</v>
      </c>
      <c r="BG15" s="27" t="n">
        <v>836.674</v>
      </c>
      <c r="BH15" s="27" t="n">
        <v>40.836</v>
      </c>
    </row>
    <row r="16">
      <c r="A16" s="12" t="inlineStr">
        <is>
          <t>hedge_ratio</t>
        </is>
      </c>
      <c r="D16" t="inlineStr">
        <is>
          <t>헤지비율</t>
        </is>
      </c>
      <c r="E16" s="21" t="n">
        <v>0.7</v>
      </c>
      <c r="F16" s="21" t="n">
        <v>0.7</v>
      </c>
      <c r="G16" s="21" t="n">
        <v>0.7</v>
      </c>
      <c r="H16" s="21" t="n">
        <v>0.7</v>
      </c>
      <c r="I16" s="21" t="n">
        <v>0.7</v>
      </c>
      <c r="J16" s="21" t="n">
        <v>0.7</v>
      </c>
      <c r="K16" s="21" t="n">
        <v>0.7</v>
      </c>
      <c r="L16" s="21" t="n">
        <v>0.7</v>
      </c>
      <c r="M16" s="21" t="n">
        <v>0.7</v>
      </c>
      <c r="N16" s="21" t="n">
        <v>0.7</v>
      </c>
      <c r="O16" s="21" t="n">
        <v>0.7</v>
      </c>
      <c r="P16" s="21" t="n">
        <v>0.7</v>
      </c>
      <c r="Q16" s="21" t="n">
        <v>0.7</v>
      </c>
      <c r="R16" s="21" t="n">
        <v>0.7</v>
      </c>
      <c r="S16" s="21" t="n">
        <v>0.7</v>
      </c>
      <c r="T16" s="21" t="n">
        <v>0.7</v>
      </c>
      <c r="U16" s="21" t="n">
        <v>0.7</v>
      </c>
      <c r="V16" s="21" t="n">
        <v>0.7</v>
      </c>
      <c r="W16" s="21" t="n">
        <v>0.7</v>
      </c>
      <c r="X16" s="21" t="n">
        <v>0.7</v>
      </c>
      <c r="Y16" s="21" t="n">
        <v>0.7</v>
      </c>
      <c r="Z16" s="21" t="n">
        <v>0.7</v>
      </c>
      <c r="AA16" s="21" t="n">
        <v>0.7</v>
      </c>
      <c r="AB16" s="21" t="n">
        <v>0.7</v>
      </c>
      <c r="AC16" s="21" t="n">
        <v>0.7</v>
      </c>
      <c r="AD16" s="21" t="n">
        <v>0.7</v>
      </c>
      <c r="AE16" s="21" t="n">
        <v>0.7</v>
      </c>
      <c r="AF16" s="21" t="n">
        <v>0.7</v>
      </c>
      <c r="AG16" s="21" t="n">
        <v>0.7</v>
      </c>
      <c r="AH16" s="21" t="n">
        <v>0.7</v>
      </c>
      <c r="AI16" s="21" t="n">
        <v>0.7</v>
      </c>
      <c r="AJ16" s="21" t="n">
        <v>0.7</v>
      </c>
      <c r="AK16" s="21" t="n">
        <v>0.7</v>
      </c>
      <c r="AL16" s="21" t="n">
        <v>0.7</v>
      </c>
      <c r="AM16" s="21" t="n">
        <v>0.7</v>
      </c>
      <c r="AN16" s="21" t="n">
        <v>0.7</v>
      </c>
      <c r="AO16" s="21" t="n">
        <v>0.7</v>
      </c>
      <c r="AP16" s="21" t="n">
        <v>0.7</v>
      </c>
      <c r="AQ16" s="21" t="n">
        <v>0.7</v>
      </c>
      <c r="AR16" s="21" t="n">
        <v>0.7</v>
      </c>
      <c r="AS16" s="21" t="n">
        <v>0.7</v>
      </c>
      <c r="AT16" s="21" t="n">
        <v>0.7</v>
      </c>
      <c r="AU16" s="21" t="n">
        <v>0.7</v>
      </c>
      <c r="AV16" s="21" t="n">
        <v>0.7</v>
      </c>
    </row>
    <row r="17">
      <c r="A17" s="12" t="inlineStr">
        <is>
          <t>hedge_rate</t>
        </is>
      </c>
      <c r="D17" t="inlineStr">
        <is>
          <t>헤지환율(가중)</t>
        </is>
      </c>
      <c r="E17" s="13" t="n">
        <v>1193.96</v>
      </c>
      <c r="F17" s="13" t="n">
        <v>1193.96</v>
      </c>
      <c r="G17" s="13" t="n">
        <v>1193.96</v>
      </c>
      <c r="H17" s="13" t="n">
        <v>1193.96</v>
      </c>
      <c r="I17" s="13" t="n">
        <v>1193.96</v>
      </c>
      <c r="J17" s="13" t="n">
        <v>1193.96</v>
      </c>
      <c r="K17" s="13" t="n">
        <v>1193.96</v>
      </c>
      <c r="L17" s="13" t="n">
        <v>1131.31</v>
      </c>
      <c r="M17" s="13" t="n">
        <v>1129.74</v>
      </c>
      <c r="N17" s="13" t="n">
        <v>1133.51</v>
      </c>
      <c r="O17" s="13" t="n">
        <v>1133.51</v>
      </c>
      <c r="P17" s="13" t="n">
        <v>1133.51</v>
      </c>
      <c r="Q17" s="13" t="n">
        <v>1133.51</v>
      </c>
      <c r="R17" s="13" t="n">
        <v>1133.51</v>
      </c>
      <c r="S17" s="13" t="n">
        <v>1133.51</v>
      </c>
      <c r="T17" s="13" t="n">
        <v>1133.51</v>
      </c>
      <c r="U17" s="13" t="n">
        <v>1133.51</v>
      </c>
      <c r="V17" s="13" t="n">
        <v>1133.51</v>
      </c>
      <c r="W17" s="13" t="n">
        <v>1133.51</v>
      </c>
      <c r="X17" s="13" t="n">
        <v>1133.51</v>
      </c>
      <c r="Y17" s="13" t="n">
        <v>1133.51</v>
      </c>
      <c r="Z17" s="13" t="n">
        <v>1133.51</v>
      </c>
      <c r="AA17" s="13" t="n">
        <v>1133.51</v>
      </c>
      <c r="AB17" s="13" t="n">
        <v>1183.87</v>
      </c>
      <c r="AC17" s="13" t="n">
        <v>1314.89</v>
      </c>
      <c r="AD17" s="13" t="n">
        <v>1383</v>
      </c>
      <c r="AE17" s="13" t="n">
        <v>1424.78</v>
      </c>
      <c r="AF17" s="13" t="n">
        <v>1447.13</v>
      </c>
      <c r="AG17" s="13" t="n">
        <v>1452.57</v>
      </c>
      <c r="AH17" s="13" t="n">
        <v>1452.42</v>
      </c>
      <c r="AI17" s="13" t="n">
        <v>1452.42</v>
      </c>
      <c r="AJ17" s="13" t="n">
        <v>1452.42</v>
      </c>
      <c r="AK17" s="13" t="n">
        <v>1454.54</v>
      </c>
      <c r="AL17" s="13" t="n">
        <v>1459.01</v>
      </c>
      <c r="AM17" s="13" t="n">
        <v>1459.01</v>
      </c>
      <c r="AN17" s="13" t="n">
        <v>1458.95</v>
      </c>
      <c r="AO17" s="13" t="n">
        <v>1458.47</v>
      </c>
      <c r="AP17" s="13" t="n">
        <v>1459.25</v>
      </c>
      <c r="AQ17" s="13" t="n">
        <v>1469.71</v>
      </c>
      <c r="AR17" s="13" t="n">
        <v>1478.79</v>
      </c>
      <c r="AS17" s="13" t="n">
        <v>1482.77</v>
      </c>
      <c r="AT17" s="13" t="n">
        <v>1477.93</v>
      </c>
      <c r="AU17" s="13" t="n">
        <v>1418.75</v>
      </c>
      <c r="AV17" s="13" t="n">
        <v>1418.75</v>
      </c>
    </row>
    <row r="18">
      <c r="A18" s="12" t="inlineStr">
        <is>
          <t>spot_assumed</t>
        </is>
      </c>
      <c r="D18" t="inlineStr">
        <is>
          <t>건조시점 환율(sls 가정)</t>
        </is>
      </c>
      <c r="E18" s="13" t="n">
        <v>1193.96</v>
      </c>
      <c r="F18" s="13" t="n">
        <v>1176.23</v>
      </c>
      <c r="G18" s="13" t="n">
        <v>1193.92</v>
      </c>
      <c r="H18" s="13" t="n">
        <v>1219.69</v>
      </c>
      <c r="I18" s="13" t="n">
        <v>1187.81</v>
      </c>
      <c r="J18" s="13" t="n">
        <v>1117.97</v>
      </c>
      <c r="K18" s="13" t="n">
        <v>1114.99</v>
      </c>
      <c r="L18" s="13" t="n">
        <v>1121.13</v>
      </c>
      <c r="M18" s="13" t="n">
        <v>1159.91</v>
      </c>
      <c r="N18" s="13" t="n">
        <v>1183.5</v>
      </c>
      <c r="O18" s="13" t="n">
        <v>1205.78</v>
      </c>
      <c r="P18" s="13" t="n">
        <v>1262.09</v>
      </c>
      <c r="Q18" s="13" t="n">
        <v>1341.93</v>
      </c>
      <c r="R18" s="13" t="n">
        <v>1360.12</v>
      </c>
      <c r="S18" s="13" t="n">
        <v>1276.95</v>
      </c>
      <c r="T18" s="13" t="n">
        <v>1315.69</v>
      </c>
      <c r="U18" s="13" t="n">
        <v>1313.62</v>
      </c>
      <c r="V18" s="13" t="n">
        <v>1322.01</v>
      </c>
      <c r="W18" s="13" t="n">
        <v>1330.14</v>
      </c>
      <c r="X18" s="13" t="n">
        <v>1371.28</v>
      </c>
      <c r="Y18" s="13" t="n">
        <v>1356.22</v>
      </c>
      <c r="Z18" s="13" t="n">
        <v>1396.3</v>
      </c>
      <c r="AA18" s="13" t="n">
        <v>1452.28</v>
      </c>
      <c r="AB18" s="13" t="n">
        <v>1398.52</v>
      </c>
      <c r="AC18" s="13" t="n">
        <v>1386.95</v>
      </c>
      <c r="AD18" s="13" t="n">
        <v>1449.19</v>
      </c>
      <c r="AE18" s="13" t="n">
        <v>1466.12</v>
      </c>
      <c r="AF18" s="13" t="n">
        <v>1501.75</v>
      </c>
      <c r="AG18" s="13" t="n">
        <v>1418.75</v>
      </c>
      <c r="AH18" s="13" t="n">
        <v>1345.14</v>
      </c>
      <c r="AI18" s="13" t="n">
        <v>1341.49</v>
      </c>
      <c r="AJ18" s="13" t="n">
        <v>1341.49</v>
      </c>
      <c r="AK18" s="13" t="n">
        <v>1341.49</v>
      </c>
      <c r="AL18" s="13" t="n">
        <v>1341.49</v>
      </c>
      <c r="AM18" s="13" t="n">
        <v>1341.49</v>
      </c>
      <c r="AN18" s="13" t="n">
        <v>1341.49</v>
      </c>
      <c r="AO18" s="13" t="n">
        <v>1341.49</v>
      </c>
      <c r="AP18" s="13" t="n">
        <v>1341.49</v>
      </c>
      <c r="AQ18" s="13" t="n">
        <v>1341.49</v>
      </c>
      <c r="AR18" s="13" t="n">
        <v>1341.49</v>
      </c>
      <c r="AS18" s="13" t="n">
        <v>1341.49</v>
      </c>
      <c r="AT18" s="13" t="n">
        <v>1341.49</v>
      </c>
      <c r="AU18" s="13" t="n">
        <v>1341.49</v>
      </c>
      <c r="AV18" s="13" t="n">
        <v>1341.49</v>
      </c>
    </row>
    <row r="19">
      <c r="A19" s="12" t="inlineStr">
        <is>
          <t>applied_rate</t>
        </is>
      </c>
      <c r="D19" t="inlineStr">
        <is>
          <t>적용환율</t>
        </is>
      </c>
      <c r="E19" s="13" t="n">
        <v>1193.96</v>
      </c>
      <c r="F19" s="13" t="n">
        <v>1188.64</v>
      </c>
      <c r="G19" s="13" t="n">
        <v>1193.95</v>
      </c>
      <c r="H19" s="13" t="n">
        <v>1201.68</v>
      </c>
      <c r="I19" s="13" t="n">
        <v>1192.12</v>
      </c>
      <c r="J19" s="13" t="n">
        <v>1171.16</v>
      </c>
      <c r="K19" s="13" t="n">
        <v>1170.27</v>
      </c>
      <c r="L19" s="13" t="n">
        <v>1128.26</v>
      </c>
      <c r="M19" s="13" t="n">
        <v>1138.79</v>
      </c>
      <c r="N19" s="13" t="n">
        <v>1148.51</v>
      </c>
      <c r="O19" s="13" t="n">
        <v>1155.19</v>
      </c>
      <c r="P19" s="13" t="n">
        <v>1172.08</v>
      </c>
      <c r="Q19" s="13" t="n">
        <v>1196.03</v>
      </c>
      <c r="R19" s="13" t="n">
        <v>1201.49</v>
      </c>
      <c r="S19" s="13" t="n">
        <v>1176.54</v>
      </c>
      <c r="T19" s="13" t="n">
        <v>1188.16</v>
      </c>
      <c r="U19" s="13" t="n">
        <v>1187.54</v>
      </c>
      <c r="V19" s="13" t="n">
        <v>1190.06</v>
      </c>
      <c r="W19" s="13" t="n">
        <v>1192.5</v>
      </c>
      <c r="X19" s="13" t="n">
        <v>1204.84</v>
      </c>
      <c r="Y19" s="13" t="n">
        <v>1200.32</v>
      </c>
      <c r="Z19" s="13" t="n">
        <v>1212.35</v>
      </c>
      <c r="AA19" s="13" t="n">
        <v>1229.14</v>
      </c>
      <c r="AB19" s="13" t="n">
        <v>1248.27</v>
      </c>
      <c r="AC19" s="13" t="n">
        <v>1336.51</v>
      </c>
      <c r="AD19" s="13" t="n">
        <v>1402.85</v>
      </c>
      <c r="AE19" s="13" t="n">
        <v>1437.18</v>
      </c>
      <c r="AF19" s="13" t="n">
        <v>1463.51</v>
      </c>
      <c r="AG19" s="13" t="n">
        <v>1442.42</v>
      </c>
      <c r="AH19" s="13" t="n">
        <v>1420.24</v>
      </c>
      <c r="AI19" s="13" t="n">
        <v>1419.14</v>
      </c>
      <c r="AJ19" s="13" t="n">
        <v>1419.14</v>
      </c>
      <c r="AK19" s="13" t="n">
        <v>1420.62</v>
      </c>
      <c r="AL19" s="13" t="n">
        <v>1423.75</v>
      </c>
      <c r="AM19" s="13" t="n">
        <v>1423.75</v>
      </c>
      <c r="AN19" s="13" t="n">
        <v>1423.71</v>
      </c>
      <c r="AO19" s="13" t="n">
        <v>1423.38</v>
      </c>
      <c r="AP19" s="13" t="n">
        <v>1423.92</v>
      </c>
      <c r="AQ19" s="13" t="n">
        <v>1431.24</v>
      </c>
      <c r="AR19" s="13" t="n">
        <v>1437.6</v>
      </c>
      <c r="AS19" s="13" t="n">
        <v>1440.38</v>
      </c>
      <c r="AT19" s="13" t="n">
        <v>1437</v>
      </c>
      <c r="AU19" s="13" t="n">
        <v>1395.57</v>
      </c>
      <c r="AV19" s="13" t="n">
        <v>1395.57</v>
      </c>
    </row>
    <row r="20">
      <c r="A20" s="12" t="inlineStr">
        <is>
          <t>hedged_krw_m</t>
        </is>
      </c>
      <c r="D20" t="inlineStr">
        <is>
          <t>헤지적용 원화매출(백만원)</t>
        </is>
      </c>
      <c r="E20" s="18" t="n">
        <v>1715.9</v>
      </c>
      <c r="F20" s="18" t="n">
        <v>5612.7</v>
      </c>
      <c r="G20" s="18" t="n">
        <v>5576.5</v>
      </c>
      <c r="H20" s="18" t="n">
        <v>5612.6</v>
      </c>
      <c r="I20" s="18" t="n">
        <v>5629.1</v>
      </c>
      <c r="J20" s="18" t="n">
        <v>5530.2</v>
      </c>
      <c r="K20" s="18" t="n">
        <v>5405.8</v>
      </c>
      <c r="L20" s="18" t="n">
        <v>38584.8</v>
      </c>
      <c r="M20" s="18" t="n">
        <v>67067.39999999999</v>
      </c>
      <c r="N20" s="18" t="n">
        <v>77281.3</v>
      </c>
      <c r="O20" s="18" t="n">
        <v>76041.2</v>
      </c>
      <c r="P20" s="18" t="n">
        <v>78010.5</v>
      </c>
      <c r="Q20" s="18" t="n">
        <v>80479.5</v>
      </c>
      <c r="R20" s="18" t="n">
        <v>80846.60000000001</v>
      </c>
      <c r="S20" s="18" t="n">
        <v>77446.7</v>
      </c>
      <c r="T20" s="18" t="n">
        <v>79080.7</v>
      </c>
      <c r="U20" s="18" t="n">
        <v>79908</v>
      </c>
      <c r="V20" s="18" t="n">
        <v>80077.3</v>
      </c>
      <c r="W20" s="18" t="n">
        <v>79369.3</v>
      </c>
      <c r="X20" s="18" t="n">
        <v>80190.7</v>
      </c>
      <c r="Y20" s="18" t="n">
        <v>80767.89999999999</v>
      </c>
      <c r="Z20" s="18" t="n">
        <v>81577</v>
      </c>
      <c r="AA20" s="18" t="n">
        <v>80909.10000000001</v>
      </c>
      <c r="AB20" s="18" t="n">
        <v>30071.6</v>
      </c>
      <c r="AC20" s="18" t="n">
        <v>94483.5</v>
      </c>
      <c r="AD20" s="18" t="n">
        <v>196766.5</v>
      </c>
      <c r="AE20" s="18" t="n">
        <v>440913.4</v>
      </c>
      <c r="AF20" s="18" t="n">
        <v>673108</v>
      </c>
      <c r="AG20" s="18" t="n">
        <v>799564</v>
      </c>
      <c r="AH20" s="18" t="n">
        <v>790722.4</v>
      </c>
      <c r="AI20" s="18" t="n">
        <v>772936.4</v>
      </c>
      <c r="AJ20" s="18" t="n">
        <v>781524.5</v>
      </c>
      <c r="AK20" s="18" t="n">
        <v>785258</v>
      </c>
      <c r="AL20" s="18" t="n">
        <v>775224.8</v>
      </c>
      <c r="AM20" s="18" t="n">
        <v>766798.4</v>
      </c>
      <c r="AN20" s="18" t="n">
        <v>760877.4</v>
      </c>
      <c r="AO20" s="18" t="n">
        <v>720768.7</v>
      </c>
      <c r="AP20" s="18" t="n">
        <v>664171.2</v>
      </c>
      <c r="AQ20" s="18" t="n">
        <v>500809.6</v>
      </c>
      <c r="AR20" s="18" t="n">
        <v>351131.5</v>
      </c>
      <c r="AS20" s="18" t="n">
        <v>224447.8</v>
      </c>
      <c r="AT20" s="18" t="n">
        <v>124571.1</v>
      </c>
      <c r="AU20" s="18" t="n">
        <v>33967.5</v>
      </c>
      <c r="AV20" s="18" t="n">
        <v>23022.4</v>
      </c>
      <c r="AW20" s="18" t="n">
        <v>7328.6</v>
      </c>
      <c r="AX20" s="18" t="n">
        <v>22348.4</v>
      </c>
      <c r="AY20" s="18" t="n">
        <v>188339.3</v>
      </c>
      <c r="AZ20" s="18" t="n">
        <v>315377.8</v>
      </c>
      <c r="BA20" s="18" t="n">
        <v>316512.7</v>
      </c>
      <c r="BB20" s="18" t="n">
        <v>321904.9</v>
      </c>
      <c r="BC20" s="18" t="n">
        <v>402230.7</v>
      </c>
      <c r="BD20" s="18" t="n">
        <v>2704307.8</v>
      </c>
      <c r="BE20" s="18" t="n">
        <v>3114943.7</v>
      </c>
      <c r="BF20" s="18" t="n">
        <v>2912615.7</v>
      </c>
      <c r="BG20" s="18" t="n">
        <v>1200960</v>
      </c>
      <c r="BH20" s="18" t="n">
        <v>56989.9</v>
      </c>
    </row>
    <row r="21">
      <c r="A21" s="12" t="inlineStr">
        <is>
          <t>marine_hedged_krw_m</t>
        </is>
      </c>
      <c r="D21" t="inlineStr">
        <is>
          <t>해양 원화(백만원)</t>
        </is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33110.3</v>
      </c>
      <c r="M21" s="18" t="n">
        <v>56995.4</v>
      </c>
      <c r="N21" s="18" t="n">
        <v>57351.5</v>
      </c>
      <c r="O21" s="18" t="n">
        <v>56433.6</v>
      </c>
      <c r="P21" s="18" t="n">
        <v>57901.3</v>
      </c>
      <c r="Q21" s="18" t="n">
        <v>59742.5</v>
      </c>
      <c r="R21" s="18" t="n">
        <v>60017</v>
      </c>
      <c r="S21" s="18" t="n">
        <v>57484.4</v>
      </c>
      <c r="T21" s="18" t="n">
        <v>58701.4</v>
      </c>
      <c r="U21" s="18" t="n">
        <v>59315.2</v>
      </c>
      <c r="V21" s="18" t="n">
        <v>59441.9</v>
      </c>
      <c r="W21" s="18" t="n">
        <v>58917.1</v>
      </c>
      <c r="X21" s="18" t="n">
        <v>59531.3</v>
      </c>
      <c r="Y21" s="18" t="n">
        <v>59958.2</v>
      </c>
      <c r="Z21" s="18" t="n">
        <v>60563.1</v>
      </c>
      <c r="AA21" s="18" t="n">
        <v>60073</v>
      </c>
      <c r="AB21" s="18" t="n">
        <v>9274.9</v>
      </c>
      <c r="AC21" s="18" t="n">
        <v>73517.2</v>
      </c>
      <c r="AD21" s="18" t="n">
        <v>176526.4</v>
      </c>
      <c r="AE21" s="18" t="n">
        <v>425900.7</v>
      </c>
      <c r="AF21" s="18" t="n">
        <v>657798.9</v>
      </c>
      <c r="AG21" s="18" t="n">
        <v>784391.9</v>
      </c>
      <c r="AH21" s="18" t="n">
        <v>775821</v>
      </c>
      <c r="AI21" s="18" t="n">
        <v>758372.1</v>
      </c>
      <c r="AJ21" s="18" t="n">
        <v>766798.4</v>
      </c>
      <c r="AK21" s="18" t="n">
        <v>775224.8</v>
      </c>
      <c r="AL21" s="18" t="n">
        <v>775224.8</v>
      </c>
      <c r="AM21" s="18" t="n">
        <v>766798.4</v>
      </c>
      <c r="AN21" s="18" t="n">
        <v>760877.4</v>
      </c>
      <c r="AO21" s="18" t="n">
        <v>720768.7</v>
      </c>
      <c r="AP21" s="18" t="n">
        <v>664171.2</v>
      </c>
      <c r="AQ21" s="18" t="n">
        <v>500809.6</v>
      </c>
      <c r="AR21" s="18" t="n">
        <v>351131.5</v>
      </c>
      <c r="AS21" s="18" t="n">
        <v>224447.8</v>
      </c>
      <c r="AT21" s="18" t="n">
        <v>124571.1</v>
      </c>
      <c r="AU21" s="18" t="n">
        <v>33967.5</v>
      </c>
      <c r="AV21" s="18" t="n">
        <v>23022.4</v>
      </c>
      <c r="AW21" s="18" t="n">
        <v>0</v>
      </c>
      <c r="AX21" s="18" t="n">
        <v>0</v>
      </c>
      <c r="AY21" s="18" t="n">
        <v>147457.2</v>
      </c>
      <c r="AZ21" s="18" t="n">
        <v>234094.4</v>
      </c>
      <c r="BA21" s="18" t="n">
        <v>234942.9</v>
      </c>
      <c r="BB21" s="18" t="n">
        <v>238969.7</v>
      </c>
      <c r="BC21" s="18" t="n">
        <v>319391.5</v>
      </c>
      <c r="BD21" s="18" t="n">
        <v>2643912.5</v>
      </c>
      <c r="BE21" s="18" t="n">
        <v>3075620.1</v>
      </c>
      <c r="BF21" s="18" t="n">
        <v>2912615.7</v>
      </c>
      <c r="BG21" s="18" t="n">
        <v>1200960</v>
      </c>
      <c r="BH21" s="18" t="n">
        <v>56989.9</v>
      </c>
    </row>
    <row r="22">
      <c r="A22" s="12" t="inlineStr">
        <is>
          <t>marine_hedged_krw_m_signed_by_origin</t>
        </is>
      </c>
      <c r="D22" t="inlineStr">
        <is>
          <t>해양 원화 — origin 분기말까지 체결분(백만원)</t>
        </is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33110.3</v>
      </c>
      <c r="M22" s="18" t="n">
        <v>56995.4</v>
      </c>
      <c r="N22" s="18" t="n">
        <v>57351.5</v>
      </c>
      <c r="O22" s="18" t="n">
        <v>56433.6</v>
      </c>
      <c r="P22" s="18" t="n">
        <v>57901.3</v>
      </c>
      <c r="Q22" s="18" t="n">
        <v>59742.5</v>
      </c>
      <c r="R22" s="18" t="n">
        <v>60017</v>
      </c>
      <c r="S22" s="18" t="n">
        <v>57484.4</v>
      </c>
      <c r="T22" s="18" t="n">
        <v>58701.4</v>
      </c>
      <c r="U22" s="18" t="n">
        <v>59315.2</v>
      </c>
      <c r="V22" s="18" t="n">
        <v>59441.9</v>
      </c>
      <c r="W22" s="18" t="n">
        <v>58917.1</v>
      </c>
      <c r="X22" s="18" t="n">
        <v>59531.3</v>
      </c>
      <c r="Y22" s="18" t="n">
        <v>59958.2</v>
      </c>
      <c r="Z22" s="18" t="n">
        <v>60563.1</v>
      </c>
      <c r="AA22" s="18" t="n">
        <v>60073</v>
      </c>
      <c r="AB22" s="18" t="n">
        <v>9274.9</v>
      </c>
      <c r="AC22" s="18" t="n">
        <v>73517.2</v>
      </c>
      <c r="AD22" s="18" t="n">
        <v>176526.4</v>
      </c>
      <c r="AE22" s="18" t="n">
        <v>425900.7</v>
      </c>
      <c r="AF22" s="18" t="n">
        <v>657798.9</v>
      </c>
      <c r="AG22" s="18" t="n">
        <v>752546.1</v>
      </c>
      <c r="AH22" s="18" t="n">
        <v>741071.4</v>
      </c>
      <c r="AI22" s="18" t="n">
        <v>724404.6</v>
      </c>
      <c r="AJ22" s="18" t="n">
        <v>732453.5</v>
      </c>
      <c r="AK22" s="18" t="n">
        <v>740502.4</v>
      </c>
      <c r="AL22" s="18" t="n">
        <v>740502.4</v>
      </c>
      <c r="AM22" s="18" t="n">
        <v>732453.5</v>
      </c>
      <c r="AN22" s="18" t="n">
        <v>726532.4</v>
      </c>
      <c r="AO22" s="18" t="n">
        <v>686046.4</v>
      </c>
      <c r="AP22" s="18" t="n">
        <v>629448.8</v>
      </c>
      <c r="AQ22" s="18" t="n">
        <v>466842.1</v>
      </c>
      <c r="AR22" s="18" t="n">
        <v>316786.6</v>
      </c>
      <c r="AS22" s="18" t="n">
        <v>189725.5</v>
      </c>
      <c r="AT22" s="18" t="n">
        <v>89848.8</v>
      </c>
      <c r="AU22" s="18" t="n">
        <v>0</v>
      </c>
      <c r="AV22" s="18" t="n">
        <v>0</v>
      </c>
    </row>
    <row r="23">
      <c r="A23" s="12" t="inlineStr">
        <is>
          <t>marine_hedged_krw_m_post_origin</t>
        </is>
      </c>
      <c r="D23" t="inlineStr">
        <is>
          <t>해양 원화 — origin 이후 체결분(백만원)</t>
        </is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  <c r="T23" s="18" t="n">
        <v>0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0</v>
      </c>
      <c r="AC23" s="18" t="n">
        <v>0</v>
      </c>
      <c r="AD23" s="18" t="n">
        <v>0</v>
      </c>
      <c r="AE23" s="18" t="n">
        <v>0</v>
      </c>
      <c r="AF23" s="18" t="n">
        <v>0</v>
      </c>
      <c r="AG23" s="18" t="n">
        <v>31845.9</v>
      </c>
      <c r="AH23" s="18" t="n">
        <v>34749.6</v>
      </c>
      <c r="AI23" s="18" t="n">
        <v>33967.5</v>
      </c>
      <c r="AJ23" s="18" t="n">
        <v>34344.9</v>
      </c>
      <c r="AK23" s="18" t="n">
        <v>34722.3</v>
      </c>
      <c r="AL23" s="18" t="n">
        <v>34722.3</v>
      </c>
      <c r="AM23" s="18" t="n">
        <v>34344.9</v>
      </c>
      <c r="AN23" s="18" t="n">
        <v>34344.9</v>
      </c>
      <c r="AO23" s="18" t="n">
        <v>34722.3</v>
      </c>
      <c r="AP23" s="18" t="n">
        <v>34722.3</v>
      </c>
      <c r="AQ23" s="18" t="n">
        <v>33967.5</v>
      </c>
      <c r="AR23" s="18" t="n">
        <v>34344.9</v>
      </c>
      <c r="AS23" s="18" t="n">
        <v>34722.3</v>
      </c>
      <c r="AT23" s="18" t="n">
        <v>34722.3</v>
      </c>
      <c r="AU23" s="18" t="n">
        <v>33967.5</v>
      </c>
      <c r="AV23" s="18" t="n">
        <v>23022.4</v>
      </c>
    </row>
    <row r="24">
      <c r="A24" s="12" t="inlineStr">
        <is>
          <t>target_opm</t>
        </is>
      </c>
      <c r="D24" t="inlineStr">
        <is>
          <t>타겟 OPM(코호트)</t>
        </is>
      </c>
      <c r="L24" s="21" t="n">
        <v>0.054</v>
      </c>
      <c r="M24" s="21" t="n">
        <v>0.054</v>
      </c>
      <c r="N24" s="21" t="n">
        <v>0.054</v>
      </c>
      <c r="O24" s="21" t="n">
        <v>0.054</v>
      </c>
      <c r="P24" s="21" t="n">
        <v>0.054</v>
      </c>
      <c r="Q24" s="21" t="n">
        <v>0.054</v>
      </c>
      <c r="R24" s="21" t="n">
        <v>0.054</v>
      </c>
      <c r="S24" s="21" t="n">
        <v>0.054</v>
      </c>
      <c r="T24" s="21" t="n">
        <v>0.054</v>
      </c>
      <c r="U24" s="21" t="n">
        <v>0.054</v>
      </c>
      <c r="V24" s="21" t="n">
        <v>0.054</v>
      </c>
      <c r="W24" s="21" t="n">
        <v>0.054</v>
      </c>
      <c r="X24" s="21" t="n">
        <v>0.054</v>
      </c>
      <c r="Y24" s="21" t="n">
        <v>0.054</v>
      </c>
      <c r="Z24" s="21" t="n">
        <v>0.054</v>
      </c>
      <c r="AA24" s="21" t="n">
        <v>0.054</v>
      </c>
      <c r="AB24" s="21" t="n">
        <v>0.0756</v>
      </c>
      <c r="AC24" s="21" t="n">
        <v>0.108</v>
      </c>
      <c r="AD24" s="21" t="n">
        <v>0.108</v>
      </c>
      <c r="AE24" s="21" t="n">
        <v>0.108</v>
      </c>
      <c r="AF24" s="21" t="n">
        <v>0.108</v>
      </c>
      <c r="AG24" s="21" t="n">
        <v>0.108</v>
      </c>
      <c r="AH24" s="21" t="n">
        <v>0.108</v>
      </c>
      <c r="AI24" s="21" t="n">
        <v>0.108</v>
      </c>
      <c r="AJ24" s="21" t="n">
        <v>0.108</v>
      </c>
      <c r="AK24" s="21" t="n">
        <v>0.108</v>
      </c>
      <c r="AL24" s="21" t="n">
        <v>0.108</v>
      </c>
      <c r="AM24" s="21" t="n">
        <v>0.108</v>
      </c>
      <c r="AN24" s="21" t="n">
        <v>0.108</v>
      </c>
      <c r="AO24" s="21" t="n">
        <v>0.108</v>
      </c>
      <c r="AP24" s="21" t="n">
        <v>0.108</v>
      </c>
      <c r="AQ24" s="21" t="n">
        <v>0.108</v>
      </c>
      <c r="AR24" s="21" t="n">
        <v>0.108</v>
      </c>
      <c r="AS24" s="21" t="n">
        <v>0.108</v>
      </c>
      <c r="AT24" s="21" t="n">
        <v>0.108</v>
      </c>
      <c r="AU24" s="21" t="n">
        <v>0.108</v>
      </c>
      <c r="AV24" s="21" t="n">
        <v>0.108</v>
      </c>
    </row>
    <row r="26">
      <c r="A26" s="1" t="inlineStr">
        <is>
          <t>선표 연결(수식) — 원화(백만원) = 스케줄(백만$) × 포함 × (1 + (캡배율 − 1) × origin 이후) × (헤지비율 × 헤지환율 + (1 − 헤지비율) × 건조시점 환율)</t>
        </is>
      </c>
      <c r="J26" s="2" t="inlineStr">
        <is>
          <t>subQ 매출조선에 연결되지 않음()</t>
        </is>
      </c>
    </row>
    <row r="27">
      <c r="A27" s="12" t="inlineStr">
        <is>
          <t>헤지비율</t>
        </is>
      </c>
      <c r="D27" s="21">
        <f>변수!$D$58</f>
        <v/>
      </c>
      <c r="E27" s="2" t="inlineStr">
        <is>
          <t>변수 3절 '헤지비율' 참조 — 통화선도 공시 없음 → HEDGE 70% 가정(레퍼런스 SLS 시트 HEDGE 행은 미포 65%·삼성重 100% — 그 사이에 둔 설정값). hedge_rate 는 계약별 수주시점 환율로 대체</t>
        </is>
      </c>
    </row>
    <row r="28">
      <c r="A28" s="12" t="inlineStr">
        <is>
          <t>헤지환율 방식</t>
        </is>
      </c>
      <c r="D28" t="inlineStr">
        <is>
          <t>계약별 수주시점 환율(fx_at_sign)</t>
        </is>
      </c>
    </row>
    <row r="29">
      <c r="A29" s="12" t="inlineStr">
        <is>
          <t>spot_krw</t>
        </is>
      </c>
      <c r="D29" t="inlineStr">
        <is>
          <t>건조시점 원/달러(평균) — 변수 환율 행 참조, 변수 범위 밖 분기는 sls spot_assumed</t>
        </is>
      </c>
      <c r="E29" s="13">
        <f>IFERROR(VLOOKUP(" 원/달러(평균)",환율,MATCH(E$1,변수H,0),0),1193.96)</f>
        <v/>
      </c>
      <c r="F29" s="13">
        <f>IFERROR(VLOOKUP(" 원/달러(평균)",환율,MATCH(F$1,변수H,0),0),1176.23)</f>
        <v/>
      </c>
      <c r="G29" s="13">
        <f>IFERROR(VLOOKUP(" 원/달러(평균)",환율,MATCH(G$1,변수H,0),0),1193.92)</f>
        <v/>
      </c>
      <c r="H29" s="13">
        <f>IFERROR(VLOOKUP(" 원/달러(평균)",환율,MATCH(H$1,변수H,0),0),1219.69)</f>
        <v/>
      </c>
      <c r="I29" s="13">
        <f>IFERROR(VLOOKUP(" 원/달러(평균)",환율,MATCH(I$1,변수H,0),0),1187.81)</f>
        <v/>
      </c>
      <c r="J29" s="13">
        <f>IFERROR(VLOOKUP(" 원/달러(평균)",환율,MATCH(J$1,변수H,0),0),1117.97)</f>
        <v/>
      </c>
      <c r="K29" s="13">
        <f>IFERROR(VLOOKUP(" 원/달러(평균)",환율,MATCH(K$1,변수H,0),0),1114.99)</f>
        <v/>
      </c>
      <c r="L29" s="13">
        <f>IFERROR(VLOOKUP(" 원/달러(평균)",환율,MATCH(L$1,변수H,0),0),1121.13)</f>
        <v/>
      </c>
      <c r="M29" s="13">
        <f>IFERROR(VLOOKUP(" 원/달러(평균)",환율,MATCH(M$1,변수H,0),0),1159.91)</f>
        <v/>
      </c>
      <c r="N29" s="13">
        <f>IFERROR(VLOOKUP(" 원/달러(평균)",환율,MATCH(N$1,변수H,0),0),1183.5)</f>
        <v/>
      </c>
      <c r="O29" s="13">
        <f>IFERROR(VLOOKUP(" 원/달러(평균)",환율,MATCH(O$1,변수H,0),0),1205.78)</f>
        <v/>
      </c>
      <c r="P29" s="13">
        <f>IFERROR(VLOOKUP(" 원/달러(평균)",환율,MATCH(P$1,변수H,0),0),1262.09)</f>
        <v/>
      </c>
      <c r="Q29" s="13">
        <f>IFERROR(VLOOKUP(" 원/달러(평균)",환율,MATCH(Q$1,변수H,0),0),1341.93)</f>
        <v/>
      </c>
      <c r="R29" s="13">
        <f>IFERROR(VLOOKUP(" 원/달러(평균)",환율,MATCH(R$1,변수H,0),0),1360.12)</f>
        <v/>
      </c>
      <c r="S29" s="13">
        <f>IFERROR(VLOOKUP(" 원/달러(평균)",환율,MATCH(S$1,변수H,0),0),1276.95)</f>
        <v/>
      </c>
      <c r="T29" s="13">
        <f>IFERROR(VLOOKUP(" 원/달러(평균)",환율,MATCH(T$1,변수H,0),0),1315.69)</f>
        <v/>
      </c>
      <c r="U29" s="13">
        <f>IFERROR(VLOOKUP(" 원/달러(평균)",환율,MATCH(U$1,변수H,0),0),1313.62)</f>
        <v/>
      </c>
      <c r="V29" s="13">
        <f>IFERROR(VLOOKUP(" 원/달러(평균)",환율,MATCH(V$1,변수H,0),0),1322.01)</f>
        <v/>
      </c>
      <c r="W29" s="13">
        <f>IFERROR(VLOOKUP(" 원/달러(평균)",환율,MATCH(W$1,변수H,0),0),1330.14)</f>
        <v/>
      </c>
      <c r="X29" s="13">
        <f>IFERROR(VLOOKUP(" 원/달러(평균)",환율,MATCH(X$1,변수H,0),0),1371.28)</f>
        <v/>
      </c>
      <c r="Y29" s="13">
        <f>IFERROR(VLOOKUP(" 원/달러(평균)",환율,MATCH(Y$1,변수H,0),0),1356.22)</f>
        <v/>
      </c>
      <c r="Z29" s="13">
        <f>IFERROR(VLOOKUP(" 원/달러(평균)",환율,MATCH(Z$1,변수H,0),0),1396.3)</f>
        <v/>
      </c>
      <c r="AA29" s="13">
        <f>IFERROR(VLOOKUP(" 원/달러(평균)",환율,MATCH(AA$1,변수H,0),0),1452.28)</f>
        <v/>
      </c>
      <c r="AB29" s="13">
        <f>IFERROR(VLOOKUP(" 원/달러(평균)",환율,MATCH(AB$1,변수H,0),0),1398.52)</f>
        <v/>
      </c>
      <c r="AC29" s="13">
        <f>IFERROR(VLOOKUP(" 원/달러(평균)",환율,MATCH(AC$1,변수H,0),0),1386.95)</f>
        <v/>
      </c>
      <c r="AD29" s="13">
        <f>IFERROR(VLOOKUP(" 원/달러(평균)",환율,MATCH(AD$1,변수H,0),0),1449.19)</f>
        <v/>
      </c>
      <c r="AE29" s="13">
        <f>IFERROR(VLOOKUP(" 원/달러(평균)",환율,MATCH(AE$1,변수H,0),0),1466.12)</f>
        <v/>
      </c>
      <c r="AF29" s="13">
        <f>IFERROR(VLOOKUP(" 원/달러(평균)",환율,MATCH(AF$1,변수H,0),0),1501.75)</f>
        <v/>
      </c>
      <c r="AG29" s="13">
        <f>IFERROR(VLOOKUP(" 원/달러(평균)",환율,MATCH(AG$1,변수H,0),0),1418.75)</f>
        <v/>
      </c>
      <c r="AH29" s="13">
        <f>IFERROR(VLOOKUP(" 원/달러(평균)",환율,MATCH(AH$1,변수H,0),0),1345.14)</f>
        <v/>
      </c>
      <c r="AI29" s="13">
        <f>IFERROR(VLOOKUP(" 원/달러(평균)",환율,MATCH(AI$1,변수H,0),0),1341.49)</f>
        <v/>
      </c>
      <c r="AJ29" s="13">
        <f>IFERROR(VLOOKUP(" 원/달러(평균)",환율,MATCH(AJ$1,변수H,0),0),1341.49)</f>
        <v/>
      </c>
      <c r="AK29" s="13">
        <f>IFERROR(VLOOKUP(" 원/달러(평균)",환율,MATCH(AK$1,변수H,0),0),1341.49)</f>
        <v/>
      </c>
      <c r="AL29" s="13">
        <f>IFERROR(VLOOKUP(" 원/달러(평균)",환율,MATCH(AL$1,변수H,0),0),1341.49)</f>
        <v/>
      </c>
      <c r="AM29" s="13">
        <f>IFERROR(VLOOKUP(" 원/달러(평균)",환율,MATCH(AM$1,변수H,0),0),1341.49)</f>
        <v/>
      </c>
      <c r="AN29" s="13">
        <f>IFERROR(VLOOKUP(" 원/달러(평균)",환율,MATCH(AN$1,변수H,0),0),1341.49)</f>
        <v/>
      </c>
      <c r="AO29" s="13">
        <f>IFERROR(VLOOKUP(" 원/달러(평균)",환율,MATCH(AO$1,변수H,0),0),1341.49)</f>
        <v/>
      </c>
      <c r="AP29" s="13">
        <f>IFERROR(VLOOKUP(" 원/달러(평균)",환율,MATCH(AP$1,변수H,0),0),1341.49)</f>
        <v/>
      </c>
      <c r="AQ29" s="13">
        <f>IFERROR(VLOOKUP(" 원/달러(평균)",환율,MATCH(AQ$1,변수H,0),0),1341.49)</f>
        <v/>
      </c>
      <c r="AR29" s="13">
        <f>IFERROR(VLOOKUP(" 원/달러(평균)",환율,MATCH(AR$1,변수H,0),0),1341.49)</f>
        <v/>
      </c>
      <c r="AS29" s="13">
        <f>IFERROR(VLOOKUP(" 원/달러(평균)",환율,MATCH(AS$1,변수H,0),0),1341.49)</f>
        <v/>
      </c>
      <c r="AT29" s="13">
        <f>IFERROR(VLOOKUP(" 원/달러(평균)",환율,MATCH(AT$1,변수H,0),0),1341.49)</f>
        <v/>
      </c>
      <c r="AU29" s="13">
        <f>IFERROR(VLOOKUP(" 원/달러(평균)",환율,MATCH(AU$1,변수H,0),0),1341.49)</f>
        <v/>
      </c>
      <c r="AV29" s="13">
        <f>IFERROR(VLOOKUP(" 원/달러(평균)",환율,MATCH(AV$1,변수H,0),0),1341.49)</f>
        <v/>
      </c>
    </row>
    <row r="30">
      <c r="A30" s="12" t="inlineStr">
        <is>
          <t>after_origin</t>
        </is>
      </c>
      <c r="D30" t="inlineStr">
        <is>
          <t>origin(2026Q2) 이후 분기 = 1 (잔고 캡 배율 적용 구간)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2">
      <c r="A32" s="1" t="inlineStr">
        <is>
          <t>① 계약별 매출인식 스케줄(백만$, sls 저장값)</t>
        </is>
      </c>
      <c r="B32" s="1" t="inlineStr">
        <is>
          <t>type</t>
        </is>
      </c>
      <c r="C32" s="1" t="inlineStr">
        <is>
          <t>ships</t>
        </is>
      </c>
      <c r="D32" s="1" t="inlineStr">
        <is>
          <t>name</t>
        </is>
      </c>
      <c r="BJ32" s="1" t="inlineStr">
        <is>
          <t>포함(1/0)</t>
        </is>
      </c>
      <c r="BK32" s="1" t="inlineStr">
        <is>
          <t>헤지환율</t>
        </is>
      </c>
      <c r="BL32" s="1" t="inlineStr">
        <is>
          <t>캡배율</t>
        </is>
      </c>
      <c r="BM32" s="1" t="inlineStr">
        <is>
          <t>체결일</t>
        </is>
      </c>
      <c r="BN32" s="1" t="inlineStr">
        <is>
          <t>origin이내</t>
        </is>
      </c>
      <c r="BO32" s="1" t="inlineStr">
        <is>
          <t>코호트</t>
        </is>
      </c>
      <c r="BP32" s="1" t="inlineStr">
        <is>
          <t>계약액(백만$)</t>
        </is>
      </c>
      <c r="BQ32" s="1" t="inlineStr">
        <is>
          <t>종료</t>
        </is>
      </c>
    </row>
    <row r="33">
      <c r="A33" t="inlineStr">
        <is>
          <t>20251121800424</t>
        </is>
      </c>
      <c r="B33" t="inlineStr">
        <is>
          <t>VLCC</t>
        </is>
      </c>
      <c r="C33" t="n">
        <v>4</v>
      </c>
      <c r="D33" t="inlineStr">
        <is>
          <t>VLCC 4척</t>
        </is>
      </c>
      <c r="AD33" s="27" t="n">
        <v>16.217</v>
      </c>
      <c r="AE33" s="27" t="n">
        <v>34.752</v>
      </c>
      <c r="AF33" s="27" t="n">
        <v>35.138</v>
      </c>
      <c r="AG33" s="27" t="n">
        <v>35.524</v>
      </c>
      <c r="AH33" s="27" t="n">
        <v>35.524</v>
      </c>
      <c r="AI33" s="27" t="n">
        <v>34.752</v>
      </c>
      <c r="AJ33" s="27" t="n">
        <v>35.138</v>
      </c>
      <c r="AK33" s="27" t="n">
        <v>35.524</v>
      </c>
      <c r="AL33" s="27" t="n">
        <v>35.524</v>
      </c>
      <c r="AM33" s="27" t="n">
        <v>35.138</v>
      </c>
      <c r="AN33" s="27" t="n">
        <v>35.138</v>
      </c>
      <c r="AO33" s="27" t="n">
        <v>35.524</v>
      </c>
      <c r="AP33" s="27" t="n">
        <v>35.524</v>
      </c>
      <c r="AQ33" s="27" t="n">
        <v>34.752</v>
      </c>
      <c r="AR33" s="27" t="n">
        <v>35.138</v>
      </c>
      <c r="AS33" s="27" t="n">
        <v>16.987</v>
      </c>
      <c r="BJ33" s="35" t="n">
        <v>1</v>
      </c>
      <c r="BK33" s="16" t="n">
        <v>1449.19</v>
      </c>
      <c r="BL33" s="41" t="n">
        <v>1</v>
      </c>
      <c r="BM33" t="inlineStr">
        <is>
          <t>2025-11-20</t>
        </is>
      </c>
      <c r="BN33" t="n">
        <v>1</v>
      </c>
      <c r="BO33" t="inlineStr">
        <is>
          <t>⑤초호황</t>
        </is>
      </c>
      <c r="BP33" s="27" t="n">
        <v>526.294</v>
      </c>
      <c r="BQ33" t="inlineStr">
        <is>
          <t>2029-08-13</t>
        </is>
      </c>
    </row>
    <row r="34">
      <c r="A34" t="inlineStr">
        <is>
          <t>20251124800131</t>
        </is>
      </c>
      <c r="B34" t="inlineStr">
        <is>
          <t>CONT</t>
        </is>
      </c>
      <c r="C34" t="n">
        <v>6</v>
      </c>
      <c r="D34" t="inlineStr">
        <is>
          <t>컨테이너선 6척</t>
        </is>
      </c>
      <c r="AD34" s="27" t="n">
        <v>36.095</v>
      </c>
      <c r="AE34" s="27" t="n">
        <v>79.233</v>
      </c>
      <c r="AF34" s="27" t="n">
        <v>80.113</v>
      </c>
      <c r="AG34" s="27" t="n">
        <v>80.994</v>
      </c>
      <c r="AH34" s="27" t="n">
        <v>80.994</v>
      </c>
      <c r="AI34" s="27" t="n">
        <v>79.233</v>
      </c>
      <c r="AJ34" s="27" t="n">
        <v>80.113</v>
      </c>
      <c r="AK34" s="27" t="n">
        <v>80.994</v>
      </c>
      <c r="AL34" s="27" t="n">
        <v>80.994</v>
      </c>
      <c r="AM34" s="27" t="n">
        <v>80.113</v>
      </c>
      <c r="AN34" s="27" t="n">
        <v>80.113</v>
      </c>
      <c r="AO34" s="27" t="n">
        <v>80.994</v>
      </c>
      <c r="AP34" s="27" t="n">
        <v>80.994</v>
      </c>
      <c r="AQ34" s="27" t="n">
        <v>79.233</v>
      </c>
      <c r="AR34" s="27" t="n">
        <v>26.408</v>
      </c>
      <c r="BJ34" s="35" t="n">
        <v>1</v>
      </c>
      <c r="BK34" s="16" t="n">
        <v>1449.19</v>
      </c>
      <c r="BL34" s="41" t="n">
        <v>1</v>
      </c>
      <c r="BM34" t="inlineStr">
        <is>
          <t>2025-11-21</t>
        </is>
      </c>
      <c r="BN34" t="n">
        <v>1</v>
      </c>
      <c r="BO34" t="inlineStr">
        <is>
          <t>⑤초호황</t>
        </is>
      </c>
      <c r="BP34" s="27" t="n">
        <v>1106.618</v>
      </c>
      <c r="BQ34" t="inlineStr">
        <is>
          <t>2029-04-30</t>
        </is>
      </c>
    </row>
    <row r="35">
      <c r="A35" t="inlineStr">
        <is>
          <t>20251202800104</t>
        </is>
      </c>
      <c r="B35" t="inlineStr">
        <is>
          <t>LNGC</t>
        </is>
      </c>
      <c r="C35" t="n">
        <v>1</v>
      </c>
      <c r="D35" t="inlineStr">
        <is>
          <t>LNGC 1척</t>
        </is>
      </c>
      <c r="AD35" s="27" t="n">
        <v>6.97</v>
      </c>
      <c r="AE35" s="27" t="n">
        <v>20.235</v>
      </c>
      <c r="AF35" s="27" t="n">
        <v>20.459</v>
      </c>
      <c r="AG35" s="27" t="n">
        <v>20.684</v>
      </c>
      <c r="AH35" s="27" t="n">
        <v>20.684</v>
      </c>
      <c r="AI35" s="27" t="n">
        <v>20.235</v>
      </c>
      <c r="AJ35" s="27" t="n">
        <v>20.459</v>
      </c>
      <c r="AK35" s="27" t="n">
        <v>20.684</v>
      </c>
      <c r="AL35" s="27" t="n">
        <v>20.684</v>
      </c>
      <c r="AM35" s="27" t="n">
        <v>20.459</v>
      </c>
      <c r="AN35" s="27" t="n">
        <v>20.459</v>
      </c>
      <c r="AO35" s="27" t="n">
        <v>20.684</v>
      </c>
      <c r="AP35" s="27" t="n">
        <v>20.687</v>
      </c>
      <c r="BJ35" s="35" t="n">
        <v>1</v>
      </c>
      <c r="BK35" s="16" t="n">
        <v>1449.19</v>
      </c>
      <c r="BL35" s="41" t="n">
        <v>1</v>
      </c>
      <c r="BM35" t="inlineStr">
        <is>
          <t>2025-12-01</t>
        </is>
      </c>
      <c r="BN35" t="n">
        <v>1</v>
      </c>
      <c r="BO35" t="inlineStr">
        <is>
          <t>⑤초호황</t>
        </is>
      </c>
      <c r="BP35" s="27" t="n">
        <v>253.383</v>
      </c>
      <c r="BQ35" t="inlineStr">
        <is>
          <t>2028-12-31</t>
        </is>
      </c>
    </row>
    <row r="36">
      <c r="A36" t="inlineStr">
        <is>
          <t>20251215800970</t>
        </is>
      </c>
      <c r="B36" t="inlineStr">
        <is>
          <t>OTHER</t>
        </is>
      </c>
      <c r="D36" t="inlineStr">
        <is>
          <t>태안화력 5~8호기 저탄장 옥내화 공사</t>
        </is>
      </c>
      <c r="E36" s="27" t="n">
        <v>1.437</v>
      </c>
      <c r="F36" s="27" t="n">
        <v>4.722</v>
      </c>
      <c r="G36" s="27" t="n">
        <v>4.671</v>
      </c>
      <c r="H36" s="27" t="n">
        <v>4.671</v>
      </c>
      <c r="I36" s="27" t="n">
        <v>4.722</v>
      </c>
      <c r="J36" s="27" t="n">
        <v>4.722</v>
      </c>
      <c r="K36" s="27" t="n">
        <v>4.619</v>
      </c>
      <c r="L36" s="27" t="n">
        <v>4.671</v>
      </c>
      <c r="M36" s="27" t="n">
        <v>4.722</v>
      </c>
      <c r="N36" s="27" t="n">
        <v>4.722</v>
      </c>
      <c r="O36" s="27" t="n">
        <v>4.619</v>
      </c>
      <c r="P36" s="27" t="n">
        <v>4.671</v>
      </c>
      <c r="Q36" s="27" t="n">
        <v>4.722</v>
      </c>
      <c r="R36" s="27" t="n">
        <v>4.722</v>
      </c>
      <c r="S36" s="27" t="n">
        <v>4.619</v>
      </c>
      <c r="T36" s="27" t="n">
        <v>4.671</v>
      </c>
      <c r="U36" s="27" t="n">
        <v>4.722</v>
      </c>
      <c r="V36" s="27" t="n">
        <v>4.722</v>
      </c>
      <c r="W36" s="27" t="n">
        <v>4.671</v>
      </c>
      <c r="X36" s="27" t="n">
        <v>4.671</v>
      </c>
      <c r="Y36" s="27" t="n">
        <v>4.722</v>
      </c>
      <c r="Z36" s="27" t="n">
        <v>4.722</v>
      </c>
      <c r="AA36" s="27" t="n">
        <v>4.619</v>
      </c>
      <c r="AB36" s="27" t="n">
        <v>4.671</v>
      </c>
      <c r="AC36" s="27" t="n">
        <v>4.722</v>
      </c>
      <c r="AD36" s="27" t="n">
        <v>3.898</v>
      </c>
      <c r="BJ36" s="35" t="n">
        <v>0</v>
      </c>
      <c r="BK36" s="16" t="n">
        <v>1193.96</v>
      </c>
      <c r="BL36" s="41" t="n">
        <v>1</v>
      </c>
      <c r="BM36" t="inlineStr">
        <is>
          <t>2019-09-03</t>
        </is>
      </c>
      <c r="BN36" t="n">
        <v>1</v>
      </c>
      <c r="BP36" s="27" t="n">
        <v>117.843</v>
      </c>
      <c r="BQ36" t="inlineStr">
        <is>
          <t>2025-12-15</t>
        </is>
      </c>
    </row>
    <row r="37">
      <c r="A37" t="inlineStr">
        <is>
          <t>20251219800421</t>
        </is>
      </c>
      <c r="B37" t="inlineStr">
        <is>
          <t>LNGC</t>
        </is>
      </c>
      <c r="C37" t="n">
        <v>3</v>
      </c>
      <c r="D37" t="inlineStr">
        <is>
          <t>LNGC 3척</t>
        </is>
      </c>
      <c r="AB37" s="27" t="n">
        <v>2.919</v>
      </c>
      <c r="AC37" s="27" t="n">
        <v>53.713</v>
      </c>
      <c r="AD37" s="27" t="n">
        <v>53.713</v>
      </c>
      <c r="AE37" s="27" t="n">
        <v>52.545</v>
      </c>
      <c r="AF37" s="27" t="n">
        <v>53.129</v>
      </c>
      <c r="AG37" s="27" t="n">
        <v>53.713</v>
      </c>
      <c r="AH37" s="27" t="n">
        <v>53.713</v>
      </c>
      <c r="AI37" s="27" t="n">
        <v>52.545</v>
      </c>
      <c r="AJ37" s="27" t="n">
        <v>53.129</v>
      </c>
      <c r="AK37" s="27" t="n">
        <v>53.713</v>
      </c>
      <c r="AL37" s="27" t="n">
        <v>53.713</v>
      </c>
      <c r="AM37" s="27" t="n">
        <v>53.129</v>
      </c>
      <c r="AN37" s="27" t="n">
        <v>53.129</v>
      </c>
      <c r="AO37" s="27" t="n">
        <v>53.713</v>
      </c>
      <c r="AP37" s="27" t="n">
        <v>53.713</v>
      </c>
      <c r="AQ37" s="27" t="n">
        <v>19.262</v>
      </c>
      <c r="BJ37" s="35" t="n">
        <v>1</v>
      </c>
      <c r="BK37" s="16" t="n">
        <v>1360.9</v>
      </c>
      <c r="BL37" s="41" t="n">
        <v>1</v>
      </c>
      <c r="BM37" t="inlineStr">
        <is>
          <t>2025-06-26</t>
        </is>
      </c>
      <c r="BN37" t="n">
        <v>1</v>
      </c>
      <c r="BO37" t="inlineStr">
        <is>
          <t>⑤초호황</t>
        </is>
      </c>
      <c r="BP37" s="27" t="n">
        <v>769.491</v>
      </c>
      <c r="BQ37" t="inlineStr">
        <is>
          <t>2029-02-02</t>
        </is>
      </c>
    </row>
    <row r="38">
      <c r="A38" t="inlineStr">
        <is>
          <t>20251219800433</t>
        </is>
      </c>
      <c r="B38" t="inlineStr">
        <is>
          <t>CONT</t>
        </is>
      </c>
      <c r="C38" t="n">
        <v>4</v>
      </c>
      <c r="D38" t="inlineStr">
        <is>
          <t>컨테이너선 4척</t>
        </is>
      </c>
      <c r="AD38" s="27" t="n">
        <v>6.232</v>
      </c>
      <c r="AE38" s="27" t="n">
        <v>40.062</v>
      </c>
      <c r="AF38" s="27" t="n">
        <v>40.508</v>
      </c>
      <c r="AG38" s="27" t="n">
        <v>40.953</v>
      </c>
      <c r="AH38" s="27" t="n">
        <v>40.953</v>
      </c>
      <c r="AI38" s="27" t="n">
        <v>40.062</v>
      </c>
      <c r="AJ38" s="27" t="n">
        <v>40.508</v>
      </c>
      <c r="AK38" s="27" t="n">
        <v>40.953</v>
      </c>
      <c r="AL38" s="27" t="n">
        <v>40.953</v>
      </c>
      <c r="AM38" s="27" t="n">
        <v>40.508</v>
      </c>
      <c r="AN38" s="27" t="n">
        <v>40.508</v>
      </c>
      <c r="AO38" s="27" t="n">
        <v>40.953</v>
      </c>
      <c r="AP38" s="27" t="n">
        <v>22.699</v>
      </c>
      <c r="BJ38" s="35" t="n">
        <v>1</v>
      </c>
      <c r="BK38" s="16" t="n">
        <v>1449.19</v>
      </c>
      <c r="BL38" s="41" t="n">
        <v>1</v>
      </c>
      <c r="BM38" t="inlineStr">
        <is>
          <t>2025-12-18</t>
        </is>
      </c>
      <c r="BN38" t="n">
        <v>1</v>
      </c>
      <c r="BO38" t="inlineStr">
        <is>
          <t>⑤초호황</t>
        </is>
      </c>
      <c r="BP38" s="27" t="n">
        <v>475.852</v>
      </c>
      <c r="BQ38" t="inlineStr">
        <is>
          <t>2028-11-20</t>
        </is>
      </c>
    </row>
    <row r="39">
      <c r="A39" t="inlineStr">
        <is>
          <t>20260116800207</t>
        </is>
      </c>
      <c r="B39" t="inlineStr">
        <is>
          <t>VLGC</t>
        </is>
      </c>
      <c r="C39" t="n">
        <v>1</v>
      </c>
      <c r="D39" t="inlineStr">
        <is>
          <t>VLGC 1척</t>
        </is>
      </c>
      <c r="AE39" s="27" t="n">
        <v>10.499</v>
      </c>
      <c r="AF39" s="27" t="n">
        <v>12.571</v>
      </c>
      <c r="AG39" s="27" t="n">
        <v>12.709</v>
      </c>
      <c r="AH39" s="27" t="n">
        <v>12.709</v>
      </c>
      <c r="AI39" s="27" t="n">
        <v>12.433</v>
      </c>
      <c r="AJ39" s="27" t="n">
        <v>12.571</v>
      </c>
      <c r="AK39" s="27" t="n">
        <v>12.709</v>
      </c>
      <c r="AL39" s="27" t="n">
        <v>12.709</v>
      </c>
      <c r="AM39" s="27" t="n">
        <v>12.571</v>
      </c>
      <c r="AN39" s="27" t="n">
        <v>8.427</v>
      </c>
      <c r="BJ39" s="35" t="n">
        <v>1</v>
      </c>
      <c r="BK39" s="16" t="n">
        <v>1466.12</v>
      </c>
      <c r="BL39" s="41" t="n">
        <v>1</v>
      </c>
      <c r="BM39" t="inlineStr">
        <is>
          <t>2026-01-15</t>
        </is>
      </c>
      <c r="BN39" t="n">
        <v>1</v>
      </c>
      <c r="BO39" t="inlineStr">
        <is>
          <t>⑤초호황</t>
        </is>
      </c>
      <c r="BP39" s="27" t="n">
        <v>119.908</v>
      </c>
      <c r="BQ39" t="inlineStr">
        <is>
          <t>2028-05-31</t>
        </is>
      </c>
    </row>
    <row r="40">
      <c r="A40" t="inlineStr">
        <is>
          <t>20260202800947</t>
        </is>
      </c>
      <c r="B40" t="inlineStr">
        <is>
          <t>LNGC</t>
        </is>
      </c>
      <c r="C40" t="n">
        <v>1</v>
      </c>
      <c r="D40" t="inlineStr">
        <is>
          <t>LNGC 1척</t>
        </is>
      </c>
      <c r="AE40" s="27" t="n">
        <v>16.845</v>
      </c>
      <c r="AF40" s="27" t="n">
        <v>25.13</v>
      </c>
      <c r="AG40" s="27" t="n">
        <v>25.406</v>
      </c>
      <c r="AH40" s="27" t="n">
        <v>25.406</v>
      </c>
      <c r="AI40" s="27" t="n">
        <v>24.854</v>
      </c>
      <c r="AJ40" s="27" t="n">
        <v>25.13</v>
      </c>
      <c r="AK40" s="27" t="n">
        <v>25.406</v>
      </c>
      <c r="AL40" s="27" t="n">
        <v>25.406</v>
      </c>
      <c r="AM40" s="27" t="n">
        <v>25.13</v>
      </c>
      <c r="AN40" s="27" t="n">
        <v>25.128</v>
      </c>
      <c r="BJ40" s="35" t="n">
        <v>1</v>
      </c>
      <c r="BK40" s="16" t="n">
        <v>1466.12</v>
      </c>
      <c r="BL40" s="41" t="n">
        <v>1</v>
      </c>
      <c r="BM40" t="inlineStr">
        <is>
          <t>2026-01-30</t>
        </is>
      </c>
      <c r="BN40" t="n">
        <v>1</v>
      </c>
      <c r="BO40" t="inlineStr">
        <is>
          <t>⑤초호황</t>
        </is>
      </c>
      <c r="BP40" s="27" t="n">
        <v>243.841</v>
      </c>
      <c r="BQ40" t="inlineStr">
        <is>
          <t>2028-06-30</t>
        </is>
      </c>
    </row>
    <row r="41">
      <c r="A41" t="inlineStr">
        <is>
          <t>20260304800002</t>
        </is>
      </c>
      <c r="B41" t="inlineStr">
        <is>
          <t>VLCC</t>
        </is>
      </c>
      <c r="C41" t="n">
        <v>4</v>
      </c>
      <c r="D41" t="inlineStr">
        <is>
          <t>157,000 DWT 원유운반선 4척</t>
        </is>
      </c>
      <c r="AD41" s="27" t="n">
        <v>4.874</v>
      </c>
      <c r="AE41" s="27" t="n">
        <v>31.336</v>
      </c>
      <c r="AF41" s="27" t="n">
        <v>31.684</v>
      </c>
      <c r="AG41" s="27" t="n">
        <v>32.032</v>
      </c>
      <c r="AH41" s="27" t="n">
        <v>32.032</v>
      </c>
      <c r="AI41" s="27" t="n">
        <v>31.336</v>
      </c>
      <c r="AJ41" s="27" t="n">
        <v>31.684</v>
      </c>
      <c r="AK41" s="27" t="n">
        <v>32.032</v>
      </c>
      <c r="AL41" s="27" t="n">
        <v>32.032</v>
      </c>
      <c r="AM41" s="27" t="n">
        <v>31.684</v>
      </c>
      <c r="AN41" s="27" t="n">
        <v>31.684</v>
      </c>
      <c r="AO41" s="27" t="n">
        <v>32.032</v>
      </c>
      <c r="AP41" s="27" t="n">
        <v>10.797</v>
      </c>
      <c r="BJ41" s="35" t="n">
        <v>1</v>
      </c>
      <c r="BK41" s="16" t="n">
        <v>1449.19</v>
      </c>
      <c r="BL41" s="41" t="n">
        <v>1</v>
      </c>
      <c r="BM41" t="inlineStr">
        <is>
          <t>2025-12-18</t>
        </is>
      </c>
      <c r="BN41" t="n">
        <v>1</v>
      </c>
      <c r="BO41" t="inlineStr">
        <is>
          <t>⑤초호황</t>
        </is>
      </c>
      <c r="BP41" s="27" t="n">
        <v>365.239</v>
      </c>
      <c r="BQ41" t="inlineStr">
        <is>
          <t>2028-10-31</t>
        </is>
      </c>
    </row>
    <row r="42">
      <c r="A42" t="inlineStr">
        <is>
          <t>20260306800225</t>
        </is>
      </c>
      <c r="B42" t="inlineStr">
        <is>
          <t>VLCC</t>
        </is>
      </c>
      <c r="C42" t="n">
        <v>2</v>
      </c>
      <c r="D42" t="inlineStr">
        <is>
          <t>157,000 DWT 원유운반선 2척</t>
        </is>
      </c>
      <c r="AE42" s="27" t="n">
        <v>4.094</v>
      </c>
      <c r="AF42" s="27" t="n">
        <v>13.798</v>
      </c>
      <c r="AG42" s="27" t="n">
        <v>13.949</v>
      </c>
      <c r="AH42" s="27" t="n">
        <v>13.949</v>
      </c>
      <c r="AI42" s="27" t="n">
        <v>13.646</v>
      </c>
      <c r="AJ42" s="27" t="n">
        <v>13.798</v>
      </c>
      <c r="AK42" s="27" t="n">
        <v>13.949</v>
      </c>
      <c r="AL42" s="27" t="n">
        <v>13.949</v>
      </c>
      <c r="AM42" s="27" t="n">
        <v>13.798</v>
      </c>
      <c r="AN42" s="27" t="n">
        <v>13.798</v>
      </c>
      <c r="AO42" s="27" t="n">
        <v>13.949</v>
      </c>
      <c r="AP42" s="27" t="n">
        <v>13.949</v>
      </c>
      <c r="AQ42" s="27" t="n">
        <v>13.646</v>
      </c>
      <c r="AR42" s="27" t="n">
        <v>9.249000000000001</v>
      </c>
      <c r="BJ42" s="35" t="n">
        <v>1</v>
      </c>
      <c r="BK42" s="16" t="n">
        <v>1466.12</v>
      </c>
      <c r="BL42" s="41" t="n">
        <v>1</v>
      </c>
      <c r="BM42" t="inlineStr">
        <is>
          <t>2026-03-05</t>
        </is>
      </c>
      <c r="BN42" t="n">
        <v>1</v>
      </c>
      <c r="BO42" t="inlineStr">
        <is>
          <t>⑤초호황</t>
        </is>
      </c>
      <c r="BP42" s="27" t="n">
        <v>179.521</v>
      </c>
      <c r="BQ42" t="inlineStr">
        <is>
          <t>2029-05-31</t>
        </is>
      </c>
    </row>
    <row r="43">
      <c r="A43" t="inlineStr">
        <is>
          <t>20260310800414</t>
        </is>
      </c>
      <c r="B43" t="inlineStr">
        <is>
          <t>VLGC</t>
        </is>
      </c>
      <c r="C43" t="n">
        <v>2</v>
      </c>
      <c r="D43" t="inlineStr">
        <is>
          <t>LPGC 2척</t>
        </is>
      </c>
      <c r="AE43" s="27" t="n">
        <v>5.197</v>
      </c>
      <c r="AF43" s="27" t="n">
        <v>20.561</v>
      </c>
      <c r="AG43" s="27" t="n">
        <v>20.787</v>
      </c>
      <c r="AH43" s="27" t="n">
        <v>20.787</v>
      </c>
      <c r="AI43" s="27" t="n">
        <v>20.335</v>
      </c>
      <c r="AJ43" s="27" t="n">
        <v>20.561</v>
      </c>
      <c r="AK43" s="27" t="n">
        <v>20.787</v>
      </c>
      <c r="AL43" s="27" t="n">
        <v>20.787</v>
      </c>
      <c r="AM43" s="27" t="n">
        <v>20.561</v>
      </c>
      <c r="AN43" s="27" t="n">
        <v>20.561</v>
      </c>
      <c r="AO43" s="27" t="n">
        <v>20.787</v>
      </c>
      <c r="AP43" s="27" t="n">
        <v>20.33</v>
      </c>
      <c r="BJ43" s="35" t="n">
        <v>1</v>
      </c>
      <c r="BK43" s="16" t="n">
        <v>1466.12</v>
      </c>
      <c r="BL43" s="41" t="n">
        <v>1</v>
      </c>
      <c r="BM43" t="inlineStr">
        <is>
          <t>2026-03-09</t>
        </is>
      </c>
      <c r="BN43" t="n">
        <v>1</v>
      </c>
      <c r="BO43" t="inlineStr">
        <is>
          <t>⑤초호황</t>
        </is>
      </c>
      <c r="BP43" s="27" t="n">
        <v>232.041</v>
      </c>
      <c r="BQ43" t="inlineStr">
        <is>
          <t>2028-12-29</t>
        </is>
      </c>
    </row>
    <row r="44">
      <c r="A44" t="inlineStr">
        <is>
          <t>20260403800582</t>
        </is>
      </c>
      <c r="B44" t="inlineStr">
        <is>
          <t>VLGC</t>
        </is>
      </c>
      <c r="C44" t="n">
        <v>2</v>
      </c>
      <c r="D44" t="inlineStr">
        <is>
          <t>LPGC 2척</t>
        </is>
      </c>
      <c r="AF44" s="27" t="n">
        <v>19.162</v>
      </c>
      <c r="AG44" s="27" t="n">
        <v>19.588</v>
      </c>
      <c r="AH44" s="27" t="n">
        <v>19.588</v>
      </c>
      <c r="AI44" s="27" t="n">
        <v>19.162</v>
      </c>
      <c r="AJ44" s="27" t="n">
        <v>19.375</v>
      </c>
      <c r="AK44" s="27" t="n">
        <v>19.588</v>
      </c>
      <c r="AL44" s="27" t="n">
        <v>19.588</v>
      </c>
      <c r="AM44" s="27" t="n">
        <v>19.375</v>
      </c>
      <c r="AN44" s="27" t="n">
        <v>19.375</v>
      </c>
      <c r="AO44" s="27" t="n">
        <v>19.588</v>
      </c>
      <c r="AP44" s="27" t="n">
        <v>19.588</v>
      </c>
      <c r="AQ44" s="27" t="n">
        <v>18.951</v>
      </c>
      <c r="BJ44" s="35" t="n">
        <v>1</v>
      </c>
      <c r="BK44" s="16" t="n">
        <v>1501.75</v>
      </c>
      <c r="BL44" s="41" t="n">
        <v>1</v>
      </c>
      <c r="BM44" t="inlineStr">
        <is>
          <t>2026-04-02</t>
        </is>
      </c>
      <c r="BN44" t="n">
        <v>1</v>
      </c>
      <c r="BO44" t="inlineStr">
        <is>
          <t>⑤초호황</t>
        </is>
      </c>
      <c r="BP44" s="27" t="n">
        <v>232.928</v>
      </c>
      <c r="BQ44" t="inlineStr">
        <is>
          <t>2029-03-30</t>
        </is>
      </c>
    </row>
    <row r="45">
      <c r="A45" t="inlineStr">
        <is>
          <t>20260408800703</t>
        </is>
      </c>
      <c r="B45" t="inlineStr">
        <is>
          <t>LNGC</t>
        </is>
      </c>
      <c r="C45" t="n">
        <v>2</v>
      </c>
      <c r="D45" t="inlineStr">
        <is>
          <t>LNGC 2척</t>
        </is>
      </c>
      <c r="AF45" s="27" t="n">
        <v>34.299</v>
      </c>
      <c r="AG45" s="27" t="n">
        <v>37.123</v>
      </c>
      <c r="AH45" s="27" t="n">
        <v>37.123</v>
      </c>
      <c r="AI45" s="27" t="n">
        <v>36.316</v>
      </c>
      <c r="AJ45" s="27" t="n">
        <v>36.72</v>
      </c>
      <c r="AK45" s="27" t="n">
        <v>37.123</v>
      </c>
      <c r="AL45" s="27" t="n">
        <v>37.123</v>
      </c>
      <c r="AM45" s="27" t="n">
        <v>36.72</v>
      </c>
      <c r="AN45" s="27" t="n">
        <v>36.72</v>
      </c>
      <c r="AO45" s="27" t="n">
        <v>37.123</v>
      </c>
      <c r="AP45" s="27" t="n">
        <v>37.123</v>
      </c>
      <c r="AQ45" s="27" t="n">
        <v>36.316</v>
      </c>
      <c r="AR45" s="27" t="n">
        <v>36.72</v>
      </c>
      <c r="AS45" s="27" t="n">
        <v>36.319</v>
      </c>
      <c r="BJ45" s="35" t="n">
        <v>1</v>
      </c>
      <c r="BK45" s="16" t="n">
        <v>1501.75</v>
      </c>
      <c r="BL45" s="41" t="n">
        <v>1</v>
      </c>
      <c r="BM45" t="inlineStr">
        <is>
          <t>2026-04-07</t>
        </is>
      </c>
      <c r="BN45" t="n">
        <v>1</v>
      </c>
      <c r="BO45" t="inlineStr">
        <is>
          <t>⑤초호황</t>
        </is>
      </c>
      <c r="BP45" s="27" t="n">
        <v>512.8680000000001</v>
      </c>
      <c r="BQ45" t="inlineStr">
        <is>
          <t>2029-09-28</t>
        </is>
      </c>
    </row>
    <row r="46">
      <c r="A46" t="inlineStr">
        <is>
          <t>20260416800167</t>
        </is>
      </c>
      <c r="B46" t="inlineStr">
        <is>
          <t>VLGC</t>
        </is>
      </c>
      <c r="C46" t="n">
        <v>2</v>
      </c>
      <c r="D46" t="inlineStr">
        <is>
          <t>LPGC 2척</t>
        </is>
      </c>
      <c r="AF46" s="27" t="n">
        <v>15.981</v>
      </c>
      <c r="AG46" s="27" t="n">
        <v>19.095</v>
      </c>
      <c r="AH46" s="27" t="n">
        <v>19.095</v>
      </c>
      <c r="AI46" s="27" t="n">
        <v>18.68</v>
      </c>
      <c r="AJ46" s="27" t="n">
        <v>18.887</v>
      </c>
      <c r="AK46" s="27" t="n">
        <v>19.095</v>
      </c>
      <c r="AL46" s="27" t="n">
        <v>19.095</v>
      </c>
      <c r="AM46" s="27" t="n">
        <v>18.887</v>
      </c>
      <c r="AN46" s="27" t="n">
        <v>18.887</v>
      </c>
      <c r="AO46" s="27" t="n">
        <v>19.095</v>
      </c>
      <c r="AP46" s="27" t="n">
        <v>19.095</v>
      </c>
      <c r="AQ46" s="27" t="n">
        <v>18.68</v>
      </c>
      <c r="AR46" s="27" t="n">
        <v>6.225</v>
      </c>
      <c r="BJ46" s="35" t="n">
        <v>1</v>
      </c>
      <c r="BK46" s="16" t="n">
        <v>1501.75</v>
      </c>
      <c r="BL46" s="41" t="n">
        <v>1</v>
      </c>
      <c r="BM46" t="inlineStr">
        <is>
          <t>2026-04-15</t>
        </is>
      </c>
      <c r="BN46" t="n">
        <v>1</v>
      </c>
      <c r="BO46" t="inlineStr">
        <is>
          <t>⑤초호황</t>
        </is>
      </c>
      <c r="BP46" s="27" t="n">
        <v>230.797</v>
      </c>
      <c r="BQ46" t="inlineStr">
        <is>
          <t>2029-04-30</t>
        </is>
      </c>
    </row>
    <row r="47">
      <c r="A47" t="inlineStr">
        <is>
          <t>20260513800195</t>
        </is>
      </c>
      <c r="B47" t="inlineStr">
        <is>
          <t>LNGC</t>
        </is>
      </c>
      <c r="C47" t="n">
        <v>2</v>
      </c>
      <c r="D47" t="inlineStr">
        <is>
          <t>LNGC 2척</t>
        </is>
      </c>
      <c r="AF47" s="27" t="n">
        <v>21.318</v>
      </c>
      <c r="AG47" s="27" t="n">
        <v>39.225</v>
      </c>
      <c r="AH47" s="27" t="n">
        <v>39.225</v>
      </c>
      <c r="AI47" s="27" t="n">
        <v>38.373</v>
      </c>
      <c r="AJ47" s="27" t="n">
        <v>38.799</v>
      </c>
      <c r="AK47" s="27" t="n">
        <v>39.225</v>
      </c>
      <c r="AL47" s="27" t="n">
        <v>39.225</v>
      </c>
      <c r="AM47" s="27" t="n">
        <v>38.799</v>
      </c>
      <c r="AN47" s="27" t="n">
        <v>38.799</v>
      </c>
      <c r="AO47" s="27" t="n">
        <v>39.225</v>
      </c>
      <c r="AP47" s="27" t="n">
        <v>39.225</v>
      </c>
      <c r="AQ47" s="27" t="n">
        <v>38.373</v>
      </c>
      <c r="AR47" s="27" t="n">
        <v>38.799</v>
      </c>
      <c r="AS47" s="27" t="n">
        <v>9.808999999999999</v>
      </c>
      <c r="BJ47" s="35" t="n">
        <v>1</v>
      </c>
      <c r="BK47" s="16" t="n">
        <v>1501.75</v>
      </c>
      <c r="BL47" s="41" t="n">
        <v>1</v>
      </c>
      <c r="BM47" t="inlineStr">
        <is>
          <t>2026-05-12</t>
        </is>
      </c>
      <c r="BN47" t="n">
        <v>1</v>
      </c>
      <c r="BO47" t="inlineStr">
        <is>
          <t>⑤초호황</t>
        </is>
      </c>
      <c r="BP47" s="27" t="n">
        <v>498.419</v>
      </c>
      <c r="BQ47" t="inlineStr">
        <is>
          <t>2029-07-23</t>
        </is>
      </c>
    </row>
    <row r="48">
      <c r="A48" t="inlineStr">
        <is>
          <t>20260521800360</t>
        </is>
      </c>
      <c r="B48" t="inlineStr">
        <is>
          <t>VLGC</t>
        </is>
      </c>
      <c r="C48" t="n">
        <v>6</v>
      </c>
      <c r="D48" t="inlineStr">
        <is>
          <t>VLAC 6척</t>
        </is>
      </c>
      <c r="AF48" s="27" t="n">
        <v>23.001</v>
      </c>
      <c r="AG48" s="27" t="n">
        <v>50.383</v>
      </c>
      <c r="AH48" s="27" t="n">
        <v>50.383</v>
      </c>
      <c r="AI48" s="27" t="n">
        <v>49.288</v>
      </c>
      <c r="AJ48" s="27" t="n">
        <v>49.836</v>
      </c>
      <c r="AK48" s="27" t="n">
        <v>50.383</v>
      </c>
      <c r="AL48" s="27" t="n">
        <v>50.383</v>
      </c>
      <c r="AM48" s="27" t="n">
        <v>49.836</v>
      </c>
      <c r="AN48" s="27" t="n">
        <v>49.836</v>
      </c>
      <c r="AO48" s="27" t="n">
        <v>50.383</v>
      </c>
      <c r="AP48" s="27" t="n">
        <v>50.383</v>
      </c>
      <c r="AQ48" s="27" t="n">
        <v>49.288</v>
      </c>
      <c r="AR48" s="27" t="n">
        <v>49.836</v>
      </c>
      <c r="AS48" s="27" t="n">
        <v>50.383</v>
      </c>
      <c r="AT48" s="27" t="n">
        <v>44.36</v>
      </c>
      <c r="BJ48" s="35" t="n">
        <v>1</v>
      </c>
      <c r="BK48" s="16" t="n">
        <v>1501.75</v>
      </c>
      <c r="BL48" s="41" t="n">
        <v>1</v>
      </c>
      <c r="BM48" t="inlineStr">
        <is>
          <t>2026-05-20</t>
        </is>
      </c>
      <c r="BN48" t="n">
        <v>1</v>
      </c>
      <c r="BO48" t="inlineStr">
        <is>
          <t>⑤초호황</t>
        </is>
      </c>
      <c r="BP48" s="27" t="n">
        <v>717.962</v>
      </c>
      <c r="BQ48" t="inlineStr">
        <is>
          <t>2029-12-20</t>
        </is>
      </c>
    </row>
    <row r="49">
      <c r="A49" t="inlineStr">
        <is>
          <t>20260629800351</t>
        </is>
      </c>
      <c r="B49" t="inlineStr">
        <is>
          <t>VLGC</t>
        </is>
      </c>
      <c r="C49" t="n">
        <v>2</v>
      </c>
      <c r="D49" t="inlineStr">
        <is>
          <t>LPGC 2척</t>
        </is>
      </c>
      <c r="AF49" s="27" t="n">
        <v>0.948</v>
      </c>
      <c r="AG49" s="27" t="n">
        <v>17.449</v>
      </c>
      <c r="AH49" s="27" t="n">
        <v>17.449</v>
      </c>
      <c r="AI49" s="27" t="n">
        <v>17.07</v>
      </c>
      <c r="AJ49" s="27" t="n">
        <v>17.259</v>
      </c>
      <c r="AK49" s="27" t="n">
        <v>17.449</v>
      </c>
      <c r="AL49" s="27" t="n">
        <v>17.449</v>
      </c>
      <c r="AM49" s="27" t="n">
        <v>17.259</v>
      </c>
      <c r="AN49" s="27" t="n">
        <v>17.259</v>
      </c>
      <c r="AO49" s="27" t="n">
        <v>17.449</v>
      </c>
      <c r="AP49" s="27" t="n">
        <v>17.449</v>
      </c>
      <c r="AQ49" s="27" t="n">
        <v>17.07</v>
      </c>
      <c r="AR49" s="27" t="n">
        <v>17.259</v>
      </c>
      <c r="AS49" s="27" t="n">
        <v>17.449</v>
      </c>
      <c r="AT49" s="27" t="n">
        <v>17.449</v>
      </c>
      <c r="BJ49" s="35" t="n">
        <v>1</v>
      </c>
      <c r="BK49" s="16" t="n">
        <v>1501.75</v>
      </c>
      <c r="BL49" s="41" t="n">
        <v>1</v>
      </c>
      <c r="BM49" t="inlineStr">
        <is>
          <t>2026-06-26</t>
        </is>
      </c>
      <c r="BN49" t="n">
        <v>1</v>
      </c>
      <c r="BO49" t="inlineStr">
        <is>
          <t>⑤초호황</t>
        </is>
      </c>
      <c r="BP49" s="27" t="n">
        <v>243.716</v>
      </c>
      <c r="BQ49" t="inlineStr">
        <is>
          <t>2029-12-31</t>
        </is>
      </c>
    </row>
    <row r="50">
      <c r="A50" t="inlineStr">
        <is>
          <t>20260713800202</t>
        </is>
      </c>
      <c r="B50" t="inlineStr">
        <is>
          <t>VLGC</t>
        </is>
      </c>
      <c r="C50" t="n">
        <v>3</v>
      </c>
      <c r="D50" t="inlineStr">
        <is>
          <t>VLAC 3척</t>
        </is>
      </c>
      <c r="AG50" s="27" t="n">
        <v>22.446</v>
      </c>
      <c r="AH50" s="27" t="n">
        <v>24.88</v>
      </c>
      <c r="AI50" s="27" t="n">
        <v>24.339</v>
      </c>
      <c r="AJ50" s="27" t="n">
        <v>24.61</v>
      </c>
      <c r="AK50" s="27" t="n">
        <v>24.88</v>
      </c>
      <c r="AL50" s="27" t="n">
        <v>24.88</v>
      </c>
      <c r="AM50" s="27" t="n">
        <v>24.61</v>
      </c>
      <c r="AN50" s="27" t="n">
        <v>24.61</v>
      </c>
      <c r="AO50" s="27" t="n">
        <v>24.88</v>
      </c>
      <c r="AP50" s="27" t="n">
        <v>24.88</v>
      </c>
      <c r="AQ50" s="27" t="n">
        <v>24.339</v>
      </c>
      <c r="AR50" s="27" t="n">
        <v>24.61</v>
      </c>
      <c r="AS50" s="27" t="n">
        <v>24.88</v>
      </c>
      <c r="AT50" s="27" t="n">
        <v>24.88</v>
      </c>
      <c r="AU50" s="27" t="n">
        <v>24.339</v>
      </c>
      <c r="AV50" s="27" t="n">
        <v>16.501</v>
      </c>
      <c r="BJ50" s="35" t="n">
        <v>0</v>
      </c>
      <c r="BK50" s="16" t="n">
        <v>1418.75</v>
      </c>
      <c r="BL50" s="41" t="n">
        <v>1</v>
      </c>
      <c r="BM50" t="inlineStr">
        <is>
          <t>2026-07-10</t>
        </is>
      </c>
      <c r="BN50" t="n">
        <v>0</v>
      </c>
      <c r="BO50" t="inlineStr">
        <is>
          <t>⑤초호황</t>
        </is>
      </c>
      <c r="BP50" s="27" t="n">
        <v>384.564</v>
      </c>
      <c r="BQ50" t="inlineStr">
        <is>
          <t>2030-05-31</t>
        </is>
      </c>
    </row>
    <row r="51">
      <c r="A51" t="inlineStr">
        <is>
          <t>20260903800523</t>
        </is>
      </c>
      <c r="B51" t="inlineStr">
        <is>
          <t>OFFSH</t>
        </is>
      </c>
      <c r="C51" t="n">
        <v>1</v>
      </c>
      <c r="D51" t="inlineStr">
        <is>
          <t>FPSO Hull 1기</t>
        </is>
      </c>
      <c r="L51" s="27" t="n">
        <v>29.528</v>
      </c>
      <c r="M51" s="27" t="n">
        <v>50.307</v>
      </c>
      <c r="N51" s="27" t="n">
        <v>50.307</v>
      </c>
      <c r="O51" s="27" t="n">
        <v>49.213</v>
      </c>
      <c r="P51" s="27" t="n">
        <v>49.76</v>
      </c>
      <c r="Q51" s="27" t="n">
        <v>50.307</v>
      </c>
      <c r="R51" s="27" t="n">
        <v>50.307</v>
      </c>
      <c r="S51" s="27" t="n">
        <v>49.213</v>
      </c>
      <c r="T51" s="27" t="n">
        <v>49.76</v>
      </c>
      <c r="U51" s="27" t="n">
        <v>50.307</v>
      </c>
      <c r="V51" s="27" t="n">
        <v>50.307</v>
      </c>
      <c r="W51" s="27" t="n">
        <v>49.76</v>
      </c>
      <c r="X51" s="27" t="n">
        <v>49.76</v>
      </c>
      <c r="Y51" s="27" t="n">
        <v>50.307</v>
      </c>
      <c r="Z51" s="27" t="n">
        <v>50.307</v>
      </c>
      <c r="AA51" s="27" t="n">
        <v>49.213</v>
      </c>
      <c r="AB51" s="27" t="n">
        <v>4.376</v>
      </c>
      <c r="BJ51" s="35" t="n">
        <v>1</v>
      </c>
      <c r="BK51" s="16" t="n">
        <v>1121.4</v>
      </c>
      <c r="BL51" s="41" t="n">
        <v>1</v>
      </c>
      <c r="BM51" t="inlineStr">
        <is>
          <t>2021-05-10</t>
        </is>
      </c>
      <c r="BN51" t="n">
        <v>1</v>
      </c>
      <c r="BO51" t="inlineStr">
        <is>
          <t>④호황</t>
        </is>
      </c>
      <c r="BP51" s="27" t="n">
        <v>783.039</v>
      </c>
      <c r="BQ51" t="inlineStr">
        <is>
          <t>2025-04-08</t>
        </is>
      </c>
    </row>
    <row r="52">
      <c r="A52" t="inlineStr">
        <is>
          <t>20261006800410</t>
        </is>
      </c>
      <c r="B52" t="inlineStr">
        <is>
          <t>OTHER</t>
        </is>
      </c>
      <c r="D52" t="inlineStr">
        <is>
          <t>보령화력 1~8호기 저탄장 옥내화 공사</t>
        </is>
      </c>
      <c r="M52" s="27" t="n">
        <v>3.864</v>
      </c>
      <c r="N52" s="27" t="n">
        <v>12.26</v>
      </c>
      <c r="O52" s="27" t="n">
        <v>11.993</v>
      </c>
      <c r="P52" s="27" t="n">
        <v>12.126</v>
      </c>
      <c r="Q52" s="27" t="n">
        <v>12.26</v>
      </c>
      <c r="R52" s="27" t="n">
        <v>12.26</v>
      </c>
      <c r="S52" s="27" t="n">
        <v>11.993</v>
      </c>
      <c r="T52" s="27" t="n">
        <v>12.126</v>
      </c>
      <c r="U52" s="27" t="n">
        <v>12.26</v>
      </c>
      <c r="V52" s="27" t="n">
        <v>12.26</v>
      </c>
      <c r="W52" s="27" t="n">
        <v>12.126</v>
      </c>
      <c r="X52" s="27" t="n">
        <v>12.126</v>
      </c>
      <c r="Y52" s="27" t="n">
        <v>12.26</v>
      </c>
      <c r="Z52" s="27" t="n">
        <v>12.26</v>
      </c>
      <c r="AA52" s="27" t="n">
        <v>11.993</v>
      </c>
      <c r="AB52" s="27" t="n">
        <v>12.126</v>
      </c>
      <c r="AC52" s="27" t="n">
        <v>12.26</v>
      </c>
      <c r="AD52" s="27" t="n">
        <v>12.26</v>
      </c>
      <c r="AE52" s="27" t="n">
        <v>11.993</v>
      </c>
      <c r="AF52" s="27" t="n">
        <v>12.126</v>
      </c>
      <c r="AG52" s="27" t="n">
        <v>12.26</v>
      </c>
      <c r="AH52" s="27" t="n">
        <v>12.26</v>
      </c>
      <c r="AI52" s="27" t="n">
        <v>11.993</v>
      </c>
      <c r="AJ52" s="27" t="n">
        <v>12.126</v>
      </c>
      <c r="AK52" s="27" t="n">
        <v>8.262</v>
      </c>
      <c r="BJ52" s="35" t="n">
        <v>0</v>
      </c>
      <c r="BK52" s="16" t="n">
        <v>1159.91</v>
      </c>
      <c r="BL52" s="41" t="n">
        <v>1</v>
      </c>
      <c r="BM52" t="inlineStr">
        <is>
          <t>2021-09-02</t>
        </is>
      </c>
      <c r="BN52" t="n">
        <v>1</v>
      </c>
      <c r="BP52" s="27" t="n">
        <v>291.833</v>
      </c>
      <c r="BQ52" t="inlineStr">
        <is>
          <t>2027-08-31</t>
        </is>
      </c>
    </row>
    <row r="54">
      <c r="A54" s="1" t="inlineStr">
        <is>
          <t>② 계약별 원화(백만원, 수식)</t>
        </is>
      </c>
      <c r="B54" s="1" t="inlineStr">
        <is>
          <t>type</t>
        </is>
      </c>
      <c r="C54" s="1" t="inlineStr">
        <is>
          <t>ships</t>
        </is>
      </c>
      <c r="D54" s="1" t="inlineStr">
        <is>
          <t>name</t>
        </is>
      </c>
    </row>
    <row r="55">
      <c r="A55" t="inlineStr">
        <is>
          <t>20251121800424</t>
        </is>
      </c>
      <c r="B55" t="inlineStr">
        <is>
          <t>VLCC</t>
        </is>
      </c>
      <c r="C55" t="n">
        <v>4</v>
      </c>
      <c r="D55" t="inlineStr">
        <is>
          <t>VLCC 4척</t>
        </is>
      </c>
      <c r="AD55" s="18">
        <f>IFERROR(AD33*$BJ33*(1+($BL33-1)*AD$30)*($D$27*$BK33+(1-$D$27)*AD$29),"")</f>
        <v/>
      </c>
      <c r="AE55" s="18">
        <f>IFERROR(AE33*$BJ33*(1+($BL33-1)*AE$30)*($D$27*$BK33+(1-$D$27)*AE$29),"")</f>
        <v/>
      </c>
      <c r="AF55" s="18">
        <f>IFERROR(AF33*$BJ33*(1+($BL33-1)*AF$30)*($D$27*$BK33+(1-$D$27)*AF$29),"")</f>
        <v/>
      </c>
      <c r="AG55" s="18">
        <f>IFERROR(AG33*$BJ33*(1+($BL33-1)*AG$30)*($D$27*$BK33+(1-$D$27)*AG$29),"")</f>
        <v/>
      </c>
      <c r="AH55" s="18">
        <f>IFERROR(AH33*$BJ33*(1+($BL33-1)*AH$30)*($D$27*$BK33+(1-$D$27)*AH$29),"")</f>
        <v/>
      </c>
      <c r="AI55" s="18">
        <f>IFERROR(AI33*$BJ33*(1+($BL33-1)*AI$30)*($D$27*$BK33+(1-$D$27)*AI$29),"")</f>
        <v/>
      </c>
      <c r="AJ55" s="18">
        <f>IFERROR(AJ33*$BJ33*(1+($BL33-1)*AJ$30)*($D$27*$BK33+(1-$D$27)*AJ$29),"")</f>
        <v/>
      </c>
      <c r="AK55" s="18">
        <f>IFERROR(AK33*$BJ33*(1+($BL33-1)*AK$30)*($D$27*$BK33+(1-$D$27)*AK$29),"")</f>
        <v/>
      </c>
      <c r="AL55" s="18">
        <f>IFERROR(AL33*$BJ33*(1+($BL33-1)*AL$30)*($D$27*$BK33+(1-$D$27)*AL$29),"")</f>
        <v/>
      </c>
      <c r="AM55" s="18">
        <f>IFERROR(AM33*$BJ33*(1+($BL33-1)*AM$30)*($D$27*$BK33+(1-$D$27)*AM$29),"")</f>
        <v/>
      </c>
      <c r="AN55" s="18">
        <f>IFERROR(AN33*$BJ33*(1+($BL33-1)*AN$30)*($D$27*$BK33+(1-$D$27)*AN$29),"")</f>
        <v/>
      </c>
      <c r="AO55" s="18">
        <f>IFERROR(AO33*$BJ33*(1+($BL33-1)*AO$30)*($D$27*$BK33+(1-$D$27)*AO$29),"")</f>
        <v/>
      </c>
      <c r="AP55" s="18">
        <f>IFERROR(AP33*$BJ33*(1+($BL33-1)*AP$30)*($D$27*$BK33+(1-$D$27)*AP$29),"")</f>
        <v/>
      </c>
      <c r="AQ55" s="18">
        <f>IFERROR(AQ33*$BJ33*(1+($BL33-1)*AQ$30)*($D$27*$BK33+(1-$D$27)*AQ$29),"")</f>
        <v/>
      </c>
      <c r="AR55" s="18">
        <f>IFERROR(AR33*$BJ33*(1+($BL33-1)*AR$30)*($D$27*$BK33+(1-$D$27)*AR$29),"")</f>
        <v/>
      </c>
      <c r="AS55" s="18">
        <f>IFERROR(AS33*$BJ33*(1+($BL33-1)*AS$30)*($D$27*$BK33+(1-$D$27)*AS$29),"")</f>
        <v/>
      </c>
    </row>
    <row r="56">
      <c r="A56" t="inlineStr">
        <is>
          <t>20251124800131</t>
        </is>
      </c>
      <c r="B56" t="inlineStr">
        <is>
          <t>CONT</t>
        </is>
      </c>
      <c r="C56" t="n">
        <v>6</v>
      </c>
      <c r="D56" t="inlineStr">
        <is>
          <t>컨테이너선 6척</t>
        </is>
      </c>
      <c r="AD56" s="18">
        <f>IFERROR(AD34*$BJ34*(1+($BL34-1)*AD$30)*($D$27*$BK34+(1-$D$27)*AD$29),"")</f>
        <v/>
      </c>
      <c r="AE56" s="18">
        <f>IFERROR(AE34*$BJ34*(1+($BL34-1)*AE$30)*($D$27*$BK34+(1-$D$27)*AE$29),"")</f>
        <v/>
      </c>
      <c r="AF56" s="18">
        <f>IFERROR(AF34*$BJ34*(1+($BL34-1)*AF$30)*($D$27*$BK34+(1-$D$27)*AF$29),"")</f>
        <v/>
      </c>
      <c r="AG56" s="18">
        <f>IFERROR(AG34*$BJ34*(1+($BL34-1)*AG$30)*($D$27*$BK34+(1-$D$27)*AG$29),"")</f>
        <v/>
      </c>
      <c r="AH56" s="18">
        <f>IFERROR(AH34*$BJ34*(1+($BL34-1)*AH$30)*($D$27*$BK34+(1-$D$27)*AH$29),"")</f>
        <v/>
      </c>
      <c r="AI56" s="18">
        <f>IFERROR(AI34*$BJ34*(1+($BL34-1)*AI$30)*($D$27*$BK34+(1-$D$27)*AI$29),"")</f>
        <v/>
      </c>
      <c r="AJ56" s="18">
        <f>IFERROR(AJ34*$BJ34*(1+($BL34-1)*AJ$30)*($D$27*$BK34+(1-$D$27)*AJ$29),"")</f>
        <v/>
      </c>
      <c r="AK56" s="18">
        <f>IFERROR(AK34*$BJ34*(1+($BL34-1)*AK$30)*($D$27*$BK34+(1-$D$27)*AK$29),"")</f>
        <v/>
      </c>
      <c r="AL56" s="18">
        <f>IFERROR(AL34*$BJ34*(1+($BL34-1)*AL$30)*($D$27*$BK34+(1-$D$27)*AL$29),"")</f>
        <v/>
      </c>
      <c r="AM56" s="18">
        <f>IFERROR(AM34*$BJ34*(1+($BL34-1)*AM$30)*($D$27*$BK34+(1-$D$27)*AM$29),"")</f>
        <v/>
      </c>
      <c r="AN56" s="18">
        <f>IFERROR(AN34*$BJ34*(1+($BL34-1)*AN$30)*($D$27*$BK34+(1-$D$27)*AN$29),"")</f>
        <v/>
      </c>
      <c r="AO56" s="18">
        <f>IFERROR(AO34*$BJ34*(1+($BL34-1)*AO$30)*($D$27*$BK34+(1-$D$27)*AO$29),"")</f>
        <v/>
      </c>
      <c r="AP56" s="18">
        <f>IFERROR(AP34*$BJ34*(1+($BL34-1)*AP$30)*($D$27*$BK34+(1-$D$27)*AP$29),"")</f>
        <v/>
      </c>
      <c r="AQ56" s="18">
        <f>IFERROR(AQ34*$BJ34*(1+($BL34-1)*AQ$30)*($D$27*$BK34+(1-$D$27)*AQ$29),"")</f>
        <v/>
      </c>
      <c r="AR56" s="18">
        <f>IFERROR(AR34*$BJ34*(1+($BL34-1)*AR$30)*($D$27*$BK34+(1-$D$27)*AR$29),"")</f>
        <v/>
      </c>
    </row>
    <row r="57">
      <c r="A57" t="inlineStr">
        <is>
          <t>20251202800104</t>
        </is>
      </c>
      <c r="B57" t="inlineStr">
        <is>
          <t>LNGC</t>
        </is>
      </c>
      <c r="C57" t="n">
        <v>1</v>
      </c>
      <c r="D57" t="inlineStr">
        <is>
          <t>LNGC 1척</t>
        </is>
      </c>
      <c r="AD57" s="18">
        <f>IFERROR(AD35*$BJ35*(1+($BL35-1)*AD$30)*($D$27*$BK35+(1-$D$27)*AD$29),"")</f>
        <v/>
      </c>
      <c r="AE57" s="18">
        <f>IFERROR(AE35*$BJ35*(1+($BL35-1)*AE$30)*($D$27*$BK35+(1-$D$27)*AE$29),"")</f>
        <v/>
      </c>
      <c r="AF57" s="18">
        <f>IFERROR(AF35*$BJ35*(1+($BL35-1)*AF$30)*($D$27*$BK35+(1-$D$27)*AF$29),"")</f>
        <v/>
      </c>
      <c r="AG57" s="18">
        <f>IFERROR(AG35*$BJ35*(1+($BL35-1)*AG$30)*($D$27*$BK35+(1-$D$27)*AG$29),"")</f>
        <v/>
      </c>
      <c r="AH57" s="18">
        <f>IFERROR(AH35*$BJ35*(1+($BL35-1)*AH$30)*($D$27*$BK35+(1-$D$27)*AH$29),"")</f>
        <v/>
      </c>
      <c r="AI57" s="18">
        <f>IFERROR(AI35*$BJ35*(1+($BL35-1)*AI$30)*($D$27*$BK35+(1-$D$27)*AI$29),"")</f>
        <v/>
      </c>
      <c r="AJ57" s="18">
        <f>IFERROR(AJ35*$BJ35*(1+($BL35-1)*AJ$30)*($D$27*$BK35+(1-$D$27)*AJ$29),"")</f>
        <v/>
      </c>
      <c r="AK57" s="18">
        <f>IFERROR(AK35*$BJ35*(1+($BL35-1)*AK$30)*($D$27*$BK35+(1-$D$27)*AK$29),"")</f>
        <v/>
      </c>
      <c r="AL57" s="18">
        <f>IFERROR(AL35*$BJ35*(1+($BL35-1)*AL$30)*($D$27*$BK35+(1-$D$27)*AL$29),"")</f>
        <v/>
      </c>
      <c r="AM57" s="18">
        <f>IFERROR(AM35*$BJ35*(1+($BL35-1)*AM$30)*($D$27*$BK35+(1-$D$27)*AM$29),"")</f>
        <v/>
      </c>
      <c r="AN57" s="18">
        <f>IFERROR(AN35*$BJ35*(1+($BL35-1)*AN$30)*($D$27*$BK35+(1-$D$27)*AN$29),"")</f>
        <v/>
      </c>
      <c r="AO57" s="18">
        <f>IFERROR(AO35*$BJ35*(1+($BL35-1)*AO$30)*($D$27*$BK35+(1-$D$27)*AO$29),"")</f>
        <v/>
      </c>
      <c r="AP57" s="18">
        <f>IFERROR(AP35*$BJ35*(1+($BL35-1)*AP$30)*($D$27*$BK35+(1-$D$27)*AP$29),"")</f>
        <v/>
      </c>
    </row>
    <row r="58">
      <c r="A58" t="inlineStr">
        <is>
          <t>20251215800970</t>
        </is>
      </c>
      <c r="B58" t="inlineStr">
        <is>
          <t>OTHER</t>
        </is>
      </c>
      <c r="D58" t="inlineStr">
        <is>
          <t>태안화력 5~8호기 저탄장 옥내화 공사</t>
        </is>
      </c>
      <c r="E58" s="18">
        <f>IFERROR(E36*$BJ36*(1+($BL36-1)*E$30)*($D$27*$BK36+(1-$D$27)*E$29),"")</f>
        <v/>
      </c>
      <c r="F58" s="18">
        <f>IFERROR(F36*$BJ36*(1+($BL36-1)*F$30)*($D$27*$BK36+(1-$D$27)*F$29),"")</f>
        <v/>
      </c>
      <c r="G58" s="18">
        <f>IFERROR(G36*$BJ36*(1+($BL36-1)*G$30)*($D$27*$BK36+(1-$D$27)*G$29),"")</f>
        <v/>
      </c>
      <c r="H58" s="18">
        <f>IFERROR(H36*$BJ36*(1+($BL36-1)*H$30)*($D$27*$BK36+(1-$D$27)*H$29),"")</f>
        <v/>
      </c>
      <c r="I58" s="18">
        <f>IFERROR(I36*$BJ36*(1+($BL36-1)*I$30)*($D$27*$BK36+(1-$D$27)*I$29),"")</f>
        <v/>
      </c>
      <c r="J58" s="18">
        <f>IFERROR(J36*$BJ36*(1+($BL36-1)*J$30)*($D$27*$BK36+(1-$D$27)*J$29),"")</f>
        <v/>
      </c>
      <c r="K58" s="18">
        <f>IFERROR(K36*$BJ36*(1+($BL36-1)*K$30)*($D$27*$BK36+(1-$D$27)*K$29),"")</f>
        <v/>
      </c>
      <c r="L58" s="18">
        <f>IFERROR(L36*$BJ36*(1+($BL36-1)*L$30)*($D$27*$BK36+(1-$D$27)*L$29),"")</f>
        <v/>
      </c>
      <c r="M58" s="18">
        <f>IFERROR(M36*$BJ36*(1+($BL36-1)*M$30)*($D$27*$BK36+(1-$D$27)*M$29),"")</f>
        <v/>
      </c>
      <c r="N58" s="18">
        <f>IFERROR(N36*$BJ36*(1+($BL36-1)*N$30)*($D$27*$BK36+(1-$D$27)*N$29),"")</f>
        <v/>
      </c>
      <c r="O58" s="18">
        <f>IFERROR(O36*$BJ36*(1+($BL36-1)*O$30)*($D$27*$BK36+(1-$D$27)*O$29),"")</f>
        <v/>
      </c>
      <c r="P58" s="18">
        <f>IFERROR(P36*$BJ36*(1+($BL36-1)*P$30)*($D$27*$BK36+(1-$D$27)*P$29),"")</f>
        <v/>
      </c>
      <c r="Q58" s="18">
        <f>IFERROR(Q36*$BJ36*(1+($BL36-1)*Q$30)*($D$27*$BK36+(1-$D$27)*Q$29),"")</f>
        <v/>
      </c>
      <c r="R58" s="18">
        <f>IFERROR(R36*$BJ36*(1+($BL36-1)*R$30)*($D$27*$BK36+(1-$D$27)*R$29),"")</f>
        <v/>
      </c>
      <c r="S58" s="18">
        <f>IFERROR(S36*$BJ36*(1+($BL36-1)*S$30)*($D$27*$BK36+(1-$D$27)*S$29),"")</f>
        <v/>
      </c>
      <c r="T58" s="18">
        <f>IFERROR(T36*$BJ36*(1+($BL36-1)*T$30)*($D$27*$BK36+(1-$D$27)*T$29),"")</f>
        <v/>
      </c>
      <c r="U58" s="18">
        <f>IFERROR(U36*$BJ36*(1+($BL36-1)*U$30)*($D$27*$BK36+(1-$D$27)*U$29),"")</f>
        <v/>
      </c>
      <c r="V58" s="18">
        <f>IFERROR(V36*$BJ36*(1+($BL36-1)*V$30)*($D$27*$BK36+(1-$D$27)*V$29),"")</f>
        <v/>
      </c>
      <c r="W58" s="18">
        <f>IFERROR(W36*$BJ36*(1+($BL36-1)*W$30)*($D$27*$BK36+(1-$D$27)*W$29),"")</f>
        <v/>
      </c>
      <c r="X58" s="18">
        <f>IFERROR(X36*$BJ36*(1+($BL36-1)*X$30)*($D$27*$BK36+(1-$D$27)*X$29),"")</f>
        <v/>
      </c>
      <c r="Y58" s="18">
        <f>IFERROR(Y36*$BJ36*(1+($BL36-1)*Y$30)*($D$27*$BK36+(1-$D$27)*Y$29),"")</f>
        <v/>
      </c>
      <c r="Z58" s="18">
        <f>IFERROR(Z36*$BJ36*(1+($BL36-1)*Z$30)*($D$27*$BK36+(1-$D$27)*Z$29),"")</f>
        <v/>
      </c>
      <c r="AA58" s="18">
        <f>IFERROR(AA36*$BJ36*(1+($BL36-1)*AA$30)*($D$27*$BK36+(1-$D$27)*AA$29),"")</f>
        <v/>
      </c>
      <c r="AB58" s="18">
        <f>IFERROR(AB36*$BJ36*(1+($BL36-1)*AB$30)*($D$27*$BK36+(1-$D$27)*AB$29),"")</f>
        <v/>
      </c>
      <c r="AC58" s="18">
        <f>IFERROR(AC36*$BJ36*(1+($BL36-1)*AC$30)*($D$27*$BK36+(1-$D$27)*AC$29),"")</f>
        <v/>
      </c>
      <c r="AD58" s="18">
        <f>IFERROR(AD36*$BJ36*(1+($BL36-1)*AD$30)*($D$27*$BK36+(1-$D$27)*AD$29),"")</f>
        <v/>
      </c>
    </row>
    <row r="59">
      <c r="A59" t="inlineStr">
        <is>
          <t>20251219800421</t>
        </is>
      </c>
      <c r="B59" t="inlineStr">
        <is>
          <t>LNGC</t>
        </is>
      </c>
      <c r="C59" t="n">
        <v>3</v>
      </c>
      <c r="D59" t="inlineStr">
        <is>
          <t>LNGC 3척</t>
        </is>
      </c>
      <c r="AB59" s="18">
        <f>IFERROR(AB37*$BJ37*(1+($BL37-1)*AB$30)*($D$27*$BK37+(1-$D$27)*AB$29),"")</f>
        <v/>
      </c>
      <c r="AC59" s="18">
        <f>IFERROR(AC37*$BJ37*(1+($BL37-1)*AC$30)*($D$27*$BK37+(1-$D$27)*AC$29),"")</f>
        <v/>
      </c>
      <c r="AD59" s="18">
        <f>IFERROR(AD37*$BJ37*(1+($BL37-1)*AD$30)*($D$27*$BK37+(1-$D$27)*AD$29),"")</f>
        <v/>
      </c>
      <c r="AE59" s="18">
        <f>IFERROR(AE37*$BJ37*(1+($BL37-1)*AE$30)*($D$27*$BK37+(1-$D$27)*AE$29),"")</f>
        <v/>
      </c>
      <c r="AF59" s="18">
        <f>IFERROR(AF37*$BJ37*(1+($BL37-1)*AF$30)*($D$27*$BK37+(1-$D$27)*AF$29),"")</f>
        <v/>
      </c>
      <c r="AG59" s="18">
        <f>IFERROR(AG37*$BJ37*(1+($BL37-1)*AG$30)*($D$27*$BK37+(1-$D$27)*AG$29),"")</f>
        <v/>
      </c>
      <c r="AH59" s="18">
        <f>IFERROR(AH37*$BJ37*(1+($BL37-1)*AH$30)*($D$27*$BK37+(1-$D$27)*AH$29),"")</f>
        <v/>
      </c>
      <c r="AI59" s="18">
        <f>IFERROR(AI37*$BJ37*(1+($BL37-1)*AI$30)*($D$27*$BK37+(1-$D$27)*AI$29),"")</f>
        <v/>
      </c>
      <c r="AJ59" s="18">
        <f>IFERROR(AJ37*$BJ37*(1+($BL37-1)*AJ$30)*($D$27*$BK37+(1-$D$27)*AJ$29),"")</f>
        <v/>
      </c>
      <c r="AK59" s="18">
        <f>IFERROR(AK37*$BJ37*(1+($BL37-1)*AK$30)*($D$27*$BK37+(1-$D$27)*AK$29),"")</f>
        <v/>
      </c>
      <c r="AL59" s="18">
        <f>IFERROR(AL37*$BJ37*(1+($BL37-1)*AL$30)*($D$27*$BK37+(1-$D$27)*AL$29),"")</f>
        <v/>
      </c>
      <c r="AM59" s="18">
        <f>IFERROR(AM37*$BJ37*(1+($BL37-1)*AM$30)*($D$27*$BK37+(1-$D$27)*AM$29),"")</f>
        <v/>
      </c>
      <c r="AN59" s="18">
        <f>IFERROR(AN37*$BJ37*(1+($BL37-1)*AN$30)*($D$27*$BK37+(1-$D$27)*AN$29),"")</f>
        <v/>
      </c>
      <c r="AO59" s="18">
        <f>IFERROR(AO37*$BJ37*(1+($BL37-1)*AO$30)*($D$27*$BK37+(1-$D$27)*AO$29),"")</f>
        <v/>
      </c>
      <c r="AP59" s="18">
        <f>IFERROR(AP37*$BJ37*(1+($BL37-1)*AP$30)*($D$27*$BK37+(1-$D$27)*AP$29),"")</f>
        <v/>
      </c>
      <c r="AQ59" s="18">
        <f>IFERROR(AQ37*$BJ37*(1+($BL37-1)*AQ$30)*($D$27*$BK37+(1-$D$27)*AQ$29),"")</f>
        <v/>
      </c>
    </row>
    <row r="60">
      <c r="A60" t="inlineStr">
        <is>
          <t>20251219800433</t>
        </is>
      </c>
      <c r="B60" t="inlineStr">
        <is>
          <t>CONT</t>
        </is>
      </c>
      <c r="C60" t="n">
        <v>4</v>
      </c>
      <c r="D60" t="inlineStr">
        <is>
          <t>컨테이너선 4척</t>
        </is>
      </c>
      <c r="AD60" s="18">
        <f>IFERROR(AD38*$BJ38*(1+($BL38-1)*AD$30)*($D$27*$BK38+(1-$D$27)*AD$29),"")</f>
        <v/>
      </c>
      <c r="AE60" s="18">
        <f>IFERROR(AE38*$BJ38*(1+($BL38-1)*AE$30)*($D$27*$BK38+(1-$D$27)*AE$29),"")</f>
        <v/>
      </c>
      <c r="AF60" s="18">
        <f>IFERROR(AF38*$BJ38*(1+($BL38-1)*AF$30)*($D$27*$BK38+(1-$D$27)*AF$29),"")</f>
        <v/>
      </c>
      <c r="AG60" s="18">
        <f>IFERROR(AG38*$BJ38*(1+($BL38-1)*AG$30)*($D$27*$BK38+(1-$D$27)*AG$29),"")</f>
        <v/>
      </c>
      <c r="AH60" s="18">
        <f>IFERROR(AH38*$BJ38*(1+($BL38-1)*AH$30)*($D$27*$BK38+(1-$D$27)*AH$29),"")</f>
        <v/>
      </c>
      <c r="AI60" s="18">
        <f>IFERROR(AI38*$BJ38*(1+($BL38-1)*AI$30)*($D$27*$BK38+(1-$D$27)*AI$29),"")</f>
        <v/>
      </c>
      <c r="AJ60" s="18">
        <f>IFERROR(AJ38*$BJ38*(1+($BL38-1)*AJ$30)*($D$27*$BK38+(1-$D$27)*AJ$29),"")</f>
        <v/>
      </c>
      <c r="AK60" s="18">
        <f>IFERROR(AK38*$BJ38*(1+($BL38-1)*AK$30)*($D$27*$BK38+(1-$D$27)*AK$29),"")</f>
        <v/>
      </c>
      <c r="AL60" s="18">
        <f>IFERROR(AL38*$BJ38*(1+($BL38-1)*AL$30)*($D$27*$BK38+(1-$D$27)*AL$29),"")</f>
        <v/>
      </c>
      <c r="AM60" s="18">
        <f>IFERROR(AM38*$BJ38*(1+($BL38-1)*AM$30)*($D$27*$BK38+(1-$D$27)*AM$29),"")</f>
        <v/>
      </c>
      <c r="AN60" s="18">
        <f>IFERROR(AN38*$BJ38*(1+($BL38-1)*AN$30)*($D$27*$BK38+(1-$D$27)*AN$29),"")</f>
        <v/>
      </c>
      <c r="AO60" s="18">
        <f>IFERROR(AO38*$BJ38*(1+($BL38-1)*AO$30)*($D$27*$BK38+(1-$D$27)*AO$29),"")</f>
        <v/>
      </c>
      <c r="AP60" s="18">
        <f>IFERROR(AP38*$BJ38*(1+($BL38-1)*AP$30)*($D$27*$BK38+(1-$D$27)*AP$29),"")</f>
        <v/>
      </c>
    </row>
    <row r="61">
      <c r="A61" t="inlineStr">
        <is>
          <t>20260116800207</t>
        </is>
      </c>
      <c r="B61" t="inlineStr">
        <is>
          <t>VLGC</t>
        </is>
      </c>
      <c r="C61" t="n">
        <v>1</v>
      </c>
      <c r="D61" t="inlineStr">
        <is>
          <t>VLGC 1척</t>
        </is>
      </c>
      <c r="AE61" s="18">
        <f>IFERROR(AE39*$BJ39*(1+($BL39-1)*AE$30)*($D$27*$BK39+(1-$D$27)*AE$29),"")</f>
        <v/>
      </c>
      <c r="AF61" s="18">
        <f>IFERROR(AF39*$BJ39*(1+($BL39-1)*AF$30)*($D$27*$BK39+(1-$D$27)*AF$29),"")</f>
        <v/>
      </c>
      <c r="AG61" s="18">
        <f>IFERROR(AG39*$BJ39*(1+($BL39-1)*AG$30)*($D$27*$BK39+(1-$D$27)*AG$29),"")</f>
        <v/>
      </c>
      <c r="AH61" s="18">
        <f>IFERROR(AH39*$BJ39*(1+($BL39-1)*AH$30)*($D$27*$BK39+(1-$D$27)*AH$29),"")</f>
        <v/>
      </c>
      <c r="AI61" s="18">
        <f>IFERROR(AI39*$BJ39*(1+($BL39-1)*AI$30)*($D$27*$BK39+(1-$D$27)*AI$29),"")</f>
        <v/>
      </c>
      <c r="AJ61" s="18">
        <f>IFERROR(AJ39*$BJ39*(1+($BL39-1)*AJ$30)*($D$27*$BK39+(1-$D$27)*AJ$29),"")</f>
        <v/>
      </c>
      <c r="AK61" s="18">
        <f>IFERROR(AK39*$BJ39*(1+($BL39-1)*AK$30)*($D$27*$BK39+(1-$D$27)*AK$29),"")</f>
        <v/>
      </c>
      <c r="AL61" s="18">
        <f>IFERROR(AL39*$BJ39*(1+($BL39-1)*AL$30)*($D$27*$BK39+(1-$D$27)*AL$29),"")</f>
        <v/>
      </c>
      <c r="AM61" s="18">
        <f>IFERROR(AM39*$BJ39*(1+($BL39-1)*AM$30)*($D$27*$BK39+(1-$D$27)*AM$29),"")</f>
        <v/>
      </c>
      <c r="AN61" s="18">
        <f>IFERROR(AN39*$BJ39*(1+($BL39-1)*AN$30)*($D$27*$BK39+(1-$D$27)*AN$29),"")</f>
        <v/>
      </c>
    </row>
    <row r="62">
      <c r="A62" t="inlineStr">
        <is>
          <t>20260202800947</t>
        </is>
      </c>
      <c r="B62" t="inlineStr">
        <is>
          <t>LNGC</t>
        </is>
      </c>
      <c r="C62" t="n">
        <v>1</v>
      </c>
      <c r="D62" t="inlineStr">
        <is>
          <t>LNGC 1척</t>
        </is>
      </c>
      <c r="AE62" s="18">
        <f>IFERROR(AE40*$BJ40*(1+($BL40-1)*AE$30)*($D$27*$BK40+(1-$D$27)*AE$29),"")</f>
        <v/>
      </c>
      <c r="AF62" s="18">
        <f>IFERROR(AF40*$BJ40*(1+($BL40-1)*AF$30)*($D$27*$BK40+(1-$D$27)*AF$29),"")</f>
        <v/>
      </c>
      <c r="AG62" s="18">
        <f>IFERROR(AG40*$BJ40*(1+($BL40-1)*AG$30)*($D$27*$BK40+(1-$D$27)*AG$29),"")</f>
        <v/>
      </c>
      <c r="AH62" s="18">
        <f>IFERROR(AH40*$BJ40*(1+($BL40-1)*AH$30)*($D$27*$BK40+(1-$D$27)*AH$29),"")</f>
        <v/>
      </c>
      <c r="AI62" s="18">
        <f>IFERROR(AI40*$BJ40*(1+($BL40-1)*AI$30)*($D$27*$BK40+(1-$D$27)*AI$29),"")</f>
        <v/>
      </c>
      <c r="AJ62" s="18">
        <f>IFERROR(AJ40*$BJ40*(1+($BL40-1)*AJ$30)*($D$27*$BK40+(1-$D$27)*AJ$29),"")</f>
        <v/>
      </c>
      <c r="AK62" s="18">
        <f>IFERROR(AK40*$BJ40*(1+($BL40-1)*AK$30)*($D$27*$BK40+(1-$D$27)*AK$29),"")</f>
        <v/>
      </c>
      <c r="AL62" s="18">
        <f>IFERROR(AL40*$BJ40*(1+($BL40-1)*AL$30)*($D$27*$BK40+(1-$D$27)*AL$29),"")</f>
        <v/>
      </c>
      <c r="AM62" s="18">
        <f>IFERROR(AM40*$BJ40*(1+($BL40-1)*AM$30)*($D$27*$BK40+(1-$D$27)*AM$29),"")</f>
        <v/>
      </c>
      <c r="AN62" s="18">
        <f>IFERROR(AN40*$BJ40*(1+($BL40-1)*AN$30)*($D$27*$BK40+(1-$D$27)*AN$29),"")</f>
        <v/>
      </c>
    </row>
    <row r="63">
      <c r="A63" t="inlineStr">
        <is>
          <t>20260304800002</t>
        </is>
      </c>
      <c r="B63" t="inlineStr">
        <is>
          <t>VLCC</t>
        </is>
      </c>
      <c r="C63" t="n">
        <v>4</v>
      </c>
      <c r="D63" t="inlineStr">
        <is>
          <t>157,000 DWT 원유운반선 4척</t>
        </is>
      </c>
      <c r="AD63" s="18">
        <f>IFERROR(AD41*$BJ41*(1+($BL41-1)*AD$30)*($D$27*$BK41+(1-$D$27)*AD$29),"")</f>
        <v/>
      </c>
      <c r="AE63" s="18">
        <f>IFERROR(AE41*$BJ41*(1+($BL41-1)*AE$30)*($D$27*$BK41+(1-$D$27)*AE$29),"")</f>
        <v/>
      </c>
      <c r="AF63" s="18">
        <f>IFERROR(AF41*$BJ41*(1+($BL41-1)*AF$30)*($D$27*$BK41+(1-$D$27)*AF$29),"")</f>
        <v/>
      </c>
      <c r="AG63" s="18">
        <f>IFERROR(AG41*$BJ41*(1+($BL41-1)*AG$30)*($D$27*$BK41+(1-$D$27)*AG$29),"")</f>
        <v/>
      </c>
      <c r="AH63" s="18">
        <f>IFERROR(AH41*$BJ41*(1+($BL41-1)*AH$30)*($D$27*$BK41+(1-$D$27)*AH$29),"")</f>
        <v/>
      </c>
      <c r="AI63" s="18">
        <f>IFERROR(AI41*$BJ41*(1+($BL41-1)*AI$30)*($D$27*$BK41+(1-$D$27)*AI$29),"")</f>
        <v/>
      </c>
      <c r="AJ63" s="18">
        <f>IFERROR(AJ41*$BJ41*(1+($BL41-1)*AJ$30)*($D$27*$BK41+(1-$D$27)*AJ$29),"")</f>
        <v/>
      </c>
      <c r="AK63" s="18">
        <f>IFERROR(AK41*$BJ41*(1+($BL41-1)*AK$30)*($D$27*$BK41+(1-$D$27)*AK$29),"")</f>
        <v/>
      </c>
      <c r="AL63" s="18">
        <f>IFERROR(AL41*$BJ41*(1+($BL41-1)*AL$30)*($D$27*$BK41+(1-$D$27)*AL$29),"")</f>
        <v/>
      </c>
      <c r="AM63" s="18">
        <f>IFERROR(AM41*$BJ41*(1+($BL41-1)*AM$30)*($D$27*$BK41+(1-$D$27)*AM$29),"")</f>
        <v/>
      </c>
      <c r="AN63" s="18">
        <f>IFERROR(AN41*$BJ41*(1+($BL41-1)*AN$30)*($D$27*$BK41+(1-$D$27)*AN$29),"")</f>
        <v/>
      </c>
      <c r="AO63" s="18">
        <f>IFERROR(AO41*$BJ41*(1+($BL41-1)*AO$30)*($D$27*$BK41+(1-$D$27)*AO$29),"")</f>
        <v/>
      </c>
      <c r="AP63" s="18">
        <f>IFERROR(AP41*$BJ41*(1+($BL41-1)*AP$30)*($D$27*$BK41+(1-$D$27)*AP$29),"")</f>
        <v/>
      </c>
    </row>
    <row r="64">
      <c r="A64" t="inlineStr">
        <is>
          <t>20260306800225</t>
        </is>
      </c>
      <c r="B64" t="inlineStr">
        <is>
          <t>VLCC</t>
        </is>
      </c>
      <c r="C64" t="n">
        <v>2</v>
      </c>
      <c r="D64" t="inlineStr">
        <is>
          <t>157,000 DWT 원유운반선 2척</t>
        </is>
      </c>
      <c r="AE64" s="18">
        <f>IFERROR(AE42*$BJ42*(1+($BL42-1)*AE$30)*($D$27*$BK42+(1-$D$27)*AE$29),"")</f>
        <v/>
      </c>
      <c r="AF64" s="18">
        <f>IFERROR(AF42*$BJ42*(1+($BL42-1)*AF$30)*($D$27*$BK42+(1-$D$27)*AF$29),"")</f>
        <v/>
      </c>
      <c r="AG64" s="18">
        <f>IFERROR(AG42*$BJ42*(1+($BL42-1)*AG$30)*($D$27*$BK42+(1-$D$27)*AG$29),"")</f>
        <v/>
      </c>
      <c r="AH64" s="18">
        <f>IFERROR(AH42*$BJ42*(1+($BL42-1)*AH$30)*($D$27*$BK42+(1-$D$27)*AH$29),"")</f>
        <v/>
      </c>
      <c r="AI64" s="18">
        <f>IFERROR(AI42*$BJ42*(1+($BL42-1)*AI$30)*($D$27*$BK42+(1-$D$27)*AI$29),"")</f>
        <v/>
      </c>
      <c r="AJ64" s="18">
        <f>IFERROR(AJ42*$BJ42*(1+($BL42-1)*AJ$30)*($D$27*$BK42+(1-$D$27)*AJ$29),"")</f>
        <v/>
      </c>
      <c r="AK64" s="18">
        <f>IFERROR(AK42*$BJ42*(1+($BL42-1)*AK$30)*($D$27*$BK42+(1-$D$27)*AK$29),"")</f>
        <v/>
      </c>
      <c r="AL64" s="18">
        <f>IFERROR(AL42*$BJ42*(1+($BL42-1)*AL$30)*($D$27*$BK42+(1-$D$27)*AL$29),"")</f>
        <v/>
      </c>
      <c r="AM64" s="18">
        <f>IFERROR(AM42*$BJ42*(1+($BL42-1)*AM$30)*($D$27*$BK42+(1-$D$27)*AM$29),"")</f>
        <v/>
      </c>
      <c r="AN64" s="18">
        <f>IFERROR(AN42*$BJ42*(1+($BL42-1)*AN$30)*($D$27*$BK42+(1-$D$27)*AN$29),"")</f>
        <v/>
      </c>
      <c r="AO64" s="18">
        <f>IFERROR(AO42*$BJ42*(1+($BL42-1)*AO$30)*($D$27*$BK42+(1-$D$27)*AO$29),"")</f>
        <v/>
      </c>
      <c r="AP64" s="18">
        <f>IFERROR(AP42*$BJ42*(1+($BL42-1)*AP$30)*($D$27*$BK42+(1-$D$27)*AP$29),"")</f>
        <v/>
      </c>
      <c r="AQ64" s="18">
        <f>IFERROR(AQ42*$BJ42*(1+($BL42-1)*AQ$30)*($D$27*$BK42+(1-$D$27)*AQ$29),"")</f>
        <v/>
      </c>
      <c r="AR64" s="18">
        <f>IFERROR(AR42*$BJ42*(1+($BL42-1)*AR$30)*($D$27*$BK42+(1-$D$27)*AR$29),"")</f>
        <v/>
      </c>
    </row>
    <row r="65">
      <c r="A65" t="inlineStr">
        <is>
          <t>20260310800414</t>
        </is>
      </c>
      <c r="B65" t="inlineStr">
        <is>
          <t>VLGC</t>
        </is>
      </c>
      <c r="C65" t="n">
        <v>2</v>
      </c>
      <c r="D65" t="inlineStr">
        <is>
          <t>LPGC 2척</t>
        </is>
      </c>
      <c r="AE65" s="18">
        <f>IFERROR(AE43*$BJ43*(1+($BL43-1)*AE$30)*($D$27*$BK43+(1-$D$27)*AE$29),"")</f>
        <v/>
      </c>
      <c r="AF65" s="18">
        <f>IFERROR(AF43*$BJ43*(1+($BL43-1)*AF$30)*($D$27*$BK43+(1-$D$27)*AF$29),"")</f>
        <v/>
      </c>
      <c r="AG65" s="18">
        <f>IFERROR(AG43*$BJ43*(1+($BL43-1)*AG$30)*($D$27*$BK43+(1-$D$27)*AG$29),"")</f>
        <v/>
      </c>
      <c r="AH65" s="18">
        <f>IFERROR(AH43*$BJ43*(1+($BL43-1)*AH$30)*($D$27*$BK43+(1-$D$27)*AH$29),"")</f>
        <v/>
      </c>
      <c r="AI65" s="18">
        <f>IFERROR(AI43*$BJ43*(1+($BL43-1)*AI$30)*($D$27*$BK43+(1-$D$27)*AI$29),"")</f>
        <v/>
      </c>
      <c r="AJ65" s="18">
        <f>IFERROR(AJ43*$BJ43*(1+($BL43-1)*AJ$30)*($D$27*$BK43+(1-$D$27)*AJ$29),"")</f>
        <v/>
      </c>
      <c r="AK65" s="18">
        <f>IFERROR(AK43*$BJ43*(1+($BL43-1)*AK$30)*($D$27*$BK43+(1-$D$27)*AK$29),"")</f>
        <v/>
      </c>
      <c r="AL65" s="18">
        <f>IFERROR(AL43*$BJ43*(1+($BL43-1)*AL$30)*($D$27*$BK43+(1-$D$27)*AL$29),"")</f>
        <v/>
      </c>
      <c r="AM65" s="18">
        <f>IFERROR(AM43*$BJ43*(1+($BL43-1)*AM$30)*($D$27*$BK43+(1-$D$27)*AM$29),"")</f>
        <v/>
      </c>
      <c r="AN65" s="18">
        <f>IFERROR(AN43*$BJ43*(1+($BL43-1)*AN$30)*($D$27*$BK43+(1-$D$27)*AN$29),"")</f>
        <v/>
      </c>
      <c r="AO65" s="18">
        <f>IFERROR(AO43*$BJ43*(1+($BL43-1)*AO$30)*($D$27*$BK43+(1-$D$27)*AO$29),"")</f>
        <v/>
      </c>
      <c r="AP65" s="18">
        <f>IFERROR(AP43*$BJ43*(1+($BL43-1)*AP$30)*($D$27*$BK43+(1-$D$27)*AP$29),"")</f>
        <v/>
      </c>
    </row>
    <row r="66">
      <c r="A66" t="inlineStr">
        <is>
          <t>20260403800582</t>
        </is>
      </c>
      <c r="B66" t="inlineStr">
        <is>
          <t>VLGC</t>
        </is>
      </c>
      <c r="C66" t="n">
        <v>2</v>
      </c>
      <c r="D66" t="inlineStr">
        <is>
          <t>LPGC 2척</t>
        </is>
      </c>
      <c r="AF66" s="18">
        <f>IFERROR(AF44*$BJ44*(1+($BL44-1)*AF$30)*($D$27*$BK44+(1-$D$27)*AF$29),"")</f>
        <v/>
      </c>
      <c r="AG66" s="18">
        <f>IFERROR(AG44*$BJ44*(1+($BL44-1)*AG$30)*($D$27*$BK44+(1-$D$27)*AG$29),"")</f>
        <v/>
      </c>
      <c r="AH66" s="18">
        <f>IFERROR(AH44*$BJ44*(1+($BL44-1)*AH$30)*($D$27*$BK44+(1-$D$27)*AH$29),"")</f>
        <v/>
      </c>
      <c r="AI66" s="18">
        <f>IFERROR(AI44*$BJ44*(1+($BL44-1)*AI$30)*($D$27*$BK44+(1-$D$27)*AI$29),"")</f>
        <v/>
      </c>
      <c r="AJ66" s="18">
        <f>IFERROR(AJ44*$BJ44*(1+($BL44-1)*AJ$30)*($D$27*$BK44+(1-$D$27)*AJ$29),"")</f>
        <v/>
      </c>
      <c r="AK66" s="18">
        <f>IFERROR(AK44*$BJ44*(1+($BL44-1)*AK$30)*($D$27*$BK44+(1-$D$27)*AK$29),"")</f>
        <v/>
      </c>
      <c r="AL66" s="18">
        <f>IFERROR(AL44*$BJ44*(1+($BL44-1)*AL$30)*($D$27*$BK44+(1-$D$27)*AL$29),"")</f>
        <v/>
      </c>
      <c r="AM66" s="18">
        <f>IFERROR(AM44*$BJ44*(1+($BL44-1)*AM$30)*($D$27*$BK44+(1-$D$27)*AM$29),"")</f>
        <v/>
      </c>
      <c r="AN66" s="18">
        <f>IFERROR(AN44*$BJ44*(1+($BL44-1)*AN$30)*($D$27*$BK44+(1-$D$27)*AN$29),"")</f>
        <v/>
      </c>
      <c r="AO66" s="18">
        <f>IFERROR(AO44*$BJ44*(1+($BL44-1)*AO$30)*($D$27*$BK44+(1-$D$27)*AO$29),"")</f>
        <v/>
      </c>
      <c r="AP66" s="18">
        <f>IFERROR(AP44*$BJ44*(1+($BL44-1)*AP$30)*($D$27*$BK44+(1-$D$27)*AP$29),"")</f>
        <v/>
      </c>
      <c r="AQ66" s="18">
        <f>IFERROR(AQ44*$BJ44*(1+($BL44-1)*AQ$30)*($D$27*$BK44+(1-$D$27)*AQ$29),"")</f>
        <v/>
      </c>
    </row>
    <row r="67">
      <c r="A67" t="inlineStr">
        <is>
          <t>20260408800703</t>
        </is>
      </c>
      <c r="B67" t="inlineStr">
        <is>
          <t>LNGC</t>
        </is>
      </c>
      <c r="C67" t="n">
        <v>2</v>
      </c>
      <c r="D67" t="inlineStr">
        <is>
          <t>LNGC 2척</t>
        </is>
      </c>
      <c r="AF67" s="18">
        <f>IFERROR(AF45*$BJ45*(1+($BL45-1)*AF$30)*($D$27*$BK45+(1-$D$27)*AF$29),"")</f>
        <v/>
      </c>
      <c r="AG67" s="18">
        <f>IFERROR(AG45*$BJ45*(1+($BL45-1)*AG$30)*($D$27*$BK45+(1-$D$27)*AG$29),"")</f>
        <v/>
      </c>
      <c r="AH67" s="18">
        <f>IFERROR(AH45*$BJ45*(1+($BL45-1)*AH$30)*($D$27*$BK45+(1-$D$27)*AH$29),"")</f>
        <v/>
      </c>
      <c r="AI67" s="18">
        <f>IFERROR(AI45*$BJ45*(1+($BL45-1)*AI$30)*($D$27*$BK45+(1-$D$27)*AI$29),"")</f>
        <v/>
      </c>
      <c r="AJ67" s="18">
        <f>IFERROR(AJ45*$BJ45*(1+($BL45-1)*AJ$30)*($D$27*$BK45+(1-$D$27)*AJ$29),"")</f>
        <v/>
      </c>
      <c r="AK67" s="18">
        <f>IFERROR(AK45*$BJ45*(1+($BL45-1)*AK$30)*($D$27*$BK45+(1-$D$27)*AK$29),"")</f>
        <v/>
      </c>
      <c r="AL67" s="18">
        <f>IFERROR(AL45*$BJ45*(1+($BL45-1)*AL$30)*($D$27*$BK45+(1-$D$27)*AL$29),"")</f>
        <v/>
      </c>
      <c r="AM67" s="18">
        <f>IFERROR(AM45*$BJ45*(1+($BL45-1)*AM$30)*($D$27*$BK45+(1-$D$27)*AM$29),"")</f>
        <v/>
      </c>
      <c r="AN67" s="18">
        <f>IFERROR(AN45*$BJ45*(1+($BL45-1)*AN$30)*($D$27*$BK45+(1-$D$27)*AN$29),"")</f>
        <v/>
      </c>
      <c r="AO67" s="18">
        <f>IFERROR(AO45*$BJ45*(1+($BL45-1)*AO$30)*($D$27*$BK45+(1-$D$27)*AO$29),"")</f>
        <v/>
      </c>
      <c r="AP67" s="18">
        <f>IFERROR(AP45*$BJ45*(1+($BL45-1)*AP$30)*($D$27*$BK45+(1-$D$27)*AP$29),"")</f>
        <v/>
      </c>
      <c r="AQ67" s="18">
        <f>IFERROR(AQ45*$BJ45*(1+($BL45-1)*AQ$30)*($D$27*$BK45+(1-$D$27)*AQ$29),"")</f>
        <v/>
      </c>
      <c r="AR67" s="18">
        <f>IFERROR(AR45*$BJ45*(1+($BL45-1)*AR$30)*($D$27*$BK45+(1-$D$27)*AR$29),"")</f>
        <v/>
      </c>
      <c r="AS67" s="18">
        <f>IFERROR(AS45*$BJ45*(1+($BL45-1)*AS$30)*($D$27*$BK45+(1-$D$27)*AS$29),"")</f>
        <v/>
      </c>
    </row>
    <row r="68">
      <c r="A68" t="inlineStr">
        <is>
          <t>20260416800167</t>
        </is>
      </c>
      <c r="B68" t="inlineStr">
        <is>
          <t>VLGC</t>
        </is>
      </c>
      <c r="C68" t="n">
        <v>2</v>
      </c>
      <c r="D68" t="inlineStr">
        <is>
          <t>LPGC 2척</t>
        </is>
      </c>
      <c r="AF68" s="18">
        <f>IFERROR(AF46*$BJ46*(1+($BL46-1)*AF$30)*($D$27*$BK46+(1-$D$27)*AF$29),"")</f>
        <v/>
      </c>
      <c r="AG68" s="18">
        <f>IFERROR(AG46*$BJ46*(1+($BL46-1)*AG$30)*($D$27*$BK46+(1-$D$27)*AG$29),"")</f>
        <v/>
      </c>
      <c r="AH68" s="18">
        <f>IFERROR(AH46*$BJ46*(1+($BL46-1)*AH$30)*($D$27*$BK46+(1-$D$27)*AH$29),"")</f>
        <v/>
      </c>
      <c r="AI68" s="18">
        <f>IFERROR(AI46*$BJ46*(1+($BL46-1)*AI$30)*($D$27*$BK46+(1-$D$27)*AI$29),"")</f>
        <v/>
      </c>
      <c r="AJ68" s="18">
        <f>IFERROR(AJ46*$BJ46*(1+($BL46-1)*AJ$30)*($D$27*$BK46+(1-$D$27)*AJ$29),"")</f>
        <v/>
      </c>
      <c r="AK68" s="18">
        <f>IFERROR(AK46*$BJ46*(1+($BL46-1)*AK$30)*($D$27*$BK46+(1-$D$27)*AK$29),"")</f>
        <v/>
      </c>
      <c r="AL68" s="18">
        <f>IFERROR(AL46*$BJ46*(1+($BL46-1)*AL$30)*($D$27*$BK46+(1-$D$27)*AL$29),"")</f>
        <v/>
      </c>
      <c r="AM68" s="18">
        <f>IFERROR(AM46*$BJ46*(1+($BL46-1)*AM$30)*($D$27*$BK46+(1-$D$27)*AM$29),"")</f>
        <v/>
      </c>
      <c r="AN68" s="18">
        <f>IFERROR(AN46*$BJ46*(1+($BL46-1)*AN$30)*($D$27*$BK46+(1-$D$27)*AN$29),"")</f>
        <v/>
      </c>
      <c r="AO68" s="18">
        <f>IFERROR(AO46*$BJ46*(1+($BL46-1)*AO$30)*($D$27*$BK46+(1-$D$27)*AO$29),"")</f>
        <v/>
      </c>
      <c r="AP68" s="18">
        <f>IFERROR(AP46*$BJ46*(1+($BL46-1)*AP$30)*($D$27*$BK46+(1-$D$27)*AP$29),"")</f>
        <v/>
      </c>
      <c r="AQ68" s="18">
        <f>IFERROR(AQ46*$BJ46*(1+($BL46-1)*AQ$30)*($D$27*$BK46+(1-$D$27)*AQ$29),"")</f>
        <v/>
      </c>
      <c r="AR68" s="18">
        <f>IFERROR(AR46*$BJ46*(1+($BL46-1)*AR$30)*($D$27*$BK46+(1-$D$27)*AR$29),"")</f>
        <v/>
      </c>
    </row>
    <row r="69">
      <c r="A69" t="inlineStr">
        <is>
          <t>20260513800195</t>
        </is>
      </c>
      <c r="B69" t="inlineStr">
        <is>
          <t>LNGC</t>
        </is>
      </c>
      <c r="C69" t="n">
        <v>2</v>
      </c>
      <c r="D69" t="inlineStr">
        <is>
          <t>LNGC 2척</t>
        </is>
      </c>
      <c r="AF69" s="18">
        <f>IFERROR(AF47*$BJ47*(1+($BL47-1)*AF$30)*($D$27*$BK47+(1-$D$27)*AF$29),"")</f>
        <v/>
      </c>
      <c r="AG69" s="18">
        <f>IFERROR(AG47*$BJ47*(1+($BL47-1)*AG$30)*($D$27*$BK47+(1-$D$27)*AG$29),"")</f>
        <v/>
      </c>
      <c r="AH69" s="18">
        <f>IFERROR(AH47*$BJ47*(1+($BL47-1)*AH$30)*($D$27*$BK47+(1-$D$27)*AH$29),"")</f>
        <v/>
      </c>
      <c r="AI69" s="18">
        <f>IFERROR(AI47*$BJ47*(1+($BL47-1)*AI$30)*($D$27*$BK47+(1-$D$27)*AI$29),"")</f>
        <v/>
      </c>
      <c r="AJ69" s="18">
        <f>IFERROR(AJ47*$BJ47*(1+($BL47-1)*AJ$30)*($D$27*$BK47+(1-$D$27)*AJ$29),"")</f>
        <v/>
      </c>
      <c r="AK69" s="18">
        <f>IFERROR(AK47*$BJ47*(1+($BL47-1)*AK$30)*($D$27*$BK47+(1-$D$27)*AK$29),"")</f>
        <v/>
      </c>
      <c r="AL69" s="18">
        <f>IFERROR(AL47*$BJ47*(1+($BL47-1)*AL$30)*($D$27*$BK47+(1-$D$27)*AL$29),"")</f>
        <v/>
      </c>
      <c r="AM69" s="18">
        <f>IFERROR(AM47*$BJ47*(1+($BL47-1)*AM$30)*($D$27*$BK47+(1-$D$27)*AM$29),"")</f>
        <v/>
      </c>
      <c r="AN69" s="18">
        <f>IFERROR(AN47*$BJ47*(1+($BL47-1)*AN$30)*($D$27*$BK47+(1-$D$27)*AN$29),"")</f>
        <v/>
      </c>
      <c r="AO69" s="18">
        <f>IFERROR(AO47*$BJ47*(1+($BL47-1)*AO$30)*($D$27*$BK47+(1-$D$27)*AO$29),"")</f>
        <v/>
      </c>
      <c r="AP69" s="18">
        <f>IFERROR(AP47*$BJ47*(1+($BL47-1)*AP$30)*($D$27*$BK47+(1-$D$27)*AP$29),"")</f>
        <v/>
      </c>
      <c r="AQ69" s="18">
        <f>IFERROR(AQ47*$BJ47*(1+($BL47-1)*AQ$30)*($D$27*$BK47+(1-$D$27)*AQ$29),"")</f>
        <v/>
      </c>
      <c r="AR69" s="18">
        <f>IFERROR(AR47*$BJ47*(1+($BL47-1)*AR$30)*($D$27*$BK47+(1-$D$27)*AR$29),"")</f>
        <v/>
      </c>
      <c r="AS69" s="18">
        <f>IFERROR(AS47*$BJ47*(1+($BL47-1)*AS$30)*($D$27*$BK47+(1-$D$27)*AS$29),"")</f>
        <v/>
      </c>
    </row>
    <row r="70">
      <c r="A70" t="inlineStr">
        <is>
          <t>20260521800360</t>
        </is>
      </c>
      <c r="B70" t="inlineStr">
        <is>
          <t>VLGC</t>
        </is>
      </c>
      <c r="C70" t="n">
        <v>6</v>
      </c>
      <c r="D70" t="inlineStr">
        <is>
          <t>VLAC 6척</t>
        </is>
      </c>
      <c r="AF70" s="18">
        <f>IFERROR(AF48*$BJ48*(1+($BL48-1)*AF$30)*($D$27*$BK48+(1-$D$27)*AF$29),"")</f>
        <v/>
      </c>
      <c r="AG70" s="18">
        <f>IFERROR(AG48*$BJ48*(1+($BL48-1)*AG$30)*($D$27*$BK48+(1-$D$27)*AG$29),"")</f>
        <v/>
      </c>
      <c r="AH70" s="18">
        <f>IFERROR(AH48*$BJ48*(1+($BL48-1)*AH$30)*($D$27*$BK48+(1-$D$27)*AH$29),"")</f>
        <v/>
      </c>
      <c r="AI70" s="18">
        <f>IFERROR(AI48*$BJ48*(1+($BL48-1)*AI$30)*($D$27*$BK48+(1-$D$27)*AI$29),"")</f>
        <v/>
      </c>
      <c r="AJ70" s="18">
        <f>IFERROR(AJ48*$BJ48*(1+($BL48-1)*AJ$30)*($D$27*$BK48+(1-$D$27)*AJ$29),"")</f>
        <v/>
      </c>
      <c r="AK70" s="18">
        <f>IFERROR(AK48*$BJ48*(1+($BL48-1)*AK$30)*($D$27*$BK48+(1-$D$27)*AK$29),"")</f>
        <v/>
      </c>
      <c r="AL70" s="18">
        <f>IFERROR(AL48*$BJ48*(1+($BL48-1)*AL$30)*($D$27*$BK48+(1-$D$27)*AL$29),"")</f>
        <v/>
      </c>
      <c r="AM70" s="18">
        <f>IFERROR(AM48*$BJ48*(1+($BL48-1)*AM$30)*($D$27*$BK48+(1-$D$27)*AM$29),"")</f>
        <v/>
      </c>
      <c r="AN70" s="18">
        <f>IFERROR(AN48*$BJ48*(1+($BL48-1)*AN$30)*($D$27*$BK48+(1-$D$27)*AN$29),"")</f>
        <v/>
      </c>
      <c r="AO70" s="18">
        <f>IFERROR(AO48*$BJ48*(1+($BL48-1)*AO$30)*($D$27*$BK48+(1-$D$27)*AO$29),"")</f>
        <v/>
      </c>
      <c r="AP70" s="18">
        <f>IFERROR(AP48*$BJ48*(1+($BL48-1)*AP$30)*($D$27*$BK48+(1-$D$27)*AP$29),"")</f>
        <v/>
      </c>
      <c r="AQ70" s="18">
        <f>IFERROR(AQ48*$BJ48*(1+($BL48-1)*AQ$30)*($D$27*$BK48+(1-$D$27)*AQ$29),"")</f>
        <v/>
      </c>
      <c r="AR70" s="18">
        <f>IFERROR(AR48*$BJ48*(1+($BL48-1)*AR$30)*($D$27*$BK48+(1-$D$27)*AR$29),"")</f>
        <v/>
      </c>
      <c r="AS70" s="18">
        <f>IFERROR(AS48*$BJ48*(1+($BL48-1)*AS$30)*($D$27*$BK48+(1-$D$27)*AS$29),"")</f>
        <v/>
      </c>
      <c r="AT70" s="18">
        <f>IFERROR(AT48*$BJ48*(1+($BL48-1)*AT$30)*($D$27*$BK48+(1-$D$27)*AT$29),"")</f>
        <v/>
      </c>
    </row>
    <row r="71">
      <c r="A71" t="inlineStr">
        <is>
          <t>20260629800351</t>
        </is>
      </c>
      <c r="B71" t="inlineStr">
        <is>
          <t>VLGC</t>
        </is>
      </c>
      <c r="C71" t="n">
        <v>2</v>
      </c>
      <c r="D71" t="inlineStr">
        <is>
          <t>LPGC 2척</t>
        </is>
      </c>
      <c r="AF71" s="18">
        <f>IFERROR(AF49*$BJ49*(1+($BL49-1)*AF$30)*($D$27*$BK49+(1-$D$27)*AF$29),"")</f>
        <v/>
      </c>
      <c r="AG71" s="18">
        <f>IFERROR(AG49*$BJ49*(1+($BL49-1)*AG$30)*($D$27*$BK49+(1-$D$27)*AG$29),"")</f>
        <v/>
      </c>
      <c r="AH71" s="18">
        <f>IFERROR(AH49*$BJ49*(1+($BL49-1)*AH$30)*($D$27*$BK49+(1-$D$27)*AH$29),"")</f>
        <v/>
      </c>
      <c r="AI71" s="18">
        <f>IFERROR(AI49*$BJ49*(1+($BL49-1)*AI$30)*($D$27*$BK49+(1-$D$27)*AI$29),"")</f>
        <v/>
      </c>
      <c r="AJ71" s="18">
        <f>IFERROR(AJ49*$BJ49*(1+($BL49-1)*AJ$30)*($D$27*$BK49+(1-$D$27)*AJ$29),"")</f>
        <v/>
      </c>
      <c r="AK71" s="18">
        <f>IFERROR(AK49*$BJ49*(1+($BL49-1)*AK$30)*($D$27*$BK49+(1-$D$27)*AK$29),"")</f>
        <v/>
      </c>
      <c r="AL71" s="18">
        <f>IFERROR(AL49*$BJ49*(1+($BL49-1)*AL$30)*($D$27*$BK49+(1-$D$27)*AL$29),"")</f>
        <v/>
      </c>
      <c r="AM71" s="18">
        <f>IFERROR(AM49*$BJ49*(1+($BL49-1)*AM$30)*($D$27*$BK49+(1-$D$27)*AM$29),"")</f>
        <v/>
      </c>
      <c r="AN71" s="18">
        <f>IFERROR(AN49*$BJ49*(1+($BL49-1)*AN$30)*($D$27*$BK49+(1-$D$27)*AN$29),"")</f>
        <v/>
      </c>
      <c r="AO71" s="18">
        <f>IFERROR(AO49*$BJ49*(1+($BL49-1)*AO$30)*($D$27*$BK49+(1-$D$27)*AO$29),"")</f>
        <v/>
      </c>
      <c r="AP71" s="18">
        <f>IFERROR(AP49*$BJ49*(1+($BL49-1)*AP$30)*($D$27*$BK49+(1-$D$27)*AP$29),"")</f>
        <v/>
      </c>
      <c r="AQ71" s="18">
        <f>IFERROR(AQ49*$BJ49*(1+($BL49-1)*AQ$30)*($D$27*$BK49+(1-$D$27)*AQ$29),"")</f>
        <v/>
      </c>
      <c r="AR71" s="18">
        <f>IFERROR(AR49*$BJ49*(1+($BL49-1)*AR$30)*($D$27*$BK49+(1-$D$27)*AR$29),"")</f>
        <v/>
      </c>
      <c r="AS71" s="18">
        <f>IFERROR(AS49*$BJ49*(1+($BL49-1)*AS$30)*($D$27*$BK49+(1-$D$27)*AS$29),"")</f>
        <v/>
      </c>
      <c r="AT71" s="18">
        <f>IFERROR(AT49*$BJ49*(1+($BL49-1)*AT$30)*($D$27*$BK49+(1-$D$27)*AT$29),"")</f>
        <v/>
      </c>
    </row>
    <row r="72">
      <c r="A72" t="inlineStr">
        <is>
          <t>20260713800202</t>
        </is>
      </c>
      <c r="B72" t="inlineStr">
        <is>
          <t>VLGC</t>
        </is>
      </c>
      <c r="C72" t="n">
        <v>3</v>
      </c>
      <c r="D72" t="inlineStr">
        <is>
          <t>VLAC 3척</t>
        </is>
      </c>
      <c r="AG72" s="18">
        <f>IFERROR(AG50*$BJ50*(1+($BL50-1)*AG$30)*($D$27*$BK50+(1-$D$27)*AG$29),"")</f>
        <v/>
      </c>
      <c r="AH72" s="18">
        <f>IFERROR(AH50*$BJ50*(1+($BL50-1)*AH$30)*($D$27*$BK50+(1-$D$27)*AH$29),"")</f>
        <v/>
      </c>
      <c r="AI72" s="18">
        <f>IFERROR(AI50*$BJ50*(1+($BL50-1)*AI$30)*($D$27*$BK50+(1-$D$27)*AI$29),"")</f>
        <v/>
      </c>
      <c r="AJ72" s="18">
        <f>IFERROR(AJ50*$BJ50*(1+($BL50-1)*AJ$30)*($D$27*$BK50+(1-$D$27)*AJ$29),"")</f>
        <v/>
      </c>
      <c r="AK72" s="18">
        <f>IFERROR(AK50*$BJ50*(1+($BL50-1)*AK$30)*($D$27*$BK50+(1-$D$27)*AK$29),"")</f>
        <v/>
      </c>
      <c r="AL72" s="18">
        <f>IFERROR(AL50*$BJ50*(1+($BL50-1)*AL$30)*($D$27*$BK50+(1-$D$27)*AL$29),"")</f>
        <v/>
      </c>
      <c r="AM72" s="18">
        <f>IFERROR(AM50*$BJ50*(1+($BL50-1)*AM$30)*($D$27*$BK50+(1-$D$27)*AM$29),"")</f>
        <v/>
      </c>
      <c r="AN72" s="18">
        <f>IFERROR(AN50*$BJ50*(1+($BL50-1)*AN$30)*($D$27*$BK50+(1-$D$27)*AN$29),"")</f>
        <v/>
      </c>
      <c r="AO72" s="18">
        <f>IFERROR(AO50*$BJ50*(1+($BL50-1)*AO$30)*($D$27*$BK50+(1-$D$27)*AO$29),"")</f>
        <v/>
      </c>
      <c r="AP72" s="18">
        <f>IFERROR(AP50*$BJ50*(1+($BL50-1)*AP$30)*($D$27*$BK50+(1-$D$27)*AP$29),"")</f>
        <v/>
      </c>
      <c r="AQ72" s="18">
        <f>IFERROR(AQ50*$BJ50*(1+($BL50-1)*AQ$30)*($D$27*$BK50+(1-$D$27)*AQ$29),"")</f>
        <v/>
      </c>
      <c r="AR72" s="18">
        <f>IFERROR(AR50*$BJ50*(1+($BL50-1)*AR$30)*($D$27*$BK50+(1-$D$27)*AR$29),"")</f>
        <v/>
      </c>
      <c r="AS72" s="18">
        <f>IFERROR(AS50*$BJ50*(1+($BL50-1)*AS$30)*($D$27*$BK50+(1-$D$27)*AS$29),"")</f>
        <v/>
      </c>
      <c r="AT72" s="18">
        <f>IFERROR(AT50*$BJ50*(1+($BL50-1)*AT$30)*($D$27*$BK50+(1-$D$27)*AT$29),"")</f>
        <v/>
      </c>
      <c r="AU72" s="18">
        <f>IFERROR(AU50*$BJ50*(1+($BL50-1)*AU$30)*($D$27*$BK50+(1-$D$27)*AU$29),"")</f>
        <v/>
      </c>
      <c r="AV72" s="18">
        <f>IFERROR(AV50*$BJ50*(1+($BL50-1)*AV$30)*($D$27*$BK50+(1-$D$27)*AV$29),"")</f>
        <v/>
      </c>
    </row>
    <row r="73">
      <c r="A73" t="inlineStr">
        <is>
          <t>20260903800523</t>
        </is>
      </c>
      <c r="B73" t="inlineStr">
        <is>
          <t>OFFSH</t>
        </is>
      </c>
      <c r="C73" t="n">
        <v>1</v>
      </c>
      <c r="D73" t="inlineStr">
        <is>
          <t>FPSO Hull 1기</t>
        </is>
      </c>
      <c r="L73" s="18">
        <f>IFERROR(L51*$BJ51*(1+($BL51-1)*L$30)*($D$27*$BK51+(1-$D$27)*L$29),"")</f>
        <v/>
      </c>
      <c r="M73" s="18">
        <f>IFERROR(M51*$BJ51*(1+($BL51-1)*M$30)*($D$27*$BK51+(1-$D$27)*M$29),"")</f>
        <v/>
      </c>
      <c r="N73" s="18">
        <f>IFERROR(N51*$BJ51*(1+($BL51-1)*N$30)*($D$27*$BK51+(1-$D$27)*N$29),"")</f>
        <v/>
      </c>
      <c r="O73" s="18">
        <f>IFERROR(O51*$BJ51*(1+($BL51-1)*O$30)*($D$27*$BK51+(1-$D$27)*O$29),"")</f>
        <v/>
      </c>
      <c r="P73" s="18">
        <f>IFERROR(P51*$BJ51*(1+($BL51-1)*P$30)*($D$27*$BK51+(1-$D$27)*P$29),"")</f>
        <v/>
      </c>
      <c r="Q73" s="18">
        <f>IFERROR(Q51*$BJ51*(1+($BL51-1)*Q$30)*($D$27*$BK51+(1-$D$27)*Q$29),"")</f>
        <v/>
      </c>
      <c r="R73" s="18">
        <f>IFERROR(R51*$BJ51*(1+($BL51-1)*R$30)*($D$27*$BK51+(1-$D$27)*R$29),"")</f>
        <v/>
      </c>
      <c r="S73" s="18">
        <f>IFERROR(S51*$BJ51*(1+($BL51-1)*S$30)*($D$27*$BK51+(1-$D$27)*S$29),"")</f>
        <v/>
      </c>
      <c r="T73" s="18">
        <f>IFERROR(T51*$BJ51*(1+($BL51-1)*T$30)*($D$27*$BK51+(1-$D$27)*T$29),"")</f>
        <v/>
      </c>
      <c r="U73" s="18">
        <f>IFERROR(U51*$BJ51*(1+($BL51-1)*U$30)*($D$27*$BK51+(1-$D$27)*U$29),"")</f>
        <v/>
      </c>
      <c r="V73" s="18">
        <f>IFERROR(V51*$BJ51*(1+($BL51-1)*V$30)*($D$27*$BK51+(1-$D$27)*V$29),"")</f>
        <v/>
      </c>
      <c r="W73" s="18">
        <f>IFERROR(W51*$BJ51*(1+($BL51-1)*W$30)*($D$27*$BK51+(1-$D$27)*W$29),"")</f>
        <v/>
      </c>
      <c r="X73" s="18">
        <f>IFERROR(X51*$BJ51*(1+($BL51-1)*X$30)*($D$27*$BK51+(1-$D$27)*X$29),"")</f>
        <v/>
      </c>
      <c r="Y73" s="18">
        <f>IFERROR(Y51*$BJ51*(1+($BL51-1)*Y$30)*($D$27*$BK51+(1-$D$27)*Y$29),"")</f>
        <v/>
      </c>
      <c r="Z73" s="18">
        <f>IFERROR(Z51*$BJ51*(1+($BL51-1)*Z$30)*($D$27*$BK51+(1-$D$27)*Z$29),"")</f>
        <v/>
      </c>
      <c r="AA73" s="18">
        <f>IFERROR(AA51*$BJ51*(1+($BL51-1)*AA$30)*($D$27*$BK51+(1-$D$27)*AA$29),"")</f>
        <v/>
      </c>
      <c r="AB73" s="18">
        <f>IFERROR(AB51*$BJ51*(1+($BL51-1)*AB$30)*($D$27*$BK51+(1-$D$27)*AB$29),"")</f>
        <v/>
      </c>
    </row>
    <row r="74">
      <c r="A74" t="inlineStr">
        <is>
          <t>20261006800410</t>
        </is>
      </c>
      <c r="B74" t="inlineStr">
        <is>
          <t>OTHER</t>
        </is>
      </c>
      <c r="D74" t="inlineStr">
        <is>
          <t>보령화력 1~8호기 저탄장 옥내화 공사</t>
        </is>
      </c>
      <c r="M74" s="18">
        <f>IFERROR(M52*$BJ52*(1+($BL52-1)*M$30)*($D$27*$BK52+(1-$D$27)*M$29),"")</f>
        <v/>
      </c>
      <c r="N74" s="18">
        <f>IFERROR(N52*$BJ52*(1+($BL52-1)*N$30)*($D$27*$BK52+(1-$D$27)*N$29),"")</f>
        <v/>
      </c>
      <c r="O74" s="18">
        <f>IFERROR(O52*$BJ52*(1+($BL52-1)*O$30)*($D$27*$BK52+(1-$D$27)*O$29),"")</f>
        <v/>
      </c>
      <c r="P74" s="18">
        <f>IFERROR(P52*$BJ52*(1+($BL52-1)*P$30)*($D$27*$BK52+(1-$D$27)*P$29),"")</f>
        <v/>
      </c>
      <c r="Q74" s="18">
        <f>IFERROR(Q52*$BJ52*(1+($BL52-1)*Q$30)*($D$27*$BK52+(1-$D$27)*Q$29),"")</f>
        <v/>
      </c>
      <c r="R74" s="18">
        <f>IFERROR(R52*$BJ52*(1+($BL52-1)*R$30)*($D$27*$BK52+(1-$D$27)*R$29),"")</f>
        <v/>
      </c>
      <c r="S74" s="18">
        <f>IFERROR(S52*$BJ52*(1+($BL52-1)*S$30)*($D$27*$BK52+(1-$D$27)*S$29),"")</f>
        <v/>
      </c>
      <c r="T74" s="18">
        <f>IFERROR(T52*$BJ52*(1+($BL52-1)*T$30)*($D$27*$BK52+(1-$D$27)*T$29),"")</f>
        <v/>
      </c>
      <c r="U74" s="18">
        <f>IFERROR(U52*$BJ52*(1+($BL52-1)*U$30)*($D$27*$BK52+(1-$D$27)*U$29),"")</f>
        <v/>
      </c>
      <c r="V74" s="18">
        <f>IFERROR(V52*$BJ52*(1+($BL52-1)*V$30)*($D$27*$BK52+(1-$D$27)*V$29),"")</f>
        <v/>
      </c>
      <c r="W74" s="18">
        <f>IFERROR(W52*$BJ52*(1+($BL52-1)*W$30)*($D$27*$BK52+(1-$D$27)*W$29),"")</f>
        <v/>
      </c>
      <c r="X74" s="18">
        <f>IFERROR(X52*$BJ52*(1+($BL52-1)*X$30)*($D$27*$BK52+(1-$D$27)*X$29),"")</f>
        <v/>
      </c>
      <c r="Y74" s="18">
        <f>IFERROR(Y52*$BJ52*(1+($BL52-1)*Y$30)*($D$27*$BK52+(1-$D$27)*Y$29),"")</f>
        <v/>
      </c>
      <c r="Z74" s="18">
        <f>IFERROR(Z52*$BJ52*(1+($BL52-1)*Z$30)*($D$27*$BK52+(1-$D$27)*Z$29),"")</f>
        <v/>
      </c>
      <c r="AA74" s="18">
        <f>IFERROR(AA52*$BJ52*(1+($BL52-1)*AA$30)*($D$27*$BK52+(1-$D$27)*AA$29),"")</f>
        <v/>
      </c>
      <c r="AB74" s="18">
        <f>IFERROR(AB52*$BJ52*(1+($BL52-1)*AB$30)*($D$27*$BK52+(1-$D$27)*AB$29),"")</f>
        <v/>
      </c>
      <c r="AC74" s="18">
        <f>IFERROR(AC52*$BJ52*(1+($BL52-1)*AC$30)*($D$27*$BK52+(1-$D$27)*AC$29),"")</f>
        <v/>
      </c>
      <c r="AD74" s="18">
        <f>IFERROR(AD52*$BJ52*(1+($BL52-1)*AD$30)*($D$27*$BK52+(1-$D$27)*AD$29),"")</f>
        <v/>
      </c>
      <c r="AE74" s="18">
        <f>IFERROR(AE52*$BJ52*(1+($BL52-1)*AE$30)*($D$27*$BK52+(1-$D$27)*AE$29),"")</f>
        <v/>
      </c>
      <c r="AF74" s="18">
        <f>IFERROR(AF52*$BJ52*(1+($BL52-1)*AF$30)*($D$27*$BK52+(1-$D$27)*AF$29),"")</f>
        <v/>
      </c>
      <c r="AG74" s="18">
        <f>IFERROR(AG52*$BJ52*(1+($BL52-1)*AG$30)*($D$27*$BK52+(1-$D$27)*AG$29),"")</f>
        <v/>
      </c>
      <c r="AH74" s="18">
        <f>IFERROR(AH52*$BJ52*(1+($BL52-1)*AH$30)*($D$27*$BK52+(1-$D$27)*AH$29),"")</f>
        <v/>
      </c>
      <c r="AI74" s="18">
        <f>IFERROR(AI52*$BJ52*(1+($BL52-1)*AI$30)*($D$27*$BK52+(1-$D$27)*AI$29),"")</f>
        <v/>
      </c>
      <c r="AJ74" s="18">
        <f>IFERROR(AJ52*$BJ52*(1+($BL52-1)*AJ$30)*($D$27*$BK52+(1-$D$27)*AJ$29),"")</f>
        <v/>
      </c>
      <c r="AK74" s="18">
        <f>IFERROR(AK52*$BJ52*(1+($BL52-1)*AK$30)*($D$27*$BK52+(1-$D$27)*AK$29),"")</f>
        <v/>
      </c>
    </row>
    <row r="75">
      <c r="A75" s="12" t="inlineStr">
        <is>
          <t>usd_incl</t>
        </is>
      </c>
      <c r="D75" t="inlineStr">
        <is>
          <t>포함 계약 스케줄 합(백만$, 캡 배율 전)</t>
        </is>
      </c>
      <c r="E75" s="27">
        <f>SUMPRODUCT(E33:E52,$BJ$33:$BJ$52)</f>
        <v/>
      </c>
      <c r="F75" s="27">
        <f>SUMPRODUCT(F33:F52,$BJ$33:$BJ$52)</f>
        <v/>
      </c>
      <c r="G75" s="27">
        <f>SUMPRODUCT(G33:G52,$BJ$33:$BJ$52)</f>
        <v/>
      </c>
      <c r="H75" s="27">
        <f>SUMPRODUCT(H33:H52,$BJ$33:$BJ$52)</f>
        <v/>
      </c>
      <c r="I75" s="27">
        <f>SUMPRODUCT(I33:I52,$BJ$33:$BJ$52)</f>
        <v/>
      </c>
      <c r="J75" s="27">
        <f>SUMPRODUCT(J33:J52,$BJ$33:$BJ$52)</f>
        <v/>
      </c>
      <c r="K75" s="27">
        <f>SUMPRODUCT(K33:K52,$BJ$33:$BJ$52)</f>
        <v/>
      </c>
      <c r="L75" s="27">
        <f>SUMPRODUCT(L33:L52,$BJ$33:$BJ$52)</f>
        <v/>
      </c>
      <c r="M75" s="27">
        <f>SUMPRODUCT(M33:M52,$BJ$33:$BJ$52)</f>
        <v/>
      </c>
      <c r="N75" s="27">
        <f>SUMPRODUCT(N33:N52,$BJ$33:$BJ$52)</f>
        <v/>
      </c>
      <c r="O75" s="27">
        <f>SUMPRODUCT(O33:O52,$BJ$33:$BJ$52)</f>
        <v/>
      </c>
      <c r="P75" s="27">
        <f>SUMPRODUCT(P33:P52,$BJ$33:$BJ$52)</f>
        <v/>
      </c>
      <c r="Q75" s="27">
        <f>SUMPRODUCT(Q33:Q52,$BJ$33:$BJ$52)</f>
        <v/>
      </c>
      <c r="R75" s="27">
        <f>SUMPRODUCT(R33:R52,$BJ$33:$BJ$52)</f>
        <v/>
      </c>
      <c r="S75" s="27">
        <f>SUMPRODUCT(S33:S52,$BJ$33:$BJ$52)</f>
        <v/>
      </c>
      <c r="T75" s="27">
        <f>SUMPRODUCT(T33:T52,$BJ$33:$BJ$52)</f>
        <v/>
      </c>
      <c r="U75" s="27">
        <f>SUMPRODUCT(U33:U52,$BJ$33:$BJ$52)</f>
        <v/>
      </c>
      <c r="V75" s="27">
        <f>SUMPRODUCT(V33:V52,$BJ$33:$BJ$52)</f>
        <v/>
      </c>
      <c r="W75" s="27">
        <f>SUMPRODUCT(W33:W52,$BJ$33:$BJ$52)</f>
        <v/>
      </c>
      <c r="X75" s="27">
        <f>SUMPRODUCT(X33:X52,$BJ$33:$BJ$52)</f>
        <v/>
      </c>
      <c r="Y75" s="27">
        <f>SUMPRODUCT(Y33:Y52,$BJ$33:$BJ$52)</f>
        <v/>
      </c>
      <c r="Z75" s="27">
        <f>SUMPRODUCT(Z33:Z52,$BJ$33:$BJ$52)</f>
        <v/>
      </c>
      <c r="AA75" s="27">
        <f>SUMPRODUCT(AA33:AA52,$BJ$33:$BJ$52)</f>
        <v/>
      </c>
      <c r="AB75" s="27">
        <f>SUMPRODUCT(AB33:AB52,$BJ$33:$BJ$52)</f>
        <v/>
      </c>
      <c r="AC75" s="27">
        <f>SUMPRODUCT(AC33:AC52,$BJ$33:$BJ$52)</f>
        <v/>
      </c>
      <c r="AD75" s="27">
        <f>SUMPRODUCT(AD33:AD52,$BJ$33:$BJ$52)</f>
        <v/>
      </c>
      <c r="AE75" s="27">
        <f>SUMPRODUCT(AE33:AE52,$BJ$33:$BJ$52)</f>
        <v/>
      </c>
      <c r="AF75" s="27">
        <f>SUMPRODUCT(AF33:AF52,$BJ$33:$BJ$52)</f>
        <v/>
      </c>
      <c r="AG75" s="27">
        <f>SUMPRODUCT(AG33:AG52,$BJ$33:$BJ$52)</f>
        <v/>
      </c>
      <c r="AH75" s="27">
        <f>SUMPRODUCT(AH33:AH52,$BJ$33:$BJ$52)</f>
        <v/>
      </c>
      <c r="AI75" s="27">
        <f>SUMPRODUCT(AI33:AI52,$BJ$33:$BJ$52)</f>
        <v/>
      </c>
      <c r="AJ75" s="27">
        <f>SUMPRODUCT(AJ33:AJ52,$BJ$33:$BJ$52)</f>
        <v/>
      </c>
      <c r="AK75" s="27">
        <f>SUMPRODUCT(AK33:AK52,$BJ$33:$BJ$52)</f>
        <v/>
      </c>
      <c r="AL75" s="27">
        <f>SUMPRODUCT(AL33:AL52,$BJ$33:$BJ$52)</f>
        <v/>
      </c>
      <c r="AM75" s="27">
        <f>SUMPRODUCT(AM33:AM52,$BJ$33:$BJ$52)</f>
        <v/>
      </c>
      <c r="AN75" s="27">
        <f>SUMPRODUCT(AN33:AN52,$BJ$33:$BJ$52)</f>
        <v/>
      </c>
      <c r="AO75" s="27">
        <f>SUMPRODUCT(AO33:AO52,$BJ$33:$BJ$52)</f>
        <v/>
      </c>
      <c r="AP75" s="27">
        <f>SUMPRODUCT(AP33:AP52,$BJ$33:$BJ$52)</f>
        <v/>
      </c>
      <c r="AQ75" s="27">
        <f>SUMPRODUCT(AQ33:AQ52,$BJ$33:$BJ$52)</f>
        <v/>
      </c>
      <c r="AR75" s="27">
        <f>SUMPRODUCT(AR33:AR52,$BJ$33:$BJ$52)</f>
        <v/>
      </c>
      <c r="AS75" s="27">
        <f>SUMPRODUCT(AS33:AS52,$BJ$33:$BJ$52)</f>
        <v/>
      </c>
      <c r="AT75" s="27">
        <f>SUMPRODUCT(AT33:AT52,$BJ$33:$BJ$52)</f>
        <v/>
      </c>
      <c r="AU75" s="27">
        <f>SUMPRODUCT(AU33:AU52,$BJ$33:$BJ$52)</f>
        <v/>
      </c>
      <c r="AV75" s="27">
        <f>SUMPRODUCT(AV33:AV52,$BJ$33:$BJ$52)</f>
        <v/>
      </c>
    </row>
    <row r="76">
      <c r="A76" s="12" t="inlineStr">
        <is>
          <t>krw_link</t>
        </is>
      </c>
      <c r="D76" s="1" t="inlineStr">
        <is>
          <t>원화 합계(백만원) — subQ 연결 행</t>
        </is>
      </c>
      <c r="E76" s="18">
        <f>SUM(E55:E74)</f>
        <v/>
      </c>
      <c r="F76" s="18">
        <f>SUM(F55:F74)</f>
        <v/>
      </c>
      <c r="G76" s="18">
        <f>SUM(G55:G74)</f>
        <v/>
      </c>
      <c r="H76" s="18">
        <f>SUM(H55:H74)</f>
        <v/>
      </c>
      <c r="I76" s="18">
        <f>SUM(I55:I74)</f>
        <v/>
      </c>
      <c r="J76" s="18">
        <f>SUM(J55:J74)</f>
        <v/>
      </c>
      <c r="K76" s="18">
        <f>SUM(K55:K74)</f>
        <v/>
      </c>
      <c r="L76" s="18">
        <f>SUM(L55:L74)</f>
        <v/>
      </c>
      <c r="M76" s="18">
        <f>SUM(M55:M74)</f>
        <v/>
      </c>
      <c r="N76" s="18">
        <f>SUM(N55:N74)</f>
        <v/>
      </c>
      <c r="O76" s="18">
        <f>SUM(O55:O74)</f>
        <v/>
      </c>
      <c r="P76" s="18">
        <f>SUM(P55:P74)</f>
        <v/>
      </c>
      <c r="Q76" s="18">
        <f>SUM(Q55:Q74)</f>
        <v/>
      </c>
      <c r="R76" s="18">
        <f>SUM(R55:R74)</f>
        <v/>
      </c>
      <c r="S76" s="18">
        <f>SUM(S55:S74)</f>
        <v/>
      </c>
      <c r="T76" s="18">
        <f>SUM(T55:T74)</f>
        <v/>
      </c>
      <c r="U76" s="18">
        <f>SUM(U55:U74)</f>
        <v/>
      </c>
      <c r="V76" s="18">
        <f>SUM(V55:V74)</f>
        <v/>
      </c>
      <c r="W76" s="18">
        <f>SUM(W55:W74)</f>
        <v/>
      </c>
      <c r="X76" s="18">
        <f>SUM(X55:X74)</f>
        <v/>
      </c>
      <c r="Y76" s="18">
        <f>SUM(Y55:Y74)</f>
        <v/>
      </c>
      <c r="Z76" s="18">
        <f>SUM(Z55:Z74)</f>
        <v/>
      </c>
      <c r="AA76" s="18">
        <f>SUM(AA55:AA74)</f>
        <v/>
      </c>
      <c r="AB76" s="18">
        <f>SUM(AB55:AB74)</f>
        <v/>
      </c>
      <c r="AC76" s="18">
        <f>SUM(AC55:AC74)</f>
        <v/>
      </c>
      <c r="AD76" s="18">
        <f>SUM(AD55:AD74)</f>
        <v/>
      </c>
      <c r="AE76" s="18">
        <f>SUM(AE55:AE74)</f>
        <v/>
      </c>
      <c r="AF76" s="18">
        <f>SUM(AF55:AF74)</f>
        <v/>
      </c>
      <c r="AG76" s="18">
        <f>SUM(AG55:AG74)</f>
        <v/>
      </c>
      <c r="AH76" s="18">
        <f>SUM(AH55:AH74)</f>
        <v/>
      </c>
      <c r="AI76" s="18">
        <f>SUM(AI55:AI74)</f>
        <v/>
      </c>
      <c r="AJ76" s="18">
        <f>SUM(AJ55:AJ74)</f>
        <v/>
      </c>
      <c r="AK76" s="18">
        <f>SUM(AK55:AK74)</f>
        <v/>
      </c>
      <c r="AL76" s="18">
        <f>SUM(AL55:AL74)</f>
        <v/>
      </c>
      <c r="AM76" s="18">
        <f>SUM(AM55:AM74)</f>
        <v/>
      </c>
      <c r="AN76" s="18">
        <f>SUM(AN55:AN74)</f>
        <v/>
      </c>
      <c r="AO76" s="18">
        <f>SUM(AO55:AO74)</f>
        <v/>
      </c>
      <c r="AP76" s="18">
        <f>SUM(AP55:AP74)</f>
        <v/>
      </c>
      <c r="AQ76" s="18">
        <f>SUM(AQ55:AQ74)</f>
        <v/>
      </c>
      <c r="AR76" s="18">
        <f>SUM(AR55:AR74)</f>
        <v/>
      </c>
      <c r="AS76" s="18">
        <f>SUM(AS55:AS74)</f>
        <v/>
      </c>
      <c r="AT76" s="18">
        <f>SUM(AT55:AT74)</f>
        <v/>
      </c>
      <c r="AU76" s="18">
        <f>SUM(AU55:AU74)</f>
        <v/>
      </c>
      <c r="AV76" s="18">
        <f>SUM(AV55:AV74)</f>
        <v/>
      </c>
    </row>
    <row r="78">
      <c r="A78" s="1" t="inlineStr">
        <is>
          <t>계약 원장(contracts.json 기반 — counted 아닌 계약 포함)</t>
        </is>
      </c>
    </row>
    <row r="79">
      <c r="A79" s="1" t="inlineStr">
        <is>
          <t>rcp</t>
        </is>
      </c>
      <c r="B79" s="1" t="inlineStr">
        <is>
          <t>type</t>
        </is>
      </c>
      <c r="C79" s="1" t="inlineStr">
        <is>
          <t>ships</t>
        </is>
      </c>
      <c r="D79" s="1" t="inlineStr">
        <is>
          <t>amt_krw_m</t>
        </is>
      </c>
      <c r="E79" s="1" t="inlineStr">
        <is>
          <t>amt_usd_m</t>
        </is>
      </c>
      <c r="F79" s="1" t="inlineStr">
        <is>
          <t>fx_at_sign</t>
        </is>
      </c>
      <c r="G79" s="1" t="inlineStr">
        <is>
          <t>signed</t>
        </is>
      </c>
      <c r="H79" s="1" t="inlineStr">
        <is>
          <t>start</t>
        </is>
      </c>
      <c r="I79" s="1" t="inlineStr">
        <is>
          <t>end</t>
        </is>
      </c>
      <c r="J79" s="1" t="inlineStr">
        <is>
          <t>cohort</t>
        </is>
      </c>
      <c r="K79" s="1" t="inlineStr">
        <is>
          <t>cohort_alt</t>
        </is>
      </c>
      <c r="L79" s="1" t="inlineStr">
        <is>
          <t>curve</t>
        </is>
      </c>
      <c r="M79" s="1" t="inlineStr">
        <is>
          <t>counted</t>
        </is>
      </c>
      <c r="N79" s="1" t="inlineStr">
        <is>
          <t>signed_by_origin</t>
        </is>
      </c>
      <c r="O79" s="1" t="inlineStr">
        <is>
          <t>estimated_series</t>
        </is>
      </c>
    </row>
    <row r="80">
      <c r="A80" t="inlineStr">
        <is>
          <t>20251121800424</t>
        </is>
      </c>
      <c r="B80" t="inlineStr">
        <is>
          <t>VLCC</t>
        </is>
      </c>
      <c r="C80" t="n">
        <v>4</v>
      </c>
      <c r="D80" t="n">
        <v>762700</v>
      </c>
      <c r="E80" t="n">
        <v>526.294</v>
      </c>
      <c r="F80" t="n">
        <v>1449.19</v>
      </c>
      <c r="G80" t="inlineStr">
        <is>
          <t>2025-11-20</t>
        </is>
      </c>
      <c r="H80" t="inlineStr">
        <is>
          <t>2025-11-20</t>
        </is>
      </c>
      <c r="I80" t="inlineStr">
        <is>
          <t>2029-08-13</t>
        </is>
      </c>
      <c r="J80" t="inlineStr">
        <is>
          <t>⑤초호황</t>
        </is>
      </c>
      <c r="K80" t="inlineStr">
        <is>
          <t>④호황</t>
        </is>
      </c>
      <c r="L80" t="inlineStr">
        <is>
          <t>linear_progress</t>
        </is>
      </c>
      <c r="M80" t="b">
        <v>1</v>
      </c>
      <c r="N80" t="b">
        <v>1</v>
      </c>
      <c r="O80" t="b">
        <v>1</v>
      </c>
    </row>
    <row r="81">
      <c r="A81" t="inlineStr">
        <is>
          <t>20251124800131</t>
        </is>
      </c>
      <c r="B81" t="inlineStr">
        <is>
          <t>CONT</t>
        </is>
      </c>
      <c r="C81" t="n">
        <v>6</v>
      </c>
      <c r="D81" t="n">
        <v>1603700</v>
      </c>
      <c r="E81" t="n">
        <v>1106.618</v>
      </c>
      <c r="F81" t="n">
        <v>1449.19</v>
      </c>
      <c r="G81" t="inlineStr">
        <is>
          <t>2025-11-21</t>
        </is>
      </c>
      <c r="H81" t="inlineStr">
        <is>
          <t>2025-11-21</t>
        </is>
      </c>
      <c r="I81" t="inlineStr">
        <is>
          <t>2029-04-30</t>
        </is>
      </c>
      <c r="J81" t="inlineStr">
        <is>
          <t>⑤초호황</t>
        </is>
      </c>
      <c r="K81" t="inlineStr">
        <is>
          <t>③중마진</t>
        </is>
      </c>
      <c r="L81" t="inlineStr">
        <is>
          <t>linear_progress</t>
        </is>
      </c>
      <c r="M81" t="b">
        <v>1</v>
      </c>
      <c r="N81" t="b">
        <v>1</v>
      </c>
      <c r="O81" t="b">
        <v>1</v>
      </c>
    </row>
    <row r="82">
      <c r="A82" t="inlineStr">
        <is>
          <t>20251124800132</t>
        </is>
      </c>
      <c r="B82" t="inlineStr">
        <is>
          <t>CONT</t>
        </is>
      </c>
      <c r="C82" t="n">
        <v>2</v>
      </c>
      <c r="D82" t="n">
        <v>534600</v>
      </c>
      <c r="E82" t="n">
        <v>368.896</v>
      </c>
      <c r="F82" t="n">
        <v>1449.19</v>
      </c>
      <c r="G82" t="inlineStr">
        <is>
          <t>2025-11-21</t>
        </is>
      </c>
      <c r="H82" t="inlineStr">
        <is>
          <t>2025-11-21</t>
        </is>
      </c>
      <c r="I82" t="inlineStr">
        <is>
          <t>2028-07-14</t>
        </is>
      </c>
      <c r="L82" t="inlineStr">
        <is>
          <t>linear_progress</t>
        </is>
      </c>
      <c r="M82" t="b">
        <v>0</v>
      </c>
      <c r="N82" t="b">
        <v>1</v>
      </c>
      <c r="O82" t="b">
        <v>1</v>
      </c>
    </row>
    <row r="83">
      <c r="A83" t="inlineStr">
        <is>
          <t>20251202800104</t>
        </is>
      </c>
      <c r="B83" t="inlineStr">
        <is>
          <t>LNGC</t>
        </is>
      </c>
      <c r="C83" t="n">
        <v>1</v>
      </c>
      <c r="D83" t="n">
        <v>367200</v>
      </c>
      <c r="E83" t="n">
        <v>253.383</v>
      </c>
      <c r="F83" t="n">
        <v>1449.19</v>
      </c>
      <c r="G83" t="inlineStr">
        <is>
          <t>2025-12-01</t>
        </is>
      </c>
      <c r="H83" t="inlineStr">
        <is>
          <t>2025-12-01</t>
        </is>
      </c>
      <c r="I83" t="inlineStr">
        <is>
          <t>2028-12-31</t>
        </is>
      </c>
      <c r="J83" t="inlineStr">
        <is>
          <t>⑤초호황</t>
        </is>
      </c>
      <c r="K83" t="inlineStr">
        <is>
          <t>③중마진</t>
        </is>
      </c>
      <c r="L83" t="inlineStr">
        <is>
          <t>linear_progress</t>
        </is>
      </c>
      <c r="M83" t="b">
        <v>1</v>
      </c>
      <c r="N83" t="b">
        <v>1</v>
      </c>
      <c r="O83" t="b">
        <v>0</v>
      </c>
    </row>
    <row r="84">
      <c r="A84" t="inlineStr">
        <is>
          <t>20251215800970</t>
        </is>
      </c>
      <c r="B84" t="inlineStr">
        <is>
          <t>OTHER</t>
        </is>
      </c>
      <c r="D84" t="n">
        <v>140700</v>
      </c>
      <c r="E84" t="n">
        <v>117.843</v>
      </c>
      <c r="F84" t="n">
        <v>1193.96</v>
      </c>
      <c r="G84" t="inlineStr">
        <is>
          <t>2019-09-03</t>
        </is>
      </c>
      <c r="H84" t="inlineStr">
        <is>
          <t>2019-09-03</t>
        </is>
      </c>
      <c r="I84" t="inlineStr">
        <is>
          <t>2025-12-15</t>
        </is>
      </c>
      <c r="L84" t="inlineStr">
        <is>
          <t>linear_progress</t>
        </is>
      </c>
      <c r="M84" t="b">
        <v>1</v>
      </c>
      <c r="N84" t="b">
        <v>1</v>
      </c>
      <c r="O84" t="b">
        <v>0</v>
      </c>
    </row>
    <row r="85">
      <c r="A85" t="inlineStr">
        <is>
          <t>20251219800421</t>
        </is>
      </c>
      <c r="B85" t="inlineStr">
        <is>
          <t>LNGC</t>
        </is>
      </c>
      <c r="C85" t="n">
        <v>3</v>
      </c>
      <c r="D85" t="n">
        <v>1047200</v>
      </c>
      <c r="E85" t="n">
        <v>769.491</v>
      </c>
      <c r="F85" t="n">
        <v>1360.9</v>
      </c>
      <c r="G85" t="inlineStr">
        <is>
          <t>2025-06-26</t>
        </is>
      </c>
      <c r="H85" t="inlineStr">
        <is>
          <t>2025-06-26</t>
        </is>
      </c>
      <c r="I85" t="inlineStr">
        <is>
          <t>2029-02-02</t>
        </is>
      </c>
      <c r="J85" t="inlineStr">
        <is>
          <t>⑤초호황</t>
        </is>
      </c>
      <c r="K85" t="inlineStr">
        <is>
          <t>③중마진</t>
        </is>
      </c>
      <c r="L85" t="inlineStr">
        <is>
          <t>linear_progress</t>
        </is>
      </c>
      <c r="M85" t="b">
        <v>1</v>
      </c>
      <c r="N85" t="b">
        <v>1</v>
      </c>
      <c r="O85" t="b">
        <v>0</v>
      </c>
    </row>
    <row r="86">
      <c r="A86" t="inlineStr">
        <is>
          <t>20251219800433</t>
        </is>
      </c>
      <c r="B86" t="inlineStr">
        <is>
          <t>CONT</t>
        </is>
      </c>
      <c r="C86" t="n">
        <v>4</v>
      </c>
      <c r="D86" t="n">
        <v>689600</v>
      </c>
      <c r="E86" t="n">
        <v>475.852</v>
      </c>
      <c r="F86" t="n">
        <v>1449.19</v>
      </c>
      <c r="G86" t="inlineStr">
        <is>
          <t>2025-12-18</t>
        </is>
      </c>
      <c r="H86" t="inlineStr">
        <is>
          <t>2025-12-18</t>
        </is>
      </c>
      <c r="I86" t="inlineStr">
        <is>
          <t>2028-11-20</t>
        </is>
      </c>
      <c r="J86" t="inlineStr">
        <is>
          <t>⑤초호황</t>
        </is>
      </c>
      <c r="K86" t="inlineStr">
        <is>
          <t>②BEP</t>
        </is>
      </c>
      <c r="L86" t="inlineStr">
        <is>
          <t>linear_progress</t>
        </is>
      </c>
      <c r="M86" t="b">
        <v>1</v>
      </c>
      <c r="N86" t="b">
        <v>1</v>
      </c>
      <c r="O86" t="b">
        <v>1</v>
      </c>
    </row>
    <row r="87">
      <c r="A87" t="inlineStr">
        <is>
          <t>20251224800162</t>
        </is>
      </c>
      <c r="B87" t="inlineStr">
        <is>
          <t>PC</t>
        </is>
      </c>
      <c r="C87" t="n">
        <v>5</v>
      </c>
      <c r="D87" t="n">
        <v>375000</v>
      </c>
      <c r="E87" t="n">
        <v>258.765</v>
      </c>
      <c r="F87" t="n">
        <v>1449.19</v>
      </c>
      <c r="G87" t="inlineStr">
        <is>
          <t>2025-12-23</t>
        </is>
      </c>
      <c r="H87" t="inlineStr">
        <is>
          <t>2025-12-23</t>
        </is>
      </c>
      <c r="I87" t="inlineStr">
        <is>
          <t>2028-07-31</t>
        </is>
      </c>
      <c r="L87" t="inlineStr">
        <is>
          <t>linear_progress</t>
        </is>
      </c>
      <c r="M87" t="b">
        <v>0</v>
      </c>
      <c r="N87" t="b">
        <v>1</v>
      </c>
      <c r="O87" t="b">
        <v>1</v>
      </c>
    </row>
    <row r="88">
      <c r="A88" t="inlineStr">
        <is>
          <t>20251226800855</t>
        </is>
      </c>
      <c r="B88" t="inlineStr">
        <is>
          <t>NAVAL</t>
        </is>
      </c>
      <c r="C88" t="n">
        <v>2</v>
      </c>
      <c r="D88" t="n">
        <v>844700</v>
      </c>
      <c r="E88" t="n">
        <v>582.877</v>
      </c>
      <c r="F88" t="n">
        <v>1449.19</v>
      </c>
      <c r="G88" t="inlineStr">
        <is>
          <t>2025-12-26</t>
        </is>
      </c>
      <c r="H88" t="inlineStr">
        <is>
          <t>2025-12-26</t>
        </is>
      </c>
      <c r="I88" t="inlineStr">
        <is>
          <t>2029-12-20</t>
        </is>
      </c>
      <c r="L88" t="inlineStr">
        <is>
          <t>linear_progress</t>
        </is>
      </c>
      <c r="M88" t="b">
        <v>0</v>
      </c>
      <c r="N88" t="b">
        <v>1</v>
      </c>
      <c r="O88" t="b">
        <v>0</v>
      </c>
    </row>
    <row r="89">
      <c r="A89" t="inlineStr">
        <is>
          <t>20260106800156</t>
        </is>
      </c>
      <c r="B89" t="inlineStr">
        <is>
          <t>LNGC</t>
        </is>
      </c>
      <c r="C89" t="n">
        <v>4</v>
      </c>
      <c r="D89" t="n">
        <v>1499300</v>
      </c>
      <c r="E89" t="n">
        <v>1022.631</v>
      </c>
      <c r="F89" t="n">
        <v>1466.12</v>
      </c>
      <c r="G89" t="inlineStr">
        <is>
          <t>2026-01-05</t>
        </is>
      </c>
      <c r="H89" t="inlineStr">
        <is>
          <t>2026-01-05</t>
        </is>
      </c>
      <c r="I89" t="inlineStr">
        <is>
          <t>2029-03-27</t>
        </is>
      </c>
      <c r="L89" t="inlineStr">
        <is>
          <t>linear_progress</t>
        </is>
      </c>
      <c r="M89" t="b">
        <v>0</v>
      </c>
      <c r="N89" t="b">
        <v>1</v>
      </c>
      <c r="O89" t="b">
        <v>1</v>
      </c>
    </row>
    <row r="90">
      <c r="A90" t="inlineStr">
        <is>
          <t>20260116800207</t>
        </is>
      </c>
      <c r="B90" t="inlineStr">
        <is>
          <t>VLGC</t>
        </is>
      </c>
      <c r="C90" t="n">
        <v>1</v>
      </c>
      <c r="D90" t="n">
        <v>175800</v>
      </c>
      <c r="E90" t="n">
        <v>119.908</v>
      </c>
      <c r="F90" t="n">
        <v>1466.12</v>
      </c>
      <c r="G90" t="inlineStr">
        <is>
          <t>2026-01-15</t>
        </is>
      </c>
      <c r="H90" t="inlineStr">
        <is>
          <t>2026-01-15</t>
        </is>
      </c>
      <c r="I90" t="inlineStr">
        <is>
          <t>2028-05-31</t>
        </is>
      </c>
      <c r="J90" t="inlineStr">
        <is>
          <t>⑤초호황</t>
        </is>
      </c>
      <c r="K90" t="inlineStr">
        <is>
          <t>③중마진</t>
        </is>
      </c>
      <c r="L90" t="inlineStr">
        <is>
          <t>linear_progress</t>
        </is>
      </c>
      <c r="M90" t="b">
        <v>1</v>
      </c>
      <c r="N90" t="b">
        <v>1</v>
      </c>
      <c r="O90" t="b">
        <v>0</v>
      </c>
    </row>
    <row r="91">
      <c r="A91" t="inlineStr">
        <is>
          <t>20260120800211</t>
        </is>
      </c>
      <c r="B91" t="inlineStr">
        <is>
          <t>VLCC</t>
        </is>
      </c>
      <c r="C91" t="n">
        <v>2</v>
      </c>
      <c r="D91" t="n">
        <v>481600</v>
      </c>
      <c r="E91" t="n">
        <v>328.486</v>
      </c>
      <c r="F91" t="n">
        <v>1466.12</v>
      </c>
      <c r="G91" t="inlineStr">
        <is>
          <t>2026-01-19</t>
        </is>
      </c>
      <c r="H91" t="inlineStr">
        <is>
          <t>2026-01-19</t>
        </is>
      </c>
      <c r="I91" t="inlineStr">
        <is>
          <t>2029-06-30</t>
        </is>
      </c>
      <c r="L91" t="inlineStr">
        <is>
          <t>linear_progress</t>
        </is>
      </c>
      <c r="M91" t="b">
        <v>0</v>
      </c>
      <c r="N91" t="b">
        <v>1</v>
      </c>
      <c r="O91" t="b">
        <v>0</v>
      </c>
    </row>
    <row r="92">
      <c r="A92" t="inlineStr">
        <is>
          <t>20260202800947</t>
        </is>
      </c>
      <c r="B92" t="inlineStr">
        <is>
          <t>LNGC</t>
        </is>
      </c>
      <c r="C92" t="n">
        <v>1</v>
      </c>
      <c r="D92" t="n">
        <v>357500</v>
      </c>
      <c r="E92" t="n">
        <v>243.841</v>
      </c>
      <c r="F92" t="n">
        <v>1466.12</v>
      </c>
      <c r="G92" t="inlineStr">
        <is>
          <t>2026-01-30</t>
        </is>
      </c>
      <c r="H92" t="inlineStr">
        <is>
          <t>2026-01-30</t>
        </is>
      </c>
      <c r="I92" t="inlineStr">
        <is>
          <t>2028-06-30</t>
        </is>
      </c>
      <c r="J92" t="inlineStr">
        <is>
          <t>⑤초호황</t>
        </is>
      </c>
      <c r="K92" t="inlineStr">
        <is>
          <t>③중마진</t>
        </is>
      </c>
      <c r="L92" t="inlineStr">
        <is>
          <t>linear_progress</t>
        </is>
      </c>
      <c r="M92" t="b">
        <v>1</v>
      </c>
      <c r="N92" t="b">
        <v>1</v>
      </c>
      <c r="O92" t="b">
        <v>1</v>
      </c>
    </row>
    <row r="93">
      <c r="A93" t="inlineStr">
        <is>
          <t>20260226800208</t>
        </is>
      </c>
      <c r="B93" t="inlineStr">
        <is>
          <t>LNGC</t>
        </is>
      </c>
      <c r="C93" t="n">
        <v>1</v>
      </c>
      <c r="D93" t="n">
        <v>367800</v>
      </c>
      <c r="E93" t="n">
        <v>250.866</v>
      </c>
      <c r="F93" t="n">
        <v>1466.12</v>
      </c>
      <c r="G93" t="inlineStr">
        <is>
          <t>2026-02-25</t>
        </is>
      </c>
      <c r="H93" t="inlineStr">
        <is>
          <t>2026-02-25</t>
        </is>
      </c>
      <c r="I93" t="inlineStr">
        <is>
          <t>2028-09-29</t>
        </is>
      </c>
      <c r="L93" t="inlineStr">
        <is>
          <t>linear_progress</t>
        </is>
      </c>
      <c r="M93" t="b">
        <v>0</v>
      </c>
      <c r="N93" t="b">
        <v>1</v>
      </c>
      <c r="O93" t="b">
        <v>1</v>
      </c>
    </row>
    <row r="94">
      <c r="A94" t="inlineStr">
        <is>
          <t>20260227800230</t>
        </is>
      </c>
      <c r="B94" t="inlineStr">
        <is>
          <t>CONT</t>
        </is>
      </c>
      <c r="C94" t="n">
        <v>6</v>
      </c>
      <c r="D94" t="n">
        <v>372400</v>
      </c>
      <c r="E94" t="n">
        <v>254.004</v>
      </c>
      <c r="F94" t="n">
        <v>1466.12</v>
      </c>
      <c r="G94" t="inlineStr">
        <is>
          <t>2026-02-26</t>
        </is>
      </c>
      <c r="H94" t="inlineStr">
        <is>
          <t>2026-02-26</t>
        </is>
      </c>
      <c r="I94" t="inlineStr">
        <is>
          <t>2028-06-30</t>
        </is>
      </c>
      <c r="L94" t="inlineStr">
        <is>
          <t>linear_progress</t>
        </is>
      </c>
      <c r="M94" t="b">
        <v>0</v>
      </c>
      <c r="N94" t="b">
        <v>1</v>
      </c>
      <c r="O94" t="b">
        <v>1</v>
      </c>
    </row>
    <row r="95">
      <c r="A95" t="inlineStr">
        <is>
          <t>20260304800002</t>
        </is>
      </c>
      <c r="B95" t="inlineStr">
        <is>
          <t>VLCC</t>
        </is>
      </c>
      <c r="C95" t="n">
        <v>4</v>
      </c>
      <c r="D95" t="n">
        <v>529300</v>
      </c>
      <c r="E95" t="n">
        <v>365.239</v>
      </c>
      <c r="F95" t="n">
        <v>1449.19</v>
      </c>
      <c r="G95" t="inlineStr">
        <is>
          <t>2025-12-18</t>
        </is>
      </c>
      <c r="H95" t="inlineStr">
        <is>
          <t>2025-12-18</t>
        </is>
      </c>
      <c r="I95" t="inlineStr">
        <is>
          <t>2028-10-31</t>
        </is>
      </c>
      <c r="J95" t="inlineStr">
        <is>
          <t>⑤초호황</t>
        </is>
      </c>
      <c r="K95" t="inlineStr">
        <is>
          <t>③중마진</t>
        </is>
      </c>
      <c r="L95" t="inlineStr">
        <is>
          <t>linear_progress</t>
        </is>
      </c>
      <c r="M95" t="b">
        <v>1</v>
      </c>
      <c r="N95" t="b">
        <v>1</v>
      </c>
      <c r="O95" t="b">
        <v>1</v>
      </c>
    </row>
    <row r="96">
      <c r="A96" t="inlineStr">
        <is>
          <t>20260305800849</t>
        </is>
      </c>
      <c r="B96" t="inlineStr">
        <is>
          <t>LNGC</t>
        </is>
      </c>
      <c r="C96" t="n">
        <v>4</v>
      </c>
      <c r="D96" t="n">
        <v>1487200</v>
      </c>
      <c r="E96" t="n">
        <v>1014.378</v>
      </c>
      <c r="F96" t="n">
        <v>1466.12</v>
      </c>
      <c r="G96" t="inlineStr">
        <is>
          <t>2026-03-04</t>
        </is>
      </c>
      <c r="H96" t="inlineStr">
        <is>
          <t>2026-03-04</t>
        </is>
      </c>
      <c r="I96" t="inlineStr">
        <is>
          <t>2029-11-30</t>
        </is>
      </c>
      <c r="L96" t="inlineStr">
        <is>
          <t>linear_progress</t>
        </is>
      </c>
      <c r="M96" t="b">
        <v>0</v>
      </c>
      <c r="N96" t="b">
        <v>1</v>
      </c>
      <c r="O96" t="b">
        <v>1</v>
      </c>
    </row>
    <row r="97">
      <c r="A97" t="inlineStr">
        <is>
          <t>20260306800225</t>
        </is>
      </c>
      <c r="B97" t="inlineStr">
        <is>
          <t>VLCC</t>
        </is>
      </c>
      <c r="C97" t="n">
        <v>2</v>
      </c>
      <c r="D97" t="n">
        <v>263200</v>
      </c>
      <c r="E97" t="n">
        <v>179.521</v>
      </c>
      <c r="F97" t="n">
        <v>1466.12</v>
      </c>
      <c r="G97" t="inlineStr">
        <is>
          <t>2026-03-05</t>
        </is>
      </c>
      <c r="H97" t="inlineStr">
        <is>
          <t>2026-03-05</t>
        </is>
      </c>
      <c r="I97" t="inlineStr">
        <is>
          <t>2029-05-31</t>
        </is>
      </c>
      <c r="J97" t="inlineStr">
        <is>
          <t>⑤초호황</t>
        </is>
      </c>
      <c r="K97" t="inlineStr">
        <is>
          <t>③중마진</t>
        </is>
      </c>
      <c r="L97" t="inlineStr">
        <is>
          <t>linear_progress</t>
        </is>
      </c>
      <c r="M97" t="b">
        <v>1</v>
      </c>
      <c r="N97" t="b">
        <v>1</v>
      </c>
      <c r="O97" t="b">
        <v>0</v>
      </c>
    </row>
    <row r="98">
      <c r="A98" t="inlineStr">
        <is>
          <t>20260310800414</t>
        </is>
      </c>
      <c r="B98" t="inlineStr">
        <is>
          <t>VLGC</t>
        </is>
      </c>
      <c r="C98" t="n">
        <v>2</v>
      </c>
      <c r="D98" t="n">
        <v>340200</v>
      </c>
      <c r="E98" t="n">
        <v>232.041</v>
      </c>
      <c r="F98" t="n">
        <v>1466.12</v>
      </c>
      <c r="G98" t="inlineStr">
        <is>
          <t>2026-03-09</t>
        </is>
      </c>
      <c r="H98" t="inlineStr">
        <is>
          <t>2026-03-09</t>
        </is>
      </c>
      <c r="I98" t="inlineStr">
        <is>
          <t>2028-12-29</t>
        </is>
      </c>
      <c r="J98" t="inlineStr">
        <is>
          <t>⑤초호황</t>
        </is>
      </c>
      <c r="K98" t="inlineStr">
        <is>
          <t>③중마진</t>
        </is>
      </c>
      <c r="L98" t="inlineStr">
        <is>
          <t>linear_progress</t>
        </is>
      </c>
      <c r="M98" t="b">
        <v>1</v>
      </c>
      <c r="N98" t="b">
        <v>1</v>
      </c>
      <c r="O98" t="b">
        <v>1</v>
      </c>
    </row>
    <row r="99">
      <c r="A99" t="inlineStr">
        <is>
          <t>20260316800234</t>
        </is>
      </c>
      <c r="B99" t="inlineStr">
        <is>
          <t>CONT</t>
        </is>
      </c>
      <c r="C99" t="n">
        <v>10</v>
      </c>
      <c r="D99" t="n">
        <v>823700</v>
      </c>
      <c r="E99" t="n">
        <v>561.823</v>
      </c>
      <c r="F99" t="n">
        <v>1466.12</v>
      </c>
      <c r="G99" t="inlineStr">
        <is>
          <t>2026-03-13</t>
        </is>
      </c>
      <c r="H99" t="inlineStr">
        <is>
          <t>2026-03-13</t>
        </is>
      </c>
      <c r="I99" t="inlineStr">
        <is>
          <t>2028-12-31</t>
        </is>
      </c>
      <c r="L99" t="inlineStr">
        <is>
          <t>linear_progress</t>
        </is>
      </c>
      <c r="M99" t="b">
        <v>0</v>
      </c>
      <c r="N99" t="b">
        <v>1</v>
      </c>
      <c r="O99" t="b">
        <v>1</v>
      </c>
    </row>
    <row r="100">
      <c r="A100" t="inlineStr">
        <is>
          <t>20260403800582</t>
        </is>
      </c>
      <c r="B100" t="inlineStr">
        <is>
          <t>VLGC</t>
        </is>
      </c>
      <c r="C100" t="n">
        <v>2</v>
      </c>
      <c r="D100" t="n">
        <v>349800</v>
      </c>
      <c r="E100" t="n">
        <v>232.928</v>
      </c>
      <c r="F100" t="n">
        <v>1501.75</v>
      </c>
      <c r="G100" t="inlineStr">
        <is>
          <t>2026-04-02</t>
        </is>
      </c>
      <c r="H100" t="inlineStr">
        <is>
          <t>2026-04-02</t>
        </is>
      </c>
      <c r="I100" t="inlineStr">
        <is>
          <t>2029-03-30</t>
        </is>
      </c>
      <c r="J100" t="inlineStr">
        <is>
          <t>⑤초호황</t>
        </is>
      </c>
      <c r="K100" t="inlineStr">
        <is>
          <t>③중마진</t>
        </is>
      </c>
      <c r="L100" t="inlineStr">
        <is>
          <t>linear_progress</t>
        </is>
      </c>
      <c r="M100" t="b">
        <v>1</v>
      </c>
      <c r="N100" t="b">
        <v>1</v>
      </c>
      <c r="O100" t="b">
        <v>0</v>
      </c>
    </row>
    <row r="101">
      <c r="A101" t="inlineStr">
        <is>
          <t>20260403800587</t>
        </is>
      </c>
      <c r="B101" t="inlineStr">
        <is>
          <t>PC</t>
        </is>
      </c>
      <c r="C101" t="n">
        <v>8</v>
      </c>
      <c r="D101" t="n">
        <v>611700</v>
      </c>
      <c r="E101" t="n">
        <v>407.325</v>
      </c>
      <c r="F101" t="n">
        <v>1501.75</v>
      </c>
      <c r="G101" t="inlineStr">
        <is>
          <t>2026-04-02</t>
        </is>
      </c>
      <c r="H101" t="inlineStr">
        <is>
          <t>2026-04-02</t>
        </is>
      </c>
      <c r="I101" t="inlineStr">
        <is>
          <t>2029-05-31</t>
        </is>
      </c>
      <c r="L101" t="inlineStr">
        <is>
          <t>linear_progress</t>
        </is>
      </c>
      <c r="M101" t="b">
        <v>0</v>
      </c>
      <c r="N101" t="b">
        <v>1</v>
      </c>
      <c r="O101" t="b">
        <v>1</v>
      </c>
    </row>
    <row r="102">
      <c r="A102" t="inlineStr">
        <is>
          <t>20260408800703</t>
        </is>
      </c>
      <c r="B102" t="inlineStr">
        <is>
          <t>LNGC</t>
        </is>
      </c>
      <c r="C102" t="n">
        <v>2</v>
      </c>
      <c r="D102" t="n">
        <v>770200</v>
      </c>
      <c r="E102" t="n">
        <v>512.8680000000001</v>
      </c>
      <c r="F102" t="n">
        <v>1501.75</v>
      </c>
      <c r="G102" t="inlineStr">
        <is>
          <t>2026-04-07</t>
        </is>
      </c>
      <c r="H102" t="inlineStr">
        <is>
          <t>2026-04-07</t>
        </is>
      </c>
      <c r="I102" t="inlineStr">
        <is>
          <t>2029-09-28</t>
        </is>
      </c>
      <c r="J102" t="inlineStr">
        <is>
          <t>⑤초호황</t>
        </is>
      </c>
      <c r="K102" t="inlineStr">
        <is>
          <t>③중마진</t>
        </is>
      </c>
      <c r="L102" t="inlineStr">
        <is>
          <t>linear_progress</t>
        </is>
      </c>
      <c r="M102" t="b">
        <v>1</v>
      </c>
      <c r="N102" t="b">
        <v>1</v>
      </c>
      <c r="O102" t="b">
        <v>1</v>
      </c>
    </row>
    <row r="103">
      <c r="A103" t="inlineStr">
        <is>
          <t>20260416800167</t>
        </is>
      </c>
      <c r="B103" t="inlineStr">
        <is>
          <t>VLGC</t>
        </is>
      </c>
      <c r="C103" t="n">
        <v>2</v>
      </c>
      <c r="D103" t="n">
        <v>346600</v>
      </c>
      <c r="E103" t="n">
        <v>230.797</v>
      </c>
      <c r="F103" t="n">
        <v>1501.75</v>
      </c>
      <c r="G103" t="inlineStr">
        <is>
          <t>2026-04-15</t>
        </is>
      </c>
      <c r="H103" t="inlineStr">
        <is>
          <t>2026-04-15</t>
        </is>
      </c>
      <c r="I103" t="inlineStr">
        <is>
          <t>2029-04-30</t>
        </is>
      </c>
      <c r="J103" t="inlineStr">
        <is>
          <t>⑤초호황</t>
        </is>
      </c>
      <c r="K103" t="inlineStr">
        <is>
          <t>③중마진</t>
        </is>
      </c>
      <c r="L103" t="inlineStr">
        <is>
          <t>linear_progress</t>
        </is>
      </c>
      <c r="M103" t="b">
        <v>1</v>
      </c>
      <c r="N103" t="b">
        <v>1</v>
      </c>
      <c r="O103" t="b">
        <v>1</v>
      </c>
    </row>
    <row r="104">
      <c r="A104" t="inlineStr">
        <is>
          <t>20260417800196</t>
        </is>
      </c>
      <c r="B104" t="inlineStr">
        <is>
          <t>VLGC</t>
        </is>
      </c>
      <c r="C104" t="n">
        <v>4</v>
      </c>
      <c r="D104" t="n">
        <v>674700</v>
      </c>
      <c r="E104" t="n">
        <v>449.276</v>
      </c>
      <c r="F104" t="n">
        <v>1501.75</v>
      </c>
      <c r="G104" t="inlineStr">
        <is>
          <t>2026-04-16</t>
        </is>
      </c>
      <c r="H104" t="inlineStr">
        <is>
          <t>2026-04-16</t>
        </is>
      </c>
      <c r="I104" t="inlineStr">
        <is>
          <t>2029-11-30</t>
        </is>
      </c>
      <c r="L104" t="inlineStr">
        <is>
          <t>linear_progress</t>
        </is>
      </c>
      <c r="M104" t="b">
        <v>0</v>
      </c>
      <c r="N104" t="b">
        <v>1</v>
      </c>
      <c r="O104" t="b">
        <v>1</v>
      </c>
    </row>
    <row r="105">
      <c r="A105" t="inlineStr">
        <is>
          <t>20260422800051</t>
        </is>
      </c>
      <c r="B105" t="inlineStr">
        <is>
          <t>NAVAL</t>
        </is>
      </c>
      <c r="C105" t="n">
        <v>1</v>
      </c>
      <c r="D105" t="n">
        <v>514800</v>
      </c>
      <c r="E105" t="n">
        <v>342.8</v>
      </c>
      <c r="F105" t="n">
        <v>1501.75</v>
      </c>
      <c r="G105" t="inlineStr">
        <is>
          <t>2026-04-21</t>
        </is>
      </c>
      <c r="H105" t="inlineStr">
        <is>
          <t>2026-04-21</t>
        </is>
      </c>
      <c r="I105" t="inlineStr">
        <is>
          <t>2029-08-28</t>
        </is>
      </c>
      <c r="L105" t="inlineStr">
        <is>
          <t>linear_progress</t>
        </is>
      </c>
      <c r="M105" t="b">
        <v>0</v>
      </c>
      <c r="N105" t="b">
        <v>1</v>
      </c>
      <c r="O105" t="b">
        <v>0</v>
      </c>
    </row>
    <row r="106">
      <c r="A106" t="inlineStr">
        <is>
          <t>20260422800184</t>
        </is>
      </c>
      <c r="B106" t="inlineStr">
        <is>
          <t>OTHER</t>
        </is>
      </c>
      <c r="D106" t="n">
        <v>627100</v>
      </c>
      <c r="E106" t="n">
        <v>417.579</v>
      </c>
      <c r="F106" t="n">
        <v>1501.75</v>
      </c>
      <c r="G106" t="inlineStr">
        <is>
          <t>2026-04-21</t>
        </is>
      </c>
      <c r="H106" t="inlineStr">
        <is>
          <t>2026-04-21</t>
        </is>
      </c>
      <c r="I106" t="inlineStr">
        <is>
          <t>2030-10-21</t>
        </is>
      </c>
      <c r="L106" t="inlineStr">
        <is>
          <t>linear_progress</t>
        </is>
      </c>
      <c r="M106" t="b">
        <v>0</v>
      </c>
      <c r="N106" t="b">
        <v>1</v>
      </c>
      <c r="O106" t="b">
        <v>0</v>
      </c>
    </row>
    <row r="107">
      <c r="A107" t="inlineStr">
        <is>
          <t>20260504800307</t>
        </is>
      </c>
      <c r="B107" t="inlineStr">
        <is>
          <t>VLGC</t>
        </is>
      </c>
      <c r="C107" t="n">
        <v>3</v>
      </c>
      <c r="D107" t="n">
        <v>504800</v>
      </c>
      <c r="E107" t="n">
        <v>336.141</v>
      </c>
      <c r="F107" t="n">
        <v>1501.75</v>
      </c>
      <c r="G107" t="inlineStr">
        <is>
          <t>2026-04-30</t>
        </is>
      </c>
      <c r="H107" t="inlineStr">
        <is>
          <t>2026-04-30</t>
        </is>
      </c>
      <c r="I107" t="inlineStr">
        <is>
          <t>2029-08-31</t>
        </is>
      </c>
      <c r="L107" t="inlineStr">
        <is>
          <t>linear_progress</t>
        </is>
      </c>
      <c r="M107" t="b">
        <v>0</v>
      </c>
      <c r="N107" t="b">
        <v>1</v>
      </c>
      <c r="O107" t="b">
        <v>0</v>
      </c>
    </row>
    <row r="108">
      <c r="A108" t="inlineStr">
        <is>
          <t>20260508800186</t>
        </is>
      </c>
      <c r="B108" t="inlineStr">
        <is>
          <t>CONT</t>
        </is>
      </c>
      <c r="C108" t="n">
        <v>6</v>
      </c>
      <c r="D108" t="n">
        <v>1778700</v>
      </c>
      <c r="E108" t="n">
        <v>1184.418</v>
      </c>
      <c r="F108" t="n">
        <v>1501.75</v>
      </c>
      <c r="G108" t="inlineStr">
        <is>
          <t>2026-05-07</t>
        </is>
      </c>
      <c r="H108" t="inlineStr">
        <is>
          <t>2026-05-07</t>
        </is>
      </c>
      <c r="I108" t="inlineStr">
        <is>
          <t>2029-09-30</t>
        </is>
      </c>
      <c r="L108" t="inlineStr">
        <is>
          <t>linear_progress</t>
        </is>
      </c>
      <c r="M108" t="b">
        <v>0</v>
      </c>
      <c r="N108" t="b">
        <v>1</v>
      </c>
      <c r="O108" t="b">
        <v>1</v>
      </c>
    </row>
    <row r="109">
      <c r="A109" t="inlineStr">
        <is>
          <t>20260513800195</t>
        </is>
      </c>
      <c r="B109" t="inlineStr">
        <is>
          <t>LNGC</t>
        </is>
      </c>
      <c r="C109" t="n">
        <v>2</v>
      </c>
      <c r="D109" t="n">
        <v>748500</v>
      </c>
      <c r="E109" t="n">
        <v>498.419</v>
      </c>
      <c r="F109" t="n">
        <v>1501.75</v>
      </c>
      <c r="G109" t="inlineStr">
        <is>
          <t>2026-05-12</t>
        </is>
      </c>
      <c r="H109" t="inlineStr">
        <is>
          <t>2026-05-12</t>
        </is>
      </c>
      <c r="I109" t="inlineStr">
        <is>
          <t>2029-07-23</t>
        </is>
      </c>
      <c r="J109" t="inlineStr">
        <is>
          <t>⑤초호황</t>
        </is>
      </c>
      <c r="K109" t="inlineStr">
        <is>
          <t>③중마진</t>
        </is>
      </c>
      <c r="L109" t="inlineStr">
        <is>
          <t>linear_progress</t>
        </is>
      </c>
      <c r="M109" t="b">
        <v>1</v>
      </c>
      <c r="N109" t="b">
        <v>1</v>
      </c>
      <c r="O109" t="b">
        <v>0</v>
      </c>
    </row>
    <row r="110">
      <c r="A110" t="inlineStr">
        <is>
          <t>20260514800347</t>
        </is>
      </c>
      <c r="B110" t="inlineStr">
        <is>
          <t>LNGC</t>
        </is>
      </c>
      <c r="C110" t="n">
        <v>2</v>
      </c>
      <c r="D110" t="n">
        <v>743900</v>
      </c>
      <c r="E110" t="n">
        <v>495.355</v>
      </c>
      <c r="F110" t="n">
        <v>1501.75</v>
      </c>
      <c r="G110" t="inlineStr">
        <is>
          <t>2026-05-13</t>
        </is>
      </c>
      <c r="H110" t="inlineStr">
        <is>
          <t>2026-05-13</t>
        </is>
      </c>
      <c r="I110" t="inlineStr">
        <is>
          <t>2029-03-30</t>
        </is>
      </c>
      <c r="L110" t="inlineStr">
        <is>
          <t>linear_progress</t>
        </is>
      </c>
      <c r="M110" t="b">
        <v>0</v>
      </c>
      <c r="N110" t="b">
        <v>1</v>
      </c>
      <c r="O110" t="b">
        <v>1</v>
      </c>
    </row>
    <row r="111">
      <c r="A111" t="inlineStr">
        <is>
          <t>20260521800360</t>
        </is>
      </c>
      <c r="B111" t="inlineStr">
        <is>
          <t>VLGC</t>
        </is>
      </c>
      <c r="C111" t="n">
        <v>6</v>
      </c>
      <c r="D111" t="n">
        <v>1078200</v>
      </c>
      <c r="E111" t="n">
        <v>717.962</v>
      </c>
      <c r="F111" t="n">
        <v>1501.75</v>
      </c>
      <c r="G111" t="inlineStr">
        <is>
          <t>2026-05-20</t>
        </is>
      </c>
      <c r="H111" t="inlineStr">
        <is>
          <t>2026-05-20</t>
        </is>
      </c>
      <c r="I111" t="inlineStr">
        <is>
          <t>2029-12-20</t>
        </is>
      </c>
      <c r="J111" t="inlineStr">
        <is>
          <t>⑤초호황</t>
        </is>
      </c>
      <c r="K111" t="inlineStr">
        <is>
          <t>③중마진</t>
        </is>
      </c>
      <c r="L111" t="inlineStr">
        <is>
          <t>linear_progress</t>
        </is>
      </c>
      <c r="M111" t="b">
        <v>1</v>
      </c>
      <c r="N111" t="b">
        <v>1</v>
      </c>
      <c r="O111" t="b">
        <v>1</v>
      </c>
    </row>
    <row r="112">
      <c r="A112" t="inlineStr">
        <is>
          <t>20260601800400</t>
        </is>
      </c>
      <c r="B112" t="inlineStr">
        <is>
          <t>VLGC</t>
        </is>
      </c>
      <c r="C112" t="n">
        <v>8</v>
      </c>
      <c r="D112" t="n">
        <v>1416100</v>
      </c>
      <c r="E112" t="n">
        <v>942.967</v>
      </c>
      <c r="F112" t="n">
        <v>1501.75</v>
      </c>
      <c r="G112" t="inlineStr">
        <is>
          <t>2026-05-30</t>
        </is>
      </c>
      <c r="H112" t="inlineStr">
        <is>
          <t>2026-05-30</t>
        </is>
      </c>
      <c r="I112" t="inlineStr">
        <is>
          <t>2030-06-30</t>
        </is>
      </c>
      <c r="L112" t="inlineStr">
        <is>
          <t>linear_progress</t>
        </is>
      </c>
      <c r="M112" t="b">
        <v>0</v>
      </c>
      <c r="N112" t="b">
        <v>1</v>
      </c>
      <c r="O112" t="b">
        <v>1</v>
      </c>
    </row>
    <row r="113">
      <c r="A113" t="inlineStr">
        <is>
          <t>20260629800351</t>
        </is>
      </c>
      <c r="B113" t="inlineStr">
        <is>
          <t>VLGC</t>
        </is>
      </c>
      <c r="C113" t="n">
        <v>2</v>
      </c>
      <c r="D113" t="n">
        <v>366000</v>
      </c>
      <c r="E113" t="n">
        <v>243.716</v>
      </c>
      <c r="F113" t="n">
        <v>1501.75</v>
      </c>
      <c r="G113" t="inlineStr">
        <is>
          <t>2026-06-26</t>
        </is>
      </c>
      <c r="H113" t="inlineStr">
        <is>
          <t>2026-06-26</t>
        </is>
      </c>
      <c r="I113" t="inlineStr">
        <is>
          <t>2029-12-31</t>
        </is>
      </c>
      <c r="J113" t="inlineStr">
        <is>
          <t>⑤초호황</t>
        </is>
      </c>
      <c r="K113" t="inlineStr">
        <is>
          <t>③중마진</t>
        </is>
      </c>
      <c r="L113" t="inlineStr">
        <is>
          <t>linear_progress</t>
        </is>
      </c>
      <c r="M113" t="b">
        <v>1</v>
      </c>
      <c r="N113" t="b">
        <v>1</v>
      </c>
      <c r="O113" t="b">
        <v>0</v>
      </c>
    </row>
    <row r="114">
      <c r="A114" t="inlineStr">
        <is>
          <t>20260701800239</t>
        </is>
      </c>
      <c r="B114" t="inlineStr">
        <is>
          <t>LNGC</t>
        </is>
      </c>
      <c r="C114" t="n">
        <v>1</v>
      </c>
      <c r="D114" t="n">
        <v>492800</v>
      </c>
      <c r="E114" t="n">
        <v>328.15</v>
      </c>
      <c r="F114" t="n">
        <v>1501.75</v>
      </c>
      <c r="G114" t="inlineStr">
        <is>
          <t>2026-06-30</t>
        </is>
      </c>
      <c r="H114" t="inlineStr">
        <is>
          <t>2026-06-30</t>
        </is>
      </c>
      <c r="I114" t="inlineStr">
        <is>
          <t>2029-05-31</t>
        </is>
      </c>
      <c r="L114" t="inlineStr">
        <is>
          <t>linear_progress</t>
        </is>
      </c>
      <c r="M114" t="b">
        <v>0</v>
      </c>
      <c r="N114" t="b">
        <v>1</v>
      </c>
      <c r="O114" t="b">
        <v>0</v>
      </c>
    </row>
    <row r="115">
      <c r="A115" t="inlineStr">
        <is>
          <t>20260709800139</t>
        </is>
      </c>
      <c r="B115" t="inlineStr">
        <is>
          <t>PC</t>
        </is>
      </c>
      <c r="C115" t="n">
        <v>6</v>
      </c>
      <c r="D115" t="n">
        <v>469900</v>
      </c>
      <c r="E115" t="n">
        <v>331.207</v>
      </c>
      <c r="F115" t="n">
        <v>1418.75</v>
      </c>
      <c r="G115" t="inlineStr">
        <is>
          <t>2026-07-08</t>
        </is>
      </c>
      <c r="H115" t="inlineStr">
        <is>
          <t>2026-07-08</t>
        </is>
      </c>
      <c r="I115" t="inlineStr">
        <is>
          <t>2029-06-30</t>
        </is>
      </c>
      <c r="L115" t="inlineStr">
        <is>
          <t>linear_progress</t>
        </is>
      </c>
      <c r="M115" t="b">
        <v>0</v>
      </c>
      <c r="N115" t="b">
        <v>0</v>
      </c>
      <c r="O115" t="b">
        <v>1</v>
      </c>
    </row>
    <row r="116">
      <c r="A116" t="inlineStr">
        <is>
          <t>20260713800202</t>
        </is>
      </c>
      <c r="B116" t="inlineStr">
        <is>
          <t>VLGC</t>
        </is>
      </c>
      <c r="C116" t="n">
        <v>3</v>
      </c>
      <c r="D116" t="n">
        <v>545600</v>
      </c>
      <c r="E116" t="n">
        <v>384.564</v>
      </c>
      <c r="F116" t="n">
        <v>1418.75</v>
      </c>
      <c r="G116" t="inlineStr">
        <is>
          <t>2026-07-10</t>
        </is>
      </c>
      <c r="H116" t="inlineStr">
        <is>
          <t>2026-07-10</t>
        </is>
      </c>
      <c r="I116" t="inlineStr">
        <is>
          <t>2030-05-31</t>
        </is>
      </c>
      <c r="J116" t="inlineStr">
        <is>
          <t>⑤초호황</t>
        </is>
      </c>
      <c r="K116" t="inlineStr">
        <is>
          <t>④호황</t>
        </is>
      </c>
      <c r="L116" t="inlineStr">
        <is>
          <t>linear_progress</t>
        </is>
      </c>
      <c r="M116" t="b">
        <v>1</v>
      </c>
      <c r="N116" t="b">
        <v>0</v>
      </c>
      <c r="O116" t="b">
        <v>1</v>
      </c>
    </row>
    <row r="117">
      <c r="A117" t="inlineStr">
        <is>
          <t>20260810800150</t>
        </is>
      </c>
      <c r="B117" t="inlineStr">
        <is>
          <t>OTHER</t>
        </is>
      </c>
      <c r="D117" t="n">
        <v>956000</v>
      </c>
      <c r="E117" t="n">
        <v>673.833</v>
      </c>
      <c r="F117" t="n">
        <v>1418.75</v>
      </c>
      <c r="G117" t="inlineStr">
        <is>
          <t>2026-08-07</t>
        </is>
      </c>
      <c r="H117" t="inlineStr">
        <is>
          <t>2026-08-07</t>
        </is>
      </c>
      <c r="I117" t="inlineStr">
        <is>
          <t>2030-07-30</t>
        </is>
      </c>
      <c r="L117" t="inlineStr">
        <is>
          <t>linear_progress</t>
        </is>
      </c>
      <c r="M117" t="b">
        <v>0</v>
      </c>
      <c r="N117" t="b">
        <v>0</v>
      </c>
      <c r="O117" t="b">
        <v>0</v>
      </c>
    </row>
    <row r="118">
      <c r="A118" t="inlineStr">
        <is>
          <t>20260824800125</t>
        </is>
      </c>
      <c r="B118" t="inlineStr">
        <is>
          <t>VLGC</t>
        </is>
      </c>
      <c r="C118" t="n">
        <v>4</v>
      </c>
      <c r="D118" t="n">
        <v>515400</v>
      </c>
      <c r="E118" t="n">
        <v>363.278</v>
      </c>
      <c r="F118" t="n">
        <v>1418.75</v>
      </c>
      <c r="G118" t="inlineStr">
        <is>
          <t>2026-08-21</t>
        </is>
      </c>
      <c r="H118" t="inlineStr">
        <is>
          <t>2026-08-21</t>
        </is>
      </c>
      <c r="I118" t="inlineStr">
        <is>
          <t>2030-03-31</t>
        </is>
      </c>
      <c r="L118" t="inlineStr">
        <is>
          <t>linear_progress</t>
        </is>
      </c>
      <c r="M118" t="b">
        <v>0</v>
      </c>
      <c r="N118" t="b">
        <v>0</v>
      </c>
      <c r="O118" t="b">
        <v>1</v>
      </c>
    </row>
    <row r="119">
      <c r="A119" t="inlineStr">
        <is>
          <t>20260903800523</t>
        </is>
      </c>
      <c r="B119" t="inlineStr">
        <is>
          <t>OFFSH</t>
        </is>
      </c>
      <c r="C119" t="n">
        <v>1</v>
      </c>
      <c r="D119" t="n">
        <v>878100</v>
      </c>
      <c r="E119" t="n">
        <v>783.039</v>
      </c>
      <c r="F119" t="n">
        <v>1121.4</v>
      </c>
      <c r="G119" t="inlineStr">
        <is>
          <t>2021-05-10</t>
        </is>
      </c>
      <c r="H119" t="inlineStr">
        <is>
          <t>2021-05-08</t>
        </is>
      </c>
      <c r="I119" t="inlineStr">
        <is>
          <t>2025-04-08</t>
        </is>
      </c>
      <c r="J119" t="inlineStr">
        <is>
          <t>④호황</t>
        </is>
      </c>
      <c r="K119" t="inlineStr">
        <is>
          <t>②BEP</t>
        </is>
      </c>
      <c r="L119" t="inlineStr">
        <is>
          <t>linear_progress</t>
        </is>
      </c>
      <c r="M119" t="b">
        <v>1</v>
      </c>
      <c r="N119" t="b">
        <v>1</v>
      </c>
      <c r="O119" t="b">
        <v>0</v>
      </c>
    </row>
    <row r="120">
      <c r="A120" t="inlineStr">
        <is>
          <t>20260930800164</t>
        </is>
      </c>
      <c r="B120" t="inlineStr">
        <is>
          <t>OFFSH</t>
        </is>
      </c>
      <c r="C120" t="n">
        <v>1</v>
      </c>
      <c r="D120" t="n">
        <v>1953900</v>
      </c>
      <c r="E120" t="n">
        <v>1485.076</v>
      </c>
      <c r="F120" t="n">
        <v>1315.69</v>
      </c>
      <c r="G120" t="inlineStr">
        <is>
          <t>2023-06-30</t>
        </is>
      </c>
      <c r="H120" t="inlineStr">
        <is>
          <t>2023-07-01</t>
        </is>
      </c>
      <c r="I120" t="inlineStr">
        <is>
          <t>2027-06-01</t>
        </is>
      </c>
      <c r="L120" t="inlineStr">
        <is>
          <t>linear_progress</t>
        </is>
      </c>
      <c r="M120" t="b">
        <v>0</v>
      </c>
      <c r="N120" t="b">
        <v>1</v>
      </c>
      <c r="O120" t="b">
        <v>0</v>
      </c>
    </row>
    <row r="121">
      <c r="A121" t="inlineStr">
        <is>
          <t>20261006800410</t>
        </is>
      </c>
      <c r="B121" t="inlineStr">
        <is>
          <t>OTHER</t>
        </is>
      </c>
      <c r="D121" t="n">
        <v>338500</v>
      </c>
      <c r="E121" t="n">
        <v>291.833</v>
      </c>
      <c r="F121" t="n">
        <v>1159.91</v>
      </c>
      <c r="G121" t="inlineStr">
        <is>
          <t>2021-09-02</t>
        </is>
      </c>
      <c r="H121" t="inlineStr">
        <is>
          <t>2021-09-02</t>
        </is>
      </c>
      <c r="I121" t="inlineStr">
        <is>
          <t>2027-08-31</t>
        </is>
      </c>
      <c r="L121" t="inlineStr">
        <is>
          <t>linear_progress</t>
        </is>
      </c>
      <c r="M121" t="b">
        <v>1</v>
      </c>
      <c r="N121" t="b">
        <v>1</v>
      </c>
      <c r="O121" t="b">
        <v>0</v>
      </c>
    </row>
    <row r="122">
      <c r="A122" s="2" t="inlineStr">
        <is>
          <t>⚠ 종료일 = 마지막 호선 인도 예정; 진행률 매출 분기는 계약기간 안에 선형 배분(가정)</t>
        </is>
      </c>
    </row>
    <row r="123">
      <c r="A123" s="2" t="inlineStr">
        <is>
          <t>⚠ HD한국조선해양과 HD현대重 동일 계약 22건 — shared_owner=329180 로 표시하고 이 파일의 합계에서 제외(합산 금지)</t>
        </is>
      </c>
    </row>
    <row r="124">
      <c r="A124" s="2" t="inlineStr">
        <is>
          <t>⚠ 헤지비율 0.7 은 가정(통화선도 공시 없음 → HEDGE 70% 가정(레퍼런스 SLS 시트 HEDGE 행은 미포 65%·삼성重 100% — 그 사이에 둔 설정값). hedge_rate 는 계약별 수주시점 환율로 대체)</t>
        </is>
      </c>
    </row>
    <row r="125">
      <c r="A125" s="2" t="inlineStr">
        <is>
          <t>⚠ 코호트 OPM 표 reference_calibrated 적용. 레퍼런스 미포 SLS 셀 OPM 을 2023~2027 매출가중한 유효 표는 ①-1.1% ②1% ③4.3% ④5.4% ⑤10.8%(이전 가정 표 ①-5% ②0% ③5% ④10% ⑤15% 는 레퍼런스 2024~26 보다 +3.8~5.1%p 높다 — cohort_opm_calibration.by_year). 다음 분기 2026Q3 타겟: 가정 15.00% vs 캘리브레이션 10.80%. 다른 표는 --opm-table assumed (하류 섹션 각주·모델 백테스트가 cohort_opm_table 을 읽는다)</t>
        </is>
      </c>
    </row>
    <row r="126">
      <c r="A126" s="2" t="inlineStr">
        <is>
          <t>⚠ 코호트 기본 모드 reference_anchor: 2025~ 수주 물량(백만$) 판정 ⑤초호황 100%. reference_anchor 는 수주연도 → 등급(≤2020 ③중마진 · 2021 ④호황 · 2022~ ⑤초호황; 출처 사용자 레퍼런스 모델 HD현대미포 SLS 의 클락슨 기반 판정을 건조기간 2~3년으로 되돌린 표 — 외부 신조선가 지수 미보유). ledger_relative 는 원장 내부 상대 등급(2025~ 판정 ②BEP 7%, ③중마진 80%, ④호황 13%; 2021 이후 절대 호황 수준 미반영). 대안 모드는 by_cohort_alt·target_opm_alt·calibration_alt 에 함께 저장. 타겟 OPM 은 기본 모드 기준이며 calibrated_shift(실측 − 타겟)로 실측 OPM 에 맞춘다 — 음수일 수 있다</t>
        </is>
      </c>
    </row>
    <row r="127">
      <c r="A127" s="2" t="inlineStr">
        <is>
          <t>⚠ 종료일 '-' 1건은 같은 선종 계약기간 중위로 종료 추정(end_estimated)</t>
        </is>
      </c>
    </row>
    <row r="128">
      <c r="A128" s="2" t="inlineStr">
        <is>
          <t>⚠ 정기보고서 부문 매출(3개월분)을 만들 수 없어 화해 없음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C1" s="2" t="inlineStr">
        <is>
          <t>신규수주 시나리오(억원) — subQ 기준값 ± (시나리오 신규 − base 신규) × OPM</t>
        </is>
      </c>
      <c r="E1" s="3" t="inlineStr">
        <is>
          <t>3Q26</t>
        </is>
      </c>
      <c r="F1" s="3" t="inlineStr">
        <is>
          <t>4Q26</t>
        </is>
      </c>
      <c r="G1" s="3" t="n">
        <v>2026</v>
      </c>
      <c r="H1" s="3" t="inlineStr">
        <is>
          <t>1Q27</t>
        </is>
      </c>
      <c r="I1" s="3" t="inlineStr">
        <is>
          <t>2Q27</t>
        </is>
      </c>
      <c r="J1" s="3" t="inlineStr">
        <is>
          <t>3Q27</t>
        </is>
      </c>
      <c r="K1" s="3" t="inlineStr">
        <is>
          <t>4Q27</t>
        </is>
      </c>
      <c r="L1" s="3" t="n">
        <v>2027</v>
      </c>
      <c r="M1" s="3" t="inlineStr">
        <is>
          <t>1Q28</t>
        </is>
      </c>
      <c r="N1" s="3" t="inlineStr">
        <is>
          <t>2Q28</t>
        </is>
      </c>
      <c r="O1" s="3" t="inlineStr">
        <is>
          <t>3Q28</t>
        </is>
      </c>
      <c r="P1" s="3" t="inlineStr">
        <is>
          <t>4Q28</t>
        </is>
      </c>
      <c r="Q1" s="3" t="n">
        <v>2028</v>
      </c>
    </row>
    <row r="2">
      <c r="A2" s="2" t="inlineStr">
        <is>
          <t>출처: HD현대重(329180) 모델 scenarios 의 new_order_revenue × 연결/자회사 비율 1.410 · calibrated=False · 행(subQ)에 포함된 시나리오: base. 보수/낙관/기존만 은 합산하지 않는다. 모델 산출값 — 목표주가·추천 아님</t>
        </is>
      </c>
    </row>
    <row r="3">
      <c r="A3" s="2" t="inlineStr">
        <is>
          <t>매출 = 기존(선표+잔고 소진+기타) + 시나리오 신규수주 매출; 영업이익 = 행 영업이익 + (시나리오 신규 − base 신규) × base OPM 경로. 보수/낙관·existing_only 는 행에 합산하지 않음(base 는 행과 동일). 모델 산출값 — 목표주가·추천 아님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</row>
    <row r="4">
      <c r="E4" s="7" t="inlineStr">
        <is>
          <t>2026.09</t>
        </is>
      </c>
      <c r="F4" s="7" t="inlineStr">
        <is>
          <t>2026.12</t>
        </is>
      </c>
      <c r="G4" s="7" t="inlineStr">
        <is>
          <t>2026.12A</t>
        </is>
      </c>
      <c r="H4" s="7" t="inlineStr">
        <is>
          <t>2027.03</t>
        </is>
      </c>
      <c r="I4" s="7" t="inlineStr">
        <is>
          <t>2027.06</t>
        </is>
      </c>
      <c r="J4" s="7" t="inlineStr">
        <is>
          <t>2027.09</t>
        </is>
      </c>
      <c r="K4" s="7" t="inlineStr">
        <is>
          <t>2027.12</t>
        </is>
      </c>
      <c r="L4" s="7" t="inlineStr">
        <is>
          <t>2027.12A</t>
        </is>
      </c>
      <c r="M4" s="7" t="inlineStr">
        <is>
          <t>2028.03</t>
        </is>
      </c>
      <c r="N4" s="7" t="inlineStr">
        <is>
          <t>2028.06</t>
        </is>
      </c>
      <c r="O4" s="7" t="inlineStr">
        <is>
          <t>2028.09</t>
        </is>
      </c>
      <c r="P4" s="7" t="inlineStr">
        <is>
          <t>2028.12</t>
        </is>
      </c>
      <c r="Q4" s="7" t="inlineStr">
        <is>
          <t>2028.12A</t>
        </is>
      </c>
    </row>
    <row r="5">
      <c r="A5" s="1" t="inlineStr">
        <is>
          <t>base</t>
        </is>
      </c>
      <c r="D5" s="1" t="inlineStr">
        <is>
          <t>기준(base — subQ 행에 포함) — 행에 포함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2" t="inlineStr">
        <is>
          <t>scn:base:신규수주매출</t>
        </is>
      </c>
      <c r="C6" t="inlineStr">
        <is>
          <t>억원</t>
        </is>
      </c>
      <c r="D6" t="inlineStr">
        <is>
          <t>신규수주 매출(억원) — 패널 값(노란, 가정)</t>
        </is>
      </c>
      <c r="E6" s="34" t="n">
        <v>0</v>
      </c>
      <c r="F6" s="34" t="n">
        <v>1006.48</v>
      </c>
      <c r="G6" s="20">
        <f>SUM(E6:F6)</f>
        <v/>
      </c>
      <c r="H6" s="34" t="n">
        <v>4164.54</v>
      </c>
      <c r="I6" s="34" t="n">
        <v>9391.610000000001</v>
      </c>
      <c r="J6" s="34" t="n">
        <v>16168.84</v>
      </c>
      <c r="K6" s="34" t="n">
        <v>23977.29</v>
      </c>
      <c r="L6" s="20">
        <f>SUM(H6:K6)</f>
        <v/>
      </c>
      <c r="M6" s="34" t="n">
        <v>32298.09</v>
      </c>
      <c r="N6" s="34" t="n">
        <v>40612.33</v>
      </c>
      <c r="O6" s="34" t="n">
        <v>48401.1</v>
      </c>
      <c r="P6" s="34" t="n">
        <v>55145.52</v>
      </c>
      <c r="Q6" s="20">
        <f>SUM(M6:P6)</f>
        <v/>
      </c>
    </row>
    <row r="7">
      <c r="A7" s="12" t="inlineStr">
        <is>
          <t>scn:base:매출액</t>
        </is>
      </c>
      <c r="C7" t="inlineStr">
        <is>
          <t>억원</t>
        </is>
      </c>
      <c r="D7" t="inlineStr">
        <is>
          <t>매출액 = subQ 매출액 − base 신규 + 이 시나리오 신규</t>
        </is>
      </c>
      <c r="E7" s="20">
        <f>IFERROR(subQ!AC5-E6+E6,"")</f>
        <v/>
      </c>
      <c r="F7" s="20">
        <f>IFERROR(subQ!AD5-F6+F6,"")</f>
        <v/>
      </c>
      <c r="G7" s="20">
        <f>IFERROR(SUM(E7:F7)+subQ!AA5+subQ!AB5,"")</f>
        <v/>
      </c>
      <c r="H7" s="20">
        <f>IFERROR(subQ!AF5-H6+H6,"")</f>
        <v/>
      </c>
      <c r="I7" s="20">
        <f>IFERROR(subQ!AG5-I6+I6,"")</f>
        <v/>
      </c>
      <c r="J7" s="20">
        <f>IFERROR(subQ!AH5-J6+J6,"")</f>
        <v/>
      </c>
      <c r="K7" s="20">
        <f>IFERROR(subQ!AI5-K6+K6,"")</f>
        <v/>
      </c>
      <c r="L7" s="20">
        <f>IFERROR(SUM(H7:K7),"")</f>
        <v/>
      </c>
      <c r="M7" s="20">
        <f>IFERROR(subQ!AK5-M6+M6,"")</f>
        <v/>
      </c>
      <c r="N7" s="20">
        <f>IFERROR(subQ!AL5-N6+N6,"")</f>
        <v/>
      </c>
      <c r="O7" s="20">
        <f>IFERROR(subQ!AM5-O6+O6,"")</f>
        <v/>
      </c>
      <c r="P7" s="20">
        <f>IFERROR(subQ!AN5-P6+P6,"")</f>
        <v/>
      </c>
      <c r="Q7" s="20">
        <f>IFERROR(SUM(M7:P7),"")</f>
        <v/>
      </c>
    </row>
    <row r="8">
      <c r="A8" s="12" t="inlineStr">
        <is>
          <t>scn:base:영업이익</t>
        </is>
      </c>
      <c r="C8" t="inlineStr">
        <is>
          <t>억원</t>
        </is>
      </c>
      <c r="D8" t="inlineStr">
        <is>
          <t>영업이익 = subQ 영업이익 + (이 시나리오 신규 − base 신규) × OPM(변수 드라이버)</t>
        </is>
      </c>
      <c r="E8" s="20">
        <f>IFERROR(subQ!AC9+(E6-E6)*변수!AC23,"")</f>
        <v/>
      </c>
      <c r="F8" s="20">
        <f>IFERROR(subQ!AD9+(F6-F6)*변수!AD23,"")</f>
        <v/>
      </c>
      <c r="G8" s="20">
        <f>IFERROR(SUM(E8:F8)+subQ!AA9+subQ!AB9,"")</f>
        <v/>
      </c>
      <c r="H8" s="20">
        <f>IFERROR(subQ!AF9+(H6-H6)*변수!AF23,"")</f>
        <v/>
      </c>
      <c r="I8" s="20">
        <f>IFERROR(subQ!AG9+(I6-I6)*변수!AG23,"")</f>
        <v/>
      </c>
      <c r="J8" s="20">
        <f>IFERROR(subQ!AH9+(J6-J6)*변수!AH23,"")</f>
        <v/>
      </c>
      <c r="K8" s="20">
        <f>IFERROR(subQ!AI9+(K6-K6)*변수!AI23,"")</f>
        <v/>
      </c>
      <c r="L8" s="20">
        <f>IFERROR(SUM(H8:K8),"")</f>
        <v/>
      </c>
      <c r="M8" s="20">
        <f>IFERROR(subQ!AK9+(M6-M6)*변수!AK23,"")</f>
        <v/>
      </c>
      <c r="N8" s="20">
        <f>IFERROR(subQ!AL9+(N6-N6)*변수!AL23,"")</f>
        <v/>
      </c>
      <c r="O8" s="20">
        <f>IFERROR(subQ!AM9+(O6-O6)*변수!AM23,"")</f>
        <v/>
      </c>
      <c r="P8" s="20">
        <f>IFERROR(subQ!AN9+(P6-P6)*변수!AN23,"")</f>
        <v/>
      </c>
      <c r="Q8" s="20">
        <f>IFERROR(SUM(M8:P8),"")</f>
        <v/>
      </c>
    </row>
    <row r="9">
      <c r="A9" s="12" t="inlineStr">
        <is>
          <t>scn:base:OPM</t>
        </is>
      </c>
      <c r="C9" t="inlineStr">
        <is>
          <t>%</t>
        </is>
      </c>
      <c r="D9" t="inlineStr">
        <is>
          <t>OPM</t>
        </is>
      </c>
      <c r="E9" s="32">
        <f>IFERROR(E8/E7,"")</f>
        <v/>
      </c>
      <c r="F9" s="32">
        <f>IFERROR(F8/F7,"")</f>
        <v/>
      </c>
      <c r="G9" s="32">
        <f>IFERROR(G8/G7,"")</f>
        <v/>
      </c>
      <c r="H9" s="32">
        <f>IFERROR(H8/H7,"")</f>
        <v/>
      </c>
      <c r="I9" s="32">
        <f>IFERROR(I8/I7,"")</f>
        <v/>
      </c>
      <c r="J9" s="32">
        <f>IFERROR(J8/J7,"")</f>
        <v/>
      </c>
      <c r="K9" s="32">
        <f>IFERROR(K8/K7,"")</f>
        <v/>
      </c>
      <c r="L9" s="32">
        <f>IFERROR(L8/L7,"")</f>
        <v/>
      </c>
      <c r="M9" s="32">
        <f>IFERROR(M8/M7,"")</f>
        <v/>
      </c>
      <c r="N9" s="32">
        <f>IFERROR(N8/N7,"")</f>
        <v/>
      </c>
      <c r="O9" s="32">
        <f>IFERROR(O8/O7,"")</f>
        <v/>
      </c>
      <c r="P9" s="32">
        <f>IFERROR(P8/P7,"")</f>
        <v/>
      </c>
      <c r="Q9" s="32">
        <f>IFERROR(Q8/Q7,"")</f>
        <v/>
      </c>
    </row>
    <row r="10"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" t="inlineStr">
        <is>
          <t>existing_only</t>
        </is>
      </c>
      <c r="D11" s="1" t="inlineStr">
        <is>
          <t>기존 잔고만(신규수주 0)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2" t="inlineStr">
        <is>
          <t>scn:existing_only:신규수주매출</t>
        </is>
      </c>
      <c r="C12" t="inlineStr">
        <is>
          <t>억원</t>
        </is>
      </c>
      <c r="D12" t="inlineStr">
        <is>
          <t>신규수주 매출(억원) — 패널 값(노란, 가정)</t>
        </is>
      </c>
      <c r="E12" s="34" t="n">
        <v>0</v>
      </c>
      <c r="F12" s="34" t="n">
        <v>0</v>
      </c>
      <c r="G12" s="20">
        <f>SUM(E12:F12)</f>
        <v/>
      </c>
      <c r="H12" s="34" t="n">
        <v>0</v>
      </c>
      <c r="I12" s="34" t="n">
        <v>0</v>
      </c>
      <c r="J12" s="34" t="n">
        <v>0</v>
      </c>
      <c r="K12" s="34" t="n">
        <v>0</v>
      </c>
      <c r="L12" s="20">
        <f>SUM(H12:K12)</f>
        <v/>
      </c>
      <c r="M12" s="34" t="n">
        <v>0</v>
      </c>
      <c r="N12" s="34" t="n">
        <v>0</v>
      </c>
      <c r="O12" s="34" t="n">
        <v>0</v>
      </c>
      <c r="P12" s="34" t="n">
        <v>0</v>
      </c>
      <c r="Q12" s="20">
        <f>SUM(M12:P12)</f>
        <v/>
      </c>
    </row>
    <row r="13">
      <c r="A13" s="12" t="inlineStr">
        <is>
          <t>scn:existing_only:매출액</t>
        </is>
      </c>
      <c r="C13" t="inlineStr">
        <is>
          <t>억원</t>
        </is>
      </c>
      <c r="D13" t="inlineStr">
        <is>
          <t>매출액 = subQ 매출액 − base 신규 + 이 시나리오 신규</t>
        </is>
      </c>
      <c r="E13" s="20">
        <f>IFERROR(subQ!AC5-E6+E12,"")</f>
        <v/>
      </c>
      <c r="F13" s="20">
        <f>IFERROR(subQ!AD5-F6+F12,"")</f>
        <v/>
      </c>
      <c r="G13" s="20">
        <f>IFERROR(SUM(E13:F13)+subQ!AA5+subQ!AB5,"")</f>
        <v/>
      </c>
      <c r="H13" s="20">
        <f>IFERROR(subQ!AF5-H6+H12,"")</f>
        <v/>
      </c>
      <c r="I13" s="20">
        <f>IFERROR(subQ!AG5-I6+I12,"")</f>
        <v/>
      </c>
      <c r="J13" s="20">
        <f>IFERROR(subQ!AH5-J6+J12,"")</f>
        <v/>
      </c>
      <c r="K13" s="20">
        <f>IFERROR(subQ!AI5-K6+K12,"")</f>
        <v/>
      </c>
      <c r="L13" s="20">
        <f>IFERROR(SUM(H13:K13),"")</f>
        <v/>
      </c>
      <c r="M13" s="20">
        <f>IFERROR(subQ!AK5-M6+M12,"")</f>
        <v/>
      </c>
      <c r="N13" s="20">
        <f>IFERROR(subQ!AL5-N6+N12,"")</f>
        <v/>
      </c>
      <c r="O13" s="20">
        <f>IFERROR(subQ!AM5-O6+O12,"")</f>
        <v/>
      </c>
      <c r="P13" s="20">
        <f>IFERROR(subQ!AN5-P6+P12,"")</f>
        <v/>
      </c>
      <c r="Q13" s="20">
        <f>IFERROR(SUM(M13:P13),"")</f>
        <v/>
      </c>
    </row>
    <row r="14">
      <c r="A14" s="12" t="inlineStr">
        <is>
          <t>scn:existing_only:영업이익</t>
        </is>
      </c>
      <c r="C14" t="inlineStr">
        <is>
          <t>억원</t>
        </is>
      </c>
      <c r="D14" t="inlineStr">
        <is>
          <t>영업이익 = subQ 영업이익 + (이 시나리오 신규 − base 신규) × OPM(변수 드라이버)</t>
        </is>
      </c>
      <c r="E14" s="20">
        <f>IFERROR(subQ!AC9+(E12-E6)*변수!AC23,"")</f>
        <v/>
      </c>
      <c r="F14" s="20">
        <f>IFERROR(subQ!AD9+(F12-F6)*변수!AD23,"")</f>
        <v/>
      </c>
      <c r="G14" s="20">
        <f>IFERROR(SUM(E14:F14)+subQ!AA9+subQ!AB9,"")</f>
        <v/>
      </c>
      <c r="H14" s="20">
        <f>IFERROR(subQ!AF9+(H12-H6)*변수!AF23,"")</f>
        <v/>
      </c>
      <c r="I14" s="20">
        <f>IFERROR(subQ!AG9+(I12-I6)*변수!AG23,"")</f>
        <v/>
      </c>
      <c r="J14" s="20">
        <f>IFERROR(subQ!AH9+(J12-J6)*변수!AH23,"")</f>
        <v/>
      </c>
      <c r="K14" s="20">
        <f>IFERROR(subQ!AI9+(K12-K6)*변수!AI23,"")</f>
        <v/>
      </c>
      <c r="L14" s="20">
        <f>IFERROR(SUM(H14:K14),"")</f>
        <v/>
      </c>
      <c r="M14" s="20">
        <f>IFERROR(subQ!AK9+(M12-M6)*변수!AK23,"")</f>
        <v/>
      </c>
      <c r="N14" s="20">
        <f>IFERROR(subQ!AL9+(N12-N6)*변수!AL23,"")</f>
        <v/>
      </c>
      <c r="O14" s="20">
        <f>IFERROR(subQ!AM9+(O12-O6)*변수!AM23,"")</f>
        <v/>
      </c>
      <c r="P14" s="20">
        <f>IFERROR(subQ!AN9+(P12-P6)*변수!AN23,"")</f>
        <v/>
      </c>
      <c r="Q14" s="20">
        <f>IFERROR(SUM(M14:P14),"")</f>
        <v/>
      </c>
    </row>
    <row r="15">
      <c r="A15" s="12" t="inlineStr">
        <is>
          <t>scn:existing_only:OPM</t>
        </is>
      </c>
      <c r="C15" t="inlineStr">
        <is>
          <t>%</t>
        </is>
      </c>
      <c r="D15" t="inlineStr">
        <is>
          <t>OPM</t>
        </is>
      </c>
      <c r="E15" s="32">
        <f>IFERROR(E14/E13,"")</f>
        <v/>
      </c>
      <c r="F15" s="32">
        <f>IFERROR(F14/F13,"")</f>
        <v/>
      </c>
      <c r="G15" s="32">
        <f>IFERROR(G14/G13,"")</f>
        <v/>
      </c>
      <c r="H15" s="32">
        <f>IFERROR(H14/H13,"")</f>
        <v/>
      </c>
      <c r="I15" s="32">
        <f>IFERROR(I14/I13,"")</f>
        <v/>
      </c>
      <c r="J15" s="32">
        <f>IFERROR(J14/J13,"")</f>
        <v/>
      </c>
      <c r="K15" s="32">
        <f>IFERROR(K14/K13,"")</f>
        <v/>
      </c>
      <c r="L15" s="32">
        <f>IFERROR(L14/L13,"")</f>
        <v/>
      </c>
      <c r="M15" s="32">
        <f>IFERROR(M14/M13,"")</f>
        <v/>
      </c>
      <c r="N15" s="32">
        <f>IFERROR(N14/N13,"")</f>
        <v/>
      </c>
      <c r="O15" s="32">
        <f>IFERROR(O14/O13,"")</f>
        <v/>
      </c>
      <c r="P15" s="32">
        <f>IFERROR(P14/P13,"")</f>
        <v/>
      </c>
      <c r="Q15" s="32">
        <f>IFERROR(Q14/Q13,"")</f>
        <v/>
      </c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" t="inlineStr">
        <is>
          <t>conservative</t>
        </is>
      </c>
      <c r="D17" s="1" t="inlineStr">
        <is>
          <t>보수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2" t="inlineStr">
        <is>
          <t>scn:conservative:신규수주매출</t>
        </is>
      </c>
      <c r="C18" t="inlineStr">
        <is>
          <t>억원</t>
        </is>
      </c>
      <c r="D18" t="inlineStr">
        <is>
          <t>신규수주 매출(억원) — 패널 값(노란, 가정)</t>
        </is>
      </c>
      <c r="E18" s="34" t="n">
        <v>0</v>
      </c>
      <c r="F18" s="34" t="n">
        <v>614.73</v>
      </c>
      <c r="G18" s="20">
        <f>SUM(E18:F18)</f>
        <v/>
      </c>
      <c r="H18" s="34" t="n">
        <v>2695.64</v>
      </c>
      <c r="I18" s="34" t="n">
        <v>6306.65</v>
      </c>
      <c r="J18" s="34" t="n">
        <v>11074.16</v>
      </c>
      <c r="K18" s="34" t="n">
        <v>16624.54</v>
      </c>
      <c r="L18" s="20">
        <f>SUM(H18:K18)</f>
        <v/>
      </c>
      <c r="M18" s="34" t="n">
        <v>22584.18</v>
      </c>
      <c r="N18" s="34" t="n">
        <v>28579.5</v>
      </c>
      <c r="O18" s="34" t="n">
        <v>34236.87</v>
      </c>
      <c r="P18" s="34" t="n">
        <v>39182.67</v>
      </c>
      <c r="Q18" s="20">
        <f>SUM(M18:P18)</f>
        <v/>
      </c>
    </row>
    <row r="19">
      <c r="A19" s="12" t="inlineStr">
        <is>
          <t>scn:conservative:매출액</t>
        </is>
      </c>
      <c r="C19" t="inlineStr">
        <is>
          <t>억원</t>
        </is>
      </c>
      <c r="D19" t="inlineStr">
        <is>
          <t>매출액 = subQ 매출액 − base 신규 + 이 시나리오 신규</t>
        </is>
      </c>
      <c r="E19" s="20">
        <f>IFERROR(subQ!AC5-E6+E18,"")</f>
        <v/>
      </c>
      <c r="F19" s="20">
        <f>IFERROR(subQ!AD5-F6+F18,"")</f>
        <v/>
      </c>
      <c r="G19" s="20">
        <f>IFERROR(SUM(E19:F19)+subQ!AA5+subQ!AB5,"")</f>
        <v/>
      </c>
      <c r="H19" s="20">
        <f>IFERROR(subQ!AF5-H6+H18,"")</f>
        <v/>
      </c>
      <c r="I19" s="20">
        <f>IFERROR(subQ!AG5-I6+I18,"")</f>
        <v/>
      </c>
      <c r="J19" s="20">
        <f>IFERROR(subQ!AH5-J6+J18,"")</f>
        <v/>
      </c>
      <c r="K19" s="20">
        <f>IFERROR(subQ!AI5-K6+K18,"")</f>
        <v/>
      </c>
      <c r="L19" s="20">
        <f>IFERROR(SUM(H19:K19),"")</f>
        <v/>
      </c>
      <c r="M19" s="20">
        <f>IFERROR(subQ!AK5-M6+M18,"")</f>
        <v/>
      </c>
      <c r="N19" s="20">
        <f>IFERROR(subQ!AL5-N6+N18,"")</f>
        <v/>
      </c>
      <c r="O19" s="20">
        <f>IFERROR(subQ!AM5-O6+O18,"")</f>
        <v/>
      </c>
      <c r="P19" s="20">
        <f>IFERROR(subQ!AN5-P6+P18,"")</f>
        <v/>
      </c>
      <c r="Q19" s="20">
        <f>IFERROR(SUM(M19:P19),"")</f>
        <v/>
      </c>
    </row>
    <row r="20">
      <c r="A20" s="12" t="inlineStr">
        <is>
          <t>scn:conservative:영업이익</t>
        </is>
      </c>
      <c r="C20" t="inlineStr">
        <is>
          <t>억원</t>
        </is>
      </c>
      <c r="D20" t="inlineStr">
        <is>
          <t>영업이익 = subQ 영업이익 + (이 시나리오 신규 − base 신규) × OPM(변수 드라이버)</t>
        </is>
      </c>
      <c r="E20" s="20">
        <f>IFERROR(subQ!AC9+(E18-E6)*변수!AC23,"")</f>
        <v/>
      </c>
      <c r="F20" s="20">
        <f>IFERROR(subQ!AD9+(F18-F6)*변수!AD23,"")</f>
        <v/>
      </c>
      <c r="G20" s="20">
        <f>IFERROR(SUM(E20:F20)+subQ!AA9+subQ!AB9,"")</f>
        <v/>
      </c>
      <c r="H20" s="20">
        <f>IFERROR(subQ!AF9+(H18-H6)*변수!AF23,"")</f>
        <v/>
      </c>
      <c r="I20" s="20">
        <f>IFERROR(subQ!AG9+(I18-I6)*변수!AG23,"")</f>
        <v/>
      </c>
      <c r="J20" s="20">
        <f>IFERROR(subQ!AH9+(J18-J6)*변수!AH23,"")</f>
        <v/>
      </c>
      <c r="K20" s="20">
        <f>IFERROR(subQ!AI9+(K18-K6)*변수!AI23,"")</f>
        <v/>
      </c>
      <c r="L20" s="20">
        <f>IFERROR(SUM(H20:K20),"")</f>
        <v/>
      </c>
      <c r="M20" s="20">
        <f>IFERROR(subQ!AK9+(M18-M6)*변수!AK23,"")</f>
        <v/>
      </c>
      <c r="N20" s="20">
        <f>IFERROR(subQ!AL9+(N18-N6)*변수!AL23,"")</f>
        <v/>
      </c>
      <c r="O20" s="20">
        <f>IFERROR(subQ!AM9+(O18-O6)*변수!AM23,"")</f>
        <v/>
      </c>
      <c r="P20" s="20">
        <f>IFERROR(subQ!AN9+(P18-P6)*변수!AN23,"")</f>
        <v/>
      </c>
      <c r="Q20" s="20">
        <f>IFERROR(SUM(M20:P20),"")</f>
        <v/>
      </c>
    </row>
    <row r="21">
      <c r="A21" s="12" t="inlineStr">
        <is>
          <t>scn:conservative:OPM</t>
        </is>
      </c>
      <c r="C21" t="inlineStr">
        <is>
          <t>%</t>
        </is>
      </c>
      <c r="D21" t="inlineStr">
        <is>
          <t>OPM</t>
        </is>
      </c>
      <c r="E21" s="32">
        <f>IFERROR(E20/E19,"")</f>
        <v/>
      </c>
      <c r="F21" s="32">
        <f>IFERROR(F20/F19,"")</f>
        <v/>
      </c>
      <c r="G21" s="32">
        <f>IFERROR(G20/G19,"")</f>
        <v/>
      </c>
      <c r="H21" s="32">
        <f>IFERROR(H20/H19,"")</f>
        <v/>
      </c>
      <c r="I21" s="32">
        <f>IFERROR(I20/I19,"")</f>
        <v/>
      </c>
      <c r="J21" s="32">
        <f>IFERROR(J20/J19,"")</f>
        <v/>
      </c>
      <c r="K21" s="32">
        <f>IFERROR(K20/K19,"")</f>
        <v/>
      </c>
      <c r="L21" s="32">
        <f>IFERROR(L20/L19,"")</f>
        <v/>
      </c>
      <c r="M21" s="32">
        <f>IFERROR(M20/M19,"")</f>
        <v/>
      </c>
      <c r="N21" s="32">
        <f>IFERROR(N20/N19,"")</f>
        <v/>
      </c>
      <c r="O21" s="32">
        <f>IFERROR(O20/O19,"")</f>
        <v/>
      </c>
      <c r="P21" s="32">
        <f>IFERROR(P20/P19,"")</f>
        <v/>
      </c>
      <c r="Q21" s="32">
        <f>IFERROR(Q20/Q19,"")</f>
        <v/>
      </c>
    </row>
    <row r="22"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" t="inlineStr">
        <is>
          <t>optimistic</t>
        </is>
      </c>
      <c r="D23" s="1" t="inlineStr">
        <is>
          <t>낙관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2" t="inlineStr">
        <is>
          <t>scn:optimistic:신규수주매출</t>
        </is>
      </c>
      <c r="C24" t="inlineStr">
        <is>
          <t>억원</t>
        </is>
      </c>
      <c r="D24" t="inlineStr">
        <is>
          <t>신규수주 매출(억원) — 패널 값(노란, 가정)</t>
        </is>
      </c>
      <c r="E24" s="34" t="n">
        <v>0</v>
      </c>
      <c r="F24" s="34" t="n">
        <v>1762.6</v>
      </c>
      <c r="G24" s="20">
        <f>SUM(E24:F24)</f>
        <v/>
      </c>
      <c r="H24" s="34" t="n">
        <v>7000.62</v>
      </c>
      <c r="I24" s="34" t="n">
        <v>15350.03</v>
      </c>
      <c r="J24" s="34" t="n">
        <v>26011.72</v>
      </c>
      <c r="K24" s="34" t="n">
        <v>38186.66</v>
      </c>
      <c r="L24" s="20">
        <f>SUM(H24:K24)</f>
        <v/>
      </c>
      <c r="M24" s="34" t="n">
        <v>51075.78</v>
      </c>
      <c r="N24" s="34" t="n">
        <v>63880.01</v>
      </c>
      <c r="O24" s="34" t="n">
        <v>75800.27</v>
      </c>
      <c r="P24" s="34" t="n">
        <v>86037.53</v>
      </c>
      <c r="Q24" s="20">
        <f>SUM(M24:P24)</f>
        <v/>
      </c>
    </row>
    <row r="25">
      <c r="A25" s="12" t="inlineStr">
        <is>
          <t>scn:optimistic:매출액</t>
        </is>
      </c>
      <c r="C25" t="inlineStr">
        <is>
          <t>억원</t>
        </is>
      </c>
      <c r="D25" t="inlineStr">
        <is>
          <t>매출액 = subQ 매출액 − base 신규 + 이 시나리오 신규</t>
        </is>
      </c>
      <c r="E25" s="20">
        <f>IFERROR(subQ!AC5-E6+E24,"")</f>
        <v/>
      </c>
      <c r="F25" s="20">
        <f>IFERROR(subQ!AD5-F6+F24,"")</f>
        <v/>
      </c>
      <c r="G25" s="20">
        <f>IFERROR(SUM(E25:F25)+subQ!AA5+subQ!AB5,"")</f>
        <v/>
      </c>
      <c r="H25" s="20">
        <f>IFERROR(subQ!AF5-H6+H24,"")</f>
        <v/>
      </c>
      <c r="I25" s="20">
        <f>IFERROR(subQ!AG5-I6+I24,"")</f>
        <v/>
      </c>
      <c r="J25" s="20">
        <f>IFERROR(subQ!AH5-J6+J24,"")</f>
        <v/>
      </c>
      <c r="K25" s="20">
        <f>IFERROR(subQ!AI5-K6+K24,"")</f>
        <v/>
      </c>
      <c r="L25" s="20">
        <f>IFERROR(SUM(H25:K25),"")</f>
        <v/>
      </c>
      <c r="M25" s="20">
        <f>IFERROR(subQ!AK5-M6+M24,"")</f>
        <v/>
      </c>
      <c r="N25" s="20">
        <f>IFERROR(subQ!AL5-N6+N24,"")</f>
        <v/>
      </c>
      <c r="O25" s="20">
        <f>IFERROR(subQ!AM5-O6+O24,"")</f>
        <v/>
      </c>
      <c r="P25" s="20">
        <f>IFERROR(subQ!AN5-P6+P24,"")</f>
        <v/>
      </c>
      <c r="Q25" s="20">
        <f>IFERROR(SUM(M25:P25),"")</f>
        <v/>
      </c>
    </row>
    <row r="26">
      <c r="A26" s="12" t="inlineStr">
        <is>
          <t>scn:optimistic:영업이익</t>
        </is>
      </c>
      <c r="C26" t="inlineStr">
        <is>
          <t>억원</t>
        </is>
      </c>
      <c r="D26" t="inlineStr">
        <is>
          <t>영업이익 = subQ 영업이익 + (이 시나리오 신규 − base 신규) × OPM(변수 드라이버)</t>
        </is>
      </c>
      <c r="E26" s="20">
        <f>IFERROR(subQ!AC9+(E24-E6)*변수!AC23,"")</f>
        <v/>
      </c>
      <c r="F26" s="20">
        <f>IFERROR(subQ!AD9+(F24-F6)*변수!AD23,"")</f>
        <v/>
      </c>
      <c r="G26" s="20">
        <f>IFERROR(SUM(E26:F26)+subQ!AA9+subQ!AB9,"")</f>
        <v/>
      </c>
      <c r="H26" s="20">
        <f>IFERROR(subQ!AF9+(H24-H6)*변수!AF23,"")</f>
        <v/>
      </c>
      <c r="I26" s="20">
        <f>IFERROR(subQ!AG9+(I24-I6)*변수!AG23,"")</f>
        <v/>
      </c>
      <c r="J26" s="20">
        <f>IFERROR(subQ!AH9+(J24-J6)*변수!AH23,"")</f>
        <v/>
      </c>
      <c r="K26" s="20">
        <f>IFERROR(subQ!AI9+(K24-K6)*변수!AI23,"")</f>
        <v/>
      </c>
      <c r="L26" s="20">
        <f>IFERROR(SUM(H26:K26),"")</f>
        <v/>
      </c>
      <c r="M26" s="20">
        <f>IFERROR(subQ!AK9+(M24-M6)*변수!AK23,"")</f>
        <v/>
      </c>
      <c r="N26" s="20">
        <f>IFERROR(subQ!AL9+(N24-N6)*변수!AL23,"")</f>
        <v/>
      </c>
      <c r="O26" s="20">
        <f>IFERROR(subQ!AM9+(O24-O6)*변수!AM23,"")</f>
        <v/>
      </c>
      <c r="P26" s="20">
        <f>IFERROR(subQ!AN9+(P24-P6)*변수!AN23,"")</f>
        <v/>
      </c>
      <c r="Q26" s="20">
        <f>IFERROR(SUM(M26:P26),"")</f>
        <v/>
      </c>
    </row>
    <row r="27">
      <c r="A27" s="12" t="inlineStr">
        <is>
          <t>scn:optimistic:OPM</t>
        </is>
      </c>
      <c r="C27" t="inlineStr">
        <is>
          <t>%</t>
        </is>
      </c>
      <c r="D27" t="inlineStr">
        <is>
          <t>OPM</t>
        </is>
      </c>
      <c r="E27" s="32">
        <f>IFERROR(E26/E25,"")</f>
        <v/>
      </c>
      <c r="F27" s="32">
        <f>IFERROR(F26/F25,"")</f>
        <v/>
      </c>
      <c r="G27" s="32">
        <f>IFERROR(G26/G25,"")</f>
        <v/>
      </c>
      <c r="H27" s="32">
        <f>IFERROR(H26/H25,"")</f>
        <v/>
      </c>
      <c r="I27" s="32">
        <f>IFERROR(I26/I25,"")</f>
        <v/>
      </c>
      <c r="J27" s="32">
        <f>IFERROR(J26/J25,"")</f>
        <v/>
      </c>
      <c r="K27" s="32">
        <f>IFERROR(K26/K25,"")</f>
        <v/>
      </c>
      <c r="L27" s="32">
        <f>IFERROR(L26/L25,"")</f>
        <v/>
      </c>
      <c r="M27" s="32">
        <f>IFERROR(M26/M25,"")</f>
        <v/>
      </c>
      <c r="N27" s="32">
        <f>IFERROR(N26/N25,"")</f>
        <v/>
      </c>
      <c r="O27" s="32">
        <f>IFERROR(O26/O25,"")</f>
        <v/>
      </c>
      <c r="P27" s="32">
        <f>IFERROR(P26/P25,"")</f>
        <v/>
      </c>
      <c r="Q27" s="32">
        <f>IFERROR(Q26/Q25,"")</f>
        <v/>
      </c>
    </row>
    <row r="28"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2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3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4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5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6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6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6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6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6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7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6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6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6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6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6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6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6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6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6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6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6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6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6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6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6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6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6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6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6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6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6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8">
        <f>IFERROR(VLOOKUP($A32,subQ,MATCH(W$1,SUBQH,0),0),"")</f>
        <v/>
      </c>
      <c r="X32" s="33">
        <f>IFERROR(VLOOKUP($A32,subQ,MATCH(X$1,SUBQH,0),0),"")</f>
        <v/>
      </c>
      <c r="Y32" s="33">
        <f>IFERROR(VLOOKUP($A32,subQ,MATCH(Y$1,SUBQH,0),0),"")</f>
        <v/>
      </c>
      <c r="Z32" s="33">
        <f>IFERROR(VLOOKUP($A32,subQ,MATCH(Z$1,SUBQH,0),0),"")</f>
        <v/>
      </c>
      <c r="AA32" s="33">
        <f>IFERROR(VLOOKUP($A32,subQ,MATCH(AA$1,SUBQH,0),0),"")</f>
        <v/>
      </c>
      <c r="AB32" s="33">
        <f>IFERROR(VLOOKUP($A32,subQ,MATCH(AB$1,SUBQH,0),0),"")</f>
        <v/>
      </c>
      <c r="AC32" s="33">
        <f>IFERROR(VLOOKUP($A32,subQ,MATCH(AC$1,SUBQH,0),0),"")</f>
        <v/>
      </c>
      <c r="AD32" s="33">
        <f>IFERROR(VLOOKUP($A32,subQ,MATCH(AD$1,SUBQH,0),0),"")</f>
        <v/>
      </c>
      <c r="AE32" s="33">
        <f>IFERROR(VLOOKUP($A32,subQ,MATCH(AE$1,SUBQH,0),0),"")</f>
        <v/>
      </c>
      <c r="AF32" s="33">
        <f>IFERROR(VLOOKUP($A32,subQ,MATCH(AF$1,SUBQH,0),0),"")</f>
        <v/>
      </c>
      <c r="AG32" s="33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6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6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6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9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9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6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6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21">
        <f>IFERROR(VLOOKUP($A40,subQ,MATCH(I$1,SUBQH,0),0),"")</f>
        <v/>
      </c>
      <c r="J40" s="21">
        <f>IFERROR(VLOOKUP($A40,subQ,MATCH(J$1,SUBQH,0),0),"")</f>
        <v/>
      </c>
      <c r="K40" s="21">
        <f>IFERROR(VLOOKUP($A40,subQ,MATCH(K$1,SUBQH,0),0),"")</f>
        <v/>
      </c>
      <c r="L40" s="21">
        <f>IFERROR(VLOOKUP($A40,subQ,MATCH(L$1,SUBQH,0),0),"")</f>
        <v/>
      </c>
      <c r="M40" s="21">
        <f>IFERROR(VLOOKUP($A40,subQ,MATCH(M$1,SUBQH,0),0),"")</f>
        <v/>
      </c>
      <c r="N40" s="21">
        <f>IFERROR(VLOOKUP($A40,subQ,MATCH(N$1,SUBQH,0),0),"")</f>
        <v/>
      </c>
      <c r="O40" s="21">
        <f>IFERROR(VLOOKUP($A40,subQ,MATCH(O$1,SUBQH,0),0),"")</f>
        <v/>
      </c>
      <c r="P40" s="21">
        <f>IFERROR(VLOOKUP($A40,subQ,MATCH(P$1,SUBQH,0),0),"")</f>
        <v/>
      </c>
      <c r="Q40" s="21">
        <f>IFERROR(VLOOKUP($A40,subQ,MATCH(Q$1,SUBQH,0),0),"")</f>
        <v/>
      </c>
      <c r="R40" s="21">
        <f>IFERROR(VLOOKUP($A40,subQ,MATCH(R$1,SUBQH,0),0),"")</f>
        <v/>
      </c>
      <c r="S40" s="21">
        <f>IFERROR(VLOOKUP($A40,subQ,MATCH(S$1,SUBQH,0),0),"")</f>
        <v/>
      </c>
      <c r="T40" s="21">
        <f>IFERROR(VLOOKUP($A40,subQ,MATCH(T$1,SUBQH,0),0),"")</f>
        <v/>
      </c>
      <c r="U40" s="21">
        <f>IFERROR(VLOOKUP($A40,subQ,MATCH(U$1,SUBQH,0),0),"")</f>
        <v/>
      </c>
      <c r="V40" s="21">
        <f>IFERROR(VLOOKUP($A40,subQ,MATCH(V$1,SUBQH,0),0),"")</f>
        <v/>
      </c>
      <c r="W40" s="47">
        <f>IFERROR(VLOOKUP($A40,subQ,MATCH(W$1,SUBQH,0),0),"")</f>
        <v/>
      </c>
      <c r="X40" s="32">
        <f>IFERROR(VLOOKUP($A40,subQ,MATCH(X$1,SUBQH,0),0),"")</f>
        <v/>
      </c>
      <c r="Y40" s="32">
        <f>IFERROR(VLOOKUP($A40,subQ,MATCH(Y$1,SUBQH,0),0),"")</f>
        <v/>
      </c>
      <c r="Z40" s="32">
        <f>IFERROR(VLOOKUP($A40,subQ,MATCH(Z$1,SUBQH,0),0),"")</f>
        <v/>
      </c>
      <c r="AA40" s="32">
        <f>IFERROR(VLOOKUP($A40,subQ,MATCH(AA$1,SUBQH,0),0),"")</f>
        <v/>
      </c>
      <c r="AB40" s="32">
        <f>IFERROR(VLOOKUP($A40,subQ,MATCH(AB$1,SUBQH,0),0),"")</f>
        <v/>
      </c>
      <c r="AC40" s="32">
        <f>IFERROR(VLOOKUP($A40,subQ,MATCH(AC$1,SUBQH,0),0),"")</f>
        <v/>
      </c>
      <c r="AD40" s="32">
        <f>IFERROR(VLOOKUP($A40,subQ,MATCH(AD$1,SUBQH,0),0),"")</f>
        <v/>
      </c>
      <c r="AE40" s="32">
        <f>IFERROR(VLOOKUP($A40,subQ,MATCH(AE$1,SUBQH,0),0),"")</f>
        <v/>
      </c>
      <c r="AF40" s="32">
        <f>IFERROR(VLOOKUP($A40,subQ,MATCH(AF$1,SUBQH,0),0),"")</f>
        <v/>
      </c>
      <c r="AG40" s="32">
        <f>IFERROR(VLOOKUP($A40,subQ,MATCH(AG$1,SUBQH,0),0),"")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I41" s="21">
        <f>IFERROR(I5/E5-1,"")</f>
        <v/>
      </c>
      <c r="J41" s="21">
        <f>IFERROR(J5/F5-1,"")</f>
        <v/>
      </c>
      <c r="K41" s="21">
        <f>IFERROR(K5/G5-1,"")</f>
        <v/>
      </c>
      <c r="L41" s="21">
        <f>IFERROR(L5/H5-1,"")</f>
        <v/>
      </c>
      <c r="M41" s="21">
        <f>IFERROR(M5/I5-1,"")</f>
        <v/>
      </c>
      <c r="N41" s="21">
        <f>IFERROR(N5/J5-1,"")</f>
        <v/>
      </c>
      <c r="O41" s="21">
        <f>IFERROR(O5/K5-1,"")</f>
        <v/>
      </c>
      <c r="P41" s="21">
        <f>IFERROR(P5/L5-1,"")</f>
        <v/>
      </c>
      <c r="Q41" s="21">
        <f>IFERROR(Q5/M5-1,"")</f>
        <v/>
      </c>
      <c r="R41" s="21">
        <f>IFERROR(R5/N5-1,"")</f>
        <v/>
      </c>
      <c r="S41" s="21">
        <f>IFERROR(S5/O5-1,"")</f>
        <v/>
      </c>
      <c r="T41" s="21">
        <f>IFERROR(T5/P5-1,"")</f>
        <v/>
      </c>
      <c r="U41" s="21">
        <f>IFERROR(U5/Q5-1,"")</f>
        <v/>
      </c>
      <c r="V41" s="21">
        <f>IFERROR(V5/R5-1,"")</f>
        <v/>
      </c>
      <c r="W41" s="47">
        <f>IFERROR(W5/S5-1,"")</f>
        <v/>
      </c>
      <c r="X41" s="32">
        <f>IFERROR(X5/T5-1,"")</f>
        <v/>
      </c>
      <c r="Y41" s="32">
        <f>IFERROR(Y5/U5-1,"")</f>
        <v/>
      </c>
      <c r="Z41" s="32">
        <f>IFERROR(Z5/V5-1,"")</f>
        <v/>
      </c>
      <c r="AA41" s="32">
        <f>IFERROR(AA5/W5-1,"")</f>
        <v/>
      </c>
      <c r="AB41" s="32">
        <f>IFERROR(AB5/X5-1,"")</f>
        <v/>
      </c>
      <c r="AC41" s="32">
        <f>IFERROR(AC5/Y5-1,"")</f>
        <v/>
      </c>
      <c r="AD41" s="32">
        <f>IFERROR(AD5/Z5-1,"")</f>
        <v/>
      </c>
      <c r="AE41" s="32">
        <f>IFERROR(AE5/AA5-1,"")</f>
        <v/>
      </c>
      <c r="AF41" s="32">
        <f>IFERROR(AF5/AB5-1,"")</f>
        <v/>
      </c>
      <c r="AG41" s="32">
        <f>IFERROR(AG5/AC5-1,"")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I42" s="21">
        <f>IFERROR(I9/E9-1,"")</f>
        <v/>
      </c>
      <c r="J42" s="21">
        <f>IFERROR(J9/F9-1,"")</f>
        <v/>
      </c>
      <c r="K42" s="21">
        <f>IFERROR(K9/G9-1,"")</f>
        <v/>
      </c>
      <c r="L42" s="21">
        <f>IFERROR(L9/H9-1,"")</f>
        <v/>
      </c>
      <c r="M42" s="21">
        <f>IFERROR(M9/I9-1,"")</f>
        <v/>
      </c>
      <c r="N42" s="21">
        <f>IFERROR(N9/J9-1,"")</f>
        <v/>
      </c>
      <c r="O42" s="21">
        <f>IFERROR(O9/K9-1,"")</f>
        <v/>
      </c>
      <c r="P42" s="21">
        <f>IFERROR(P9/L9-1,"")</f>
        <v/>
      </c>
      <c r="Q42" s="21">
        <f>IFERROR(Q9/M9-1,"")</f>
        <v/>
      </c>
      <c r="R42" s="21">
        <f>IFERROR(R9/N9-1,"")</f>
        <v/>
      </c>
      <c r="S42" s="21">
        <f>IFERROR(S9/O9-1,"")</f>
        <v/>
      </c>
      <c r="T42" s="21">
        <f>IFERROR(T9/P9-1,"")</f>
        <v/>
      </c>
      <c r="U42" s="21">
        <f>IFERROR(U9/Q9-1,"")</f>
        <v/>
      </c>
      <c r="V42" s="21">
        <f>IFERROR(V9/R9-1,"")</f>
        <v/>
      </c>
      <c r="W42" s="47">
        <f>IFERROR(W9/S9-1,"")</f>
        <v/>
      </c>
      <c r="X42" s="32">
        <f>IFERROR(X9/T9-1,"")</f>
        <v/>
      </c>
      <c r="Y42" s="32">
        <f>IFERROR(Y9/U9-1,"")</f>
        <v/>
      </c>
      <c r="Z42" s="32">
        <f>IFERROR(Z9/V9-1,"")</f>
        <v/>
      </c>
      <c r="AA42" s="32">
        <f>IFERROR(AA9/W9-1,"")</f>
        <v/>
      </c>
      <c r="AB42" s="32">
        <f>IFERROR(AB9/X9-1,"")</f>
        <v/>
      </c>
      <c r="AC42" s="32">
        <f>IFERROR(AC9/Y9-1,"")</f>
        <v/>
      </c>
      <c r="AD42" s="32">
        <f>IFERROR(AD9/Z9-1,"")</f>
        <v/>
      </c>
      <c r="AE42" s="32">
        <f>IFERROR(AE9/AA9-1,"")</f>
        <v/>
      </c>
      <c r="AF42" s="32">
        <f>IFERROR(AF9/AB9-1,"")</f>
        <v/>
      </c>
      <c r="AG42" s="32">
        <f>IFERROR(AG9/AC9-1,"")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I43" s="21">
        <f>IFERROR(I21/E21-1,"")</f>
        <v/>
      </c>
      <c r="J43" s="21">
        <f>IFERROR(J21/F21-1,"")</f>
        <v/>
      </c>
      <c r="K43" s="21">
        <f>IFERROR(K21/G21-1,"")</f>
        <v/>
      </c>
      <c r="L43" s="21">
        <f>IFERROR(L21/H21-1,"")</f>
        <v/>
      </c>
      <c r="M43" s="21">
        <f>IFERROR(M21/I21-1,"")</f>
        <v/>
      </c>
      <c r="N43" s="21">
        <f>IFERROR(N21/J21-1,"")</f>
        <v/>
      </c>
      <c r="O43" s="21">
        <f>IFERROR(O21/K21-1,"")</f>
        <v/>
      </c>
      <c r="P43" s="21">
        <f>IFERROR(P21/L21-1,"")</f>
        <v/>
      </c>
      <c r="Q43" s="21">
        <f>IFERROR(Q21/M21-1,"")</f>
        <v/>
      </c>
      <c r="R43" s="21">
        <f>IFERROR(R21/N21-1,"")</f>
        <v/>
      </c>
      <c r="S43" s="21">
        <f>IFERROR(S21/O21-1,"")</f>
        <v/>
      </c>
      <c r="T43" s="21">
        <f>IFERROR(T21/P21-1,"")</f>
        <v/>
      </c>
      <c r="U43" s="21">
        <f>IFERROR(U21/Q21-1,"")</f>
        <v/>
      </c>
      <c r="V43" s="21">
        <f>IFERROR(V21/R21-1,"")</f>
        <v/>
      </c>
      <c r="W43" s="47">
        <f>IFERROR(W21/S21-1,"")</f>
        <v/>
      </c>
      <c r="X43" s="32">
        <f>IFERROR(X21/T21-1,"")</f>
        <v/>
      </c>
      <c r="Y43" s="32">
        <f>IFERROR(Y21/U21-1,"")</f>
        <v/>
      </c>
      <c r="Z43" s="32">
        <f>IFERROR(Z21/V21-1,"")</f>
        <v/>
      </c>
      <c r="AA43" s="32">
        <f>IFERROR(AA21/W21-1,"")</f>
        <v/>
      </c>
      <c r="AB43" s="32">
        <f>IFERROR(AB21/X21-1,"")</f>
        <v/>
      </c>
      <c r="AC43" s="32">
        <f>IFERROR(AC21/Y21-1,"")</f>
        <v/>
      </c>
      <c r="AD43" s="32">
        <f>IFERROR(AD21/Z21-1,"")</f>
        <v/>
      </c>
      <c r="AE43" s="32">
        <f>IFERROR(AE21/AA21-1,"")</f>
        <v/>
      </c>
      <c r="AF43" s="32">
        <f>IFERROR(AF21/AB21-1,"")</f>
        <v/>
      </c>
      <c r="AG43" s="32">
        <f>IFERROR(AG21/AC21-1,"")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2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3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44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5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6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6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6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6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6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7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6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6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6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6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6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6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6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6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6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6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6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6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6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6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6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6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6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6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6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6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6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8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6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6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6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9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9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6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6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47">
        <f>IFERROR(VLOOKUP($A40,subQ,MATCH(I$1,SUBQH,0),0),"")</f>
        <v/>
      </c>
      <c r="J40" s="32">
        <f>IFERROR(VLOOKUP($A40,subQ,MATCH(J$1,SUBQH,0),0),"")</f>
        <v/>
      </c>
      <c r="K40" s="32">
        <f>IFERROR(VLOOKUP($A40,subQ,MATCH(K$1,SUBQH,0),0),"")</f>
        <v/>
      </c>
      <c r="L40" s="32">
        <f>IFERROR(VLOOKUP($A40,subQ,MATCH(L$1,SUBQH,0),0),"")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F41" s="21">
        <f>IFERROR(F5/E5-1,"")</f>
        <v/>
      </c>
      <c r="G41" s="21">
        <f>IFERROR(G5/F5-1,"")</f>
        <v/>
      </c>
      <c r="H41" s="21">
        <f>IFERROR(H5/G5-1,"")</f>
        <v/>
      </c>
      <c r="I41" s="47">
        <f>IFERROR(I5/H5-1,"")</f>
        <v/>
      </c>
      <c r="J41" s="32">
        <f>IFERROR(J5/I5-1,"")</f>
        <v/>
      </c>
      <c r="K41" s="32">
        <f>IFERROR(K5/J5-1,"")</f>
        <v/>
      </c>
      <c r="L41" s="32">
        <f>IFERROR(L5/K5-1,"")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F42" s="21">
        <f>IFERROR(F9/E9-1,"")</f>
        <v/>
      </c>
      <c r="G42" s="21">
        <f>IFERROR(G9/F9-1,"")</f>
        <v/>
      </c>
      <c r="H42" s="21">
        <f>IFERROR(H9/G9-1,"")</f>
        <v/>
      </c>
      <c r="I42" s="47">
        <f>IFERROR(I9/H9-1,"")</f>
        <v/>
      </c>
      <c r="J42" s="32">
        <f>IFERROR(J9/I9-1,"")</f>
        <v/>
      </c>
      <c r="K42" s="32">
        <f>IFERROR(K9/J9-1,"")</f>
        <v/>
      </c>
      <c r="L42" s="32">
        <f>IFERROR(L9/K9-1,"")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F43" s="21">
        <f>IFERROR(F21/E21-1,"")</f>
        <v/>
      </c>
      <c r="G43" s="21">
        <f>IFERROR(G21/F21-1,"")</f>
        <v/>
      </c>
      <c r="H43" s="21">
        <f>IFERROR(H21/G21-1,"")</f>
        <v/>
      </c>
      <c r="I43" s="47">
        <f>IFERROR(I21/H21-1,"")</f>
        <v/>
      </c>
      <c r="J43" s="32">
        <f>IFERROR(J21/I21-1,"")</f>
        <v/>
      </c>
      <c r="K43" s="32">
        <f>IFERROR(K21/J21-1,"")</f>
        <v/>
      </c>
      <c r="L43" s="32">
        <f>IFERROR(L21/K21-1,"")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0" t="n">
        <v>2025</v>
      </c>
      <c r="E5" s="50" t="n">
        <v>2026</v>
      </c>
      <c r="F5" s="50" t="n">
        <v>2027</v>
      </c>
      <c r="G5" s="50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52973.1</v>
      </c>
    </row>
    <row r="30">
      <c r="C30" s="2" t="inlineStr">
        <is>
          <t>bps_latest</t>
        </is>
      </c>
      <c r="D30" t="n">
        <v>209715.1</v>
      </c>
    </row>
    <row r="31">
      <c r="C31" s="2" t="inlineStr">
        <is>
          <t>per_now</t>
        </is>
      </c>
      <c r="D31" t="n">
        <v>5.28</v>
      </c>
    </row>
    <row r="32">
      <c r="C32" s="2" t="inlineStr">
        <is>
          <t>pbr_now</t>
        </is>
      </c>
      <c r="D32" t="n">
        <v>1.33</v>
      </c>
    </row>
    <row r="33">
      <c r="C33" s="2" t="inlineStr">
        <is>
          <t>roe_fwd</t>
        </is>
      </c>
      <c r="D33" t="n">
        <v>0.2526</v>
      </c>
    </row>
    <row r="34">
      <c r="C34" s="2" t="inlineStr">
        <is>
          <t>fair_pbr</t>
        </is>
      </c>
      <c r="D34" t="n">
        <v>2.81</v>
      </c>
    </row>
    <row r="35">
      <c r="C35" s="2" t="inlineStr">
        <is>
          <t>fair_value_pbr</t>
        </is>
      </c>
      <c r="D35" t="n">
        <v>589300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2026-10-12T00:00:00Z</dcterms:created>
  <dcterms:modified xsi:type="dcterms:W3CDTF">2026-10-12T00:00:00Z</dcterms:modified>
</cp:coreProperties>
</file>