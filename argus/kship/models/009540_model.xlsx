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65950억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66782억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68498억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72044억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76023억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80813억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85815억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91074억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95271억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98275억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14.2%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65950억 × 연결/자회사 비율 1.410(2025Q4·2026Q1·2026Q2 실측 중위; 삼호·기타 자회사·내부거래 포함)
[yoy]</t>
      </text>
    </comment>
    <comment ref="AD5" authorId="0" shapeId="0">
      <text>
        <t>추정: HD현대重 모델 매출 66782억 × 연결/자회사 비율 1.410(2025Q4·2026Q1·2026Q2 실측 중위; 삼호·기타 자회사·내부거래 포함)
[yoy]</t>
      </text>
    </comment>
    <comment ref="AF5" authorId="0" shapeId="0">
      <text>
        <t>추정: HD현대重 모델 매출 68498억 × 연결/자회사 비율 1.410(2025Q4·2026Q1·2026Q2 실측 중위; 삼호·기타 자회사·내부거래 포함)
[yoy]</t>
      </text>
    </comment>
    <comment ref="AG5" authorId="0" shapeId="0">
      <text>
        <t>추정: HD현대重 모델 매출 72044억 × 연결/자회사 비율 1.410(2025Q4·2026Q1·2026Q2 실측 중위; 삼호·기타 자회사·내부거래 포함)
[yoy]</t>
      </text>
    </comment>
    <comment ref="AH5" authorId="0" shapeId="0">
      <text>
        <t>추정: HD현대重 모델 매출 76023억 × 연결/자회사 비율 1.410(2025Q4·2026Q1·2026Q2 실측 중위; 삼호·기타 자회사·내부거래 포함)
[yoy]</t>
      </text>
    </comment>
    <comment ref="AI5" authorId="0" shapeId="0">
      <text>
        <t>추정: HD현대重 모델 매출 80813억 × 연결/자회사 비율 1.410(2025Q4·2026Q1·2026Q2 실측 중위; 삼호·기타 자회사·내부거래 포함)
[yoy]</t>
      </text>
    </comment>
    <comment ref="AK5" authorId="0" shapeId="0">
      <text>
        <t>추정: HD현대重 모델 매출 85815억 × 연결/자회사 비율 1.410(2025Q4·2026Q1·2026Q2 실측 중위; 삼호·기타 자회사·내부거래 포함)
[yoy]</t>
      </text>
    </comment>
    <comment ref="AL5" authorId="0" shapeId="0">
      <text>
        <t>추정: HD현대重 모델 매출 91074억 × 연결/자회사 비율 1.410(2025Q4·2026Q1·2026Q2 실측 중위; 삼호·기타 자회사·내부거래 포함)
[yoy]</t>
      </text>
    </comment>
    <comment ref="AM5" authorId="0" shapeId="0">
      <text>
        <t>추정: HD현대重 모델 매출 95271억 × 연결/자회사 비율 1.410(2025Q4·2026Q1·2026Q2 실측 중위; 삼호·기타 자회사·내부거래 포함)
[yoy]</t>
      </text>
    </comment>
    <comment ref="AN5" authorId="0" shapeId="0">
      <text>
        <t>추정: HD현대重 모델 매출 98275억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14.2%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14.2%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163066억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175081억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187469억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191862억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205693억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220459억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236206억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244286억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261874억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163066억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175081억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187469억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191862억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205693억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220459억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236206억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244286억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261874억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총차입금 이자율: 주석 연율 13.1% 가 CF 연율 4.1% 의 3.2배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74060.61, "rev_act": 75814.36, "op_pred": 7553.97, "op_act": 10537.75}, {"q": "2025Q4", "rev_pred": 74060.61, "rev_act": 81516.57, "op_pred": 7553.97, "op_act": 10379.19}, {"q": "2026Q1", "rev_pred": 73788.96, "rev_act": 81408.9, "op_pred": 7526.26, "op_act": 13559.7}, {"q": "2026Q2", "rev_pred": 73924.76,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276500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262000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302642.9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0.226362569</v>
      </c>
      <c r="AD21" s="24" t="n">
        <v>0.154959353</v>
      </c>
      <c r="AE21" s="25" t="n"/>
      <c r="AF21" s="24" t="n">
        <v>0.186218988</v>
      </c>
      <c r="AG21" s="24" t="n">
        <v>0.137745392</v>
      </c>
      <c r="AH21" s="24" t="n">
        <v>0.152737876</v>
      </c>
      <c r="AI21" s="24" t="n">
        <v>0.210105183</v>
      </c>
      <c r="AJ21" s="25" t="n"/>
      <c r="AK21" s="24" t="n">
        <v>0.252807895</v>
      </c>
      <c r="AL21" s="24" t="n">
        <v>0.264144399</v>
      </c>
      <c r="AM21" s="24" t="n">
        <v>0.253186906</v>
      </c>
      <c r="AN21" s="24" t="n">
        <v>0.216089934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0.157199786</v>
      </c>
      <c r="AD23" s="24" t="n">
        <v>0.157499783</v>
      </c>
      <c r="AE23" s="25">
        <f>IFERROR(subQ!AE9/subQ!AE5,"")</f>
        <v/>
      </c>
      <c r="AF23" s="24" t="n">
        <v>0.15749966</v>
      </c>
      <c r="AG23" s="24" t="n">
        <v>0.15752814</v>
      </c>
      <c r="AH23" s="24" t="n">
        <v>0.157610372</v>
      </c>
      <c r="AI23" s="24" t="n">
        <v>0.157670318</v>
      </c>
      <c r="AJ23" s="25">
        <f>IFERROR(subQ!AJ9/subQ!AJ5,"")</f>
        <v/>
      </c>
      <c r="AK23" s="24" t="n">
        <v>0.157730319</v>
      </c>
      <c r="AL23" s="24" t="n">
        <v>0.157790273</v>
      </c>
      <c r="AM23" s="24" t="n">
        <v>0.157941995</v>
      </c>
      <c r="AN23" s="24" t="n">
        <v>0.158163114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0.001735375</v>
      </c>
      <c r="AD32" s="30" t="n">
        <v>-0.004371235</v>
      </c>
      <c r="AE32" s="31" t="n"/>
      <c r="AF32" s="30" t="n">
        <v>-0.009984971</v>
      </c>
      <c r="AG32" s="30" t="n">
        <v>8697.896243351001</v>
      </c>
      <c r="AH32" s="30" t="n">
        <v>0.003162072</v>
      </c>
      <c r="AI32" s="30" t="n">
        <v>-0.007466016</v>
      </c>
      <c r="AJ32" s="31" t="n"/>
      <c r="AK32" s="30" t="n">
        <v>-9.2557e-05</v>
      </c>
      <c r="AL32" s="30" t="n">
        <v>8697.891142806</v>
      </c>
      <c r="AM32" s="30" t="n">
        <v>-0.002831835</v>
      </c>
      <c r="AN32" s="30" t="n">
        <v>-0.003464242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0.004254596</v>
      </c>
      <c r="AD33" s="30" t="n">
        <v>-0.005011322</v>
      </c>
      <c r="AE33" s="31" t="n"/>
      <c r="AF33" s="30" t="n">
        <v>-0.007369384</v>
      </c>
      <c r="AG33" s="30" t="n">
        <v>8697.899979692</v>
      </c>
      <c r="AH33" s="30" t="n">
        <v>-0.001926596</v>
      </c>
      <c r="AI33" s="30" t="n">
        <v>0.00145439</v>
      </c>
      <c r="AJ33" s="31" t="n"/>
      <c r="AK33" s="30" t="n">
        <v>-0.004271596</v>
      </c>
      <c r="AL33" s="30" t="n">
        <v>8697.899567716</v>
      </c>
      <c r="AM33" s="30" t="n">
        <v>-0.005081042</v>
      </c>
      <c r="AN33" s="30" t="n">
        <v>-0.00053805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0.09820029600000001</v>
      </c>
      <c r="AD35" s="24" t="n">
        <v>0.09121644800000001</v>
      </c>
      <c r="AE35" s="25" t="n"/>
      <c r="AF35" s="24" t="n">
        <v>0.08618772199999999</v>
      </c>
      <c r="AG35" s="24" t="n">
        <v>0.028138167</v>
      </c>
      <c r="AH35" s="24" t="n">
        <v>0.08616430999999999</v>
      </c>
      <c r="AI35" s="24" t="n">
        <v>0.084697994</v>
      </c>
      <c r="AJ35" s="25" t="n"/>
      <c r="AK35" s="24" t="n">
        <v>0.08326604899999999</v>
      </c>
      <c r="AL35" s="24" t="n">
        <v>0.039443766</v>
      </c>
      <c r="AM35" s="24" t="n">
        <v>0.082597139</v>
      </c>
      <c r="AN35" s="24" t="n">
        <v>0.079156981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0.077852775</v>
      </c>
      <c r="AD36" s="24" t="n">
        <v>0.073681077</v>
      </c>
      <c r="AE36" s="25" t="n"/>
      <c r="AF36" s="24" t="n">
        <v>0.070756148</v>
      </c>
      <c r="AG36" s="24" t="n">
        <v>0.023433054</v>
      </c>
      <c r="AH36" s="24" t="n">
        <v>0.07208632099999999</v>
      </c>
      <c r="AI36" s="24" t="n">
        <v>0.071789964</v>
      </c>
      <c r="AJ36" s="25" t="n"/>
      <c r="AK36" s="24" t="n">
        <v>0.071426323</v>
      </c>
      <c r="AL36" s="24" t="n">
        <v>0.034209026</v>
      </c>
      <c r="AM36" s="24" t="n">
        <v>0.071998021</v>
      </c>
      <c r="AN36" s="24" t="n">
        <v>0.06968152800000001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276500</v>
      </c>
      <c r="E44" s="2" t="inlineStr">
        <is>
          <t>원 — 네이버 정규장 종가(aik 확정종가 대조 · aik 291,500원)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20261013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0.1989269798832284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0.04842985910825098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0.7600276249667989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0.0281677858078709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0.1311616506964567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1343.63</v>
      </c>
      <c r="AI18" s="13" t="n">
        <v>1333.09</v>
      </c>
      <c r="AJ18" s="13" t="n">
        <v>1333.09</v>
      </c>
      <c r="AK18" s="13" t="n">
        <v>1333.09</v>
      </c>
      <c r="AL18" s="13" t="n">
        <v>1333.09</v>
      </c>
      <c r="AM18" s="13" t="n">
        <v>1333.09</v>
      </c>
      <c r="AN18" s="13" t="n">
        <v>1333.09</v>
      </c>
      <c r="AO18" s="13" t="n">
        <v>1333.09</v>
      </c>
      <c r="AP18" s="13" t="n">
        <v>1333.09</v>
      </c>
      <c r="AQ18" s="13" t="n">
        <v>1333.09</v>
      </c>
      <c r="AR18" s="13" t="n">
        <v>1333.09</v>
      </c>
      <c r="AS18" s="13" t="n">
        <v>1333.09</v>
      </c>
      <c r="AT18" s="13" t="n">
        <v>1333.09</v>
      </c>
      <c r="AU18" s="13" t="n">
        <v>1333.09</v>
      </c>
      <c r="AV18" s="13" t="n">
        <v>1333.09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1419.78</v>
      </c>
      <c r="AI19" s="13" t="n">
        <v>1416.62</v>
      </c>
      <c r="AJ19" s="13" t="n">
        <v>1416.62</v>
      </c>
      <c r="AK19" s="13" t="n">
        <v>1418.1</v>
      </c>
      <c r="AL19" s="13" t="n">
        <v>1421.23</v>
      </c>
      <c r="AM19" s="13" t="n">
        <v>1421.23</v>
      </c>
      <c r="AN19" s="13" t="n">
        <v>1421.19</v>
      </c>
      <c r="AO19" s="13" t="n">
        <v>1420.86</v>
      </c>
      <c r="AP19" s="13" t="n">
        <v>1421.4</v>
      </c>
      <c r="AQ19" s="13" t="n">
        <v>1428.72</v>
      </c>
      <c r="AR19" s="13" t="n">
        <v>1435.08</v>
      </c>
      <c r="AS19" s="13" t="n">
        <v>1437.86</v>
      </c>
      <c r="AT19" s="13" t="n">
        <v>1434.48</v>
      </c>
      <c r="AU19" s="13" t="n">
        <v>1393.05</v>
      </c>
      <c r="AV19" s="13" t="n">
        <v>1393.05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790470.2</v>
      </c>
      <c r="AI20" s="18" t="n">
        <v>771563.8</v>
      </c>
      <c r="AJ20" s="18" t="n">
        <v>780136.8</v>
      </c>
      <c r="AK20" s="18" t="n">
        <v>783865</v>
      </c>
      <c r="AL20" s="18" t="n">
        <v>773852.7</v>
      </c>
      <c r="AM20" s="18" t="n">
        <v>765441.2</v>
      </c>
      <c r="AN20" s="18" t="n">
        <v>759530.6</v>
      </c>
      <c r="AO20" s="18" t="n">
        <v>719492.6</v>
      </c>
      <c r="AP20" s="18" t="n">
        <v>662995.8</v>
      </c>
      <c r="AQ20" s="18" t="n">
        <v>499927.8</v>
      </c>
      <c r="AR20" s="18" t="n">
        <v>350516</v>
      </c>
      <c r="AS20" s="18" t="n">
        <v>224055.2</v>
      </c>
      <c r="AT20" s="18" t="n">
        <v>124352.7</v>
      </c>
      <c r="AU20" s="18" t="n">
        <v>33906.2</v>
      </c>
      <c r="AV20" s="18" t="n">
        <v>22980.9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2704055.6</v>
      </c>
      <c r="BE20" s="18" t="n">
        <v>3109418.3</v>
      </c>
      <c r="BF20" s="18" t="n">
        <v>2907460.2</v>
      </c>
      <c r="BG20" s="18" t="n">
        <v>1198851.7</v>
      </c>
      <c r="BH20" s="18" t="n">
        <v>56887.1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775574.4</v>
      </c>
      <c r="AI21" s="18" t="n">
        <v>757029.8</v>
      </c>
      <c r="AJ21" s="18" t="n">
        <v>765441.2</v>
      </c>
      <c r="AK21" s="18" t="n">
        <v>773852.7</v>
      </c>
      <c r="AL21" s="18" t="n">
        <v>773852.7</v>
      </c>
      <c r="AM21" s="18" t="n">
        <v>765441.2</v>
      </c>
      <c r="AN21" s="18" t="n">
        <v>759530.6</v>
      </c>
      <c r="AO21" s="18" t="n">
        <v>719492.6</v>
      </c>
      <c r="AP21" s="18" t="n">
        <v>662995.8</v>
      </c>
      <c r="AQ21" s="18" t="n">
        <v>499927.8</v>
      </c>
      <c r="AR21" s="18" t="n">
        <v>350516</v>
      </c>
      <c r="AS21" s="18" t="n">
        <v>224055.2</v>
      </c>
      <c r="AT21" s="18" t="n">
        <v>124352.7</v>
      </c>
      <c r="AU21" s="18" t="n">
        <v>33906.2</v>
      </c>
      <c r="AV21" s="18" t="n">
        <v>22980.9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2643665.9</v>
      </c>
      <c r="BE21" s="18" t="n">
        <v>3070176.4</v>
      </c>
      <c r="BF21" s="18" t="n">
        <v>2907460.2</v>
      </c>
      <c r="BG21" s="18" t="n">
        <v>1198851.7</v>
      </c>
      <c r="BH21" s="18" t="n">
        <v>56887.1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740836</v>
      </c>
      <c r="AI22" s="18" t="n">
        <v>723123.6</v>
      </c>
      <c r="AJ22" s="18" t="n">
        <v>731158.3</v>
      </c>
      <c r="AK22" s="18" t="n">
        <v>739193</v>
      </c>
      <c r="AL22" s="18" t="n">
        <v>739193</v>
      </c>
      <c r="AM22" s="18" t="n">
        <v>731158.3</v>
      </c>
      <c r="AN22" s="18" t="n">
        <v>725247.7</v>
      </c>
      <c r="AO22" s="18" t="n">
        <v>684833</v>
      </c>
      <c r="AP22" s="18" t="n">
        <v>628336.1</v>
      </c>
      <c r="AQ22" s="18" t="n">
        <v>466021.7</v>
      </c>
      <c r="AR22" s="18" t="n">
        <v>316233.1</v>
      </c>
      <c r="AS22" s="18" t="n">
        <v>189395.5</v>
      </c>
      <c r="AT22" s="18" t="n">
        <v>89693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34738.3</v>
      </c>
      <c r="AI23" s="18" t="n">
        <v>33906.2</v>
      </c>
      <c r="AJ23" s="18" t="n">
        <v>34282.9</v>
      </c>
      <c r="AK23" s="18" t="n">
        <v>34659.7</v>
      </c>
      <c r="AL23" s="18" t="n">
        <v>34659.7</v>
      </c>
      <c r="AM23" s="18" t="n">
        <v>34282.9</v>
      </c>
      <c r="AN23" s="18" t="n">
        <v>34282.9</v>
      </c>
      <c r="AO23" s="18" t="n">
        <v>34659.7</v>
      </c>
      <c r="AP23" s="18" t="n">
        <v>34659.7</v>
      </c>
      <c r="AQ23" s="18" t="n">
        <v>33906.2</v>
      </c>
      <c r="AR23" s="18" t="n">
        <v>34282.9</v>
      </c>
      <c r="AS23" s="18" t="n">
        <v>34659.7</v>
      </c>
      <c r="AT23" s="18" t="n">
        <v>34659.7</v>
      </c>
      <c r="AU23" s="18" t="n">
        <v>33906.2</v>
      </c>
      <c r="AV23" s="18" t="n">
        <v>22980.9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0.054</v>
      </c>
      <c r="AA24" s="21" t="n">
        <v>0.054</v>
      </c>
      <c r="AB24" s="21" t="n">
        <v>0.0756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원/달러(평균)",환율,MATCH(AH$1,변수H,0),0),1343.63)</f>
        <v/>
      </c>
      <c r="AI29" s="13">
        <f>IFERROR(VLOOKUP(" 원/달러(평균)",환율,MATCH(AI$1,변수H,0),0),1333.09)</f>
        <v/>
      </c>
      <c r="AJ29" s="13">
        <f>IFERROR(VLOOKUP(" 원/달러(평균)",환율,MATCH(AJ$1,변수H,0),0),1333.09)</f>
        <v/>
      </c>
      <c r="AK29" s="13">
        <f>IFERROR(VLOOKUP(" 원/달러(평균)",환율,MATCH(AK$1,변수H,0),0),1333.09)</f>
        <v/>
      </c>
      <c r="AL29" s="13">
        <f>IFERROR(VLOOKUP(" 원/달러(평균)",환율,MATCH(AL$1,변수H,0),0),1333.09)</f>
        <v/>
      </c>
      <c r="AM29" s="13">
        <f>IFERROR(VLOOKUP(" 원/달러(평균)",환율,MATCH(AM$1,변수H,0),0),1333.09)</f>
        <v/>
      </c>
      <c r="AN29" s="13">
        <f>IFERROR(VLOOKUP(" 원/달러(평균)",환율,MATCH(AN$1,변수H,0),0),1333.09)</f>
        <v/>
      </c>
      <c r="AO29" s="13">
        <f>IFERROR(VLOOKUP(" 원/달러(평균)",환율,MATCH(AO$1,변수H,0),0),1333.09)</f>
        <v/>
      </c>
      <c r="AP29" s="13">
        <f>IFERROR(VLOOKUP(" 원/달러(평균)",환율,MATCH(AP$1,변수H,0),0),1333.09)</f>
        <v/>
      </c>
      <c r="AQ29" s="13">
        <f>IFERROR(VLOOKUP(" 원/달러(평균)",환율,MATCH(AQ$1,변수H,0),0),1333.09)</f>
        <v/>
      </c>
      <c r="AR29" s="13">
        <f>IFERROR(VLOOKUP(" 원/달러(평균)",환율,MATCH(AR$1,변수H,0),0),1333.09)</f>
        <v/>
      </c>
      <c r="AS29" s="13">
        <f>IFERROR(VLOOKUP(" 원/달러(평균)",환율,MATCH(AS$1,변수H,0),0),1333.09)</f>
        <v/>
      </c>
      <c r="AT29" s="13">
        <f>IFERROR(VLOOKUP(" 원/달러(평균)",환율,MATCH(AT$1,변수H,0),0),1333.09)</f>
        <v/>
      </c>
      <c r="AU29" s="13">
        <f>IFERROR(VLOOKUP(" 원/달러(평균)",환율,MATCH(AU$1,변수H,0),0),1333.09)</f>
        <v/>
      </c>
      <c r="AV29" s="13">
        <f>IFERROR(VLOOKUP(" 원/달러(평균)",환율,MATCH(AV$1,변수H,0),0),1333.09)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20261006800410</t>
        </is>
      </c>
      <c r="B120" t="inlineStr">
        <is>
          <t>OTHER</t>
        </is>
      </c>
      <c r="D120" t="n">
        <v>338500</v>
      </c>
      <c r="E120" t="n">
        <v>291.833</v>
      </c>
      <c r="F120" t="n">
        <v>1159.91</v>
      </c>
      <c r="G120" t="inlineStr">
        <is>
          <t>2021-09-02</t>
        </is>
      </c>
      <c r="H120" t="inlineStr">
        <is>
          <t>2021-09-02</t>
        </is>
      </c>
      <c r="I120" t="inlineStr">
        <is>
          <t>2027-08-31</t>
        </is>
      </c>
      <c r="L120" t="inlineStr">
        <is>
          <t>linear_progress</t>
        </is>
      </c>
      <c r="M120" t="b">
        <v>1</v>
      </c>
      <c r="N120" t="b">
        <v>1</v>
      </c>
      <c r="O120" t="b">
        <v>0</v>
      </c>
    </row>
    <row r="121">
      <c r="A121" t="inlineStr">
        <is>
          <t>20261013800237</t>
        </is>
      </c>
      <c r="B121" t="inlineStr">
        <is>
          <t>OFFSH</t>
        </is>
      </c>
      <c r="C121" t="n">
        <v>1</v>
      </c>
      <c r="D121" t="n">
        <v>1964800</v>
      </c>
      <c r="E121" t="n">
        <v>1493.361</v>
      </c>
      <c r="F121" t="n">
        <v>1315.69</v>
      </c>
      <c r="G121" t="inlineStr">
        <is>
          <t>2023-06-30</t>
        </is>
      </c>
      <c r="H121" t="inlineStr">
        <is>
          <t>2023-07-01</t>
        </is>
      </c>
      <c r="I121" t="inlineStr">
        <is>
          <t>2027-06-01</t>
        </is>
      </c>
      <c r="L121" t="inlineStr">
        <is>
          <t>linear_progress</t>
        </is>
      </c>
      <c r="M121" t="b">
        <v>0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1006.48</v>
      </c>
      <c r="G6" s="20">
        <f>SUM(E6:F6)</f>
        <v/>
      </c>
      <c r="H6" s="34" t="n">
        <v>4164.54</v>
      </c>
      <c r="I6" s="34" t="n">
        <v>9391.610000000001</v>
      </c>
      <c r="J6" s="34" t="n">
        <v>16168.84</v>
      </c>
      <c r="K6" s="34" t="n">
        <v>23977.29</v>
      </c>
      <c r="L6" s="20">
        <f>SUM(H6:K6)</f>
        <v/>
      </c>
      <c r="M6" s="34" t="n">
        <v>32298.09</v>
      </c>
      <c r="N6" s="34" t="n">
        <v>40612.33</v>
      </c>
      <c r="O6" s="34" t="n">
        <v>48401.1</v>
      </c>
      <c r="P6" s="34" t="n">
        <v>55145.52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614.73</v>
      </c>
      <c r="G18" s="20">
        <f>SUM(E18:F18)</f>
        <v/>
      </c>
      <c r="H18" s="34" t="n">
        <v>2695.64</v>
      </c>
      <c r="I18" s="34" t="n">
        <v>6306.65</v>
      </c>
      <c r="J18" s="34" t="n">
        <v>11074.16</v>
      </c>
      <c r="K18" s="34" t="n">
        <v>16624.54</v>
      </c>
      <c r="L18" s="20">
        <f>SUM(H18:K18)</f>
        <v/>
      </c>
      <c r="M18" s="34" t="n">
        <v>22584.18</v>
      </c>
      <c r="N18" s="34" t="n">
        <v>28579.5</v>
      </c>
      <c r="O18" s="34" t="n">
        <v>34236.87</v>
      </c>
      <c r="P18" s="34" t="n">
        <v>39182.67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1762.6</v>
      </c>
      <c r="G24" s="20">
        <f>SUM(E24:F24)</f>
        <v/>
      </c>
      <c r="H24" s="34" t="n">
        <v>7000.62</v>
      </c>
      <c r="I24" s="34" t="n">
        <v>15350.03</v>
      </c>
      <c r="J24" s="34" t="n">
        <v>26011.72</v>
      </c>
      <c r="K24" s="34" t="n">
        <v>38186.66</v>
      </c>
      <c r="L24" s="20">
        <f>SUM(H24:K24)</f>
        <v/>
      </c>
      <c r="M24" s="34" t="n">
        <v>51075.78</v>
      </c>
      <c r="N24" s="34" t="n">
        <v>63880.01</v>
      </c>
      <c r="O24" s="34" t="n">
        <v>75800.27</v>
      </c>
      <c r="P24" s="34" t="n">
        <v>86037.53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52956.6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5.22</v>
      </c>
    </row>
    <row r="32">
      <c r="C32" s="2" t="inlineStr">
        <is>
          <t>pbr_now</t>
        </is>
      </c>
      <c r="D32" t="n">
        <v>1.32</v>
      </c>
    </row>
    <row r="33">
      <c r="C33" s="2" t="inlineStr">
        <is>
          <t>roe_fwd</t>
        </is>
      </c>
      <c r="D33" t="n">
        <v>0.2525</v>
      </c>
    </row>
    <row r="34">
      <c r="C34" s="2" t="inlineStr">
        <is>
          <t>fair_pbr</t>
        </is>
      </c>
      <c r="D34" t="n">
        <v>2.81</v>
      </c>
    </row>
    <row r="35">
      <c r="C35" s="2" t="inlineStr">
        <is>
          <t>fair_value_pbr</t>
        </is>
      </c>
      <c r="D35" t="n">
        <v>589300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