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66789억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68537억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72084억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76066억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80855억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85856억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91113억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95308억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98309억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66789억 × 연결/자회사 비율 1.410(2025Q4·2026Q1·2026Q2 실측 중위; 삼호·기타 자회사·내부거래 포함)
[yoy]</t>
      </text>
    </comment>
    <comment ref="AF5" authorId="0" shapeId="0">
      <text>
        <t>추정: HD현대重 모델 매출 68537억 × 연결/자회사 비율 1.410(2025Q4·2026Q1·2026Q2 실측 중위; 삼호·기타 자회사·내부거래 포함)
[yoy]</t>
      </text>
    </comment>
    <comment ref="AG5" authorId="0" shapeId="0">
      <text>
        <t>추정: HD현대重 모델 매출 72084억 × 연결/자회사 비율 1.410(2025Q4·2026Q1·2026Q2 실측 중위; 삼호·기타 자회사·내부거래 포함)
[yoy]</t>
      </text>
    </comment>
    <comment ref="AH5" authorId="0" shapeId="0">
      <text>
        <t>추정: HD현대重 모델 매출 76066억 × 연결/자회사 비율 1.410(2025Q4·2026Q1·2026Q2 실측 중위; 삼호·기타 자회사·내부거래 포함)
[yoy]</t>
      </text>
    </comment>
    <comment ref="AI5" authorId="0" shapeId="0">
      <text>
        <t>추정: HD현대重 모델 매출 80855억 × 연결/자회사 비율 1.410(2025Q4·2026Q1·2026Q2 실측 중위; 삼호·기타 자회사·내부거래 포함)
[yoy]</t>
      </text>
    </comment>
    <comment ref="AK5" authorId="0" shapeId="0">
      <text>
        <t>추정: HD현대重 모델 매출 85856억 × 연결/자회사 비율 1.410(2025Q4·2026Q1·2026Q2 실측 중위; 삼호·기타 자회사·내부거래 포함)
[yoy]</t>
      </text>
    </comment>
    <comment ref="AL5" authorId="0" shapeId="0">
      <text>
        <t>추정: HD현대重 모델 매출 91113억 × 연결/자회사 비율 1.410(2025Q4·2026Q1·2026Q2 실측 중위; 삼호·기타 자회사·내부거래 포함)
[yoy]</t>
      </text>
    </comment>
    <comment ref="AM5" authorId="0" shapeId="0">
      <text>
        <t>추정: HD현대重 모델 매출 95308억 × 연결/자회사 비율 1.410(2025Q4·2026Q1·2026Q2 실측 중위; 삼호·기타 자회사·내부거래 포함)
[yoy]</t>
      </text>
    </comment>
    <comment ref="AN5" authorId="0" shapeId="0">
      <text>
        <t>추정: HD현대重 모델 매출 98309억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187477억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191877억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205716억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220490억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236244억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244331억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261926억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175082억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187477억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191877억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205716억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220490억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236244억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244331억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261926억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291500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290000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312600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0.226363624</v>
      </c>
      <c r="AD21" s="24" t="n">
        <v>0.155083254</v>
      </c>
      <c r="AE21" s="25" t="n"/>
      <c r="AF21" s="24" t="n">
        <v>0.18688378</v>
      </c>
      <c r="AG21" s="24" t="n">
        <v>0.138380205</v>
      </c>
      <c r="AH21" s="24" t="n">
        <v>0.153394259</v>
      </c>
      <c r="AI21" s="24" t="n">
        <v>0.210603789</v>
      </c>
      <c r="AJ21" s="25" t="n"/>
      <c r="AK21" s="24" t="n">
        <v>0.252695065</v>
      </c>
      <c r="AL21" s="24" t="n">
        <v>0.263983028</v>
      </c>
      <c r="AM21" s="24" t="n">
        <v>0.252956812</v>
      </c>
      <c r="AN21" s="24" t="n">
        <v>0.215874859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0.157199651</v>
      </c>
      <c r="AD23" s="24" t="n">
        <v>0.157499669</v>
      </c>
      <c r="AE23" s="25">
        <f>IFERROR(subQ!AE9/subQ!AE5,"")</f>
        <v/>
      </c>
      <c r="AF23" s="24" t="n">
        <v>0.157499723</v>
      </c>
      <c r="AG23" s="24" t="n">
        <v>0.157528266</v>
      </c>
      <c r="AH23" s="24" t="n">
        <v>0.157610342</v>
      </c>
      <c r="AI23" s="24" t="n">
        <v>0.157670324</v>
      </c>
      <c r="AJ23" s="25">
        <f>IFERROR(subQ!AJ9/subQ!AJ5,"")</f>
        <v/>
      </c>
      <c r="AK23" s="24" t="n">
        <v>0.157730362</v>
      </c>
      <c r="AL23" s="24" t="n">
        <v>0.15779038</v>
      </c>
      <c r="AM23" s="24" t="n">
        <v>0.157941992</v>
      </c>
      <c r="AN23" s="24" t="n">
        <v>0.158163018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0.002219706</v>
      </c>
      <c r="AD32" s="30" t="n">
        <v>0.001992804</v>
      </c>
      <c r="AE32" s="31" t="n"/>
      <c r="AF32" s="30" t="n">
        <v>-0.008844609999999999</v>
      </c>
      <c r="AG32" s="30" t="n">
        <v>8697.904508838999</v>
      </c>
      <c r="AH32" s="30" t="n">
        <v>0.004886995</v>
      </c>
      <c r="AI32" s="30" t="n">
        <v>-0.001840368</v>
      </c>
      <c r="AJ32" s="31" t="n"/>
      <c r="AK32" s="30" t="n">
        <v>-0.001684756</v>
      </c>
      <c r="AL32" s="30" t="n">
        <v>8697.891046711</v>
      </c>
      <c r="AM32" s="30" t="n">
        <v>-0.006822408</v>
      </c>
      <c r="AN32" s="30" t="n">
        <v>0.002582778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0.006392947</v>
      </c>
      <c r="AD33" s="30" t="n">
        <v>-0.000733656</v>
      </c>
      <c r="AE33" s="31" t="n"/>
      <c r="AF33" s="30" t="n">
        <v>0.003949213</v>
      </c>
      <c r="AG33" s="30" t="n">
        <v>8697.900429216001</v>
      </c>
      <c r="AH33" s="30" t="n">
        <v>-0.000320234</v>
      </c>
      <c r="AI33" s="30" t="n">
        <v>0.004160542</v>
      </c>
      <c r="AJ33" s="31" t="n"/>
      <c r="AK33" s="30" t="n">
        <v>-0.001710315</v>
      </c>
      <c r="AL33" s="30" t="n">
        <v>8697.901816695001</v>
      </c>
      <c r="AM33" s="30" t="n">
        <v>0.00551919</v>
      </c>
      <c r="AN33" s="30" t="n">
        <v>-0.002624819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0.091226089</v>
      </c>
      <c r="AE35" s="25" t="n"/>
      <c r="AF35" s="24" t="n">
        <v>0.086234479</v>
      </c>
      <c r="AG35" s="24" t="n">
        <v>0.028182823</v>
      </c>
      <c r="AH35" s="24" t="n">
        <v>0.08620475</v>
      </c>
      <c r="AI35" s="24" t="n">
        <v>0.08473035399999999</v>
      </c>
      <c r="AJ35" s="25" t="n"/>
      <c r="AK35" s="24" t="n">
        <v>0.08329144199999999</v>
      </c>
      <c r="AL35" s="24" t="n">
        <v>0.039471625</v>
      </c>
      <c r="AM35" s="24" t="n">
        <v>0.082611647</v>
      </c>
      <c r="AN35" s="24" t="n">
        <v>0.079166414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0.07368886500000001</v>
      </c>
      <c r="AE36" s="25" t="n"/>
      <c r="AF36" s="24" t="n">
        <v>0.070794645</v>
      </c>
      <c r="AG36" s="24" t="n">
        <v>0.023470499</v>
      </c>
      <c r="AH36" s="24" t="n">
        <v>0.072121168</v>
      </c>
      <c r="AI36" s="24" t="n">
        <v>0.07181889499999999</v>
      </c>
      <c r="AJ36" s="25" t="n"/>
      <c r="AK36" s="24" t="n">
        <v>0.071449755</v>
      </c>
      <c r="AL36" s="24" t="n">
        <v>0.034234033</v>
      </c>
      <c r="AM36" s="24" t="n">
        <v>0.07201263199999999</v>
      </c>
      <c r="AN36" s="24" t="n">
        <v>0.069691718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291500</v>
      </c>
      <c r="E44" s="2" t="inlineStr">
        <is>
          <t>원 — 네이버 정규장 종가(aik 확정종가 대조 · aik 301,500원)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0.1989270140199398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0.04842984396020988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0.7600277752656174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0.02816787182365922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0.1311619244925925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1345.14</v>
      </c>
      <c r="AI18" s="13" t="n">
        <v>1341.49</v>
      </c>
      <c r="AJ18" s="13" t="n">
        <v>1341.49</v>
      </c>
      <c r="AK18" s="13" t="n">
        <v>1341.49</v>
      </c>
      <c r="AL18" s="13" t="n">
        <v>1341.49</v>
      </c>
      <c r="AM18" s="13" t="n">
        <v>1341.49</v>
      </c>
      <c r="AN18" s="13" t="n">
        <v>1341.49</v>
      </c>
      <c r="AO18" s="13" t="n">
        <v>1341.49</v>
      </c>
      <c r="AP18" s="13" t="n">
        <v>1341.49</v>
      </c>
      <c r="AQ18" s="13" t="n">
        <v>1341.49</v>
      </c>
      <c r="AR18" s="13" t="n">
        <v>1341.49</v>
      </c>
      <c r="AS18" s="13" t="n">
        <v>1341.49</v>
      </c>
      <c r="AT18" s="13" t="n">
        <v>1341.49</v>
      </c>
      <c r="AU18" s="13" t="n">
        <v>1341.49</v>
      </c>
      <c r="AV18" s="13" t="n">
        <v>1341.49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1420.24</v>
      </c>
      <c r="AI19" s="13" t="n">
        <v>1419.14</v>
      </c>
      <c r="AJ19" s="13" t="n">
        <v>1419.14</v>
      </c>
      <c r="AK19" s="13" t="n">
        <v>1420.62</v>
      </c>
      <c r="AL19" s="13" t="n">
        <v>1423.75</v>
      </c>
      <c r="AM19" s="13" t="n">
        <v>1423.75</v>
      </c>
      <c r="AN19" s="13" t="n">
        <v>1423.71</v>
      </c>
      <c r="AO19" s="13" t="n">
        <v>1423.38</v>
      </c>
      <c r="AP19" s="13" t="n">
        <v>1423.92</v>
      </c>
      <c r="AQ19" s="13" t="n">
        <v>1431.24</v>
      </c>
      <c r="AR19" s="13" t="n">
        <v>1437.6</v>
      </c>
      <c r="AS19" s="13" t="n">
        <v>1440.38</v>
      </c>
      <c r="AT19" s="13" t="n">
        <v>1437</v>
      </c>
      <c r="AU19" s="13" t="n">
        <v>1395.57</v>
      </c>
      <c r="AV19" s="13" t="n">
        <v>1395.57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790722.4</v>
      </c>
      <c r="AI20" s="18" t="n">
        <v>772936.4</v>
      </c>
      <c r="AJ20" s="18" t="n">
        <v>781524.5</v>
      </c>
      <c r="AK20" s="18" t="n">
        <v>785258</v>
      </c>
      <c r="AL20" s="18" t="n">
        <v>775224.8</v>
      </c>
      <c r="AM20" s="18" t="n">
        <v>766798.4</v>
      </c>
      <c r="AN20" s="18" t="n">
        <v>760877.4</v>
      </c>
      <c r="AO20" s="18" t="n">
        <v>720768.7</v>
      </c>
      <c r="AP20" s="18" t="n">
        <v>664171.2</v>
      </c>
      <c r="AQ20" s="18" t="n">
        <v>500809.6</v>
      </c>
      <c r="AR20" s="18" t="n">
        <v>351131.5</v>
      </c>
      <c r="AS20" s="18" t="n">
        <v>224447.8</v>
      </c>
      <c r="AT20" s="18" t="n">
        <v>124571.1</v>
      </c>
      <c r="AU20" s="18" t="n">
        <v>33967.5</v>
      </c>
      <c r="AV20" s="18" t="n">
        <v>23022.4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2704307.8</v>
      </c>
      <c r="BE20" s="18" t="n">
        <v>3114943.7</v>
      </c>
      <c r="BF20" s="18" t="n">
        <v>2912615.7</v>
      </c>
      <c r="BG20" s="18" t="n">
        <v>1200960</v>
      </c>
      <c r="BH20" s="18" t="n">
        <v>56989.9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775821</v>
      </c>
      <c r="AI21" s="18" t="n">
        <v>758372.1</v>
      </c>
      <c r="AJ21" s="18" t="n">
        <v>766798.4</v>
      </c>
      <c r="AK21" s="18" t="n">
        <v>775224.8</v>
      </c>
      <c r="AL21" s="18" t="n">
        <v>775224.8</v>
      </c>
      <c r="AM21" s="18" t="n">
        <v>766798.4</v>
      </c>
      <c r="AN21" s="18" t="n">
        <v>760877.4</v>
      </c>
      <c r="AO21" s="18" t="n">
        <v>720768.7</v>
      </c>
      <c r="AP21" s="18" t="n">
        <v>664171.2</v>
      </c>
      <c r="AQ21" s="18" t="n">
        <v>500809.6</v>
      </c>
      <c r="AR21" s="18" t="n">
        <v>351131.5</v>
      </c>
      <c r="AS21" s="18" t="n">
        <v>224447.8</v>
      </c>
      <c r="AT21" s="18" t="n">
        <v>124571.1</v>
      </c>
      <c r="AU21" s="18" t="n">
        <v>33967.5</v>
      </c>
      <c r="AV21" s="18" t="n">
        <v>23022.4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2643912.5</v>
      </c>
      <c r="BE21" s="18" t="n">
        <v>3075620.1</v>
      </c>
      <c r="BF21" s="18" t="n">
        <v>2912615.7</v>
      </c>
      <c r="BG21" s="18" t="n">
        <v>1200960</v>
      </c>
      <c r="BH21" s="18" t="n">
        <v>56989.9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741071.4</v>
      </c>
      <c r="AI22" s="18" t="n">
        <v>724404.6</v>
      </c>
      <c r="AJ22" s="18" t="n">
        <v>732453.5</v>
      </c>
      <c r="AK22" s="18" t="n">
        <v>740502.4</v>
      </c>
      <c r="AL22" s="18" t="n">
        <v>740502.4</v>
      </c>
      <c r="AM22" s="18" t="n">
        <v>732453.5</v>
      </c>
      <c r="AN22" s="18" t="n">
        <v>726532.4</v>
      </c>
      <c r="AO22" s="18" t="n">
        <v>686046.4</v>
      </c>
      <c r="AP22" s="18" t="n">
        <v>629448.8</v>
      </c>
      <c r="AQ22" s="18" t="n">
        <v>466842.1</v>
      </c>
      <c r="AR22" s="18" t="n">
        <v>316786.6</v>
      </c>
      <c r="AS22" s="18" t="n">
        <v>189725.5</v>
      </c>
      <c r="AT22" s="18" t="n">
        <v>89848.8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34749.6</v>
      </c>
      <c r="AI23" s="18" t="n">
        <v>33967.5</v>
      </c>
      <c r="AJ23" s="18" t="n">
        <v>34344.9</v>
      </c>
      <c r="AK23" s="18" t="n">
        <v>34722.3</v>
      </c>
      <c r="AL23" s="18" t="n">
        <v>34722.3</v>
      </c>
      <c r="AM23" s="18" t="n">
        <v>34344.9</v>
      </c>
      <c r="AN23" s="18" t="n">
        <v>34344.9</v>
      </c>
      <c r="AO23" s="18" t="n">
        <v>34722.3</v>
      </c>
      <c r="AP23" s="18" t="n">
        <v>34722.3</v>
      </c>
      <c r="AQ23" s="18" t="n">
        <v>33967.5</v>
      </c>
      <c r="AR23" s="18" t="n">
        <v>34344.9</v>
      </c>
      <c r="AS23" s="18" t="n">
        <v>34722.3</v>
      </c>
      <c r="AT23" s="18" t="n">
        <v>34722.3</v>
      </c>
      <c r="AU23" s="18" t="n">
        <v>33967.5</v>
      </c>
      <c r="AV23" s="18" t="n">
        <v>23022.4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원/달러(평균)",환율,MATCH(AH$1,변수H,0),0),1345.14)</f>
        <v/>
      </c>
      <c r="AI29" s="13">
        <f>IFERROR(VLOOKUP(" 원/달러(평균)",환율,MATCH(AI$1,변수H,0),0),1341.49)</f>
        <v/>
      </c>
      <c r="AJ29" s="13">
        <f>IFERROR(VLOOKUP(" 원/달러(평균)",환율,MATCH(AJ$1,변수H,0),0),1341.49)</f>
        <v/>
      </c>
      <c r="AK29" s="13">
        <f>IFERROR(VLOOKUP(" 원/달러(평균)",환율,MATCH(AK$1,변수H,0),0),1341.49)</f>
        <v/>
      </c>
      <c r="AL29" s="13">
        <f>IFERROR(VLOOKUP(" 원/달러(평균)",환율,MATCH(AL$1,변수H,0),0),1341.49)</f>
        <v/>
      </c>
      <c r="AM29" s="13">
        <f>IFERROR(VLOOKUP(" 원/달러(평균)",환율,MATCH(AM$1,변수H,0),0),1341.49)</f>
        <v/>
      </c>
      <c r="AN29" s="13">
        <f>IFERROR(VLOOKUP(" 원/달러(평균)",환율,MATCH(AN$1,변수H,0),0),1341.49)</f>
        <v/>
      </c>
      <c r="AO29" s="13">
        <f>IFERROR(VLOOKUP(" 원/달러(평균)",환율,MATCH(AO$1,변수H,0),0),1341.49)</f>
        <v/>
      </c>
      <c r="AP29" s="13">
        <f>IFERROR(VLOOKUP(" 원/달러(평균)",환율,MATCH(AP$1,변수H,0),0),1341.49)</f>
        <v/>
      </c>
      <c r="AQ29" s="13">
        <f>IFERROR(VLOOKUP(" 원/달러(평균)",환율,MATCH(AQ$1,변수H,0),0),1341.49)</f>
        <v/>
      </c>
      <c r="AR29" s="13">
        <f>IFERROR(VLOOKUP(" 원/달러(평균)",환율,MATCH(AR$1,변수H,0),0),1341.49)</f>
        <v/>
      </c>
      <c r="AS29" s="13">
        <f>IFERROR(VLOOKUP(" 원/달러(평균)",환율,MATCH(AS$1,변수H,0),0),1341.49)</f>
        <v/>
      </c>
      <c r="AT29" s="13">
        <f>IFERROR(VLOOKUP(" 원/달러(평균)",환율,MATCH(AT$1,변수H,0),0),1341.49)</f>
        <v/>
      </c>
      <c r="AU29" s="13">
        <f>IFERROR(VLOOKUP(" 원/달러(평균)",환율,MATCH(AU$1,변수H,0),0),1341.49)</f>
        <v/>
      </c>
      <c r="AV29" s="13">
        <f>IFERROR(VLOOKUP(" 원/달러(평균)",환율,MATCH(AV$1,변수H,0),0),1341.49)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52973.1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0.2526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