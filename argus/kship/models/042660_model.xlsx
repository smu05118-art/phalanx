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15373억(sls.by_quarter.marine_hedged_krw_m(헤지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3028억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14179억(sls.by_quarter.marine_hedged_krw_m(헤지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2939억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13904억(sls.by_quarter.marine_hedged_krw_m(헤지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2971억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13992억(sls.by_quarter.marine_hedged_krw_m(헤지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13857억(sls.by_quarter.marine_hedged_krw_m(헤지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13707억(sls.by_quarter.marine_hedged_krw_m(헤지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2971억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13019억(sls.by_quarter.marine_hedged_krw_m(헤지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2971억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12429억(sls.by_quarter.marine_hedged_krw_m(헤지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12231억(sls.by_quarter.marine_hedged_krw_m(헤지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26106억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30319억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34633억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39138억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43859억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48817억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52577억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55356억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26106억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30319억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34633억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39138억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43859억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48817억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52577억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55356억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15373억(sls.by_quarter.marine_hedged_krw_m(헤지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3028억 유지(패널 신규수주 체결 분기별 상계, net_panel)
[sls_link]</t>
      </text>
    </comment>
    <comment ref="AF38" authorId="0" shapeId="0">
      <text>
        <t>추정: SLS 해양 원화 14179억(sls.by_quarter.marine_hedged_krw_m(헤지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2939억 유지(패널 신규수주 체결 분기별 상계, net_panel)
[sls_link]</t>
      </text>
    </comment>
    <comment ref="AG38" authorId="0" shapeId="0">
      <text>
        <t>추정: SLS 해양 원화 13904억(sls.by_quarter.marine_hedged_krw_m(헤지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2971억 유지(패널 신규수주 체결 분기별 상계, net_panel)
[sls_link]</t>
      </text>
    </comment>
    <comment ref="AH38" authorId="0" shapeId="0">
      <text>
        <t>추정: SLS 해양 원화 13992억(sls.by_quarter.marine_hedged_krw_m(헤지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
[sls_link]</t>
      </text>
    </comment>
    <comment ref="AI38" authorId="0" shapeId="0">
      <text>
        <t>추정: SLS 해양 원화 13857억(sls.by_quarter.marine_hedged_krw_m(헤지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
[sls_link]</t>
      </text>
    </comment>
    <comment ref="AK38" authorId="0" shapeId="0">
      <text>
        <t>추정: SLS 해양 원화 13707억(sls.by_quarter.marine_hedged_krw_m(헤지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2971억 유지(패널 신규수주 체결 분기별 상계, net_panel)
[sls_link]</t>
      </text>
    </comment>
    <comment ref="AL38" authorId="0" shapeId="0">
      <text>
        <t>추정: SLS 해양 원화 13019억(sls.by_quarter.marine_hedged_krw_m(헤지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2971억 유지(패널 신규수주 체결 분기별 상계, net_panel)
[sls_link]</t>
      </text>
    </comment>
    <comment ref="AM38" authorId="0" shapeId="0">
      <text>
        <t>추정: SLS 해양 원화 12429억(sls.by_quarter.marine_hedged_krw_m(헤지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
[sls_link]</t>
      </text>
    </comment>
    <comment ref="AN38" authorId="0" shapeId="0">
      <text>
        <t>추정: SLS 해양 원화 12231억(sls.by_quarter.marine_hedged_krw_m(헤지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3004억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4,326억 vs 0억 · 2027 11,918억 vs 13,801억 · 2028 11,951억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52800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52700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65887.5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0.006753492</v>
      </c>
      <c r="AE27" s="25">
        <f>IFERROR(subQ!AE19/subQ!AE18,"")</f>
        <v/>
      </c>
      <c r="AF27" s="31" t="n">
        <v>0.033408671</v>
      </c>
      <c r="AG27" s="31" t="n">
        <v>0.06006519</v>
      </c>
      <c r="AH27" s="31" t="n">
        <v>0.086719768</v>
      </c>
      <c r="AI27" s="31" t="n">
        <v>0.113375887</v>
      </c>
      <c r="AJ27" s="25">
        <f>IFERROR(subQ!AJ19/subQ!AJ18,"")</f>
        <v/>
      </c>
      <c r="AK27" s="31" t="n">
        <v>0.140031429</v>
      </c>
      <c r="AL27" s="31" t="n">
        <v>0.166688463</v>
      </c>
      <c r="AM27" s="31" t="n">
        <v>0.193345136</v>
      </c>
      <c r="AN27" s="31" t="n">
        <v>0.220000514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-0.015836222</v>
      </c>
      <c r="AD30" s="29" t="n">
        <v>-0.009787850000000001</v>
      </c>
      <c r="AE30" s="30" t="n"/>
      <c r="AF30" s="29" t="n">
        <v>0.003122409</v>
      </c>
      <c r="AG30" s="29" t="n">
        <v>-0.008462747</v>
      </c>
      <c r="AH30" s="29" t="n">
        <v>-0.005064338</v>
      </c>
      <c r="AI30" s="29" t="n">
        <v>-0.003944413</v>
      </c>
      <c r="AJ30" s="30" t="n"/>
      <c r="AK30" s="29" t="n">
        <v>-0.005253218</v>
      </c>
      <c r="AL30" s="29" t="n">
        <v>-0.000851124</v>
      </c>
      <c r="AM30" s="29" t="n">
        <v>-0.015522044</v>
      </c>
      <c r="AN30" s="29" t="n">
        <v>0.000330402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-0.009446843999999999</v>
      </c>
      <c r="AD31" s="29" t="n">
        <v>-0.007433415</v>
      </c>
      <c r="AE31" s="30" t="n"/>
      <c r="AF31" s="29" t="n">
        <v>-0.001656576</v>
      </c>
      <c r="AG31" s="29" t="n">
        <v>-0.006728367</v>
      </c>
      <c r="AH31" s="29" t="n">
        <v>0.000108627</v>
      </c>
      <c r="AI31" s="29" t="n">
        <v>0.003791502</v>
      </c>
      <c r="AJ31" s="30" t="n"/>
      <c r="AK31" s="29" t="n">
        <v>-0.005654698</v>
      </c>
      <c r="AL31" s="29" t="n">
        <v>-0.010059989</v>
      </c>
      <c r="AM31" s="29" t="n">
        <v>-0.001046137</v>
      </c>
      <c r="AN31" s="29" t="n">
        <v>-0.00404173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-0.104391887</v>
      </c>
      <c r="AE33" s="25" t="n"/>
      <c r="AF33" s="31" t="n">
        <v>-0.114296397</v>
      </c>
      <c r="AG33" s="31" t="n">
        <v>-0.132153975</v>
      </c>
      <c r="AH33" s="31" t="n">
        <v>-0.159016991</v>
      </c>
      <c r="AI33" s="31" t="n">
        <v>-0.198167206</v>
      </c>
      <c r="AJ33" s="25" t="n"/>
      <c r="AK33" s="31" t="n">
        <v>-0.25953685</v>
      </c>
      <c r="AL33" s="31" t="n">
        <v>-0.265775026</v>
      </c>
      <c r="AM33" s="31" t="n">
        <v>-0.267613459</v>
      </c>
      <c r="AN33" s="31" t="n">
        <v>-0.399242493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0.196968231</v>
      </c>
      <c r="AE34" s="25" t="n"/>
      <c r="AF34" s="31" t="n">
        <v>0.16136131</v>
      </c>
      <c r="AG34" s="31" t="n">
        <v>0.142287625</v>
      </c>
      <c r="AH34" s="31" t="n">
        <v>0.130076139</v>
      </c>
      <c r="AI34" s="31" t="n">
        <v>0.1206328</v>
      </c>
      <c r="AJ34" s="25" t="n"/>
      <c r="AK34" s="31" t="n">
        <v>0.113045463</v>
      </c>
      <c r="AL34" s="31" t="n">
        <v>0.077012075</v>
      </c>
      <c r="AM34" s="31" t="n">
        <v>0.052864142</v>
      </c>
      <c r="AN34" s="31" t="n">
        <v>0.054860279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29189.176169</v>
      </c>
      <c r="AE40" s="30" t="n"/>
      <c r="AF40" s="29" t="n">
        <v>29099.921205</v>
      </c>
      <c r="AG40" s="29" t="n">
        <v>29132.476645</v>
      </c>
      <c r="AH40" s="29" t="n">
        <v>29165.16467</v>
      </c>
      <c r="AI40" s="29" t="n">
        <v>29165.145891</v>
      </c>
      <c r="AJ40" s="30" t="n"/>
      <c r="AK40" s="29" t="n">
        <v>29132.484144</v>
      </c>
      <c r="AL40" s="29" t="n">
        <v>15307.285272</v>
      </c>
      <c r="AM40" s="29" t="n">
        <v>3004.065394</v>
      </c>
      <c r="AN40" s="29" t="n">
        <v>3004.148282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0.119007503</v>
      </c>
      <c r="AE42" s="25">
        <f>IFERROR(subQ!AE40/subQ!AE38,"")</f>
        <v/>
      </c>
      <c r="AF42" s="31" t="n">
        <v>0.120230591</v>
      </c>
      <c r="AG42" s="31" t="n">
        <v>0.120882709</v>
      </c>
      <c r="AH42" s="31" t="n">
        <v>0.120881129</v>
      </c>
      <c r="AI42" s="31" t="n">
        <v>0.120893231</v>
      </c>
      <c r="AJ42" s="25">
        <f>IFERROR(subQ!AJ40/subQ!AJ38,"")</f>
        <v/>
      </c>
      <c r="AK42" s="31" t="n">
        <v>0.1207929</v>
      </c>
      <c r="AL42" s="31" t="n">
        <v>0.120799745</v>
      </c>
      <c r="AM42" s="31" t="n">
        <v>0.120869771</v>
      </c>
      <c r="AN42" s="31" t="n">
        <v>0.120890199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52800</v>
      </c>
      <c r="E47" s="2" t="inlineStr">
        <is>
          <t>원 — 네이버 정규장 종가(aik 확정종가 대조 · aik 57,200원)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20261026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0.05559123006923741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0.9999656314533085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0.05777791290175002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0.03568164982599446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1337.49</v>
      </c>
      <c r="AJ21" s="13" t="n">
        <v>1324.45</v>
      </c>
      <c r="AK21" s="13" t="n">
        <v>1324.45</v>
      </c>
      <c r="AL21" s="13" t="n">
        <v>1324.45</v>
      </c>
      <c r="AM21" s="13" t="n">
        <v>1324.45</v>
      </c>
      <c r="AN21" s="13" t="n">
        <v>1324.45</v>
      </c>
      <c r="AO21" s="13" t="n">
        <v>1324.45</v>
      </c>
      <c r="AP21" s="13" t="n">
        <v>1324.45</v>
      </c>
      <c r="AQ21" s="13" t="n">
        <v>1324.45</v>
      </c>
      <c r="AR21" s="13" t="n">
        <v>1324.45</v>
      </c>
      <c r="AS21" s="13" t="n">
        <v>1324.45</v>
      </c>
      <c r="AT21" s="13" t="n">
        <v>1324.45</v>
      </c>
      <c r="AU21" s="13" t="n">
        <v>1324.45</v>
      </c>
      <c r="AV21" s="13" t="n">
        <v>1324.45</v>
      </c>
      <c r="AW21" s="13" t="n">
        <v>1324.45</v>
      </c>
      <c r="AX21" s="13" t="n">
        <v>1324.45</v>
      </c>
      <c r="AY21" s="13" t="n">
        <v>1324.45</v>
      </c>
      <c r="AZ21" s="13" t="n">
        <v>1324.45</v>
      </c>
      <c r="BA21" s="13" t="n">
        <v>1324.45</v>
      </c>
      <c r="BB21" s="13" t="n">
        <v>1324.45</v>
      </c>
      <c r="BC21" s="13" t="n">
        <v>1324.45</v>
      </c>
      <c r="BD21" s="13" t="n">
        <v>1324.45</v>
      </c>
      <c r="BE21" s="13" t="n">
        <v>1324.45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1360.59</v>
      </c>
      <c r="AJ22" s="13" t="n">
        <v>1349.79</v>
      </c>
      <c r="AK22" s="13" t="n">
        <v>1349.79</v>
      </c>
      <c r="AL22" s="13" t="n">
        <v>1349.79</v>
      </c>
      <c r="AM22" s="13" t="n">
        <v>1349.79</v>
      </c>
      <c r="AN22" s="13" t="n">
        <v>1349.79</v>
      </c>
      <c r="AO22" s="13" t="n">
        <v>1349.79</v>
      </c>
      <c r="AP22" s="13" t="n">
        <v>1349.79</v>
      </c>
      <c r="AQ22" s="13" t="n">
        <v>1349.79</v>
      </c>
      <c r="AR22" s="13" t="n">
        <v>1349.79</v>
      </c>
      <c r="AS22" s="13" t="n">
        <v>1349.79</v>
      </c>
      <c r="AT22" s="13" t="n">
        <v>1349.79</v>
      </c>
      <c r="AU22" s="13" t="n">
        <v>1349.79</v>
      </c>
      <c r="AV22" s="13" t="n">
        <v>1349.79</v>
      </c>
      <c r="AW22" s="13" t="n">
        <v>1349.79</v>
      </c>
      <c r="AX22" s="13" t="n">
        <v>1349.79</v>
      </c>
      <c r="AY22" s="13" t="n">
        <v>1349.79</v>
      </c>
      <c r="AZ22" s="13" t="n">
        <v>1349.79</v>
      </c>
      <c r="BA22" s="13" t="n">
        <v>1349.79</v>
      </c>
      <c r="BB22" s="13" t="n">
        <v>1349.79</v>
      </c>
      <c r="BC22" s="13" t="n">
        <v>1349.79</v>
      </c>
      <c r="BD22" s="13" t="n">
        <v>1349.79</v>
      </c>
      <c r="BE22" s="13" t="n">
        <v>1349.79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1621102.2</v>
      </c>
      <c r="AJ23" s="18" t="n">
        <v>1499224.2</v>
      </c>
      <c r="AK23" s="18" t="n">
        <v>1425527.5</v>
      </c>
      <c r="AL23" s="18" t="n">
        <v>1433068.9</v>
      </c>
      <c r="AM23" s="18" t="n">
        <v>1419635.5</v>
      </c>
      <c r="AN23" s="18" t="n">
        <v>1382101.4</v>
      </c>
      <c r="AO23" s="18" t="n">
        <v>1301914.7</v>
      </c>
      <c r="AP23" s="18" t="n">
        <v>1242877.9</v>
      </c>
      <c r="AQ23" s="18" t="n">
        <v>1223097</v>
      </c>
      <c r="AR23" s="18" t="n">
        <v>1104536.3</v>
      </c>
      <c r="AS23" s="18" t="n">
        <v>948072.2</v>
      </c>
      <c r="AT23" s="18" t="n">
        <v>415823.2</v>
      </c>
      <c r="AU23" s="18" t="n">
        <v>208844.4</v>
      </c>
      <c r="AV23" s="18" t="n">
        <v>118723.8</v>
      </c>
      <c r="AW23" s="18" t="n">
        <v>60091.5</v>
      </c>
      <c r="AX23" s="18" t="n">
        <v>60751.9</v>
      </c>
      <c r="AY23" s="18" t="n">
        <v>53462.3</v>
      </c>
      <c r="AZ23" s="18" t="n">
        <v>33188.8</v>
      </c>
      <c r="BA23" s="18" t="n">
        <v>33557.6</v>
      </c>
      <c r="BB23" s="18" t="n">
        <v>33926.3</v>
      </c>
      <c r="BC23" s="18" t="n">
        <v>33926.3</v>
      </c>
      <c r="BD23" s="18" t="n">
        <v>33557.6</v>
      </c>
      <c r="BE23" s="18" t="n">
        <v>33557.6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5742684.8</v>
      </c>
      <c r="BN23" s="18" t="n">
        <v>5777456.1</v>
      </c>
      <c r="BO23" s="18" t="n">
        <v>5149991</v>
      </c>
      <c r="BP23" s="18" t="n">
        <v>2677276.1</v>
      </c>
      <c r="BQ23" s="18" t="n">
        <v>293029.5</v>
      </c>
      <c r="BR23" s="18" t="n">
        <v>134599</v>
      </c>
      <c r="BS23" s="18" t="n">
        <v>67115.2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1537293.2</v>
      </c>
      <c r="AJ24" s="18" t="n">
        <v>1417888</v>
      </c>
      <c r="AK24" s="18" t="n">
        <v>1390398.2</v>
      </c>
      <c r="AL24" s="18" t="n">
        <v>1399177.3</v>
      </c>
      <c r="AM24" s="18" t="n">
        <v>1385743.9</v>
      </c>
      <c r="AN24" s="18" t="n">
        <v>1370681.4</v>
      </c>
      <c r="AO24" s="18" t="n">
        <v>1301914.7</v>
      </c>
      <c r="AP24" s="18" t="n">
        <v>1242877.9</v>
      </c>
      <c r="AQ24" s="18" t="n">
        <v>1223097</v>
      </c>
      <c r="AR24" s="18" t="n">
        <v>1104536.3</v>
      </c>
      <c r="AS24" s="18" t="n">
        <v>948072.2</v>
      </c>
      <c r="AT24" s="18" t="n">
        <v>415823.2</v>
      </c>
      <c r="AU24" s="18" t="n">
        <v>208844.4</v>
      </c>
      <c r="AV24" s="18" t="n">
        <v>118723.8</v>
      </c>
      <c r="AW24" s="18" t="n">
        <v>60091.5</v>
      </c>
      <c r="AX24" s="18" t="n">
        <v>60751.9</v>
      </c>
      <c r="AY24" s="18" t="n">
        <v>53462.3</v>
      </c>
      <c r="AZ24" s="18" t="n">
        <v>33188.8</v>
      </c>
      <c r="BA24" s="18" t="n">
        <v>33557.6</v>
      </c>
      <c r="BB24" s="18" t="n">
        <v>33926.3</v>
      </c>
      <c r="BC24" s="18" t="n">
        <v>33926.3</v>
      </c>
      <c r="BD24" s="18" t="n">
        <v>33557.6</v>
      </c>
      <c r="BE24" s="18" t="n">
        <v>33557.6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5391326.1</v>
      </c>
      <c r="BN24" s="18" t="n">
        <v>5593207.4</v>
      </c>
      <c r="BO24" s="18" t="n">
        <v>5138571</v>
      </c>
      <c r="BP24" s="18" t="n">
        <v>2677276.1</v>
      </c>
      <c r="BQ24" s="18" t="n">
        <v>293029.5</v>
      </c>
      <c r="BR24" s="18" t="n">
        <v>134599</v>
      </c>
      <c r="BS24" s="18" t="n">
        <v>67115.2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1234480.2</v>
      </c>
      <c r="AJ25" s="18" t="n">
        <v>1124009.5</v>
      </c>
      <c r="AK25" s="18" t="n">
        <v>1093254.4</v>
      </c>
      <c r="AL25" s="18" t="n">
        <v>1098768.1</v>
      </c>
      <c r="AM25" s="18" t="n">
        <v>1085334.7</v>
      </c>
      <c r="AN25" s="18" t="n">
        <v>1073537.6</v>
      </c>
      <c r="AO25" s="18" t="n">
        <v>1004770.8</v>
      </c>
      <c r="AP25" s="18" t="n">
        <v>942468.7</v>
      </c>
      <c r="AQ25" s="18" t="n">
        <v>922687.8</v>
      </c>
      <c r="AR25" s="18" t="n">
        <v>810657.8</v>
      </c>
      <c r="AS25" s="18" t="n">
        <v>650928.3</v>
      </c>
      <c r="AT25" s="18" t="n">
        <v>128807.2</v>
      </c>
      <c r="AU25" s="18" t="n">
        <v>103882.8</v>
      </c>
      <c r="AV25" s="18" t="n">
        <v>34412.6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302813</v>
      </c>
      <c r="AJ26" s="18" t="n">
        <v>293878.5</v>
      </c>
      <c r="AK26" s="18" t="n">
        <v>297143.8</v>
      </c>
      <c r="AL26" s="18" t="n">
        <v>300409.2</v>
      </c>
      <c r="AM26" s="18" t="n">
        <v>300409.2</v>
      </c>
      <c r="AN26" s="18" t="n">
        <v>297143.8</v>
      </c>
      <c r="AO26" s="18" t="n">
        <v>297143.8</v>
      </c>
      <c r="AP26" s="18" t="n">
        <v>300409.2</v>
      </c>
      <c r="AQ26" s="18" t="n">
        <v>300409.2</v>
      </c>
      <c r="AR26" s="18" t="n">
        <v>293878.5</v>
      </c>
      <c r="AS26" s="18" t="n">
        <v>297143.8</v>
      </c>
      <c r="AT26" s="18" t="n">
        <v>287016.1</v>
      </c>
      <c r="AU26" s="18" t="n">
        <v>104961.6</v>
      </c>
      <c r="AV26" s="18" t="n">
        <v>84311.2</v>
      </c>
      <c r="AW26" s="18" t="n">
        <v>60091.5</v>
      </c>
      <c r="AX26" s="18" t="n">
        <v>60751.9</v>
      </c>
      <c r="AY26" s="18" t="n">
        <v>53462.3</v>
      </c>
      <c r="AZ26" s="18" t="n">
        <v>33188.8</v>
      </c>
      <c r="BA26" s="18" t="n">
        <v>33557.6</v>
      </c>
      <c r="BB26" s="18" t="n">
        <v>33926.3</v>
      </c>
      <c r="BC26" s="18" t="n">
        <v>33926.3</v>
      </c>
      <c r="BD26" s="18" t="n">
        <v>33557.6</v>
      </c>
      <c r="BE26" s="18" t="n">
        <v>33557.6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원/달러(평균)",환율,MATCH(AI$1,변수H,0),0),1337.49)</f>
        <v/>
      </c>
      <c r="AJ32" s="13">
        <f>IFERROR(VLOOKUP(" 원/달러(평균)",환율,MATCH(AJ$1,변수H,0),0),1324.45)</f>
        <v/>
      </c>
      <c r="AK32" s="13">
        <f>IFERROR(VLOOKUP(" 원/달러(평균)",환율,MATCH(AK$1,변수H,0),0),1324.45)</f>
        <v/>
      </c>
      <c r="AL32" s="13">
        <f>IFERROR(VLOOKUP(" 원/달러(평균)",환율,MATCH(AL$1,변수H,0),0),1324.45)</f>
        <v/>
      </c>
      <c r="AM32" s="13">
        <f>IFERROR(VLOOKUP(" 원/달러(평균)",환율,MATCH(AM$1,변수H,0),0),1324.45)</f>
        <v/>
      </c>
      <c r="AN32" s="13">
        <f>IFERROR(VLOOKUP(" 원/달러(평균)",환율,MATCH(AN$1,변수H,0),0),1324.45)</f>
        <v/>
      </c>
      <c r="AO32" s="13">
        <f>IFERROR(VLOOKUP(" 원/달러(평균)",환율,MATCH(AO$1,변수H,0),0),1324.45)</f>
        <v/>
      </c>
      <c r="AP32" s="13">
        <f>IFERROR(VLOOKUP(" 원/달러(평균)",환율,MATCH(AP$1,변수H,0),0),1324.45)</f>
        <v/>
      </c>
      <c r="AQ32" s="13">
        <f>IFERROR(VLOOKUP(" 원/달러(평균)",환율,MATCH(AQ$1,변수H,0),0),1324.45)</f>
        <v/>
      </c>
      <c r="AR32" s="13">
        <f>IFERROR(VLOOKUP(" 원/달러(평균)",환율,MATCH(AR$1,변수H,0),0),1324.45)</f>
        <v/>
      </c>
      <c r="AS32" s="13">
        <f>IFERROR(VLOOKUP(" 원/달러(평균)",환율,MATCH(AS$1,변수H,0),0),1324.45)</f>
        <v/>
      </c>
      <c r="AT32" s="13">
        <f>IFERROR(VLOOKUP(" 원/달러(평균)",환율,MATCH(AT$1,변수H,0),0),1324.45)</f>
        <v/>
      </c>
      <c r="AU32" s="13">
        <f>IFERROR(VLOOKUP(" 원/달러(평균)",환율,MATCH(AU$1,변수H,0),0),1324.45)</f>
        <v/>
      </c>
      <c r="AV32" s="13">
        <f>IFERROR(VLOOKUP(" 원/달러(평균)",환율,MATCH(AV$1,변수H,0),0),1324.45)</f>
        <v/>
      </c>
      <c r="AW32" s="13">
        <f>IFERROR(VLOOKUP(" 원/달러(평균)",환율,MATCH(AW$1,변수H,0),0),1324.45)</f>
        <v/>
      </c>
      <c r="AX32" s="13">
        <f>IFERROR(VLOOKUP(" 원/달러(평균)",환율,MATCH(AX$1,변수H,0),0),1324.45)</f>
        <v/>
      </c>
      <c r="AY32" s="13">
        <f>IFERROR(VLOOKUP(" 원/달러(평균)",환율,MATCH(AY$1,변수H,0),0),1324.45)</f>
        <v/>
      </c>
      <c r="AZ32" s="13">
        <f>IFERROR(VLOOKUP(" 원/달러(평균)",환율,MATCH(AZ$1,변수H,0),0),1324.45)</f>
        <v/>
      </c>
      <c r="BA32" s="13">
        <f>IFERROR(VLOOKUP(" 원/달러(평균)",환율,MATCH(BA$1,변수H,0),0),1324.45)</f>
        <v/>
      </c>
      <c r="BB32" s="13">
        <f>IFERROR(VLOOKUP(" 원/달러(평균)",환율,MATCH(BB$1,변수H,0),0),1324.45)</f>
        <v/>
      </c>
      <c r="BC32" s="13">
        <f>IFERROR(VLOOKUP(" 원/달러(평균)",환율,MATCH(BC$1,변수H,0),0),1324.45)</f>
        <v/>
      </c>
      <c r="BD32" s="13">
        <f>IFERROR(VLOOKUP(" 원/달러(평균)",환율,MATCH(BD$1,변수H,0),0),1324.45)</f>
        <v/>
      </c>
      <c r="BE32" s="13">
        <f>IFERROR(VLOOKUP(" 원/달러(평균)",환율,MATCH(BE$1,변수H,0),0),1324.45)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5540.7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9.529999999999999</v>
      </c>
    </row>
    <row r="32">
      <c r="C32" s="2" t="inlineStr">
        <is>
          <t>pbr_now</t>
        </is>
      </c>
      <c r="D32" t="n">
        <v>2.15</v>
      </c>
    </row>
    <row r="33">
      <c r="C33" s="2" t="inlineStr">
        <is>
          <t>roe_fwd</t>
        </is>
      </c>
      <c r="D33" t="n">
        <v>0.2256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