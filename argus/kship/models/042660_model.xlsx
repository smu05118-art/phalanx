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BS연결!$C$5:$AO$117</definedName>
    <definedName name="BS별도H">BS별도!$C$1:$AO$1</definedName>
    <definedName name="BS별도">BS별도!$C$5:$AO$101</definedName>
    <definedName name="SUBQH">subQ!$A$1:$AO$1</definedName>
    <definedName name="subQ">subQ!$A$5:$AO$46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5.56%(최근 4분기 중위)</t>
      </text>
    </comment>
    <comment ref="AD22" authorId="0" shapeId="0">
      <text>
        <t>모델값 역산(implied): v / 매출액
매출액 × 판관비율 5.56%(최근 4분기 중위)</t>
      </text>
    </comment>
    <comment ref="AF22" authorId="0" shapeId="0">
      <text>
        <t>모델값 역산(implied): v / 매출액
매출액 × 판관비율 5.56%(최근 4분기 중위)</t>
      </text>
    </comment>
    <comment ref="AG22" authorId="0" shapeId="0">
      <text>
        <t>모델값 역산(implied): v / 매출액
매출액 × 판관비율 5.56%(최근 4분기 중위)</t>
      </text>
    </comment>
    <comment ref="AH22" authorId="0" shapeId="0">
      <text>
        <t>모델값 역산(implied): v / 매출액
매출액 × 판관비율 5.56%(최근 4분기 중위)</t>
      </text>
    </comment>
    <comment ref="AI22" authorId="0" shapeId="0">
      <text>
        <t>모델값 역산(implied): v / 매출액
매출액 × 판관비율 5.56%(최근 4분기 중위)</t>
      </text>
    </comment>
    <comment ref="AK22" authorId="0" shapeId="0">
      <text>
        <t>모델값 역산(implied): v / 매출액
매출액 × 판관비율 5.56%(최근 4분기 중위)</t>
      </text>
    </comment>
    <comment ref="AL22" authorId="0" shapeId="0">
      <text>
        <t>모델값 역산(implied): v / 매출액
매출액 × 판관비율 5.56%(최근 4분기 중위)</t>
      </text>
    </comment>
    <comment ref="AM22" authorId="0" shapeId="0">
      <text>
        <t>모델값 역산(implied): v / 매출액
매출액 × 판관비율 5.56%(최근 4분기 중위)</t>
      </text>
    </comment>
    <comment ref="AN22" authorId="0" shapeId="0">
      <text>
        <t>모델값 역산(implied): v / 매출액
매출액 × 판관비율 5.56%(최근 4분기 중위)</t>
      </text>
    </comment>
    <comment ref="AC23" authorId="0" shapeId="0">
      <text>
        <t>모델값 역산(implied): v / 매출액
매출액 × OPM(SLS 코호트 타겟 14.2%(코호트 모드 reference_anchor; 등급 비중 82% × 코호트 14.8% + 등급없음 18% × 최근 4분기 실측 OPM 중위 11.6%) + 회사 캘리브레이션 -2.2%p(최근 4분기 실측−타겟 중위))</t>
      </text>
    </comment>
    <comment ref="AD23" authorId="0" shapeId="0">
      <text>
        <t>모델값 역산(implied): v / 매출액
매출액 × OPM(SLS 코호트 타겟 14.2%(코호트 모드 reference_anchor; 등급 비중 82% × 코호트 14.8% + 등급없음 18% × 최근 4분기 실측 OPM 중위 11.6%) + 회사 캘리브레이션 -2.2%p(최근 4분기 실측−타겟 중위))</t>
      </text>
    </comment>
    <comment ref="AF23" authorId="0" shapeId="0">
      <text>
        <t>모델값 역산(implied): v / 매출액
매출액 × OPM(SLS 코호트 타겟 14.3%(코호트 모드 reference_anchor; 등급 비중 81% × 코호트 14.9% + 등급없음 19% × 최근 4분기 실측 OPM 중위 11.6%) + 회사 캘리브레이션 -2.2%p(최근 4분기 실측−타겟 중위))</t>
      </text>
    </comment>
    <comment ref="AG23" authorId="0" shapeId="0">
      <text>
        <t>모델값 역산(implied): v / 매출액
매출액 × OPM(SLS 코호트 타겟 14.4%(코호트 모드 reference_anchor; 등급 비중 83% × 코호트 15.0% + 등급없음 17% × 최근 4분기 실측 OPM 중위 11.6%) + 회사 캘리브레이션 -2.2%p(최근 4분기 실측−타겟 중위))</t>
      </text>
    </comment>
    <comment ref="AH23" authorId="0" shapeId="0">
      <text>
        <t>모델값 역산(implied): v / 매출액
매출액 × OPM(SLS 코호트 타겟 14.4%(코호트 모드 reference_anchor; 등급 비중 83% × 코호트 15.0% + 등급없음 17% × 최근 4분기 실측 OPM 중위 11.6%) + 회사 캘리브레이션 -2.2%p(최근 4분기 실측−타겟 중위))</t>
      </text>
    </comment>
    <comment ref="AI23" authorId="0" shapeId="0">
      <text>
        <t>모델값 역산(implied): v / 매출액
매출액 × OPM(SLS 코호트 타겟 14.4%(코호트 모드 reference_anchor; 등급 비중 83% × 코호트 15.0% + 등급없음 17% × 최근 4분기 실측 OPM 중위 11.6%) + 회사 캘리브레이션 -2.2%p(최근 4분기 실측−타겟 중위))</t>
      </text>
    </comment>
    <comment ref="AK23" authorId="0" shapeId="0">
      <text>
        <t>모델값 역산(implied): v / 매출액
매출액 × OPM(SLS 코호트 타겟 14.5%(코호트 모드 reference_anchor; 등급 비중 84% × 코호트 15.0% + 등급없음 16% × 최근 4분기 실측 OPM 중위 11.6%) + 회사 캘리브레이션 -2.2%p(최근 4분기 실측−타겟 중위))</t>
      </text>
    </comment>
    <comment ref="AL23" authorId="0" shapeId="0">
      <text>
        <t>모델값 역산(implied): v / 매출액
매출액 × OPM(SLS 코호트 타겟 14.5%(코호트 모드 reference_anchor; 등급 비중 84% × 코호트 15.0% + 등급없음 16% × 최근 4분기 실측 OPM 중위 11.6%) + 회사 캘리브레이션 -2.2%p(최근 4분기 실측−타겟 중위))</t>
      </text>
    </comment>
    <comment ref="AM23" authorId="0" shapeId="0">
      <text>
        <t>모델값 역산(implied): v / 매출액
매출액 × OPM(SLS 코호트 타겟 14.4%(코호트 모드 reference_anchor; 등급 비중 83% × 코호트 15.0% + 등급없음 17% × 최근 4분기 실측 OPM 중위 11.6%) + 회사 캘리브레이션 -2.2%p(최근 4분기 실측−타겟 중위))</t>
      </text>
    </comment>
    <comment ref="AN23" authorId="0" shapeId="0">
      <text>
        <t>모델값 역산(implied): v / 매출액
매출액 × OPM(SLS 코호트 타겟 14.4%(코호트 모드 reference_anchor; 등급 비중 83% × 코호트 15.0% + 등급없음 17% × 최근 4분기 실측 OPM 중위 11.6%) + 회사 캘리브레이션 -2.2%p(최근 4분기 실측−타겟 중위))</t>
      </text>
    </comment>
    <comment ref="AC24" authorId="0" shapeId="0">
      <text>
        <t>모델값 역산(implied): v / 전년동기 − 1
SLS 코호트 타겟 14.2%(코호트 모드 reference_anchor; 등급 비중 82% × 코호트 14.8% + 등급없음 18% × 최근 4분기 실측 OPM 중위 11.6%) + 회사 캘리브레이션 -2.2%p(최근 4분기 실측−타겟 중위)</t>
      </text>
    </comment>
    <comment ref="AD24" authorId="0" shapeId="0">
      <text>
        <t>모델값 역산(implied): v / 전년동기 − 1
SLS 코호트 타겟 14.2%(코호트 모드 reference_anchor; 등급 비중 82% × 코호트 14.8% + 등급없음 18% × 최근 4분기 실측 OPM 중위 11.6%) + 회사 캘리브레이션 -2.2%p(최근 4분기 실측−타겟 중위)</t>
      </text>
    </comment>
    <comment ref="AF24" authorId="0" shapeId="0">
      <text>
        <t>모델값 역산(implied): v / 전년동기 − 1
SLS 코호트 타겟 14.3%(코호트 모드 reference_anchor; 등급 비중 81% × 코호트 14.9% + 등급없음 19% × 최근 4분기 실측 OPM 중위 11.6%) + 회사 캘리브레이션 -2.2%p(최근 4분기 실측−타겟 중위)</t>
      </text>
    </comment>
    <comment ref="AG24" authorId="0" shapeId="0">
      <text>
        <t>모델값 역산(implied): v / 전년동기 − 1
SLS 코호트 타겟 14.4%(코호트 모드 reference_anchor; 등급 비중 83% × 코호트 15.0% + 등급없음 17% × 최근 4분기 실측 OPM 중위 11.6%) + 회사 캘리브레이션 -2.2%p(최근 4분기 실측−타겟 중위)</t>
      </text>
    </comment>
    <comment ref="AH24" authorId="0" shapeId="0">
      <text>
        <t>모델값 역산(implied): v / 전년동기 − 1
SLS 코호트 타겟 14.4%(코호트 모드 reference_anchor; 등급 비중 83% × 코호트 15.0% + 등급없음 17% × 최근 4분기 실측 OPM 중위 11.6%) + 회사 캘리브레이션 -2.2%p(최근 4분기 실측−타겟 중위)</t>
      </text>
    </comment>
    <comment ref="AI24" authorId="0" shapeId="0">
      <text>
        <t>모델값 역산(implied): v / 전년동기 − 1
SLS 코호트 타겟 14.4%(코호트 모드 reference_anchor; 등급 비중 83% × 코호트 15.0% + 등급없음 17% × 최근 4분기 실측 OPM 중위 11.6%) + 회사 캘리브레이션 -2.2%p(최근 4분기 실측−타겟 중위)</t>
      </text>
    </comment>
    <comment ref="AK24" authorId="0" shapeId="0">
      <text>
        <t>모델값 역산(implied): v / 전년동기 − 1
SLS 코호트 타겟 14.5%(코호트 모드 reference_anchor; 등급 비중 84% × 코호트 15.0% + 등급없음 16% × 최근 4분기 실측 OPM 중위 11.6%) + 회사 캘리브레이션 -2.2%p(최근 4분기 실측−타겟 중위)</t>
      </text>
    </comment>
    <comment ref="AL24" authorId="0" shapeId="0">
      <text>
        <t>모델값 역산(implied): v / 전년동기 − 1
SLS 코호트 타겟 14.5%(코호트 모드 reference_anchor; 등급 비중 84% × 코호트 15.0% + 등급없음 16% × 최근 4분기 실측 OPM 중위 11.6%) + 회사 캘리브레이션 -2.2%p(최근 4분기 실측−타겟 중위)</t>
      </text>
    </comment>
    <comment ref="AM24" authorId="0" shapeId="0">
      <text>
        <t>모델값 역산(implied): v / 전년동기 − 1
SLS 코호트 타겟 14.4%(코호트 모드 reference_anchor; 등급 비중 83% × 코호트 15.0% + 등급없음 17% × 최근 4분기 실측 OPM 중위 11.6%) + 회사 캘리브레이션 -2.2%p(최근 4분기 실측−타겟 중위)</t>
      </text>
    </comment>
    <comment ref="AN24" authorId="0" shapeId="0">
      <text>
        <t>모델값 역산(implied): v / 전년동기 − 1
SLS 코호트 타겟 14.4%(코호트 모드 reference_anchor; 등급 비중 83% × 코호트 15.0% + 등급없음 17% × 최근 4분기 실측 OPM 중위 11.6%) + 회사 캘리브레이션 -2.2%p(최근 4분기 실측−타겟 중위)</t>
      </text>
    </comment>
    <comment ref="AC25" authorId="0" shapeId="0">
      <text>
        <t>모델값 역산(implied): 모델 v 그대로
이자손익 + 외환손익 0 + 파생상품손익 0 + 기타금융손익 +2.92억(최근 4분기(2025Q3~2026Q2) 잔차 중위) (항등식); 이자손익 = 이자발생자산 15070억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+2.92억(최근 4분기(2025Q3~2026Q2) 잔차 중위) (항등식); 이자손익 = 이자발생자산 18686억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+2.92억(최근 4분기(2025Q3~2026Q2) 잔차 중위) (항등식); 이자손익 = 이자발생자산 22432억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+2.92억(최근 4분기(2025Q3~2026Q2) 잔차 중위) (항등식); 이자손익 = 이자발생자산 26154억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+2.92억(최근 4분기(2025Q3~2026Q2) 잔차 중위) (항등식); 이자손익 = 이자발생자산 29947억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+2.92억(최근 4분기(2025Q3~2026Q2) 잔차 중위) (항등식); 이자손익 = 이자발생자산 33803억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+2.92억(최근 4분기(2025Q3~2026Q2) 잔차 중위) (항등식); 이자손익 = 이자발생자산 37698억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+2.92억(최근 4분기(2025Q3~2026Q2) 잔차 중위) (항등식); 이자손익 = 이자발생자산 41648억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+2.92억(최근 4분기(2025Q3~2026Q2) 잔차 중위) (항등식); 이자손익 = 이자발생자산 44269억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+2.92억(최근 4분기(2025Q3~2026Q2) 잔차 중위) (항등식); 이자손익 = 이자발생자산 45690억 × 7.20%(주석 이자수익 ÷ 평균 이자발생자산(2025Q3~2026Q2)) − 총차입금 5940억 × 8.40%(주석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15070억 × 7.20%(주석 이자수익 ÷ 평균 이자발생자산(2025Q3~2026Q2)) − 총차입금 5940억 × 8.40%(주석 이자비용 ÷ 평균 총차입금(2025Q3~2026Q2)) (연율) ÷ 4</t>
      </text>
    </comment>
    <comment ref="AD26" authorId="0" shapeId="0">
      <text>
        <t>모델값 역산(implied): 모델 v 그대로
이자발생자산 18686억 × 7.20%(주석 이자수익 ÷ 평균 이자발생자산(2025Q3~2026Q2)) − 총차입금 5940억 × 8.40%(주석 이자비용 ÷ 평균 총차입금(2025Q3~2026Q2)) (연율) ÷ 4</t>
      </text>
    </comment>
    <comment ref="AF26" authorId="0" shapeId="0">
      <text>
        <t>모델값 역산(implied): 모델 v 그대로
이자발생자산 22432억 × 7.20%(주석 이자수익 ÷ 평균 이자발생자산(2025Q3~2026Q2)) − 총차입금 5940억 × 8.40%(주석 이자비용 ÷ 평균 총차입금(2025Q3~2026Q2)) (연율) ÷ 4</t>
      </text>
    </comment>
    <comment ref="AG26" authorId="0" shapeId="0">
      <text>
        <t>모델값 역산(implied): 모델 v 그대로
이자발생자산 26154억 × 7.20%(주석 이자수익 ÷ 평균 이자발생자산(2025Q3~2026Q2)) − 총차입금 5940억 × 8.40%(주석 이자비용 ÷ 평균 총차입금(2025Q3~2026Q2)) (연율) ÷ 4</t>
      </text>
    </comment>
    <comment ref="AH26" authorId="0" shapeId="0">
      <text>
        <t>모델값 역산(implied): 모델 v 그대로
이자발생자산 29947억 × 7.20%(주석 이자수익 ÷ 평균 이자발생자산(2025Q3~2026Q2)) − 총차입금 5940억 × 8.40%(주석 이자비용 ÷ 평균 총차입금(2025Q3~2026Q2)) (연율) ÷ 4</t>
      </text>
    </comment>
    <comment ref="AI26" authorId="0" shapeId="0">
      <text>
        <t>모델값 역산(implied): 모델 v 그대로
이자발생자산 33803억 × 7.20%(주석 이자수익 ÷ 평균 이자발생자산(2025Q3~2026Q2)) − 총차입금 5940억 × 8.40%(주석 이자비용 ÷ 평균 총차입금(2025Q3~2026Q2)) (연율) ÷ 4</t>
      </text>
    </comment>
    <comment ref="AK26" authorId="0" shapeId="0">
      <text>
        <t>모델값 역산(implied): 모델 v 그대로
이자발생자산 37698억 × 7.20%(주석 이자수익 ÷ 평균 이자발생자산(2025Q3~2026Q2)) − 총차입금 5940억 × 8.40%(주석 이자비용 ÷ 평균 총차입금(2025Q3~2026Q2)) (연율) ÷ 4</t>
      </text>
    </comment>
    <comment ref="AL26" authorId="0" shapeId="0">
      <text>
        <t>모델값 역산(implied): 모델 v 그대로
이자발생자산 41648억 × 7.20%(주석 이자수익 ÷ 평균 이자발생자산(2025Q3~2026Q2)) − 총차입금 5940억 × 8.40%(주석 이자비용 ÷ 평균 총차입금(2025Q3~2026Q2)) (연율) ÷ 4</t>
      </text>
    </comment>
    <comment ref="AM26" authorId="0" shapeId="0">
      <text>
        <t>모델값 역산(implied): 모델 v 그대로
이자발생자산 44269억 × 7.20%(주석 이자수익 ÷ 평균 이자발생자산(2025Q3~2026Q2)) − 총차입금 5940억 × 8.40%(주석 이자비용 ÷ 평균 총차입금(2025Q3~2026Q2)) (연율) ÷ 4</t>
      </text>
    </comment>
    <comment ref="AN26" authorId="0" shapeId="0">
      <text>
        <t>모델값 역산(implied): 모델 v 그대로
이자발생자산 45690억 × 7.20%(주석 이자수익 ÷ 평균 이자발생자산(2025Q3~2026Q2)) − 총차입금 5940억 × 8.40%(주석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4분기(2025Q3~2026Q2) 잔차 중위</t>
      </text>
    </comment>
    <comment ref="AD29" authorId="0" shapeId="0">
      <text>
        <t>모델값 역산(implied): v / 전년동기 − 1
최근 4분기(2025Q3~2026Q2) 잔차 중위</t>
      </text>
    </comment>
    <comment ref="AF29" authorId="0" shapeId="0">
      <text>
        <t>모델값 역산(implied): v / 전년동기 − 1
최근 4분기(2025Q3~2026Q2) 잔차 중위</t>
      </text>
    </comment>
    <comment ref="AG29" authorId="0" shapeId="0">
      <text>
        <t>모델값 역산(implied): v / 전년동기 − 1
최근 4분기(2025Q3~2026Q2) 잔차 중위</t>
      </text>
    </comment>
    <comment ref="AH29" authorId="0" shapeId="0">
      <text>
        <t>모델값 역산(implied): v / 전년동기 − 1
최근 4분기(2025Q3~2026Q2) 잔차 중위</t>
      </text>
    </comment>
    <comment ref="AI29" authorId="0" shapeId="0">
      <text>
        <t>모델값 역산(implied): v / 전년동기 − 1
최근 4분기(2025Q3~2026Q2) 잔차 중위</t>
      </text>
    </comment>
    <comment ref="AK29" authorId="0" shapeId="0">
      <text>
        <t>모델값 역산(implied): v / 전년동기 − 1
최근 4분기(2025Q3~2026Q2) 잔차 중위</t>
      </text>
    </comment>
    <comment ref="AL29" authorId="0" shapeId="0">
      <text>
        <t>모델값 역산(implied): v / 전년동기 − 1
최근 4분기(2025Q3~2026Q2) 잔차 중위</t>
      </text>
    </comment>
    <comment ref="AM29" authorId="0" shapeId="0">
      <text>
        <t>모델값 역산(implied): v / 전년동기 − 1
최근 4분기(2025Q3~2026Q2) 잔차 중위</t>
      </text>
    </comment>
    <comment ref="AN29" authorId="0" shapeId="0">
      <text>
        <t>모델값 역산(implied): v / 전년동기 − 1
최근 4분기(2025Q3~2026Q2) 잔차 중위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D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F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G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H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I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K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L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M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N32" authorId="0" shapeId="0">
      <text>
        <t>모델값 역산(implied): v / 세전이익
max(세전, 0) × 세율 22.0%(최근 12분기 유효세율 -42.9% 가 5~27% 밖; 세전 &gt; 0 분기 중위 0.7% 도 5~27% 밖 → 법정세율 근사 22% 가정)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C45" authorId="0" shapeId="0">
      <text>
        <t>모델값 역산(implied): v / 전년동기 − 1
현재 종가 ÷ TTM EPS(추정 포함)</t>
      </text>
    </comment>
    <comment ref="AD45" authorId="0" shapeId="0">
      <text>
        <t>모델값 역산(implied): v / 전년동기 − 1
현재 종가 ÷ TTM EPS(추정 포함)</t>
      </text>
    </comment>
    <comment ref="AF45" authorId="0" shapeId="0">
      <text>
        <t>모델값 역산(implied): v / 전년동기 − 1
현재 종가 ÷ TTM EPS(추정 포함)</t>
      </text>
    </comment>
    <comment ref="AG45" authorId="0" shapeId="0">
      <text>
        <t>모델값 역산(implied): v / 전년동기 − 1
현재 종가 ÷ TTM EPS(추정 포함)</t>
      </text>
    </comment>
    <comment ref="AH45" authorId="0" shapeId="0">
      <text>
        <t>모델값 역산(implied): v / 전년동기 − 1
현재 종가 ÷ TTM EPS(추정 포함)</t>
      </text>
    </comment>
    <comment ref="AI45" authorId="0" shapeId="0">
      <text>
        <t>모델값 역산(implied): v / 전년동기 − 1
현재 종가 ÷ TTM EPS(추정 포함)</t>
      </text>
    </comment>
    <comment ref="AK45" authorId="0" shapeId="0">
      <text>
        <t>모델값 역산(implied): v / 전년동기 − 1
현재 종가 ÷ TTM EPS(추정 포함)</t>
      </text>
    </comment>
    <comment ref="AL45" authorId="0" shapeId="0">
      <text>
        <t>모델값 역산(implied): v / 전년동기 − 1
현재 종가 ÷ TTM EPS(추정 포함)</t>
      </text>
    </comment>
    <comment ref="AM45" authorId="0" shapeId="0">
      <text>
        <t>모델값 역산(implied): v / 전년동기 − 1
현재 종가 ÷ TTM EPS(추정 포함)</t>
      </text>
    </comment>
    <comment ref="AN45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SLS 해양 원화 14723억(sls.by_quarter.marine_hedged_krw_m(헤지 17% 적용)) + 원장 밖 잔고 소진 26161억(최근 4분기 '부문매출−SLS' 중위 26161억/분기, 잔여 169302억)</t>
      </text>
    </comment>
    <comment ref="AD47" authorId="0" shapeId="0">
      <text>
        <t>모델값 역산(implied): v / 매출액
SLS 해양 원화 15541억(sls.by_quarter.marine_hedged_krw_m(헤지 17% 적용)) + 원장 밖 잔고 소진 26161억(최근 4분기 '부문매출−SLS' 중위 26161억/분기, 잔여 143141억)</t>
      </text>
    </comment>
    <comment ref="AF47" authorId="0" shapeId="0">
      <text>
        <t>모델값 역산(implied): v / 매출액
SLS 해양 원화 14448억(sls.by_quarter.marine_hedged_krw_m(헤지 17% 적용)) + 원장 밖 잔고 소진 26161억(최근 4분기 '부문매출−SLS' 중위 26161억/분기, 잔여 116980억)</t>
      </text>
    </comment>
    <comment ref="AG47" authorId="0" shapeId="0">
      <text>
        <t>모델값 역산(implied): v / 매출액
SLS 해양 원화 14168억(sls.by_quarter.marine_hedged_krw_m(헤지 17% 적용)) + 원장 밖 잔고 소진 26161억(최근 4분기 '부문매출−SLS' 중위 26161억/분기, 잔여 90819억)</t>
      </text>
    </comment>
    <comment ref="AH47" authorId="0" shapeId="0">
      <text>
        <t>모델값 역산(implied): v / 매출액
SLS 해양 원화 14258억(sls.by_quarter.marine_hedged_krw_m(헤지 17% 적용)) + 원장 밖 잔고 소진 26161억(최근 4분기 '부문매출−SLS' 중위 26161억/분기, 잔여 64658억)</t>
      </text>
    </comment>
    <comment ref="AI47" authorId="0" shapeId="0">
      <text>
        <t>모델값 역산(implied): v / 매출액
SLS 해양 원화 14121억(sls.by_quarter.marine_hedged_krw_m(헤지 17% 적용)) + 원장 밖 잔고 소진 26161억(최근 4분기 '부문매출−SLS' 중위 26161억/분기, 잔여 38497억)</t>
      </text>
    </comment>
    <comment ref="AK47" authorId="0" shapeId="0">
      <text>
        <t>모델값 역산(implied): v / 매출액
SLS 해양 원화 13967억(sls.by_quarter.marine_hedged_krw_m(헤지 17% 적용)) + 원장 밖 잔고 소진 26161억(최근 4분기 '부문매출−SLS' 중위 26161억/분기, 잔여 12336억)</t>
      </text>
    </comment>
    <comment ref="AL47" authorId="0" shapeId="0">
      <text>
        <t>모델값 역산(implied): v / 매출액
SLS 해양 원화 13266억(sls.by_quarter.marine_hedged_krw_m(헤지 17% 적용)) + 원장 밖 잔고 소진 12336억(최근 4분기 '부문매출−SLS' 중위 26161억/분기, 잔여 0억)</t>
      </text>
    </comment>
    <comment ref="AM47" authorId="0" shapeId="0">
      <text>
        <t>모델값 역산(implied): v / 매출액
SLS 해양 원화 12665억(sls.by_quarter.marine_hedged_krw_m(헤지 17% 적용)) + 원장 밖 잔고 소진 0억(최근 4분기 '부문매출−SLS' 중위 26161억/분기, 잔여 0억)</t>
      </text>
    </comment>
    <comment ref="AN47" authorId="0" shapeId="0">
      <text>
        <t>모델값 역산(implied): v / 매출액
SLS 해양 원화 12463억(sls.by_quarter.marine_hedged_krw_m(헤지 17% 적용)) + 원장 밖 잔고 소진 0억(최근 4분기 '부문매출−SLS' 중위 26161억/분기, 잔여 0억)</t>
      </text>
    </comment>
    <comment ref="AC48" authorId="0" shapeId="0">
      <text>
        <t>모델값 역산(implied): v / 매출조선
매출조선 × 타겟 OPM(부문 OP 미공시 → 회사 OPM 적용)</t>
      </text>
    </comment>
    <comment ref="AD48" authorId="0" shapeId="0">
      <text>
        <t>모델값 역산(implied): v / 매출조선
매출조선 × 타겟 OPM(부문 OP 미공시 → 회사 OPM 적용)</t>
      </text>
    </comment>
    <comment ref="AF48" authorId="0" shapeId="0">
      <text>
        <t>모델값 역산(implied): v / 매출조선
매출조선 × 타겟 OPM(부문 OP 미공시 → 회사 OPM 적용)</t>
      </text>
    </comment>
    <comment ref="AG48" authorId="0" shapeId="0">
      <text>
        <t>모델값 역산(implied): v / 매출조선
매출조선 × 타겟 OPM(부문 OP 미공시 → 회사 OPM 적용)</t>
      </text>
    </comment>
    <comment ref="AH48" authorId="0" shapeId="0">
      <text>
        <t>모델값 역산(implied): v / 매출조선
매출조선 × 타겟 OPM(부문 OP 미공시 → 회사 OPM 적용)</t>
      </text>
    </comment>
    <comment ref="AI48" authorId="0" shapeId="0">
      <text>
        <t>모델값 역산(implied): v / 매출조선
매출조선 × 타겟 OPM(부문 OP 미공시 → 회사 OPM 적용)</t>
      </text>
    </comment>
    <comment ref="AK48" authorId="0" shapeId="0">
      <text>
        <t>모델값 역산(implied): v / 매출조선
매출조선 × 타겟 OPM(부문 OP 미공시 → 회사 OPM 적용)</t>
      </text>
    </comment>
    <comment ref="AL48" authorId="0" shapeId="0">
      <text>
        <t>모델값 역산(implied): v / 매출조선
매출조선 × 타겟 OPM(부문 OP 미공시 → 회사 OPM 적용)</t>
      </text>
    </comment>
    <comment ref="AM48" authorId="0" shapeId="0">
      <text>
        <t>모델값 역산(implied): v / 매출조선
매출조선 × 타겟 OPM(부문 OP 미공시 → 회사 OPM 적용)</t>
      </text>
    </comment>
    <comment ref="AN48" authorId="0" shapeId="0">
      <text>
        <t>모델값 역산(implied): v / 매출조선
매출조선 × 타겟 OPM(부문 OP 미공시 → 회사 OPM 적용)</t>
      </text>
    </comment>
    <comment ref="AC49" authorId="0" shapeId="0">
      <text>
        <t>모델값 역산(implied): v / 매출액
기타 부문(연결 − 조선 부문) 최근 4분기 중위 424억 유지</t>
      </text>
    </comment>
    <comment ref="AD49" authorId="0" shapeId="0">
      <text>
        <t>모델값 역산(implied): v / 매출액
기타 부문(연결 − 조선 부문) 최근 4분기 중위 424억 유지</t>
      </text>
    </comment>
    <comment ref="AF49" authorId="0" shapeId="0">
      <text>
        <t>모델값 역산(implied): v / 매출액
기타 부문(연결 − 조선 부문) 최근 4분기 중위 424억 유지</t>
      </text>
    </comment>
    <comment ref="AG49" authorId="0" shapeId="0">
      <text>
        <t>모델값 역산(implied): v / 매출액
기타 부문(연결 − 조선 부문) 최근 4분기 중위 424억 유지</t>
      </text>
    </comment>
    <comment ref="AH49" authorId="0" shapeId="0">
      <text>
        <t>모델값 역산(implied): v / 매출액
기타 부문(연결 − 조선 부문) 최근 4분기 중위 424억 유지</t>
      </text>
    </comment>
    <comment ref="AI49" authorId="0" shapeId="0">
      <text>
        <t>모델값 역산(implied): v / 매출액
기타 부문(연결 − 조선 부문) 최근 4분기 중위 424억 유지</t>
      </text>
    </comment>
    <comment ref="AK49" authorId="0" shapeId="0">
      <text>
        <t>모델값 역산(implied): v / 매출액
기타 부문(연결 − 조선 부문) 최근 4분기 중위 424억 유지</t>
      </text>
    </comment>
    <comment ref="AL49" authorId="0" shapeId="0">
      <text>
        <t>모델값 역산(implied): v / 매출액
기타 부문(연결 − 조선 부문) 최근 4분기 중위 424억 유지</t>
      </text>
    </comment>
    <comment ref="AM49" authorId="0" shapeId="0">
      <text>
        <t>모델값 역산(implied): v / 매출액
기타 부문(연결 − 조선 부문) 최근 4분기 중위 424억 유지</t>
      </text>
    </comment>
    <comment ref="AN49" authorId="0" shapeId="0">
      <text>
        <t>모델값 역산(implied): v / 매출액
기타 부문(연결 − 조선 부문) 최근 4분기 중위 424억 유지</t>
      </text>
    </comment>
    <comment ref="AC50" authorId="0" shapeId="0">
      <text>
        <t>모델값 역산(implied): v / 매출기타
매출기타 × 회사 OPM(부문 OP 미공시)</t>
      </text>
    </comment>
    <comment ref="AD50" authorId="0" shapeId="0">
      <text>
        <t>모델값 역산(implied): v / 매출기타
매출기타 × 회사 OPM(부문 OP 미공시)</t>
      </text>
    </comment>
    <comment ref="AF50" authorId="0" shapeId="0">
      <text>
        <t>모델값 역산(implied): v / 매출기타
매출기타 × 회사 OPM(부문 OP 미공시)</t>
      </text>
    </comment>
    <comment ref="AG50" authorId="0" shapeId="0">
      <text>
        <t>모델값 역산(implied): v / 매출기타
매출기타 × 회사 OPM(부문 OP 미공시)</t>
      </text>
    </comment>
    <comment ref="AH50" authorId="0" shapeId="0">
      <text>
        <t>모델값 역산(implied): v / 매출기타
매출기타 × 회사 OPM(부문 OP 미공시)</t>
      </text>
    </comment>
    <comment ref="AI50" authorId="0" shapeId="0">
      <text>
        <t>모델값 역산(implied): v / 매출기타
매출기타 × 회사 OPM(부문 OP 미공시)</t>
      </text>
    </comment>
    <comment ref="AK50" authorId="0" shapeId="0">
      <text>
        <t>모델값 역산(implied): v / 매출기타
매출기타 × 회사 OPM(부문 OP 미공시)</t>
      </text>
    </comment>
    <comment ref="AL50" authorId="0" shapeId="0">
      <text>
        <t>모델값 역산(implied): v / 매출기타
매출기타 × 회사 OPM(부문 OP 미공시)</t>
      </text>
    </comment>
    <comment ref="AM50" authorId="0" shapeId="0">
      <text>
        <t>모델값 역산(implied): v / 매출기타
매출기타 × 회사 OPM(부문 OP 미공시)</t>
      </text>
    </comment>
    <comment ref="AN50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[ratio]</t>
      </text>
    </comment>
    <comment ref="AD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[ratio]</t>
      </text>
    </comment>
    <comment ref="AF9" authorId="0" shapeId="0">
      <text>
        <t>추정: 매출액 × OPM(SLS 코호트 타겟 14.3%(코호트 모드 reference_anchor; 등급 비중 81% × 코호트 14.9% + 등급없음 19% × 최근 4분기 실측 OPM 중위 11.6%) + 회사 캘리브레이션 -2.2%p(최근 4분기 실측−타겟 중위))
[ratio]</t>
      </text>
    </comment>
    <comment ref="AG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[ratio]</t>
      </text>
    </comment>
    <comment ref="AH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[ratio]</t>
      </text>
    </comment>
    <comment ref="AI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[ratio]</t>
      </text>
    </comment>
    <comment ref="AK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[ratio]</t>
      </text>
    </comment>
    <comment ref="AL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[ratio]</t>
      </text>
    </comment>
    <comment ref="AM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[ratio]</t>
      </text>
    </comment>
    <comment ref="AN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[yoy]</t>
      </text>
    </comment>
    <comment ref="AD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[yoy]</t>
      </text>
    </comment>
    <comment ref="AF10" authorId="0" shapeId="0">
      <text>
        <t>추정: SLS 코호트 타겟 14.3%(코호트 모드 reference_anchor; 등급 비중 81% × 코호트 14.9% + 등급없음 19% × 최근 4분기 실측 OPM 중위 11.6%) + 회사 캘리브레이션 -2.2%p(최근 4분기 실측−타겟 중위)
[yoy]</t>
      </text>
    </comment>
    <comment ref="AG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[yoy]</t>
      </text>
    </comment>
    <comment ref="AH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[yoy]</t>
      </text>
    </comment>
    <comment ref="AI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[yoy]</t>
      </text>
    </comment>
    <comment ref="AK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[yoy]</t>
      </text>
    </comment>
    <comment ref="AL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[yoy]</t>
      </text>
    </comment>
    <comment ref="AM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[yoy]</t>
      </text>
    </comment>
    <comment ref="AN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[yoy]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15070억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18686억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22432억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26154억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29947억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33803억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37698억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41648억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44269억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45690억 × 7.20%(주석 이자수익 ÷ 평균 이자발생자산(2025Q3~2026Q2)) − 총차입금 5940억 × 8.40%(주석 이자비용 ÷ 평균 총차입금(2025Q3~2026Q2)) (연율) ÷ 4; 환율 효과는 환관련손익 행 별도
[abs]</t>
      </text>
    </comment>
    <comment ref="AC12" authorId="0" shapeId="0">
      <text>
        <t>추정: 이자발생자산 15070억 × 7.20%(주석 이자수익 ÷ 평균 이자발생자산(2025Q3~2026Q2)) − 총차입금 5940억 × 8.40%(주석 이자비용 ÷ 평균 총차입금(2025Q3~2026Q2)) (연율) ÷ 4
[abs]</t>
      </text>
    </comment>
    <comment ref="AD12" authorId="0" shapeId="0">
      <text>
        <t>추정: 이자발생자산 18686억 × 7.20%(주석 이자수익 ÷ 평균 이자발생자산(2025Q3~2026Q2)) − 총차입금 5940억 × 8.40%(주석 이자비용 ÷ 평균 총차입금(2025Q3~2026Q2)) (연율) ÷ 4
[abs]</t>
      </text>
    </comment>
    <comment ref="AF12" authorId="0" shapeId="0">
      <text>
        <t>추정: 이자발생자산 22432억 × 7.20%(주석 이자수익 ÷ 평균 이자발생자산(2025Q3~2026Q2)) − 총차입금 5940억 × 8.40%(주석 이자비용 ÷ 평균 총차입금(2025Q3~2026Q2)) (연율) ÷ 4
[abs]</t>
      </text>
    </comment>
    <comment ref="AG12" authorId="0" shapeId="0">
      <text>
        <t>추정: 이자발생자산 26154억 × 7.20%(주석 이자수익 ÷ 평균 이자발생자산(2025Q3~2026Q2)) − 총차입금 5940억 × 8.40%(주석 이자비용 ÷ 평균 총차입금(2025Q3~2026Q2)) (연율) ÷ 4
[abs]</t>
      </text>
    </comment>
    <comment ref="AH12" authorId="0" shapeId="0">
      <text>
        <t>추정: 이자발생자산 29947억 × 7.20%(주석 이자수익 ÷ 평균 이자발생자산(2025Q3~2026Q2)) − 총차입금 5940억 × 8.40%(주석 이자비용 ÷ 평균 총차입금(2025Q3~2026Q2)) (연율) ÷ 4
[abs]</t>
      </text>
    </comment>
    <comment ref="AI12" authorId="0" shapeId="0">
      <text>
        <t>추정: 이자발생자산 33803억 × 7.20%(주석 이자수익 ÷ 평균 이자발생자산(2025Q3~2026Q2)) − 총차입금 5940억 × 8.40%(주석 이자비용 ÷ 평균 총차입금(2025Q3~2026Q2)) (연율) ÷ 4
[abs]</t>
      </text>
    </comment>
    <comment ref="AK12" authorId="0" shapeId="0">
      <text>
        <t>추정: 이자발생자산 37698억 × 7.20%(주석 이자수익 ÷ 평균 이자발생자산(2025Q3~2026Q2)) − 총차입금 5940억 × 8.40%(주석 이자비용 ÷ 평균 총차입금(2025Q3~2026Q2)) (연율) ÷ 4
[abs]</t>
      </text>
    </comment>
    <comment ref="AL12" authorId="0" shapeId="0">
      <text>
        <t>추정: 이자발생자산 41648억 × 7.20%(주석 이자수익 ÷ 평균 이자발생자산(2025Q3~2026Q2)) − 총차입금 5940억 × 8.40%(주석 이자비용 ÷ 평균 총차입금(2025Q3~2026Q2)) (연율) ÷ 4
[abs]</t>
      </text>
    </comment>
    <comment ref="AM12" authorId="0" shapeId="0">
      <text>
        <t>추정: 이자발생자산 44269억 × 7.20%(주석 이자수익 ÷ 평균 이자발생자산(2025Q3~2026Q2)) − 총차입금 5940억 × 8.40%(주석 이자비용 ÷ 평균 총차입금(2025Q3~2026Q2)) (연율) ÷ 4
[abs]</t>
      </text>
    </comment>
    <comment ref="AN12" authorId="0" shapeId="0">
      <text>
        <t>추정: 이자발생자산 45690억 × 7.20%(주석 이자수익 ÷ 평균 이자발생자산(2025Q3~2026Q2)) − 총차입금 5940억 × 8.40%(주석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4분기(2025Q3~2026Q2) 잔차 중위
[yoy]</t>
      </text>
    </comment>
    <comment ref="AD15" authorId="0" shapeId="0">
      <text>
        <t>추정: 최근 4분기(2025Q3~2026Q2) 잔차 중위
[yoy]</t>
      </text>
    </comment>
    <comment ref="AF15" authorId="0" shapeId="0">
      <text>
        <t>추정: 최근 4분기(2025Q3~2026Q2) 잔차 중위
[yoy]</t>
      </text>
    </comment>
    <comment ref="AG15" authorId="0" shapeId="0">
      <text>
        <t>추정: 최근 4분기(2025Q3~2026Q2) 잔차 중위
[yoy]</t>
      </text>
    </comment>
    <comment ref="AH15" authorId="0" shapeId="0">
      <text>
        <t>추정: 최근 4분기(2025Q3~2026Q2) 잔차 중위
[yoy]</t>
      </text>
    </comment>
    <comment ref="AI15" authorId="0" shapeId="0">
      <text>
        <t>추정: 최근 4분기(2025Q3~2026Q2) 잔차 중위
[yoy]</t>
      </text>
    </comment>
    <comment ref="AK15" authorId="0" shapeId="0">
      <text>
        <t>추정: 최근 4분기(2025Q3~2026Q2) 잔차 중위
[yoy]</t>
      </text>
    </comment>
    <comment ref="AL15" authorId="0" shapeId="0">
      <text>
        <t>추정: 최근 4분기(2025Q3~2026Q2) 잔차 중위
[yoy]</t>
      </text>
    </comment>
    <comment ref="AM15" authorId="0" shapeId="0">
      <text>
        <t>추정: 최근 4분기(2025Q3~2026Q2) 잔차 중위
[yoy]</t>
      </text>
    </comment>
    <comment ref="AN15" authorId="0" shapeId="0">
      <text>
        <t>추정: 최근 4분기(2025Q3~2026Q2) 잔차 중위
[yoy]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D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F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G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H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I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K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L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M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N19" authorId="0" shapeId="0">
      <text>
        <t>추정: max(세전, 0) × 세율 22.0%(최근 12분기 유효세율 -42.9% 가 5~27% 밖; 세전 &gt; 0 분기 중위 0.7%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Q31" authorId="0" shapeId="0">
      <text>
        <t>실측(계정 매핑 없음 — 모델값 직접) — fin.cons.cf.영업활동으로인한현금흐름</t>
      </text>
    </comment>
    <comment ref="R31" authorId="0" shapeId="0">
      <text>
        <t>실측(계정 매핑 없음 — 모델값 직접) — fin.cons.cf.영업활동으로인한현금흐름</t>
      </text>
    </comment>
    <comment ref="S31" authorId="0" shapeId="0">
      <text>
        <t>실측(계정 매핑 없음 — 모델값 직접) — fin.cons.cf.영업활동으로인한현금흐름</t>
      </text>
    </comment>
    <comment ref="T31" authorId="0" shapeId="0">
      <text>
        <t>실측(계정 매핑 없음 — 모델값 직접) — fin.cons.cf.영업활동으로인한현금흐름</t>
      </text>
    </comment>
    <comment ref="V31" authorId="0" shapeId="0">
      <text>
        <t>실측(계정 매핑 없음 — 모델값 직접) — fin.cons.cf.영업활동으로인한현금흐름</t>
      </text>
    </comment>
    <comment ref="W31" authorId="0" shapeId="0">
      <text>
        <t>실측(계정 매핑 없음 — 모델값 직접) — fin.cons.cf.영업활동으로인한현금흐름</t>
      </text>
    </comment>
    <comment ref="X31" authorId="0" shapeId="0">
      <text>
        <t>실측(계정 매핑 없음 — 모델값 직접) — fin.cons.cf.영업활동으로인한현금흐름</t>
      </text>
    </comment>
    <comment ref="Y31" authorId="0" shapeId="0">
      <text>
        <t>실측(계정 매핑 없음 — 모델값 직접) — fin.cons.cf.영업활동으로인한현금흐름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추정(가정 셀 참조 불가 — 기준값 없음, 모델값 직접): 직전 결산 DPS 0원 유지</t>
      </text>
    </comment>
    <comment ref="AI35" authorId="0" shapeId="0">
      <text>
        <t>추정(가정 셀 참조 불가 — 기준값 없음, 모델값 직접): 직전 결산 DPS 0원 유지</t>
      </text>
    </comment>
    <comment ref="AN35" authorId="0" shapeId="0">
      <text>
        <t>추정(가정 셀 참조 불가 — 기준값 없음, 모델값 직접): 직전 결산 DPS 0원 유지</t>
      </text>
    </comment>
    <comment ref="Q36" authorId="0" shapeId="0">
      <text>
        <t>실측(계정 매핑 없음 — 모델값 직접) — 토스 일봉 분기 평균 ÷ TTM EPS</t>
      </text>
    </comment>
    <comment ref="R36" authorId="0" shapeId="0">
      <text>
        <t>실측(계정 매핑 없음 — 모델값 직접) — 토스 일봉 분기 평균 ÷ TTM EPS</t>
      </text>
    </comment>
    <comment ref="S36" authorId="0" shapeId="0">
      <text>
        <t>실측(계정 매핑 없음 — 모델값 직접) — 토스 일봉 분기 평균 ÷ TTM EPS</t>
      </text>
    </comment>
    <comment ref="T36" authorId="0" shapeId="0">
      <text>
        <t>실측(계정 매핑 없음 — 모델값 직접) — 토스 일봉 분기 평균 ÷ TTM EPS</t>
      </text>
    </comment>
    <comment ref="V36" authorId="0" shapeId="0">
      <text>
        <t>실측(계정 매핑 없음 — 모델값 직접) — 토스 일봉 분기 평균 ÷ TTM EPS</t>
      </text>
    </comment>
    <comment ref="W36" authorId="0" shapeId="0">
      <text>
        <t>실측(계정 매핑 없음 — 모델값 직접) — 토스 일봉 분기 평균 ÷ TTM EPS</t>
      </text>
    </comment>
    <comment ref="X36" authorId="0" shapeId="0">
      <text>
        <t>실측(계정 매핑 없음 — 모델값 직접) — 토스 일봉 분기 평균 ÷ TTM EPS</t>
      </text>
    </comment>
    <comment ref="Y36" authorId="0" shapeId="0">
      <text>
        <t>실측(계정 매핑 없음 — 모델값 직접) — 토스 일봉 분기 평균 ÷ TTM EPS</t>
      </text>
    </comment>
    <comment ref="AA36" authorId="0" shapeId="0">
      <text>
        <t>실측(계정 매핑 없음 — 모델값 직접) — 토스 일봉 분기 평균 ÷ TTM EPS</t>
      </text>
    </comment>
    <comment ref="AB36" authorId="0" shapeId="0">
      <text>
        <t>실측(계정 매핑 없음 — 모델값 직접) — 토스 일봉 분기 평균 ÷ TTM EPS</t>
      </text>
    </comment>
    <comment ref="AC36" authorId="0" shapeId="0">
      <text>
        <t>추정: 현재 종가 ÷ TTM EPS(추정 포함)
[yoy]</t>
      </text>
    </comment>
    <comment ref="AD36" authorId="0" shapeId="0">
      <text>
        <t>추정: 현재 종가 ÷ TTM EPS(추정 포함)
[yoy]</t>
      </text>
    </comment>
    <comment ref="AF36" authorId="0" shapeId="0">
      <text>
        <t>추정: 현재 종가 ÷ TTM EPS(추정 포함)
[yoy]</t>
      </text>
    </comment>
    <comment ref="AG36" authorId="0" shapeId="0">
      <text>
        <t>추정: 현재 종가 ÷ TTM EPS(추정 포함)
[yoy]</t>
      </text>
    </comment>
    <comment ref="AH36" authorId="0" shapeId="0">
      <text>
        <t>추정: 현재 종가 ÷ TTM EPS(추정 포함)
[yoy]</t>
      </text>
    </comment>
    <comment ref="AI36" authorId="0" shapeId="0">
      <text>
        <t>추정: 현재 종가 ÷ TTM EPS(추정 포함)
[yoy]</t>
      </text>
    </comment>
    <comment ref="AK36" authorId="0" shapeId="0">
      <text>
        <t>추정: 현재 종가 ÷ TTM EPS(추정 포함)
[yoy]</t>
      </text>
    </comment>
    <comment ref="AL36" authorId="0" shapeId="0">
      <text>
        <t>추정: 현재 종가 ÷ TTM EPS(추정 포함)
[yoy]</t>
      </text>
    </comment>
    <comment ref="AM36" authorId="0" shapeId="0">
      <text>
        <t>추정: 현재 종가 ÷ TTM EPS(추정 포함)
[yoy]</t>
      </text>
    </comment>
    <comment ref="AN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G38" authorId="0" shapeId="0">
      <text>
        <t>실측(계정 매핑 없음 — 모델값 직접) — sls.reconcile.reported_segment_rev_m ← yards_cache 부문표(3개월분)</t>
      </text>
    </comment>
    <comment ref="H38" authorId="0" shapeId="0">
      <text>
        <t>실측(계정 매핑 없음 — 모델값 직접) — sls.reconcile.reported_segment_rev_m ← yards_cache 부문표(3개월분)</t>
      </text>
    </comment>
    <comment ref="I38" authorId="0" shapeId="0">
      <text>
        <t>실측(계정 매핑 없음 — 모델값 직접) — sls.reconcile.reported_segment_rev_m ← yards_cache 부문표(3개월분)</t>
      </text>
    </comment>
    <comment ref="J38" authorId="0" shapeId="0">
      <text>
        <t>실측(계정 매핑 없음 — 모델값 직접) — sls.reconcile.reported_segment_rev_m ← yards_cache 부문표(3개월분)</t>
      </text>
    </comment>
    <comment ref="L38" authorId="0" shapeId="0">
      <text>
        <t>실측(계정 매핑 없음 — 모델값 직접) — sls.reconcile.reported_segment_rev_m ← yards_cache 부문표(3개월분)</t>
      </text>
    </comment>
    <comment ref="M38" authorId="0" shapeId="0">
      <text>
        <t>실측(계정 매핑 없음 — 모델값 직접) — sls.reconcile.reported_segment_rev_m ← yards_cache 부문표(3개월분)</t>
      </text>
    </comment>
    <comment ref="N38" authorId="0" shapeId="0">
      <text>
        <t>실측(계정 매핑 없음 — 모델값 직접) — sls.reconcile.reported_segment_rev_m ← yards_cache 부문표(3개월분)</t>
      </text>
    </comment>
    <comment ref="O38" authorId="0" shapeId="0">
      <text>
        <t>실측(계정 매핑 없음 — 모델값 직접) — sls.reconcile.reported_segment_rev_m ← yards_cache 부문표(3개월분)</t>
      </text>
    </comment>
    <comment ref="Q38" authorId="0" shapeId="0">
      <text>
        <t>실측(계정 매핑 없음 — 모델값 직접) — sls.reconcile.reported_segment_rev_m ← yards_cache 부문표(3개월분)</t>
      </text>
    </comment>
    <comment ref="R38" authorId="0" shapeId="0">
      <text>
        <t>실측(계정 매핑 없음 — 모델값 직접) — sls.reconcile.reported_segment_rev_m ← yards_cache 부문표(3개월분)</t>
      </text>
    </comment>
    <comment ref="S38" authorId="0" shapeId="0">
      <text>
        <t>실측(계정 매핑 없음 — 모델값 직접) — sls.reconcile.reported_segment_rev_m ← yards_cache 부문표(3개월분)</t>
      </text>
    </comment>
    <comment ref="T38" authorId="0" shapeId="0">
      <text>
        <t>실측(계정 매핑 없음 — 모델값 직접) — sls.reconcile.reported_segment_rev_m ← yards_cache 부문표(3개월분)</t>
      </text>
    </comment>
    <comment ref="V38" authorId="0" shapeId="0">
      <text>
        <t>실측(계정 매핑 없음 — 모델값 직접) — sls.reconcile.reported_segment_rev_m ← yards_cache 부문표(3개월분)</t>
      </text>
    </comment>
    <comment ref="W38" authorId="0" shapeId="0">
      <text>
        <t>실측(계정 매핑 없음 — 모델값 직접) — sls.reconcile.reported_segment_rev_m ← yards_cache 부문표(3개월분)</t>
      </text>
    </comment>
    <comment ref="X38" authorId="0" shapeId="0">
      <text>
        <t>실측(계정 매핑 없음 — 모델값 직접) — sls.reconcile.reported_segment_rev_m ← yards_cache 부문표(3개월분)</t>
      </text>
    </comment>
    <comment ref="Y38" authorId="0" shapeId="0">
      <text>
        <t>실측(계정 매핑 없음 — 모델값 직접) — sls.reconcile.reported_segment_rev_m ← yards_cache 부문표(3개월분)</t>
      </text>
    </comment>
    <comment ref="AA38" authorId="0" shapeId="0">
      <text>
        <t>실측(계정 매핑 없음 — 모델값 직접) — sls.reconcile.reported_segment_rev_m ← yards_cache 부문표(3개월분)</t>
      </text>
    </comment>
    <comment ref="AB38" authorId="0" shapeId="0">
      <text>
        <t>실측(계정 매핑 없음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적용)) + 원장 밖 잔고 소진 26161억(최근 4분기 '부문매출−SLS' 중위 26161억/분기, 잔여 169302억)
[ratio]</t>
      </text>
    </comment>
    <comment ref="AD38" authorId="0" shapeId="0">
      <text>
        <t>추정: SLS 해양 원화 15541억(sls.by_quarter.marine_hedged_krw_m(헤지 17% 적용)) + 원장 밖 잔고 소진 26161억(최근 4분기 '부문매출−SLS' 중위 26161억/분기, 잔여 143141억)
[ratio]</t>
      </text>
    </comment>
    <comment ref="AF38" authorId="0" shapeId="0">
      <text>
        <t>추정: SLS 해양 원화 14448억(sls.by_quarter.marine_hedged_krw_m(헤지 17% 적용)) + 원장 밖 잔고 소진 26161억(최근 4분기 '부문매출−SLS' 중위 26161억/분기, 잔여 116980억)
[ratio]</t>
      </text>
    </comment>
    <comment ref="AG38" authorId="0" shapeId="0">
      <text>
        <t>추정: SLS 해양 원화 14168억(sls.by_quarter.marine_hedged_krw_m(헤지 17% 적용)) + 원장 밖 잔고 소진 26161억(최근 4분기 '부문매출−SLS' 중위 26161억/분기, 잔여 90819억)
[ratio]</t>
      </text>
    </comment>
    <comment ref="AH38" authorId="0" shapeId="0">
      <text>
        <t>추정: SLS 해양 원화 14258억(sls.by_quarter.marine_hedged_krw_m(헤지 17% 적용)) + 원장 밖 잔고 소진 26161억(최근 4분기 '부문매출−SLS' 중위 26161억/분기, 잔여 64658억)
[ratio]</t>
      </text>
    </comment>
    <comment ref="AI38" authorId="0" shapeId="0">
      <text>
        <t>추정: SLS 해양 원화 14121억(sls.by_quarter.marine_hedged_krw_m(헤지 17% 적용)) + 원장 밖 잔고 소진 26161억(최근 4분기 '부문매출−SLS' 중위 26161억/분기, 잔여 38497억)
[ratio]</t>
      </text>
    </comment>
    <comment ref="AK38" authorId="0" shapeId="0">
      <text>
        <t>추정: SLS 해양 원화 13967억(sls.by_quarter.marine_hedged_krw_m(헤지 17% 적용)) + 원장 밖 잔고 소진 26161억(최근 4분기 '부문매출−SLS' 중위 26161억/분기, 잔여 12336억)
[ratio]</t>
      </text>
    </comment>
    <comment ref="AL38" authorId="0" shapeId="0">
      <text>
        <t>추정: SLS 해양 원화 13266억(sls.by_quarter.marine_hedged_krw_m(헤지 17% 적용)) + 원장 밖 잔고 소진 12336억(최근 4분기 '부문매출−SLS' 중위 26161억/분기, 잔여 0억)
[ratio]</t>
      </text>
    </comment>
    <comment ref="AM38" authorId="0" shapeId="0">
      <text>
        <t>추정: SLS 해양 원화 12665억(sls.by_quarter.marine_hedged_krw_m(헤지 17% 적용)) + 원장 밖 잔고 소진 0억(최근 4분기 '부문매출−SLS' 중위 26161억/분기, 잔여 0억)
[ratio]</t>
      </text>
    </comment>
    <comment ref="AN38" authorId="0" shapeId="0">
      <text>
        <t>추정: SLS 해양 원화 12463억(sls.by_quarter.marine_hedged_krw_m(헤지 17% 적용)) + 원장 밖 잔고 소진 0억(최근 4분기 '부문매출−SLS' 중위 26161억/분기, 잔여 0억)
[ratio]</t>
      </text>
    </comment>
    <comment ref="AC39" authorId="0" shapeId="0">
      <text>
        <t>추정: 매출조선 × 타겟 OPM(부문 OP 미공시 → 회사 OPM 적용)
[ratio]</t>
      </text>
    </comment>
    <comment ref="AD39" authorId="0" shapeId="0">
      <text>
        <t>추정: 매출조선 × 타겟 OPM(부문 OP 미공시 → 회사 OPM 적용)
[ratio]</t>
      </text>
    </comment>
    <comment ref="AF39" authorId="0" shapeId="0">
      <text>
        <t>추정: 매출조선 × 타겟 OPM(부문 OP 미공시 → 회사 OPM 적용)
[ratio]</t>
      </text>
    </comment>
    <comment ref="AG39" authorId="0" shapeId="0">
      <text>
        <t>추정: 매출조선 × 타겟 OPM(부문 OP 미공시 → 회사 OPM 적용)
[ratio]</t>
      </text>
    </comment>
    <comment ref="AH39" authorId="0" shapeId="0">
      <text>
        <t>추정: 매출조선 × 타겟 OPM(부문 OP 미공시 → 회사 OPM 적용)
[ratio]</t>
      </text>
    </comment>
    <comment ref="AI39" authorId="0" shapeId="0">
      <text>
        <t>추정: 매출조선 × 타겟 OPM(부문 OP 미공시 → 회사 OPM 적용)
[ratio]</t>
      </text>
    </comment>
    <comment ref="AK39" authorId="0" shapeId="0">
      <text>
        <t>추정: 매출조선 × 타겟 OPM(부문 OP 미공시 → 회사 OPM 적용)
[ratio]</t>
      </text>
    </comment>
    <comment ref="AL39" authorId="0" shapeId="0">
      <text>
        <t>추정: 매출조선 × 타겟 OPM(부문 OP 미공시 → 회사 OPM 적용)
[ratio]</t>
      </text>
    </comment>
    <comment ref="AM39" authorId="0" shapeId="0">
      <text>
        <t>추정: 매출조선 × 타겟 OPM(부문 OP 미공시 → 회사 OPM 적용)
[ratio]</t>
      </text>
    </comment>
    <comment ref="AN39" authorId="0" shapeId="0">
      <text>
        <t>추정: 매출조선 × 타겟 OPM(부문 OP 미공시 → 회사 OPM 적용)
[ratio]</t>
      </text>
    </comment>
    <comment ref="G40" authorId="0" shapeId="0">
      <text>
        <t>실측(계정 매핑 없음 — 모델값 직접) — 연결 매출 − 조선 부문(파생)</t>
      </text>
    </comment>
    <comment ref="H40" authorId="0" shapeId="0">
      <text>
        <t>실측(계정 매핑 없음 — 모델값 직접) — 연결 매출 − 조선 부문(파생)</t>
      </text>
    </comment>
    <comment ref="I40" authorId="0" shapeId="0">
      <text>
        <t>실측(계정 매핑 없음 — 모델값 직접) — 연결 매출 − 조선 부문(파생)</t>
      </text>
    </comment>
    <comment ref="J40" authorId="0" shapeId="0">
      <text>
        <t>실측(계정 매핑 없음 — 모델값 직접) — 연결 매출 − 조선 부문(파생)</t>
      </text>
    </comment>
    <comment ref="L40" authorId="0" shapeId="0">
      <text>
        <t>실측(계정 매핑 없음 — 모델값 직접) — 연결 매출 − 조선 부문(파생)</t>
      </text>
    </comment>
    <comment ref="M40" authorId="0" shapeId="0">
      <text>
        <t>실측(계정 매핑 없음 — 모델값 직접) — 연결 매출 − 조선 부문(파생)</t>
      </text>
    </comment>
    <comment ref="N40" authorId="0" shapeId="0">
      <text>
        <t>실측(계정 매핑 없음 — 모델값 직접) — 연결 매출 − 조선 부문(파생)</t>
      </text>
    </comment>
    <comment ref="O40" authorId="0" shapeId="0">
      <text>
        <t>실측(계정 매핑 없음 — 모델값 직접) — 연결 매출 − 조선 부문(파생)</t>
      </text>
    </comment>
    <comment ref="Q40" authorId="0" shapeId="0">
      <text>
        <t>실측(계정 매핑 없음 — 모델값 직접) — 연결 매출 − 조선 부문(파생)</t>
      </text>
    </comment>
    <comment ref="R40" authorId="0" shapeId="0">
      <text>
        <t>실측(계정 매핑 없음 — 모델값 직접) — 연결 매출 − 조선 부문(파생)</t>
      </text>
    </comment>
    <comment ref="S40" authorId="0" shapeId="0">
      <text>
        <t>실측(계정 매핑 없음 — 모델값 직접) — 연결 매출 − 조선 부문(파생)</t>
      </text>
    </comment>
    <comment ref="T40" authorId="0" shapeId="0">
      <text>
        <t>실측(계정 매핑 없음 — 모델값 직접) — 연결 매출 − 조선 부문(파생)</t>
      </text>
    </comment>
    <comment ref="V40" authorId="0" shapeId="0">
      <text>
        <t>실측(계정 매핑 없음 — 모델값 직접) — 연결 매출 − 조선 부문(파생)</t>
      </text>
    </comment>
    <comment ref="W40" authorId="0" shapeId="0">
      <text>
        <t>실측(계정 매핑 없음 — 모델값 직접) — 연결 매출 − 조선 부문(파생)</t>
      </text>
    </comment>
    <comment ref="X40" authorId="0" shapeId="0">
      <text>
        <t>실측(계정 매핑 없음 — 모델값 직접) — 연결 매출 − 조선 부문(파생)</t>
      </text>
    </comment>
    <comment ref="Y40" authorId="0" shapeId="0">
      <text>
        <t>실측(계정 매핑 없음 — 모델값 직접) — 연결 매출 − 조선 부문(파생)</t>
      </text>
    </comment>
    <comment ref="AA40" authorId="0" shapeId="0">
      <text>
        <t>실측(계정 매핑 없음 — 모델값 직접) — 연결 매출 − 조선 부문(파생)</t>
      </text>
    </comment>
    <comment ref="AB40" authorId="0" shapeId="0">
      <text>
        <t>실측(계정 매핑 없음 — 모델값 직접) — 연결 매출 − 조선 부문(파생)</t>
      </text>
    </comment>
    <comment ref="AC40" authorId="0" shapeId="0">
      <text>
        <t>추정: 기타 부문(연결 − 조선 부문) 최근 4분기 중위 424억 유지
[ratio]</t>
      </text>
    </comment>
    <comment ref="AD40" authorId="0" shapeId="0">
      <text>
        <t>추정: 기타 부문(연결 − 조선 부문) 최근 4분기 중위 424억 유지
[ratio]</t>
      </text>
    </comment>
    <comment ref="AF40" authorId="0" shapeId="0">
      <text>
        <t>추정: 기타 부문(연결 − 조선 부문) 최근 4분기 중위 424억 유지
[ratio]</t>
      </text>
    </comment>
    <comment ref="AG40" authorId="0" shapeId="0">
      <text>
        <t>추정: 기타 부문(연결 − 조선 부문) 최근 4분기 중위 424억 유지
[ratio]</t>
      </text>
    </comment>
    <comment ref="AH40" authorId="0" shapeId="0">
      <text>
        <t>추정: 기타 부문(연결 − 조선 부문) 최근 4분기 중위 424억 유지
[ratio]</t>
      </text>
    </comment>
    <comment ref="AI40" authorId="0" shapeId="0">
      <text>
        <t>추정: 기타 부문(연결 − 조선 부문) 최근 4분기 중위 424억 유지
[ratio]</t>
      </text>
    </comment>
    <comment ref="AK40" authorId="0" shapeId="0">
      <text>
        <t>추정: 기타 부문(연결 − 조선 부문) 최근 4분기 중위 424억 유지
[ratio]</t>
      </text>
    </comment>
    <comment ref="AL40" authorId="0" shapeId="0">
      <text>
        <t>추정: 기타 부문(연결 − 조선 부문) 최근 4분기 중위 424억 유지
[ratio]</t>
      </text>
    </comment>
    <comment ref="AM40" authorId="0" shapeId="0">
      <text>
        <t>추정: 기타 부문(연결 − 조선 부문) 최근 4분기 중위 424억 유지
[ratio]</t>
      </text>
    </comment>
    <comment ref="AN40" authorId="0" shapeId="0">
      <text>
        <t>추정: 기타 부문(연결 − 조선 부문) 최근 4분기 중위 424억 유지
[ratio]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assets/models/042660.json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매출은 2026Q2 기준 잔고 소진분만 — 신규수주 매출 미포함(forecast_panel 042660 status partial(book_value_only, scope_unverified, insufficient_segment_history, insufficient_burn_history, insufficient_order_history, negative_net_inflow) — new_order_revenue 값 없음; 2028 감소는 이 한계). forecast_panel 모듈 참고 / 패널 신규 없음 → origin 이후 공시 수주 6건 44,707억은 선표(SLS)에 그대로 둠(유일한 신규수주 정보 — 제외하지 않음) / 감가상각비가 face·CF 에 없음(주석 미파싱) → EBITDA·EV/EBITDA 미산출 / 금융손익 실적→추정 단절: 최근 4분기 실적 +30/+489/-282/-827(중위 -126억) → 추정 2026Q3 +150억(차 +276억, +219%)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17.8, "op_wape_pct": 51.1,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2105.18, "op_act": 4410.65}, {"q": "2026Q2", "rev_pred": 31245.58, "rev_act": 54431.71, "op_pred": 2012.41,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67400</v>
      </c>
      <c r="W15" s="18" t="n">
        <v>80100</v>
      </c>
      <c r="X15" s="18" t="n">
        <v>110300</v>
      </c>
      <c r="Y15" s="18" t="n">
        <v>113700</v>
      </c>
      <c r="Z15" s="9" t="n"/>
      <c r="AA15" s="18" t="n">
        <v>120400</v>
      </c>
      <c r="AB15" s="19" t="n">
        <v>100600</v>
      </c>
      <c r="AC15" s="20" t="n">
        <v>78800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44331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96500</v>
      </c>
      <c r="X16" s="18" t="n">
        <v>126500</v>
      </c>
      <c r="Y16" s="18" t="n">
        <v>152400</v>
      </c>
      <c r="Z16" s="9" t="n"/>
      <c r="AA16" s="18" t="n">
        <v>154800</v>
      </c>
      <c r="AB16" s="19" t="n">
        <v>141900</v>
      </c>
      <c r="AC16" s="20" t="n">
        <v>123000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17413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60200</v>
      </c>
      <c r="X17" s="18" t="n">
        <v>71500</v>
      </c>
      <c r="Y17" s="18" t="n">
        <v>99500</v>
      </c>
      <c r="Z17" s="9" t="n"/>
      <c r="AA17" s="18" t="n">
        <v>95000</v>
      </c>
      <c r="AB17" s="19" t="n">
        <v>95500</v>
      </c>
      <c r="AC17" s="20" t="n">
        <v>71300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21658.6</v>
      </c>
      <c r="F18" s="9" t="n"/>
      <c r="G18" s="18" t="n">
        <v>20964</v>
      </c>
      <c r="H18" s="18" t="n">
        <v>20935.5</v>
      </c>
      <c r="I18" s="18" t="n">
        <v>18116.3</v>
      </c>
      <c r="J18" s="18" t="n">
        <v>16754.3</v>
      </c>
      <c r="K18" s="9" t="n"/>
      <c r="L18" s="18" t="n">
        <v>20254.8</v>
      </c>
      <c r="M18" s="18" t="n">
        <v>25770.2</v>
      </c>
      <c r="N18" s="18" t="n">
        <v>35815.7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79158.3</v>
      </c>
      <c r="X18" s="18" t="n">
        <v>101792.3</v>
      </c>
      <c r="Y18" s="18" t="n">
        <v>119074.6</v>
      </c>
      <c r="Z18" s="9" t="n"/>
      <c r="AA18" s="18" t="n">
        <v>133905.1</v>
      </c>
      <c r="AB18" s="19" t="n">
        <v>122039.3</v>
      </c>
      <c r="AC18" s="20" t="n">
        <v>86793.5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0.366302</v>
      </c>
      <c r="AD21" s="24" t="n">
        <v>0.267712</v>
      </c>
      <c r="AE21" s="25" t="n"/>
      <c r="AF21" s="24" t="n">
        <v>0.278313</v>
      </c>
      <c r="AG21" s="24" t="n">
        <v>-0.251301</v>
      </c>
      <c r="AH21" s="24" t="n">
        <v>-0.011276</v>
      </c>
      <c r="AI21" s="24" t="n">
        <v>-0.033707</v>
      </c>
      <c r="AJ21" s="25" t="n"/>
      <c r="AK21" s="24" t="n">
        <v>-0.011723</v>
      </c>
      <c r="AL21" s="24" t="n">
        <v>-0.361368</v>
      </c>
      <c r="AM21" s="24" t="n">
        <v>-0.6795330000000001</v>
      </c>
      <c r="AN21" s="24" t="n">
        <v>-0.683407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0.055591</v>
      </c>
      <c r="AD22" s="24" t="n">
        <v>0.055591</v>
      </c>
      <c r="AE22" s="25">
        <f>IFERROR(subQ!AE8/subQ!AE5,"")</f>
        <v/>
      </c>
      <c r="AF22" s="24" t="n">
        <v>0.055591</v>
      </c>
      <c r="AG22" s="24" t="n">
        <v>0.055591</v>
      </c>
      <c r="AH22" s="24" t="n">
        <v>0.055591</v>
      </c>
      <c r="AI22" s="24" t="n">
        <v>0.055591</v>
      </c>
      <c r="AJ22" s="25">
        <f>IFERROR(subQ!AJ8/subQ!AJ5,"")</f>
        <v/>
      </c>
      <c r="AK22" s="24" t="n">
        <v>0.055591</v>
      </c>
      <c r="AL22" s="24" t="n">
        <v>0.055591</v>
      </c>
      <c r="AM22" s="24" t="n">
        <v>0.055591</v>
      </c>
      <c r="AN22" s="24" t="n">
        <v>0.055591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0.11942</v>
      </c>
      <c r="AD23" s="24" t="n">
        <v>0.119546</v>
      </c>
      <c r="AE23" s="25">
        <f>IFERROR(subQ!AE9/subQ!AE5,"")</f>
        <v/>
      </c>
      <c r="AF23" s="24" t="n">
        <v>0.120312</v>
      </c>
      <c r="AG23" s="24" t="n">
        <v>0.121765</v>
      </c>
      <c r="AH23" s="24" t="n">
        <v>0.121772</v>
      </c>
      <c r="AI23" s="24" t="n">
        <v>0.121717</v>
      </c>
      <c r="AJ23" s="25">
        <f>IFERROR(subQ!AJ9/subQ!AJ5,"")</f>
        <v/>
      </c>
      <c r="AK23" s="24" t="n">
        <v>0.122175</v>
      </c>
      <c r="AL23" s="24" t="n">
        <v>0.122144</v>
      </c>
      <c r="AM23" s="24" t="n">
        <v>0.121824</v>
      </c>
      <c r="AN23" s="24" t="n">
        <v>0.12173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IFERROR(subQ!J43/subQ!E43-1,"")</f>
        <v/>
      </c>
      <c r="K24" s="22" t="n"/>
      <c r="L24" s="21">
        <f>IFERROR(subQ!L43/subQ!G43-1,"")</f>
        <v/>
      </c>
      <c r="M24" s="21">
        <f>IFERROR(subQ!M43/subQ!H43-1,"")</f>
        <v/>
      </c>
      <c r="N24" s="21">
        <f>IFERROR(subQ!N43/subQ!I43-1,"")</f>
        <v/>
      </c>
      <c r="O24" s="21">
        <f>IFERROR(subQ!O43/subQ!J43-1,"")</f>
        <v/>
      </c>
      <c r="P24" s="22" t="n"/>
      <c r="Q24" s="21">
        <f>IFERROR(subQ!Q43/subQ!L43-1,"")</f>
        <v/>
      </c>
      <c r="R24" s="21">
        <f>IFERROR(subQ!R43/subQ!M43-1,"")</f>
        <v/>
      </c>
      <c r="S24" s="21">
        <f>IFERROR(subQ!S43/subQ!N43-1,"")</f>
        <v/>
      </c>
      <c r="T24" s="21">
        <f>IFERROR(subQ!T43/subQ!O43-1,"")</f>
        <v/>
      </c>
      <c r="U24" s="22" t="n"/>
      <c r="V24" s="21">
        <f>IFERROR(subQ!V43/subQ!Q43-1,"")</f>
        <v/>
      </c>
      <c r="W24" s="21">
        <f>IFERROR(subQ!W43/subQ!R43-1,"")</f>
        <v/>
      </c>
      <c r="X24" s="21">
        <f>IFERROR(subQ!X43/subQ!S43-1,"")</f>
        <v/>
      </c>
      <c r="Y24" s="21">
        <f>IFERROR(subQ!Y43/subQ!T43-1,"")</f>
        <v/>
      </c>
      <c r="Z24" s="22" t="n"/>
      <c r="AA24" s="21">
        <f>IFERROR(subQ!AA43/subQ!V43-1,"")</f>
        <v/>
      </c>
      <c r="AB24" s="23">
        <f>IFERROR(subQ!AB43/subQ!W43-1,"")</f>
        <v/>
      </c>
      <c r="AC24" s="24" t="n">
        <v>0.246347</v>
      </c>
      <c r="AD24" s="24" t="n">
        <v>0.604027</v>
      </c>
      <c r="AE24" s="25" t="n"/>
      <c r="AF24" s="24" t="n">
        <v>-0.124454</v>
      </c>
      <c r="AG24" s="24" t="n">
        <v>-0.09911200000000001</v>
      </c>
      <c r="AH24" s="24" t="n">
        <v>0.020101</v>
      </c>
      <c r="AI24" s="24" t="n">
        <v>0.01841</v>
      </c>
      <c r="AJ24" s="25" t="n"/>
      <c r="AK24" s="24" t="n">
        <v>0.015794</v>
      </c>
      <c r="AL24" s="24" t="n">
        <v>0.002463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149.54</v>
      </c>
      <c r="AD25" s="29" t="n">
        <v>214.63</v>
      </c>
      <c r="AE25" s="30">
        <f>subQ!AE11</f>
        <v/>
      </c>
      <c r="AF25" s="29" t="n">
        <v>282.08</v>
      </c>
      <c r="AG25" s="29" t="n">
        <v>349.08</v>
      </c>
      <c r="AH25" s="29" t="n">
        <v>417.39</v>
      </c>
      <c r="AI25" s="29" t="n">
        <v>486.81</v>
      </c>
      <c r="AJ25" s="30">
        <f>subQ!AJ11</f>
        <v/>
      </c>
      <c r="AK25" s="29" t="n">
        <v>556.9400000000001</v>
      </c>
      <c r="AL25" s="29" t="n">
        <v>628.05</v>
      </c>
      <c r="AM25" s="29" t="n">
        <v>675.23</v>
      </c>
      <c r="AN25" s="29" t="n">
        <v>700.8200000000001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146.61</v>
      </c>
      <c r="AD26" s="29" t="n">
        <v>211.7</v>
      </c>
      <c r="AE26" s="30">
        <f>subQ!AE12</f>
        <v/>
      </c>
      <c r="AF26" s="29" t="n">
        <v>279.15</v>
      </c>
      <c r="AG26" s="29" t="n">
        <v>346.16</v>
      </c>
      <c r="AH26" s="29" t="n">
        <v>414.46</v>
      </c>
      <c r="AI26" s="29" t="n">
        <v>483.88</v>
      </c>
      <c r="AJ26" s="30">
        <f>subQ!AJ12</f>
        <v/>
      </c>
      <c r="AK26" s="29" t="n">
        <v>554.01</v>
      </c>
      <c r="AL26" s="29" t="n">
        <v>625.13</v>
      </c>
      <c r="AM26" s="29" t="n">
        <v>672.3</v>
      </c>
      <c r="AN26" s="29" t="n">
        <v>697.89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2.435294</v>
      </c>
      <c r="AD29" s="24" t="n">
        <v>6.891892</v>
      </c>
      <c r="AE29" s="25" t="n"/>
      <c r="AF29" s="24" t="n">
        <v>-0.416</v>
      </c>
      <c r="AG29" s="24" t="n">
        <v>-0.438462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-447.53</v>
      </c>
      <c r="AD31" s="29" t="n">
        <v>-447.53</v>
      </c>
      <c r="AE31" s="30">
        <f>subQ!AE17</f>
        <v/>
      </c>
      <c r="AF31" s="29" t="n">
        <v>-447.53</v>
      </c>
      <c r="AG31" s="29" t="n">
        <v>-447.53</v>
      </c>
      <c r="AH31" s="29" t="n">
        <v>-447.53</v>
      </c>
      <c r="AI31" s="29" t="n">
        <v>-447.53</v>
      </c>
      <c r="AJ31" s="30">
        <f>subQ!AJ17</f>
        <v/>
      </c>
      <c r="AK31" s="29" t="n">
        <v>-447.53</v>
      </c>
      <c r="AL31" s="29" t="n">
        <v>-447.53</v>
      </c>
      <c r="AM31" s="29" t="n">
        <v>-447.53</v>
      </c>
      <c r="AN31" s="29" t="n">
        <v>-447.53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0.22</v>
      </c>
      <c r="AD32" s="24" t="n">
        <v>0.219999</v>
      </c>
      <c r="AE32" s="25">
        <f>IFERROR(subQ!AE19/subQ!AE18,"")</f>
        <v/>
      </c>
      <c r="AF32" s="24" t="n">
        <v>0.219999</v>
      </c>
      <c r="AG32" s="24" t="n">
        <v>0.220001</v>
      </c>
      <c r="AH32" s="24" t="n">
        <v>0.219999</v>
      </c>
      <c r="AI32" s="24" t="n">
        <v>0.219999</v>
      </c>
      <c r="AJ32" s="25">
        <f>IFERROR(subQ!AJ19/subQ!AJ18,"")</f>
        <v/>
      </c>
      <c r="AK32" s="24" t="n">
        <v>0.22</v>
      </c>
      <c r="AL32" s="24" t="n">
        <v>0.219999</v>
      </c>
      <c r="AM32" s="24" t="n">
        <v>0.220002</v>
      </c>
      <c r="AN32" s="24" t="n">
        <v>0.220001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0.999964</v>
      </c>
      <c r="AD33" s="24" t="n">
        <v>0.999965</v>
      </c>
      <c r="AE33" s="25">
        <f>IFERROR(subQ!AE21/subQ!AE20,"")</f>
        <v/>
      </c>
      <c r="AF33" s="24" t="n">
        <v>0.999965</v>
      </c>
      <c r="AG33" s="24" t="n">
        <v>0.999966</v>
      </c>
      <c r="AH33" s="24" t="n">
        <v>0.999966</v>
      </c>
      <c r="AI33" s="24" t="n">
        <v>0.999964</v>
      </c>
      <c r="AJ33" s="25">
        <f>IFERROR(subQ!AJ21/subQ!AJ20,"")</f>
        <v/>
      </c>
      <c r="AK33" s="24" t="n">
        <v>0.999965</v>
      </c>
      <c r="AL33" s="24" t="n">
        <v>0.999966</v>
      </c>
      <c r="AM33" s="24" t="n">
        <v>0.999965</v>
      </c>
      <c r="AN33" s="24" t="n">
        <v>0.999965</v>
      </c>
      <c r="AO33" s="25">
        <f>IFERROR(subQ!AO21/subQ!AO20,"")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0.0029</v>
      </c>
      <c r="AD35" s="29" t="n">
        <v>-0.01</v>
      </c>
      <c r="AE35" s="30" t="n"/>
      <c r="AF35" s="29" t="n">
        <v>0.01</v>
      </c>
      <c r="AG35" s="29" t="n">
        <v>0</v>
      </c>
      <c r="AH35" s="29" t="n">
        <v>-0.01</v>
      </c>
      <c r="AI35" s="29" t="n">
        <v>0</v>
      </c>
      <c r="AJ35" s="30" t="n"/>
      <c r="AK35" s="29" t="n">
        <v>0.01</v>
      </c>
      <c r="AL35" s="29" t="n">
        <v>-0.01</v>
      </c>
      <c r="AM35" s="29" t="n">
        <v>0</v>
      </c>
      <c r="AN35" s="29" t="n">
        <v>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0.002</v>
      </c>
      <c r="AD36" s="29" t="n">
        <v>-0.01</v>
      </c>
      <c r="AE36" s="30" t="n"/>
      <c r="AF36" s="29" t="n">
        <v>-0</v>
      </c>
      <c r="AG36" s="29" t="n">
        <v>0.01</v>
      </c>
      <c r="AH36" s="29" t="n">
        <v>0</v>
      </c>
      <c r="AI36" s="29" t="n">
        <v>-0.01</v>
      </c>
      <c r="AJ36" s="30" t="n"/>
      <c r="AK36" s="29" t="n">
        <v>-0</v>
      </c>
      <c r="AL36" s="29" t="n">
        <v>0</v>
      </c>
      <c r="AM36" s="29" t="n">
        <v>0</v>
      </c>
      <c r="AN36" s="29" t="n">
        <v>-0.01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0.395971</v>
      </c>
      <c r="AD38" s="24" t="n">
        <v>0.293932</v>
      </c>
      <c r="AE38" s="25" t="n"/>
      <c r="AF38" s="24" t="n">
        <v>0.225663</v>
      </c>
      <c r="AG38" s="24" t="n">
        <v>0.187685</v>
      </c>
      <c r="AH38" s="24" t="n">
        <v>0.160609</v>
      </c>
      <c r="AI38" s="24" t="n">
        <v>0.139797</v>
      </c>
      <c r="AJ38" s="25" t="n"/>
      <c r="AK38" s="24" t="n">
        <v>0.12437</v>
      </c>
      <c r="AL38" s="24" t="n">
        <v>0.073383</v>
      </c>
      <c r="AM38" s="24" t="n">
        <v>0.037082</v>
      </c>
      <c r="AN38" s="24" t="n">
        <v>0.035753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0.239898</v>
      </c>
      <c r="AD39" s="24" t="n">
        <v>0.200493</v>
      </c>
      <c r="AE39" s="25" t="n"/>
      <c r="AF39" s="24" t="n">
        <v>0.165908</v>
      </c>
      <c r="AG39" s="24" t="n">
        <v>0.145058</v>
      </c>
      <c r="AH39" s="24" t="n">
        <v>0.128752</v>
      </c>
      <c r="AI39" s="24" t="n">
        <v>0.115231</v>
      </c>
      <c r="AJ39" s="25" t="n"/>
      <c r="AK39" s="24" t="n">
        <v>0.104774</v>
      </c>
      <c r="AL39" s="24" t="n">
        <v>0.062917</v>
      </c>
      <c r="AM39" s="24" t="n">
        <v>0.032107</v>
      </c>
      <c r="AN39" s="24" t="n">
        <v>0.031105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31" t="n"/>
      <c r="AJ44" s="25" t="n"/>
      <c r="AK44" s="31" t="n"/>
      <c r="AL44" s="31" t="n"/>
      <c r="AM44" s="31" t="n"/>
      <c r="AN44" s="31" t="n"/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-0.564761</v>
      </c>
      <c r="AD45" s="24" t="n">
        <v>-0.571038</v>
      </c>
      <c r="AE45" s="25" t="n"/>
      <c r="AF45" s="24" t="n">
        <v>-0.497949</v>
      </c>
      <c r="AG45" s="24" t="n">
        <v>-0.09650599999999999</v>
      </c>
      <c r="AH45" s="24" t="n">
        <v>0.432529</v>
      </c>
      <c r="AI45" s="24" t="n">
        <v>0.263535</v>
      </c>
      <c r="AJ45" s="25" t="n"/>
      <c r="AK45" s="24" t="n">
        <v>0.161961</v>
      </c>
      <c r="AL45" s="24" t="n">
        <v>0.038674</v>
      </c>
      <c r="AM45" s="24" t="n">
        <v>0.27199</v>
      </c>
      <c r="AN45" s="24" t="n">
        <v>0.6225579999999999</v>
      </c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-0.461404</v>
      </c>
      <c r="AD46" s="24" t="n">
        <v>-0.50423</v>
      </c>
      <c r="AE46" s="25" t="n"/>
      <c r="AF46" s="24" t="n">
        <v>-0.532446</v>
      </c>
      <c r="AG46" s="24" t="n">
        <v>-0.458753</v>
      </c>
      <c r="AH46" s="24" t="n">
        <v>-0.159609</v>
      </c>
      <c r="AI46" s="24" t="n">
        <v>-0.153584</v>
      </c>
      <c r="AJ46" s="25" t="n"/>
      <c r="AK46" s="24" t="n">
        <v>-0.153025</v>
      </c>
      <c r="AL46" s="24" t="n">
        <v>-0.137546</v>
      </c>
      <c r="AM46" s="24" t="n">
        <v>-0.112403</v>
      </c>
      <c r="AN46" s="24" t="n">
        <v>-0.08871</v>
      </c>
      <c r="AO46" s="25" t="n"/>
    </row>
    <row r="47">
      <c r="A47" s="12" t="inlineStr">
        <is>
          <t>drv:매출조선</t>
        </is>
      </c>
      <c r="B47" s="2" t="inlineStr">
        <is>
          <t>ratio</t>
        </is>
      </c>
      <c r="C47" t="inlineStr">
        <is>
          <t>매출조선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0.98974</v>
      </c>
      <c r="AD47" s="24" t="n">
        <v>0.989939</v>
      </c>
      <c r="AE47" s="25">
        <f>IFERROR(subQ!AE38/subQ!AE5,"")</f>
        <v/>
      </c>
      <c r="AF47" s="24" t="n">
        <v>0.989671</v>
      </c>
      <c r="AG47" s="24" t="n">
        <v>0.9896</v>
      </c>
      <c r="AH47" s="24" t="n">
        <v>0.989623</v>
      </c>
      <c r="AI47" s="24" t="n">
        <v>0.989588</v>
      </c>
      <c r="AJ47" s="25">
        <f>IFERROR(subQ!AJ38/subQ!AJ5,"")</f>
        <v/>
      </c>
      <c r="AK47" s="24" t="n">
        <v>0.989548</v>
      </c>
      <c r="AL47" s="24" t="n">
        <v>0.983716</v>
      </c>
      <c r="AM47" s="24" t="n">
        <v>0.967619</v>
      </c>
      <c r="AN47" s="24" t="n">
        <v>0.967113</v>
      </c>
      <c r="AO47" s="25">
        <f>IFERROR(subQ!AO38/subQ!AO5,"")</f>
        <v/>
      </c>
    </row>
    <row r="48">
      <c r="A48" s="12" t="inlineStr">
        <is>
          <t>drv:OP조선</t>
        </is>
      </c>
      <c r="B48" s="2" t="inlineStr">
        <is>
          <t>ratio</t>
        </is>
      </c>
      <c r="C48" t="inlineStr">
        <is>
          <t>OP조선 마진(/매출조선)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0.11942</v>
      </c>
      <c r="AD48" s="24" t="n">
        <v>0.119546</v>
      </c>
      <c r="AE48" s="25">
        <f>IFERROR(subQ!AE39/subQ!AE38,"")</f>
        <v/>
      </c>
      <c r="AF48" s="24" t="n">
        <v>0.120312</v>
      </c>
      <c r="AG48" s="24" t="n">
        <v>0.121765</v>
      </c>
      <c r="AH48" s="24" t="n">
        <v>0.121772</v>
      </c>
      <c r="AI48" s="24" t="n">
        <v>0.121717</v>
      </c>
      <c r="AJ48" s="25">
        <f>IFERROR(subQ!AJ39/subQ!AJ38,"")</f>
        <v/>
      </c>
      <c r="AK48" s="24" t="n">
        <v>0.122175</v>
      </c>
      <c r="AL48" s="24" t="n">
        <v>0.122144</v>
      </c>
      <c r="AM48" s="24" t="n">
        <v>0.121824</v>
      </c>
      <c r="AN48" s="24" t="n">
        <v>0.12173</v>
      </c>
      <c r="AO48" s="25">
        <f>IFERROR(subQ!AO39/subQ!AO38,"")</f>
        <v/>
      </c>
    </row>
    <row r="49">
      <c r="A49" s="12" t="inlineStr">
        <is>
          <t>drv:매출기타</t>
        </is>
      </c>
      <c r="B49" s="2" t="inlineStr">
        <is>
          <t>ratio</t>
        </is>
      </c>
      <c r="C49" t="inlineStr">
        <is>
          <t>매출기타 비중(/매출액)</t>
        </is>
      </c>
      <c r="E49" s="21">
        <f>IFERROR(subQ!E40/subQ!E5,"")</f>
        <v/>
      </c>
      <c r="F49" s="22">
        <f>IFERROR(subQ!F40/subQ!F5,"")</f>
        <v/>
      </c>
      <c r="G49" s="21">
        <f>IFERROR(subQ!G40/subQ!G5,"")</f>
        <v/>
      </c>
      <c r="H49" s="21">
        <f>IFERROR(subQ!H40/subQ!H5,"")</f>
        <v/>
      </c>
      <c r="I49" s="21">
        <f>IFERROR(subQ!I40/subQ!I5,"")</f>
        <v/>
      </c>
      <c r="J49" s="21">
        <f>IFERROR(subQ!J40/subQ!J5,"")</f>
        <v/>
      </c>
      <c r="K49" s="22">
        <f>IFERROR(subQ!K40/subQ!K5,"")</f>
        <v/>
      </c>
      <c r="L49" s="21">
        <f>IFERROR(subQ!L40/subQ!L5,"")</f>
        <v/>
      </c>
      <c r="M49" s="21">
        <f>IFERROR(subQ!M40/subQ!M5,"")</f>
        <v/>
      </c>
      <c r="N49" s="21">
        <f>IFERROR(subQ!N40/subQ!N5,"")</f>
        <v/>
      </c>
      <c r="O49" s="21">
        <f>IFERROR(subQ!O40/subQ!O5,"")</f>
        <v/>
      </c>
      <c r="P49" s="22">
        <f>IFERROR(subQ!P40/subQ!P5,"")</f>
        <v/>
      </c>
      <c r="Q49" s="21">
        <f>IFERROR(subQ!Q40/subQ!Q5,"")</f>
        <v/>
      </c>
      <c r="R49" s="21">
        <f>IFERROR(subQ!R40/subQ!R5,"")</f>
        <v/>
      </c>
      <c r="S49" s="21">
        <f>IFERROR(subQ!S40/subQ!S5,"")</f>
        <v/>
      </c>
      <c r="T49" s="21">
        <f>IFERROR(subQ!T40/subQ!T5,"")</f>
        <v/>
      </c>
      <c r="U49" s="22">
        <f>IFERROR(subQ!U40/subQ!U5,"")</f>
        <v/>
      </c>
      <c r="V49" s="21">
        <f>IFERROR(subQ!V40/subQ!V5,"")</f>
        <v/>
      </c>
      <c r="W49" s="21">
        <f>IFERROR(subQ!W40/subQ!W5,"")</f>
        <v/>
      </c>
      <c r="X49" s="21">
        <f>IFERROR(subQ!X40/subQ!X5,"")</f>
        <v/>
      </c>
      <c r="Y49" s="21">
        <f>IFERROR(subQ!Y40/subQ!Y5,"")</f>
        <v/>
      </c>
      <c r="Z49" s="22">
        <f>IFERROR(subQ!Z40/subQ!Z5,"")</f>
        <v/>
      </c>
      <c r="AA49" s="21">
        <f>IFERROR(subQ!AA40/subQ!AA5,"")</f>
        <v/>
      </c>
      <c r="AB49" s="23">
        <f>IFERROR(subQ!AB40/subQ!AB5,"")</f>
        <v/>
      </c>
      <c r="AC49" s="24" t="n">
        <v>0.01026</v>
      </c>
      <c r="AD49" s="24" t="n">
        <v>0.010061</v>
      </c>
      <c r="AE49" s="25">
        <f>IFERROR(subQ!AE40/subQ!AE5,"")</f>
        <v/>
      </c>
      <c r="AF49" s="24" t="n">
        <v>0.010329</v>
      </c>
      <c r="AG49" s="24" t="n">
        <v>0.0104</v>
      </c>
      <c r="AH49" s="24" t="n">
        <v>0.010377</v>
      </c>
      <c r="AI49" s="24" t="n">
        <v>0.010412</v>
      </c>
      <c r="AJ49" s="25">
        <f>IFERROR(subQ!AJ40/subQ!AJ5,"")</f>
        <v/>
      </c>
      <c r="AK49" s="24" t="n">
        <v>0.010451</v>
      </c>
      <c r="AL49" s="24" t="n">
        <v>0.016284</v>
      </c>
      <c r="AM49" s="24" t="n">
        <v>0.032381</v>
      </c>
      <c r="AN49" s="24" t="n">
        <v>0.032887</v>
      </c>
      <c r="AO49" s="25">
        <f>IFERROR(subQ!AO40/subQ!AO5,"")</f>
        <v/>
      </c>
    </row>
    <row r="50">
      <c r="A50" s="12" t="inlineStr">
        <is>
          <t>drv:OP기타</t>
        </is>
      </c>
      <c r="B50" s="2" t="inlineStr">
        <is>
          <t>ratio</t>
        </is>
      </c>
      <c r="C50" t="inlineStr">
        <is>
          <t>OP기타 마진(/매출기타)</t>
        </is>
      </c>
      <c r="E50" s="21">
        <f>IFERROR(subQ!E41/subQ!E40,"")</f>
        <v/>
      </c>
      <c r="F50" s="22">
        <f>IFERROR(subQ!F41/subQ!F40,"")</f>
        <v/>
      </c>
      <c r="G50" s="21">
        <f>IFERROR(subQ!G41/subQ!G40,"")</f>
        <v/>
      </c>
      <c r="H50" s="21">
        <f>IFERROR(subQ!H41/subQ!H40,"")</f>
        <v/>
      </c>
      <c r="I50" s="21">
        <f>IFERROR(subQ!I41/subQ!I40,"")</f>
        <v/>
      </c>
      <c r="J50" s="21">
        <f>IFERROR(subQ!J41/subQ!J40,"")</f>
        <v/>
      </c>
      <c r="K50" s="22">
        <f>IFERROR(subQ!K41/subQ!K40,"")</f>
        <v/>
      </c>
      <c r="L50" s="21">
        <f>IFERROR(subQ!L41/subQ!L40,"")</f>
        <v/>
      </c>
      <c r="M50" s="21">
        <f>IFERROR(subQ!M41/subQ!M40,"")</f>
        <v/>
      </c>
      <c r="N50" s="21">
        <f>IFERROR(subQ!N41/subQ!N40,"")</f>
        <v/>
      </c>
      <c r="O50" s="21">
        <f>IFERROR(subQ!O41/subQ!O40,"")</f>
        <v/>
      </c>
      <c r="P50" s="22">
        <f>IFERROR(subQ!P41/subQ!P40,"")</f>
        <v/>
      </c>
      <c r="Q50" s="21">
        <f>IFERROR(subQ!Q41/subQ!Q40,"")</f>
        <v/>
      </c>
      <c r="R50" s="21">
        <f>IFERROR(subQ!R41/subQ!R40,"")</f>
        <v/>
      </c>
      <c r="S50" s="21">
        <f>IFERROR(subQ!S41/subQ!S40,"")</f>
        <v/>
      </c>
      <c r="T50" s="21">
        <f>IFERROR(subQ!T41/subQ!T40,"")</f>
        <v/>
      </c>
      <c r="U50" s="22">
        <f>IFERROR(subQ!U41/subQ!U40,"")</f>
        <v/>
      </c>
      <c r="V50" s="21">
        <f>IFERROR(subQ!V41/subQ!V40,"")</f>
        <v/>
      </c>
      <c r="W50" s="21">
        <f>IFERROR(subQ!W41/subQ!W40,"")</f>
        <v/>
      </c>
      <c r="X50" s="21">
        <f>IFERROR(subQ!X41/subQ!X40,"")</f>
        <v/>
      </c>
      <c r="Y50" s="21">
        <f>IFERROR(subQ!Y41/subQ!Y40,"")</f>
        <v/>
      </c>
      <c r="Z50" s="22">
        <f>IFERROR(subQ!Z41/subQ!Z40,"")</f>
        <v/>
      </c>
      <c r="AA50" s="21">
        <f>IFERROR(subQ!AA41/subQ!AA40,"")</f>
        <v/>
      </c>
      <c r="AB50" s="23">
        <f>IFERROR(subQ!AB41/subQ!AB40,"")</f>
        <v/>
      </c>
      <c r="AC50" s="24" t="n">
        <v>0.119414</v>
      </c>
      <c r="AD50" s="24" t="n">
        <v>0.119555</v>
      </c>
      <c r="AE50" s="25">
        <f>IFERROR(subQ!AE41/subQ!AE40,"")</f>
        <v/>
      </c>
      <c r="AF50" s="24" t="n">
        <v>0.120311</v>
      </c>
      <c r="AG50" s="24" t="n">
        <v>0.121773</v>
      </c>
      <c r="AH50" s="24" t="n">
        <v>0.121773</v>
      </c>
      <c r="AI50" s="24" t="n">
        <v>0.121726</v>
      </c>
      <c r="AJ50" s="25">
        <f>IFERROR(subQ!AJ41/subQ!AJ40,"")</f>
        <v/>
      </c>
      <c r="AK50" s="24" t="n">
        <v>0.122175</v>
      </c>
      <c r="AL50" s="24" t="n">
        <v>0.122151</v>
      </c>
      <c r="AM50" s="24" t="n">
        <v>0.121821</v>
      </c>
      <c r="AN50" s="24" t="n">
        <v>0.121726</v>
      </c>
      <c r="AO50" s="25">
        <f>IFERROR(subQ!AO41/subQ!AO40,"")</f>
        <v/>
      </c>
    </row>
    <row r="51"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B52" s="1" t="inlineStr">
        <is>
          <t>3. 밸류에이션·스칼라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sc:종가</t>
        </is>
      </c>
      <c r="C53" t="inlineStr">
        <is>
          <t>종가</t>
        </is>
      </c>
      <c r="D53" s="32" t="n">
        <v>79100</v>
      </c>
      <c r="E53" s="2" t="inlineStr">
        <is>
          <t>원 — aikstockdata(금융위 T+1)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sc:기준일</t>
        </is>
      </c>
      <c r="C54" t="inlineStr">
        <is>
          <t>기준일</t>
        </is>
      </c>
      <c r="D54" s="33" t="inlineStr">
        <is>
          <t>20260929</t>
        </is>
      </c>
      <c r="E54" s="2" t="inlineStr">
        <is>
          <t>종가 기준일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sc:COE</t>
        </is>
      </c>
      <c r="C55" t="inlineStr">
        <is>
          <t>COE</t>
        </is>
      </c>
      <c r="D55" s="24" t="n">
        <v>0.09</v>
      </c>
      <c r="E55" s="2" t="inlineStr">
        <is>
          <t>자기자본비용(가정)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sc:PER_lo</t>
        </is>
      </c>
      <c r="C56" t="inlineStr">
        <is>
          <t>PER_lo</t>
        </is>
      </c>
      <c r="D56" s="29" t="n">
        <v>19.2</v>
      </c>
      <c r="E56" s="2" t="inlineStr">
        <is>
          <t>PER 밴드 하단(배) — hist_quarterly(분기 평균가 ÷ TTM EPS, 10분기, 25/50/75 백분위)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sc:PER_mid</t>
        </is>
      </c>
      <c r="C57" t="inlineStr">
        <is>
          <t>PER_mid</t>
        </is>
      </c>
      <c r="D57" s="29" t="n">
        <v>26.3</v>
      </c>
      <c r="E57" s="2" t="inlineStr">
        <is>
          <t>PER 밴드 중단(배)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sc:PER_hi</t>
        </is>
      </c>
      <c r="C58" t="inlineStr">
        <is>
          <t>PER_hi</t>
        </is>
      </c>
      <c r="D58" s="29" t="n">
        <v>28.7</v>
      </c>
      <c r="E58" s="2" t="inlineStr">
        <is>
          <t>PER 밴드 상단(배)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sc:EPS_Y1가중</t>
        </is>
      </c>
      <c r="C59" t="inlineStr">
        <is>
          <t>EPS_Y1가중</t>
        </is>
      </c>
      <c r="D59" s="24" t="n">
        <v>0.5</v>
      </c>
      <c r="E59" s="2" t="inlineStr">
        <is>
          <t>12M fwd EPS = FY(last_actual연도)E × w + FY+1E × (1−w) — 기준 분기 2Q 이면 0.5(가정)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sc:세율</t>
        </is>
      </c>
      <c r="C60" t="inlineStr">
        <is>
          <t>세율</t>
        </is>
      </c>
      <c r="D60" s="24" t="n">
        <v>0.22</v>
      </c>
      <c r="E60" s="2" t="inlineStr">
        <is>
          <t>법인세율 가정(참고 — 추정 수식은 드라이버 행 참조)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sc:판관비율</t>
        </is>
      </c>
      <c r="C61" t="inlineStr">
        <is>
          <t>판관비율</t>
        </is>
      </c>
      <c r="D61" s="24" t="n">
        <v>0.0556</v>
      </c>
      <c r="E61" s="2" t="inlineStr">
        <is>
          <t>판관비율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sc:배당성향</t>
        </is>
      </c>
      <c r="C62" t="inlineStr">
        <is>
          <t>배당성향</t>
        </is>
      </c>
      <c r="D62" s="24" t="n">
        <v>0</v>
      </c>
      <c r="E62" s="2" t="inlineStr">
        <is>
          <t>배당성향 가정(참고)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s="12" t="inlineStr">
        <is>
          <t>sc:외화순노출_백만$</t>
        </is>
      </c>
      <c r="C63" t="inlineStr">
        <is>
          <t>외화순노출_백만$</t>
        </is>
      </c>
      <c r="D63" s="29" t="n"/>
      <c r="E63" s="2" t="inlineStr">
        <is>
          <t>외화 순노출 × Δ기말환율 (외화 시트 방식)</t>
        </is>
      </c>
      <c r="F63" s="9" t="n"/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4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4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4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4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4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4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4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4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4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4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4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4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4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4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4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4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4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4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4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4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4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4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4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4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4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4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4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4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4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4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4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4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4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4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4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4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4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4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4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4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4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4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4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4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4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4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4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4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4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4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4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4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4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4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4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4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4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4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4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4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4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4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4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4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4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4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4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4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4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4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4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4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4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4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4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4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4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4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4" t="n">
        <v>267.52</v>
      </c>
      <c r="L23" s="18" t="n">
        <v>90.95999999999999</v>
      </c>
      <c r="O23" s="18" t="n">
        <v>164100.77</v>
      </c>
      <c r="P23" s="34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4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4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4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4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4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4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4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4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4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4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4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4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4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4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4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4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4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4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4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4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4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4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4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4" t="n">
        <v>1283430.94</v>
      </c>
      <c r="L28" s="18" t="n">
        <v>1707126.47</v>
      </c>
      <c r="M28" s="18" t="n">
        <v>679411</v>
      </c>
      <c r="N28" s="18" t="n">
        <v>535163</v>
      </c>
      <c r="O28" s="18" t="n">
        <v>526449.92</v>
      </c>
      <c r="P28" s="34" t="n">
        <v>526449.92</v>
      </c>
      <c r="Q28" s="18" t="n">
        <v>1713714.68</v>
      </c>
      <c r="R28" s="18" t="n">
        <v>2519938.37</v>
      </c>
      <c r="U28" s="9" t="n"/>
      <c r="V28" s="18" t="n">
        <v>3301514</v>
      </c>
      <c r="W28" s="18" t="n">
        <v>2937605</v>
      </c>
      <c r="X28" s="18" t="n">
        <v>2957974</v>
      </c>
      <c r="Y28" s="18" t="n">
        <v>3055132</v>
      </c>
      <c r="Z28" s="34" t="n">
        <v>3055132</v>
      </c>
      <c r="AA28" s="18" t="n">
        <v>3164368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4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4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4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4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4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1091052.6</v>
      </c>
      <c r="F30" s="34" t="n">
        <v>1091052.6</v>
      </c>
      <c r="G30" s="18" t="n">
        <v>1122390.41</v>
      </c>
      <c r="H30" s="18" t="n">
        <v>1205426.5</v>
      </c>
      <c r="I30" s="18" t="n">
        <v>1325929.92</v>
      </c>
      <c r="J30" s="18" t="n">
        <v>1182144.23</v>
      </c>
      <c r="K30" s="34" t="n">
        <v>1182144.23</v>
      </c>
      <c r="L30" s="18" t="n">
        <v>1215339.65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4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4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4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4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4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4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4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4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4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4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4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4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4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4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4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4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4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4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4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4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4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4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4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4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4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4" t="n">
        <v>111743.39</v>
      </c>
      <c r="G36" s="18" t="n">
        <v>56393.11</v>
      </c>
      <c r="K36" s="9" t="n"/>
      <c r="P36" s="9" t="n"/>
      <c r="U36" s="9" t="n"/>
      <c r="Z36" s="9" t="n"/>
      <c r="AB36" s="19" t="n">
        <v>594000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4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4" t="n">
        <v>99715.36</v>
      </c>
      <c r="L37" s="18" t="n">
        <v>93931.58</v>
      </c>
      <c r="N37" s="18" t="n">
        <v>1738732.92</v>
      </c>
      <c r="O37" s="18" t="n">
        <v>1664742.45</v>
      </c>
      <c r="P37" s="34" t="n">
        <v>1664742.45</v>
      </c>
      <c r="Q37" s="18" t="n">
        <v>1714421.23</v>
      </c>
      <c r="R37" s="18" t="n">
        <v>1749480.72</v>
      </c>
      <c r="S37" s="18" t="n">
        <v>1708893.77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4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4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4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4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4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4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4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4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4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4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4" t="n">
        <v>1062.99</v>
      </c>
      <c r="G40" s="18" t="n">
        <v>393.23</v>
      </c>
      <c r="H40" s="18" t="n">
        <v>284.35</v>
      </c>
      <c r="J40" s="18" t="n">
        <v>69.29000000000001</v>
      </c>
      <c r="K40" s="34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4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4" t="n">
        <v>1062.99</v>
      </c>
      <c r="G41" s="18" t="n">
        <v>393.23</v>
      </c>
      <c r="H41" s="18" t="n">
        <v>284.35</v>
      </c>
      <c r="J41" s="18" t="n">
        <v>69.29000000000001</v>
      </c>
      <c r="K41" s="34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4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4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4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4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4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4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4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4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4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4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4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4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4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4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4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4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4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4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4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4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4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4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4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4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4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4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4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4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4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4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4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4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4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4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4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4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4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4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4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4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4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4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4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4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4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4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2463254.66</v>
      </c>
      <c r="F51" s="34" t="n">
        <v>2463254.66</v>
      </c>
      <c r="G51" s="18" t="n">
        <v>2642790.83</v>
      </c>
      <c r="H51" s="18" t="n">
        <v>2741349.87</v>
      </c>
      <c r="I51" s="18" t="n">
        <v>2853788.09</v>
      </c>
      <c r="J51" s="18" t="n">
        <v>2565290.53</v>
      </c>
      <c r="K51" s="34" t="n">
        <v>2565290.53</v>
      </c>
      <c r="L51" s="18" t="n">
        <v>3016397.7</v>
      </c>
      <c r="M51" s="18" t="n">
        <v>679411</v>
      </c>
      <c r="N51" s="18" t="n">
        <v>2273895.92</v>
      </c>
      <c r="O51" s="18" t="n">
        <v>2191192.37</v>
      </c>
      <c r="P51" s="34" t="n">
        <v>2191192.37</v>
      </c>
      <c r="Q51" s="18" t="n">
        <v>3428135.91</v>
      </c>
      <c r="R51" s="18" t="n">
        <v>4269419.09</v>
      </c>
      <c r="S51" s="18" t="n">
        <v>1708893.77</v>
      </c>
      <c r="U51" s="9" t="n"/>
      <c r="V51" s="18" t="n">
        <v>3301514</v>
      </c>
      <c r="W51" s="18" t="n">
        <v>2937605</v>
      </c>
      <c r="X51" s="18" t="n">
        <v>2957974</v>
      </c>
      <c r="Y51" s="18" t="n">
        <v>3055132</v>
      </c>
      <c r="Z51" s="34" t="n">
        <v>3055132</v>
      </c>
      <c r="AA51" s="18" t="n">
        <v>3164368</v>
      </c>
      <c r="AB51" s="19" t="n">
        <v>594000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373622.26</v>
      </c>
      <c r="F52" s="34" t="n">
        <v>373622.26</v>
      </c>
      <c r="G52" s="18" t="n">
        <v>1201461.58</v>
      </c>
      <c r="H52" s="18" t="n">
        <v>1465675.61</v>
      </c>
      <c r="I52" s="18" t="n">
        <v>1703206.95</v>
      </c>
      <c r="J52" s="18" t="n">
        <v>1413314.73</v>
      </c>
      <c r="K52" s="34" t="n">
        <v>1413314.73</v>
      </c>
      <c r="L52" s="18" t="n">
        <v>2746280.39</v>
      </c>
      <c r="M52" s="18" t="n">
        <v>-885079.38</v>
      </c>
      <c r="N52" s="18" t="n">
        <v>1295277.58</v>
      </c>
      <c r="O52" s="18" t="n">
        <v>391884.62</v>
      </c>
      <c r="P52" s="34" t="n">
        <v>391884.62</v>
      </c>
      <c r="Q52" s="18" t="n">
        <v>1779332</v>
      </c>
      <c r="R52" s="18" t="n">
        <v>2444662.34</v>
      </c>
      <c r="S52" s="18" t="n">
        <v>692280.42</v>
      </c>
      <c r="U52" s="9" t="n"/>
      <c r="V52" s="18" t="n">
        <v>2328272.69</v>
      </c>
      <c r="W52" s="18" t="n">
        <v>1899956.49</v>
      </c>
      <c r="X52" s="18" t="n">
        <v>2528473.44</v>
      </c>
      <c r="Y52" s="18" t="n">
        <v>2276660.84</v>
      </c>
      <c r="Z52" s="34" t="n">
        <v>2276660.84</v>
      </c>
      <c r="AA52" s="18" t="n">
        <v>2094135.73</v>
      </c>
      <c r="AB52" s="19" t="n">
        <v>-913031.1800000001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4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4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4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4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4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L54" s="18" t="n">
        <v>427146.69</v>
      </c>
      <c r="M54" s="18" t="n">
        <v>442305.34</v>
      </c>
      <c r="N54" s="18" t="n">
        <v>112800.78</v>
      </c>
      <c r="O54" s="18" t="n">
        <v>124947.86</v>
      </c>
      <c r="P54" s="34" t="n">
        <v>124947.86</v>
      </c>
      <c r="Q54" s="18" t="n">
        <v>135970.66</v>
      </c>
      <c r="R54" s="18" t="n">
        <v>48489.08</v>
      </c>
      <c r="S54" s="18" t="n">
        <v>20699.87</v>
      </c>
      <c r="T54" s="18" t="n">
        <v>46003.53</v>
      </c>
      <c r="U54" s="34" t="n">
        <v>46003.53</v>
      </c>
      <c r="V54" s="18" t="n">
        <v>15219.09</v>
      </c>
      <c r="W54" s="18" t="n">
        <v>9163.17</v>
      </c>
      <c r="X54" s="18" t="n">
        <v>11472.76</v>
      </c>
      <c r="Y54" s="18" t="n">
        <v>10204.24</v>
      </c>
      <c r="Z54" s="34" t="n">
        <v>10204.24</v>
      </c>
      <c r="AA54" s="18" t="n">
        <v>14360.34</v>
      </c>
      <c r="AB54" s="19" t="n">
        <v>25464.24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M55" s="18" t="n">
        <v>559130.37</v>
      </c>
      <c r="N55" s="18" t="n">
        <v>564329.98</v>
      </c>
      <c r="O55" s="18" t="n">
        <v>558952.9399999999</v>
      </c>
      <c r="P55" s="34" t="n">
        <v>558952.9399999999</v>
      </c>
      <c r="Q55" s="18" t="n">
        <v>565218.41</v>
      </c>
      <c r="R55" s="18" t="n">
        <v>570792.59</v>
      </c>
      <c r="S55" s="18" t="n">
        <v>494015.74</v>
      </c>
      <c r="T55" s="18" t="n">
        <v>627183.51</v>
      </c>
      <c r="U55" s="34" t="n">
        <v>627183.51</v>
      </c>
      <c r="V55" s="18" t="n">
        <v>631242.74</v>
      </c>
      <c r="W55" s="18" t="n">
        <v>609228.28</v>
      </c>
      <c r="X55" s="18" t="n">
        <v>595238.89</v>
      </c>
      <c r="Y55" s="18" t="n">
        <v>560101.42</v>
      </c>
      <c r="Z55" s="34" t="n">
        <v>560101.42</v>
      </c>
      <c r="AA55" s="18" t="n">
        <v>711687.51</v>
      </c>
      <c r="AB55" s="19" t="n">
        <v>739416.48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비지배주주지분</t>
        </is>
      </c>
      <c r="F56" s="9" t="n"/>
      <c r="K56" s="9" t="n"/>
      <c r="N56" s="18" t="n">
        <v>4002.94</v>
      </c>
      <c r="O56" s="18" t="n">
        <v>4704.47</v>
      </c>
      <c r="P56" s="34" t="n">
        <v>4704.47</v>
      </c>
      <c r="Q56" s="18" t="n">
        <v>4593.27</v>
      </c>
      <c r="R56" s="18" t="n">
        <v>4730.03</v>
      </c>
      <c r="S56" s="18" t="n">
        <v>4768.43</v>
      </c>
      <c r="T56" s="18" t="n">
        <v>4673.82</v>
      </c>
      <c r="U56" s="34" t="n">
        <v>4673.82</v>
      </c>
      <c r="V56" s="18" t="n">
        <v>4706.11</v>
      </c>
      <c r="W56" s="18" t="n">
        <v>4765.92</v>
      </c>
      <c r="X56" s="18" t="n">
        <v>4800.95</v>
      </c>
      <c r="Y56" s="18" t="n">
        <v>4755.45</v>
      </c>
      <c r="Z56" s="34" t="n">
        <v>4755.45</v>
      </c>
      <c r="AA56" s="18" t="n">
        <v>4782.51</v>
      </c>
      <c r="AB56" s="19" t="n">
        <v>4800.08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O57" s="18" t="n">
        <v>526449.92</v>
      </c>
      <c r="P57" s="34" t="n">
        <v>526449.92</v>
      </c>
      <c r="Q57" s="18" t="n">
        <v>1713714.68</v>
      </c>
      <c r="R57" s="18" t="n">
        <v>2519938.37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P58" s="9" t="n"/>
      <c r="U58" s="9" t="n"/>
      <c r="V58" s="18" t="n">
        <v>85122.85000000001</v>
      </c>
      <c r="W58" s="18" t="n">
        <v>86777.56</v>
      </c>
      <c r="X58" s="18" t="n">
        <v>88520.34</v>
      </c>
      <c r="Y58" s="18" t="n">
        <v>119161.33</v>
      </c>
      <c r="Z58" s="34" t="n">
        <v>119161.33</v>
      </c>
      <c r="AA58" s="18" t="n">
        <v>121099.73</v>
      </c>
      <c r="AB58" s="19" t="n">
        <v>185016.91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W59" s="18" t="n">
        <v>12.81</v>
      </c>
      <c r="X59" s="18" t="n">
        <v>1418.5</v>
      </c>
      <c r="Y59" s="18" t="n">
        <v>4864.26</v>
      </c>
      <c r="Z59" s="34" t="n">
        <v>4864.26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W60" s="18" t="n">
        <v>2671.79</v>
      </c>
      <c r="Y60" s="18" t="n">
        <v>13150.03</v>
      </c>
      <c r="Z60" s="34" t="n">
        <v>13150.03</v>
      </c>
      <c r="AA60" s="18" t="n">
        <v>74104.37</v>
      </c>
      <c r="AB60" s="19" t="n">
        <v>103732.82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W61" s="18" t="n">
        <v>2671.79</v>
      </c>
      <c r="Y61" s="18" t="n">
        <v>13150.03</v>
      </c>
      <c r="Z61" s="34" t="n">
        <v>13150.03</v>
      </c>
      <c r="AA61" s="18" t="n">
        <v>74104.37</v>
      </c>
      <c r="AB61" s="19" t="n">
        <v>144534.63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유동파생상품자산</t>
        </is>
      </c>
      <c r="F62" s="9" t="n"/>
      <c r="K62" s="9" t="n"/>
      <c r="P62" s="9" t="n"/>
      <c r="U62" s="9" t="n"/>
      <c r="Z62" s="9" t="n"/>
      <c r="AA62" s="18" t="n">
        <v>11835.59</v>
      </c>
      <c r="AB62" s="19" t="n">
        <v>14682.83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46143.95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유동리스부채</t>
        </is>
      </c>
      <c r="F64" s="9" t="n"/>
      <c r="K64" s="9" t="n"/>
      <c r="P64" s="9" t="n"/>
      <c r="U64" s="9" t="n"/>
      <c r="Z64" s="9" t="n"/>
      <c r="AB64" s="19" t="n">
        <v>40801.81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리스부채</t>
        </is>
      </c>
      <c r="F65" s="9" t="n"/>
      <c r="K65" s="9" t="n"/>
      <c r="P65" s="9" t="n"/>
      <c r="U65" s="9" t="n"/>
      <c r="Z65" s="9" t="n"/>
      <c r="AB65" s="19" t="n">
        <v>149966.01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109164.2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1355717.08</v>
      </c>
      <c r="F67" s="9" t="n"/>
      <c r="G67" s="18" t="n">
        <v>1245450.63</v>
      </c>
      <c r="H67" s="18" t="n">
        <v>1184054.45</v>
      </c>
      <c r="I67" s="18" t="n">
        <v>981451.63</v>
      </c>
      <c r="J67" s="18" t="n">
        <v>1449193.54</v>
      </c>
      <c r="K67" s="34" t="n">
        <v>4860150.25</v>
      </c>
      <c r="L67" s="18" t="n">
        <v>1439835.45</v>
      </c>
      <c r="M67" s="18" t="n">
        <v>1820700.74</v>
      </c>
      <c r="N67" s="18" t="n">
        <v>1916837.19</v>
      </c>
      <c r="O67" s="18" t="n">
        <v>2230938.89</v>
      </c>
      <c r="P67" s="34" t="n">
        <v>7408312.27</v>
      </c>
      <c r="Q67" s="18" t="n">
        <v>2283627.13</v>
      </c>
      <c r="R67" s="18" t="n">
        <v>2536090.81</v>
      </c>
      <c r="S67" s="18" t="n">
        <v>2703108.87</v>
      </c>
      <c r="T67" s="18" t="n">
        <v>3253178.13</v>
      </c>
      <c r="U67" s="34" t="n">
        <v>10776004.94</v>
      </c>
      <c r="V67" s="18" t="n">
        <v>3143089.5</v>
      </c>
      <c r="W67" s="18" t="n">
        <v>3294113.47</v>
      </c>
      <c r="X67" s="18" t="n">
        <v>3023357.86</v>
      </c>
      <c r="Y67" s="18" t="n">
        <v>3322951.45</v>
      </c>
      <c r="Z67" s="34" t="n">
        <v>12783512.28</v>
      </c>
      <c r="AA67" s="18" t="n">
        <v>3209940.25</v>
      </c>
      <c r="AB67" s="19" t="n">
        <v>5443171.48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1802832.8</v>
      </c>
      <c r="F68" s="9" t="n"/>
      <c r="G68" s="18" t="n">
        <v>1659893.54</v>
      </c>
      <c r="H68" s="18" t="n">
        <v>1219428.92</v>
      </c>
      <c r="I68" s="18" t="n">
        <v>1548191.25</v>
      </c>
      <c r="J68" s="18" t="n">
        <v>1779518.82</v>
      </c>
      <c r="K68" s="34" t="n">
        <v>6207032.53</v>
      </c>
      <c r="L68" s="18" t="n">
        <v>1446589.78</v>
      </c>
      <c r="M68" s="18" t="n">
        <v>1893734.82</v>
      </c>
      <c r="N68" s="18" t="n">
        <v>1774958.02</v>
      </c>
      <c r="O68" s="18" t="n">
        <v>2194221.2</v>
      </c>
      <c r="P68" s="34" t="n">
        <v>7309503.82</v>
      </c>
      <c r="Q68" s="18" t="n">
        <v>2148520.24</v>
      </c>
      <c r="R68" s="18" t="n">
        <v>2459322.48</v>
      </c>
      <c r="S68" s="18" t="n">
        <v>2570106.69</v>
      </c>
      <c r="T68" s="18" t="n">
        <v>2914129.3</v>
      </c>
      <c r="U68" s="34" t="n">
        <v>10092078.71</v>
      </c>
      <c r="V68" s="18" t="n">
        <v>2720749.36</v>
      </c>
      <c r="W68" s="18" t="n">
        <v>2766607.96</v>
      </c>
      <c r="X68" s="18" t="n">
        <v>2569308.11</v>
      </c>
      <c r="Y68" s="18" t="n">
        <v>2886548.85</v>
      </c>
      <c r="Z68" s="34" t="n">
        <v>10943214.28</v>
      </c>
      <c r="AA68" s="18" t="n">
        <v>2583679.51</v>
      </c>
      <c r="AB68" s="19" t="n">
        <v>4493612.06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-447115.72</v>
      </c>
      <c r="F69" s="9" t="n"/>
      <c r="G69" s="18" t="n">
        <v>-414442.91</v>
      </c>
      <c r="H69" s="18" t="n">
        <v>-35374.47</v>
      </c>
      <c r="I69" s="18" t="n">
        <v>-566739.62</v>
      </c>
      <c r="J69" s="18" t="n">
        <v>-330325.28</v>
      </c>
      <c r="K69" s="34" t="n">
        <v>-1346882.28</v>
      </c>
      <c r="L69" s="18" t="n">
        <v>-6754.33</v>
      </c>
      <c r="M69" s="18" t="n">
        <v>-73034.08</v>
      </c>
      <c r="N69" s="18" t="n">
        <v>141879.17</v>
      </c>
      <c r="O69" s="18" t="n">
        <v>36717.69</v>
      </c>
      <c r="P69" s="34" t="n">
        <v>98808.45</v>
      </c>
      <c r="Q69" s="18" t="n">
        <v>135106.89</v>
      </c>
      <c r="R69" s="18" t="n">
        <v>76768.33</v>
      </c>
      <c r="S69" s="18" t="n">
        <v>133002.18</v>
      </c>
      <c r="T69" s="18" t="n">
        <v>339048.83</v>
      </c>
      <c r="U69" s="34" t="n">
        <v>683926.23</v>
      </c>
      <c r="V69" s="18" t="n">
        <v>422340.15</v>
      </c>
      <c r="W69" s="18" t="n">
        <v>527505.5</v>
      </c>
      <c r="X69" s="18" t="n">
        <v>454049.75</v>
      </c>
      <c r="Y69" s="18" t="n">
        <v>436402.6</v>
      </c>
      <c r="Z69" s="34" t="n">
        <v>1840298</v>
      </c>
      <c r="AA69" s="18" t="n">
        <v>626260.73</v>
      </c>
      <c r="AB69" s="19" t="n">
        <v>949559.42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68219.78</v>
      </c>
      <c r="F70" s="9" t="n"/>
      <c r="G70" s="18" t="n">
        <v>55662.48</v>
      </c>
      <c r="H70" s="18" t="n">
        <v>64133.72</v>
      </c>
      <c r="I70" s="18" t="n">
        <v>61079.18</v>
      </c>
      <c r="J70" s="18" t="n">
        <v>85806.88</v>
      </c>
      <c r="K70" s="34" t="n">
        <v>266682.26</v>
      </c>
      <c r="L70" s="18" t="n">
        <v>56040.41</v>
      </c>
      <c r="M70" s="18" t="n">
        <v>85975.64999999999</v>
      </c>
      <c r="N70" s="18" t="n">
        <v>67744.58</v>
      </c>
      <c r="O70" s="18" t="n">
        <v>85546.10000000001</v>
      </c>
      <c r="P70" s="34" t="n">
        <v>295306.74</v>
      </c>
      <c r="Q70" s="18" t="n">
        <v>82170.62</v>
      </c>
      <c r="R70" s="18" t="n">
        <v>86427.02</v>
      </c>
      <c r="S70" s="18" t="n">
        <v>107420.65</v>
      </c>
      <c r="T70" s="18" t="n">
        <v>170031.56</v>
      </c>
      <c r="U70" s="34" t="n">
        <v>446049.85</v>
      </c>
      <c r="V70" s="18" t="n">
        <v>163731.98</v>
      </c>
      <c r="W70" s="18" t="n">
        <v>155801.85</v>
      </c>
      <c r="X70" s="18" t="n">
        <v>164290.54</v>
      </c>
      <c r="Y70" s="18" t="n">
        <v>188883.48</v>
      </c>
      <c r="Z70" s="34" t="n">
        <v>672707.85</v>
      </c>
      <c r="AA70" s="18" t="n">
        <v>185195.61</v>
      </c>
      <c r="AB70" s="19" t="n">
        <v>213445.78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-515335.5</v>
      </c>
      <c r="F71" s="9" t="n"/>
      <c r="G71" s="18" t="n">
        <v>-470105.39</v>
      </c>
      <c r="H71" s="18" t="n">
        <v>-99508.19</v>
      </c>
      <c r="I71" s="18" t="n">
        <v>-627818.8</v>
      </c>
      <c r="J71" s="18" t="n">
        <v>-416132.15</v>
      </c>
      <c r="K71" s="34" t="n">
        <v>-1613564.53</v>
      </c>
      <c r="L71" s="18" t="n">
        <v>-62794.75</v>
      </c>
      <c r="M71" s="18" t="n">
        <v>-159009.73</v>
      </c>
      <c r="N71" s="18" t="n">
        <v>74134.58</v>
      </c>
      <c r="P71" s="9" t="n"/>
      <c r="Q71" s="18" t="n">
        <v>52936.27</v>
      </c>
      <c r="R71" s="18" t="n">
        <v>-9658.690000000001</v>
      </c>
      <c r="S71" s="18" t="n">
        <v>25581.53</v>
      </c>
      <c r="T71" s="18" t="n">
        <v>169017.27</v>
      </c>
      <c r="U71" s="34" t="n">
        <v>237876.38</v>
      </c>
      <c r="V71" s="18" t="n">
        <v>258608.17</v>
      </c>
      <c r="W71" s="18" t="n">
        <v>371703.65</v>
      </c>
      <c r="X71" s="18" t="n">
        <v>289759.21</v>
      </c>
      <c r="Y71" s="18" t="n">
        <v>247519.12</v>
      </c>
      <c r="Z71" s="34" t="n">
        <v>1167590.15</v>
      </c>
      <c r="AA71" s="18" t="n">
        <v>441065.12</v>
      </c>
      <c r="AB71" s="19" t="n">
        <v>736113.64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32326.26</v>
      </c>
      <c r="F72" s="9" t="n"/>
      <c r="G72" s="18" t="n">
        <v>84990.13</v>
      </c>
      <c r="H72" s="18" t="n">
        <v>182181.81</v>
      </c>
      <c r="I72" s="18" t="n">
        <v>286338.6</v>
      </c>
      <c r="J72" s="18" t="n">
        <v>-13382.55</v>
      </c>
      <c r="K72" s="34" t="n">
        <v>540127.99</v>
      </c>
      <c r="L72" s="18" t="n">
        <v>195057.33</v>
      </c>
      <c r="M72" s="18" t="n">
        <v>88427.42</v>
      </c>
      <c r="N72" s="18" t="n">
        <v>188976.27</v>
      </c>
      <c r="O72" s="18" t="n">
        <v>80217.71000000001</v>
      </c>
      <c r="P72" s="34" t="n">
        <v>552678.73</v>
      </c>
      <c r="Q72" s="18" t="n">
        <v>303207.17</v>
      </c>
      <c r="R72" s="18" t="n">
        <v>41316.34</v>
      </c>
      <c r="S72" s="18" t="n">
        <v>-11215.92</v>
      </c>
      <c r="T72" s="18" t="n">
        <v>363192.87</v>
      </c>
      <c r="U72" s="34" t="n">
        <v>696500.46</v>
      </c>
      <c r="V72" s="18" t="n">
        <v>135685.01</v>
      </c>
      <c r="W72" s="18" t="n">
        <v>398614.68</v>
      </c>
      <c r="X72" s="18" t="n">
        <v>-39683.94</v>
      </c>
      <c r="Y72" s="18" t="n">
        <v>147942.3</v>
      </c>
      <c r="Z72" s="34" t="n">
        <v>642558.05</v>
      </c>
      <c r="AA72" s="18" t="n">
        <v>430821.32</v>
      </c>
      <c r="AB72" s="19" t="n">
        <v>186387.59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84074.39</v>
      </c>
      <c r="F73" s="9" t="n"/>
      <c r="G73" s="18" t="n">
        <v>159855.07</v>
      </c>
      <c r="H73" s="18" t="n">
        <v>756892.75</v>
      </c>
      <c r="I73" s="18" t="n">
        <v>1169912.01</v>
      </c>
      <c r="J73" s="18" t="n">
        <v>-949616.59</v>
      </c>
      <c r="K73" s="34" t="n">
        <v>1137043.24</v>
      </c>
      <c r="L73" s="18" t="n">
        <v>437292.19</v>
      </c>
      <c r="M73" s="18" t="n">
        <v>243231.05</v>
      </c>
      <c r="N73" s="18" t="n">
        <v>326552.74</v>
      </c>
      <c r="O73" s="18" t="n">
        <v>-108182.88</v>
      </c>
      <c r="P73" s="34" t="n">
        <v>898893.1</v>
      </c>
      <c r="Q73" s="18" t="n">
        <v>478115.2</v>
      </c>
      <c r="R73" s="18" t="n">
        <v>146284.99</v>
      </c>
      <c r="S73" s="18" t="n">
        <v>-21896.44</v>
      </c>
      <c r="T73" s="18" t="n">
        <v>569685.79</v>
      </c>
      <c r="U73" s="34" t="n">
        <v>1172189.54</v>
      </c>
      <c r="V73" s="18" t="n">
        <v>179662.64</v>
      </c>
      <c r="W73" s="18" t="n">
        <v>530933.86</v>
      </c>
      <c r="X73" s="18" t="n">
        <v>-42642.23</v>
      </c>
      <c r="Y73" s="18" t="n">
        <v>99017.92999999999</v>
      </c>
      <c r="Z73" s="34" t="n">
        <v>766972.2</v>
      </c>
      <c r="AA73" s="18" t="n">
        <v>459011.23</v>
      </c>
      <c r="AB73" s="19" t="n">
        <v>269057.3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181067.85</v>
      </c>
      <c r="F74" s="9" t="n"/>
      <c r="G74" s="18" t="n">
        <v>71928.09</v>
      </c>
      <c r="H74" s="18" t="n">
        <v>512228.61</v>
      </c>
      <c r="I74" s="18" t="n">
        <v>834614.45</v>
      </c>
      <c r="J74" s="18" t="n">
        <v>-908154.13</v>
      </c>
      <c r="K74" s="34" t="n">
        <v>510617.02</v>
      </c>
      <c r="L74" s="18" t="n">
        <v>193705.35</v>
      </c>
      <c r="M74" s="18" t="n">
        <v>82638.03999999999</v>
      </c>
      <c r="N74" s="18" t="n">
        <v>306853.12</v>
      </c>
      <c r="O74" s="18" t="n">
        <v>-28147.88</v>
      </c>
      <c r="P74" s="34" t="n">
        <v>555048.63</v>
      </c>
      <c r="Q74" s="18" t="n">
        <v>178304.91</v>
      </c>
      <c r="R74" s="18" t="n">
        <v>92630.85000000001</v>
      </c>
      <c r="S74" s="18" t="n">
        <v>-107919.08</v>
      </c>
      <c r="T74" s="18" t="n">
        <v>341249.83</v>
      </c>
      <c r="U74" s="34" t="n">
        <v>504266.51</v>
      </c>
      <c r="V74" s="18" t="n">
        <v>28721.13</v>
      </c>
      <c r="W74" s="18" t="n">
        <v>2742.97</v>
      </c>
      <c r="X74" s="18" t="n">
        <v>9727.049999999999</v>
      </c>
      <c r="Y74" s="18" t="n">
        <v>19933.87</v>
      </c>
      <c r="Z74" s="34" t="n">
        <v>61125.02</v>
      </c>
      <c r="AA74" s="18" t="n">
        <v>160253.64</v>
      </c>
      <c r="AB74" s="19" t="n">
        <v>60198.21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23328.25</v>
      </c>
      <c r="F75" s="9" t="n"/>
      <c r="G75" s="18" t="n">
        <v>18291.92</v>
      </c>
      <c r="H75" s="18" t="n">
        <v>13600.81</v>
      </c>
      <c r="I75" s="18" t="n">
        <v>5784.43</v>
      </c>
      <c r="J75" s="18" t="n">
        <v>57016.17</v>
      </c>
      <c r="K75" s="34" t="n">
        <v>94693.33</v>
      </c>
      <c r="L75" s="18" t="n">
        <v>8961.629999999999</v>
      </c>
      <c r="M75" s="18" t="n">
        <v>6105.84</v>
      </c>
      <c r="N75" s="18" t="n">
        <v>12316.52</v>
      </c>
      <c r="O75" s="18" t="n">
        <v>102729.55</v>
      </c>
      <c r="P75" s="34" t="n">
        <v>130113.54</v>
      </c>
      <c r="Q75" s="18" t="n">
        <v>2771.41</v>
      </c>
      <c r="R75" s="18" t="n">
        <v>3518.77</v>
      </c>
      <c r="S75" s="18" t="n">
        <v>8382.200000000001</v>
      </c>
      <c r="T75" s="18" t="n">
        <v>86197.16</v>
      </c>
      <c r="U75" s="34" t="n">
        <v>100869.54</v>
      </c>
      <c r="V75" s="18" t="n">
        <v>28662.46</v>
      </c>
      <c r="W75" s="18" t="n">
        <v>80449.56</v>
      </c>
      <c r="X75" s="18" t="n">
        <v>11912.51</v>
      </c>
      <c r="Y75" s="18" t="n">
        <v>63900.2</v>
      </c>
      <c r="Z75" s="34" t="n">
        <v>184924.73</v>
      </c>
      <c r="AA75" s="18" t="n">
        <v>19900.51</v>
      </c>
      <c r="AB75" s="19" t="n">
        <v>2395.31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-197.59</v>
      </c>
      <c r="F76" s="9" t="n"/>
      <c r="G76" s="18" t="n">
        <v>-147.55</v>
      </c>
      <c r="H76" s="18" t="n">
        <v>-166.07</v>
      </c>
      <c r="I76" s="18" t="n">
        <v>275.3</v>
      </c>
      <c r="J76" s="18" t="n">
        <v>267.97</v>
      </c>
      <c r="K76" s="34" t="n">
        <v>229.65</v>
      </c>
      <c r="L76" s="18" t="n">
        <v>372.5</v>
      </c>
      <c r="M76" s="18" t="n">
        <v>397.3</v>
      </c>
      <c r="N76" s="18" t="n">
        <v>507.08</v>
      </c>
      <c r="O76" s="18" t="n">
        <v>221.54</v>
      </c>
      <c r="P76" s="34" t="n">
        <v>1498.42</v>
      </c>
      <c r="Q76" s="18" t="n">
        <v>364.96</v>
      </c>
      <c r="R76" s="18" t="n">
        <v>358.25</v>
      </c>
      <c r="S76" s="18" t="n">
        <v>7111.04</v>
      </c>
      <c r="T76" s="18" t="n">
        <v>7616.56</v>
      </c>
      <c r="U76" s="34" t="n">
        <v>15450.81</v>
      </c>
      <c r="V76" s="18" t="n">
        <v>2503.39</v>
      </c>
      <c r="W76" s="18" t="n">
        <v>-10936.61</v>
      </c>
      <c r="X76" s="18" t="n">
        <v>-17933.14</v>
      </c>
      <c r="Y76" s="18" t="n">
        <v>-50640.36</v>
      </c>
      <c r="Z76" s="34" t="n">
        <v>-77006.72</v>
      </c>
      <c r="AA76" s="18" t="n">
        <v>-46783.21</v>
      </c>
      <c r="AB76" s="19" t="n">
        <v>-42722.72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-197.59</v>
      </c>
      <c r="F77" s="9" t="n"/>
      <c r="G77" s="18" t="n">
        <v>-147.55</v>
      </c>
      <c r="H77" s="18" t="n">
        <v>-166.07</v>
      </c>
      <c r="I77" s="18" t="n">
        <v>275.3</v>
      </c>
      <c r="J77" s="18" t="n">
        <v>267.97</v>
      </c>
      <c r="K77" s="34" t="n">
        <v>229.65</v>
      </c>
      <c r="L77" s="18" t="n">
        <v>372.5</v>
      </c>
      <c r="M77" s="18" t="n">
        <v>397.3</v>
      </c>
      <c r="N77" s="18" t="n">
        <v>507.08</v>
      </c>
      <c r="O77" s="18" t="n">
        <v>221.54</v>
      </c>
      <c r="P77" s="34" t="n">
        <v>1498.42</v>
      </c>
      <c r="Q77" s="18" t="n">
        <v>364.96</v>
      </c>
      <c r="R77" s="18" t="n">
        <v>358.25</v>
      </c>
      <c r="S77" s="18" t="n">
        <v>7111.04</v>
      </c>
      <c r="T77" s="18" t="n">
        <v>7616.56</v>
      </c>
      <c r="U77" s="34" t="n">
        <v>15450.81</v>
      </c>
      <c r="V77" s="18" t="n">
        <v>2503.39</v>
      </c>
      <c r="W77" s="18" t="n">
        <v>-10936.61</v>
      </c>
      <c r="X77" s="18" t="n">
        <v>-17933.14</v>
      </c>
      <c r="Y77" s="18" t="n">
        <v>-50640.36</v>
      </c>
      <c r="Z77" s="34" t="n">
        <v>-77006.72</v>
      </c>
      <c r="AA77" s="18" t="n">
        <v>-46783.21</v>
      </c>
      <c r="AB77" s="19" t="n">
        <v>-42722.72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-409541.62</v>
      </c>
      <c r="F78" s="9" t="n"/>
      <c r="G78" s="18" t="n">
        <v>-491481.72</v>
      </c>
      <c r="H78" s="18" t="n">
        <v>-175757.39</v>
      </c>
      <c r="I78" s="18" t="n">
        <v>-682286.89</v>
      </c>
      <c r="J78" s="18" t="n">
        <v>-444800.44</v>
      </c>
      <c r="K78" s="34" t="n">
        <v>-1794326.44</v>
      </c>
      <c r="L78" s="18" t="n">
        <v>-119913.39</v>
      </c>
      <c r="M78" s="18" t="n">
        <v>-236883.87</v>
      </c>
      <c r="N78" s="18" t="n">
        <v>231601.79</v>
      </c>
      <c r="O78" s="18" t="n">
        <v>8916.299999999999</v>
      </c>
      <c r="P78" s="34" t="n">
        <v>-116279.17</v>
      </c>
      <c r="Q78" s="18" t="n">
        <v>53926.71</v>
      </c>
      <c r="R78" s="18" t="n">
        <v>-25157.02</v>
      </c>
      <c r="S78" s="18" t="n">
        <v>-72928.19</v>
      </c>
      <c r="T78" s="18" t="n">
        <v>225193.57</v>
      </c>
      <c r="U78" s="34" t="n">
        <v>181035.07</v>
      </c>
      <c r="V78" s="18" t="n">
        <v>217192.61</v>
      </c>
      <c r="W78" s="18" t="n">
        <v>150741.27</v>
      </c>
      <c r="X78" s="18" t="n">
        <v>272598.9</v>
      </c>
      <c r="Y78" s="18" t="n">
        <v>201836.79</v>
      </c>
      <c r="Z78" s="34" t="n">
        <v>842369.5699999999</v>
      </c>
      <c r="AA78" s="18" t="n">
        <v>506445.12</v>
      </c>
      <c r="AB78" s="19" t="n">
        <v>668524.12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-11139.89</v>
      </c>
      <c r="F79" s="9" t="n"/>
      <c r="G79" s="18" t="n">
        <v>316.21</v>
      </c>
      <c r="H79" s="18" t="n">
        <v>324.47</v>
      </c>
      <c r="I79" s="18" t="n">
        <v>-35659.11</v>
      </c>
      <c r="J79" s="18" t="n">
        <v>-14529.56</v>
      </c>
      <c r="K79" s="34" t="n">
        <v>-49547.99</v>
      </c>
      <c r="L79" s="18" t="n">
        <v>495.62</v>
      </c>
      <c r="M79" s="18" t="n">
        <v>326.36</v>
      </c>
      <c r="N79" s="18" t="n">
        <v>-3.91</v>
      </c>
      <c r="O79" s="18" t="n">
        <v>-277141.11</v>
      </c>
      <c r="P79" s="34" t="n">
        <v>-276323.04</v>
      </c>
      <c r="Q79" s="18" t="n">
        <v>2905.83</v>
      </c>
      <c r="R79" s="18" t="n">
        <v>2225.89</v>
      </c>
      <c r="S79" s="18" t="n">
        <v>1918.78</v>
      </c>
      <c r="T79" s="18" t="n">
        <v>-354228.33</v>
      </c>
      <c r="U79" s="34" t="n">
        <v>-347177.83</v>
      </c>
      <c r="V79" s="18" t="n">
        <v>1466.69</v>
      </c>
      <c r="W79" s="18" t="n">
        <v>2265.15</v>
      </c>
      <c r="X79" s="18" t="n">
        <v>3211.73</v>
      </c>
      <c r="Y79" s="18" t="n">
        <v>-410495.54</v>
      </c>
      <c r="Z79" s="34" t="n">
        <v>-403551.97</v>
      </c>
      <c r="AA79" s="18" t="n">
        <v>6408.4</v>
      </c>
      <c r="AB79" s="19" t="n">
        <v>-24064.98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-398401.72</v>
      </c>
      <c r="F80" s="9" t="n"/>
      <c r="G80" s="18" t="n">
        <v>-491797.92</v>
      </c>
      <c r="H80" s="18" t="n">
        <v>-176081.86</v>
      </c>
      <c r="I80" s="18" t="n">
        <v>-646627.78</v>
      </c>
      <c r="J80" s="18" t="n">
        <v>-430270.88</v>
      </c>
      <c r="K80" s="34" t="n">
        <v>-1744778.44</v>
      </c>
      <c r="L80" s="18" t="n">
        <v>-120409.02</v>
      </c>
      <c r="M80" s="18" t="n">
        <v>-237210.23</v>
      </c>
      <c r="N80" s="18" t="n">
        <v>231605.7</v>
      </c>
      <c r="O80" s="18" t="n">
        <v>286057.4</v>
      </c>
      <c r="P80" s="34" t="n">
        <v>160043.85</v>
      </c>
      <c r="Q80" s="18" t="n">
        <v>51020.88</v>
      </c>
      <c r="R80" s="18" t="n">
        <v>-27382.91</v>
      </c>
      <c r="S80" s="18" t="n">
        <v>-74846.97</v>
      </c>
      <c r="T80" s="18" t="n">
        <v>579421.9</v>
      </c>
      <c r="U80" s="34" t="n">
        <v>528212.9</v>
      </c>
      <c r="V80" s="18" t="n">
        <v>215725.91</v>
      </c>
      <c r="W80" s="18" t="n">
        <v>148476.12</v>
      </c>
      <c r="X80" s="18" t="n">
        <v>269387.17</v>
      </c>
      <c r="Y80" s="18" t="n">
        <v>612332.33</v>
      </c>
      <c r="Z80" s="34" t="n">
        <v>1245921.53</v>
      </c>
      <c r="AA80" s="18" t="n">
        <v>500036.73</v>
      </c>
      <c r="AB80" s="19" t="n">
        <v>692589.09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-398401.72</v>
      </c>
      <c r="F81" s="9" t="n"/>
      <c r="G81" s="18" t="n">
        <v>-491797.92</v>
      </c>
      <c r="H81" s="18" t="n">
        <v>-176081.86</v>
      </c>
      <c r="I81" s="18" t="n">
        <v>-646627.78</v>
      </c>
      <c r="J81" s="18" t="n">
        <v>-430270.88</v>
      </c>
      <c r="K81" s="34" t="n">
        <v>-1744778.44</v>
      </c>
      <c r="L81" s="18" t="n">
        <v>-120409.02</v>
      </c>
      <c r="M81" s="18" t="n">
        <v>-237210.23</v>
      </c>
      <c r="N81" s="18" t="n">
        <v>231519.94</v>
      </c>
      <c r="O81" s="18" t="n">
        <v>285985.26</v>
      </c>
      <c r="P81" s="34" t="n">
        <v>159885.95</v>
      </c>
      <c r="Q81" s="18" t="n">
        <v>51034.87</v>
      </c>
      <c r="R81" s="18" t="n">
        <v>-27519.67</v>
      </c>
      <c r="S81" s="18" t="n">
        <v>-74885.37</v>
      </c>
      <c r="T81" s="18" t="n">
        <v>579489.28</v>
      </c>
      <c r="U81" s="34" t="n">
        <v>528119.11</v>
      </c>
      <c r="V81" s="18" t="n">
        <v>215693.63</v>
      </c>
      <c r="W81" s="18" t="n">
        <v>148431.76</v>
      </c>
      <c r="X81" s="18" t="n">
        <v>269352.29</v>
      </c>
      <c r="Y81" s="18" t="n">
        <v>612360.8199999999</v>
      </c>
      <c r="Z81" s="34" t="n">
        <v>1245838.5</v>
      </c>
      <c r="AA81" s="18" t="n">
        <v>500005.98</v>
      </c>
      <c r="AB81" s="19" t="n">
        <v>692571.51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-51748.13</v>
      </c>
      <c r="F82" s="9" t="n"/>
      <c r="G82" s="18" t="n">
        <v>-74864.94</v>
      </c>
      <c r="H82" s="18" t="n">
        <v>-574710.9399999999</v>
      </c>
      <c r="I82" s="18" t="n">
        <v>-883573.41</v>
      </c>
      <c r="J82" s="18" t="n">
        <v>936234.04</v>
      </c>
      <c r="K82" s="34" t="n">
        <v>-596915.25</v>
      </c>
      <c r="L82" s="18" t="n">
        <v>-242234.86</v>
      </c>
      <c r="M82" s="18" t="n">
        <v>-154803.63</v>
      </c>
      <c r="N82" s="18" t="n">
        <v>-137576.47</v>
      </c>
      <c r="O82" s="18" t="n">
        <v>188400.59</v>
      </c>
      <c r="P82" s="34" t="n">
        <v>-346214.37</v>
      </c>
      <c r="Q82" s="18" t="n">
        <v>-174908.03</v>
      </c>
      <c r="R82" s="18" t="n">
        <v>-104968.65</v>
      </c>
      <c r="S82" s="18" t="n">
        <v>10680.52</v>
      </c>
      <c r="T82" s="18" t="n">
        <v>-206492.92</v>
      </c>
      <c r="U82" s="34" t="n">
        <v>-475689.08</v>
      </c>
      <c r="V82" s="18" t="n">
        <v>-43977.63</v>
      </c>
      <c r="W82" s="18" t="n">
        <v>-132319.18</v>
      </c>
      <c r="X82" s="18" t="n">
        <v>2958.29</v>
      </c>
      <c r="Y82" s="18" t="n">
        <v>48924.37</v>
      </c>
      <c r="Z82" s="34" t="n">
        <v>-124414.15</v>
      </c>
      <c r="AA82" s="18" t="n">
        <v>-28189.91</v>
      </c>
      <c r="AB82" s="19" t="n">
        <v>-82669.71000000001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157739.6</v>
      </c>
      <c r="F83" s="9" t="n"/>
      <c r="G83" s="18" t="n">
        <v>53636.17</v>
      </c>
      <c r="H83" s="18" t="n">
        <v>498627.8</v>
      </c>
      <c r="I83" s="18" t="n">
        <v>828830.02</v>
      </c>
      <c r="J83" s="18" t="n">
        <v>-965170.3</v>
      </c>
      <c r="K83" s="34" t="n">
        <v>415923.69</v>
      </c>
      <c r="L83" s="18" t="n">
        <v>184743.72</v>
      </c>
      <c r="M83" s="18" t="n">
        <v>76532.2</v>
      </c>
      <c r="N83" s="18" t="n">
        <v>294536.6</v>
      </c>
      <c r="O83" s="18" t="n">
        <v>-130877.43</v>
      </c>
      <c r="P83" s="34" t="n">
        <v>424935.09</v>
      </c>
      <c r="Q83" s="18" t="n">
        <v>175533.5</v>
      </c>
      <c r="R83" s="18" t="n">
        <v>89112.08</v>
      </c>
      <c r="S83" s="18" t="n">
        <v>-116301.28</v>
      </c>
      <c r="T83" s="18" t="n">
        <v>255052.67</v>
      </c>
      <c r="U83" s="34" t="n">
        <v>403396.97</v>
      </c>
      <c r="V83" s="18" t="n">
        <v>58.67</v>
      </c>
      <c r="W83" s="18" t="n">
        <v>-77706.59</v>
      </c>
      <c r="X83" s="18" t="n">
        <v>-2185.46</v>
      </c>
      <c r="Y83" s="18" t="n">
        <v>-43966.33</v>
      </c>
      <c r="Z83" s="34" t="n">
        <v>-123799.71</v>
      </c>
      <c r="AA83" s="18" t="n">
        <v>140353.13</v>
      </c>
      <c r="AB83" s="19" t="n">
        <v>57802.9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-398401.72</v>
      </c>
      <c r="F84" s="9" t="n"/>
      <c r="G84" s="18" t="n">
        <v>-491797.92</v>
      </c>
      <c r="H84" s="18" t="n">
        <v>-176081.86</v>
      </c>
      <c r="I84" s="18" t="n">
        <v>-646627.78</v>
      </c>
      <c r="J84" s="18" t="n">
        <v>-430270.88</v>
      </c>
      <c r="K84" s="34" t="n">
        <v>-1744778.44</v>
      </c>
      <c r="L84" s="18" t="n">
        <v>-120409.02</v>
      </c>
      <c r="M84" s="18" t="n">
        <v>-237210.23</v>
      </c>
      <c r="N84" s="18" t="n">
        <v>231605.7</v>
      </c>
      <c r="O84" s="18" t="n">
        <v>286057.4</v>
      </c>
      <c r="P84" s="34" t="n">
        <v>160043.85</v>
      </c>
      <c r="Q84" s="18" t="n">
        <v>51020.88</v>
      </c>
      <c r="R84" s="18" t="n">
        <v>-27382.91</v>
      </c>
      <c r="S84" s="18" t="n">
        <v>-74846.97</v>
      </c>
      <c r="T84" s="18" t="n">
        <v>579421.9</v>
      </c>
      <c r="U84" s="34" t="n">
        <v>528212.9</v>
      </c>
      <c r="V84" s="18" t="n">
        <v>215725.91</v>
      </c>
      <c r="W84" s="18" t="n">
        <v>148476.12</v>
      </c>
      <c r="X84" s="18" t="n">
        <v>269387.17</v>
      </c>
      <c r="Y84" s="18" t="n">
        <v>612332.33</v>
      </c>
      <c r="Z84" s="34" t="n">
        <v>1245921.53</v>
      </c>
      <c r="AA84" s="18" t="n">
        <v>500036.73</v>
      </c>
      <c r="AB84" s="19" t="n">
        <v>692589.09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-359954.48</v>
      </c>
      <c r="F85" s="9" t="n"/>
      <c r="G85" s="18" t="n">
        <v>-491024.59</v>
      </c>
      <c r="H85" s="18" t="n">
        <v>-178177.9</v>
      </c>
      <c r="I85" s="18" t="n">
        <v>-649695.09</v>
      </c>
      <c r="J85" s="18" t="n">
        <v>-153713.94</v>
      </c>
      <c r="K85" s="34" t="n">
        <v>-1472611.52</v>
      </c>
      <c r="L85" s="18" t="n">
        <v>-115911.83</v>
      </c>
      <c r="M85" s="18" t="n">
        <v>-294106.79</v>
      </c>
      <c r="N85" s="18" t="n">
        <v>237092.44</v>
      </c>
      <c r="P85" s="9" t="n"/>
      <c r="Q85" s="18" t="n">
        <v>55529.22</v>
      </c>
      <c r="R85" s="18" t="n">
        <v>-22662.65</v>
      </c>
      <c r="S85" s="18" t="n">
        <v>-152315.06</v>
      </c>
      <c r="T85" s="18" t="n">
        <v>687847.89</v>
      </c>
      <c r="U85" s="34" t="n">
        <v>568399.4</v>
      </c>
      <c r="V85" s="18" t="n">
        <v>218098.6</v>
      </c>
      <c r="W85" s="18" t="n">
        <v>124783.11</v>
      </c>
      <c r="X85" s="18" t="n">
        <v>252585.49</v>
      </c>
      <c r="Y85" s="18" t="n">
        <v>671020.3</v>
      </c>
      <c r="Z85" s="34" t="n">
        <v>1266487.5</v>
      </c>
      <c r="AA85" s="18" t="n">
        <v>636529.59</v>
      </c>
      <c r="AB85" s="19" t="n">
        <v>706240.87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14338</v>
      </c>
      <c r="H86" s="18" t="n">
        <v>14445</v>
      </c>
      <c r="I86" s="18" t="n">
        <v>17751</v>
      </c>
      <c r="J86" s="18" t="n">
        <v>19659</v>
      </c>
      <c r="K86" s="34" t="n">
        <v>66193</v>
      </c>
      <c r="L86" s="18" t="n">
        <v>24009</v>
      </c>
      <c r="M86" s="18" t="n">
        <v>18134</v>
      </c>
      <c r="N86" s="18" t="n">
        <v>24644</v>
      </c>
      <c r="O86" s="18" t="n">
        <v>50977</v>
      </c>
      <c r="P86" s="34" t="n">
        <v>117764</v>
      </c>
      <c r="Q86" s="18" t="n">
        <v>22627</v>
      </c>
      <c r="R86" s="18" t="n">
        <v>24380</v>
      </c>
      <c r="S86" s="18" t="n">
        <v>19162</v>
      </c>
      <c r="T86" s="18" t="n">
        <v>-1895</v>
      </c>
      <c r="U86" s="34" t="n">
        <v>64274</v>
      </c>
      <c r="V86" s="18" t="n">
        <v>17967</v>
      </c>
      <c r="W86" s="18" t="n">
        <v>17323</v>
      </c>
      <c r="X86" s="18" t="n">
        <v>11726</v>
      </c>
      <c r="Y86" s="18" t="n">
        <v>28820</v>
      </c>
      <c r="Z86" s="34" t="n">
        <v>75836</v>
      </c>
      <c r="AA86" s="18" t="n">
        <v>9995</v>
      </c>
      <c r="AB86" s="19" t="n">
        <v>17609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배당금수익</t>
        </is>
      </c>
      <c r="F87" s="9" t="n"/>
      <c r="G87" s="18" t="n">
        <v>46</v>
      </c>
      <c r="H87" s="18" t="n">
        <v>15</v>
      </c>
      <c r="I87" s="18" t="n">
        <v>0</v>
      </c>
      <c r="J87" s="18" t="n">
        <v>0</v>
      </c>
      <c r="K87" s="34" t="n">
        <v>61</v>
      </c>
      <c r="L87" s="18" t="n">
        <v>65</v>
      </c>
      <c r="M87" s="18" t="n">
        <v>8</v>
      </c>
      <c r="N87" s="18" t="n">
        <v>0</v>
      </c>
      <c r="O87" s="18" t="n">
        <v>0</v>
      </c>
      <c r="P87" s="34" t="n">
        <v>73</v>
      </c>
      <c r="Q87" s="18" t="n">
        <v>42</v>
      </c>
      <c r="R87" s="18" t="n">
        <v>138</v>
      </c>
      <c r="S87" s="18" t="n">
        <v>24</v>
      </c>
      <c r="T87" s="18" t="n">
        <v>-24</v>
      </c>
      <c r="U87" s="34" t="n">
        <v>180</v>
      </c>
      <c r="V87" s="18" t="n">
        <v>19</v>
      </c>
      <c r="W87" s="18" t="n">
        <v>1</v>
      </c>
      <c r="X87" s="18" t="n">
        <v>2</v>
      </c>
      <c r="Y87" s="18" t="n">
        <v>7</v>
      </c>
      <c r="Z87" s="34" t="n">
        <v>29</v>
      </c>
      <c r="AA87" s="18" t="n">
        <v>172</v>
      </c>
      <c r="AB87" s="19" t="n">
        <v>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이자비용</t>
        </is>
      </c>
      <c r="F88" s="9" t="n"/>
      <c r="G88" s="18" t="n">
        <v>25198</v>
      </c>
      <c r="H88" s="18" t="n">
        <v>27463</v>
      </c>
      <c r="I88" s="18" t="n">
        <v>32927</v>
      </c>
      <c r="J88" s="18" t="n">
        <v>36227</v>
      </c>
      <c r="K88" s="34" t="n">
        <v>121815</v>
      </c>
      <c r="L88" s="18" t="n">
        <v>41593</v>
      </c>
      <c r="M88" s="18" t="n">
        <v>41735</v>
      </c>
      <c r="N88" s="18" t="n">
        <v>35878</v>
      </c>
      <c r="O88" s="18" t="n">
        <v>39827</v>
      </c>
      <c r="P88" s="34" t="n">
        <v>159033</v>
      </c>
      <c r="Q88" s="18" t="n">
        <v>38982</v>
      </c>
      <c r="R88" s="18" t="n">
        <v>50689</v>
      </c>
      <c r="S88" s="18" t="n">
        <v>51808</v>
      </c>
      <c r="T88" s="18" t="n">
        <v>31036</v>
      </c>
      <c r="U88" s="34" t="n">
        <v>172515</v>
      </c>
      <c r="V88" s="18" t="n">
        <v>51493</v>
      </c>
      <c r="W88" s="18" t="n">
        <v>52609</v>
      </c>
      <c r="X88" s="18" t="n">
        <v>52080</v>
      </c>
      <c r="Y88" s="18" t="n">
        <v>39548</v>
      </c>
      <c r="Z88" s="34" t="n">
        <v>195730</v>
      </c>
      <c r="AA88" s="18" t="n">
        <v>56339</v>
      </c>
      <c r="AB88" s="19" t="n">
        <v>57194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외환차익</t>
        </is>
      </c>
      <c r="F89" s="9" t="n"/>
      <c r="G89" s="18" t="n">
        <v>40349</v>
      </c>
      <c r="H89" s="18" t="n">
        <v>82858</v>
      </c>
      <c r="I89" s="18" t="n">
        <v>191808</v>
      </c>
      <c r="J89" s="18" t="n">
        <v>86685</v>
      </c>
      <c r="K89" s="34" t="n">
        <v>401700</v>
      </c>
      <c r="L89" s="18" t="n">
        <v>97721</v>
      </c>
      <c r="M89" s="18" t="n">
        <v>90052</v>
      </c>
      <c r="N89" s="18" t="n">
        <v>117712</v>
      </c>
      <c r="O89" s="18" t="n">
        <v>72732</v>
      </c>
      <c r="P89" s="34" t="n">
        <v>378217</v>
      </c>
      <c r="Q89" s="18" t="n">
        <v>196178</v>
      </c>
      <c r="R89" s="18" t="n">
        <v>-22099</v>
      </c>
      <c r="S89" s="18" t="n">
        <v>60422</v>
      </c>
      <c r="T89" s="18" t="n">
        <v>142740</v>
      </c>
      <c r="U89" s="34" t="n">
        <v>377241</v>
      </c>
      <c r="V89" s="18" t="n">
        <v>86914</v>
      </c>
      <c r="W89" s="18" t="n">
        <v>77318</v>
      </c>
      <c r="X89" s="18" t="n">
        <v>50378</v>
      </c>
      <c r="Y89" s="18" t="n">
        <v>137811</v>
      </c>
      <c r="Z89" s="34" t="n">
        <v>352421</v>
      </c>
      <c r="AA89" s="18" t="n">
        <v>170749</v>
      </c>
      <c r="AB89" s="19" t="n">
        <v>123524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외환차손</t>
        </is>
      </c>
      <c r="F90" s="9" t="n"/>
      <c r="G90" s="18" t="n">
        <v>16300</v>
      </c>
      <c r="H90" s="18" t="n">
        <v>69798</v>
      </c>
      <c r="I90" s="18" t="n">
        <v>134593</v>
      </c>
      <c r="J90" s="18" t="n">
        <v>98313</v>
      </c>
      <c r="K90" s="34" t="n">
        <v>319004</v>
      </c>
      <c r="L90" s="18" t="n">
        <v>88769</v>
      </c>
      <c r="M90" s="18" t="n">
        <v>77002</v>
      </c>
      <c r="N90" s="18" t="n">
        <v>82041</v>
      </c>
      <c r="O90" s="18" t="n">
        <v>67542</v>
      </c>
      <c r="P90" s="34" t="n">
        <v>315354</v>
      </c>
      <c r="Q90" s="18" t="n">
        <v>147113</v>
      </c>
      <c r="R90" s="18" t="n">
        <v>-79298</v>
      </c>
      <c r="S90" s="18" t="n">
        <v>76480</v>
      </c>
      <c r="T90" s="18" t="n">
        <v>87226</v>
      </c>
      <c r="U90" s="34" t="n">
        <v>231521</v>
      </c>
      <c r="V90" s="18" t="n">
        <v>100622</v>
      </c>
      <c r="W90" s="18" t="n">
        <v>189793</v>
      </c>
      <c r="X90" s="18" t="n">
        <v>103540</v>
      </c>
      <c r="Y90" s="18" t="n">
        <v>84738</v>
      </c>
      <c r="Z90" s="34" t="n">
        <v>478693</v>
      </c>
      <c r="AA90" s="18" t="n">
        <v>89671</v>
      </c>
      <c r="AB90" s="19" t="n">
        <v>75007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외화환산이익</t>
        </is>
      </c>
      <c r="F91" s="9" t="n"/>
      <c r="G91" s="18" t="n">
        <v>24927</v>
      </c>
      <c r="H91" s="18" t="n">
        <v>85740</v>
      </c>
      <c r="I91" s="18" t="n">
        <v>72772</v>
      </c>
      <c r="J91" s="18" t="n">
        <v>-122079</v>
      </c>
      <c r="K91" s="34" t="n">
        <v>61360</v>
      </c>
      <c r="L91" s="18" t="n">
        <v>62628</v>
      </c>
      <c r="M91" s="18" t="n">
        <v>-28149</v>
      </c>
      <c r="N91" s="18" t="n">
        <v>24914</v>
      </c>
      <c r="O91" s="18" t="n">
        <v>-54692</v>
      </c>
      <c r="P91" s="34" t="n">
        <v>4701</v>
      </c>
      <c r="Q91" s="18" t="n">
        <v>84015</v>
      </c>
      <c r="R91" s="18" t="n">
        <v>34744</v>
      </c>
      <c r="S91" s="18" t="n">
        <v>-94289</v>
      </c>
      <c r="T91" s="18" t="n">
        <v>219930</v>
      </c>
      <c r="U91" s="34" t="n">
        <v>244400</v>
      </c>
      <c r="V91" s="18" t="n">
        <v>29834</v>
      </c>
      <c r="W91" s="18" t="n">
        <v>146180</v>
      </c>
      <c r="X91" s="18" t="n">
        <v>-30542</v>
      </c>
      <c r="Y91" s="18" t="n">
        <v>-8947</v>
      </c>
      <c r="Z91" s="34" t="n">
        <v>136525</v>
      </c>
      <c r="AA91" s="18" t="n">
        <v>248259</v>
      </c>
      <c r="AB91" s="19" t="n">
        <v>40822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외화환산손실</t>
        </is>
      </c>
      <c r="F92" s="9" t="n"/>
      <c r="G92" s="18" t="n">
        <v>43997</v>
      </c>
      <c r="H92" s="18" t="n">
        <v>150361</v>
      </c>
      <c r="I92" s="18" t="n">
        <v>232205</v>
      </c>
      <c r="J92" s="18" t="n">
        <v>-230247</v>
      </c>
      <c r="K92" s="34" t="n">
        <v>196316</v>
      </c>
      <c r="L92" s="18" t="n">
        <v>79922</v>
      </c>
      <c r="M92" s="18" t="n">
        <v>11721</v>
      </c>
      <c r="N92" s="18" t="n">
        <v>20088</v>
      </c>
      <c r="O92" s="18" t="n">
        <v>-60601</v>
      </c>
      <c r="P92" s="34" t="n">
        <v>51130</v>
      </c>
      <c r="Q92" s="18" t="n">
        <v>78497</v>
      </c>
      <c r="R92" s="18" t="n">
        <v>57386</v>
      </c>
      <c r="S92" s="18" t="n">
        <v>-30504</v>
      </c>
      <c r="T92" s="18" t="n">
        <v>150785</v>
      </c>
      <c r="U92" s="34" t="n">
        <v>256164</v>
      </c>
      <c r="V92" s="18" t="n">
        <v>12719</v>
      </c>
      <c r="W92" s="18" t="n">
        <v>303104</v>
      </c>
      <c r="X92" s="18" t="n">
        <v>-199276</v>
      </c>
      <c r="Y92" s="18" t="n">
        <v>-34343</v>
      </c>
      <c r="Z92" s="34" t="n">
        <v>82204</v>
      </c>
      <c r="AA92" s="18" t="n">
        <v>146145</v>
      </c>
      <c r="AB92" s="19" t="n">
        <v>49400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이자손익</t>
        </is>
      </c>
      <c r="F93" s="9" t="n"/>
      <c r="G93" s="18" t="n">
        <v>-10860</v>
      </c>
      <c r="H93" s="18" t="n">
        <v>-13018</v>
      </c>
      <c r="I93" s="18" t="n">
        <v>-15176</v>
      </c>
      <c r="J93" s="18" t="n">
        <v>-16568</v>
      </c>
      <c r="K93" s="34" t="n">
        <v>-55622</v>
      </c>
      <c r="L93" s="18" t="n">
        <v>-17584</v>
      </c>
      <c r="M93" s="18" t="n">
        <v>-23601</v>
      </c>
      <c r="N93" s="18" t="n">
        <v>-11234</v>
      </c>
      <c r="O93" s="18" t="n">
        <v>11150</v>
      </c>
      <c r="P93" s="34" t="n">
        <v>-41269</v>
      </c>
      <c r="Q93" s="18" t="n">
        <v>-16355</v>
      </c>
      <c r="R93" s="18" t="n">
        <v>-26309</v>
      </c>
      <c r="S93" s="18" t="n">
        <v>-32646</v>
      </c>
      <c r="T93" s="18" t="n">
        <v>-32931</v>
      </c>
      <c r="U93" s="34" t="n">
        <v>-108241</v>
      </c>
      <c r="V93" s="18" t="n">
        <v>-33526</v>
      </c>
      <c r="W93" s="18" t="n">
        <v>-35286</v>
      </c>
      <c r="X93" s="18" t="n">
        <v>-40354</v>
      </c>
      <c r="Y93" s="18" t="n">
        <v>-10728</v>
      </c>
      <c r="Z93" s="34" t="n">
        <v>-119894</v>
      </c>
      <c r="AA93" s="18" t="n">
        <v>-46344</v>
      </c>
      <c r="AB93" s="19" t="n">
        <v>-39585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(비지배주주지분)당기순이익</t>
        </is>
      </c>
      <c r="F94" s="9" t="n"/>
      <c r="K94" s="9" t="n"/>
      <c r="N94" s="18" t="n">
        <v>85.76000000000001</v>
      </c>
      <c r="O94" s="18" t="n">
        <v>72.14</v>
      </c>
      <c r="P94" s="9" t="n"/>
      <c r="Q94" s="18" t="n">
        <v>-14</v>
      </c>
      <c r="R94" s="18" t="n">
        <v>136.76</v>
      </c>
      <c r="S94" s="18" t="n">
        <v>38.4</v>
      </c>
      <c r="T94" s="18" t="n">
        <v>-67.38</v>
      </c>
      <c r="U94" s="34" t="n">
        <v>93.78</v>
      </c>
      <c r="V94" s="18" t="n">
        <v>32.29</v>
      </c>
      <c r="W94" s="18" t="n">
        <v>44.36</v>
      </c>
      <c r="X94" s="18" t="n">
        <v>34.87</v>
      </c>
      <c r="Y94" s="18" t="n">
        <v>-28.48</v>
      </c>
      <c r="Z94" s="34" t="n">
        <v>83.04000000000001</v>
      </c>
      <c r="AA94" s="18" t="n">
        <v>30.75</v>
      </c>
      <c r="AB94" s="19" t="n">
        <v>17.58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K95" s="9" t="n"/>
      <c r="P95" s="9" t="n"/>
      <c r="U95" s="9" t="n"/>
      <c r="W95" s="18" t="n">
        <v>157782</v>
      </c>
      <c r="X95" s="18" t="n">
        <v>-71331</v>
      </c>
      <c r="Y95" s="18" t="n">
        <v>-9779</v>
      </c>
      <c r="Z95" s="9" t="n"/>
      <c r="AA95" s="18" t="n">
        <v>1318</v>
      </c>
      <c r="AB95" s="19" t="n">
        <v>3864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K96" s="9" t="n"/>
      <c r="P96" s="9" t="n"/>
      <c r="U96" s="9" t="n"/>
      <c r="W96" s="18" t="n">
        <v>-14573</v>
      </c>
      <c r="X96" s="18" t="n">
        <v>1014</v>
      </c>
      <c r="Y96" s="18" t="n">
        <v>9075</v>
      </c>
      <c r="Z96" s="9" t="n"/>
      <c r="AA96" s="18" t="n">
        <v>166856</v>
      </c>
      <c r="AB96" s="19" t="n">
        <v>87408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28365.93</v>
      </c>
      <c r="F97" s="9" t="n"/>
      <c r="G97" s="18" t="n">
        <v>-725825.8100000001</v>
      </c>
      <c r="H97" s="18" t="n">
        <v>-279038.48</v>
      </c>
      <c r="I97" s="18" t="n">
        <v>-178055.47</v>
      </c>
      <c r="J97" s="18" t="n">
        <v>117487.13</v>
      </c>
      <c r="K97" s="34" t="n">
        <v>-1065432.63</v>
      </c>
      <c r="L97" s="18" t="n">
        <v>-776346.72</v>
      </c>
      <c r="M97" s="18" t="n">
        <v>18351.27</v>
      </c>
      <c r="N97" s="18" t="n">
        <v>-726049.36</v>
      </c>
      <c r="O97" s="18" t="n">
        <v>-455110.5</v>
      </c>
      <c r="P97" s="34" t="n">
        <v>-1939155.31</v>
      </c>
      <c r="Q97" s="18" t="n">
        <v>-1164444.89</v>
      </c>
      <c r="R97" s="18" t="n">
        <v>-502494.72</v>
      </c>
      <c r="S97" s="18" t="n">
        <v>-982928.98</v>
      </c>
      <c r="T97" s="18" t="n">
        <v>-254705.88</v>
      </c>
      <c r="U97" s="34" t="n">
        <v>-2904574.47</v>
      </c>
      <c r="V97" s="18" t="n">
        <v>222413.2</v>
      </c>
      <c r="W97" s="18" t="n">
        <v>625473.29</v>
      </c>
      <c r="X97" s="18" t="n">
        <v>-340157.92</v>
      </c>
      <c r="Y97" s="18" t="n">
        <v>806943.01</v>
      </c>
      <c r="Z97" s="34" t="n">
        <v>1314671.58</v>
      </c>
      <c r="AA97" s="18" t="n">
        <v>221996.29</v>
      </c>
      <c r="AB97" s="19" t="n">
        <v>818214.29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0</v>
      </c>
      <c r="F98" s="9" t="n"/>
      <c r="G98" s="18" t="n">
        <v>570.89</v>
      </c>
      <c r="H98" s="18" t="n">
        <v>14.85</v>
      </c>
      <c r="I98" s="18" t="n">
        <v>0</v>
      </c>
      <c r="J98" s="18" t="n">
        <v>0</v>
      </c>
      <c r="K98" s="34" t="n">
        <v>585.74</v>
      </c>
      <c r="L98" s="18" t="n">
        <v>950</v>
      </c>
      <c r="M98" s="18" t="n">
        <v>73.25</v>
      </c>
      <c r="N98" s="18" t="n">
        <v>0</v>
      </c>
      <c r="O98" s="18" t="n">
        <v>0</v>
      </c>
      <c r="P98" s="34" t="n">
        <v>1023.25</v>
      </c>
      <c r="Q98" s="18" t="n">
        <v>874</v>
      </c>
      <c r="R98" s="18" t="n">
        <v>180.29</v>
      </c>
      <c r="S98" s="18" t="n">
        <v>23.91</v>
      </c>
      <c r="T98" s="18" t="n">
        <v>-23.91</v>
      </c>
      <c r="U98" s="34" t="n">
        <v>1054.29</v>
      </c>
      <c r="X98" s="18" t="n">
        <v>3.19</v>
      </c>
      <c r="Y98" s="18" t="n">
        <v>6.75</v>
      </c>
      <c r="Z98" s="9" t="n"/>
      <c r="AA98" s="18" t="n">
        <v>121.28</v>
      </c>
      <c r="AB98" s="19" t="n">
        <v>51.64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7088.08</v>
      </c>
      <c r="F99" s="9" t="n"/>
      <c r="G99" s="18" t="n">
        <v>8233.24</v>
      </c>
      <c r="H99" s="18" t="n">
        <v>20154.3</v>
      </c>
      <c r="I99" s="18" t="n">
        <v>8731.629999999999</v>
      </c>
      <c r="J99" s="18" t="n">
        <v>10813.24</v>
      </c>
      <c r="K99" s="34" t="n">
        <v>47932.41</v>
      </c>
      <c r="L99" s="18" t="n">
        <v>11840.48</v>
      </c>
      <c r="M99" s="18" t="n">
        <v>2092.89</v>
      </c>
      <c r="N99" s="18" t="n">
        <v>15650.8</v>
      </c>
      <c r="O99" s="18" t="n">
        <v>23849.44</v>
      </c>
      <c r="P99" s="34" t="n">
        <v>53433.61</v>
      </c>
      <c r="Q99" s="18" t="n">
        <v>17990.78</v>
      </c>
      <c r="R99" s="18" t="n">
        <v>16925.54</v>
      </c>
      <c r="S99" s="18" t="n">
        <v>14328.67</v>
      </c>
      <c r="T99" s="18" t="n">
        <v>9180.48</v>
      </c>
      <c r="U99" s="34" t="n">
        <v>58425.47</v>
      </c>
      <c r="V99" s="18" t="n">
        <v>7649.97</v>
      </c>
      <c r="W99" s="18" t="n">
        <v>8719.76</v>
      </c>
      <c r="X99" s="18" t="n">
        <v>4860.76</v>
      </c>
      <c r="Y99" s="18" t="n">
        <v>8226.370000000001</v>
      </c>
      <c r="Z99" s="34" t="n">
        <v>29456.86</v>
      </c>
      <c r="AA99" s="18" t="n">
        <v>22274.1</v>
      </c>
      <c r="AB99" s="19" t="n">
        <v>8554.870000000001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-17785.61</v>
      </c>
      <c r="F100" s="9" t="n"/>
      <c r="G100" s="18" t="n">
        <v>-12600.45</v>
      </c>
      <c r="H100" s="18" t="n">
        <v>-17975.27</v>
      </c>
      <c r="I100" s="18" t="n">
        <v>-22239.45</v>
      </c>
      <c r="J100" s="18" t="n">
        <v>-24468.02</v>
      </c>
      <c r="K100" s="34" t="n">
        <v>-77283.19</v>
      </c>
      <c r="L100" s="18" t="n">
        <v>-38266.93</v>
      </c>
      <c r="M100" s="18" t="n">
        <v>-42682.63</v>
      </c>
      <c r="N100" s="18" t="n">
        <v>-28547.14</v>
      </c>
      <c r="O100" s="18" t="n">
        <v>-32046.25</v>
      </c>
      <c r="P100" s="34" t="n">
        <v>-141542.95</v>
      </c>
      <c r="Q100" s="18" t="n">
        <v>-28799.85</v>
      </c>
      <c r="R100" s="18" t="n">
        <v>-40860.06</v>
      </c>
      <c r="S100" s="18" t="n">
        <v>-43469.7</v>
      </c>
      <c r="T100" s="18" t="n">
        <v>-44717.18</v>
      </c>
      <c r="U100" s="34" t="n">
        <v>-157846.79</v>
      </c>
      <c r="V100" s="18" t="n">
        <v>-45826.16</v>
      </c>
      <c r="W100" s="18" t="n">
        <v>-48032.26</v>
      </c>
      <c r="X100" s="18" t="n">
        <v>-44122.04</v>
      </c>
      <c r="Y100" s="18" t="n">
        <v>-32882.26</v>
      </c>
      <c r="Z100" s="34" t="n">
        <v>-170862.72</v>
      </c>
      <c r="AA100" s="18" t="n">
        <v>-49982.21</v>
      </c>
      <c r="AB100" s="19" t="n">
        <v>-56717.4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법인세납부(CF)</t>
        </is>
      </c>
      <c r="E101" s="18" t="n">
        <v>-708.27</v>
      </c>
      <c r="F101" s="9" t="n"/>
      <c r="G101" s="18" t="n">
        <v>-909.66</v>
      </c>
      <c r="H101" s="18" t="n">
        <v>7831.54</v>
      </c>
      <c r="I101" s="18" t="n">
        <v>-1614.01</v>
      </c>
      <c r="J101" s="18" t="n">
        <v>2673.88</v>
      </c>
      <c r="K101" s="34" t="n">
        <v>7981.75</v>
      </c>
      <c r="L101" s="18" t="n">
        <v>-1151.16</v>
      </c>
      <c r="M101" s="18" t="n">
        <v>12275.54</v>
      </c>
      <c r="N101" s="18" t="n">
        <v>-1121.81</v>
      </c>
      <c r="O101" s="18" t="n">
        <v>-4803.11</v>
      </c>
      <c r="P101" s="34" t="n">
        <v>5199.46</v>
      </c>
      <c r="Q101" s="18" t="n">
        <v>-3507.54</v>
      </c>
      <c r="R101" s="18" t="n">
        <v>-2602.74</v>
      </c>
      <c r="S101" s="18" t="n">
        <v>6211.84</v>
      </c>
      <c r="T101" s="18" t="n">
        <v>-2582.08</v>
      </c>
      <c r="U101" s="34" t="n">
        <v>-2480.52</v>
      </c>
      <c r="V101" s="18" t="n">
        <v>-2878.11</v>
      </c>
      <c r="W101" s="18" t="n">
        <v>-4028.71</v>
      </c>
      <c r="X101" s="18" t="n">
        <v>11377.47</v>
      </c>
      <c r="Y101" s="18" t="n">
        <v>-12005.01</v>
      </c>
      <c r="Z101" s="34" t="n">
        <v>-7534.36</v>
      </c>
      <c r="AA101" s="18" t="n">
        <v>-1365.14</v>
      </c>
      <c r="AB101" s="19" t="n">
        <v>12043.24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투자활동으로인한현금흐름</t>
        </is>
      </c>
      <c r="E102" s="18" t="n">
        <v>44786.95</v>
      </c>
      <c r="F102" s="9" t="n"/>
      <c r="G102" s="18" t="n">
        <v>-13993.74</v>
      </c>
      <c r="H102" s="18" t="n">
        <v>222684.82</v>
      </c>
      <c r="I102" s="18" t="n">
        <v>-127443.01</v>
      </c>
      <c r="J102" s="18" t="n">
        <v>6726.06</v>
      </c>
      <c r="K102" s="34" t="n">
        <v>87974.13</v>
      </c>
      <c r="L102" s="18" t="n">
        <v>59136.81</v>
      </c>
      <c r="M102" s="18" t="n">
        <v>-34385.63</v>
      </c>
      <c r="N102" s="18" t="n">
        <v>289746.99</v>
      </c>
      <c r="O102" s="18" t="n">
        <v>-117791.82</v>
      </c>
      <c r="P102" s="34" t="n">
        <v>196706.35</v>
      </c>
      <c r="Q102" s="18" t="n">
        <v>-147211.19</v>
      </c>
      <c r="R102" s="18" t="n">
        <v>-101940.75</v>
      </c>
      <c r="S102" s="18" t="n">
        <v>-487427.7</v>
      </c>
      <c r="T102" s="18" t="n">
        <v>-373558.26</v>
      </c>
      <c r="U102" s="34" t="n">
        <v>-1110137.9</v>
      </c>
      <c r="V102" s="18" t="n">
        <v>-75810.35000000001</v>
      </c>
      <c r="W102" s="18" t="n">
        <v>-172152.81</v>
      </c>
      <c r="X102" s="18" t="n">
        <v>-336567.53</v>
      </c>
      <c r="Y102" s="18" t="n">
        <v>-864341.5600000001</v>
      </c>
      <c r="Z102" s="34" t="n">
        <v>-1448872.25</v>
      </c>
      <c r="AA102" s="18" t="n">
        <v>-303222.3</v>
      </c>
      <c r="AB102" s="19" t="n">
        <v>-271440.3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재무활동으로인한현금흐름</t>
        </is>
      </c>
      <c r="E103" s="18" t="n">
        <v>43708.47</v>
      </c>
      <c r="F103" s="9" t="n"/>
      <c r="G103" s="18" t="n">
        <v>134627.27</v>
      </c>
      <c r="H103" s="18" t="n">
        <v>-13498.7</v>
      </c>
      <c r="I103" s="18" t="n">
        <v>-133723.18</v>
      </c>
      <c r="J103" s="18" t="n">
        <v>-117185.87</v>
      </c>
      <c r="K103" s="34" t="n">
        <v>-129780.48</v>
      </c>
      <c r="L103" s="18" t="n">
        <v>325443.03</v>
      </c>
      <c r="M103" s="18" t="n">
        <v>1314513.81</v>
      </c>
      <c r="N103" s="18" t="n">
        <v>-154120.54</v>
      </c>
      <c r="O103" s="18" t="n">
        <v>1399356.47</v>
      </c>
      <c r="P103" s="34" t="n">
        <v>2885192.77</v>
      </c>
      <c r="Q103" s="18" t="n">
        <v>1160125.54</v>
      </c>
      <c r="R103" s="18" t="n">
        <v>779253.24</v>
      </c>
      <c r="S103" s="18" t="n">
        <v>672194.24</v>
      </c>
      <c r="T103" s="18" t="n">
        <v>191428.06</v>
      </c>
      <c r="U103" s="34" t="n">
        <v>2803001.08</v>
      </c>
      <c r="V103" s="18" t="n">
        <v>237800.98</v>
      </c>
      <c r="W103" s="18" t="n">
        <v>-377324.57</v>
      </c>
      <c r="X103" s="18" t="n">
        <v>61631.06</v>
      </c>
      <c r="Y103" s="18" t="n">
        <v>407710.37</v>
      </c>
      <c r="Z103" s="34" t="n">
        <v>329817.84</v>
      </c>
      <c r="AA103" s="18" t="n">
        <v>353480.5</v>
      </c>
      <c r="AB103" s="19" t="n">
        <v>-160614.05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E104" s="18" t="n">
        <v>107250.23</v>
      </c>
      <c r="F104" s="9" t="n"/>
      <c r="G104" s="18" t="n">
        <v>201791.78</v>
      </c>
      <c r="H104" s="18" t="n">
        <v>53934.47</v>
      </c>
      <c r="K104" s="9" t="n"/>
      <c r="L104" s="18" t="n">
        <v>424426.52</v>
      </c>
      <c r="M104" s="18" t="n">
        <v>495573.48</v>
      </c>
      <c r="N104" s="18" t="n">
        <v>10</v>
      </c>
      <c r="O104" s="18" t="n">
        <v>40138.54</v>
      </c>
      <c r="P104" s="34" t="n">
        <v>960148.54</v>
      </c>
      <c r="Q104" s="18" t="n">
        <v>1207199.91</v>
      </c>
      <c r="R104" s="18" t="n">
        <v>802270.8100000001</v>
      </c>
      <c r="S104" s="18" t="n">
        <v>500018.42</v>
      </c>
      <c r="T104" s="18" t="n">
        <v>20986.31</v>
      </c>
      <c r="U104" s="34" t="n">
        <v>2530475.45</v>
      </c>
      <c r="V104" s="18" t="n">
        <v>146738.1</v>
      </c>
      <c r="W104" s="18" t="n">
        <v>9862.73</v>
      </c>
      <c r="X104" s="18" t="n">
        <v>425966.24</v>
      </c>
      <c r="Y104" s="18" t="n">
        <v>98005.37</v>
      </c>
      <c r="Z104" s="34" t="n">
        <v>680572.4399999999</v>
      </c>
      <c r="AA104" s="18" t="n">
        <v>272085.21</v>
      </c>
      <c r="AB104" s="19" t="n">
        <v>226289.15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0</v>
      </c>
      <c r="F105" s="9" t="n"/>
      <c r="G105" s="18" t="n">
        <v>4.03</v>
      </c>
      <c r="H105" s="18" t="n">
        <v>0</v>
      </c>
      <c r="I105" s="18" t="n">
        <v>8348.75</v>
      </c>
      <c r="J105" s="18" t="n">
        <v>8348.74</v>
      </c>
      <c r="K105" s="34" t="n">
        <v>16701.52</v>
      </c>
      <c r="L105" s="18" t="n">
        <v>8418.639999999999</v>
      </c>
      <c r="M105" s="18" t="n">
        <v>8414.610000000001</v>
      </c>
      <c r="N105" s="18" t="n">
        <v>0</v>
      </c>
      <c r="O105" s="18" t="n">
        <v>19036.3</v>
      </c>
      <c r="P105" s="34" t="n">
        <v>35869.55</v>
      </c>
      <c r="Q105" s="18" t="n">
        <v>10643.51</v>
      </c>
      <c r="R105" s="18" t="n">
        <v>10639.48</v>
      </c>
      <c r="S105" s="18" t="n">
        <v>10639.48</v>
      </c>
      <c r="T105" s="18" t="n">
        <v>10639.48</v>
      </c>
      <c r="U105" s="34" t="n">
        <v>42561.95</v>
      </c>
      <c r="V105" s="18" t="n">
        <v>10788.93</v>
      </c>
      <c r="W105" s="18" t="n">
        <v>11004.89</v>
      </c>
      <c r="X105" s="18" t="n">
        <v>10564.9</v>
      </c>
      <c r="Z105" s="9" t="n"/>
      <c r="AA105" s="18" t="n">
        <v>10760.66</v>
      </c>
      <c r="AB105" s="19" t="n">
        <v>10756.64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E106" s="18" t="n">
        <v>4788.95</v>
      </c>
      <c r="F106" s="9" t="n"/>
      <c r="G106" s="18" t="n">
        <v>4815.98</v>
      </c>
      <c r="H106" s="18" t="n">
        <v>5794.73</v>
      </c>
      <c r="I106" s="18" t="n">
        <v>5954.99</v>
      </c>
      <c r="J106" s="18" t="n">
        <v>6019.43</v>
      </c>
      <c r="K106" s="34" t="n">
        <v>22585.13</v>
      </c>
      <c r="L106" s="18" t="n">
        <v>5415.34</v>
      </c>
      <c r="M106" s="18" t="n">
        <v>6394.35</v>
      </c>
      <c r="N106" s="18" t="n">
        <v>8610.940000000001</v>
      </c>
      <c r="O106" s="18" t="n">
        <v>8840.51</v>
      </c>
      <c r="P106" s="34" t="n">
        <v>29261.14</v>
      </c>
      <c r="Q106" s="18" t="n">
        <v>8851.950000000001</v>
      </c>
      <c r="R106" s="18" t="n">
        <v>9613.83</v>
      </c>
      <c r="S106" s="18" t="n">
        <v>10737.63</v>
      </c>
      <c r="T106" s="18" t="n">
        <v>10596.94</v>
      </c>
      <c r="U106" s="34" t="n">
        <v>39800.35</v>
      </c>
      <c r="V106" s="18" t="n">
        <v>9871.09</v>
      </c>
      <c r="W106" s="18" t="n">
        <v>10540.34</v>
      </c>
      <c r="X106" s="18" t="n">
        <v>9900.98</v>
      </c>
      <c r="Y106" s="18" t="n">
        <v>11764.92</v>
      </c>
      <c r="Z106" s="34" t="n">
        <v>42077.33</v>
      </c>
      <c r="AA106" s="18" t="n">
        <v>10527.75</v>
      </c>
      <c r="AB106" s="19" t="n">
        <v>11370.94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116861.35</v>
      </c>
      <c r="F107" s="9" t="n"/>
      <c r="G107" s="18" t="n">
        <v>-605192.28</v>
      </c>
      <c r="H107" s="18" t="n">
        <v>-69852.37</v>
      </c>
      <c r="I107" s="18" t="n">
        <v>-439221.66</v>
      </c>
      <c r="J107" s="18" t="n">
        <v>7027.33</v>
      </c>
      <c r="K107" s="34" t="n">
        <v>-1107238.98</v>
      </c>
      <c r="L107" s="18" t="n">
        <v>-391766.88</v>
      </c>
      <c r="M107" s="18" t="n">
        <v>1298479.44</v>
      </c>
      <c r="N107" s="18" t="n">
        <v>-590422.9</v>
      </c>
      <c r="O107" s="18" t="n">
        <v>826454.14</v>
      </c>
      <c r="P107" s="34" t="n">
        <v>1142743.8</v>
      </c>
      <c r="Q107" s="18" t="n">
        <v>-151530.54</v>
      </c>
      <c r="R107" s="18" t="n">
        <v>174817.77</v>
      </c>
      <c r="S107" s="18" t="n">
        <v>-798162.4399999999</v>
      </c>
      <c r="T107" s="18" t="n">
        <v>-436836.08</v>
      </c>
      <c r="U107" s="34" t="n">
        <v>-1211711.29</v>
      </c>
      <c r="V107" s="18" t="n">
        <v>384403.83</v>
      </c>
      <c r="W107" s="18" t="n">
        <v>75995.91</v>
      </c>
      <c r="X107" s="18" t="n">
        <v>-615094.4</v>
      </c>
      <c r="Y107" s="18" t="n">
        <v>350311.83</v>
      </c>
      <c r="Z107" s="34" t="n">
        <v>195617.17</v>
      </c>
      <c r="AA107" s="18" t="n">
        <v>272254.48</v>
      </c>
      <c r="AB107" s="19" t="n">
        <v>386159.94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116393.84</v>
      </c>
      <c r="F108" s="9" t="n"/>
      <c r="G108" s="18" t="n">
        <v>1174446.61</v>
      </c>
      <c r="H108" s="18" t="n">
        <v>-68383.92999999999</v>
      </c>
      <c r="I108" s="18" t="n">
        <v>-421876.96</v>
      </c>
      <c r="J108" s="18" t="n">
        <v>-24464.37</v>
      </c>
      <c r="K108" s="34" t="n">
        <v>659721.35</v>
      </c>
      <c r="L108" s="18" t="n">
        <v>270117.31</v>
      </c>
      <c r="M108" s="18" t="n">
        <v>1294373.07</v>
      </c>
      <c r="N108" s="18" t="n">
        <v>-585872.04</v>
      </c>
      <c r="O108" s="18" t="n">
        <v>820689.41</v>
      </c>
      <c r="P108" s="34" t="n">
        <v>1799307.75</v>
      </c>
      <c r="Q108" s="18" t="n">
        <v>1648803.91</v>
      </c>
      <c r="R108" s="18" t="n">
        <v>175952.84</v>
      </c>
      <c r="S108" s="18" t="n">
        <v>-808143.4</v>
      </c>
      <c r="T108" s="18" t="n">
        <v>-428353.61</v>
      </c>
      <c r="U108" s="34" t="n">
        <v>588259.74</v>
      </c>
      <c r="V108" s="18" t="n">
        <v>973241.3100000001</v>
      </c>
      <c r="W108" s="18" t="n">
        <v>64407.2</v>
      </c>
      <c r="X108" s="18" t="n">
        <v>-608147.95</v>
      </c>
      <c r="Y108" s="18" t="n">
        <v>348970.6</v>
      </c>
      <c r="Z108" s="34" t="n">
        <v>778471.16</v>
      </c>
      <c r="AA108" s="18" t="n">
        <v>1058396.68</v>
      </c>
      <c r="AB108" s="19" t="n">
        <v>387807.72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유형자산의감소</t>
        </is>
      </c>
      <c r="F109" s="9" t="n"/>
      <c r="G109" s="18" t="n">
        <v>456.88</v>
      </c>
      <c r="K109" s="9" t="n"/>
      <c r="L109" s="18" t="n">
        <v>77.48999999999999</v>
      </c>
      <c r="P109" s="9" t="n"/>
      <c r="Q109" s="18" t="n">
        <v>380.26</v>
      </c>
      <c r="R109" s="18" t="n">
        <v>375.79</v>
      </c>
      <c r="S109" s="18" t="n">
        <v>97.14</v>
      </c>
      <c r="T109" s="18" t="n">
        <v>517.42</v>
      </c>
      <c r="U109" s="34" t="n">
        <v>1370.61</v>
      </c>
      <c r="V109" s="18" t="n">
        <v>462.54</v>
      </c>
      <c r="W109" s="18" t="n">
        <v>1314.87</v>
      </c>
      <c r="X109" s="18" t="n">
        <v>685.1</v>
      </c>
      <c r="Y109" s="18" t="n">
        <v>1021.33</v>
      </c>
      <c r="Z109" s="34" t="n">
        <v>3483.84</v>
      </c>
      <c r="AA109" s="18" t="n">
        <v>198.45</v>
      </c>
      <c r="AB109" s="19" t="n">
        <v>638.91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F110" s="9" t="n"/>
      <c r="K110" s="9" t="n"/>
      <c r="L110" s="18" t="n">
        <v>23203.62</v>
      </c>
      <c r="M110" s="18" t="n">
        <v>1163614.22</v>
      </c>
      <c r="N110" s="18" t="n">
        <v>139687.01</v>
      </c>
      <c r="O110" s="18" t="n">
        <v>87565.17999999999</v>
      </c>
      <c r="P110" s="34" t="n">
        <v>1414070.03</v>
      </c>
      <c r="Q110" s="18" t="n">
        <v>22145.89</v>
      </c>
      <c r="S110" s="18" t="n">
        <v>7010.35</v>
      </c>
      <c r="U110" s="9" t="n"/>
      <c r="V110" s="18" t="n">
        <v>150000</v>
      </c>
      <c r="W110" s="18" t="n">
        <v>500000</v>
      </c>
      <c r="X110" s="18" t="n">
        <v>520000</v>
      </c>
      <c r="Y110" s="18" t="n">
        <v>100000</v>
      </c>
      <c r="Z110" s="34" t="n">
        <v>1270000</v>
      </c>
      <c r="AA110" s="18" t="n">
        <v>250000</v>
      </c>
      <c r="AB110" s="19" t="n">
        <v>310000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유형자산의증가</t>
        </is>
      </c>
      <c r="F111" s="9" t="n"/>
      <c r="K111" s="9" t="n"/>
      <c r="P111" s="9" t="n"/>
      <c r="Q111" s="18" t="n">
        <v>135373.66</v>
      </c>
      <c r="R111" s="18" t="n">
        <v>51546.11</v>
      </c>
      <c r="S111" s="18" t="n">
        <v>64147.03</v>
      </c>
      <c r="T111" s="18" t="n">
        <v>122573.42</v>
      </c>
      <c r="U111" s="34" t="n">
        <v>373640.22</v>
      </c>
      <c r="V111" s="18" t="n">
        <v>92830.66</v>
      </c>
      <c r="W111" s="18" t="n">
        <v>65595.34</v>
      </c>
      <c r="X111" s="18" t="n">
        <v>233233.46</v>
      </c>
      <c r="Y111" s="18" t="n">
        <v>317960.24</v>
      </c>
      <c r="Z111" s="34" t="n">
        <v>709619.7</v>
      </c>
      <c r="AA111" s="18" t="n">
        <v>106566.99</v>
      </c>
      <c r="AB111" s="19" t="n">
        <v>197933.37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CAPEX</t>
        </is>
      </c>
      <c r="F112" s="9" t="n"/>
      <c r="K112" s="9" t="n"/>
      <c r="P112" s="9" t="n"/>
      <c r="Q112" s="18" t="n">
        <v>136070.21</v>
      </c>
      <c r="R112" s="18" t="n">
        <v>52537.99</v>
      </c>
      <c r="S112" s="18" t="n">
        <v>66193.41</v>
      </c>
      <c r="T112" s="18" t="n">
        <v>124582.48</v>
      </c>
      <c r="U112" s="34" t="n">
        <v>379384.09</v>
      </c>
      <c r="V112" s="18" t="n">
        <v>95435.87</v>
      </c>
      <c r="W112" s="18" t="n">
        <v>66589.32000000001</v>
      </c>
      <c r="X112" s="18" t="n">
        <v>235140.73</v>
      </c>
      <c r="Y112" s="18" t="n">
        <v>319456.33</v>
      </c>
      <c r="Z112" s="34" t="n">
        <v>716622.25</v>
      </c>
      <c r="AA112" s="18" t="n">
        <v>107432.08</v>
      </c>
      <c r="AB112" s="19" t="n">
        <v>198433.94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무형자산의증가</t>
        </is>
      </c>
      <c r="F113" s="9" t="n"/>
      <c r="K113" s="9" t="n"/>
      <c r="P113" s="9" t="n"/>
      <c r="Q113" s="18" t="n">
        <v>696.55</v>
      </c>
      <c r="R113" s="18" t="n">
        <v>991.88</v>
      </c>
      <c r="S113" s="18" t="n">
        <v>2046.38</v>
      </c>
      <c r="T113" s="18" t="n">
        <v>2009.06</v>
      </c>
      <c r="U113" s="34" t="n">
        <v>5743.87</v>
      </c>
      <c r="V113" s="18" t="n">
        <v>2605.21</v>
      </c>
      <c r="W113" s="18" t="n">
        <v>993.98</v>
      </c>
      <c r="X113" s="18" t="n">
        <v>1907.27</v>
      </c>
      <c r="Y113" s="18" t="n">
        <v>1496.09</v>
      </c>
      <c r="Z113" s="34" t="n">
        <v>7002.55</v>
      </c>
      <c r="AA113" s="18" t="n">
        <v>865.09</v>
      </c>
      <c r="AB113" s="19" t="n">
        <v>500.57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무형자산의감소</t>
        </is>
      </c>
      <c r="F114" s="9" t="n"/>
      <c r="K114" s="9" t="n"/>
      <c r="P114" s="9" t="n"/>
      <c r="S114" s="18" t="n">
        <v>30.8</v>
      </c>
      <c r="T114" s="18" t="n">
        <v>654.55</v>
      </c>
      <c r="U114" s="9" t="n"/>
      <c r="V114" s="18" t="n">
        <v>13.09</v>
      </c>
      <c r="W114" s="18" t="n">
        <v>0</v>
      </c>
      <c r="X114" s="18" t="n">
        <v>0</v>
      </c>
      <c r="Y114" s="18" t="n">
        <v>19810.38</v>
      </c>
      <c r="Z114" s="34" t="n">
        <v>19823.47</v>
      </c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장기차입금의증가</t>
        </is>
      </c>
      <c r="F115" s="9" t="n"/>
      <c r="K115" s="9" t="n"/>
      <c r="P115" s="9" t="n"/>
      <c r="T115" s="18" t="n">
        <v>68020</v>
      </c>
      <c r="U115" s="9" t="n"/>
      <c r="Y115" s="18" t="n">
        <v>435953.69</v>
      </c>
      <c r="Z115" s="9" t="n"/>
      <c r="AA115" s="18" t="n">
        <v>500</v>
      </c>
      <c r="AB115" s="19" t="n">
        <v>20869.55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F116" s="9" t="n"/>
      <c r="K116" s="9" t="n"/>
      <c r="P116" s="9" t="n"/>
      <c r="U116" s="9" t="n"/>
      <c r="V116" s="18" t="n">
        <v>161343.38</v>
      </c>
      <c r="W116" s="18" t="n">
        <v>0</v>
      </c>
      <c r="X116" s="18" t="n">
        <v>119552.54</v>
      </c>
      <c r="Y116" s="18" t="n">
        <v>0</v>
      </c>
      <c r="Z116" s="34" t="n">
        <v>280895.92</v>
      </c>
      <c r="AA116" s="18" t="n">
        <v>338241.83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자기주식의취득</t>
        </is>
      </c>
      <c r="F117" s="9" t="n"/>
      <c r="K117" s="9" t="n"/>
      <c r="P117" s="9" t="n"/>
      <c r="U117" s="9" t="n"/>
      <c r="Z117" s="9" t="n"/>
      <c r="AA117" s="18" t="n">
        <v>4908.63</v>
      </c>
      <c r="AB117" s="19" t="n">
        <v>203.86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4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4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4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4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4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4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4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4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4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4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4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4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4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4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4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4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4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4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4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4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4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4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4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4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4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4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4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4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4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4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4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4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4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4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4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4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4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4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4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4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4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4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4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4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4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4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4" t="n">
        <v>37718.5</v>
      </c>
      <c r="W16" s="18" t="n">
        <v>12.81</v>
      </c>
      <c r="X16" s="18" t="n">
        <v>1418.5</v>
      </c>
      <c r="Y16" s="18" t="n">
        <v>4864.26</v>
      </c>
      <c r="Z16" s="34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4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4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4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4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4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4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4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4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4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4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4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4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4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4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4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4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4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4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4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4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4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4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4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4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4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4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4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4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4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4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4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4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4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4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4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4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4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4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4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4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4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4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4" t="n">
        <v>1218458.76</v>
      </c>
      <c r="L26" s="18" t="n">
        <v>1639742.13</v>
      </c>
      <c r="O26" s="18" t="n">
        <v>494162.6</v>
      </c>
      <c r="P26" s="34" t="n">
        <v>494162.6</v>
      </c>
      <c r="Q26" s="18" t="n">
        <v>1679649.27</v>
      </c>
      <c r="R26" s="18" t="n">
        <v>2485199.05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4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4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4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4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4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4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4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1091052.6</v>
      </c>
      <c r="F29" s="34" t="n">
        <v>1091052.6</v>
      </c>
      <c r="G29" s="18" t="n">
        <v>1122390.41</v>
      </c>
      <c r="H29" s="18" t="n">
        <v>1205426.5</v>
      </c>
      <c r="I29" s="18" t="n">
        <v>1325929.92</v>
      </c>
      <c r="J29" s="18" t="n">
        <v>1182144.23</v>
      </c>
      <c r="K29" s="34" t="n">
        <v>1182144.23</v>
      </c>
      <c r="L29" s="18" t="n">
        <v>1215339.65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4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4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4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4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4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4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4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4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4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4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4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4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4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4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4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4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4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4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4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4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4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4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4" t="n">
        <v>99715.36</v>
      </c>
      <c r="L35" s="18" t="n">
        <v>93931.58</v>
      </c>
      <c r="O35" s="18" t="n">
        <v>1589951.42</v>
      </c>
      <c r="P35" s="34" t="n">
        <v>1589951.42</v>
      </c>
      <c r="Q35" s="18" t="n">
        <v>1642727.77</v>
      </c>
      <c r="R35" s="18" t="n">
        <v>1679814.49</v>
      </c>
      <c r="S35" s="18" t="n">
        <v>1641248.28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4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4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4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4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4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4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4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4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4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4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4" t="n">
        <v>1062.99</v>
      </c>
      <c r="G38" s="18" t="n">
        <v>393.23</v>
      </c>
      <c r="H38" s="18" t="n">
        <v>284.35</v>
      </c>
      <c r="J38" s="18" t="n">
        <v>69.29000000000001</v>
      </c>
      <c r="K38" s="34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4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4" t="n">
        <v>1062.99</v>
      </c>
      <c r="G39" s="18" t="n">
        <v>393.23</v>
      </c>
      <c r="H39" s="18" t="n">
        <v>284.35</v>
      </c>
      <c r="J39" s="18" t="n">
        <v>69.29000000000001</v>
      </c>
      <c r="K39" s="34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4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4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4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4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4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4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4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4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4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4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4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4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4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4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4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4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4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4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4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4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4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4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4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4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4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4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4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4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4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4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4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4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4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4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4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4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4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4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4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4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4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4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4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2398688.82</v>
      </c>
      <c r="F49" s="34" t="n">
        <v>2398688.82</v>
      </c>
      <c r="G49" s="18" t="n">
        <v>2577023.2</v>
      </c>
      <c r="H49" s="18" t="n">
        <v>2673276.43</v>
      </c>
      <c r="I49" s="18" t="n">
        <v>2781766.72</v>
      </c>
      <c r="J49" s="18" t="n">
        <v>2500318.35</v>
      </c>
      <c r="K49" s="34" t="n">
        <v>2500318.35</v>
      </c>
      <c r="L49" s="18" t="n">
        <v>2949013.36</v>
      </c>
      <c r="O49" s="18" t="n">
        <v>2084114.02</v>
      </c>
      <c r="P49" s="34" t="n">
        <v>2084114.02</v>
      </c>
      <c r="Q49" s="18" t="n">
        <v>3322377.04</v>
      </c>
      <c r="R49" s="18" t="n">
        <v>4165013.54</v>
      </c>
      <c r="S49" s="18" t="n">
        <v>1641248.28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358690.87</v>
      </c>
      <c r="F50" s="34" t="n">
        <v>358690.87</v>
      </c>
      <c r="G50" s="18" t="n">
        <v>1178445.9</v>
      </c>
      <c r="H50" s="18" t="n">
        <v>1433768.16</v>
      </c>
      <c r="I50" s="18" t="n">
        <v>1673316.1</v>
      </c>
      <c r="J50" s="18" t="n">
        <v>1387644.22</v>
      </c>
      <c r="K50" s="34" t="n">
        <v>1387644.22</v>
      </c>
      <c r="L50" s="18" t="n">
        <v>2712006.08</v>
      </c>
      <c r="O50" s="18" t="n">
        <v>313617.03</v>
      </c>
      <c r="P50" s="34" t="n">
        <v>313617.03</v>
      </c>
      <c r="Q50" s="18" t="n">
        <v>1733555.3</v>
      </c>
      <c r="R50" s="18" t="n">
        <v>2439859.78</v>
      </c>
      <c r="S50" s="18" t="n">
        <v>753255.23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4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4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4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4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4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4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4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4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기타유동금융자산</t>
        </is>
      </c>
      <c r="F53" s="9" t="n"/>
      <c r="K53" s="9" t="n"/>
      <c r="L53" s="18" t="n">
        <v>414700.74</v>
      </c>
      <c r="M53" s="18" t="n">
        <v>429609.86</v>
      </c>
      <c r="N53" s="18" t="n">
        <v>91734.81</v>
      </c>
      <c r="O53" s="18" t="n">
        <v>108239.3</v>
      </c>
      <c r="P53" s="34" t="n">
        <v>108239.3</v>
      </c>
      <c r="Q53" s="18" t="n">
        <v>109262.09</v>
      </c>
      <c r="R53" s="18" t="n">
        <v>10780.51</v>
      </c>
      <c r="S53" s="18" t="n">
        <v>10991.31</v>
      </c>
      <c r="T53" s="18" t="n">
        <v>11454.87</v>
      </c>
      <c r="U53" s="34" t="n">
        <v>11454.87</v>
      </c>
      <c r="V53" s="18" t="n">
        <v>11462.79</v>
      </c>
      <c r="W53" s="18" t="n">
        <v>4752.2</v>
      </c>
      <c r="X53" s="18" t="n">
        <v>4834.52</v>
      </c>
      <c r="Y53" s="18" t="n">
        <v>4404</v>
      </c>
      <c r="Z53" s="34" t="n">
        <v>4404</v>
      </c>
      <c r="AA53" s="18" t="n">
        <v>4485</v>
      </c>
      <c r="AB53" s="19" t="n">
        <v>14512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L54" s="18" t="n">
        <v>21558.39</v>
      </c>
      <c r="P54" s="9" t="n"/>
      <c r="U54" s="9" t="n"/>
      <c r="V54" s="18" t="n">
        <v>157130.47</v>
      </c>
      <c r="W54" s="18" t="n">
        <v>175991.71</v>
      </c>
      <c r="X54" s="18" t="n">
        <v>190644.95</v>
      </c>
      <c r="Y54" s="18" t="n">
        <v>129805.8</v>
      </c>
      <c r="Z54" s="34" t="n">
        <v>129805.8</v>
      </c>
      <c r="AA54" s="18" t="n">
        <v>41662.76</v>
      </c>
      <c r="AB54" s="19" t="n">
        <v>182381.4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M55" s="18" t="n">
        <v>553341.3100000001</v>
      </c>
      <c r="N55" s="18" t="n">
        <v>554717.39</v>
      </c>
      <c r="O55" s="18" t="n">
        <v>553559.04</v>
      </c>
      <c r="P55" s="34" t="n">
        <v>553559.04</v>
      </c>
      <c r="Q55" s="18" t="n">
        <v>553644.09</v>
      </c>
      <c r="R55" s="18" t="n">
        <v>553391.75</v>
      </c>
      <c r="S55" s="18" t="n">
        <v>553983.5600000001</v>
      </c>
      <c r="T55" s="18" t="n">
        <v>553756.89</v>
      </c>
      <c r="U55" s="34" t="n">
        <v>553756.89</v>
      </c>
      <c r="V55" s="18" t="n">
        <v>553646.26</v>
      </c>
      <c r="W55" s="18" t="n">
        <v>563875.53</v>
      </c>
      <c r="X55" s="18" t="n">
        <v>563821.14</v>
      </c>
      <c r="Y55" s="18" t="n">
        <v>554850.5600000001</v>
      </c>
      <c r="Z55" s="34" t="n">
        <v>554850.5600000001</v>
      </c>
      <c r="AA55" s="18" t="n">
        <v>553592.8199999999</v>
      </c>
      <c r="AB55" s="19" t="n">
        <v>553251.9300000001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이연법인세자산</t>
        </is>
      </c>
      <c r="F56" s="9" t="n"/>
      <c r="K56" s="9" t="n"/>
      <c r="O56" s="18" t="n">
        <v>163892.42</v>
      </c>
      <c r="P56" s="34" t="n">
        <v>163892.42</v>
      </c>
      <c r="Q56" s="18" t="n">
        <v>163892.42</v>
      </c>
      <c r="R56" s="18" t="n">
        <v>154090.12</v>
      </c>
      <c r="S56" s="18" t="n">
        <v>154090.12</v>
      </c>
      <c r="T56" s="18" t="n">
        <v>506573.93</v>
      </c>
      <c r="U56" s="34" t="n">
        <v>506573.93</v>
      </c>
      <c r="V56" s="18" t="n">
        <v>506573.93</v>
      </c>
      <c r="W56" s="18" t="n">
        <v>498512.13</v>
      </c>
      <c r="X56" s="18" t="n">
        <v>498484.85</v>
      </c>
      <c r="Y56" s="18" t="n">
        <v>950308.59</v>
      </c>
      <c r="Z56" s="34" t="n">
        <v>950308.59</v>
      </c>
      <c r="AA56" s="18" t="n">
        <v>950335.73</v>
      </c>
      <c r="AB56" s="19" t="n">
        <v>950335.73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O57" s="18" t="n">
        <v>494162.6</v>
      </c>
      <c r="P57" s="34" t="n">
        <v>494162.6</v>
      </c>
      <c r="Q57" s="18" t="n">
        <v>1679649.27</v>
      </c>
      <c r="R57" s="18" t="n">
        <v>2485199.05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비유동파생상품자산</t>
        </is>
      </c>
      <c r="F58" s="9" t="n"/>
      <c r="K58" s="9" t="n"/>
      <c r="P58" s="9" t="n"/>
      <c r="U58" s="9" t="n"/>
      <c r="W58" s="18" t="n">
        <v>12.81</v>
      </c>
      <c r="X58" s="18" t="n">
        <v>1418.5</v>
      </c>
      <c r="Y58" s="18" t="n">
        <v>4864.26</v>
      </c>
      <c r="Z58" s="34" t="n">
        <v>4864.26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P59" s="9" t="n"/>
      <c r="U59" s="9" t="n"/>
      <c r="W59" s="18" t="n">
        <v>2671.79</v>
      </c>
      <c r="Y59" s="18" t="n">
        <v>13150.03</v>
      </c>
      <c r="Z59" s="34" t="n">
        <v>13150.03</v>
      </c>
      <c r="AA59" s="18" t="n">
        <v>74104.37</v>
      </c>
      <c r="AB59" s="19" t="n">
        <v>103732.82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</t>
        </is>
      </c>
      <c r="F60" s="9" t="n"/>
      <c r="K60" s="9" t="n"/>
      <c r="P60" s="9" t="n"/>
      <c r="U60" s="9" t="n"/>
      <c r="W60" s="18" t="n">
        <v>2671.79</v>
      </c>
      <c r="Y60" s="18" t="n">
        <v>43369.85</v>
      </c>
      <c r="Z60" s="34" t="n">
        <v>43369.85</v>
      </c>
      <c r="AA60" s="18" t="n">
        <v>74104.37</v>
      </c>
      <c r="AB60" s="19" t="n">
        <v>135025.87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유동리스부채</t>
        </is>
      </c>
      <c r="F61" s="9" t="n"/>
      <c r="K61" s="9" t="n"/>
      <c r="P61" s="9" t="n"/>
      <c r="U61" s="9" t="n"/>
      <c r="Y61" s="18" t="n">
        <v>30219.82</v>
      </c>
      <c r="Z61" s="34" t="n">
        <v>30219.82</v>
      </c>
      <c r="AB61" s="19" t="n">
        <v>31293.05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리스부채</t>
        </is>
      </c>
      <c r="F62" s="9" t="n"/>
      <c r="K62" s="9" t="n"/>
      <c r="P62" s="9" t="n"/>
      <c r="U62" s="9" t="n"/>
      <c r="Y62" s="18" t="n">
        <v>30219.82</v>
      </c>
      <c r="Z62" s="34" t="n">
        <v>30219.82</v>
      </c>
      <c r="AB62" s="19" t="n">
        <v>126350.75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유동파생상품자산</t>
        </is>
      </c>
      <c r="F63" s="9" t="n"/>
      <c r="K63" s="9" t="n"/>
      <c r="P63" s="9" t="n"/>
      <c r="U63" s="9" t="n"/>
      <c r="Z63" s="9" t="n"/>
      <c r="AA63" s="18" t="n">
        <v>11835.59</v>
      </c>
      <c r="AB63" s="19" t="n">
        <v>14682.83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비유동리스부채</t>
        </is>
      </c>
      <c r="F64" s="9" t="n"/>
      <c r="K64" s="9" t="n"/>
      <c r="P64" s="9" t="n"/>
      <c r="U64" s="9" t="n"/>
      <c r="Z64" s="9" t="n"/>
      <c r="AB64" s="19" t="n">
        <v>95057.7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1345672.48</v>
      </c>
      <c r="F65" s="9" t="n"/>
      <c r="G65" s="18" t="n">
        <v>1235139.56</v>
      </c>
      <c r="H65" s="18" t="n">
        <v>1173752.07</v>
      </c>
      <c r="I65" s="18" t="n">
        <v>972632.91</v>
      </c>
      <c r="J65" s="18" t="n">
        <v>1436137.71</v>
      </c>
      <c r="K65" s="34" t="n">
        <v>4817662.25</v>
      </c>
      <c r="L65" s="18" t="n">
        <v>1439385.45</v>
      </c>
      <c r="M65" s="18" t="n">
        <v>1820370.98</v>
      </c>
      <c r="N65" s="18" t="n">
        <v>1951555.97</v>
      </c>
      <c r="O65" s="18" t="n">
        <v>2214666.4</v>
      </c>
      <c r="P65" s="34" t="n">
        <v>7425978.8</v>
      </c>
      <c r="Q65" s="18" t="n">
        <v>2252955.06</v>
      </c>
      <c r="R65" s="18" t="n">
        <v>2542676.8</v>
      </c>
      <c r="S65" s="18" t="n">
        <v>2707050.64</v>
      </c>
      <c r="T65" s="18" t="n">
        <v>3262074.49</v>
      </c>
      <c r="U65" s="34" t="n">
        <v>10764756.99</v>
      </c>
      <c r="V65" s="18" t="n">
        <v>3167008.3</v>
      </c>
      <c r="W65" s="18" t="n">
        <v>3415079.71</v>
      </c>
      <c r="X65" s="18" t="n">
        <v>2993620.97</v>
      </c>
      <c r="Y65" s="18" t="n">
        <v>3327885.37</v>
      </c>
      <c r="Z65" s="34" t="n">
        <v>12903594.35</v>
      </c>
      <c r="AA65" s="18" t="n">
        <v>3165781.37</v>
      </c>
      <c r="AB65" s="19" t="n">
        <v>5443697.05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1790458.91</v>
      </c>
      <c r="F66" s="9" t="n"/>
      <c r="G66" s="18" t="n">
        <v>1647325.99</v>
      </c>
      <c r="H66" s="18" t="n">
        <v>1219866.27</v>
      </c>
      <c r="I66" s="18" t="n">
        <v>1549039.63</v>
      </c>
      <c r="J66" s="18" t="n">
        <v>1783315.42</v>
      </c>
      <c r="K66" s="34" t="n">
        <v>6199547.31</v>
      </c>
      <c r="L66" s="18" t="n">
        <v>1447233.92</v>
      </c>
      <c r="M66" s="18" t="n">
        <v>1909569.92</v>
      </c>
      <c r="N66" s="18" t="n">
        <v>1821678.7</v>
      </c>
      <c r="O66" s="18" t="n">
        <v>2201010.05</v>
      </c>
      <c r="P66" s="34" t="n">
        <v>7379492.59</v>
      </c>
      <c r="Q66" s="18" t="n">
        <v>2127454.53</v>
      </c>
      <c r="R66" s="18" t="n">
        <v>2484848.32</v>
      </c>
      <c r="S66" s="18" t="n">
        <v>2584347.86</v>
      </c>
      <c r="T66" s="18" t="n">
        <v>2927071.29</v>
      </c>
      <c r="U66" s="34" t="n">
        <v>10123722</v>
      </c>
      <c r="V66" s="18" t="n">
        <v>2756743.53</v>
      </c>
      <c r="W66" s="18" t="n">
        <v>2882951.85</v>
      </c>
      <c r="X66" s="18" t="n">
        <v>2561383</v>
      </c>
      <c r="Y66" s="18" t="n">
        <v>2884430.85</v>
      </c>
      <c r="Z66" s="34" t="n">
        <v>11085509.23</v>
      </c>
      <c r="AA66" s="18" t="n">
        <v>2581263.65</v>
      </c>
      <c r="AB66" s="19" t="n">
        <v>4515716.77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-444786.43</v>
      </c>
      <c r="F67" s="9" t="n"/>
      <c r="G67" s="18" t="n">
        <v>-412186.43</v>
      </c>
      <c r="H67" s="18" t="n">
        <v>-46114.2</v>
      </c>
      <c r="I67" s="18" t="n">
        <v>-576406.72</v>
      </c>
      <c r="J67" s="18" t="n">
        <v>-347177.71</v>
      </c>
      <c r="K67" s="34" t="n">
        <v>-1381885.06</v>
      </c>
      <c r="L67" s="18" t="n">
        <v>-7848.46</v>
      </c>
      <c r="M67" s="18" t="n">
        <v>-89198.94</v>
      </c>
      <c r="N67" s="18" t="n">
        <v>129877.27</v>
      </c>
      <c r="O67" s="18" t="n">
        <v>13656.35</v>
      </c>
      <c r="P67" s="34" t="n">
        <v>46486.22</v>
      </c>
      <c r="Q67" s="18" t="n">
        <v>125500.53</v>
      </c>
      <c r="R67" s="18" t="n">
        <v>57828.48</v>
      </c>
      <c r="S67" s="18" t="n">
        <v>122702.78</v>
      </c>
      <c r="T67" s="18" t="n">
        <v>335003.2</v>
      </c>
      <c r="U67" s="34" t="n">
        <v>641034.99</v>
      </c>
      <c r="V67" s="18" t="n">
        <v>410264.77</v>
      </c>
      <c r="W67" s="18" t="n">
        <v>532127.87</v>
      </c>
      <c r="X67" s="18" t="n">
        <v>432237.97</v>
      </c>
      <c r="Y67" s="18" t="n">
        <v>443454.52</v>
      </c>
      <c r="Z67" s="34" t="n">
        <v>1818085.13</v>
      </c>
      <c r="AA67" s="18" t="n">
        <v>584517.71</v>
      </c>
      <c r="AB67" s="19" t="n">
        <v>927980.27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65764.67999999999</v>
      </c>
      <c r="F68" s="9" t="n"/>
      <c r="G68" s="18" t="n">
        <v>58100.42</v>
      </c>
      <c r="H68" s="18" t="n">
        <v>60675.98</v>
      </c>
      <c r="I68" s="18" t="n">
        <v>59045.06</v>
      </c>
      <c r="J68" s="18" t="n">
        <v>83594.53999999999</v>
      </c>
      <c r="K68" s="34" t="n">
        <v>261416</v>
      </c>
      <c r="L68" s="18" t="n">
        <v>58190.82</v>
      </c>
      <c r="M68" s="18" t="n">
        <v>81670.74000000001</v>
      </c>
      <c r="N68" s="18" t="n">
        <v>66478.82000000001</v>
      </c>
      <c r="O68" s="18" t="n">
        <v>78650.73</v>
      </c>
      <c r="P68" s="34" t="n">
        <v>284991.11</v>
      </c>
      <c r="Q68" s="18" t="n">
        <v>80111.91</v>
      </c>
      <c r="R68" s="18" t="n">
        <v>83963.42</v>
      </c>
      <c r="S68" s="18" t="n">
        <v>102803.52</v>
      </c>
      <c r="T68" s="18" t="n">
        <v>163381.99</v>
      </c>
      <c r="U68" s="34" t="n">
        <v>430260.84</v>
      </c>
      <c r="V68" s="18" t="n">
        <v>151541.7</v>
      </c>
      <c r="W68" s="18" t="n">
        <v>142583.85</v>
      </c>
      <c r="X68" s="18" t="n">
        <v>154268.67</v>
      </c>
      <c r="Y68" s="18" t="n">
        <v>215688.06</v>
      </c>
      <c r="Z68" s="34" t="n">
        <v>664082.28</v>
      </c>
      <c r="AA68" s="18" t="n">
        <v>183642.8</v>
      </c>
      <c r="AB68" s="19" t="n">
        <v>212163.11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-510551.11</v>
      </c>
      <c r="F69" s="9" t="n"/>
      <c r="G69" s="18" t="n">
        <v>-470286.86</v>
      </c>
      <c r="H69" s="18" t="n">
        <v>-106790.18</v>
      </c>
      <c r="I69" s="18" t="n">
        <v>-635451.78</v>
      </c>
      <c r="J69" s="18" t="n">
        <v>-430772.25</v>
      </c>
      <c r="K69" s="34" t="n">
        <v>-1643301.07</v>
      </c>
      <c r="L69" s="18" t="n">
        <v>-66039.28</v>
      </c>
      <c r="M69" s="18" t="n">
        <v>-170869.68</v>
      </c>
      <c r="N69" s="18" t="n">
        <v>63398.45</v>
      </c>
      <c r="P69" s="9" t="n"/>
      <c r="Q69" s="18" t="n">
        <v>45388.62</v>
      </c>
      <c r="R69" s="18" t="n">
        <v>-26134.94</v>
      </c>
      <c r="S69" s="18" t="n">
        <v>19899.26</v>
      </c>
      <c r="T69" s="18" t="n">
        <v>171621.21</v>
      </c>
      <c r="U69" s="34" t="n">
        <v>210774.15</v>
      </c>
      <c r="V69" s="18" t="n">
        <v>258723.08</v>
      </c>
      <c r="W69" s="18" t="n">
        <v>389544.02</v>
      </c>
      <c r="X69" s="18" t="n">
        <v>277969.3</v>
      </c>
      <c r="Y69" s="18" t="n">
        <v>227766.46</v>
      </c>
      <c r="Z69" s="34" t="n">
        <v>1154002.86</v>
      </c>
      <c r="AA69" s="18" t="n">
        <v>400874.92</v>
      </c>
      <c r="AB69" s="19" t="n">
        <v>715817.16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31007.76</v>
      </c>
      <c r="F70" s="9" t="n"/>
      <c r="G70" s="18" t="n">
        <v>84781.61</v>
      </c>
      <c r="H70" s="18" t="n">
        <v>176651.16</v>
      </c>
      <c r="I70" s="18" t="n">
        <v>279295.79</v>
      </c>
      <c r="J70" s="18" t="n">
        <v>-13707.45</v>
      </c>
      <c r="K70" s="34" t="n">
        <v>527021.11</v>
      </c>
      <c r="L70" s="18" t="n">
        <v>193374.05</v>
      </c>
      <c r="M70" s="18" t="n">
        <v>88877.88</v>
      </c>
      <c r="N70" s="18" t="n">
        <v>186761.51</v>
      </c>
      <c r="O70" s="18" t="n">
        <v>79695.92</v>
      </c>
      <c r="P70" s="34" t="n">
        <v>548709.36</v>
      </c>
      <c r="Q70" s="18" t="n">
        <v>302656.15</v>
      </c>
      <c r="R70" s="18" t="n">
        <v>39297.12</v>
      </c>
      <c r="S70" s="18" t="n">
        <v>-13116.52</v>
      </c>
      <c r="T70" s="18" t="n">
        <v>358271.97</v>
      </c>
      <c r="U70" s="34" t="n">
        <v>687108.72</v>
      </c>
      <c r="V70" s="18" t="n">
        <v>133400.33</v>
      </c>
      <c r="W70" s="18" t="n">
        <v>400166.71</v>
      </c>
      <c r="X70" s="18" t="n">
        <v>-35659.11</v>
      </c>
      <c r="Y70" s="18" t="n">
        <v>151224.05</v>
      </c>
      <c r="Z70" s="34" t="n">
        <v>649131.98</v>
      </c>
      <c r="AA70" s="18" t="n">
        <v>435412.42</v>
      </c>
      <c r="AB70" s="19" t="n">
        <v>190399.76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81573.28</v>
      </c>
      <c r="F71" s="9" t="n"/>
      <c r="G71" s="18" t="n">
        <v>158494.24</v>
      </c>
      <c r="H71" s="18" t="n">
        <v>750343.84</v>
      </c>
      <c r="I71" s="18" t="n">
        <v>1161436.4</v>
      </c>
      <c r="J71" s="18" t="n">
        <v>-950766.47</v>
      </c>
      <c r="K71" s="34" t="n">
        <v>1119508.01</v>
      </c>
      <c r="L71" s="18" t="n">
        <v>433246.62</v>
      </c>
      <c r="M71" s="18" t="n">
        <v>241869.88</v>
      </c>
      <c r="N71" s="18" t="n">
        <v>323054.75</v>
      </c>
      <c r="O71" s="18" t="n">
        <v>-110999.29</v>
      </c>
      <c r="P71" s="34" t="n">
        <v>887171.96</v>
      </c>
      <c r="Q71" s="18" t="n">
        <v>476428.69</v>
      </c>
      <c r="R71" s="18" t="n">
        <v>144687.61</v>
      </c>
      <c r="S71" s="18" t="n">
        <v>-24945.68</v>
      </c>
      <c r="T71" s="18" t="n">
        <v>569161.64</v>
      </c>
      <c r="U71" s="34" t="n">
        <v>1165332.26</v>
      </c>
      <c r="V71" s="18" t="n">
        <v>177489.57</v>
      </c>
      <c r="W71" s="18" t="n">
        <v>528838.62</v>
      </c>
      <c r="X71" s="18" t="n">
        <v>-44353.36</v>
      </c>
      <c r="Y71" s="18" t="n">
        <v>95794.41</v>
      </c>
      <c r="Z71" s="34" t="n">
        <v>757769.24</v>
      </c>
      <c r="AA71" s="18" t="n">
        <v>455691.26</v>
      </c>
      <c r="AB71" s="19" t="n">
        <v>266102.31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180395.98</v>
      </c>
      <c r="F72" s="9" t="n"/>
      <c r="G72" s="18" t="n">
        <v>71854.3</v>
      </c>
      <c r="H72" s="18" t="n">
        <v>512190.41</v>
      </c>
      <c r="I72" s="18" t="n">
        <v>834529.09</v>
      </c>
      <c r="J72" s="18" t="n">
        <v>-908600.17</v>
      </c>
      <c r="K72" s="34" t="n">
        <v>509973.63</v>
      </c>
      <c r="L72" s="18" t="n">
        <v>193557.18</v>
      </c>
      <c r="M72" s="18" t="n">
        <v>78763.03</v>
      </c>
      <c r="N72" s="18" t="n">
        <v>306726.68</v>
      </c>
      <c r="O72" s="18" t="n">
        <v>-141946.96</v>
      </c>
      <c r="P72" s="34" t="n">
        <v>437099.93</v>
      </c>
      <c r="Q72" s="18" t="n">
        <v>178055.51</v>
      </c>
      <c r="R72" s="18" t="n">
        <v>91530.28999999999</v>
      </c>
      <c r="S72" s="18" t="n">
        <v>-109766.49</v>
      </c>
      <c r="T72" s="18" t="n">
        <v>346932.22</v>
      </c>
      <c r="U72" s="34" t="n">
        <v>506751.53</v>
      </c>
      <c r="V72" s="18" t="n">
        <v>28113.62</v>
      </c>
      <c r="W72" s="18" t="n">
        <v>2048.05</v>
      </c>
      <c r="X72" s="18" t="n">
        <v>9407.52</v>
      </c>
      <c r="Y72" s="18" t="n">
        <v>19671.85</v>
      </c>
      <c r="Z72" s="34" t="n">
        <v>59241.04</v>
      </c>
      <c r="AA72" s="18" t="n">
        <v>160700.58</v>
      </c>
      <c r="AB72" s="19" t="n">
        <v>59962.75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21840.57</v>
      </c>
      <c r="F73" s="9" t="n"/>
      <c r="G73" s="18" t="n">
        <v>18282.73</v>
      </c>
      <c r="H73" s="18" t="n">
        <v>13870.93</v>
      </c>
      <c r="I73" s="18" t="n">
        <v>5887.32</v>
      </c>
      <c r="J73" s="18" t="n">
        <v>50902.28</v>
      </c>
      <c r="K73" s="34" t="n">
        <v>88943.25999999999</v>
      </c>
      <c r="L73" s="18" t="n">
        <v>8909.52</v>
      </c>
      <c r="M73" s="18" t="n">
        <v>6004.78</v>
      </c>
      <c r="N73" s="18" t="n">
        <v>12313.18</v>
      </c>
      <c r="O73" s="18" t="n">
        <v>10836.07</v>
      </c>
      <c r="P73" s="34" t="n">
        <v>38063.55</v>
      </c>
      <c r="Q73" s="18" t="n">
        <v>2506.79</v>
      </c>
      <c r="R73" s="18" t="n">
        <v>3278.46</v>
      </c>
      <c r="S73" s="18" t="n">
        <v>6787.68</v>
      </c>
      <c r="T73" s="18" t="n">
        <v>85559.64999999999</v>
      </c>
      <c r="U73" s="34" t="n">
        <v>98132.58</v>
      </c>
      <c r="V73" s="18" t="n">
        <v>28394.54</v>
      </c>
      <c r="W73" s="18" t="n">
        <v>80238.42999999999</v>
      </c>
      <c r="X73" s="18" t="n">
        <v>10833.9</v>
      </c>
      <c r="Y73" s="18" t="n">
        <v>62462.31</v>
      </c>
      <c r="Z73" s="34" t="n">
        <v>181929.18</v>
      </c>
      <c r="AA73" s="18" t="n">
        <v>19350.72</v>
      </c>
      <c r="AB73" s="19" t="n">
        <v>2974.32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-402561.21</v>
      </c>
      <c r="F74" s="9" t="n"/>
      <c r="G74" s="18" t="n">
        <v>-490427.92</v>
      </c>
      <c r="H74" s="18" t="n">
        <v>-182163.38</v>
      </c>
      <c r="I74" s="18" t="n">
        <v>-688950.62</v>
      </c>
      <c r="J74" s="18" t="n">
        <v>-453215.69</v>
      </c>
      <c r="K74" s="34" t="n">
        <v>-1814757.61</v>
      </c>
      <c r="L74" s="18" t="n">
        <v>-121264.19</v>
      </c>
      <c r="M74" s="18" t="n">
        <v>-251103.43</v>
      </c>
      <c r="N74" s="18" t="n">
        <v>221518.71</v>
      </c>
      <c r="O74" s="18" t="n">
        <v>-27082.2</v>
      </c>
      <c r="P74" s="34" t="n">
        <v>-177931.11</v>
      </c>
      <c r="Q74" s="18" t="n">
        <v>47164.81</v>
      </c>
      <c r="R74" s="18" t="n">
        <v>-43273.6</v>
      </c>
      <c r="S74" s="18" t="n">
        <v>-84825.75</v>
      </c>
      <c r="T74" s="18" t="n">
        <v>222104.1</v>
      </c>
      <c r="U74" s="34" t="n">
        <v>141169.56</v>
      </c>
      <c r="V74" s="18" t="n">
        <v>214352.92</v>
      </c>
      <c r="W74" s="18" t="n">
        <v>182681.74</v>
      </c>
      <c r="X74" s="18" t="n">
        <v>285237.18</v>
      </c>
      <c r="Y74" s="18" t="n">
        <v>240405.65</v>
      </c>
      <c r="Z74" s="34" t="n">
        <v>922677.49</v>
      </c>
      <c r="AA74" s="18" t="n">
        <v>521945.94</v>
      </c>
      <c r="AB74" s="19" t="n">
        <v>697103.04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-12723.4</v>
      </c>
      <c r="F75" s="9" t="n"/>
      <c r="I75" s="18" t="n">
        <v>-36271</v>
      </c>
      <c r="J75" s="18" t="n">
        <v>-11166.73</v>
      </c>
      <c r="K75" s="9" t="n"/>
      <c r="L75" s="18" t="n">
        <v>-15.81</v>
      </c>
      <c r="O75" s="18" t="n">
        <v>-287747.22</v>
      </c>
      <c r="P75" s="9" t="n"/>
      <c r="Q75" s="18" t="n">
        <v>827.6</v>
      </c>
      <c r="R75" s="18" t="n">
        <v>467.5</v>
      </c>
      <c r="S75" s="18" t="n">
        <v>2988.86</v>
      </c>
      <c r="T75" s="18" t="n">
        <v>-360664.67</v>
      </c>
      <c r="U75" s="34" t="n">
        <v>-356380.71</v>
      </c>
      <c r="V75" s="18" t="n">
        <v>201.11</v>
      </c>
      <c r="W75" s="18" t="n">
        <v>179.74</v>
      </c>
      <c r="X75" s="18" t="n">
        <v>434.12</v>
      </c>
      <c r="Y75" s="18" t="n">
        <v>-422336.13</v>
      </c>
      <c r="Z75" s="34" t="n">
        <v>-421521.16</v>
      </c>
      <c r="AA75" s="18" t="n">
        <v>87.11</v>
      </c>
      <c r="AB75" s="19" t="n">
        <v>-387.78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-389837.81</v>
      </c>
      <c r="F76" s="9" t="n"/>
      <c r="G76" s="18" t="n">
        <v>-490427.92</v>
      </c>
      <c r="H76" s="18" t="n">
        <v>-182163.38</v>
      </c>
      <c r="I76" s="18" t="n">
        <v>-652679.62</v>
      </c>
      <c r="J76" s="18" t="n">
        <v>-442048.96</v>
      </c>
      <c r="K76" s="34" t="n">
        <v>-1767319.88</v>
      </c>
      <c r="L76" s="18" t="n">
        <v>-121248.38</v>
      </c>
      <c r="M76" s="18" t="n">
        <v>-251103.43</v>
      </c>
      <c r="N76" s="18" t="n">
        <v>221518.71</v>
      </c>
      <c r="O76" s="18" t="n">
        <v>260665.03</v>
      </c>
      <c r="P76" s="34" t="n">
        <v>109831.93</v>
      </c>
      <c r="Q76" s="18" t="n">
        <v>46337.21</v>
      </c>
      <c r="R76" s="18" t="n">
        <v>-43741.1</v>
      </c>
      <c r="S76" s="18" t="n">
        <v>-87814.62</v>
      </c>
      <c r="T76" s="18" t="n">
        <v>582768.78</v>
      </c>
      <c r="U76" s="34" t="n">
        <v>497550.27</v>
      </c>
      <c r="V76" s="18" t="n">
        <v>214151.81</v>
      </c>
      <c r="W76" s="18" t="n">
        <v>182502</v>
      </c>
      <c r="X76" s="18" t="n">
        <v>284803.06</v>
      </c>
      <c r="Y76" s="18" t="n">
        <v>662741.77</v>
      </c>
      <c r="Z76" s="34" t="n">
        <v>1344198.64</v>
      </c>
      <c r="AA76" s="18" t="n">
        <v>521858.83</v>
      </c>
      <c r="AB76" s="19" t="n">
        <v>697490.8199999999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-50565.52</v>
      </c>
      <c r="F77" s="9" t="n"/>
      <c r="G77" s="18" t="n">
        <v>-73712.63</v>
      </c>
      <c r="H77" s="18" t="n">
        <v>-573692.6800000001</v>
      </c>
      <c r="I77" s="18" t="n">
        <v>-882140.61</v>
      </c>
      <c r="J77" s="18" t="n">
        <v>937059.02</v>
      </c>
      <c r="K77" s="34" t="n">
        <v>-592486.9</v>
      </c>
      <c r="L77" s="18" t="n">
        <v>-239872.57</v>
      </c>
      <c r="M77" s="18" t="n">
        <v>-152992</v>
      </c>
      <c r="N77" s="18" t="n">
        <v>-136293.24</v>
      </c>
      <c r="O77" s="18" t="n">
        <v>190695.21</v>
      </c>
      <c r="P77" s="34" t="n">
        <v>-338462.6</v>
      </c>
      <c r="Q77" s="18" t="n">
        <v>-173772.54</v>
      </c>
      <c r="R77" s="18" t="n">
        <v>-105390.49</v>
      </c>
      <c r="S77" s="18" t="n">
        <v>11829.16</v>
      </c>
      <c r="T77" s="18" t="n">
        <v>-210889.67</v>
      </c>
      <c r="U77" s="34" t="n">
        <v>-478223.54</v>
      </c>
      <c r="V77" s="18" t="n">
        <v>-44089.24</v>
      </c>
      <c r="W77" s="18" t="n">
        <v>-128671.91</v>
      </c>
      <c r="X77" s="18" t="n">
        <v>8694.25</v>
      </c>
      <c r="Y77" s="18" t="n">
        <v>55429.64</v>
      </c>
      <c r="Z77" s="34" t="n">
        <v>-108637.26</v>
      </c>
      <c r="AA77" s="18" t="n">
        <v>-20278.84</v>
      </c>
      <c r="AB77" s="19" t="n">
        <v>-75702.55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158555.41</v>
      </c>
      <c r="F78" s="9" t="n"/>
      <c r="G78" s="18" t="n">
        <v>53571.57</v>
      </c>
      <c r="H78" s="18" t="n">
        <v>498319.48</v>
      </c>
      <c r="I78" s="18" t="n">
        <v>828641.77</v>
      </c>
      <c r="J78" s="18" t="n">
        <v>-959502.45</v>
      </c>
      <c r="K78" s="34" t="n">
        <v>421030.37</v>
      </c>
      <c r="L78" s="18" t="n">
        <v>184647.66</v>
      </c>
      <c r="M78" s="18" t="n">
        <v>72758.25</v>
      </c>
      <c r="N78" s="18" t="n">
        <v>294413.5</v>
      </c>
      <c r="O78" s="18" t="n">
        <v>-152783.03</v>
      </c>
      <c r="P78" s="34" t="n">
        <v>399036.38</v>
      </c>
      <c r="Q78" s="18" t="n">
        <v>175548.72</v>
      </c>
      <c r="R78" s="18" t="n">
        <v>88251.83</v>
      </c>
      <c r="S78" s="18" t="n">
        <v>-116554.17</v>
      </c>
      <c r="T78" s="18" t="n">
        <v>261372.57</v>
      </c>
      <c r="U78" s="34" t="n">
        <v>408618.95</v>
      </c>
      <c r="V78" s="18" t="n">
        <v>-280.92</v>
      </c>
      <c r="W78" s="18" t="n">
        <v>-78190.38</v>
      </c>
      <c r="X78" s="18" t="n">
        <v>-1426.38</v>
      </c>
      <c r="Y78" s="18" t="n">
        <v>-42790.46</v>
      </c>
      <c r="Z78" s="34" t="n">
        <v>-122688.14</v>
      </c>
      <c r="AA78" s="18" t="n">
        <v>141349.86</v>
      </c>
      <c r="AB78" s="19" t="n">
        <v>56988.43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-389837.81</v>
      </c>
      <c r="F79" s="9" t="n"/>
      <c r="G79" s="18" t="n">
        <v>-490427.92</v>
      </c>
      <c r="H79" s="18" t="n">
        <v>-182163.38</v>
      </c>
      <c r="I79" s="18" t="n">
        <v>-652679.62</v>
      </c>
      <c r="J79" s="18" t="n">
        <v>-442048.96</v>
      </c>
      <c r="K79" s="34" t="n">
        <v>-1767319.88</v>
      </c>
      <c r="L79" s="18" t="n">
        <v>-121248.38</v>
      </c>
      <c r="M79" s="18" t="n">
        <v>-251103.43</v>
      </c>
      <c r="N79" s="18" t="n">
        <v>221518.71</v>
      </c>
      <c r="O79" s="18" t="n">
        <v>260665.03</v>
      </c>
      <c r="P79" s="34" t="n">
        <v>109831.93</v>
      </c>
      <c r="Q79" s="18" t="n">
        <v>46337.21</v>
      </c>
      <c r="R79" s="18" t="n">
        <v>-43741.1</v>
      </c>
      <c r="S79" s="18" t="n">
        <v>-87814.62</v>
      </c>
      <c r="T79" s="18" t="n">
        <v>582768.78</v>
      </c>
      <c r="U79" s="34" t="n">
        <v>497550.27</v>
      </c>
      <c r="V79" s="18" t="n">
        <v>214151.81</v>
      </c>
      <c r="W79" s="18" t="n">
        <v>182502</v>
      </c>
      <c r="X79" s="18" t="n">
        <v>284803.06</v>
      </c>
      <c r="Y79" s="18" t="n">
        <v>662741.77</v>
      </c>
      <c r="Z79" s="34" t="n">
        <v>1344198.64</v>
      </c>
      <c r="AA79" s="18" t="n">
        <v>521858.83</v>
      </c>
      <c r="AB79" s="19" t="n">
        <v>697490.8199999999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-389837.81</v>
      </c>
      <c r="F80" s="9" t="n"/>
      <c r="G80" s="18" t="n">
        <v>-490427.92</v>
      </c>
      <c r="H80" s="18" t="n">
        <v>-182163.38</v>
      </c>
      <c r="I80" s="18" t="n">
        <v>-652679.62</v>
      </c>
      <c r="J80" s="18" t="n">
        <v>-442048.96</v>
      </c>
      <c r="K80" s="34" t="n">
        <v>-1767319.88</v>
      </c>
      <c r="L80" s="18" t="n">
        <v>-121248.38</v>
      </c>
      <c r="M80" s="18" t="n">
        <v>-251103.43</v>
      </c>
      <c r="N80" s="18" t="n">
        <v>221518.71</v>
      </c>
      <c r="O80" s="18" t="n">
        <v>260665.03</v>
      </c>
      <c r="P80" s="34" t="n">
        <v>109831.93</v>
      </c>
      <c r="Q80" s="18" t="n">
        <v>46337.21</v>
      </c>
      <c r="R80" s="18" t="n">
        <v>-43741.1</v>
      </c>
      <c r="S80" s="18" t="n">
        <v>-87814.62</v>
      </c>
      <c r="T80" s="18" t="n">
        <v>582768.78</v>
      </c>
      <c r="U80" s="34" t="n">
        <v>497550.27</v>
      </c>
      <c r="V80" s="18" t="n">
        <v>214151.81</v>
      </c>
      <c r="W80" s="18" t="n">
        <v>182502</v>
      </c>
      <c r="X80" s="18" t="n">
        <v>284803.06</v>
      </c>
      <c r="Y80" s="18" t="n">
        <v>662741.77</v>
      </c>
      <c r="Z80" s="34" t="n">
        <v>1344198.64</v>
      </c>
      <c r="AA80" s="18" t="n">
        <v>521858.83</v>
      </c>
      <c r="AB80" s="19" t="n">
        <v>697490.8199999999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-354793.95</v>
      </c>
      <c r="F81" s="9" t="n"/>
      <c r="G81" s="18" t="n">
        <v>-491662.21</v>
      </c>
      <c r="H81" s="18" t="n">
        <v>-181490.5</v>
      </c>
      <c r="I81" s="18" t="n">
        <v>-653251.08</v>
      </c>
      <c r="J81" s="18" t="n">
        <v>-157386.21</v>
      </c>
      <c r="K81" s="34" t="n">
        <v>-1483790</v>
      </c>
      <c r="L81" s="18" t="n">
        <v>-122734.9</v>
      </c>
      <c r="M81" s="18" t="n">
        <v>-307834.27</v>
      </c>
      <c r="N81" s="18" t="n">
        <v>223181.92</v>
      </c>
      <c r="P81" s="9" t="n"/>
      <c r="Q81" s="18" t="n">
        <v>44665.14</v>
      </c>
      <c r="R81" s="18" t="n">
        <v>-44847.35</v>
      </c>
      <c r="S81" s="18" t="n">
        <v>-87914.05</v>
      </c>
      <c r="T81" s="18" t="n">
        <v>558271.48</v>
      </c>
      <c r="U81" s="34" t="n">
        <v>470175.22</v>
      </c>
      <c r="V81" s="18" t="n">
        <v>212354.63</v>
      </c>
      <c r="W81" s="18" t="n">
        <v>191037.26</v>
      </c>
      <c r="X81" s="18" t="n">
        <v>281877.37</v>
      </c>
      <c r="Y81" s="18" t="n">
        <v>748693.08</v>
      </c>
      <c r="Z81" s="34" t="n">
        <v>1433962.34</v>
      </c>
      <c r="AA81" s="18" t="n">
        <v>505507.85</v>
      </c>
      <c r="AB81" s="19" t="n">
        <v>683072.74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15595</v>
      </c>
      <c r="F82" s="9" t="n"/>
      <c r="G82" s="18" t="n">
        <v>-718763.51</v>
      </c>
      <c r="H82" s="18" t="n">
        <v>-271683.55</v>
      </c>
      <c r="I82" s="18" t="n">
        <v>-183310.16</v>
      </c>
      <c r="J82" s="18" t="n">
        <v>113658.75</v>
      </c>
      <c r="K82" s="34" t="n">
        <v>-1060098.47</v>
      </c>
      <c r="L82" s="18" t="n">
        <v>-781625.04</v>
      </c>
      <c r="M82" s="18" t="n">
        <v>18079.37</v>
      </c>
      <c r="N82" s="18" t="n">
        <v>-749837.96</v>
      </c>
      <c r="O82" s="18" t="n">
        <v>-464874.69</v>
      </c>
      <c r="P82" s="34" t="n">
        <v>-1978258.32</v>
      </c>
      <c r="Q82" s="18" t="n">
        <v>-1159238.04</v>
      </c>
      <c r="R82" s="18" t="n">
        <v>-540495.3199999999</v>
      </c>
      <c r="S82" s="18" t="n">
        <v>-884188.37</v>
      </c>
      <c r="T82" s="18" t="n">
        <v>-269876.99</v>
      </c>
      <c r="U82" s="34" t="n">
        <v>-2853798.72</v>
      </c>
      <c r="V82" s="18" t="n">
        <v>184821.86</v>
      </c>
      <c r="W82" s="18" t="n">
        <v>688047.04</v>
      </c>
      <c r="X82" s="18" t="n">
        <v>-418553.55</v>
      </c>
      <c r="Y82" s="18" t="n">
        <v>713837.59</v>
      </c>
      <c r="Z82" s="34" t="n">
        <v>1168152.94</v>
      </c>
      <c r="AA82" s="18" t="n">
        <v>187700.08</v>
      </c>
      <c r="AB82" s="19" t="n">
        <v>714530.78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682.1799999999999</v>
      </c>
      <c r="F83" s="9" t="n"/>
      <c r="G83" s="18" t="n">
        <v>570.89</v>
      </c>
      <c r="H83" s="18" t="n">
        <v>14.85</v>
      </c>
      <c r="I83" s="18" t="n">
        <v>0</v>
      </c>
      <c r="J83" s="18" t="n">
        <v>0</v>
      </c>
      <c r="K83" s="34" t="n">
        <v>585.74</v>
      </c>
      <c r="L83" s="18" t="n">
        <v>950</v>
      </c>
      <c r="M83" s="18" t="n">
        <v>73.25</v>
      </c>
      <c r="N83" s="18" t="n">
        <v>0</v>
      </c>
      <c r="O83" s="18" t="n">
        <v>0</v>
      </c>
      <c r="P83" s="34" t="n">
        <v>1023.25</v>
      </c>
      <c r="Q83" s="18" t="n">
        <v>874</v>
      </c>
      <c r="R83" s="18" t="n">
        <v>180.29</v>
      </c>
      <c r="S83" s="18" t="n">
        <v>0</v>
      </c>
      <c r="T83" s="18" t="n">
        <v>0</v>
      </c>
      <c r="U83" s="34" t="n">
        <v>1054.29</v>
      </c>
      <c r="X83" s="18" t="n">
        <v>0</v>
      </c>
      <c r="Y83" s="18" t="n">
        <v>6.75</v>
      </c>
      <c r="Z83" s="9" t="n"/>
      <c r="AA83" s="18" t="n">
        <v>121.28</v>
      </c>
      <c r="AB83" s="19" t="n">
        <v>50.57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6977.89</v>
      </c>
      <c r="F84" s="9" t="n"/>
      <c r="G84" s="18" t="n">
        <v>8088.17</v>
      </c>
      <c r="H84" s="18" t="n">
        <v>20049.47</v>
      </c>
      <c r="I84" s="18" t="n">
        <v>8606.66</v>
      </c>
      <c r="J84" s="18" t="n">
        <v>10613.89</v>
      </c>
      <c r="K84" s="34" t="n">
        <v>47358.19</v>
      </c>
      <c r="L84" s="18" t="n">
        <v>11646.91</v>
      </c>
      <c r="M84" s="18" t="n">
        <v>1898.26</v>
      </c>
      <c r="N84" s="18" t="n">
        <v>15326.04</v>
      </c>
      <c r="O84" s="18" t="n">
        <v>23152.88</v>
      </c>
      <c r="P84" s="34" t="n">
        <v>52024.09</v>
      </c>
      <c r="Q84" s="18" t="n">
        <v>17065.29</v>
      </c>
      <c r="R84" s="18" t="n">
        <v>15872.19</v>
      </c>
      <c r="S84" s="18" t="n">
        <v>12949.64</v>
      </c>
      <c r="T84" s="18" t="n">
        <v>7553.63</v>
      </c>
      <c r="U84" s="34" t="n">
        <v>53440.75</v>
      </c>
      <c r="V84" s="18" t="n">
        <v>5676.73</v>
      </c>
      <c r="W84" s="18" t="n">
        <v>7218.37</v>
      </c>
      <c r="X84" s="18" t="n">
        <v>3450.51</v>
      </c>
      <c r="Y84" s="18" t="n">
        <v>6929.02</v>
      </c>
      <c r="Z84" s="34" t="n">
        <v>23274.63</v>
      </c>
      <c r="AA84" s="18" t="n">
        <v>21390.02</v>
      </c>
      <c r="AB84" s="19" t="n">
        <v>6844.3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-16899.6</v>
      </c>
      <c r="F85" s="9" t="n"/>
      <c r="G85" s="18" t="n">
        <v>-11809.81</v>
      </c>
      <c r="H85" s="18" t="n">
        <v>-17110.57</v>
      </c>
      <c r="I85" s="18" t="n">
        <v>-21245.77</v>
      </c>
      <c r="J85" s="18" t="n">
        <v>-23380.8</v>
      </c>
      <c r="K85" s="34" t="n">
        <v>-73546.95</v>
      </c>
      <c r="L85" s="18" t="n">
        <v>-37176.56</v>
      </c>
      <c r="M85" s="18" t="n">
        <v>-41510.62</v>
      </c>
      <c r="N85" s="18" t="n">
        <v>-26266.07</v>
      </c>
      <c r="O85" s="18" t="n">
        <v>-30325.78</v>
      </c>
      <c r="P85" s="34" t="n">
        <v>-135279.03</v>
      </c>
      <c r="Q85" s="18" t="n">
        <v>-27541.88</v>
      </c>
      <c r="R85" s="18" t="n">
        <v>-39615.5</v>
      </c>
      <c r="S85" s="18" t="n">
        <v>-41565.66</v>
      </c>
      <c r="T85" s="18" t="n">
        <v>-44032.69</v>
      </c>
      <c r="U85" s="34" t="n">
        <v>-152755.73</v>
      </c>
      <c r="V85" s="18" t="n">
        <v>-44679.8</v>
      </c>
      <c r="W85" s="18" t="n">
        <v>-46869.41</v>
      </c>
      <c r="X85" s="18" t="n">
        <v>-43006.31</v>
      </c>
      <c r="Y85" s="18" t="n">
        <v>-31371.71</v>
      </c>
      <c r="Z85" s="34" t="n">
        <v>-165927.23</v>
      </c>
      <c r="AA85" s="18" t="n">
        <v>-48671.13</v>
      </c>
      <c r="AB85" s="19" t="n">
        <v>-55327.65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-757.86</v>
      </c>
      <c r="F86" s="9" t="n"/>
      <c r="G86" s="18" t="n">
        <v>-948.34</v>
      </c>
      <c r="H86" s="18" t="n">
        <v>8904.530000000001</v>
      </c>
      <c r="I86" s="18" t="n">
        <v>-1022.7</v>
      </c>
      <c r="J86" s="18" t="n">
        <v>-933.04</v>
      </c>
      <c r="K86" s="34" t="n">
        <v>6000.45</v>
      </c>
      <c r="L86" s="18" t="n">
        <v>-824.79</v>
      </c>
      <c r="M86" s="18" t="n">
        <v>13275.62</v>
      </c>
      <c r="N86" s="18" t="n">
        <v>-1135.81</v>
      </c>
      <c r="O86" s="18" t="n">
        <v>-5402.03</v>
      </c>
      <c r="P86" s="34" t="n">
        <v>5912.99</v>
      </c>
      <c r="Q86" s="18" t="n">
        <v>-3460.81</v>
      </c>
      <c r="R86" s="18" t="n">
        <v>-4752.24</v>
      </c>
      <c r="S86" s="18" t="n">
        <v>4491.97</v>
      </c>
      <c r="T86" s="18" t="n">
        <v>5616.15</v>
      </c>
      <c r="U86" s="34" t="n">
        <v>1895.07</v>
      </c>
      <c r="V86" s="18" t="n">
        <v>-998.88</v>
      </c>
      <c r="W86" s="18" t="n">
        <v>11157.43</v>
      </c>
      <c r="X86" s="18" t="n">
        <v>-1018.43</v>
      </c>
      <c r="Y86" s="18" t="n">
        <v>-16955.89</v>
      </c>
      <c r="Z86" s="34" t="n">
        <v>-7815.77</v>
      </c>
      <c r="AA86" s="18" t="n">
        <v>-87.11</v>
      </c>
      <c r="AB86" s="19" t="n">
        <v>5030.07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47749.54</v>
      </c>
      <c r="F87" s="9" t="n"/>
      <c r="G87" s="18" t="n">
        <v>-13359.35</v>
      </c>
      <c r="H87" s="18" t="n">
        <v>221158.27</v>
      </c>
      <c r="I87" s="18" t="n">
        <v>-127616.36</v>
      </c>
      <c r="J87" s="18" t="n">
        <v>5345.74</v>
      </c>
      <c r="K87" s="34" t="n">
        <v>85528.3</v>
      </c>
      <c r="L87" s="18" t="n">
        <v>59095.76</v>
      </c>
      <c r="M87" s="18" t="n">
        <v>-33072.35</v>
      </c>
      <c r="N87" s="18" t="n">
        <v>277765.62</v>
      </c>
      <c r="O87" s="18" t="n">
        <v>-116423.3</v>
      </c>
      <c r="P87" s="34" t="n">
        <v>187365.73</v>
      </c>
      <c r="Q87" s="18" t="n">
        <v>-186709.4</v>
      </c>
      <c r="R87" s="18" t="n">
        <v>-106732.27</v>
      </c>
      <c r="S87" s="18" t="n">
        <v>-629227.05</v>
      </c>
      <c r="T87" s="18" t="n">
        <v>-400226.34</v>
      </c>
      <c r="U87" s="34" t="n">
        <v>-1322895.06</v>
      </c>
      <c r="V87" s="18" t="n">
        <v>-79055.63</v>
      </c>
      <c r="W87" s="18" t="n">
        <v>-248842.07</v>
      </c>
      <c r="X87" s="18" t="n">
        <v>-220837.95</v>
      </c>
      <c r="Y87" s="18" t="n">
        <v>-732878.72</v>
      </c>
      <c r="Z87" s="34" t="n">
        <v>-1281614.37</v>
      </c>
      <c r="AA87" s="18" t="n">
        <v>-264152.58</v>
      </c>
      <c r="AB87" s="19" t="n">
        <v>-183344.38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43708.47</v>
      </c>
      <c r="F88" s="9" t="n"/>
      <c r="G88" s="18" t="n">
        <v>134627.27</v>
      </c>
      <c r="H88" s="18" t="n">
        <v>-13498.7</v>
      </c>
      <c r="I88" s="18" t="n">
        <v>-133723.18</v>
      </c>
      <c r="J88" s="18" t="n">
        <v>-117185.87</v>
      </c>
      <c r="K88" s="34" t="n">
        <v>-129780.48</v>
      </c>
      <c r="L88" s="18" t="n">
        <v>325443.03</v>
      </c>
      <c r="M88" s="18" t="n">
        <v>1314513.81</v>
      </c>
      <c r="N88" s="18" t="n">
        <v>-110984.72</v>
      </c>
      <c r="O88" s="18" t="n">
        <v>1401986.31</v>
      </c>
      <c r="P88" s="34" t="n">
        <v>2930958.43</v>
      </c>
      <c r="Q88" s="18" t="n">
        <v>1163977.18</v>
      </c>
      <c r="R88" s="18" t="n">
        <v>783556.0600000001</v>
      </c>
      <c r="S88" s="18" t="n">
        <v>676584.66</v>
      </c>
      <c r="T88" s="18" t="n">
        <v>195827.42</v>
      </c>
      <c r="U88" s="34" t="n">
        <v>2819945.32</v>
      </c>
      <c r="V88" s="18" t="n">
        <v>242586.4</v>
      </c>
      <c r="W88" s="18" t="n">
        <v>-381638.79</v>
      </c>
      <c r="X88" s="18" t="n">
        <v>38110.07</v>
      </c>
      <c r="Y88" s="18" t="n">
        <v>405316.36</v>
      </c>
      <c r="Z88" s="34" t="n">
        <v>304374.04</v>
      </c>
      <c r="AA88" s="18" t="n">
        <v>357380.15</v>
      </c>
      <c r="AB88" s="19" t="n">
        <v>-182875.2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107250.23</v>
      </c>
      <c r="F89" s="9" t="n"/>
      <c r="G89" s="18" t="n">
        <v>201791.78</v>
      </c>
      <c r="H89" s="18" t="n">
        <v>53934.47</v>
      </c>
      <c r="K89" s="9" t="n"/>
      <c r="L89" s="18" t="n">
        <v>424426.52</v>
      </c>
      <c r="M89" s="18" t="n">
        <v>495573.48</v>
      </c>
      <c r="N89" s="18" t="n">
        <v>0</v>
      </c>
      <c r="O89" s="18" t="n">
        <v>0</v>
      </c>
      <c r="P89" s="34" t="n">
        <v>920000</v>
      </c>
      <c r="Q89" s="18" t="n">
        <v>1200000</v>
      </c>
      <c r="R89" s="18" t="n">
        <v>800000</v>
      </c>
      <c r="S89" s="18" t="n">
        <v>500000</v>
      </c>
      <c r="T89" s="18" t="n">
        <v>20000</v>
      </c>
      <c r="U89" s="34" t="n">
        <v>2520000</v>
      </c>
      <c r="V89" s="18" t="n">
        <v>146738.1</v>
      </c>
      <c r="W89" s="18" t="n">
        <v>0</v>
      </c>
      <c r="X89" s="18" t="n">
        <v>398648.12</v>
      </c>
      <c r="Y89" s="18" t="n">
        <v>93620</v>
      </c>
      <c r="Z89" s="34" t="n">
        <v>639006.22</v>
      </c>
      <c r="AA89" s="18" t="n">
        <v>272085.21</v>
      </c>
      <c r="AB89" s="19" t="n">
        <v>220000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유동성장기부채의감소</t>
        </is>
      </c>
      <c r="E90" s="18" t="n">
        <v>0</v>
      </c>
      <c r="F90" s="9" t="n"/>
      <c r="G90" s="18" t="n">
        <v>4.03</v>
      </c>
      <c r="H90" s="18" t="n">
        <v>0</v>
      </c>
      <c r="I90" s="18" t="n">
        <v>8348.75</v>
      </c>
      <c r="J90" s="18" t="n">
        <v>8348.74</v>
      </c>
      <c r="K90" s="34" t="n">
        <v>16701.52</v>
      </c>
      <c r="L90" s="18" t="n">
        <v>8418.639999999999</v>
      </c>
      <c r="M90" s="18" t="n">
        <v>8414.610000000001</v>
      </c>
      <c r="N90" s="18" t="n">
        <v>0</v>
      </c>
      <c r="O90" s="18" t="n">
        <v>16829.22</v>
      </c>
      <c r="P90" s="34" t="n">
        <v>33662.47</v>
      </c>
      <c r="Q90" s="18" t="n">
        <v>8436.440000000001</v>
      </c>
      <c r="R90" s="18" t="n">
        <v>8432.4</v>
      </c>
      <c r="S90" s="18" t="n">
        <v>8432.4</v>
      </c>
      <c r="T90" s="18" t="n">
        <v>8432.41</v>
      </c>
      <c r="U90" s="34" t="n">
        <v>33733.65</v>
      </c>
      <c r="V90" s="18" t="n">
        <v>8581.85</v>
      </c>
      <c r="W90" s="18" t="n">
        <v>8577.82</v>
      </c>
      <c r="X90" s="18" t="n">
        <v>8577.82</v>
      </c>
      <c r="Y90" s="18" t="n">
        <v>8577.82</v>
      </c>
      <c r="Z90" s="34" t="n">
        <v>34315.31</v>
      </c>
      <c r="AA90" s="18" t="n">
        <v>8553.59</v>
      </c>
      <c r="AB90" s="19" t="n">
        <v>8549.559999999999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4788.95</v>
      </c>
      <c r="F91" s="9" t="n"/>
      <c r="G91" s="18" t="n">
        <v>4815.98</v>
      </c>
      <c r="H91" s="18" t="n">
        <v>5794.73</v>
      </c>
      <c r="I91" s="18" t="n">
        <v>5954.99</v>
      </c>
      <c r="J91" s="18" t="n">
        <v>6019.43</v>
      </c>
      <c r="K91" s="34" t="n">
        <v>22585.13</v>
      </c>
      <c r="L91" s="18" t="n">
        <v>5415.34</v>
      </c>
      <c r="M91" s="18" t="n">
        <v>6394.35</v>
      </c>
      <c r="N91" s="18" t="n">
        <v>7134.4</v>
      </c>
      <c r="O91" s="18" t="n">
        <v>7280.03</v>
      </c>
      <c r="P91" s="34" t="n">
        <v>26224.12</v>
      </c>
      <c r="Q91" s="18" t="n">
        <v>6808.33</v>
      </c>
      <c r="R91" s="18" t="n">
        <v>7518.08</v>
      </c>
      <c r="S91" s="18" t="n">
        <v>8554.280000000001</v>
      </c>
      <c r="T91" s="18" t="n">
        <v>8404.360000000001</v>
      </c>
      <c r="U91" s="34" t="n">
        <v>31285.05</v>
      </c>
      <c r="V91" s="18" t="n">
        <v>7292.63</v>
      </c>
      <c r="W91" s="18" t="n">
        <v>8018.82</v>
      </c>
      <c r="X91" s="18" t="n">
        <v>7886.37</v>
      </c>
      <c r="Y91" s="18" t="n">
        <v>8844.84</v>
      </c>
      <c r="Z91" s="34" t="n">
        <v>32042.66</v>
      </c>
      <c r="AA91" s="18" t="n">
        <v>8211.17</v>
      </c>
      <c r="AB91" s="19" t="n">
        <v>8580.889999999999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107053.01</v>
      </c>
      <c r="F92" s="9" t="n"/>
      <c r="G92" s="18" t="n">
        <v>-597495.6</v>
      </c>
      <c r="H92" s="18" t="n">
        <v>-64023.98</v>
      </c>
      <c r="I92" s="18" t="n">
        <v>-444649.69</v>
      </c>
      <c r="J92" s="18" t="n">
        <v>1818.62</v>
      </c>
      <c r="K92" s="34" t="n">
        <v>-1104350.65</v>
      </c>
      <c r="L92" s="18" t="n">
        <v>-397086.26</v>
      </c>
      <c r="M92" s="18" t="n">
        <v>1299520.84</v>
      </c>
      <c r="N92" s="18" t="n">
        <v>-583057.0699999999</v>
      </c>
      <c r="O92" s="18" t="n">
        <v>820688.33</v>
      </c>
      <c r="P92" s="34" t="n">
        <v>1140065.84</v>
      </c>
      <c r="S92" s="18" t="n">
        <v>-836830.76</v>
      </c>
      <c r="T92" s="18" t="n">
        <v>-474275.91</v>
      </c>
      <c r="U92" s="9" t="n"/>
      <c r="V92" s="18" t="n">
        <v>348352.64</v>
      </c>
      <c r="W92" s="18" t="n">
        <v>57566.17</v>
      </c>
      <c r="X92" s="18" t="n">
        <v>-601281.4300000001</v>
      </c>
      <c r="Y92" s="18" t="n">
        <v>386275.23</v>
      </c>
      <c r="Z92" s="34" t="n">
        <v>190912.61</v>
      </c>
      <c r="AA92" s="18" t="n">
        <v>280927.65</v>
      </c>
      <c r="AB92" s="19" t="n">
        <v>348311.19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105768.7</v>
      </c>
      <c r="F93" s="9" t="n"/>
      <c r="G93" s="18" t="n">
        <v>1151228.91</v>
      </c>
      <c r="H93" s="18" t="n">
        <v>-64227.24</v>
      </c>
      <c r="I93" s="18" t="n">
        <v>-429573.99</v>
      </c>
      <c r="J93" s="18" t="n">
        <v>-23963.75</v>
      </c>
      <c r="K93" s="34" t="n">
        <v>633463.9300000001</v>
      </c>
      <c r="L93" s="18" t="n">
        <v>237007.28</v>
      </c>
      <c r="M93" s="18" t="n">
        <v>1297475.02</v>
      </c>
      <c r="N93" s="18" t="n">
        <v>-579507.21</v>
      </c>
      <c r="O93" s="18" t="n">
        <v>815521.9</v>
      </c>
      <c r="P93" s="34" t="n">
        <v>1770496.99</v>
      </c>
      <c r="Q93" s="18" t="n">
        <v>1588821.74</v>
      </c>
      <c r="R93" s="18" t="n">
        <v>136332.02</v>
      </c>
      <c r="S93" s="18" t="n">
        <v>-837160.71</v>
      </c>
      <c r="T93" s="18" t="n">
        <v>-473658.59</v>
      </c>
      <c r="U93" s="34" t="n">
        <v>414334.46</v>
      </c>
      <c r="V93" s="18" t="n">
        <v>762712.6</v>
      </c>
      <c r="W93" s="18" t="n">
        <v>56041.06</v>
      </c>
      <c r="X93" s="18" t="n">
        <v>-599611.24</v>
      </c>
      <c r="Y93" s="18" t="n">
        <v>382881.97</v>
      </c>
      <c r="Z93" s="34" t="n">
        <v>602024.39</v>
      </c>
      <c r="AA93" s="18" t="n">
        <v>884912.28</v>
      </c>
      <c r="AB93" s="19" t="n">
        <v>346370.43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L94" s="18" t="n">
        <v>23203.62</v>
      </c>
      <c r="M94" s="18" t="n">
        <v>1163614.22</v>
      </c>
      <c r="N94" s="18" t="n">
        <v>98017.74000000001</v>
      </c>
      <c r="O94" s="18" t="n">
        <v>48909.04</v>
      </c>
      <c r="P94" s="34" t="n">
        <v>1333744.62</v>
      </c>
      <c r="Q94" s="18" t="n">
        <v>14945.97</v>
      </c>
      <c r="S94" s="18" t="n">
        <v>6991.93</v>
      </c>
      <c r="U94" s="9" t="n"/>
      <c r="V94" s="18" t="n">
        <v>150000</v>
      </c>
      <c r="W94" s="18" t="n">
        <v>500000</v>
      </c>
      <c r="X94" s="18" t="n">
        <v>520000</v>
      </c>
      <c r="Y94" s="18" t="n">
        <v>100000</v>
      </c>
      <c r="Z94" s="34" t="n">
        <v>1270000</v>
      </c>
      <c r="AA94" s="18" t="n">
        <v>250000</v>
      </c>
      <c r="AB94" s="19" t="n">
        <v>310000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F95" s="9" t="n"/>
      <c r="K95" s="9" t="n"/>
      <c r="P95" s="9" t="n"/>
      <c r="Q95" s="18" t="n">
        <v>291.34</v>
      </c>
      <c r="R95" s="18" t="n">
        <v>170.11</v>
      </c>
      <c r="S95" s="18" t="n">
        <v>45.59</v>
      </c>
      <c r="T95" s="18" t="n">
        <v>166.79</v>
      </c>
      <c r="U95" s="34" t="n">
        <v>673.83</v>
      </c>
      <c r="V95" s="18" t="n">
        <v>460.74</v>
      </c>
      <c r="W95" s="18" t="n">
        <v>961.72</v>
      </c>
      <c r="X95" s="18" t="n">
        <v>457.23</v>
      </c>
      <c r="Y95" s="18" t="n">
        <v>718.51</v>
      </c>
      <c r="Z95" s="34" t="n">
        <v>2598.2</v>
      </c>
      <c r="AA95" s="18" t="n">
        <v>166.24</v>
      </c>
      <c r="AB95" s="19" t="n">
        <v>554.14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33035.34</v>
      </c>
      <c r="R96" s="18" t="n">
        <v>43266.84</v>
      </c>
      <c r="S96" s="18" t="n">
        <v>59706.39</v>
      </c>
      <c r="T96" s="18" t="n">
        <v>116445</v>
      </c>
      <c r="U96" s="34" t="n">
        <v>252453.57</v>
      </c>
      <c r="V96" s="18" t="n">
        <v>50688.68</v>
      </c>
      <c r="W96" s="18" t="n">
        <v>95321.86</v>
      </c>
      <c r="X96" s="18" t="n">
        <v>105843.1</v>
      </c>
      <c r="Y96" s="18" t="n">
        <v>198351.52</v>
      </c>
      <c r="Z96" s="34" t="n">
        <v>450205.16</v>
      </c>
      <c r="AA96" s="18" t="n">
        <v>61111.84</v>
      </c>
      <c r="AB96" s="19" t="n">
        <v>96363.99000000001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33731.89</v>
      </c>
      <c r="R97" s="18" t="n">
        <v>44095.39</v>
      </c>
      <c r="S97" s="18" t="n">
        <v>61591.66</v>
      </c>
      <c r="T97" s="18" t="n">
        <v>118451.24</v>
      </c>
      <c r="U97" s="34" t="n">
        <v>257870.18</v>
      </c>
      <c r="V97" s="18" t="n">
        <v>53293.89</v>
      </c>
      <c r="W97" s="18" t="n">
        <v>96315.84</v>
      </c>
      <c r="X97" s="18" t="n">
        <v>106305.85</v>
      </c>
      <c r="Y97" s="18" t="n">
        <v>199535.49</v>
      </c>
      <c r="Z97" s="34" t="n">
        <v>455451.07</v>
      </c>
      <c r="AA97" s="18" t="n">
        <v>61722.83</v>
      </c>
      <c r="AB97" s="19" t="n">
        <v>96767.19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K98" s="9" t="n"/>
      <c r="P98" s="9" t="n"/>
      <c r="Q98" s="18" t="n">
        <v>696.55</v>
      </c>
      <c r="R98" s="18" t="n">
        <v>828.55</v>
      </c>
      <c r="S98" s="18" t="n">
        <v>1885.27</v>
      </c>
      <c r="T98" s="18" t="n">
        <v>2006.24</v>
      </c>
      <c r="U98" s="34" t="n">
        <v>5416.61</v>
      </c>
      <c r="V98" s="18" t="n">
        <v>2605.21</v>
      </c>
      <c r="W98" s="18" t="n">
        <v>993.98</v>
      </c>
      <c r="X98" s="18" t="n">
        <v>462.75</v>
      </c>
      <c r="Y98" s="18" t="n">
        <v>1183.97</v>
      </c>
      <c r="Z98" s="34" t="n">
        <v>5245.91</v>
      </c>
      <c r="AA98" s="18" t="n">
        <v>610.99</v>
      </c>
      <c r="AB98" s="19" t="n">
        <v>403.2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무형자산의감소</t>
        </is>
      </c>
      <c r="F99" s="9" t="n"/>
      <c r="K99" s="9" t="n"/>
      <c r="P99" s="9" t="n"/>
      <c r="T99" s="18" t="n">
        <v>654.55</v>
      </c>
      <c r="U99" s="9" t="n"/>
      <c r="V99" s="18" t="n">
        <v>13.09</v>
      </c>
      <c r="W99" s="18" t="n">
        <v>0</v>
      </c>
      <c r="X99" s="18" t="n">
        <v>0</v>
      </c>
      <c r="Y99" s="18" t="n">
        <v>19810.38</v>
      </c>
      <c r="Z99" s="34" t="n">
        <v>19823.47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K100" s="9" t="n"/>
      <c r="P100" s="9" t="n"/>
      <c r="T100" s="18" t="n">
        <v>68020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K101" s="9" t="n"/>
      <c r="P101" s="9" t="n"/>
      <c r="U101" s="9" t="n"/>
      <c r="Z101" s="9" t="n"/>
      <c r="AA101" s="18" t="n">
        <v>4908.63</v>
      </c>
      <c r="AB101" s="19" t="n">
        <v>203.86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4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-0.3801</v>
      </c>
      <c r="F10" s="34" t="n"/>
      <c r="G10" s="18" t="n">
        <v>-0.3775</v>
      </c>
      <c r="H10" s="18" t="n">
        <v>-0.08400000000000001</v>
      </c>
      <c r="I10" s="18" t="n">
        <v>-0.6397</v>
      </c>
      <c r="J10" s="18" t="n">
        <v>-0.2871</v>
      </c>
      <c r="K10" s="34">
        <f>SUM(G10:J10)</f>
        <v/>
      </c>
      <c r="L10" s="18" t="n">
        <v>-0.0436</v>
      </c>
      <c r="M10" s="18" t="n">
        <v>-0.0873</v>
      </c>
      <c r="N10" s="18" t="n">
        <v>0.0387</v>
      </c>
      <c r="O10" s="18" t="n"/>
      <c r="P10" s="34">
        <f>SUM(L10:O10)</f>
        <v/>
      </c>
      <c r="Q10" s="18" t="n">
        <v>0.0232</v>
      </c>
      <c r="R10" s="18" t="n">
        <v>-0.0038</v>
      </c>
      <c r="S10" s="18" t="n">
        <v>0.0095</v>
      </c>
      <c r="T10" s="18" t="n">
        <v>0.052</v>
      </c>
      <c r="U10" s="34">
        <f>SUM(Q10:T10)</f>
        <v/>
      </c>
      <c r="V10" s="18" t="n">
        <v>0.0823</v>
      </c>
      <c r="W10" s="18" t="n">
        <v>0.1128</v>
      </c>
      <c r="X10" s="18" t="n">
        <v>0.0958</v>
      </c>
      <c r="Y10" s="18" t="n">
        <v>0.0745</v>
      </c>
      <c r="Z10" s="34">
        <f>SUM(V10:Y10)</f>
        <v/>
      </c>
      <c r="AA10" s="18" t="n">
        <v>0.1374</v>
      </c>
      <c r="AB10" s="19" t="n">
        <v>0.1352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49.79</v>
      </c>
      <c r="H13" s="18" t="n">
        <v>-515.61</v>
      </c>
      <c r="I13" s="18" t="n">
        <v>-1022.18</v>
      </c>
      <c r="J13" s="18" t="n">
        <v>965.4</v>
      </c>
      <c r="K13" s="34">
        <f>SUM(G13:J13)</f>
        <v/>
      </c>
      <c r="L13" s="18" t="n">
        <v>-83.42</v>
      </c>
      <c r="M13" s="18" t="n">
        <v>-268.2</v>
      </c>
      <c r="N13" s="18" t="n">
        <v>404.97</v>
      </c>
      <c r="O13" s="18" t="n">
        <v>110.99</v>
      </c>
      <c r="P13" s="34">
        <f>SUM(L13:O13)</f>
        <v/>
      </c>
      <c r="Q13" s="18" t="n">
        <v>545.83</v>
      </c>
      <c r="R13" s="18" t="n">
        <v>345.57</v>
      </c>
      <c r="S13" s="18" t="n">
        <v>-798.4299999999999</v>
      </c>
      <c r="T13" s="18" t="n">
        <v>1246.59</v>
      </c>
      <c r="U13" s="34">
        <f>SUM(Q13:T13)</f>
        <v/>
      </c>
      <c r="V13" s="18" t="n">
        <v>34.07</v>
      </c>
      <c r="W13" s="18" t="n">
        <v>-2693.99</v>
      </c>
      <c r="X13" s="18" t="n">
        <v>1155.72</v>
      </c>
      <c r="Y13" s="18" t="n">
        <v>784.6900000000001</v>
      </c>
      <c r="Z13" s="34">
        <f>SUM(V13:Y13)</f>
        <v/>
      </c>
      <c r="AA13" s="18" t="n">
        <v>1831.92</v>
      </c>
      <c r="AB13" s="19" t="n">
        <v>399.39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>
        <v>1723.55</v>
      </c>
      <c r="X14" s="18" t="n">
        <v>-723.45</v>
      </c>
      <c r="Y14" s="18" t="n">
        <v>-188.54</v>
      </c>
      <c r="Z14" s="34">
        <f>SUM(V14:Y14)</f>
        <v/>
      </c>
      <c r="AA14" s="18" t="n">
        <v>-1655.38</v>
      </c>
      <c r="AB14" s="19" t="n">
        <v>-835.4400000000001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>
        <v>0.11</v>
      </c>
      <c r="X15" s="18" t="n">
        <v>0.85</v>
      </c>
      <c r="Y15" s="18" t="n">
        <v>0.37</v>
      </c>
      <c r="Z15" s="34">
        <f>SUM(V15:Y15)</f>
        <v/>
      </c>
      <c r="AA15" s="18" t="n">
        <v>5</v>
      </c>
      <c r="AB15" s="19" t="n">
        <v>5.2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>
        <f>IFERROR(AC15*(1+변수!AH29),"")</f>
        <v/>
      </c>
      <c r="AI15" s="20">
        <f>IFERROR(AD15*(1+변수!AI29),"")</f>
        <v/>
      </c>
      <c r="AJ15" s="35">
        <f>SUM(AF15:AI15)</f>
        <v/>
      </c>
      <c r="AK15" s="20">
        <f>IFERROR(AF15*(1+변수!AK29),"")</f>
        <v/>
      </c>
      <c r="AL15" s="20">
        <f>IFERROR(AG15*(1+변수!AL29),"")</f>
        <v/>
      </c>
      <c r="AM15" s="20">
        <f>IFERROR(AH15*(1+변수!AM29),"")</f>
        <v/>
      </c>
      <c r="AN15" s="20">
        <f>IFERROR(AI15*(1+변수!AN29),"")</f>
        <v/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4">
        <f>T26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 t="n"/>
      <c r="U27" s="34">
        <f>T27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4" t="n"/>
      <c r="G30" s="18" t="n"/>
      <c r="H30" s="18" t="n"/>
      <c r="I30" s="18" t="n"/>
      <c r="J30" s="18" t="n"/>
      <c r="K30" s="34">
        <f>SUM(G30:J30)</f>
        <v/>
      </c>
      <c r="L30" s="18" t="n"/>
      <c r="M30" s="18" t="n"/>
      <c r="N30" s="18" t="n"/>
      <c r="O30" s="18" t="n"/>
      <c r="P30" s="34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283.66</v>
      </c>
      <c r="F31" s="34" t="n"/>
      <c r="G31" s="18" t="n">
        <v>-7258.26</v>
      </c>
      <c r="H31" s="18" t="n">
        <v>-2790.38</v>
      </c>
      <c r="I31" s="18" t="n">
        <v>-1780.55</v>
      </c>
      <c r="J31" s="18" t="n">
        <v>1174.87</v>
      </c>
      <c r="K31" s="34">
        <f>SUM(G31:J31)</f>
        <v/>
      </c>
      <c r="L31" s="18" t="n">
        <v>-7763.47</v>
      </c>
      <c r="M31" s="18" t="n">
        <v>183.51</v>
      </c>
      <c r="N31" s="18" t="n">
        <v>-7260.49</v>
      </c>
      <c r="O31" s="18" t="n">
        <v>-4551.1</v>
      </c>
      <c r="P31" s="34">
        <f>SUM(L31:O31)</f>
        <v/>
      </c>
      <c r="Q31" s="18" t="n">
        <v>-11644.45</v>
      </c>
      <c r="R31" s="18" t="n">
        <v>-5024.95</v>
      </c>
      <c r="S31" s="18" t="n">
        <v>-9829.290000000001</v>
      </c>
      <c r="T31" s="18" t="n">
        <v>-2547.06</v>
      </c>
      <c r="U31" s="34">
        <f>SUM(Q31:T31)</f>
        <v/>
      </c>
      <c r="V31" s="18" t="n">
        <v>2224.13</v>
      </c>
      <c r="W31" s="18" t="n">
        <v>6254.73</v>
      </c>
      <c r="X31" s="18" t="n">
        <v>-3401.58</v>
      </c>
      <c r="Y31" s="18" t="n">
        <v>8069.43</v>
      </c>
      <c r="Z31" s="34">
        <f>SUM(V31:Y31)</f>
        <v/>
      </c>
      <c r="AA31" s="18" t="n">
        <v>2219.96</v>
      </c>
      <c r="AB31" s="19" t="n">
        <v>8182.14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4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4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4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4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4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5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5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4" t="n">
        <v>0</v>
      </c>
      <c r="G35" s="18" t="n"/>
      <c r="H35" s="18" t="n"/>
      <c r="I35" s="18" t="n"/>
      <c r="J35" s="18" t="n">
        <v>0</v>
      </c>
      <c r="K35" s="34">
        <f>SUM(G35:J35)</f>
        <v/>
      </c>
      <c r="L35" s="18" t="n"/>
      <c r="M35" s="18" t="n"/>
      <c r="N35" s="18" t="n"/>
      <c r="O35" s="18" t="n">
        <v>0</v>
      </c>
      <c r="P35" s="34">
        <f>SUM(L35:O35)</f>
        <v/>
      </c>
      <c r="Q35" s="18" t="n"/>
      <c r="R35" s="18" t="n"/>
      <c r="S35" s="18" t="n"/>
      <c r="T35" s="18" t="n">
        <v>0</v>
      </c>
      <c r="U35" s="34">
        <f>SUM(Q35:T35)</f>
        <v/>
      </c>
      <c r="V35" s="18" t="n"/>
      <c r="W35" s="18" t="n"/>
      <c r="X35" s="18" t="n"/>
      <c r="Y35" s="18" t="n">
        <v>0</v>
      </c>
      <c r="Z35" s="34">
        <f>SUM(V35:Y35)</f>
        <v/>
      </c>
      <c r="AA35" s="18" t="n"/>
      <c r="AB35" s="19" t="n"/>
      <c r="AC35" s="20" t="n"/>
      <c r="AD35" s="20" t="n">
        <v>0</v>
      </c>
      <c r="AE35" s="35">
        <f>SUM(AA35:AD35)</f>
        <v/>
      </c>
      <c r="AF35" s="20" t="n"/>
      <c r="AG35" s="20" t="n"/>
      <c r="AH35" s="20" t="n"/>
      <c r="AI35" s="20" t="n">
        <v>0</v>
      </c>
      <c r="AJ35" s="35">
        <f>SUM(AF35:AI35)</f>
        <v/>
      </c>
      <c r="AK35" s="20" t="n"/>
      <c r="AL35" s="20" t="n"/>
      <c r="AM35" s="20" t="n"/>
      <c r="AN35" s="20" t="n">
        <v>0</v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>
        <v>22.4</v>
      </c>
      <c r="R36" s="18" t="n">
        <v>14.86</v>
      </c>
      <c r="S36" s="18" t="n">
        <v>40.72</v>
      </c>
      <c r="T36" s="18" t="n">
        <v>19.16</v>
      </c>
      <c r="U36" s="34">
        <f>SUM(Q36:T36)</f>
        <v/>
      </c>
      <c r="V36" s="18" t="n">
        <v>28.68</v>
      </c>
      <c r="W36" s="18" t="n">
        <v>27.92</v>
      </c>
      <c r="X36" s="18" t="n">
        <v>25.71</v>
      </c>
      <c r="Y36" s="18" t="n">
        <v>29.28</v>
      </c>
      <c r="Z36" s="34">
        <f>SUM(V36:Y36)</f>
        <v/>
      </c>
      <c r="AA36" s="18" t="n">
        <v>26.81</v>
      </c>
      <c r="AB36" s="19" t="n">
        <v>18.03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1.05</v>
      </c>
      <c r="F37" s="34" t="n">
        <v>0.99</v>
      </c>
      <c r="G37" s="18" t="n">
        <v>1.3</v>
      </c>
      <c r="H37" s="18" t="n">
        <v>1.45</v>
      </c>
      <c r="I37" s="18" t="n">
        <v>2.16</v>
      </c>
      <c r="J37" s="18" t="n">
        <v>2.41</v>
      </c>
      <c r="K37" s="34">
        <f>SUM(G37:J37)</f>
        <v/>
      </c>
      <c r="L37" s="18" t="n">
        <v>3.45</v>
      </c>
      <c r="M37" s="18" t="n">
        <v>2.4</v>
      </c>
      <c r="N37" s="18" t="n">
        <v>2.91</v>
      </c>
      <c r="O37" s="18" t="n">
        <v>1.84</v>
      </c>
      <c r="P37" s="34">
        <f>SUM(L37:O37)</f>
        <v/>
      </c>
      <c r="Q37" s="18" t="n">
        <v>1.69</v>
      </c>
      <c r="R37" s="18" t="n">
        <v>2.18</v>
      </c>
      <c r="S37" s="18" t="n">
        <v>2.29</v>
      </c>
      <c r="T37" s="18" t="n">
        <v>2.08</v>
      </c>
      <c r="U37" s="34">
        <f>SUM(Q37:T37)</f>
        <v/>
      </c>
      <c r="V37" s="18" t="n">
        <v>3.91</v>
      </c>
      <c r="W37" s="18" t="n">
        <v>4.65</v>
      </c>
      <c r="X37" s="18" t="n">
        <v>5.7</v>
      </c>
      <c r="Y37" s="18" t="n">
        <v>5.91</v>
      </c>
      <c r="Z37" s="34">
        <f>SUM(V37:Y37)</f>
        <v/>
      </c>
      <c r="AA37" s="18" t="n">
        <v>6.01</v>
      </c>
      <c r="AB37" s="19" t="n">
        <v>4.97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4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4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4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4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4">
        <f>SUM(V38:Y38)</f>
        <v/>
      </c>
      <c r="AA38" s="18" t="n">
        <v>33219.6</v>
      </c>
      <c r="AB38" s="19" t="n">
        <v>56347.33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조선·해양(상선·해양및특수선·EP및특수선)</t>
        </is>
      </c>
      <c r="E39" s="18" t="n"/>
      <c r="F39" s="34" t="n"/>
      <c r="G39" s="18" t="n"/>
      <c r="H39" s="18" t="n"/>
      <c r="I39" s="18" t="n"/>
      <c r="J39" s="18" t="n"/>
      <c r="K39" s="34">
        <f>SUM(G39:J39)</f>
        <v/>
      </c>
      <c r="L39" s="18" t="n"/>
      <c r="M39" s="18" t="n"/>
      <c r="N39" s="18" t="n"/>
      <c r="O39" s="18" t="n"/>
      <c r="P39" s="34">
        <f>SUM(L39:O39)</f>
        <v/>
      </c>
      <c r="Q39" s="18" t="n"/>
      <c r="R39" s="18" t="n"/>
      <c r="S39" s="18" t="n"/>
      <c r="T39" s="18" t="n"/>
      <c r="U39" s="34">
        <f>SUM(Q39:T39)</f>
        <v/>
      </c>
      <c r="V39" s="18" t="n"/>
      <c r="W39" s="18" t="n"/>
      <c r="X39" s="18" t="n"/>
      <c r="Y39" s="18" t="n"/>
      <c r="Z39" s="34">
        <f>SUM(V39:Y39)</f>
        <v/>
      </c>
      <c r="AA39" s="18" t="n"/>
      <c r="AB39" s="19" t="n"/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4" t="n"/>
      <c r="G40" s="18" t="n">
        <v>0</v>
      </c>
      <c r="H40" s="18" t="n">
        <v>0</v>
      </c>
      <c r="I40" s="18" t="n">
        <v>0</v>
      </c>
      <c r="J40" s="18" t="n">
        <v>0</v>
      </c>
      <c r="K40" s="34">
        <f>SUM(G40:J40)</f>
        <v/>
      </c>
      <c r="L40" s="18" t="n">
        <v>0</v>
      </c>
      <c r="M40" s="18" t="n">
        <v>0</v>
      </c>
      <c r="N40" s="18" t="n">
        <v>0</v>
      </c>
      <c r="O40" s="18" t="n">
        <v>0</v>
      </c>
      <c r="P40" s="34">
        <f>SUM(L40:O40)</f>
        <v/>
      </c>
      <c r="Q40" s="18" t="n">
        <v>0</v>
      </c>
      <c r="R40" s="18" t="n">
        <v>0</v>
      </c>
      <c r="S40" s="18" t="n">
        <v>454.79</v>
      </c>
      <c r="T40" s="18" t="n">
        <v>916.21</v>
      </c>
      <c r="U40" s="34">
        <f>SUM(Q40:T40)</f>
        <v/>
      </c>
      <c r="V40" s="18" t="n">
        <v>403.31</v>
      </c>
      <c r="W40" s="18" t="n">
        <v>0</v>
      </c>
      <c r="X40" s="18" t="n">
        <v>847.65</v>
      </c>
      <c r="Y40" s="18" t="n">
        <v>1410.53</v>
      </c>
      <c r="Z40" s="34">
        <f>SUM(V40:Y40)</f>
        <v/>
      </c>
      <c r="AA40" s="18" t="n">
        <v>0</v>
      </c>
      <c r="AB40" s="19" t="n">
        <v>0</v>
      </c>
      <c r="AC40" s="20">
        <f>IFERROR(AC5*변수!AC49,"")</f>
        <v/>
      </c>
      <c r="AD40" s="20">
        <f>IFERROR(AD5*변수!AD49,"")</f>
        <v/>
      </c>
      <c r="AE40" s="35">
        <f>SUM(AA40:AD40)</f>
        <v/>
      </c>
      <c r="AF40" s="20">
        <f>IFERROR(AF5*변수!AF49,"")</f>
        <v/>
      </c>
      <c r="AG40" s="20">
        <f>IFERROR(AG5*변수!AG49,"")</f>
        <v/>
      </c>
      <c r="AH40" s="20">
        <f>IFERROR(AH5*변수!AH49,"")</f>
        <v/>
      </c>
      <c r="AI40" s="20">
        <f>IFERROR(AI5*변수!AI49,"")</f>
        <v/>
      </c>
      <c r="AJ40" s="35">
        <f>SUM(AF40:AI40)</f>
        <v/>
      </c>
      <c r="AK40" s="20">
        <f>IFERROR(AK5*변수!AK49,"")</f>
        <v/>
      </c>
      <c r="AL40" s="20">
        <f>IFERROR(AL5*변수!AL49,"")</f>
        <v/>
      </c>
      <c r="AM40" s="20">
        <f>IFERROR(AM5*변수!AM49,"")</f>
        <v/>
      </c>
      <c r="AN40" s="20">
        <f>IFERROR(AN5*변수!AN49,"")</f>
        <v/>
      </c>
      <c r="AO40" s="35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4" t="n"/>
      <c r="G41" s="18" t="n"/>
      <c r="H41" s="18" t="n"/>
      <c r="I41" s="18" t="n"/>
      <c r="J41" s="18" t="n"/>
      <c r="K41" s="34">
        <f>SUM(G41:J41)</f>
        <v/>
      </c>
      <c r="L41" s="18" t="n"/>
      <c r="M41" s="18" t="n"/>
      <c r="N41" s="18" t="n"/>
      <c r="O41" s="18" t="n"/>
      <c r="P41" s="34">
        <f>SUM(L41:O41)</f>
        <v/>
      </c>
      <c r="Q41" s="18" t="n"/>
      <c r="R41" s="18" t="n"/>
      <c r="S41" s="18" t="n"/>
      <c r="T41" s="18" t="n"/>
      <c r="U41" s="34">
        <f>SUM(Q41:T41)</f>
        <v/>
      </c>
      <c r="V41" s="18" t="n"/>
      <c r="W41" s="18" t="n"/>
      <c r="X41" s="18" t="n"/>
      <c r="Y41" s="18" t="n"/>
      <c r="Z41" s="34">
        <f>SUM(V41:Y41)</f>
        <v/>
      </c>
      <c r="AA41" s="18" t="n"/>
      <c r="AB41" s="19" t="n"/>
      <c r="AC41" s="20">
        <f>IFERROR(AC40*변수!AC50,"")</f>
        <v/>
      </c>
      <c r="AD41" s="20">
        <f>IFERROR(AD40*변수!AD50,"")</f>
        <v/>
      </c>
      <c r="AE41" s="35">
        <f>SUM(AA41:AD41)</f>
        <v/>
      </c>
      <c r="AF41" s="20">
        <f>IFERROR(AF40*변수!AF50,"")</f>
        <v/>
      </c>
      <c r="AG41" s="20">
        <f>IFERROR(AG40*변수!AG50,"")</f>
        <v/>
      </c>
      <c r="AH41" s="20">
        <f>IFERROR(AH40*변수!AH50,"")</f>
        <v/>
      </c>
      <c r="AI41" s="20">
        <f>IFERROR(AI40*변수!AI50,"")</f>
        <v/>
      </c>
      <c r="AJ41" s="35">
        <f>SUM(AF41:AI41)</f>
        <v/>
      </c>
      <c r="AK41" s="20">
        <f>IFERROR(AK40*변수!AK50,"")</f>
        <v/>
      </c>
      <c r="AL41" s="20">
        <f>IFERROR(AL40*변수!AL50,"")</f>
        <v/>
      </c>
      <c r="AM41" s="20">
        <f>IFERROR(AM40*변수!AM50,"")</f>
        <v/>
      </c>
      <c r="AN41" s="20">
        <f>IFERROR(AN40*변수!AN50,"")</f>
        <v/>
      </c>
      <c r="AO41" s="35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OPM</t>
        </is>
      </c>
      <c r="C43" t="inlineStr">
        <is>
          <t>%</t>
        </is>
      </c>
      <c r="D43" t="inlineStr">
        <is>
          <t>영업이익 / 매출액</t>
        </is>
      </c>
      <c r="E43" s="21">
        <f>IFERROR(E9/E5,"")</f>
        <v/>
      </c>
      <c r="F43" s="22">
        <f>IFERROR(F9/F5,"")</f>
        <v/>
      </c>
      <c r="G43" s="21">
        <f>IFERROR(G9/G5,"")</f>
        <v/>
      </c>
      <c r="H43" s="21">
        <f>IFERROR(H9/H5,"")</f>
        <v/>
      </c>
      <c r="I43" s="21">
        <f>IFERROR(I9/I5,"")</f>
        <v/>
      </c>
      <c r="J43" s="21">
        <f>IFERROR(J9/J5,"")</f>
        <v/>
      </c>
      <c r="K43" s="22">
        <f>IFERROR(K9/K5,"")</f>
        <v/>
      </c>
      <c r="L43" s="21">
        <f>IFERROR(L9/L5,"")</f>
        <v/>
      </c>
      <c r="M43" s="21">
        <f>IFERROR(M9/M5,"")</f>
        <v/>
      </c>
      <c r="N43" s="21">
        <f>IFERROR(N9/N5,"")</f>
        <v/>
      </c>
      <c r="O43" s="21">
        <f>IFERROR(O9/O5,"")</f>
        <v/>
      </c>
      <c r="P43" s="22">
        <f>IFERROR(P9/P5,"")</f>
        <v/>
      </c>
      <c r="Q43" s="21">
        <f>IFERROR(Q9/Q5,"")</f>
        <v/>
      </c>
      <c r="R43" s="21">
        <f>IFERROR(R9/R5,"")</f>
        <v/>
      </c>
      <c r="S43" s="21">
        <f>IFERROR(S9/S5,"")</f>
        <v/>
      </c>
      <c r="T43" s="21">
        <f>IFERROR(T9/T5,"")</f>
        <v/>
      </c>
      <c r="U43" s="22">
        <f>IFERROR(U9/U5,"")</f>
        <v/>
      </c>
      <c r="V43" s="21">
        <f>IFERROR(V9/V5,"")</f>
        <v/>
      </c>
      <c r="W43" s="21">
        <f>IFERROR(W9/W5,"")</f>
        <v/>
      </c>
      <c r="X43" s="21">
        <f>IFERROR(X9/X5,"")</f>
        <v/>
      </c>
      <c r="Y43" s="21">
        <f>IFERROR(Y9/Y5,"")</f>
        <v/>
      </c>
      <c r="Z43" s="22">
        <f>IFERROR(Z9/Z5,"")</f>
        <v/>
      </c>
      <c r="AA43" s="21">
        <f>IFERROR(AA9/AA5,"")</f>
        <v/>
      </c>
      <c r="AB43" s="23">
        <f>IFERROR(AB9/AB5,"")</f>
        <v/>
      </c>
      <c r="AC43" s="31">
        <f>IFERROR(AC9/AC5,"")</f>
        <v/>
      </c>
      <c r="AD43" s="31">
        <f>IFERROR(AD9/AD5,"")</f>
        <v/>
      </c>
      <c r="AE43" s="25">
        <f>IFERROR(AE9/AE5,"")</f>
        <v/>
      </c>
      <c r="AF43" s="31">
        <f>IFERROR(AF9/AF5,"")</f>
        <v/>
      </c>
      <c r="AG43" s="31">
        <f>IFERROR(AG9/AG5,"")</f>
        <v/>
      </c>
      <c r="AH43" s="31">
        <f>IFERROR(AH9/AH5,"")</f>
        <v/>
      </c>
      <c r="AI43" s="31">
        <f>IFERROR(AI9/AI5,"")</f>
        <v/>
      </c>
      <c r="AJ43" s="25">
        <f>IFERROR(AJ9/AJ5,"")</f>
        <v/>
      </c>
      <c r="AK43" s="31">
        <f>IFERROR(AK9/AK5,"")</f>
        <v/>
      </c>
      <c r="AL43" s="31">
        <f>IFERROR(AL9/AL5,"")</f>
        <v/>
      </c>
      <c r="AM43" s="31">
        <f>IFERROR(AM9/AM5,"")</f>
        <v/>
      </c>
      <c r="AN43" s="31">
        <f>IFERROR(AN9/AN5,"")</f>
        <v/>
      </c>
      <c r="AO43" s="25">
        <f>IFERROR(AO9/AO5,"")</f>
        <v/>
      </c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IFERROR(E21/E5,"")</f>
        <v/>
      </c>
      <c r="F44" s="22">
        <f>IFERROR(F21/F5,"")</f>
        <v/>
      </c>
      <c r="G44" s="21">
        <f>IFERROR(G21/G5,"")</f>
        <v/>
      </c>
      <c r="H44" s="21">
        <f>IFERROR(H21/H5,"")</f>
        <v/>
      </c>
      <c r="I44" s="21">
        <f>IFERROR(I21/I5,"")</f>
        <v/>
      </c>
      <c r="J44" s="21">
        <f>IFERROR(J21/J5,"")</f>
        <v/>
      </c>
      <c r="K44" s="22">
        <f>IFERROR(K21/K5,"")</f>
        <v/>
      </c>
      <c r="L44" s="21">
        <f>IFERROR(L21/L5,"")</f>
        <v/>
      </c>
      <c r="M44" s="21">
        <f>IFERROR(M21/M5,"")</f>
        <v/>
      </c>
      <c r="N44" s="21">
        <f>IFERROR(N21/N5,"")</f>
        <v/>
      </c>
      <c r="O44" s="21">
        <f>IFERROR(O21/O5,"")</f>
        <v/>
      </c>
      <c r="P44" s="22">
        <f>IFERROR(P21/P5,"")</f>
        <v/>
      </c>
      <c r="Q44" s="21">
        <f>IFERROR(Q21/Q5,"")</f>
        <v/>
      </c>
      <c r="R44" s="21">
        <f>IFERROR(R21/R5,"")</f>
        <v/>
      </c>
      <c r="S44" s="21">
        <f>IFERROR(S21/S5,"")</f>
        <v/>
      </c>
      <c r="T44" s="21">
        <f>IFERROR(T21/T5,"")</f>
        <v/>
      </c>
      <c r="U44" s="22">
        <f>IFERROR(U21/U5,"")</f>
        <v/>
      </c>
      <c r="V44" s="21">
        <f>IFERROR(V21/V5,"")</f>
        <v/>
      </c>
      <c r="W44" s="21">
        <f>IFERROR(W21/W5,"")</f>
        <v/>
      </c>
      <c r="X44" s="21">
        <f>IFERROR(X21/X5,"")</f>
        <v/>
      </c>
      <c r="Y44" s="21">
        <f>IFERROR(Y21/Y5,"")</f>
        <v/>
      </c>
      <c r="Z44" s="22">
        <f>IFERROR(Z21/Z5,"")</f>
        <v/>
      </c>
      <c r="AA44" s="21">
        <f>IFERROR(AA21/AA5,"")</f>
        <v/>
      </c>
      <c r="AB44" s="23">
        <f>IFERROR(AB21/AB5,"")</f>
        <v/>
      </c>
      <c r="AC44" s="31">
        <f>IFERROR(AC21/AC5,"")</f>
        <v/>
      </c>
      <c r="AD44" s="31">
        <f>IFERROR(AD21/AD5,"")</f>
        <v/>
      </c>
      <c r="AE44" s="25">
        <f>IFERROR(AE21/AE5,"")</f>
        <v/>
      </c>
      <c r="AF44" s="31">
        <f>IFERROR(AF21/AF5,"")</f>
        <v/>
      </c>
      <c r="AG44" s="31">
        <f>IFERROR(AG21/AG5,"")</f>
        <v/>
      </c>
      <c r="AH44" s="31">
        <f>IFERROR(AH21/AH5,"")</f>
        <v/>
      </c>
      <c r="AI44" s="31">
        <f>IFERROR(AI21/AI5,"")</f>
        <v/>
      </c>
      <c r="AJ44" s="25">
        <f>IFERROR(AJ21/AJ5,"")</f>
        <v/>
      </c>
      <c r="AK44" s="31">
        <f>IFERROR(AK21/AK5,"")</f>
        <v/>
      </c>
      <c r="AL44" s="31">
        <f>IFERROR(AL21/AL5,"")</f>
        <v/>
      </c>
      <c r="AM44" s="31">
        <f>IFERROR(AM21/AM5,"")</f>
        <v/>
      </c>
      <c r="AN44" s="31">
        <f>IFERROR(AN21/AN5,"")</f>
        <v/>
      </c>
      <c r="AO44" s="25">
        <f>IFERROR(AO21/AO5,"")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1">
        <f>IFERROR(AC6/AC5,"")</f>
        <v/>
      </c>
      <c r="AD45" s="31">
        <f>IFERROR(AD6/AD5,"")</f>
        <v/>
      </c>
      <c r="AE45" s="25">
        <f>IFERROR(AE6/AE5,"")</f>
        <v/>
      </c>
      <c r="AF45" s="31">
        <f>IFERROR(AF6/AF5,"")</f>
        <v/>
      </c>
      <c r="AG45" s="31">
        <f>IFERROR(AG6/AG5,"")</f>
        <v/>
      </c>
      <c r="AH45" s="31">
        <f>IFERROR(AH6/AH5,"")</f>
        <v/>
      </c>
      <c r="AI45" s="31">
        <f>IFERROR(AI6/AI5,"")</f>
        <v/>
      </c>
      <c r="AJ45" s="25">
        <f>IFERROR(AJ6/AJ5,"")</f>
        <v/>
      </c>
      <c r="AK45" s="31">
        <f>IFERROR(AK6/AK5,"")</f>
        <v/>
      </c>
      <c r="AL45" s="31">
        <f>IFERROR(AL6/AL5,"")</f>
        <v/>
      </c>
      <c r="AM45" s="31">
        <f>IFERROR(AM6/AM5,"")</f>
        <v/>
      </c>
      <c r="AN45" s="31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1">
        <f>IFERROR(AC8/AC5,"")</f>
        <v/>
      </c>
      <c r="AD46" s="31">
        <f>IFERROR(AD8/AD5,"")</f>
        <v/>
      </c>
      <c r="AE46" s="25">
        <f>IFERROR(AE8/AE5,"")</f>
        <v/>
      </c>
      <c r="AF46" s="31">
        <f>IFERROR(AF8/AF5,"")</f>
        <v/>
      </c>
      <c r="AG46" s="31">
        <f>IFERROR(AG8/AG5,"")</f>
        <v/>
      </c>
      <c r="AH46" s="31">
        <f>IFERROR(AH8/AH5,"")</f>
        <v/>
      </c>
      <c r="AI46" s="31">
        <f>IFERROR(AI8/AI5,"")</f>
        <v/>
      </c>
      <c r="AJ46" s="25">
        <f>IFERROR(AJ8/AJ5,"")</f>
        <v/>
      </c>
      <c r="AK46" s="31">
        <f>IFERROR(AK8/AK5,"")</f>
        <v/>
      </c>
      <c r="AL46" s="31">
        <f>IFERROR(AL8/AL5,"")</f>
        <v/>
      </c>
      <c r="AM46" s="31">
        <f>IFERROR(AM8/AM5,"")</f>
        <v/>
      </c>
      <c r="AN46" s="31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type:NAVAL</t>
        </is>
      </c>
      <c r="D6" t="inlineStr">
        <is>
          <t>선종 NAVAL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62.195</v>
      </c>
      <c r="N6" s="26" t="n">
        <v>62.879</v>
      </c>
      <c r="O6" s="26" t="n">
        <v>62.879</v>
      </c>
      <c r="P6" s="26" t="n">
        <v>61.512</v>
      </c>
      <c r="Q6" s="26" t="n">
        <v>62.195</v>
      </c>
      <c r="R6" s="26" t="n">
        <v>62.879</v>
      </c>
      <c r="S6" s="26" t="n">
        <v>62.879</v>
      </c>
      <c r="T6" s="26" t="n">
        <v>61.512</v>
      </c>
      <c r="U6" s="26" t="n">
        <v>4.101</v>
      </c>
      <c r="AH6" s="26" t="n">
        <v>16.938</v>
      </c>
      <c r="AI6" s="26" t="n">
        <v>25.135</v>
      </c>
      <c r="AJ6" s="26" t="n">
        <v>24.588</v>
      </c>
      <c r="AK6" s="26" t="n">
        <v>24.861</v>
      </c>
      <c r="AL6" s="26" t="n">
        <v>25.135</v>
      </c>
      <c r="AM6" s="26" t="n">
        <v>25.135</v>
      </c>
      <c r="AN6" s="26" t="n">
        <v>24.861</v>
      </c>
      <c r="AO6" s="26" t="n">
        <v>24.861</v>
      </c>
      <c r="AP6" s="26" t="n">
        <v>25.135</v>
      </c>
      <c r="AQ6" s="26" t="n">
        <v>25.135</v>
      </c>
      <c r="AR6" s="26" t="n">
        <v>24.588</v>
      </c>
      <c r="AS6" s="26" t="n">
        <v>24.861</v>
      </c>
      <c r="AT6" s="26" t="n">
        <v>25.135</v>
      </c>
      <c r="AU6" s="26" t="n">
        <v>25.135</v>
      </c>
      <c r="AV6" s="26" t="n">
        <v>24.588</v>
      </c>
      <c r="AW6" s="26" t="n">
        <v>24.861</v>
      </c>
      <c r="AX6" s="26" t="n">
        <v>25.135</v>
      </c>
      <c r="AY6" s="26" t="n">
        <v>25.135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249.465</v>
      </c>
      <c r="BI6" s="26" t="n">
        <v>249.465</v>
      </c>
      <c r="BJ6" s="26" t="n">
        <v>65.613</v>
      </c>
      <c r="BM6" s="26" t="n">
        <v>42.073</v>
      </c>
      <c r="BN6" s="26" t="n">
        <v>99.71899999999999</v>
      </c>
      <c r="BO6" s="26" t="n">
        <v>99.992</v>
      </c>
      <c r="BP6" s="26" t="n">
        <v>99.71899999999999</v>
      </c>
      <c r="BQ6" s="26" t="n">
        <v>99.71899999999999</v>
      </c>
      <c r="BR6" s="26" t="n">
        <v>99.71899999999999</v>
      </c>
      <c r="BS6" s="26" t="n">
        <v>49.722</v>
      </c>
    </row>
    <row r="7">
      <c r="A7" s="12" t="inlineStr">
        <is>
          <t>type:OFFSH</t>
        </is>
      </c>
      <c r="D7" t="inlineStr">
        <is>
          <t>선종 OFFSH</t>
        </is>
      </c>
      <c r="M7" s="26" t="n">
        <v>9.452999999999999</v>
      </c>
      <c r="N7" s="26" t="n">
        <v>43.485</v>
      </c>
      <c r="O7" s="26" t="n">
        <v>43.485</v>
      </c>
      <c r="P7" s="26" t="n">
        <v>42.539</v>
      </c>
      <c r="Q7" s="26" t="n">
        <v>43.012</v>
      </c>
      <c r="R7" s="26" t="n">
        <v>43.485</v>
      </c>
      <c r="S7" s="26" t="n">
        <v>43.485</v>
      </c>
      <c r="T7" s="26" t="n">
        <v>42.539</v>
      </c>
      <c r="U7" s="26" t="n">
        <v>43.012</v>
      </c>
      <c r="V7" s="26" t="n">
        <v>43.485</v>
      </c>
      <c r="W7" s="26" t="n">
        <v>43.485</v>
      </c>
      <c r="X7" s="26" t="n">
        <v>43.012</v>
      </c>
      <c r="Y7" s="26" t="n">
        <v>43.012</v>
      </c>
      <c r="Z7" s="26" t="n">
        <v>43.485</v>
      </c>
      <c r="AA7" s="26" t="n">
        <v>43.485</v>
      </c>
      <c r="AB7" s="26" t="n">
        <v>42.539</v>
      </c>
      <c r="AC7" s="26" t="n">
        <v>43.012</v>
      </c>
      <c r="AD7" s="26" t="n">
        <v>43.485</v>
      </c>
      <c r="AE7" s="26" t="n">
        <v>54.147</v>
      </c>
      <c r="AF7" s="26" t="n">
        <v>171.965</v>
      </c>
      <c r="AG7" s="26" t="n">
        <v>196.434</v>
      </c>
      <c r="AH7" s="26" t="n">
        <v>198.593</v>
      </c>
      <c r="AI7" s="26" t="n">
        <v>198.593</v>
      </c>
      <c r="AJ7" s="26" t="n">
        <v>168.752</v>
      </c>
      <c r="AK7" s="26" t="n">
        <v>153.422</v>
      </c>
      <c r="AL7" s="26" t="n">
        <v>155.108</v>
      </c>
      <c r="AM7" s="26" t="n">
        <v>155.108</v>
      </c>
      <c r="AN7" s="26" t="n">
        <v>153.422</v>
      </c>
      <c r="AO7" s="26" t="n">
        <v>134.83</v>
      </c>
      <c r="AP7" s="26" t="n">
        <v>98.09099999999999</v>
      </c>
      <c r="AQ7" s="26" t="n">
        <v>98.09099999999999</v>
      </c>
      <c r="AR7" s="26" t="n">
        <v>95.959</v>
      </c>
      <c r="AS7" s="26" t="n">
        <v>85.297</v>
      </c>
      <c r="BH7" s="26" t="n">
        <v>96.423</v>
      </c>
      <c r="BI7" s="26" t="n">
        <v>172.521</v>
      </c>
      <c r="BJ7" s="26" t="n">
        <v>172.521</v>
      </c>
      <c r="BK7" s="26" t="n">
        <v>172.994</v>
      </c>
      <c r="BL7" s="26" t="n">
        <v>183.183</v>
      </c>
      <c r="BM7" s="26" t="n">
        <v>765.585</v>
      </c>
      <c r="BN7" s="26" t="n">
        <v>632.39</v>
      </c>
      <c r="BO7" s="26" t="n">
        <v>484.434</v>
      </c>
      <c r="BP7" s="26" t="n">
        <v>181.256</v>
      </c>
    </row>
    <row r="8">
      <c r="A8" s="12" t="inlineStr">
        <is>
          <t>type:OTHER</t>
        </is>
      </c>
      <c r="D8" t="inlineStr">
        <is>
          <t>선종 OTHER</t>
        </is>
      </c>
      <c r="P8" s="26" t="n">
        <v>23.4</v>
      </c>
      <c r="Q8" s="26" t="n">
        <v>36.092</v>
      </c>
      <c r="R8" s="26" t="n">
        <v>36.489</v>
      </c>
      <c r="S8" s="26" t="n">
        <v>36.489</v>
      </c>
      <c r="T8" s="26" t="n">
        <v>35.695</v>
      </c>
      <c r="U8" s="26" t="n">
        <v>36.092</v>
      </c>
      <c r="V8" s="26" t="n">
        <v>36.489</v>
      </c>
      <c r="W8" s="26" t="n">
        <v>36.489</v>
      </c>
      <c r="X8" s="26" t="n">
        <v>36.092</v>
      </c>
      <c r="Y8" s="26" t="n">
        <v>36.092</v>
      </c>
      <c r="Z8" s="26" t="n">
        <v>36.489</v>
      </c>
      <c r="AA8" s="26" t="n">
        <v>36.489</v>
      </c>
      <c r="AB8" s="26" t="n">
        <v>45.248</v>
      </c>
      <c r="AC8" s="26" t="n">
        <v>60.928</v>
      </c>
      <c r="AD8" s="26" t="n">
        <v>61.597</v>
      </c>
      <c r="AE8" s="26" t="n">
        <v>61.597</v>
      </c>
      <c r="AF8" s="26" t="n">
        <v>60.258</v>
      </c>
      <c r="AG8" s="26" t="n">
        <v>60.928</v>
      </c>
      <c r="AH8" s="26" t="n">
        <v>61.597</v>
      </c>
      <c r="AI8" s="26" t="n">
        <v>61.597</v>
      </c>
      <c r="AJ8" s="26" t="n">
        <v>60.258</v>
      </c>
      <c r="AK8" s="26" t="n">
        <v>26.026</v>
      </c>
      <c r="AL8" s="26" t="n">
        <v>25.109</v>
      </c>
      <c r="AM8" s="26" t="n">
        <v>25.109</v>
      </c>
      <c r="AN8" s="26" t="n">
        <v>8.461</v>
      </c>
      <c r="BI8" s="26" t="n">
        <v>132.47</v>
      </c>
      <c r="BJ8" s="26" t="n">
        <v>144.765</v>
      </c>
      <c r="BK8" s="26" t="n">
        <v>145.162</v>
      </c>
      <c r="BL8" s="26" t="n">
        <v>229.37</v>
      </c>
      <c r="BM8" s="26" t="n">
        <v>244.38</v>
      </c>
      <c r="BN8" s="26" t="n">
        <v>136.502</v>
      </c>
      <c r="BO8" s="26" t="n">
        <v>8.461</v>
      </c>
    </row>
    <row r="9">
      <c r="A9" s="12" t="inlineStr">
        <is>
          <t>type:LNGC</t>
        </is>
      </c>
      <c r="D9" t="inlineStr">
        <is>
          <t>선종 LNGC</t>
        </is>
      </c>
      <c r="T9" s="26" t="n">
        <v>8.15</v>
      </c>
      <c r="U9" s="26" t="n">
        <v>28.477</v>
      </c>
      <c r="V9" s="26" t="n">
        <v>29.764</v>
      </c>
      <c r="W9" s="26" t="n">
        <v>29.764</v>
      </c>
      <c r="X9" s="26" t="n">
        <v>29.44</v>
      </c>
      <c r="Y9" s="26" t="n">
        <v>29.44</v>
      </c>
      <c r="Z9" s="26" t="n">
        <v>29.764</v>
      </c>
      <c r="AA9" s="26" t="n">
        <v>29.764</v>
      </c>
      <c r="AB9" s="26" t="n">
        <v>29.117</v>
      </c>
      <c r="AC9" s="26" t="n">
        <v>29.44</v>
      </c>
      <c r="AD9" s="26" t="n">
        <v>37.298</v>
      </c>
      <c r="AE9" s="26" t="n">
        <v>97.964</v>
      </c>
      <c r="AF9" s="26" t="n">
        <v>229.874</v>
      </c>
      <c r="AG9" s="26" t="n">
        <v>280.708</v>
      </c>
      <c r="AH9" s="26" t="n">
        <v>327.877</v>
      </c>
      <c r="AI9" s="26" t="n">
        <v>363.286</v>
      </c>
      <c r="AJ9" s="26" t="n">
        <v>355.389</v>
      </c>
      <c r="AK9" s="26" t="n">
        <v>344.505</v>
      </c>
      <c r="AL9" s="26" t="n">
        <v>343.475</v>
      </c>
      <c r="AM9" s="26" t="n">
        <v>333.523</v>
      </c>
      <c r="AN9" s="26" t="n">
        <v>329.897</v>
      </c>
      <c r="AO9" s="26" t="n">
        <v>297.544</v>
      </c>
      <c r="AP9" s="26" t="n">
        <v>284.697</v>
      </c>
      <c r="AQ9" s="26" t="n">
        <v>284.697</v>
      </c>
      <c r="AR9" s="26" t="n">
        <v>278.508</v>
      </c>
      <c r="AS9" s="26" t="n">
        <v>256.374</v>
      </c>
      <c r="AT9" s="26" t="n">
        <v>57.247</v>
      </c>
      <c r="AU9" s="26" t="n">
        <v>13.911</v>
      </c>
      <c r="BJ9" s="26" t="n">
        <v>96.155</v>
      </c>
      <c r="BK9" s="26" t="n">
        <v>118.408</v>
      </c>
      <c r="BL9" s="26" t="n">
        <v>193.819</v>
      </c>
      <c r="BM9" s="26" t="n">
        <v>1201.745</v>
      </c>
      <c r="BN9" s="26" t="n">
        <v>1376.892</v>
      </c>
      <c r="BO9" s="26" t="n">
        <v>1196.835</v>
      </c>
      <c r="BP9" s="26" t="n">
        <v>606.04</v>
      </c>
    </row>
    <row r="10">
      <c r="A10" s="12" t="inlineStr">
        <is>
          <t>type:VLGC</t>
        </is>
      </c>
      <c r="D10" t="inlineStr">
        <is>
          <t>선종 VLGC</t>
        </is>
      </c>
      <c r="W10" s="26" t="n">
        <v>5.194</v>
      </c>
      <c r="X10" s="26" t="n">
        <v>12.439</v>
      </c>
      <c r="Y10" s="26" t="n">
        <v>20.912</v>
      </c>
      <c r="Z10" s="26" t="n">
        <v>26.749</v>
      </c>
      <c r="AA10" s="26" t="n">
        <v>26.749</v>
      </c>
      <c r="AB10" s="26" t="n">
        <v>26.168</v>
      </c>
      <c r="AC10" s="26" t="n">
        <v>26.458</v>
      </c>
      <c r="AD10" s="26" t="n">
        <v>26.749</v>
      </c>
      <c r="AE10" s="26" t="n">
        <v>26.749</v>
      </c>
      <c r="AF10" s="26" t="n">
        <v>26.168</v>
      </c>
      <c r="AG10" s="26" t="n">
        <v>35.334</v>
      </c>
      <c r="AH10" s="26" t="n">
        <v>37.306</v>
      </c>
      <c r="AI10" s="26" t="n">
        <v>42.78</v>
      </c>
      <c r="AJ10" s="26" t="n">
        <v>41.85</v>
      </c>
      <c r="AK10" s="26" t="n">
        <v>42.315</v>
      </c>
      <c r="AL10" s="26" t="n">
        <v>42.78</v>
      </c>
      <c r="AM10" s="26" t="n">
        <v>42.78</v>
      </c>
      <c r="AN10" s="26" t="n">
        <v>42.315</v>
      </c>
      <c r="AO10" s="26" t="n">
        <v>42.315</v>
      </c>
      <c r="AP10" s="26" t="n">
        <v>42.78</v>
      </c>
      <c r="AQ10" s="26" t="n">
        <v>42.78</v>
      </c>
      <c r="AR10" s="26" t="n">
        <v>41.85</v>
      </c>
      <c r="AS10" s="26" t="n">
        <v>42.315</v>
      </c>
      <c r="AT10" s="26" t="n">
        <v>42.78</v>
      </c>
      <c r="AU10" s="26" t="n">
        <v>42.78</v>
      </c>
      <c r="AV10" s="26" t="n">
        <v>23.177</v>
      </c>
      <c r="AW10" s="26" t="n">
        <v>19.658</v>
      </c>
      <c r="AX10" s="26" t="n">
        <v>19.874</v>
      </c>
      <c r="AY10" s="26" t="n">
        <v>14.473</v>
      </c>
      <c r="BJ10" s="26" t="n">
        <v>5.194</v>
      </c>
      <c r="BK10" s="26" t="n">
        <v>86.849</v>
      </c>
      <c r="BL10" s="26" t="n">
        <v>106.124</v>
      </c>
      <c r="BM10" s="26" t="n">
        <v>141.588</v>
      </c>
      <c r="BN10" s="26" t="n">
        <v>169.725</v>
      </c>
      <c r="BO10" s="26" t="n">
        <v>170.19</v>
      </c>
      <c r="BP10" s="26" t="n">
        <v>169.725</v>
      </c>
      <c r="BQ10" s="26" t="n">
        <v>77.182</v>
      </c>
    </row>
    <row r="11">
      <c r="A11" s="12" t="inlineStr">
        <is>
          <t>type:VLCC</t>
        </is>
      </c>
      <c r="D11" t="inlineStr">
        <is>
          <t>선종 VLCC</t>
        </is>
      </c>
      <c r="X11" s="26" t="n">
        <v>13.478</v>
      </c>
      <c r="Y11" s="26" t="n">
        <v>33.248</v>
      </c>
      <c r="Z11" s="26" t="n">
        <v>86.96899999999999</v>
      </c>
      <c r="AA11" s="26" t="n">
        <v>86.96899999999999</v>
      </c>
      <c r="AB11" s="26" t="n">
        <v>85.07899999999999</v>
      </c>
      <c r="AC11" s="26" t="n">
        <v>86.024</v>
      </c>
      <c r="AD11" s="26" t="n">
        <v>86.96899999999999</v>
      </c>
      <c r="AE11" s="26" t="n">
        <v>113.475</v>
      </c>
      <c r="AF11" s="26" t="n">
        <v>167.337</v>
      </c>
      <c r="AG11" s="26" t="n">
        <v>199.465</v>
      </c>
      <c r="AH11" s="26" t="n">
        <v>250.829</v>
      </c>
      <c r="AI11" s="26" t="n">
        <v>228.302</v>
      </c>
      <c r="AJ11" s="26" t="n">
        <v>194.005</v>
      </c>
      <c r="AK11" s="26" t="n">
        <v>196.16</v>
      </c>
      <c r="AL11" s="26" t="n">
        <v>198.316</v>
      </c>
      <c r="AM11" s="26" t="n">
        <v>198.316</v>
      </c>
      <c r="AN11" s="26" t="n">
        <v>196.16</v>
      </c>
      <c r="AO11" s="26" t="n">
        <v>196.16</v>
      </c>
      <c r="AP11" s="26" t="n">
        <v>198.316</v>
      </c>
      <c r="AQ11" s="26" t="n">
        <v>183.661</v>
      </c>
      <c r="AR11" s="26" t="n">
        <v>130.778</v>
      </c>
      <c r="AS11" s="26" t="n">
        <v>112.105</v>
      </c>
      <c r="AT11" s="26" t="n">
        <v>72.898</v>
      </c>
      <c r="AU11" s="26" t="n">
        <v>72.898</v>
      </c>
      <c r="AV11" s="26" t="n">
        <v>40.192</v>
      </c>
      <c r="BK11" s="26" t="n">
        <v>220.664</v>
      </c>
      <c r="BL11" s="26" t="n">
        <v>371.547</v>
      </c>
      <c r="BM11" s="26" t="n">
        <v>845.933</v>
      </c>
      <c r="BN11" s="26" t="n">
        <v>786.797</v>
      </c>
      <c r="BO11" s="26" t="n">
        <v>774.297</v>
      </c>
      <c r="BP11" s="26" t="n">
        <v>388.679</v>
      </c>
      <c r="BQ11" s="26" t="n">
        <v>40.192</v>
      </c>
    </row>
    <row r="12">
      <c r="A12" s="12" t="inlineStr">
        <is>
          <t>type:CONT</t>
        </is>
      </c>
      <c r="D12" t="inlineStr">
        <is>
          <t>선종 CONT</t>
        </is>
      </c>
      <c r="AD12" s="26" t="n">
        <v>15.445</v>
      </c>
      <c r="AE12" s="26" t="n">
        <v>116.457</v>
      </c>
      <c r="AF12" s="26" t="n">
        <v>148.546</v>
      </c>
      <c r="AG12" s="26" t="n">
        <v>150.196</v>
      </c>
      <c r="AH12" s="26" t="n">
        <v>180.058</v>
      </c>
      <c r="AI12" s="26" t="n">
        <v>241.345</v>
      </c>
      <c r="AJ12" s="26" t="n">
        <v>236.099</v>
      </c>
      <c r="AK12" s="26" t="n">
        <v>238.722</v>
      </c>
      <c r="AL12" s="26" t="n">
        <v>241.345</v>
      </c>
      <c r="AM12" s="26" t="n">
        <v>241.345</v>
      </c>
      <c r="AN12" s="26" t="n">
        <v>238.722</v>
      </c>
      <c r="AO12" s="26" t="n">
        <v>238.722</v>
      </c>
      <c r="AP12" s="26" t="n">
        <v>241.345</v>
      </c>
      <c r="AQ12" s="26" t="n">
        <v>241.345</v>
      </c>
      <c r="AR12" s="26" t="n">
        <v>216.852</v>
      </c>
      <c r="AS12" s="26" t="n">
        <v>151.334</v>
      </c>
      <c r="AT12" s="26" t="n">
        <v>89.499</v>
      </c>
      <c r="BL12" s="26" t="n">
        <v>131.902</v>
      </c>
      <c r="BM12" s="26" t="n">
        <v>720.145</v>
      </c>
      <c r="BN12" s="26" t="n">
        <v>957.511</v>
      </c>
      <c r="BO12" s="26" t="n">
        <v>960.134</v>
      </c>
      <c r="BP12" s="26" t="n">
        <v>457.685</v>
      </c>
    </row>
    <row r="13">
      <c r="A13" s="12" t="inlineStr">
        <is>
          <t>type:PC</t>
        </is>
      </c>
      <c r="D13" t="inlineStr">
        <is>
          <t>선종 PC</t>
        </is>
      </c>
      <c r="AH13" s="26" t="n">
        <v>19.514</v>
      </c>
      <c r="AI13" s="26" t="n">
        <v>30.429</v>
      </c>
      <c r="AJ13" s="26" t="n">
        <v>29.767</v>
      </c>
      <c r="AK13" s="26" t="n">
        <v>30.098</v>
      </c>
      <c r="AL13" s="26" t="n">
        <v>30.429</v>
      </c>
      <c r="AM13" s="26" t="n">
        <v>30.429</v>
      </c>
      <c r="AN13" s="26" t="n">
        <v>30.098</v>
      </c>
      <c r="AO13" s="26" t="n">
        <v>30.098</v>
      </c>
      <c r="AP13" s="26" t="n">
        <v>30.429</v>
      </c>
      <c r="AQ13" s="26" t="n">
        <v>30.429</v>
      </c>
      <c r="AR13" s="26" t="n">
        <v>29.767</v>
      </c>
      <c r="AS13" s="26" t="n">
        <v>30.098</v>
      </c>
      <c r="AT13" s="26" t="n">
        <v>20.506</v>
      </c>
      <c r="BM13" s="26" t="n">
        <v>49.943</v>
      </c>
      <c r="BN13" s="26" t="n">
        <v>120.723</v>
      </c>
      <c r="BO13" s="26" t="n">
        <v>121.054</v>
      </c>
      <c r="BP13" s="26" t="n">
        <v>80.371</v>
      </c>
    </row>
    <row r="14">
      <c r="A14" s="12" t="inlineStr">
        <is>
          <t>cohort:③중마진</t>
        </is>
      </c>
      <c r="D14" t="inlineStr">
        <is>
          <t>코호트 ③중마진</t>
        </is>
      </c>
      <c r="E14" s="26" t="n">
        <v>54.677</v>
      </c>
      <c r="F14" s="26" t="n">
        <v>62.879</v>
      </c>
      <c r="G14" s="26" t="n">
        <v>62.879</v>
      </c>
      <c r="H14" s="26" t="n">
        <v>62.195</v>
      </c>
      <c r="I14" s="26" t="n">
        <v>62.195</v>
      </c>
      <c r="J14" s="26" t="n">
        <v>62.879</v>
      </c>
      <c r="K14" s="26" t="n">
        <v>62.879</v>
      </c>
      <c r="L14" s="26" t="n">
        <v>61.512</v>
      </c>
      <c r="M14" s="26" t="n">
        <v>62.195</v>
      </c>
      <c r="N14" s="26" t="n">
        <v>62.879</v>
      </c>
      <c r="O14" s="26" t="n">
        <v>62.879</v>
      </c>
      <c r="P14" s="26" t="n">
        <v>61.512</v>
      </c>
      <c r="Q14" s="26" t="n">
        <v>62.195</v>
      </c>
      <c r="R14" s="26" t="n">
        <v>62.879</v>
      </c>
      <c r="S14" s="26" t="n">
        <v>62.879</v>
      </c>
      <c r="T14" s="26" t="n">
        <v>61.512</v>
      </c>
      <c r="U14" s="26" t="n">
        <v>4.101</v>
      </c>
      <c r="BF14" s="26" t="n">
        <v>180.435</v>
      </c>
      <c r="BG14" s="26" t="n">
        <v>250.148</v>
      </c>
      <c r="BH14" s="26" t="n">
        <v>249.465</v>
      </c>
      <c r="BI14" s="26" t="n">
        <v>249.465</v>
      </c>
      <c r="BJ14" s="26" t="n">
        <v>65.613</v>
      </c>
    </row>
    <row r="15">
      <c r="A15" s="12" t="inlineStr">
        <is>
          <t>cohort:④호황</t>
        </is>
      </c>
      <c r="D15" t="inlineStr">
        <is>
          <t>코호트 ④호황</t>
        </is>
      </c>
      <c r="M15" s="26" t="n">
        <v>9.452999999999999</v>
      </c>
      <c r="N15" s="26" t="n">
        <v>43.485</v>
      </c>
      <c r="O15" s="26" t="n">
        <v>43.485</v>
      </c>
      <c r="P15" s="26" t="n">
        <v>42.539</v>
      </c>
      <c r="Q15" s="26" t="n">
        <v>43.012</v>
      </c>
      <c r="R15" s="26" t="n">
        <v>43.485</v>
      </c>
      <c r="S15" s="26" t="n">
        <v>43.485</v>
      </c>
      <c r="T15" s="26" t="n">
        <v>42.539</v>
      </c>
      <c r="U15" s="26" t="n">
        <v>43.012</v>
      </c>
      <c r="V15" s="26" t="n">
        <v>43.485</v>
      </c>
      <c r="W15" s="26" t="n">
        <v>43.485</v>
      </c>
      <c r="X15" s="26" t="n">
        <v>43.012</v>
      </c>
      <c r="Y15" s="26" t="n">
        <v>43.012</v>
      </c>
      <c r="Z15" s="26" t="n">
        <v>43.485</v>
      </c>
      <c r="AA15" s="26" t="n">
        <v>43.485</v>
      </c>
      <c r="AB15" s="26" t="n">
        <v>42.539</v>
      </c>
      <c r="AC15" s="26" t="n">
        <v>43.012</v>
      </c>
      <c r="AD15" s="26" t="n">
        <v>43.485</v>
      </c>
      <c r="AE15" s="26" t="n">
        <v>43.485</v>
      </c>
      <c r="AF15" s="26" t="n">
        <v>42.539</v>
      </c>
      <c r="AG15" s="26" t="n">
        <v>43.012</v>
      </c>
      <c r="AH15" s="26" t="n">
        <v>43.485</v>
      </c>
      <c r="AI15" s="26" t="n">
        <v>43.485</v>
      </c>
      <c r="AJ15" s="26" t="n">
        <v>17.016</v>
      </c>
      <c r="BH15" s="26" t="n">
        <v>96.423</v>
      </c>
      <c r="BI15" s="26" t="n">
        <v>172.521</v>
      </c>
      <c r="BJ15" s="26" t="n">
        <v>172.521</v>
      </c>
      <c r="BK15" s="26" t="n">
        <v>172.994</v>
      </c>
      <c r="BL15" s="26" t="n">
        <v>172.521</v>
      </c>
      <c r="BM15" s="26" t="n">
        <v>172.521</v>
      </c>
      <c r="BN15" s="26" t="n">
        <v>17.016</v>
      </c>
    </row>
    <row r="16">
      <c r="A16" s="12" t="inlineStr">
        <is>
          <t>cohort:등급없음</t>
        </is>
      </c>
      <c r="D16" t="inlineStr">
        <is>
          <t>코호트 등급없음</t>
        </is>
      </c>
      <c r="P16" s="26" t="n">
        <v>23.4</v>
      </c>
      <c r="Q16" s="26" t="n">
        <v>36.092</v>
      </c>
      <c r="R16" s="26" t="n">
        <v>36.489</v>
      </c>
      <c r="S16" s="26" t="n">
        <v>36.489</v>
      </c>
      <c r="T16" s="26" t="n">
        <v>35.695</v>
      </c>
      <c r="U16" s="26" t="n">
        <v>36.092</v>
      </c>
      <c r="V16" s="26" t="n">
        <v>36.489</v>
      </c>
      <c r="W16" s="26" t="n">
        <v>36.489</v>
      </c>
      <c r="X16" s="26" t="n">
        <v>36.092</v>
      </c>
      <c r="Y16" s="26" t="n">
        <v>36.092</v>
      </c>
      <c r="Z16" s="26" t="n">
        <v>36.489</v>
      </c>
      <c r="AA16" s="26" t="n">
        <v>36.489</v>
      </c>
      <c r="AB16" s="26" t="n">
        <v>45.248</v>
      </c>
      <c r="AC16" s="26" t="n">
        <v>60.928</v>
      </c>
      <c r="AD16" s="26" t="n">
        <v>61.597</v>
      </c>
      <c r="AE16" s="26" t="n">
        <v>72.26000000000001</v>
      </c>
      <c r="AF16" s="26" t="n">
        <v>156.217</v>
      </c>
      <c r="AG16" s="26" t="n">
        <v>157.953</v>
      </c>
      <c r="AH16" s="26" t="n">
        <v>196.141</v>
      </c>
      <c r="AI16" s="26" t="n">
        <v>215.252</v>
      </c>
      <c r="AJ16" s="26" t="n">
        <v>210.572</v>
      </c>
      <c r="AK16" s="26" t="n">
        <v>178.01</v>
      </c>
      <c r="AL16" s="26" t="n">
        <v>178.763</v>
      </c>
      <c r="AM16" s="26" t="n">
        <v>178.763</v>
      </c>
      <c r="AN16" s="26" t="n">
        <v>160.445</v>
      </c>
      <c r="AO16" s="26" t="n">
        <v>151.984</v>
      </c>
      <c r="AP16" s="26" t="n">
        <v>153.654</v>
      </c>
      <c r="AQ16" s="26" t="n">
        <v>153.654</v>
      </c>
      <c r="AR16" s="26" t="n">
        <v>150.314</v>
      </c>
      <c r="AS16" s="26" t="n">
        <v>140.256</v>
      </c>
      <c r="AT16" s="26" t="n">
        <v>45.641</v>
      </c>
      <c r="AU16" s="26" t="n">
        <v>25.135</v>
      </c>
      <c r="AV16" s="26" t="n">
        <v>24.588</v>
      </c>
      <c r="AW16" s="26" t="n">
        <v>24.861</v>
      </c>
      <c r="AX16" s="26" t="n">
        <v>25.135</v>
      </c>
      <c r="AY16" s="26" t="n">
        <v>25.135</v>
      </c>
      <c r="AZ16" s="26" t="n">
        <v>24.588</v>
      </c>
      <c r="BA16" s="26" t="n">
        <v>24.861</v>
      </c>
      <c r="BB16" s="26" t="n">
        <v>25.135</v>
      </c>
      <c r="BC16" s="26" t="n">
        <v>25.135</v>
      </c>
      <c r="BD16" s="26" t="n">
        <v>24.861</v>
      </c>
      <c r="BE16" s="26" t="n">
        <v>24.861</v>
      </c>
      <c r="BI16" s="26" t="n">
        <v>132.47</v>
      </c>
      <c r="BJ16" s="26" t="n">
        <v>144.765</v>
      </c>
      <c r="BK16" s="26" t="n">
        <v>145.162</v>
      </c>
      <c r="BL16" s="26" t="n">
        <v>240.033</v>
      </c>
      <c r="BM16" s="26" t="n">
        <v>725.563</v>
      </c>
      <c r="BN16" s="26" t="n">
        <v>746.1079999999999</v>
      </c>
      <c r="BO16" s="26" t="n">
        <v>619.737</v>
      </c>
      <c r="BP16" s="26" t="n">
        <v>361.346</v>
      </c>
      <c r="BQ16" s="26" t="n">
        <v>99.71899999999999</v>
      </c>
      <c r="BR16" s="26" t="n">
        <v>99.71899999999999</v>
      </c>
      <c r="BS16" s="26" t="n">
        <v>49.722</v>
      </c>
    </row>
    <row r="17">
      <c r="A17" s="12" t="inlineStr">
        <is>
          <t>cohort:⑤초호황</t>
        </is>
      </c>
      <c r="D17" t="inlineStr">
        <is>
          <t>코호트 ⑤초호황</t>
        </is>
      </c>
      <c r="T17" s="26" t="n">
        <v>8.15</v>
      </c>
      <c r="U17" s="26" t="n">
        <v>28.477</v>
      </c>
      <c r="V17" s="26" t="n">
        <v>29.764</v>
      </c>
      <c r="W17" s="26" t="n">
        <v>34.958</v>
      </c>
      <c r="X17" s="26" t="n">
        <v>55.357</v>
      </c>
      <c r="Y17" s="26" t="n">
        <v>83.59999999999999</v>
      </c>
      <c r="Z17" s="26" t="n">
        <v>143.482</v>
      </c>
      <c r="AA17" s="26" t="n">
        <v>143.482</v>
      </c>
      <c r="AB17" s="26" t="n">
        <v>140.363</v>
      </c>
      <c r="AC17" s="26" t="n">
        <v>141.922</v>
      </c>
      <c r="AD17" s="26" t="n">
        <v>166.461</v>
      </c>
      <c r="AE17" s="26" t="n">
        <v>354.645</v>
      </c>
      <c r="AF17" s="26" t="n">
        <v>605.391</v>
      </c>
      <c r="AG17" s="26" t="n">
        <v>722.1</v>
      </c>
      <c r="AH17" s="26" t="n">
        <v>853.087</v>
      </c>
      <c r="AI17" s="26" t="n">
        <v>932.732</v>
      </c>
      <c r="AJ17" s="26" t="n">
        <v>883.12</v>
      </c>
      <c r="AK17" s="26" t="n">
        <v>878.1</v>
      </c>
      <c r="AL17" s="26" t="n">
        <v>882.934</v>
      </c>
      <c r="AM17" s="26" t="n">
        <v>872.981</v>
      </c>
      <c r="AN17" s="26" t="n">
        <v>863.492</v>
      </c>
      <c r="AO17" s="26" t="n">
        <v>812.546</v>
      </c>
      <c r="AP17" s="26" t="n">
        <v>767.138</v>
      </c>
      <c r="AQ17" s="26" t="n">
        <v>752.484</v>
      </c>
      <c r="AR17" s="26" t="n">
        <v>667.9880000000001</v>
      </c>
      <c r="AS17" s="26" t="n">
        <v>562.128</v>
      </c>
      <c r="AT17" s="26" t="n">
        <v>262.424</v>
      </c>
      <c r="AU17" s="26" t="n">
        <v>129.589</v>
      </c>
      <c r="AV17" s="26" t="n">
        <v>63.369</v>
      </c>
      <c r="AW17" s="26" t="n">
        <v>19.658</v>
      </c>
      <c r="AX17" s="26" t="n">
        <v>19.874</v>
      </c>
      <c r="AY17" s="26" t="n">
        <v>14.473</v>
      </c>
      <c r="BJ17" s="26" t="n">
        <v>101.349</v>
      </c>
      <c r="BK17" s="26" t="n">
        <v>425.921</v>
      </c>
      <c r="BL17" s="26" t="n">
        <v>803.391</v>
      </c>
      <c r="BM17" s="26" t="n">
        <v>3113.31</v>
      </c>
      <c r="BN17" s="26" t="n">
        <v>3517.135</v>
      </c>
      <c r="BO17" s="26" t="n">
        <v>3195.66</v>
      </c>
      <c r="BP17" s="26" t="n">
        <v>1622.129</v>
      </c>
      <c r="BQ17" s="26" t="n">
        <v>117.374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0.1717</v>
      </c>
      <c r="F18" s="21" t="n">
        <v>0.1717</v>
      </c>
      <c r="G18" s="21" t="n">
        <v>0.1717</v>
      </c>
      <c r="H18" s="21" t="n">
        <v>0.1717</v>
      </c>
      <c r="I18" s="21" t="n">
        <v>0.1717</v>
      </c>
      <c r="J18" s="21" t="n">
        <v>0.1717</v>
      </c>
      <c r="K18" s="21" t="n">
        <v>0.1717</v>
      </c>
      <c r="L18" s="21" t="n">
        <v>0.1717</v>
      </c>
      <c r="M18" s="21" t="n">
        <v>0.1717</v>
      </c>
      <c r="N18" s="21" t="n">
        <v>0.1717</v>
      </c>
      <c r="O18" s="21" t="n">
        <v>0.1717</v>
      </c>
      <c r="P18" s="21" t="n">
        <v>0.1717</v>
      </c>
      <c r="Q18" s="21" t="n">
        <v>0.1717</v>
      </c>
      <c r="R18" s="21" t="n">
        <v>0.1717</v>
      </c>
      <c r="S18" s="21" t="n">
        <v>0.1717</v>
      </c>
      <c r="T18" s="21" t="n">
        <v>0.1717</v>
      </c>
      <c r="U18" s="21" t="n">
        <v>0.1717</v>
      </c>
      <c r="V18" s="21" t="n">
        <v>0.1717</v>
      </c>
      <c r="W18" s="21" t="n">
        <v>0.1717</v>
      </c>
      <c r="X18" s="21" t="n">
        <v>0.1717</v>
      </c>
      <c r="Y18" s="21" t="n">
        <v>0.1717</v>
      </c>
      <c r="Z18" s="21" t="n">
        <v>0.1717</v>
      </c>
      <c r="AA18" s="21" t="n">
        <v>0.1717</v>
      </c>
      <c r="AB18" s="21" t="n">
        <v>0.1717</v>
      </c>
      <c r="AC18" s="21" t="n">
        <v>0.1717</v>
      </c>
      <c r="AD18" s="21" t="n">
        <v>0.1717</v>
      </c>
      <c r="AE18" s="21" t="n">
        <v>0.1717</v>
      </c>
      <c r="AF18" s="21" t="n">
        <v>0.1717</v>
      </c>
      <c r="AG18" s="21" t="n">
        <v>0.1717</v>
      </c>
      <c r="AH18" s="21" t="n">
        <v>0.1717</v>
      </c>
      <c r="AI18" s="21" t="n">
        <v>0.1717</v>
      </c>
      <c r="AJ18" s="21" t="n">
        <v>0.1717</v>
      </c>
      <c r="AK18" s="21" t="n">
        <v>0.1717</v>
      </c>
      <c r="AL18" s="21" t="n">
        <v>0.1717</v>
      </c>
      <c r="AM18" s="21" t="n">
        <v>0.1717</v>
      </c>
      <c r="AN18" s="21" t="n">
        <v>0.1717</v>
      </c>
      <c r="AO18" s="21" t="n">
        <v>0.1717</v>
      </c>
      <c r="AP18" s="21" t="n">
        <v>0.1717</v>
      </c>
      <c r="AQ18" s="21" t="n">
        <v>0.1717</v>
      </c>
      <c r="AR18" s="21" t="n">
        <v>0.1717</v>
      </c>
      <c r="AS18" s="21" t="n">
        <v>0.1717</v>
      </c>
      <c r="AT18" s="21" t="n">
        <v>0.1717</v>
      </c>
      <c r="AU18" s="21" t="n">
        <v>0.1717</v>
      </c>
      <c r="AV18" s="21" t="n">
        <v>0.1717</v>
      </c>
      <c r="AW18" s="21" t="n">
        <v>0.1717</v>
      </c>
      <c r="AX18" s="21" t="n">
        <v>0.1717</v>
      </c>
      <c r="AY18" s="21" t="n">
        <v>0.1717</v>
      </c>
      <c r="AZ18" s="21" t="n">
        <v>0.1717</v>
      </c>
      <c r="BA18" s="21" t="n">
        <v>0.1717</v>
      </c>
      <c r="BB18" s="21" t="n">
        <v>0.1717</v>
      </c>
      <c r="BC18" s="21" t="n">
        <v>0.1717</v>
      </c>
      <c r="BD18" s="21" t="n">
        <v>0.1717</v>
      </c>
      <c r="BE18" s="21" t="n">
        <v>0.1717</v>
      </c>
    </row>
    <row r="19">
      <c r="A19" s="12" t="inlineStr">
        <is>
          <t>hedge_rate</t>
        </is>
      </c>
      <c r="D19" t="inlineStr">
        <is>
          <t>헤지환율</t>
        </is>
      </c>
      <c r="E19" s="13" t="n">
        <v>1472.04</v>
      </c>
      <c r="F19" s="13" t="n">
        <v>1472.04</v>
      </c>
      <c r="G19" s="13" t="n">
        <v>1472.04</v>
      </c>
      <c r="H19" s="13" t="n">
        <v>1472.04</v>
      </c>
      <c r="I19" s="13" t="n">
        <v>1472.04</v>
      </c>
      <c r="J19" s="13" t="n">
        <v>1472.04</v>
      </c>
      <c r="K19" s="13" t="n">
        <v>1472.04</v>
      </c>
      <c r="L19" s="13" t="n">
        <v>1472.04</v>
      </c>
      <c r="M19" s="13" t="n">
        <v>1472.04</v>
      </c>
      <c r="N19" s="13" t="n">
        <v>1472.04</v>
      </c>
      <c r="O19" s="13" t="n">
        <v>1472.04</v>
      </c>
      <c r="P19" s="13" t="n">
        <v>1472.04</v>
      </c>
      <c r="Q19" s="13" t="n">
        <v>1472.04</v>
      </c>
      <c r="R19" s="13" t="n">
        <v>1472.04</v>
      </c>
      <c r="S19" s="13" t="n">
        <v>1472.04</v>
      </c>
      <c r="T19" s="13" t="n">
        <v>1472.04</v>
      </c>
      <c r="U19" s="13" t="n">
        <v>1472.04</v>
      </c>
      <c r="V19" s="13" t="n">
        <v>1472.04</v>
      </c>
      <c r="W19" s="13" t="n">
        <v>1472.04</v>
      </c>
      <c r="X19" s="13" t="n">
        <v>1472.04</v>
      </c>
      <c r="Y19" s="13" t="n">
        <v>1472.04</v>
      </c>
      <c r="Z19" s="13" t="n">
        <v>1472.04</v>
      </c>
      <c r="AA19" s="13" t="n">
        <v>1472.04</v>
      </c>
      <c r="AB19" s="13" t="n">
        <v>1472.04</v>
      </c>
      <c r="AC19" s="13" t="n">
        <v>1472.04</v>
      </c>
      <c r="AD19" s="13" t="n">
        <v>1472.04</v>
      </c>
      <c r="AE19" s="13" t="n">
        <v>1472.04</v>
      </c>
      <c r="AF19" s="13" t="n">
        <v>1472.04</v>
      </c>
      <c r="AG19" s="13" t="n">
        <v>1472.04</v>
      </c>
      <c r="AH19" s="13" t="n">
        <v>1472.04</v>
      </c>
      <c r="AI19" s="13" t="n">
        <v>1472.04</v>
      </c>
      <c r="AJ19" s="13" t="n">
        <v>1472.04</v>
      </c>
      <c r="AK19" s="13" t="n">
        <v>1472.04</v>
      </c>
      <c r="AL19" s="13" t="n">
        <v>1472.04</v>
      </c>
      <c r="AM19" s="13" t="n">
        <v>1472.04</v>
      </c>
      <c r="AN19" s="13" t="n">
        <v>1472.04</v>
      </c>
      <c r="AO19" s="13" t="n">
        <v>1472.04</v>
      </c>
      <c r="AP19" s="13" t="n">
        <v>1472.04</v>
      </c>
      <c r="AQ19" s="13" t="n">
        <v>1472.04</v>
      </c>
      <c r="AR19" s="13" t="n">
        <v>1472.04</v>
      </c>
      <c r="AS19" s="13" t="n">
        <v>1472.04</v>
      </c>
      <c r="AT19" s="13" t="n">
        <v>1472.04</v>
      </c>
      <c r="AU19" s="13" t="n">
        <v>1472.04</v>
      </c>
      <c r="AV19" s="13" t="n">
        <v>1472.04</v>
      </c>
      <c r="AW19" s="13" t="n">
        <v>1472.04</v>
      </c>
      <c r="AX19" s="13" t="n">
        <v>1472.04</v>
      </c>
      <c r="AY19" s="13" t="n">
        <v>1472.04</v>
      </c>
      <c r="AZ19" s="13" t="n">
        <v>1472.04</v>
      </c>
      <c r="BA19" s="13" t="n">
        <v>1472.04</v>
      </c>
      <c r="BB19" s="13" t="n">
        <v>1472.04</v>
      </c>
      <c r="BC19" s="13" t="n">
        <v>1472.04</v>
      </c>
      <c r="BD19" s="13" t="n">
        <v>1472.04</v>
      </c>
      <c r="BE19" s="13" t="n">
        <v>1472.04</v>
      </c>
    </row>
    <row r="20">
      <c r="A20" s="12" t="inlineStr">
        <is>
          <t>spot_assumed</t>
        </is>
      </c>
      <c r="D20" t="inlineStr">
        <is>
          <t>건조시점 환율(가정)</t>
        </is>
      </c>
      <c r="E20" s="13" t="n">
        <v>1167.69</v>
      </c>
      <c r="F20" s="13" t="n">
        <v>1193.96</v>
      </c>
      <c r="G20" s="13" t="n">
        <v>1176.23</v>
      </c>
      <c r="H20" s="13" t="n">
        <v>1193.92</v>
      </c>
      <c r="I20" s="13" t="n">
        <v>1219.69</v>
      </c>
      <c r="J20" s="13" t="n">
        <v>1187.81</v>
      </c>
      <c r="K20" s="13" t="n">
        <v>1117.97</v>
      </c>
      <c r="L20" s="13" t="n">
        <v>1114.99</v>
      </c>
      <c r="M20" s="13" t="n">
        <v>1121.13</v>
      </c>
      <c r="N20" s="13" t="n">
        <v>1159.91</v>
      </c>
      <c r="O20" s="13" t="n">
        <v>1183.5</v>
      </c>
      <c r="P20" s="13" t="n">
        <v>1205.78</v>
      </c>
      <c r="Q20" s="13" t="n">
        <v>1262.09</v>
      </c>
      <c r="R20" s="13" t="n">
        <v>1341.93</v>
      </c>
      <c r="S20" s="13" t="n">
        <v>1360.12</v>
      </c>
      <c r="T20" s="13" t="n">
        <v>1276.95</v>
      </c>
      <c r="U20" s="13" t="n">
        <v>1315.69</v>
      </c>
      <c r="V20" s="13" t="n">
        <v>1313.62</v>
      </c>
      <c r="W20" s="13" t="n">
        <v>1322.01</v>
      </c>
      <c r="X20" s="13" t="n">
        <v>1330.14</v>
      </c>
      <c r="Y20" s="13" t="n">
        <v>1371.28</v>
      </c>
      <c r="Z20" s="13" t="n">
        <v>1356.22</v>
      </c>
      <c r="AA20" s="13" t="n">
        <v>1396.3</v>
      </c>
      <c r="AB20" s="13" t="n">
        <v>1452.28</v>
      </c>
      <c r="AC20" s="13" t="n">
        <v>1398.52</v>
      </c>
      <c r="AD20" s="13" t="n">
        <v>1386.95</v>
      </c>
      <c r="AE20" s="13" t="n">
        <v>1449.19</v>
      </c>
      <c r="AF20" s="13" t="n">
        <v>1466.12</v>
      </c>
      <c r="AG20" s="13" t="n">
        <v>1501.75</v>
      </c>
      <c r="AH20" s="13" t="n">
        <v>1418.75</v>
      </c>
      <c r="AI20" s="13" t="n">
        <v>1355.4</v>
      </c>
      <c r="AJ20" s="13" t="n">
        <v>1355.4</v>
      </c>
      <c r="AK20" s="13" t="n">
        <v>1355.4</v>
      </c>
      <c r="AL20" s="13" t="n">
        <v>1355.4</v>
      </c>
      <c r="AM20" s="13" t="n">
        <v>1355.4</v>
      </c>
      <c r="AN20" s="13" t="n">
        <v>1355.4</v>
      </c>
      <c r="AO20" s="13" t="n">
        <v>1355.4</v>
      </c>
      <c r="AP20" s="13" t="n">
        <v>1355.4</v>
      </c>
      <c r="AQ20" s="13" t="n">
        <v>1355.4</v>
      </c>
      <c r="AR20" s="13" t="n">
        <v>1355.4</v>
      </c>
      <c r="AS20" s="13" t="n">
        <v>1355.4</v>
      </c>
      <c r="AT20" s="13" t="n">
        <v>1355.4</v>
      </c>
      <c r="AU20" s="13" t="n">
        <v>1355.4</v>
      </c>
      <c r="AV20" s="13" t="n">
        <v>1355.4</v>
      </c>
      <c r="AW20" s="13" t="n">
        <v>1355.4</v>
      </c>
      <c r="AX20" s="13" t="n">
        <v>1355.4</v>
      </c>
      <c r="AY20" s="13" t="n">
        <v>1355.4</v>
      </c>
      <c r="AZ20" s="13" t="n">
        <v>1355.4</v>
      </c>
      <c r="BA20" s="13" t="n">
        <v>1355.4</v>
      </c>
      <c r="BB20" s="13" t="n">
        <v>1355.4</v>
      </c>
      <c r="BC20" s="13" t="n">
        <v>1355.4</v>
      </c>
      <c r="BD20" s="13" t="n">
        <v>1355.4</v>
      </c>
      <c r="BE20" s="13" t="n">
        <v>1355.4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1219.95</v>
      </c>
      <c r="F21" s="13" t="n">
        <v>1241.71</v>
      </c>
      <c r="G21" s="13" t="n">
        <v>1227.02</v>
      </c>
      <c r="H21" s="13" t="n">
        <v>1241.67</v>
      </c>
      <c r="I21" s="13" t="n">
        <v>1263.02</v>
      </c>
      <c r="J21" s="13" t="n">
        <v>1236.61</v>
      </c>
      <c r="K21" s="13" t="n">
        <v>1178.76</v>
      </c>
      <c r="L21" s="13" t="n">
        <v>1176.3</v>
      </c>
      <c r="M21" s="13" t="n">
        <v>1181.38</v>
      </c>
      <c r="N21" s="13" t="n">
        <v>1213.5</v>
      </c>
      <c r="O21" s="13" t="n">
        <v>1233.04</v>
      </c>
      <c r="P21" s="13" t="n">
        <v>1251.5</v>
      </c>
      <c r="Q21" s="13" t="n">
        <v>1298.14</v>
      </c>
      <c r="R21" s="13" t="n">
        <v>1364.27</v>
      </c>
      <c r="S21" s="13" t="n">
        <v>1379.34</v>
      </c>
      <c r="T21" s="13" t="n">
        <v>1310.45</v>
      </c>
      <c r="U21" s="13" t="n">
        <v>1342.54</v>
      </c>
      <c r="V21" s="13" t="n">
        <v>1340.82</v>
      </c>
      <c r="W21" s="13" t="n">
        <v>1347.77</v>
      </c>
      <c r="X21" s="13" t="n">
        <v>1354.5</v>
      </c>
      <c r="Y21" s="13" t="n">
        <v>1388.58</v>
      </c>
      <c r="Z21" s="13" t="n">
        <v>1376.11</v>
      </c>
      <c r="AA21" s="13" t="n">
        <v>1409.3</v>
      </c>
      <c r="AB21" s="13" t="n">
        <v>1455.67</v>
      </c>
      <c r="AC21" s="13" t="n">
        <v>1411.14</v>
      </c>
      <c r="AD21" s="13" t="n">
        <v>1401.56</v>
      </c>
      <c r="AE21" s="13" t="n">
        <v>1453.11</v>
      </c>
      <c r="AF21" s="13" t="n">
        <v>1467.14</v>
      </c>
      <c r="AG21" s="13" t="n">
        <v>1496.65</v>
      </c>
      <c r="AH21" s="13" t="n">
        <v>1427.9</v>
      </c>
      <c r="AI21" s="13" t="n">
        <v>1375.43</v>
      </c>
      <c r="AJ21" s="13" t="n">
        <v>1375.43</v>
      </c>
      <c r="AK21" s="13" t="n">
        <v>1375.43</v>
      </c>
      <c r="AL21" s="13" t="n">
        <v>1375.43</v>
      </c>
      <c r="AM21" s="13" t="n">
        <v>1375.43</v>
      </c>
      <c r="AN21" s="13" t="n">
        <v>1375.43</v>
      </c>
      <c r="AO21" s="13" t="n">
        <v>1375.43</v>
      </c>
      <c r="AP21" s="13" t="n">
        <v>1375.43</v>
      </c>
      <c r="AQ21" s="13" t="n">
        <v>1375.43</v>
      </c>
      <c r="AR21" s="13" t="n">
        <v>1375.43</v>
      </c>
      <c r="AS21" s="13" t="n">
        <v>1375.43</v>
      </c>
      <c r="AT21" s="13" t="n">
        <v>1375.43</v>
      </c>
      <c r="AU21" s="13" t="n">
        <v>1375.43</v>
      </c>
      <c r="AV21" s="13" t="n">
        <v>1375.43</v>
      </c>
      <c r="AW21" s="13" t="n">
        <v>1375.43</v>
      </c>
      <c r="AX21" s="13" t="n">
        <v>1375.43</v>
      </c>
      <c r="AY21" s="13" t="n">
        <v>1375.43</v>
      </c>
      <c r="AZ21" s="13" t="n">
        <v>1375.43</v>
      </c>
      <c r="BA21" s="13" t="n">
        <v>1375.43</v>
      </c>
      <c r="BB21" s="13" t="n">
        <v>1375.43</v>
      </c>
      <c r="BC21" s="13" t="n">
        <v>1375.43</v>
      </c>
      <c r="BD21" s="13" t="n">
        <v>1375.43</v>
      </c>
      <c r="BE21" s="13" t="n">
        <v>1375.43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66703.39999999999</v>
      </c>
      <c r="F22" s="18" t="n">
        <v>78077.10000000001</v>
      </c>
      <c r="G22" s="18" t="n">
        <v>77153.7</v>
      </c>
      <c r="H22" s="18" t="n">
        <v>77226.39999999999</v>
      </c>
      <c r="I22" s="18" t="n">
        <v>78554</v>
      </c>
      <c r="J22" s="18" t="n">
        <v>77756.8</v>
      </c>
      <c r="K22" s="18" t="n">
        <v>74119.39999999999</v>
      </c>
      <c r="L22" s="18" t="n">
        <v>72356.3</v>
      </c>
      <c r="M22" s="18" t="n">
        <v>84644.39999999999</v>
      </c>
      <c r="N22" s="18" t="n">
        <v>129072.5</v>
      </c>
      <c r="O22" s="18" t="n">
        <v>131150.8</v>
      </c>
      <c r="P22" s="18" t="n">
        <v>159505.3</v>
      </c>
      <c r="Q22" s="18" t="n">
        <v>183426.3</v>
      </c>
      <c r="R22" s="18" t="n">
        <v>194889</v>
      </c>
      <c r="S22" s="18" t="n">
        <v>197041.3</v>
      </c>
      <c r="T22" s="18" t="n">
        <v>193810.7</v>
      </c>
      <c r="U22" s="18" t="n">
        <v>149936.8</v>
      </c>
      <c r="V22" s="18" t="n">
        <v>147137.6</v>
      </c>
      <c r="W22" s="18" t="n">
        <v>154901</v>
      </c>
      <c r="X22" s="18" t="n">
        <v>182128.1</v>
      </c>
      <c r="Y22" s="18" t="n">
        <v>225927.6</v>
      </c>
      <c r="Z22" s="18" t="n">
        <v>307498.3</v>
      </c>
      <c r="AA22" s="18" t="n">
        <v>314916.6</v>
      </c>
      <c r="AB22" s="18" t="n">
        <v>332111.5</v>
      </c>
      <c r="AC22" s="18" t="n">
        <v>346947</v>
      </c>
      <c r="AD22" s="18" t="n">
        <v>380584.3</v>
      </c>
      <c r="AE22" s="18" t="n">
        <v>683529.2</v>
      </c>
      <c r="AF22" s="18" t="n">
        <v>1179793.6</v>
      </c>
      <c r="AG22" s="18" t="n">
        <v>1381504.9</v>
      </c>
      <c r="AH22" s="18" t="n">
        <v>1560284.1</v>
      </c>
      <c r="AI22" s="18" t="n">
        <v>1638777.4</v>
      </c>
      <c r="AJ22" s="18" t="n">
        <v>1527698.2</v>
      </c>
      <c r="AK22" s="18" t="n">
        <v>1452601.8</v>
      </c>
      <c r="AL22" s="18" t="n">
        <v>1460286.4</v>
      </c>
      <c r="AM22" s="18" t="n">
        <v>1446597.9</v>
      </c>
      <c r="AN22" s="18" t="n">
        <v>1408351</v>
      </c>
      <c r="AO22" s="18" t="n">
        <v>1326641.3</v>
      </c>
      <c r="AP22" s="18" t="n">
        <v>1266483.2</v>
      </c>
      <c r="AQ22" s="18" t="n">
        <v>1246326.6</v>
      </c>
      <c r="AR22" s="18" t="n">
        <v>1125514.2</v>
      </c>
      <c r="AS22" s="18" t="n">
        <v>966078.4</v>
      </c>
      <c r="AT22" s="18" t="n">
        <v>423720.7</v>
      </c>
      <c r="AU22" s="18" t="n">
        <v>212810.9</v>
      </c>
      <c r="AV22" s="18" t="n">
        <v>120978.7</v>
      </c>
      <c r="AW22" s="18" t="n">
        <v>61232.8</v>
      </c>
      <c r="AX22" s="18" t="n">
        <v>61905.7</v>
      </c>
      <c r="AY22" s="18" t="n">
        <v>54477.7</v>
      </c>
      <c r="AZ22" s="18" t="n">
        <v>33819.2</v>
      </c>
      <c r="BA22" s="18" t="n">
        <v>34194.9</v>
      </c>
      <c r="BB22" s="18" t="n">
        <v>34570.7</v>
      </c>
      <c r="BC22" s="18" t="n">
        <v>34570.7</v>
      </c>
      <c r="BD22" s="18" t="n">
        <v>34194.9</v>
      </c>
      <c r="BE22" s="18" t="n">
        <v>34194.9</v>
      </c>
      <c r="BF22" s="18" t="n">
        <v>221934.2</v>
      </c>
      <c r="BG22" s="18" t="n">
        <v>307656.6</v>
      </c>
      <c r="BH22" s="18" t="n">
        <v>417224</v>
      </c>
      <c r="BI22" s="18" t="n">
        <v>734861.9</v>
      </c>
      <c r="BJ22" s="18" t="n">
        <v>645786.1</v>
      </c>
      <c r="BK22" s="18" t="n">
        <v>1030470.6</v>
      </c>
      <c r="BL22" s="18" t="n">
        <v>1743172</v>
      </c>
      <c r="BM22" s="18" t="n">
        <v>5760360</v>
      </c>
      <c r="BN22" s="18" t="n">
        <v>5887184.3</v>
      </c>
      <c r="BO22" s="18" t="n">
        <v>5247802.1</v>
      </c>
      <c r="BP22" s="18" t="n">
        <v>2728124.2</v>
      </c>
      <c r="BQ22" s="18" t="n">
        <v>298594.9</v>
      </c>
      <c r="BR22" s="18" t="n">
        <v>137155.5</v>
      </c>
      <c r="BS22" s="18" t="n">
        <v>68389.8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0.05</v>
      </c>
      <c r="F23" s="21" t="n">
        <v>0.05</v>
      </c>
      <c r="G23" s="21" t="n">
        <v>0.05</v>
      </c>
      <c r="H23" s="21" t="n">
        <v>0.05</v>
      </c>
      <c r="I23" s="21" t="n">
        <v>0.05</v>
      </c>
      <c r="J23" s="21" t="n">
        <v>0.05</v>
      </c>
      <c r="K23" s="21" t="n">
        <v>0.05</v>
      </c>
      <c r="L23" s="21" t="n">
        <v>0.05</v>
      </c>
      <c r="M23" s="21" t="n">
        <v>0.0566</v>
      </c>
      <c r="N23" s="21" t="n">
        <v>0.0704</v>
      </c>
      <c r="O23" s="21" t="n">
        <v>0.0704</v>
      </c>
      <c r="P23" s="21" t="n">
        <v>0.0704</v>
      </c>
      <c r="Q23" s="21" t="n">
        <v>0.0704</v>
      </c>
      <c r="R23" s="21" t="n">
        <v>0.0704</v>
      </c>
      <c r="S23" s="21" t="n">
        <v>0.0704</v>
      </c>
      <c r="T23" s="21" t="n">
        <v>0.0762</v>
      </c>
      <c r="U23" s="21" t="n">
        <v>0.1161</v>
      </c>
      <c r="V23" s="21" t="n">
        <v>0.1203</v>
      </c>
      <c r="W23" s="21" t="n">
        <v>0.1223</v>
      </c>
      <c r="X23" s="21" t="n">
        <v>0.1281</v>
      </c>
      <c r="Y23" s="21" t="n">
        <v>0.133</v>
      </c>
      <c r="Z23" s="21" t="n">
        <v>0.1384</v>
      </c>
      <c r="AA23" s="21" t="n">
        <v>0.1384</v>
      </c>
      <c r="AB23" s="21" t="n">
        <v>0.1384</v>
      </c>
      <c r="AC23" s="21" t="n">
        <v>0.1384</v>
      </c>
      <c r="AD23" s="21" t="n">
        <v>0.1396</v>
      </c>
      <c r="AE23" s="21" t="n">
        <v>0.1445</v>
      </c>
      <c r="AF23" s="21" t="n">
        <v>0.1467</v>
      </c>
      <c r="AG23" s="21" t="n">
        <v>0.1472</v>
      </c>
      <c r="AH23" s="21" t="n">
        <v>0.1476</v>
      </c>
      <c r="AI23" s="21" t="n">
        <v>0.1478</v>
      </c>
      <c r="AJ23" s="21" t="n">
        <v>0.1491</v>
      </c>
      <c r="AK23" s="21" t="n">
        <v>0.15</v>
      </c>
      <c r="AL23" s="21" t="n">
        <v>0.15</v>
      </c>
      <c r="AM23" s="21" t="n">
        <v>0.15</v>
      </c>
      <c r="AN23" s="21" t="n">
        <v>0.15</v>
      </c>
      <c r="AO23" s="21" t="n">
        <v>0.15</v>
      </c>
      <c r="AP23" s="21" t="n">
        <v>0.15</v>
      </c>
      <c r="AQ23" s="21" t="n">
        <v>0.15</v>
      </c>
      <c r="AR23" s="21" t="n">
        <v>0.15</v>
      </c>
      <c r="AS23" s="21" t="n">
        <v>0.15</v>
      </c>
      <c r="AT23" s="21" t="n">
        <v>0.15</v>
      </c>
      <c r="AU23" s="21" t="n">
        <v>0.15</v>
      </c>
      <c r="AV23" s="21" t="n">
        <v>0.15</v>
      </c>
      <c r="AW23" s="21" t="n">
        <v>0.15</v>
      </c>
      <c r="AX23" s="21" t="n">
        <v>0.15</v>
      </c>
      <c r="AY23" s="21" t="n">
        <v>0.15</v>
      </c>
    </row>
    <row r="25">
      <c r="A25" s="1" t="inlineStr">
        <is>
          <t>계약 원장(contracts.json 기반)</t>
        </is>
      </c>
    </row>
    <row r="26">
      <c r="A26" s="1" t="inlineStr">
        <is>
          <t>rcp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amt_krw_m</t>
        </is>
      </c>
      <c r="E26" s="1" t="inlineStr">
        <is>
          <t>amt_usd_m</t>
        </is>
      </c>
      <c r="F26" s="1" t="inlineStr">
        <is>
          <t>fx_at_sign</t>
        </is>
      </c>
      <c r="G26" s="1" t="inlineStr">
        <is>
          <t>signed</t>
        </is>
      </c>
      <c r="H26" s="1" t="inlineStr">
        <is>
          <t>start</t>
        </is>
      </c>
      <c r="I26" s="1" t="inlineStr">
        <is>
          <t>end</t>
        </is>
      </c>
      <c r="J26" s="1" t="inlineStr">
        <is>
          <t>cohort</t>
        </is>
      </c>
      <c r="K26" s="1" t="inlineStr">
        <is>
          <t>curve</t>
        </is>
      </c>
      <c r="L26" s="1" t="inlineStr">
        <is>
          <t>estimated_series</t>
        </is>
      </c>
    </row>
    <row r="27">
      <c r="A27" t="inlineStr">
        <is>
          <t>20250905800030</t>
        </is>
      </c>
      <c r="B27" t="inlineStr">
        <is>
          <t>LNGC</t>
        </is>
      </c>
      <c r="C27" t="n">
        <v>1</v>
      </c>
      <c r="D27" t="n">
        <v>351200</v>
      </c>
      <c r="E27" t="n">
        <v>253.217</v>
      </c>
      <c r="F27" t="n">
        <v>1386.95</v>
      </c>
      <c r="G27" t="inlineStr">
        <is>
          <t>2025-09-04</t>
        </is>
      </c>
      <c r="H27" t="inlineStr">
        <is>
          <t>2025-09-04</t>
        </is>
      </c>
      <c r="I27" t="inlineStr">
        <is>
          <t>2028-03-31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20250915800507</t>
        </is>
      </c>
      <c r="B28" t="inlineStr">
        <is>
          <t>OFFSH</t>
        </is>
      </c>
      <c r="C28" t="n">
        <v>1</v>
      </c>
      <c r="D28" t="n">
        <v>1094800</v>
      </c>
      <c r="E28" t="n">
        <v>976.515</v>
      </c>
      <c r="F28" t="n">
        <v>1121.13</v>
      </c>
      <c r="G28" t="inlineStr">
        <is>
          <t>2021-06-11</t>
        </is>
      </c>
      <c r="H28" t="inlineStr">
        <is>
          <t>2021-06-11</t>
        </is>
      </c>
      <c r="I28" t="inlineStr">
        <is>
          <t>2027-02-05</t>
        </is>
      </c>
      <c r="J28" t="inlineStr">
        <is>
          <t>④호황</t>
        </is>
      </c>
      <c r="K28" t="inlineStr">
        <is>
          <t>linear_progress</t>
        </is>
      </c>
      <c r="L28" t="b">
        <v>0</v>
      </c>
    </row>
    <row r="29">
      <c r="A29" t="inlineStr">
        <is>
          <t>20250917800008</t>
        </is>
      </c>
      <c r="B29" t="inlineStr">
        <is>
          <t>CONT</t>
        </is>
      </c>
      <c r="C29" t="n">
        <v>7</v>
      </c>
      <c r="D29" t="n">
        <v>1933600</v>
      </c>
      <c r="E29" t="n">
        <v>1394.138</v>
      </c>
      <c r="F29" t="n">
        <v>1386.95</v>
      </c>
      <c r="G29" t="inlineStr">
        <is>
          <t>2025-09-16</t>
        </is>
      </c>
      <c r="H29" t="inlineStr">
        <is>
          <t>2025-09-16</t>
        </is>
      </c>
      <c r="I29" t="inlineStr">
        <is>
          <t>2029-05-31</t>
        </is>
      </c>
      <c r="J29" t="inlineStr">
        <is>
          <t>⑤초호황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20251001800067</t>
        </is>
      </c>
      <c r="B30" t="inlineStr">
        <is>
          <t>LNGC</t>
        </is>
      </c>
      <c r="C30" t="n">
        <v>1</v>
      </c>
      <c r="D30" t="n">
        <v>353400</v>
      </c>
      <c r="E30" t="n">
        <v>254.804</v>
      </c>
      <c r="F30" t="n">
        <v>1386.95</v>
      </c>
      <c r="G30" t="inlineStr">
        <is>
          <t>2025-09-30</t>
        </is>
      </c>
      <c r="H30" t="inlineStr">
        <is>
          <t>2025-09-30</t>
        </is>
      </c>
      <c r="I30" t="inlineStr">
        <is>
          <t>2028-05-31</t>
        </is>
      </c>
      <c r="J30" t="inlineStr">
        <is>
          <t>⑤초호황</t>
        </is>
      </c>
      <c r="K30" t="inlineStr">
        <is>
          <t>linear_progress</t>
        </is>
      </c>
      <c r="L30" t="b">
        <v>1</v>
      </c>
    </row>
    <row r="31">
      <c r="A31" t="inlineStr">
        <is>
          <t>20251010800428</t>
        </is>
      </c>
      <c r="B31" t="inlineStr">
        <is>
          <t>VLGC</t>
        </is>
      </c>
      <c r="C31" t="n">
        <v>1</v>
      </c>
      <c r="D31" t="n">
        <v>163000</v>
      </c>
      <c r="E31" t="n">
        <v>123.297</v>
      </c>
      <c r="F31" t="n">
        <v>1322.01</v>
      </c>
      <c r="G31" t="inlineStr">
        <is>
          <t>2023-11-24</t>
        </is>
      </c>
      <c r="H31" t="inlineStr">
        <is>
          <t>2023-11-24</t>
        </is>
      </c>
      <c r="I31" t="inlineStr">
        <is>
          <t>2026-05-13</t>
        </is>
      </c>
      <c r="J31" t="inlineStr">
        <is>
          <t>⑤초호황</t>
        </is>
      </c>
      <c r="K31" t="inlineStr">
        <is>
          <t>linear_progress</t>
        </is>
      </c>
      <c r="L31" t="b">
        <v>0</v>
      </c>
    </row>
    <row r="32">
      <c r="A32" t="inlineStr">
        <is>
          <t>20251124800090</t>
        </is>
      </c>
      <c r="B32" t="inlineStr">
        <is>
          <t>VLCC</t>
        </is>
      </c>
      <c r="C32" t="n">
        <v>4</v>
      </c>
      <c r="D32" t="n">
        <v>757700</v>
      </c>
      <c r="E32" t="n">
        <v>522.8440000000001</v>
      </c>
      <c r="F32" t="n">
        <v>1449.19</v>
      </c>
      <c r="G32" t="inlineStr">
        <is>
          <t>2025-11-21</t>
        </is>
      </c>
      <c r="H32" t="inlineStr">
        <is>
          <t>2025-11-21</t>
        </is>
      </c>
      <c r="I32" t="inlineStr">
        <is>
          <t>2028-11-30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20251127800598</t>
        </is>
      </c>
      <c r="B33" t="inlineStr">
        <is>
          <t>VLCC</t>
        </is>
      </c>
      <c r="C33" t="n">
        <v>2</v>
      </c>
      <c r="D33" t="n">
        <v>342000</v>
      </c>
      <c r="E33" t="n">
        <v>257.116</v>
      </c>
      <c r="F33" t="n">
        <v>1330.14</v>
      </c>
      <c r="G33" t="inlineStr">
        <is>
          <t>2024-02-22</t>
        </is>
      </c>
      <c r="H33" t="inlineStr">
        <is>
          <t>2024-02-22</t>
        </is>
      </c>
      <c r="I33" t="inlineStr">
        <is>
          <t>2026-03-06</t>
        </is>
      </c>
      <c r="J33" t="inlineStr">
        <is>
          <t>⑤초호황</t>
        </is>
      </c>
      <c r="K33" t="inlineStr">
        <is>
          <t>linear_progress</t>
        </is>
      </c>
      <c r="L33" t="b">
        <v>0</v>
      </c>
    </row>
    <row r="34">
      <c r="A34" t="inlineStr">
        <is>
          <t>20251128800098</t>
        </is>
      </c>
      <c r="B34" t="inlineStr">
        <is>
          <t>CONT</t>
        </is>
      </c>
      <c r="C34" t="n">
        <v>4</v>
      </c>
      <c r="D34" t="n">
        <v>1070700</v>
      </c>
      <c r="E34" t="n">
        <v>738.827</v>
      </c>
      <c r="F34" t="n">
        <v>1449.19</v>
      </c>
      <c r="G34" t="inlineStr">
        <is>
          <t>2025-11-27</t>
        </is>
      </c>
      <c r="H34" t="inlineStr">
        <is>
          <t>2025-11-27</t>
        </is>
      </c>
      <c r="I34" t="inlineStr">
        <is>
          <t>2029-02-28</t>
        </is>
      </c>
      <c r="J34" t="inlineStr">
        <is>
          <t>⑤초호황</t>
        </is>
      </c>
      <c r="K34" t="inlineStr">
        <is>
          <t>linear_progress</t>
        </is>
      </c>
      <c r="L34" t="b">
        <v>1</v>
      </c>
    </row>
    <row r="35">
      <c r="A35" t="inlineStr">
        <is>
          <t>20251202800041</t>
        </is>
      </c>
      <c r="B35" t="inlineStr">
        <is>
          <t>VLCC</t>
        </is>
      </c>
      <c r="C35" t="n">
        <v>2</v>
      </c>
      <c r="D35" t="n">
        <v>375300</v>
      </c>
      <c r="E35" t="n">
        <v>258.972</v>
      </c>
      <c r="F35" t="n">
        <v>1449.19</v>
      </c>
      <c r="G35" t="inlineStr">
        <is>
          <t>2025-12-01</t>
        </is>
      </c>
      <c r="H35" t="inlineStr">
        <is>
          <t>2025-12-01</t>
        </is>
      </c>
      <c r="I35" t="inlineStr">
        <is>
          <t>2028-12-31</t>
        </is>
      </c>
      <c r="J35" t="inlineStr">
        <is>
          <t>⑤초호황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20251219800049</t>
        </is>
      </c>
      <c r="B36" t="inlineStr">
        <is>
          <t>LNGC</t>
        </is>
      </c>
      <c r="C36" t="n">
        <v>7</v>
      </c>
      <c r="D36" t="n">
        <v>2589100</v>
      </c>
      <c r="E36" t="n">
        <v>1786.584</v>
      </c>
      <c r="F36" t="n">
        <v>1449.19</v>
      </c>
      <c r="G36" t="inlineStr">
        <is>
          <t>2025-12-18</t>
        </is>
      </c>
      <c r="H36" t="inlineStr">
        <is>
          <t>2025-12-18</t>
        </is>
      </c>
      <c r="I36" t="inlineStr">
        <is>
          <t>2029-06-30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20251223800047</t>
        </is>
      </c>
      <c r="B37" t="inlineStr">
        <is>
          <t>OFFSH</t>
        </is>
      </c>
      <c r="D37" t="n">
        <v>1971600</v>
      </c>
      <c r="E37" t="n">
        <v>1360.484</v>
      </c>
      <c r="F37" t="n">
        <v>1449.19</v>
      </c>
      <c r="G37" t="inlineStr">
        <is>
          <t>2025-12-22</t>
        </is>
      </c>
      <c r="H37" t="inlineStr">
        <is>
          <t>2025-12-22</t>
        </is>
      </c>
      <c r="I37" t="inlineStr">
        <is>
          <t>2029-06-19</t>
        </is>
      </c>
      <c r="K37" t="inlineStr">
        <is>
          <t>linear_progress</t>
        </is>
      </c>
      <c r="L37" t="b">
        <v>0</v>
      </c>
    </row>
    <row r="38">
      <c r="A38" t="inlineStr">
        <is>
          <t>20260115800042</t>
        </is>
      </c>
      <c r="B38" t="inlineStr">
        <is>
          <t>VLCC</t>
        </is>
      </c>
      <c r="C38" t="n">
        <v>3</v>
      </c>
      <c r="D38" t="n">
        <v>572200</v>
      </c>
      <c r="E38" t="n">
        <v>390.282</v>
      </c>
      <c r="F38" t="n">
        <v>1466.12</v>
      </c>
      <c r="G38" t="inlineStr">
        <is>
          <t>2026-01-14</t>
        </is>
      </c>
      <c r="H38" t="inlineStr">
        <is>
          <t>2026-01-14</t>
        </is>
      </c>
      <c r="I38" t="inlineStr">
        <is>
          <t>2029-04-30</t>
        </is>
      </c>
      <c r="J38" t="inlineStr">
        <is>
          <t>⑤초호황</t>
        </is>
      </c>
      <c r="K38" t="inlineStr">
        <is>
          <t>linear_progress</t>
        </is>
      </c>
      <c r="L38" t="b">
        <v>0</v>
      </c>
    </row>
    <row r="39">
      <c r="A39" t="inlineStr">
        <is>
          <t>20260121800115</t>
        </is>
      </c>
      <c r="B39" t="inlineStr">
        <is>
          <t>LNGC</t>
        </is>
      </c>
      <c r="C39" t="n">
        <v>2</v>
      </c>
      <c r="D39" t="n">
        <v>738300</v>
      </c>
      <c r="E39" t="n">
        <v>503.574</v>
      </c>
      <c r="F39" t="n">
        <v>1466.12</v>
      </c>
      <c r="G39" t="inlineStr">
        <is>
          <t>2026-01-20</t>
        </is>
      </c>
      <c r="H39" t="inlineStr">
        <is>
          <t>2026-01-20</t>
        </is>
      </c>
      <c r="I39" t="inlineStr">
        <is>
          <t>2029-06-29</t>
        </is>
      </c>
      <c r="J39" t="inlineStr">
        <is>
          <t>⑤초호황</t>
        </is>
      </c>
      <c r="K39" t="inlineStr">
        <is>
          <t>linear_progress</t>
        </is>
      </c>
      <c r="L39" t="b">
        <v>0</v>
      </c>
    </row>
    <row r="40">
      <c r="A40" t="inlineStr">
        <is>
          <t>20260206800258</t>
        </is>
      </c>
      <c r="B40" t="inlineStr">
        <is>
          <t>OFFSH</t>
        </is>
      </c>
      <c r="C40" t="n">
        <v>1</v>
      </c>
      <c r="D40" t="n">
        <v>768700</v>
      </c>
      <c r="E40" t="n">
        <v>524.309</v>
      </c>
      <c r="F40" t="n">
        <v>1466.12</v>
      </c>
      <c r="G40" t="inlineStr">
        <is>
          <t>2026-02-06</t>
        </is>
      </c>
      <c r="H40" t="inlineStr">
        <is>
          <t>2026-02-06</t>
        </is>
      </c>
      <c r="I40" t="inlineStr">
        <is>
          <t>2028-05-31</t>
        </is>
      </c>
      <c r="J40" t="inlineStr">
        <is>
          <t>⑤초호황</t>
        </is>
      </c>
      <c r="K40" t="inlineStr">
        <is>
          <t>linear_progress</t>
        </is>
      </c>
      <c r="L40" t="b">
        <v>0</v>
      </c>
    </row>
    <row r="41">
      <c r="A41" t="inlineStr">
        <is>
          <t>20260220801130</t>
        </is>
      </c>
      <c r="B41" t="inlineStr">
        <is>
          <t>LNGC</t>
        </is>
      </c>
      <c r="C41" t="n">
        <v>1</v>
      </c>
      <c r="D41" t="n">
        <v>339600</v>
      </c>
      <c r="E41" t="n">
        <v>258.116</v>
      </c>
      <c r="F41" t="n">
        <v>1315.69</v>
      </c>
      <c r="G41" t="inlineStr">
        <is>
          <t>2023-04-07</t>
        </is>
      </c>
      <c r="H41" t="inlineStr">
        <is>
          <t>2023-04-07</t>
        </is>
      </c>
      <c r="I41" t="inlineStr">
        <is>
          <t>2027-08-31</t>
        </is>
      </c>
      <c r="J41" t="inlineStr">
        <is>
          <t>⑤초호황</t>
        </is>
      </c>
      <c r="K41" t="inlineStr">
        <is>
          <t>linear_progress</t>
        </is>
      </c>
      <c r="L41" t="b">
        <v>1</v>
      </c>
    </row>
    <row r="42">
      <c r="A42" t="inlineStr">
        <is>
          <t>20260220801140</t>
        </is>
      </c>
      <c r="B42" t="inlineStr">
        <is>
          <t>LNGC</t>
        </is>
      </c>
      <c r="C42" t="n">
        <v>1</v>
      </c>
      <c r="D42" t="n">
        <v>314500</v>
      </c>
      <c r="E42" t="n">
        <v>246.29</v>
      </c>
      <c r="F42" t="n">
        <v>1276.95</v>
      </c>
      <c r="G42" t="inlineStr">
        <is>
          <t>2023-02-10</t>
        </is>
      </c>
      <c r="H42" t="inlineStr">
        <is>
          <t>2023-02-10</t>
        </is>
      </c>
      <c r="I42" t="inlineStr">
        <is>
          <t>2027-03-31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20260325800201</t>
        </is>
      </c>
      <c r="B43" t="inlineStr">
        <is>
          <t>VLCC</t>
        </is>
      </c>
      <c r="C43" t="n">
        <v>3</v>
      </c>
      <c r="D43" t="n">
        <v>588700</v>
      </c>
      <c r="E43" t="n">
        <v>401.536</v>
      </c>
      <c r="F43" t="n">
        <v>1466.12</v>
      </c>
      <c r="G43" t="inlineStr">
        <is>
          <t>2026-03-24</t>
        </is>
      </c>
      <c r="H43" t="inlineStr">
        <is>
          <t>2026-03-24</t>
        </is>
      </c>
      <c r="I43" t="inlineStr">
        <is>
          <t>2029-06-29</t>
        </is>
      </c>
      <c r="J43" t="inlineStr">
        <is>
          <t>⑤초호황</t>
        </is>
      </c>
      <c r="K43" t="inlineStr">
        <is>
          <t>linear_progress</t>
        </is>
      </c>
      <c r="L43" t="b">
        <v>1</v>
      </c>
    </row>
    <row r="44">
      <c r="A44" t="inlineStr">
        <is>
          <t>20260331803529</t>
        </is>
      </c>
      <c r="B44" t="inlineStr">
        <is>
          <t>NAVAL</t>
        </is>
      </c>
      <c r="C44" t="n">
        <v>3</v>
      </c>
      <c r="D44" t="n">
        <v>1162000</v>
      </c>
      <c r="E44" t="n">
        <v>995.127</v>
      </c>
      <c r="F44" t="n">
        <v>1167.69</v>
      </c>
      <c r="G44" t="inlineStr">
        <is>
          <t>2019-04-12</t>
        </is>
      </c>
      <c r="H44" t="inlineStr">
        <is>
          <t>2019-04-12</t>
        </is>
      </c>
      <c r="I44" t="inlineStr">
        <is>
          <t>2023-04-06</t>
        </is>
      </c>
      <c r="J44" t="inlineStr">
        <is>
          <t>③중마진</t>
        </is>
      </c>
      <c r="K44" t="inlineStr">
        <is>
          <t>linear_progress</t>
        </is>
      </c>
      <c r="L44" t="b">
        <v>0</v>
      </c>
    </row>
    <row r="45">
      <c r="A45" t="inlineStr">
        <is>
          <t>20260408801023</t>
        </is>
      </c>
      <c r="B45" t="inlineStr">
        <is>
          <t>VLGC</t>
        </is>
      </c>
      <c r="C45" t="n">
        <v>1</v>
      </c>
      <c r="D45" t="n">
        <v>176400</v>
      </c>
      <c r="E45" t="n">
        <v>128.639</v>
      </c>
      <c r="F45" t="n">
        <v>1371.28</v>
      </c>
      <c r="G45" t="inlineStr">
        <is>
          <t>2024-04-16</t>
        </is>
      </c>
      <c r="H45" t="inlineStr">
        <is>
          <t>2024-05-07</t>
        </is>
      </c>
      <c r="I45" t="inlineStr">
        <is>
          <t>2026-08-19</t>
        </is>
      </c>
      <c r="J45" t="inlineStr">
        <is>
          <t>⑤초호황</t>
        </is>
      </c>
      <c r="K45" t="inlineStr">
        <is>
          <t>linear_progress</t>
        </is>
      </c>
      <c r="L45" t="b">
        <v>0</v>
      </c>
    </row>
    <row r="46">
      <c r="A46" t="inlineStr">
        <is>
          <t>20260409800345</t>
        </is>
      </c>
      <c r="B46" t="inlineStr">
        <is>
          <t>VLCC</t>
        </is>
      </c>
      <c r="C46" t="n">
        <v>2</v>
      </c>
      <c r="D46" t="n">
        <v>393300</v>
      </c>
      <c r="E46" t="n">
        <v>261.894</v>
      </c>
      <c r="F46" t="n">
        <v>1501.75</v>
      </c>
      <c r="G46" t="inlineStr">
        <is>
          <t>2026-04-08</t>
        </is>
      </c>
      <c r="H46" t="inlineStr">
        <is>
          <t>2026-04-08</t>
        </is>
      </c>
      <c r="I46" t="inlineStr">
        <is>
          <t>2030-01-04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20260504800235</t>
        </is>
      </c>
      <c r="B47" t="inlineStr">
        <is>
          <t>VLGC</t>
        </is>
      </c>
      <c r="C47" t="n">
        <v>3</v>
      </c>
      <c r="D47" t="n">
        <v>507400</v>
      </c>
      <c r="E47" t="n">
        <v>337.872</v>
      </c>
      <c r="F47" t="n">
        <v>1501.75</v>
      </c>
      <c r="G47" t="inlineStr">
        <is>
          <t>2026-04-30</t>
        </is>
      </c>
      <c r="H47" t="inlineStr">
        <is>
          <t>2026-04-30</t>
        </is>
      </c>
      <c r="I47" t="inlineStr">
        <is>
          <t>2030-01-15</t>
        </is>
      </c>
      <c r="J47" t="inlineStr">
        <is>
          <t>⑤초호황</t>
        </is>
      </c>
      <c r="K47" t="inlineStr">
        <is>
          <t>linear_progress</t>
        </is>
      </c>
      <c r="L47" t="b">
        <v>0</v>
      </c>
    </row>
    <row r="48">
      <c r="A48" t="inlineStr">
        <is>
          <t>20260511800175</t>
        </is>
      </c>
      <c r="B48" t="inlineStr">
        <is>
          <t>LNGC</t>
        </is>
      </c>
      <c r="C48" t="n">
        <v>1</v>
      </c>
      <c r="D48" t="n">
        <v>363200</v>
      </c>
      <c r="E48" t="n">
        <v>241.851</v>
      </c>
      <c r="F48" t="n">
        <v>1501.75</v>
      </c>
      <c r="G48" t="inlineStr">
        <is>
          <t>2026-05-08</t>
        </is>
      </c>
      <c r="H48" t="inlineStr">
        <is>
          <t>2026-05-08</t>
        </is>
      </c>
      <c r="I48" t="inlineStr">
        <is>
          <t>2029-06-15</t>
        </is>
      </c>
      <c r="J48" t="inlineStr">
        <is>
          <t>⑤초호황</t>
        </is>
      </c>
      <c r="K48" t="inlineStr">
        <is>
          <t>linear_progress</t>
        </is>
      </c>
      <c r="L48" t="b">
        <v>1</v>
      </c>
    </row>
    <row r="49">
      <c r="A49" t="inlineStr">
        <is>
          <t>20260518800002</t>
        </is>
      </c>
      <c r="B49" t="inlineStr">
        <is>
          <t>LNGC</t>
        </is>
      </c>
      <c r="C49" t="n">
        <v>2</v>
      </c>
      <c r="D49" t="n">
        <v>756300</v>
      </c>
      <c r="E49" t="n">
        <v>515.851</v>
      </c>
      <c r="F49" t="n">
        <v>1466.12</v>
      </c>
      <c r="G49" t="inlineStr">
        <is>
          <t>2026-03-24</t>
        </is>
      </c>
      <c r="H49" t="inlineStr">
        <is>
          <t>2026-05-15</t>
        </is>
      </c>
      <c r="I49" t="inlineStr">
        <is>
          <t>2029-05-15</t>
        </is>
      </c>
      <c r="J49" t="inlineStr">
        <is>
          <t>⑤초호황</t>
        </is>
      </c>
      <c r="K49" t="inlineStr">
        <is>
          <t>linear_progress</t>
        </is>
      </c>
      <c r="L49" t="b">
        <v>0</v>
      </c>
    </row>
    <row r="50">
      <c r="A50" t="inlineStr">
        <is>
          <t>20260528800927</t>
        </is>
      </c>
      <c r="B50" t="inlineStr">
        <is>
          <t>OTHER</t>
        </is>
      </c>
      <c r="D50" t="n">
        <v>424500</v>
      </c>
      <c r="E50" t="n">
        <v>292.299</v>
      </c>
      <c r="F50" t="n">
        <v>1452.28</v>
      </c>
      <c r="G50" t="inlineStr">
        <is>
          <t>2025-02-25</t>
        </is>
      </c>
      <c r="H50" t="inlineStr">
        <is>
          <t>2025-02-25</t>
        </is>
      </c>
      <c r="I50" t="inlineStr">
        <is>
          <t>2028-01-31</t>
        </is>
      </c>
      <c r="K50" t="inlineStr">
        <is>
          <t>linear_progress</t>
        </is>
      </c>
      <c r="L50" t="b">
        <v>0</v>
      </c>
    </row>
    <row r="51">
      <c r="A51" t="inlineStr">
        <is>
          <t>20260529800152</t>
        </is>
      </c>
      <c r="B51" t="inlineStr">
        <is>
          <t>LNGC</t>
        </is>
      </c>
      <c r="C51" t="n">
        <v>1</v>
      </c>
      <c r="D51" t="n">
        <v>375900</v>
      </c>
      <c r="E51" t="n">
        <v>250.308</v>
      </c>
      <c r="F51" t="n">
        <v>1501.75</v>
      </c>
      <c r="G51" t="inlineStr">
        <is>
          <t>2026-05-28</t>
        </is>
      </c>
      <c r="H51" t="inlineStr">
        <is>
          <t>2026-05-28</t>
        </is>
      </c>
      <c r="I51" t="inlineStr">
        <is>
          <t>2029-09-28</t>
        </is>
      </c>
      <c r="J51" t="inlineStr">
        <is>
          <t>⑤초호황</t>
        </is>
      </c>
      <c r="K51" t="inlineStr">
        <is>
          <t>linear_progress</t>
        </is>
      </c>
      <c r="L51" t="b">
        <v>1</v>
      </c>
    </row>
    <row r="52">
      <c r="A52" t="inlineStr">
        <is>
          <t>20260619800742</t>
        </is>
      </c>
      <c r="B52" t="inlineStr">
        <is>
          <t>VLCC</t>
        </is>
      </c>
      <c r="C52" t="n">
        <v>4</v>
      </c>
      <c r="D52" t="n">
        <v>800100</v>
      </c>
      <c r="E52" t="n">
        <v>532.778</v>
      </c>
      <c r="F52" t="n">
        <v>1501.75</v>
      </c>
      <c r="G52" t="inlineStr">
        <is>
          <t>2026-06-12</t>
        </is>
      </c>
      <c r="H52" t="inlineStr">
        <is>
          <t>2026-06-19</t>
        </is>
      </c>
      <c r="I52" t="inlineStr">
        <is>
          <t>2030-02-22</t>
        </is>
      </c>
      <c r="J52" t="inlineStr">
        <is>
          <t>⑤초호황</t>
        </is>
      </c>
      <c r="K52" t="inlineStr">
        <is>
          <t>linear_progress</t>
        </is>
      </c>
      <c r="L52" t="b">
        <v>1</v>
      </c>
    </row>
    <row r="53">
      <c r="A53" t="inlineStr">
        <is>
          <t>20260715800071</t>
        </is>
      </c>
      <c r="B53" t="inlineStr">
        <is>
          <t>VLCC</t>
        </is>
      </c>
      <c r="C53" t="n">
        <v>2</v>
      </c>
      <c r="D53" t="n">
        <v>394300</v>
      </c>
      <c r="E53" t="n">
        <v>277.921</v>
      </c>
      <c r="F53" t="n">
        <v>1418.75</v>
      </c>
      <c r="G53" t="inlineStr">
        <is>
          <t>2026-07-14</t>
        </is>
      </c>
      <c r="H53" t="inlineStr">
        <is>
          <t>2026-07-14</t>
        </is>
      </c>
      <c r="I53" t="inlineStr">
        <is>
          <t>2030-03-31</t>
        </is>
      </c>
      <c r="J53" t="inlineStr">
        <is>
          <t>⑤초호황</t>
        </is>
      </c>
      <c r="K53" t="inlineStr">
        <is>
          <t>linear_progress</t>
        </is>
      </c>
      <c r="L53" t="b">
        <v>0</v>
      </c>
    </row>
    <row r="54">
      <c r="A54" t="inlineStr">
        <is>
          <t>20260731800216</t>
        </is>
      </c>
      <c r="B54" t="inlineStr">
        <is>
          <t>NAVAL</t>
        </is>
      </c>
      <c r="D54" t="n">
        <v>838000</v>
      </c>
      <c r="E54" t="n">
        <v>590.6609999999999</v>
      </c>
      <c r="F54" t="n">
        <v>1418.75</v>
      </c>
      <c r="G54" t="inlineStr">
        <is>
          <t>2026-07-31</t>
        </is>
      </c>
      <c r="H54" t="inlineStr">
        <is>
          <t>2026-07-31</t>
        </is>
      </c>
      <c r="I54" t="inlineStr">
        <is>
          <t>2032-06-30</t>
        </is>
      </c>
      <c r="K54" t="inlineStr">
        <is>
          <t>linear_progress</t>
        </is>
      </c>
      <c r="L54" t="b">
        <v>0</v>
      </c>
    </row>
    <row r="55">
      <c r="A55" t="inlineStr">
        <is>
          <t>20260803800706</t>
        </is>
      </c>
      <c r="B55" t="inlineStr">
        <is>
          <t>PC</t>
        </is>
      </c>
      <c r="D55" t="n">
        <v>527900</v>
      </c>
      <c r="E55" t="n">
        <v>372.088</v>
      </c>
      <c r="F55" t="n">
        <v>1418.75</v>
      </c>
      <c r="G55" t="inlineStr">
        <is>
          <t>2026-08-03</t>
        </is>
      </c>
      <c r="H55" t="inlineStr">
        <is>
          <t>2026-08-03</t>
        </is>
      </c>
      <c r="I55" t="inlineStr">
        <is>
          <t>2029-08-31</t>
        </is>
      </c>
      <c r="K55" t="inlineStr">
        <is>
          <t>linear_progress</t>
        </is>
      </c>
      <c r="L55" t="b">
        <v>0</v>
      </c>
    </row>
    <row r="56">
      <c r="A56" t="inlineStr">
        <is>
          <t>20260825800541</t>
        </is>
      </c>
      <c r="B56" t="inlineStr">
        <is>
          <t>OTHER</t>
        </is>
      </c>
      <c r="C56" t="n">
        <v>1</v>
      </c>
      <c r="D56" t="n">
        <v>902900</v>
      </c>
      <c r="E56" t="n">
        <v>748.8099999999999</v>
      </c>
      <c r="F56" t="n">
        <v>1205.78</v>
      </c>
      <c r="G56" t="inlineStr">
        <is>
          <t>2022-01-10</t>
        </is>
      </c>
      <c r="H56" t="inlineStr">
        <is>
          <t>2022-02-01</t>
        </is>
      </c>
      <c r="I56" t="inlineStr">
        <is>
          <t>2027-04-03</t>
        </is>
      </c>
      <c r="K56" t="inlineStr">
        <is>
          <t>linear_progress</t>
        </is>
      </c>
      <c r="L56" t="b">
        <v>0</v>
      </c>
    </row>
    <row r="57">
      <c r="A57" t="inlineStr">
        <is>
          <t>20260901800108</t>
        </is>
      </c>
      <c r="B57" t="inlineStr">
        <is>
          <t>VLGC</t>
        </is>
      </c>
      <c r="C57" t="n">
        <v>3</v>
      </c>
      <c r="D57" t="n">
        <v>477800</v>
      </c>
      <c r="E57" t="n">
        <v>336.775</v>
      </c>
      <c r="F57" t="n">
        <v>1418.75</v>
      </c>
      <c r="G57" t="inlineStr">
        <is>
          <t>2026-08-31</t>
        </is>
      </c>
      <c r="H57" t="inlineStr">
        <is>
          <t>2026-08-31</t>
        </is>
      </c>
      <c r="I57" t="inlineStr">
        <is>
          <t>2030-12-06</t>
        </is>
      </c>
      <c r="J57" t="inlineStr">
        <is>
          <t>⑤초호황</t>
        </is>
      </c>
      <c r="K57" t="inlineStr">
        <is>
          <t>linear_progress</t>
        </is>
      </c>
      <c r="L57" t="b">
        <v>0</v>
      </c>
    </row>
    <row r="58">
      <c r="A58" t="inlineStr">
        <is>
          <t>20260903800002</t>
        </is>
      </c>
      <c r="B58" t="inlineStr">
        <is>
          <t>CONT</t>
        </is>
      </c>
      <c r="C58" t="n">
        <v>6</v>
      </c>
      <c r="D58" t="n">
        <v>1552700</v>
      </c>
      <c r="E58" t="n">
        <v>1094.414</v>
      </c>
      <c r="F58" t="n">
        <v>1418.75</v>
      </c>
      <c r="G58" t="inlineStr">
        <is>
          <t>2026-09-02</t>
        </is>
      </c>
      <c r="H58" t="inlineStr">
        <is>
          <t>2026-09-02</t>
        </is>
      </c>
      <c r="I58" t="inlineStr">
        <is>
          <t>2029-09-30</t>
        </is>
      </c>
      <c r="J58" t="inlineStr">
        <is>
          <t>⑤초호황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20260921800302</t>
        </is>
      </c>
      <c r="B59" t="inlineStr">
        <is>
          <t>VLCC</t>
        </is>
      </c>
      <c r="C59" t="n">
        <v>4</v>
      </c>
      <c r="D59" t="n">
        <v>719600</v>
      </c>
      <c r="E59" t="n">
        <v>524.765</v>
      </c>
      <c r="F59" t="n">
        <v>1371.28</v>
      </c>
      <c r="G59" t="inlineStr">
        <is>
          <t>2024-06-28</t>
        </is>
      </c>
      <c r="H59" t="inlineStr">
        <is>
          <t>2024-06-28</t>
        </is>
      </c>
      <c r="I59" t="inlineStr">
        <is>
          <t>2026-11-19</t>
        </is>
      </c>
      <c r="J59" t="inlineStr">
        <is>
          <t>⑤초호황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20260928800496</t>
        </is>
      </c>
      <c r="B60" t="inlineStr">
        <is>
          <t>LNGC</t>
        </is>
      </c>
      <c r="C60" t="n">
        <v>2</v>
      </c>
      <c r="D60" t="n">
        <v>680000</v>
      </c>
      <c r="E60" t="n">
        <v>479.295</v>
      </c>
      <c r="F60" t="n">
        <v>1418.75</v>
      </c>
      <c r="G60" t="inlineStr">
        <is>
          <t>2026-09-23</t>
        </is>
      </c>
      <c r="H60" t="inlineStr">
        <is>
          <t>2026-09-23</t>
        </is>
      </c>
      <c r="I60" t="inlineStr">
        <is>
          <t>2029-11-02</t>
        </is>
      </c>
      <c r="J60" t="inlineStr">
        <is>
          <t>⑤초호황</t>
        </is>
      </c>
      <c r="K60" t="inlineStr">
        <is>
          <t>linear_progress</t>
        </is>
      </c>
      <c r="L60" t="b">
        <v>0</v>
      </c>
    </row>
    <row r="61">
      <c r="A61" s="2" t="inlineStr">
        <is>
          <t>⚠ 종료일 = 마지막 호선 인도 예정; 진행률 매출 분기는 계약기간 안에 선형 배분(가정)</t>
        </is>
      </c>
    </row>
    <row r="62">
      <c r="A6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63">
      <c r="A63" s="2" t="inlineStr">
        <is>
          <t>⚠ 종료일 '-' 1건은 같은 선종 계약기간 중위로 종료 추정(end_estimated)</t>
        </is>
      </c>
    </row>
    <row r="64">
      <c r="A64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변수!D53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1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OPM</t>
        </is>
      </c>
      <c r="D42" t="inlineStr">
        <is>
          <t>영업이익률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2">
        <f>IFERROR(VLOOKUP($A43,subQ,MATCH(W$1,SUBQH,0),0),"")</f>
        <v/>
      </c>
      <c r="X43" s="31">
        <f>IFERROR(VLOOKUP($A43,subQ,MATCH(X$1,SUBQH,0),0),"")</f>
        <v/>
      </c>
      <c r="Y43" s="31">
        <f>IFERROR(VLOOKUP($A43,subQ,MATCH(Y$1,SUBQH,0),0),"")</f>
        <v/>
      </c>
      <c r="Z43" s="31">
        <f>IFERROR(VLOOKUP($A43,subQ,MATCH(Z$1,SUBQH,0),0),"")</f>
        <v/>
      </c>
      <c r="AA43" s="31">
        <f>IFERROR(VLOOKUP($A43,subQ,MATCH(AA$1,SUBQH,0),0),"")</f>
        <v/>
      </c>
      <c r="AB43" s="31">
        <f>IFERROR(VLOOKUP($A43,subQ,MATCH(AB$1,SUBQH,0),0),"")</f>
        <v/>
      </c>
      <c r="AC43" s="31">
        <f>IFERROR(VLOOKUP($A43,subQ,MATCH(AC$1,SUBQH,0),0),"")</f>
        <v/>
      </c>
      <c r="AD43" s="31">
        <f>IFERROR(VLOOKUP($A43,subQ,MATCH(AD$1,SUBQH,0),0),"")</f>
        <v/>
      </c>
      <c r="AE43" s="31">
        <f>IFERROR(VLOOKUP($A43,subQ,MATCH(AE$1,SUBQH,0),0),"")</f>
        <v/>
      </c>
      <c r="AF43" s="31">
        <f>IFERROR(VLOOKUP($A43,subQ,MATCH(AF$1,SUBQH,0),0),"")</f>
        <v/>
      </c>
      <c r="AG43" s="31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2">
        <f>IFERROR(W5/S5-1,"")</f>
        <v/>
      </c>
      <c r="X44" s="31">
        <f>IFERROR(X5/T5-1,"")</f>
        <v/>
      </c>
      <c r="Y44" s="31">
        <f>IFERROR(Y5/U5-1,"")</f>
        <v/>
      </c>
      <c r="Z44" s="31">
        <f>IFERROR(Z5/V5-1,"")</f>
        <v/>
      </c>
      <c r="AA44" s="31">
        <f>IFERROR(AA5/W5-1,"")</f>
        <v/>
      </c>
      <c r="AB44" s="31">
        <f>IFERROR(AB5/X5-1,"")</f>
        <v/>
      </c>
      <c r="AC44" s="31">
        <f>IFERROR(AC5/Y5-1,"")</f>
        <v/>
      </c>
      <c r="AD44" s="31">
        <f>IFERROR(AD5/Z5-1,"")</f>
        <v/>
      </c>
      <c r="AE44" s="31">
        <f>IFERROR(AE5/AA5-1,"")</f>
        <v/>
      </c>
      <c r="AF44" s="31">
        <f>IFERROR(AF5/AB5-1,"")</f>
        <v/>
      </c>
      <c r="AG44" s="31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2">
        <f>IFERROR(W9/S9-1,"")</f>
        <v/>
      </c>
      <c r="X45" s="31">
        <f>IFERROR(X9/T9-1,"")</f>
        <v/>
      </c>
      <c r="Y45" s="31">
        <f>IFERROR(Y9/U9-1,"")</f>
        <v/>
      </c>
      <c r="Z45" s="31">
        <f>IFERROR(Z9/V9-1,"")</f>
        <v/>
      </c>
      <c r="AA45" s="31">
        <f>IFERROR(AA9/W9-1,"")</f>
        <v/>
      </c>
      <c r="AB45" s="31">
        <f>IFERROR(AB9/X9-1,"")</f>
        <v/>
      </c>
      <c r="AC45" s="31">
        <f>IFERROR(AC9/Y9-1,"")</f>
        <v/>
      </c>
      <c r="AD45" s="31">
        <f>IFERROR(AD9/Z9-1,"")</f>
        <v/>
      </c>
      <c r="AE45" s="31">
        <f>IFERROR(AE9/AA9-1,"")</f>
        <v/>
      </c>
      <c r="AF45" s="31">
        <f>IFERROR(AF9/AB9-1,"")</f>
        <v/>
      </c>
      <c r="AG45" s="31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IFERROR(I21/E21-1,"")</f>
        <v/>
      </c>
      <c r="J46" s="21">
        <f>IFERROR(J21/F21-1,"")</f>
        <v/>
      </c>
      <c r="K46" s="21">
        <f>IFERROR(K21/G21-1,"")</f>
        <v/>
      </c>
      <c r="L46" s="21">
        <f>IFERROR(L21/H21-1,"")</f>
        <v/>
      </c>
      <c r="M46" s="21">
        <f>IFERROR(M21/I21-1,"")</f>
        <v/>
      </c>
      <c r="N46" s="21">
        <f>IFERROR(N21/J21-1,"")</f>
        <v/>
      </c>
      <c r="O46" s="21">
        <f>IFERROR(O21/K21-1,"")</f>
        <v/>
      </c>
      <c r="P46" s="21">
        <f>IFERROR(P21/L21-1,"")</f>
        <v/>
      </c>
      <c r="Q46" s="21">
        <f>IFERROR(Q21/M21-1,"")</f>
        <v/>
      </c>
      <c r="R46" s="21">
        <f>IFERROR(R21/N21-1,"")</f>
        <v/>
      </c>
      <c r="S46" s="21">
        <f>IFERROR(S21/O21-1,"")</f>
        <v/>
      </c>
      <c r="T46" s="21">
        <f>IFERROR(T21/P21-1,"")</f>
        <v/>
      </c>
      <c r="U46" s="21">
        <f>IFERROR(U21/Q21-1,"")</f>
        <v/>
      </c>
      <c r="V46" s="21">
        <f>IFERROR(V21/R21-1,"")</f>
        <v/>
      </c>
      <c r="W46" s="42">
        <f>IFERROR(W21/S21-1,"")</f>
        <v/>
      </c>
      <c r="X46" s="31">
        <f>IFERROR(X21/T21-1,"")</f>
        <v/>
      </c>
      <c r="Y46" s="31">
        <f>IFERROR(Y21/U21-1,"")</f>
        <v/>
      </c>
      <c r="Z46" s="31">
        <f>IFERROR(Z21/V21-1,"")</f>
        <v/>
      </c>
      <c r="AA46" s="31">
        <f>IFERROR(AA21/W21-1,"")</f>
        <v/>
      </c>
      <c r="AB46" s="31">
        <f>IFERROR(AB21/X21-1,"")</f>
        <v/>
      </c>
      <c r="AC46" s="31">
        <f>IFERROR(AC21/Y21-1,"")</f>
        <v/>
      </c>
      <c r="AD46" s="31">
        <f>IFERROR(AD21/Z21-1,"")</f>
        <v/>
      </c>
      <c r="AE46" s="31">
        <f>IFERROR(AE21/AA21-1,"")</f>
        <v/>
      </c>
      <c r="AF46" s="31">
        <f>IFERROR(AF21/AB21-1,"")</f>
        <v/>
      </c>
      <c r="AG46" s="31">
        <f>IFERROR(AG21/AC21-1,"")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변수!D53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1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OPM</t>
        </is>
      </c>
      <c r="D42" t="inlineStr">
        <is>
          <t>영업이익률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2">
        <f>IFERROR(VLOOKUP($A43,subQ,MATCH(I$1,SUBQH,0),0),"")</f>
        <v/>
      </c>
      <c r="J43" s="31">
        <f>IFERROR(VLOOKUP($A43,subQ,MATCH(J$1,SUBQH,0),0),"")</f>
        <v/>
      </c>
      <c r="K43" s="31">
        <f>IFERROR(VLOOKUP($A43,subQ,MATCH(K$1,SUBQH,0),0),"")</f>
        <v/>
      </c>
      <c r="L43" s="31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2">
        <f>IFERROR(I5/H5-1,"")</f>
        <v/>
      </c>
      <c r="J44" s="31">
        <f>IFERROR(J5/I5-1,"")</f>
        <v/>
      </c>
      <c r="K44" s="31">
        <f>IFERROR(K5/J5-1,"")</f>
        <v/>
      </c>
      <c r="L44" s="31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2">
        <f>IFERROR(I9/H9-1,"")</f>
        <v/>
      </c>
      <c r="J45" s="31">
        <f>IFERROR(J9/I9-1,"")</f>
        <v/>
      </c>
      <c r="K45" s="31">
        <f>IFERROR(K9/J9-1,"")</f>
        <v/>
      </c>
      <c r="L45" s="31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IFERROR(F21/E21-1,"")</f>
        <v/>
      </c>
      <c r="G46" s="21">
        <f>IFERROR(G21/F21-1,"")</f>
        <v/>
      </c>
      <c r="H46" s="21">
        <f>IFERROR(H21/G21-1,"")</f>
        <v/>
      </c>
      <c r="I46" s="42">
        <f>IFERROR(I21/H21-1,"")</f>
        <v/>
      </c>
      <c r="J46" s="31">
        <f>IFERROR(J21/I21-1,"")</f>
        <v/>
      </c>
      <c r="K46" s="31">
        <f>IFERROR(K21/J21-1,"")</f>
        <v/>
      </c>
      <c r="L46" s="31">
        <f>IFERROR(L21/K21-1,"")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변수!D53</f>
        <v/>
      </c>
    </row>
    <row r="2">
      <c r="B2" s="1" t="inlineStr">
        <is>
          <t>기준일</t>
        </is>
      </c>
      <c r="C2">
        <f>변수!D54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IFERROR(E7*변수!D59+F7*(1-변수!D59),"")</f>
        <v/>
      </c>
    </row>
    <row r="15">
      <c r="C15" t="inlineStr">
        <is>
          <t>적정가치 @PER_lo</t>
        </is>
      </c>
      <c r="D15" s="26">
        <f>변수!D56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4856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16.29</v>
      </c>
    </row>
    <row r="32">
      <c r="C32" s="2" t="inlineStr">
        <is>
          <t>pbr_now</t>
        </is>
      </c>
      <c r="D32" t="n">
        <v>3.22</v>
      </c>
    </row>
    <row r="33">
      <c r="C33" s="2" t="inlineStr">
        <is>
          <t>roe_fwd</t>
        </is>
      </c>
      <c r="D33" t="n">
        <v>0.1977</v>
      </c>
    </row>
    <row r="34">
      <c r="C34" s="2" t="inlineStr">
        <is>
          <t>fair_pbr</t>
        </is>
      </c>
      <c r="D34" t="n">
        <v>2.2</v>
      </c>
    </row>
    <row r="35">
      <c r="C35" s="2" t="inlineStr">
        <is>
          <t>fair_value_pbr</t>
        </is>
      </c>
      <c r="D35" t="n">
        <v>54000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