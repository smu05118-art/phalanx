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분기" sheetId="7" state="visible" r:id="rId7"/>
    <sheet name="연간예상" sheetId="8" state="visible" r:id="rId8"/>
    <sheet name="TP" sheetId="9" state="visible" r:id="rId9"/>
    <sheet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subQ!$A$5:$AO$45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-42.9% 가 5~27% 밖; 세전 &gt; 0 분기 중위 0.7%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(모델 runoff_per_q 26161.09; 계약 스케줄 소수 3자리 반올림 차 포함)
SLS 해양 원화 14723억(sls.by_quarter.marine_hedged_krw_m(헤지 17% 적용)) + 원장 밖 잔고 소진 26161억(최근 4분기 '부문매출−SLS' 중위 26161억/분기, 잔여 169302억)</t>
      </text>
    </comment>
    <comment ref="AD40" authorId="0" shapeId="0">
      <text>
        <t>역산: 모델 매출조선 − SLS 재구성 원화/100 (모델 runoff_per_q 26161.09; 계약 스케줄 소수 3자리 반올림 차 포함)
SLS 해양 원화 15472억(sls.by_quarter.marine_hedged_krw_m(헤지 17% 적용)) + 원장 밖 잔고 소진 26161억(최근 4분기 '부문매출−SLS' 중위 26161억/분기, 잔여 143141억)</t>
      </text>
    </comment>
    <comment ref="AF40" authorId="0" shapeId="0">
      <text>
        <t>역산: 모델 매출조선 − SLS 재구성 원화/100 (모델 runoff_per_q 26161.09; 계약 스케줄 소수 3자리 반올림 차 포함)
SLS 해양 원화 14304억(sls.by_quarter.marine_hedged_krw_m(헤지 17% 적용)) + 원장 밖 잔고 소진 26161억(최근 4분기 '부문매출−SLS' 중위 26161억/분기, 잔여 116980억)</t>
      </text>
    </comment>
    <comment ref="AG40" authorId="0" shapeId="0">
      <text>
        <t>역산: 모델 매출조선 − SLS 재구성 원화/100 (모델 runoff_per_q 26161.09; 계약 스케줄 소수 3자리 반올림 차 포함)
SLS 해양 원화 14026억(sls.by_quarter.marine_hedged_krw_m(헤지 17% 적용)) + 원장 밖 잔고 소진 26161억(최근 4분기 '부문매출−SLS' 중위 26161억/분기, 잔여 90819억)</t>
      </text>
    </comment>
    <comment ref="AH40" authorId="0" shapeId="0">
      <text>
        <t>역산: 모델 매출조선 − SLS 재구성 원화/100 (모델 runoff_per_q 26161.09; 계약 스케줄 소수 3자리 반올림 차 포함)
SLS 해양 원화 14115억(sls.by_quarter.marine_hedged_krw_m(헤지 17% 적용)) + 원장 밖 잔고 소진 26161억(최근 4분기 '부문매출−SLS' 중위 26161억/분기, 잔여 64658억)</t>
      </text>
    </comment>
    <comment ref="AI40" authorId="0" shapeId="0">
      <text>
        <t>역산: 모델 매출조선 − SLS 재구성 원화/100 (모델 runoff_per_q 26161.09; 계약 스케줄 소수 3자리 반올림 차 포함)
SLS 해양 원화 13979억(sls.by_quarter.marine_hedged_krw_m(헤지 17% 적용)) + 원장 밖 잔고 소진 26161억(최근 4분기 '부문매출−SLS' 중위 26161억/분기, 잔여 38497억)</t>
      </text>
    </comment>
    <comment ref="AK40" authorId="0" shapeId="0">
      <text>
        <t>역산: 모델 매출조선 − SLS 재구성 원화/100 (모델 runoff_per_q 26161.09; 계약 스케줄 소수 3자리 반올림 차 포함)
SLS 해양 원화 13827억(sls.by_quarter.marine_hedged_krw_m(헤지 17% 적용)) + 원장 밖 잔고 소진 26161억(최근 4분기 '부문매출−SLS' 중위 26161억/분기, 잔여 12336억)</t>
      </text>
    </comment>
    <comment ref="AL40" authorId="0" shapeId="0">
      <text>
        <t>역산: 모델 매출조선 − SLS 재구성 원화/100 (모델 runoff_per_q 26161.09; 계약 스케줄 소수 3자리 반올림 차 포함)
SLS 해양 원화 13134억(sls.by_quarter.marine_hedged_krw_m(헤지 17% 적용)) + 원장 밖 잔고 소진 12336억(최근 4분기 '부문매출−SLS' 중위 26161억/분기, 잔여 0억)</t>
      </text>
    </comment>
    <comment ref="AM40" authorId="0" shapeId="0">
      <text>
        <t>역산: 모델 매출조선 − SLS 재구성 원화/100 (모델 runoff_per_q 26161.09; 계약 스케줄 소수 3자리 반올림 차 포함)
SLS 해양 원화 12538억(sls.by_quarter.marine_hedged_krw_m(헤지 17% 적용)) + 원장 밖 잔고 소진 0억(최근 4분기 '부문매출−SLS' 중위 26161억/분기, 잔여 0억)</t>
      </text>
    </comment>
    <comment ref="AN40" authorId="0" shapeId="0">
      <text>
        <t>역산: 모델 매출조선 − SLS 재구성 원화/100 (모델 runoff_per_q 26161.09; 계약 스케줄 소수 3자리 반올림 차 포함)
SLS 해양 원화 12339억(sls.by_quarter.marine_hedged_krw_m(헤지 17% 적용)) + 원장 밖 잔고 소진 0억(최근 4분기 '부문매출−SLS' 중위 26161억/분기, 잔여 0억)</t>
      </text>
    </comment>
    <comment ref="AC41" authorId="0" shapeId="0">
      <text>
        <t>모델값 역산(implied): v / 매출조선
매출조선 × 타겟 OPM(부문 OP 미공시 → 회사 OPM 적용)</t>
      </text>
    </comment>
    <comment ref="AD41" authorId="0" shapeId="0">
      <text>
        <t>모델값 역산(implied): v / 매출조선
매출조선 × 타겟 OPM(부문 OP 미공시 → 회사 OPM 적용)</t>
      </text>
    </comment>
    <comment ref="AF41" authorId="0" shapeId="0">
      <text>
        <t>모델값 역산(implied): v / 매출조선
매출조선 × 타겟 OPM(부문 OP 미공시 → 회사 OPM 적용)</t>
      </text>
    </comment>
    <comment ref="AG41" authorId="0" shapeId="0">
      <text>
        <t>모델값 역산(implied): v / 매출조선
매출조선 × 타겟 OPM(부문 OP 미공시 → 회사 OPM 적용)</t>
      </text>
    </comment>
    <comment ref="AH41" authorId="0" shapeId="0">
      <text>
        <t>모델값 역산(implied): v / 매출조선
매출조선 × 타겟 OPM(부문 OP 미공시 → 회사 OPM 적용)</t>
      </text>
    </comment>
    <comment ref="AI41" authorId="0" shapeId="0">
      <text>
        <t>모델값 역산(implied): v / 매출조선
매출조선 × 타겟 OPM(부문 OP 미공시 → 회사 OPM 적용)</t>
      </text>
    </comment>
    <comment ref="AK41" authorId="0" shapeId="0">
      <text>
        <t>모델값 역산(implied): v / 매출조선
매출조선 × 타겟 OPM(부문 OP 미공시 → 회사 OPM 적용)</t>
      </text>
    </comment>
    <comment ref="AL41" authorId="0" shapeId="0">
      <text>
        <t>모델값 역산(implied): v / 매출조선
매출조선 × 타겟 OPM(부문 OP 미공시 → 회사 OPM 적용)</t>
      </text>
    </comment>
    <comment ref="AM41" authorId="0" shapeId="0">
      <text>
        <t>모델값 역산(implied): v / 매출조선
매출조선 × 타겟 OPM(부문 OP 미공시 → 회사 OPM 적용)</t>
      </text>
    </comment>
    <comment ref="AN41" authorId="0" shapeId="0">
      <text>
        <t>모델값 역산(implied): v / 매출조선
매출조선 × 타겟 OPM(부문 OP 미공시 → 회사 OPM 적용)</t>
      </text>
    </comment>
    <comment ref="AC42" authorId="0" shapeId="0">
      <text>
        <t>모델값 역산(implied): v / 전년동기 − 1
기타 부문(연결 − 조선 부문) 최근 4분기 중위 424억 유지</t>
      </text>
    </comment>
    <comment ref="AD42" authorId="0" shapeId="0">
      <text>
        <t>모델값 역산(implied): v / 전년동기 − 1
기타 부문(연결 − 조선 부문) 최근 4분기 중위 424억 유지</t>
      </text>
    </comment>
    <comment ref="AF42" authorId="0" shapeId="0">
      <text>
        <t>모델값 역산(implied): v / 전분기 − 1 (전년동기 없음 → 전분기 대비)
기타 부문(연결 − 조선 부문) 최근 4분기 중위 424억 유지</t>
      </text>
    </comment>
    <comment ref="AG42" authorId="0" shapeId="0">
      <text>
        <t>모델값 역산(implied): v / 전분기 − 1 (전년동기 없음 → 전분기 대비)
기타 부문(연결 − 조선 부문) 최근 4분기 중위 424억 유지</t>
      </text>
    </comment>
    <comment ref="AH42" authorId="0" shapeId="0">
      <text>
        <t>모델값 역산(implied): v / 전년동기 − 1
기타 부문(연결 − 조선 부문) 최근 4분기 중위 424억 유지</t>
      </text>
    </comment>
    <comment ref="AI42" authorId="0" shapeId="0">
      <text>
        <t>모델값 역산(implied): v / 전년동기 − 1
기타 부문(연결 − 조선 부문) 최근 4분기 중위 424억 유지</t>
      </text>
    </comment>
    <comment ref="AK42" authorId="0" shapeId="0">
      <text>
        <t>모델값 역산(implied): v / 전년동기 − 1
기타 부문(연결 − 조선 부문) 최근 4분기 중위 424억 유지</t>
      </text>
    </comment>
    <comment ref="AL42" authorId="0" shapeId="0">
      <text>
        <t>모델값 역산(implied): v / 전년동기 − 1
기타 부문(연결 − 조선 부문) 최근 4분기 중위 424억 유지</t>
      </text>
    </comment>
    <comment ref="AM42" authorId="0" shapeId="0">
      <text>
        <t>모델값 역산(implied): v / 전년동기 − 1
기타 부문(연결 − 조선 부문) 최근 4분기 중위 424억 유지</t>
      </text>
    </comment>
    <comment ref="AN42" authorId="0" shapeId="0">
      <text>
        <t>모델값 역산(implied): v / 전년동기 − 1
기타 부문(연결 − 조선 부문) 최근 4분기 중위 424억 유지</t>
      </text>
    </comment>
    <comment ref="AC43" authorId="0" shapeId="0">
      <text>
        <t>모델값 역산(implied): v / 매출기타
매출기타 × 회사 OPM(부문 OP 미공시)</t>
      </text>
    </comment>
    <comment ref="AD43" authorId="0" shapeId="0">
      <text>
        <t>모델값 역산(implied): v / 매출기타
매출기타 × 회사 OPM(부문 OP 미공시)</t>
      </text>
    </comment>
    <comment ref="AF43" authorId="0" shapeId="0">
      <text>
        <t>모델값 역산(implied): v / 매출기타
매출기타 × 회사 OPM(부문 OP 미공시)</t>
      </text>
    </comment>
    <comment ref="AG43" authorId="0" shapeId="0">
      <text>
        <t>모델값 역산(implied): v / 매출기타
매출기타 × 회사 OPM(부문 OP 미공시)</t>
      </text>
    </comment>
    <comment ref="AH43" authorId="0" shapeId="0">
      <text>
        <t>모델값 역산(implied): v / 매출기타
매출기타 × 회사 OPM(부문 OP 미공시)</t>
      </text>
    </comment>
    <comment ref="AI43" authorId="0" shapeId="0">
      <text>
        <t>모델값 역산(implied): v / 매출기타
매출기타 × 회사 OPM(부문 OP 미공시)</t>
      </text>
    </comment>
    <comment ref="AK43" authorId="0" shapeId="0">
      <text>
        <t>모델값 역산(implied): v / 매출기타
매출기타 × 회사 OPM(부문 OP 미공시)</t>
      </text>
    </comment>
    <comment ref="AL43" authorId="0" shapeId="0">
      <text>
        <t>모델값 역산(implied): v / 매출기타
매출기타 × 회사 OPM(부문 OP 미공시)</t>
      </text>
    </comment>
    <comment ref="AM43" authorId="0" shapeId="0">
      <text>
        <t>모델값 역산(implied): v / 매출기타
매출기타 × 회사 OPM(부문 OP 미공시)</t>
      </text>
    </comment>
    <comment ref="AN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14.2%(코호트 모드 reference_anchor; 등급 비중 82% × 코호트 14.8% + 등급없음 18% × 최근 4분기 실측 OPM 중위 11.6%) + 회사 캘리브레이션 -2.2%p(최근 4분기 실측−타겟 중위))
[identity]</t>
      </text>
    </comment>
    <comment ref="AD9" authorId="0" shapeId="0">
      <text>
        <t>추정: 매출액 × OPM(SLS 코호트 타겟 14.2%(코호트 모드 reference_anchor; 등급 비중 82% × 코호트 14.8% + 등급없음 18% × 최근 4분기 실측 OPM 중위 11.6%) + 회사 캘리브레이션 -2.2%p(최근 4분기 실측−타겟 중위))
[identity]</t>
      </text>
    </comment>
    <comment ref="AF9" authorId="0" shapeId="0">
      <text>
        <t>추정: 매출액 × OPM(SLS 코호트 타겟 14.3%(코호트 모드 reference_anchor; 등급 비중 81% × 코호트 14.9% + 등급없음 19% × 최근 4분기 실측 OPM 중위 11.6%) + 회사 캘리브레이션 -2.2%p(최근 4분기 실측−타겟 중위))
[identity]</t>
      </text>
    </comment>
    <comment ref="AG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H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I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K9" authorId="0" shapeId="0">
      <text>
        <t>추정: 매출액 × OPM(SLS 코호트 타겟 14.5%(코호트 모드 reference_anchor; 등급 비중 84% × 코호트 15.0% + 등급없음 16% × 최근 4분기 실측 OPM 중위 11.6%) + 회사 캘리브레이션 -2.2%p(최근 4분기 실측−타겟 중위))
[identity]</t>
      </text>
    </comment>
    <comment ref="AL9" authorId="0" shapeId="0">
      <text>
        <t>추정: 매출액 × OPM(SLS 코호트 타겟 14.5%(코호트 모드 reference_anchor; 등급 비중 84% × 코호트 15.0% + 등급없음 16% × 최근 4분기 실측 OPM 중위 11.6%) + 회사 캘리브레이션 -2.2%p(최근 4분기 실측−타겟 중위))
[identity]</t>
      </text>
    </comment>
    <comment ref="AM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N9" authorId="0" shapeId="0">
      <text>
        <t>추정: 매출액 × OPM(SLS 코호트 타겟 14.4%(코호트 모드 reference_anchor; 등급 비중 83% × 코호트 15.0% + 등급없음 17% × 최근 4분기 실측 OPM 중위 11.6%) + 회사 캘리브레이션 -2.2%p(최근 4분기 실측−타겟 중위))
[identity]</t>
      </text>
    </comment>
    <comment ref="AC10" authorId="0" shapeId="0">
      <text>
        <t>추정: SLS 코호트 타겟 14.2%(코호트 모드 reference_anchor; 등급 비중 82% × 코호트 14.8% + 등급없음 18% × 최근 4분기 실측 OPM 중위 11.6%) + 회사 캘리브레이션 -2.2%p(최근 4분기 실측−타겟 중위)
[divide]</t>
      </text>
    </comment>
    <comment ref="AD10" authorId="0" shapeId="0">
      <text>
        <t>추정: SLS 코호트 타겟 14.2%(코호트 모드 reference_anchor; 등급 비중 82% × 코호트 14.8% + 등급없음 18% × 최근 4분기 실측 OPM 중위 11.6%) + 회사 캘리브레이션 -2.2%p(최근 4분기 실측−타겟 중위)
[divide]</t>
      </text>
    </comment>
    <comment ref="AF10" authorId="0" shapeId="0">
      <text>
        <t>추정: SLS 코호트 타겟 14.3%(코호트 모드 reference_anchor; 등급 비중 81% × 코호트 14.9% + 등급없음 19% × 최근 4분기 실측 OPM 중위 11.6%) + 회사 캘리브레이션 -2.2%p(최근 4분기 실측−타겟 중위)
[divide]</t>
      </text>
    </comment>
    <comment ref="AG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H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I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K10" authorId="0" shapeId="0">
      <text>
        <t>추정: SLS 코호트 타겟 14.5%(코호트 모드 reference_anchor; 등급 비중 84% × 코호트 15.0% + 등급없음 16% × 최근 4분기 실측 OPM 중위 11.6%) + 회사 캘리브레이션 -2.2%p(최근 4분기 실측−타겟 중위)
[divide]</t>
      </text>
    </comment>
    <comment ref="AL10" authorId="0" shapeId="0">
      <text>
        <t>추정: SLS 코호트 타겟 14.5%(코호트 모드 reference_anchor; 등급 비중 84% × 코호트 15.0% + 등급없음 16% × 최근 4분기 실측 OPM 중위 11.6%) + 회사 캘리브레이션 -2.2%p(최근 4분기 실측−타겟 중위)
[divide]</t>
      </text>
    </comment>
    <comment ref="AM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N10" authorId="0" shapeId="0">
      <text>
        <t>추정: SLS 코호트 타겟 14.4%(코호트 모드 reference_anchor; 등급 비중 83% × 코호트 15.0% + 등급없음 17% × 최근 4분기 실측 OPM 중위 11.6%) + 회사 캘리브레이션 -2.2%p(최근 4분기 실측−타겟 중위)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15070억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18363억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21775억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25152억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28595억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32095억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35630억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39215억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41466억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42513억 × 7.20%(주석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15070억 × 7.20%(주석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18363억 × 7.20%(주석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21775억 × 7.20%(주석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25152억 × 7.20%(주석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28595억 × 7.20%(주석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32095억 × 7.20%(주석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35630억 × 7.20%(주석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39215억 × 7.20%(주석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41466억 × 7.20%(주석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42513억 × 7.20%(주석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D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F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G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H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I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K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L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M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N19" authorId="0" shapeId="0">
      <text>
        <t>추정: max(세전, 0) × 세율 22.0%(최근 12분기 유효세율 -42.9% 가 5~27% 밖; 세전 &gt; 0 분기 중위 0.7%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적용)) + 원장 밖 잔고 소진 26161억(최근 4분기 '부문매출−SLS' 중위 26161억/분기, 잔여 169302억)
[sls_link]</t>
      </text>
    </comment>
    <comment ref="AD38" authorId="0" shapeId="0">
      <text>
        <t>추정: SLS 해양 원화 15472억(sls.by_quarter.marine_hedged_krw_m(헤지 17% 적용)) + 원장 밖 잔고 소진 26161억(최근 4분기 '부문매출−SLS' 중위 26161억/분기, 잔여 143141억)
[sls_link]</t>
      </text>
    </comment>
    <comment ref="AF38" authorId="0" shapeId="0">
      <text>
        <t>추정: SLS 해양 원화 14304억(sls.by_quarter.marine_hedged_krw_m(헤지 17% 적용)) + 원장 밖 잔고 소진 26161억(최근 4분기 '부문매출−SLS' 중위 26161억/분기, 잔여 116980억)
[sls_link]</t>
      </text>
    </comment>
    <comment ref="AG38" authorId="0" shapeId="0">
      <text>
        <t>추정: SLS 해양 원화 14026억(sls.by_quarter.marine_hedged_krw_m(헤지 17% 적용)) + 원장 밖 잔고 소진 26161억(최근 4분기 '부문매출−SLS' 중위 26161억/분기, 잔여 90819억)
[sls_link]</t>
      </text>
    </comment>
    <comment ref="AH38" authorId="0" shapeId="0">
      <text>
        <t>추정: SLS 해양 원화 14115억(sls.by_quarter.marine_hedged_krw_m(헤지 17% 적용)) + 원장 밖 잔고 소진 26161억(최근 4분기 '부문매출−SLS' 중위 26161억/분기, 잔여 64658억)
[sls_link]</t>
      </text>
    </comment>
    <comment ref="AI38" authorId="0" shapeId="0">
      <text>
        <t>추정: SLS 해양 원화 13979억(sls.by_quarter.marine_hedged_krw_m(헤지 17% 적용)) + 원장 밖 잔고 소진 26161억(최근 4분기 '부문매출−SLS' 중위 26161억/분기, 잔여 38497억)
[sls_link]</t>
      </text>
    </comment>
    <comment ref="AK38" authorId="0" shapeId="0">
      <text>
        <t>추정: SLS 해양 원화 13827억(sls.by_quarter.marine_hedged_krw_m(헤지 17% 적용)) + 원장 밖 잔고 소진 26161억(최근 4분기 '부문매출−SLS' 중위 26161억/분기, 잔여 12336억)
[sls_link]</t>
      </text>
    </comment>
    <comment ref="AL38" authorId="0" shapeId="0">
      <text>
        <t>추정: SLS 해양 원화 13134억(sls.by_quarter.marine_hedged_krw_m(헤지 17% 적용)) + 원장 밖 잔고 소진 12336억(최근 4분기 '부문매출−SLS' 중위 26161억/분기, 잔여 0억)
[sls_link]</t>
      </text>
    </comment>
    <comment ref="AM38" authorId="0" shapeId="0">
      <text>
        <t>추정: SLS 해양 원화 12538억(sls.by_quarter.marine_hedged_krw_m(헤지 17% 적용)) + 원장 밖 잔고 소진 0억(최근 4분기 '부문매출−SLS' 중위 26161억/분기, 잔여 0억)
[sls_link]</t>
      </text>
    </comment>
    <comment ref="AN38" authorId="0" shapeId="0">
      <text>
        <t>추정: SLS 해양 원화 12339억(sls.by_quarter.marine_hedged_krw_m(헤지 17% 적용)) + 원장 밖 잔고 소진 0억(최근 4분기 '부문매출−SLS' 중위 26161억/분기, 잔여 0억)
[sls_link]</t>
      </text>
    </comment>
    <comment ref="AC39" authorId="0" shapeId="0">
      <text>
        <t>추정: 매출조선 × 타겟 OPM(부문 OP 미공시 → 회사 OPM 적용)
[ratio]</t>
      </text>
    </comment>
    <comment ref="AD39" authorId="0" shapeId="0">
      <text>
        <t>추정: 매출조선 × 타겟 OPM(부문 OP 미공시 → 회사 OPM 적용)
[ratio]</t>
      </text>
    </comment>
    <comment ref="AF39" authorId="0" shapeId="0">
      <text>
        <t>추정: 매출조선 × 타겟 OPM(부문 OP 미공시 → 회사 OPM 적용)
[ratio]</t>
      </text>
    </comment>
    <comment ref="AG39" authorId="0" shapeId="0">
      <text>
        <t>추정: 매출조선 × 타겟 OPM(부문 OP 미공시 → 회사 OPM 적용)
[ratio]</t>
      </text>
    </comment>
    <comment ref="AH39" authorId="0" shapeId="0">
      <text>
        <t>추정: 매출조선 × 타겟 OPM(부문 OP 미공시 → 회사 OPM 적용)
[ratio]</t>
      </text>
    </comment>
    <comment ref="AI39" authorId="0" shapeId="0">
      <text>
        <t>추정: 매출조선 × 타겟 OPM(부문 OP 미공시 → 회사 OPM 적용)
[ratio]</t>
      </text>
    </comment>
    <comment ref="AK39" authorId="0" shapeId="0">
      <text>
        <t>추정: 매출조선 × 타겟 OPM(부문 OP 미공시 → 회사 OPM 적용)
[ratio]</t>
      </text>
    </comment>
    <comment ref="AL39" authorId="0" shapeId="0">
      <text>
        <t>추정: 매출조선 × 타겟 OPM(부문 OP 미공시 → 회사 OPM 적용)
[ratio]</t>
      </text>
    </comment>
    <comment ref="AM39" authorId="0" shapeId="0">
      <text>
        <t>추정: 매출조선 × 타겟 OPM(부문 OP 미공시 → 회사 OPM 적용)
[ratio]</t>
      </text>
    </comment>
    <comment ref="AN39" authorId="0" shapeId="0">
      <text>
        <t>추정: 매출조선 × 타겟 OPM(부문 OP 미공시 → 회사 OPM 적용)
[ratio]</t>
      </text>
    </comment>
    <comment ref="G40" authorId="0" shapeId="0">
      <text>
        <t>실측(계정 매핑 없음(파생·부문·시세 행) — 모델값 직접) — 연결 매출 − 조선 부문(파생)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J40" authorId="0" shapeId="0">
      <text>
        <t>실측(계정 매핑 없음(파생·부문·시세 행) — 모델값 직접) — 연결 매출 − 조선 부문(파생)</t>
      </text>
    </comment>
    <comment ref="L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Q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T40" authorId="0" shapeId="0">
      <text>
        <t>실측(계정 매핑 없음(파생·부문·시세 행) — 모델값 직접) — 연결 매출 − 조선 부문(파생)</t>
      </text>
    </comment>
    <comment ref="V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Y40" authorId="0" shapeId="0">
      <text>
        <t>실측(계정 매핑 없음(파생·부문·시세 행) — 모델값 직접) — 연결 매출 − 조선 부문(파생)</t>
      </text>
    </comment>
    <comment ref="AA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424억 유지
[yoy]</t>
      </text>
    </comment>
    <comment ref="AD40" authorId="0" shapeId="0">
      <text>
        <t>추정: 기타 부문(연결 − 조선 부문) 최근 4분기 중위 424억 유지
[yoy]</t>
      </text>
    </comment>
    <comment ref="AF40" authorId="0" shapeId="0">
      <text>
        <t>추정: 기타 부문(연결 − 조선 부문) 최근 4분기 중위 424억 유지
[yoy]</t>
      </text>
    </comment>
    <comment ref="AG40" authorId="0" shapeId="0">
      <text>
        <t>추정: 기타 부문(연결 − 조선 부문) 최근 4분기 중위 424억 유지
[yoy]</t>
      </text>
    </comment>
    <comment ref="AH40" authorId="0" shapeId="0">
      <text>
        <t>추정: 기타 부문(연결 − 조선 부문) 최근 4분기 중위 424억 유지
[yoy]</t>
      </text>
    </comment>
    <comment ref="AI40" authorId="0" shapeId="0">
      <text>
        <t>추정: 기타 부문(연결 − 조선 부문) 최근 4분기 중위 424억 유지
[yoy]</t>
      </text>
    </comment>
    <comment ref="AK40" authorId="0" shapeId="0">
      <text>
        <t>추정: 기타 부문(연결 − 조선 부문) 최근 4분기 중위 424억 유지
[yoy]</t>
      </text>
    </comment>
    <comment ref="AL40" authorId="0" shapeId="0">
      <text>
        <t>추정: 기타 부문(연결 − 조선 부문) 최근 4분기 중위 424억 유지
[yoy]</t>
      </text>
    </comment>
    <comment ref="AM40" authorId="0" shapeId="0">
      <text>
        <t>추정: 기타 부문(연결 − 조선 부문) 최근 4분기 중위 424억 유지
[yoy]</t>
      </text>
    </comment>
    <comment ref="AN40" authorId="0" shapeId="0">
      <text>
        <t>추정: 기타 부문(연결 − 조선 부문) 최근 4분기 중위 424억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해양(type≠OTHER). 0 으로 바꾸면 그 계약을 매출에서 뺀다</t>
      </text>
    </comment>
    <comment ref="BU37" authorId="0" shapeId="0">
      <text>
        <t>모델 포함 규칙: 해양(type≠OTHER). 0 으로 바꾸면 그 계약을 매출에서 뺀다</t>
      </text>
    </comment>
    <comment ref="BU38" authorId="0" shapeId="0">
      <text>
        <t>모델 포함 규칙: 해양(type≠OTHER). 0 으로 바꾸면 그 계약을 매출에서 뺀다</t>
      </text>
    </comment>
    <comment ref="BU39" authorId="0" shapeId="0">
      <text>
        <t>모델 포함 규칙: 해양(type≠OTHER). 0 으로 바꾸면 그 계약을 매출에서 뺀다</t>
      </text>
    </comment>
    <comment ref="BU40" authorId="0" shapeId="0">
      <text>
        <t>모델 포함 규칙: 해양(type≠OTHER). 0 으로 바꾸면 그 계약을 매출에서 뺀다</t>
      </text>
    </comment>
    <comment ref="BU41" authorId="0" shapeId="0">
      <text>
        <t>모델 포함 규칙: 해양(type≠OTHER). 0 으로 바꾸면 그 계약을 매출에서 뺀다</t>
      </text>
    </comment>
    <comment ref="BU42" authorId="0" shapeId="0">
      <text>
        <t>모델 포함 규칙: 해양(type≠OTHER). 0 으로 바꾸면 그 계약을 매출에서 뺀다</t>
      </text>
    </comment>
    <comment ref="BU43" authorId="0" shapeId="0">
      <text>
        <t>모델 포함 규칙: 해양(type≠OTHER). 0 으로 바꾸면 그 계약을 매출에서 뺀다</t>
      </text>
    </comment>
    <comment ref="BU44" authorId="0" shapeId="0">
      <text>
        <t>모델 포함 규칙: 해양(type≠OTHER). 0 으로 바꾸면 그 계약을 매출에서 뺀다</t>
      </text>
    </comment>
    <comment ref="BU45" authorId="0" shapeId="0">
      <text>
        <t>모델 포함 규칙: 해양(type≠OTHER). 0 으로 바꾸면 그 계약을 매출에서 뺀다</t>
      </text>
    </comment>
    <comment ref="BU46" authorId="0" shapeId="0">
      <text>
        <t>모델 포함 규칙: 해양(type≠OTHER). 0 으로 바꾸면 그 계약을 매출에서 뺀다</t>
      </text>
    </comment>
    <comment ref="BU47" authorId="0" shapeId="0">
      <text>
        <t>모델 포함 규칙: 해양(type≠OTHER). 0 으로 바꾸면 그 계약을 매출에서 뺀다</t>
      </text>
    </comment>
    <comment ref="BU48" authorId="0" shapeId="0">
      <text>
        <t>모델 포함 규칙: 해양(type≠OTHER). 0 으로 바꾸면 그 계약을 매출에서 뺀다</t>
      </text>
    </comment>
    <comment ref="BU49" authorId="0" shapeId="0">
      <text>
        <t>모델 포함 규칙: 해양(type≠OTHER). 0 으로 바꾸면 그 계약을 매출에서 뺀다</t>
      </text>
    </comment>
    <comment ref="BU50" authorId="0" shapeId="0">
      <text>
        <t>모델 포함 규칙: 해양(type≠OTHER). 0 으로 바꾸면 그 계약을 매출에서 뺀다</t>
      </text>
    </comment>
    <comment ref="BU51" authorId="0" shapeId="0">
      <text>
        <t>모델 포함 규칙: 해양(type≠OTHER). 0 으로 바꾸면 그 계약을 매출에서 뺀다</t>
      </text>
    </comment>
    <comment ref="BU52" authorId="0" shapeId="0">
      <text>
        <t>모델 포함 규칙: 해양(type≠OTHER). 0 으로 바꾸면 그 계약을 매출에서 뺀다</t>
      </text>
    </comment>
    <comment ref="BU53" authorId="0" shapeId="0">
      <text>
        <t>모델 포함 규칙: 해양(type≠OTHER). 0 으로 바꾸면 그 계약을 매출에서 뺀다</t>
      </text>
    </comment>
    <comment ref="BU54" authorId="0" shapeId="0">
      <text>
        <t>모델 포함 규칙: 해양(type≠OTHER). 0 으로 바꾸면 그 계약을 매출에서 뺀다</t>
      </text>
    </comment>
    <comment ref="BU55" authorId="0" shapeId="0">
      <text>
        <t>모델 포함 규칙: 해양(type≠OTHER). 0 으로 바꾸면 그 계약을 매출에서 뺀다</t>
      </text>
    </comment>
    <comment ref="BU56" authorId="0" shapeId="0">
      <text>
        <t>모델 포함 규칙: 해양(type≠OTHER). 0 으로 바꾸면 그 계약을 매출에서 뺀다</t>
      </text>
    </comment>
    <comment ref="BU57" authorId="0" shapeId="0">
      <text>
        <t>모델 포함 규칙: 해양(type≠OTHER). 0 으로 바꾸면 그 계약을 매출에서 뺀다</t>
      </text>
    </comment>
    <comment ref="BU58" authorId="0" shapeId="0">
      <text>
        <t>모델 포함 규칙: 해양(type≠OTHER). 0 으로 바꾸면 그 계약을 매출에서 뺀다</t>
      </text>
    </comment>
    <comment ref="BU59" authorId="0" shapeId="0">
      <text>
        <t>모델 포함 규칙: 해양(type≠OTHER). 0 으로 바꾸면 그 계약을 매출에서 뺀다</t>
      </text>
    </comment>
    <comment ref="BU60" authorId="0" shapeId="0">
      <text>
        <t>모델 포함 규칙: 해양(type≠OTHER). 0 으로 바꾸면 그 계약을 매출에서 뺀다</t>
      </text>
    </comment>
    <comment ref="BU61" authorId="0" shapeId="0">
      <text>
        <t>모델 포함 규칙: 해양(type≠OTHER). 0 으로 바꾸면 그 계약을 매출에서 뺀다</t>
      </text>
    </comment>
    <comment ref="BU62" authorId="0" shapeId="0">
      <text>
        <t>모델 포함 규칙: 해양(type≠OTHER). 0 으로 바꾸면 그 계약을 매출에서 뺀다</t>
      </text>
    </comment>
    <comment ref="BU63" authorId="0" shapeId="0">
      <text>
        <t>모델 포함 규칙: 해양(type≠OTHER). 0 으로 바꾸면 그 계약을 매출에서 뺀다</t>
      </text>
    </comment>
    <comment ref="BU64" authorId="0" shapeId="0">
      <text>
        <t>모델 포함 규칙: 해양(type≠OTHER). 0 으로 바꾸면 그 계약을 매출에서 뺀다</t>
      </text>
    </comment>
    <comment ref="BU65" authorId="0" shapeId="0">
      <text>
        <t>모델 포함 규칙: 해양(type≠OTHER). 0 으로 바꾸면 그 계약을 매출에서 뺀다</t>
      </text>
    </comment>
    <comment ref="BU66" authorId="0" shapeId="0">
      <text>
        <t>모델 포함 규칙: 해양(type≠OTHER). 0 으로 바꾸면 그 계약을 매출에서 뺀다</t>
      </text>
    </comment>
    <comment ref="BU67" authorId="0" shapeId="0">
      <text>
        <t>모델 포함 규칙: 해양(type≠OTHER). 0 으로 바꾸면 그 계약을 매출에서 뺀다</t>
      </text>
    </comment>
    <comment ref="BU68" authorId="0" shapeId="0">
      <text>
        <t>모델 포함 규칙: 해양(type≠OTHER). 0 으로 바꾸면 그 계약을 매출에서 뺀다</t>
      </text>
    </comment>
    <comment ref="BU69" authorId="0" shapeId="0">
      <text>
        <t>모델 포함 규칙: 해양(type≠OTHER). 0 으로 바꾸면 그 계약을 매출에서 뺀다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-42.9% 가 5~27% 밖; 세전 &gt; 0 분기 중위 0.7% 도 5~27% 밖 → 법정세율 근사 22% 가정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7.20% / 부채 3.57% — 이자손익 = (전분기 이자발생자산 × 자산이자율 − 전분기 총차입금 × 부채이자율)/4, 최소자승 역산(모델 assumptions [0.072,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+ 0 — 계약 34건 중 포함 32건(marine_hedged_krw_m), 재구성 최대차 8.4 백만원</t>
        </is>
      </c>
    </row>
    <row r="28">
      <c r="A28" t="inlineStr">
        <is>
          <t>· 신규수주 — 패널 값 없음 → 2026Q2 잔고 + 공시 수주 소진분만(2028 감소는 이 한계)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매출은 2026Q2 기준 잔고 소진분만 — 신규수주 매출 미포함(forecast_panel 042660 status partial(book_value_only, scope_unverified, insufficient_segment_history, insufficient_burn_history, insufficient_order_history, negative_net_inflow) — new_order_revenue 값 없음; 2028 감소는 이 한계). forecast_panel 모듈 참고 / 패널 신규 없음 → origin 이후 공시 수주 6건 44,707억은 선표(SLS)에 그대로 둠(유일한 신규수주 정보 — 제외하지 않음) / 감가상각비가 face·CF 에 없음(주석 미파싱) → EBITDA·EV/EBITDA 미산출 / 금융손익 실적→추정 단절: 최근 4분기 실적 +30/+489/-282/-827(중위 -126억) → 추정 2026Q3 -264억(차 -138억, -110%)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51.1,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2105.18, "op_act": 4410.65}, {"q": "2026Q2", "rev_pred": 31245.58, "rev_act": 54431.71, "op_pred": 2012.41,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74400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74100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77325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$D$54</f>
        <v/>
      </c>
      <c r="AD21" s="24">
        <f>$D$54</f>
        <v/>
      </c>
      <c r="AE21" s="25">
        <f>IFERROR(subQ!AE8/subQ!AE5,"")</f>
        <v/>
      </c>
      <c r="AF21" s="24">
        <f>$D$54</f>
        <v/>
      </c>
      <c r="AG21" s="24">
        <f>$D$54</f>
        <v/>
      </c>
      <c r="AH21" s="24">
        <f>$D$54</f>
        <v/>
      </c>
      <c r="AI21" s="24">
        <f>$D$54</f>
        <v/>
      </c>
      <c r="AJ21" s="25">
        <f>IFERROR(subQ!AJ8/subQ!AJ5,"")</f>
        <v/>
      </c>
      <c r="AK21" s="24">
        <f>$D$54</f>
        <v/>
      </c>
      <c r="AL21" s="24">
        <f>$D$54</f>
        <v/>
      </c>
      <c r="AM21" s="24">
        <f>$D$54</f>
        <v/>
      </c>
      <c r="AN21" s="24">
        <f>$D$54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$D$53</f>
        <v/>
      </c>
      <c r="AD27" s="24">
        <f>$D$53</f>
        <v/>
      </c>
      <c r="AE27" s="25">
        <f>IFERROR(subQ!AE19/subQ!AE18,"")</f>
        <v/>
      </c>
      <c r="AF27" s="24">
        <f>$D$53</f>
        <v/>
      </c>
      <c r="AG27" s="24">
        <f>$D$53</f>
        <v/>
      </c>
      <c r="AH27" s="24">
        <f>$D$53</f>
        <v/>
      </c>
      <c r="AI27" s="24">
        <f>$D$53</f>
        <v/>
      </c>
      <c r="AJ27" s="25">
        <f>IFERROR(subQ!AJ19/subQ!AJ18,"")</f>
        <v/>
      </c>
      <c r="AK27" s="24">
        <f>$D$53</f>
        <v/>
      </c>
      <c r="AL27" s="24">
        <f>$D$53</f>
        <v/>
      </c>
      <c r="AM27" s="24">
        <f>$D$53</f>
        <v/>
      </c>
      <c r="AN27" s="24">
        <f>$D$53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$D$55</f>
        <v/>
      </c>
      <c r="AD28" s="24">
        <f>$D$55</f>
        <v/>
      </c>
      <c r="AE28" s="25">
        <f>IFERROR(subQ!AE21/subQ!AE20,"")</f>
        <v/>
      </c>
      <c r="AF28" s="24">
        <f>$D$55</f>
        <v/>
      </c>
      <c r="AG28" s="24">
        <f>$D$55</f>
        <v/>
      </c>
      <c r="AH28" s="24">
        <f>$D$55</f>
        <v/>
      </c>
      <c r="AI28" s="24">
        <f>$D$55</f>
        <v/>
      </c>
      <c r="AJ28" s="25">
        <f>IFERROR(subQ!AJ21/subQ!AJ20,"")</f>
        <v/>
      </c>
      <c r="AK28" s="24">
        <f>$D$55</f>
        <v/>
      </c>
      <c r="AL28" s="24">
        <f>$D$55</f>
        <v/>
      </c>
      <c r="AM28" s="24">
        <f>$D$55</f>
        <v/>
      </c>
      <c r="AN28" s="24">
        <f>$D$55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-0.009630975</v>
      </c>
      <c r="AD30" s="29" t="n">
        <v>0.003669057</v>
      </c>
      <c r="AE30" s="30" t="n"/>
      <c r="AF30" s="29" t="n">
        <v>-0.004706386</v>
      </c>
      <c r="AG30" s="29" t="n">
        <v>-0.006927217</v>
      </c>
      <c r="AH30" s="29" t="n">
        <v>-0.002565651</v>
      </c>
      <c r="AI30" s="29" t="n">
        <v>0.005814751</v>
      </c>
      <c r="AJ30" s="30" t="n"/>
      <c r="AK30" s="29" t="n">
        <v>-0.005768793</v>
      </c>
      <c r="AL30" s="29" t="n">
        <v>-0.002466643</v>
      </c>
      <c r="AM30" s="29" t="n">
        <v>0.00081555</v>
      </c>
      <c r="AN30" s="29" t="n">
        <v>-0.004294812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-0.004965137</v>
      </c>
      <c r="AD31" s="29" t="n">
        <v>-0.004939136</v>
      </c>
      <c r="AE31" s="30" t="n"/>
      <c r="AF31" s="29" t="n">
        <v>-0.002042923</v>
      </c>
      <c r="AG31" s="29" t="n">
        <v>-0.006606908</v>
      </c>
      <c r="AH31" s="29" t="n">
        <v>-0.004225874</v>
      </c>
      <c r="AI31" s="29" t="n">
        <v>0.002953773</v>
      </c>
      <c r="AJ31" s="30" t="n"/>
      <c r="AK31" s="29" t="n">
        <v>-0.000355684</v>
      </c>
      <c r="AL31" s="29" t="n">
        <v>-0.000693341</v>
      </c>
      <c r="AM31" s="29" t="n">
        <v>0.00442246</v>
      </c>
      <c r="AN31" s="29" t="n">
        <v>-0.01050769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-0.072675543</v>
      </c>
      <c r="AD33" s="31" t="n">
        <v>-0.081229494</v>
      </c>
      <c r="AE33" s="25" t="n"/>
      <c r="AF33" s="31" t="n">
        <v>-0.0874634</v>
      </c>
      <c r="AG33" s="31" t="n">
        <v>-0.097760524</v>
      </c>
      <c r="AH33" s="31" t="n">
        <v>-0.110146142</v>
      </c>
      <c r="AI33" s="31" t="n">
        <v>-0.125001414</v>
      </c>
      <c r="AJ33" s="25" t="n"/>
      <c r="AK33" s="31" t="n">
        <v>-0.144866302</v>
      </c>
      <c r="AL33" s="31" t="n">
        <v>-0.106369173</v>
      </c>
      <c r="AM33" s="31" t="n">
        <v>-0.055375895</v>
      </c>
      <c r="AN33" s="31" t="n">
        <v>-0.058332148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0.218477776</v>
      </c>
      <c r="AD34" s="31" t="n">
        <v>0.185844347</v>
      </c>
      <c r="AE34" s="25" t="n"/>
      <c r="AF34" s="31" t="n">
        <v>0.155038674</v>
      </c>
      <c r="AG34" s="31" t="n">
        <v>0.136908679</v>
      </c>
      <c r="AH34" s="31" t="n">
        <v>0.122414537</v>
      </c>
      <c r="AI34" s="31" t="n">
        <v>0.110139736</v>
      </c>
      <c r="AJ34" s="25" t="n"/>
      <c r="AK34" s="31" t="n">
        <v>0.100606533</v>
      </c>
      <c r="AL34" s="31" t="n">
        <v>0.057395326</v>
      </c>
      <c r="AM34" s="31" t="n">
        <v>0.025252377</v>
      </c>
      <c r="AN34" s="31" t="n">
        <v>0.024508555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26161.004344</v>
      </c>
      <c r="AD40" s="29" t="n">
        <v>26161.029273</v>
      </c>
      <c r="AE40" s="30" t="n"/>
      <c r="AF40" s="29" t="n">
        <v>26161.139202</v>
      </c>
      <c r="AG40" s="29" t="n">
        <v>26161.049713</v>
      </c>
      <c r="AH40" s="29" t="n">
        <v>26161.047298</v>
      </c>
      <c r="AI40" s="29" t="n">
        <v>26161.049775</v>
      </c>
      <c r="AJ40" s="30" t="n"/>
      <c r="AK40" s="29" t="n">
        <v>26161.061114</v>
      </c>
      <c r="AL40" s="29" t="n">
        <v>12335.859179</v>
      </c>
      <c r="AM40" s="29" t="n">
        <v>-0.047646</v>
      </c>
      <c r="AN40" s="29" t="n">
        <v>0.035435</v>
      </c>
      <c r="AO40" s="30" t="n"/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IFERROR(subQ!E39/subQ!E38,"")</f>
        <v/>
      </c>
      <c r="F41" s="22">
        <f>IFERROR(subQ!F39/subQ!F38,"")</f>
        <v/>
      </c>
      <c r="G41" s="21">
        <f>IFERROR(subQ!G39/subQ!G38,"")</f>
        <v/>
      </c>
      <c r="H41" s="21">
        <f>IFERROR(subQ!H39/subQ!H38,"")</f>
        <v/>
      </c>
      <c r="I41" s="21">
        <f>IFERROR(subQ!I39/subQ!I38,"")</f>
        <v/>
      </c>
      <c r="J41" s="21">
        <f>IFERROR(subQ!J39/subQ!J38,"")</f>
        <v/>
      </c>
      <c r="K41" s="22">
        <f>IFERROR(subQ!K39/subQ!K38,"")</f>
        <v/>
      </c>
      <c r="L41" s="21">
        <f>IFERROR(subQ!L39/subQ!L38,"")</f>
        <v/>
      </c>
      <c r="M41" s="21">
        <f>IFERROR(subQ!M39/subQ!M38,"")</f>
        <v/>
      </c>
      <c r="N41" s="21">
        <f>IFERROR(subQ!N39/subQ!N38,"")</f>
        <v/>
      </c>
      <c r="O41" s="21">
        <f>IFERROR(subQ!O39/subQ!O38,"")</f>
        <v/>
      </c>
      <c r="P41" s="22">
        <f>IFERROR(subQ!P39/subQ!P38,"")</f>
        <v/>
      </c>
      <c r="Q41" s="21">
        <f>IFERROR(subQ!Q39/subQ!Q38,"")</f>
        <v/>
      </c>
      <c r="R41" s="21">
        <f>IFERROR(subQ!R39/subQ!R38,"")</f>
        <v/>
      </c>
      <c r="S41" s="21">
        <f>IFERROR(subQ!S39/subQ!S38,"")</f>
        <v/>
      </c>
      <c r="T41" s="21">
        <f>IFERROR(subQ!T39/subQ!T38,"")</f>
        <v/>
      </c>
      <c r="U41" s="22">
        <f>IFERROR(subQ!U39/subQ!U38,"")</f>
        <v/>
      </c>
      <c r="V41" s="21">
        <f>IFERROR(subQ!V39/subQ!V38,"")</f>
        <v/>
      </c>
      <c r="W41" s="21">
        <f>IFERROR(subQ!W39/subQ!W38,"")</f>
        <v/>
      </c>
      <c r="X41" s="21">
        <f>IFERROR(subQ!X39/subQ!X38,"")</f>
        <v/>
      </c>
      <c r="Y41" s="21">
        <f>IFERROR(subQ!Y39/subQ!Y38,"")</f>
        <v/>
      </c>
      <c r="Z41" s="22">
        <f>IFERROR(subQ!Z39/subQ!Z38,"")</f>
        <v/>
      </c>
      <c r="AA41" s="21">
        <f>IFERROR(subQ!AA39/subQ!AA38,"")</f>
        <v/>
      </c>
      <c r="AB41" s="23">
        <f>IFERROR(subQ!AB39/subQ!AB38,"")</f>
        <v/>
      </c>
      <c r="AC41" s="31" t="n">
        <v>0.119420424</v>
      </c>
      <c r="AD41" s="31" t="n">
        <v>0.11954566</v>
      </c>
      <c r="AE41" s="25">
        <f>IFERROR(subQ!AE39/subQ!AE38,"")</f>
        <v/>
      </c>
      <c r="AF41" s="31" t="n">
        <v>0.120312174</v>
      </c>
      <c r="AG41" s="31" t="n">
        <v>0.121765213</v>
      </c>
      <c r="AH41" s="31" t="n">
        <v>0.121772077</v>
      </c>
      <c r="AI41" s="31" t="n">
        <v>0.121717054</v>
      </c>
      <c r="AJ41" s="25">
        <f>IFERROR(subQ!AJ39/subQ!AJ38,"")</f>
        <v/>
      </c>
      <c r="AK41" s="31" t="n">
        <v>0.122175309</v>
      </c>
      <c r="AL41" s="31" t="n">
        <v>0.122144334</v>
      </c>
      <c r="AM41" s="31" t="n">
        <v>0.121824172</v>
      </c>
      <c r="AN41" s="31" t="n">
        <v>0.121730969</v>
      </c>
      <c r="AO41" s="25">
        <f>IFERROR(subQ!AO39/subQ!AO38,"")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2" t="n"/>
      <c r="G42" s="21" t="n"/>
      <c r="H42" s="21" t="n"/>
      <c r="I42" s="21" t="n"/>
      <c r="J42" s="21">
        <f>IFERROR(subQ!J40/subQ!E40-1,"")</f>
        <v/>
      </c>
      <c r="K42" s="22" t="n"/>
      <c r="L42" s="21">
        <f>IFERROR(subQ!L40/subQ!G40-1,"")</f>
        <v/>
      </c>
      <c r="M42" s="21">
        <f>IFERROR(subQ!M40/subQ!H40-1,"")</f>
        <v/>
      </c>
      <c r="N42" s="21">
        <f>IFERROR(subQ!N40/subQ!I40-1,"")</f>
        <v/>
      </c>
      <c r="O42" s="21">
        <f>IFERROR(subQ!O40/subQ!J40-1,"")</f>
        <v/>
      </c>
      <c r="P42" s="22" t="n"/>
      <c r="Q42" s="21">
        <f>IFERROR(subQ!Q40/subQ!L40-1,"")</f>
        <v/>
      </c>
      <c r="R42" s="21">
        <f>IFERROR(subQ!R40/subQ!M40-1,"")</f>
        <v/>
      </c>
      <c r="S42" s="21">
        <f>IFERROR(subQ!S40/subQ!N40-1,"")</f>
        <v/>
      </c>
      <c r="T42" s="21">
        <f>IFERROR(subQ!T40/subQ!O40-1,"")</f>
        <v/>
      </c>
      <c r="U42" s="22" t="n"/>
      <c r="V42" s="21">
        <f>IFERROR(subQ!V40/subQ!Q40-1,"")</f>
        <v/>
      </c>
      <c r="W42" s="21">
        <f>IFERROR(subQ!W40/subQ!R40-1,"")</f>
        <v/>
      </c>
      <c r="X42" s="21">
        <f>IFERROR(subQ!X40/subQ!S40-1,"")</f>
        <v/>
      </c>
      <c r="Y42" s="21">
        <f>IFERROR(subQ!Y40/subQ!T40-1,"")</f>
        <v/>
      </c>
      <c r="Z42" s="22" t="n"/>
      <c r="AA42" s="21">
        <f>IFERROR(subQ!AA40/subQ!V40-1,"")</f>
        <v/>
      </c>
      <c r="AB42" s="23">
        <f>IFERROR(subQ!AB40/subQ!W40-1,"")</f>
        <v/>
      </c>
      <c r="AC42" s="31" t="n">
        <v>-0.500005899</v>
      </c>
      <c r="AD42" s="31" t="n">
        <v>-0.699531382</v>
      </c>
      <c r="AE42" s="25" t="n"/>
      <c r="AF42" s="31" t="n">
        <v>0</v>
      </c>
      <c r="AG42" s="31" t="n">
        <v>0</v>
      </c>
      <c r="AH42" s="31" t="n">
        <v>0</v>
      </c>
      <c r="AI42" s="31" t="n">
        <v>0</v>
      </c>
      <c r="AJ42" s="25" t="n"/>
      <c r="AK42" s="31" t="n">
        <v>0</v>
      </c>
      <c r="AL42" s="31" t="n">
        <v>0</v>
      </c>
      <c r="AM42" s="31" t="n">
        <v>0</v>
      </c>
      <c r="AN42" s="31" t="n">
        <v>0</v>
      </c>
      <c r="AO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IFERROR(subQ!E41/subQ!E40,"")</f>
        <v/>
      </c>
      <c r="F43" s="22">
        <f>IFERROR(subQ!F41/subQ!F40,"")</f>
        <v/>
      </c>
      <c r="G43" s="21">
        <f>IFERROR(subQ!G41/subQ!G40,"")</f>
        <v/>
      </c>
      <c r="H43" s="21">
        <f>IFERROR(subQ!H41/subQ!H40,"")</f>
        <v/>
      </c>
      <c r="I43" s="21">
        <f>IFERROR(subQ!I41/subQ!I40,"")</f>
        <v/>
      </c>
      <c r="J43" s="21">
        <f>IFERROR(subQ!J41/subQ!J40,"")</f>
        <v/>
      </c>
      <c r="K43" s="22">
        <f>IFERROR(subQ!K41/subQ!K40,"")</f>
        <v/>
      </c>
      <c r="L43" s="21">
        <f>IFERROR(subQ!L41/subQ!L40,"")</f>
        <v/>
      </c>
      <c r="M43" s="21">
        <f>IFERROR(subQ!M41/subQ!M40,"")</f>
        <v/>
      </c>
      <c r="N43" s="21">
        <f>IFERROR(subQ!N41/subQ!N40,"")</f>
        <v/>
      </c>
      <c r="O43" s="21">
        <f>IFERROR(subQ!O41/subQ!O40,"")</f>
        <v/>
      </c>
      <c r="P43" s="22">
        <f>IFERROR(subQ!P41/subQ!P40,"")</f>
        <v/>
      </c>
      <c r="Q43" s="21">
        <f>IFERROR(subQ!Q41/subQ!Q40,"")</f>
        <v/>
      </c>
      <c r="R43" s="21">
        <f>IFERROR(subQ!R41/subQ!R40,"")</f>
        <v/>
      </c>
      <c r="S43" s="21">
        <f>IFERROR(subQ!S41/subQ!S40,"")</f>
        <v/>
      </c>
      <c r="T43" s="21">
        <f>IFERROR(subQ!T41/subQ!T40,"")</f>
        <v/>
      </c>
      <c r="U43" s="22">
        <f>IFERROR(subQ!U41/subQ!U40,"")</f>
        <v/>
      </c>
      <c r="V43" s="21">
        <f>IFERROR(subQ!V41/subQ!V40,"")</f>
        <v/>
      </c>
      <c r="W43" s="21">
        <f>IFERROR(subQ!W41/subQ!W40,"")</f>
        <v/>
      </c>
      <c r="X43" s="21">
        <f>IFERROR(subQ!X41/subQ!X40,"")</f>
        <v/>
      </c>
      <c r="Y43" s="21">
        <f>IFERROR(subQ!Y41/subQ!Y40,"")</f>
        <v/>
      </c>
      <c r="Z43" s="22">
        <f>IFERROR(subQ!Z41/subQ!Z40,"")</f>
        <v/>
      </c>
      <c r="AA43" s="21">
        <f>IFERROR(subQ!AA41/subQ!AA40,"")</f>
        <v/>
      </c>
      <c r="AB43" s="23">
        <f>IFERROR(subQ!AB41/subQ!AB40,"")</f>
        <v/>
      </c>
      <c r="AC43" s="31" t="n">
        <v>0.119413902</v>
      </c>
      <c r="AD43" s="31" t="n">
        <v>0.119555472</v>
      </c>
      <c r="AE43" s="25">
        <f>IFERROR(subQ!AE41/subQ!AE40,"")</f>
        <v/>
      </c>
      <c r="AF43" s="31" t="n">
        <v>0.120310509</v>
      </c>
      <c r="AG43" s="31" t="n">
        <v>0.121773394</v>
      </c>
      <c r="AH43" s="31" t="n">
        <v>0.121773394</v>
      </c>
      <c r="AI43" s="31" t="n">
        <v>0.121726205</v>
      </c>
      <c r="AJ43" s="25">
        <f>IFERROR(subQ!AJ41/subQ!AJ40,"")</f>
        <v/>
      </c>
      <c r="AK43" s="31" t="n">
        <v>0.122174508</v>
      </c>
      <c r="AL43" s="31" t="n">
        <v>0.122150913</v>
      </c>
      <c r="AM43" s="31" t="n">
        <v>0.121820584</v>
      </c>
      <c r="AN43" s="31" t="n">
        <v>0.121726205</v>
      </c>
      <c r="AO43" s="25">
        <f>IFERROR(subQ!AO41/subQ!AO40,"")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74400</v>
      </c>
      <c r="E46" s="2" t="inlineStr">
        <is>
          <t>원 — 네이버 정규장 종가(aik 확정종가 대조 · aik 78,800원)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20261007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19.2</v>
      </c>
      <c r="E49" s="2" t="inlineStr">
        <is>
          <t>PER 밴드 하단(배) — hist_quarterly(분기 평균가 ÷ TTM EPS, 10분기,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26.2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28.7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0.2199999780933792</v>
      </c>
      <c r="E53" s="2" t="inlineStr">
        <is>
          <t>연결 — 법인세 = MAX(세전,0) × 세율(역산, 재현 오차 ≤ 0.05억 · 모델 assumptions 0.22) · 최근 12분기 유효세율 -42.9% 가 5~27% 밖; 세전 &gt; 0 분기 중위 0.7%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0.05559124886421644</v>
      </c>
      <c r="E54" s="2" t="inlineStr">
        <is>
          <t>연결 — 판관비 = 매출액 × 판관비율(역산, 재현 오차 ≤ 0.05억 · 모델 assumptions 0.0556)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0.9999652442800508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0.07201697195873438</v>
      </c>
      <c r="E56" s="2" t="inlineStr">
        <is>
          <t>연결 — 이자손익 = (전분기 이자발생자산 × 자산이자율 − 전분기 총차입금 × 부채이자율)/4(역산, 재현 오차 ≤ 0.05억 · 모델 assumptions 0.072)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0.03568173811159159</v>
      </c>
      <c r="E57" s="2" t="inlineStr">
        <is>
          <t>연결 — 같은 수식의 부채 쪽(총차입금 행이 없으면 0)(역산, 재현 오차 ≤ 0.05억 · 모델 assumptions 0.0357)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</v>
      </c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0.1717</v>
      </c>
      <c r="E60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>
        <v>1472.04</v>
      </c>
      <c r="E61" s="2" t="inlineStr">
        <is>
          <t>정기보고서 평균 약정환율(measured) — 비어 있으면 계약별 수주시점 환율(fx_at_sign)을 쓴다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241247.48</v>
      </c>
      <c r="N17" s="18" t="n">
        <v>207003.76</v>
      </c>
      <c r="O17" s="18" t="n">
        <v>91452.45</v>
      </c>
      <c r="P17" s="37" t="n">
        <v>91452.45</v>
      </c>
      <c r="Q17" s="18" t="n">
        <v>147059.43</v>
      </c>
      <c r="R17" s="18" t="n">
        <v>263137.22</v>
      </c>
      <c r="S17" s="18" t="n">
        <v>165753.26</v>
      </c>
      <c r="T17" s="18" t="n">
        <v>361937.82</v>
      </c>
      <c r="U17" s="37" t="n">
        <v>361937.82</v>
      </c>
      <c r="V17" s="18" t="n">
        <v>340494.45</v>
      </c>
      <c r="W17" s="18" t="n">
        <v>396522.9</v>
      </c>
      <c r="X17" s="18" t="n">
        <v>488038.93</v>
      </c>
      <c r="Y17" s="18" t="n">
        <v>1005262.48</v>
      </c>
      <c r="Z17" s="37" t="n">
        <v>1005262.48</v>
      </c>
      <c r="AA17" s="18" t="n">
        <v>1278986.72</v>
      </c>
      <c r="AB17" s="19" t="n">
        <v>1344249.3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1062.99</v>
      </c>
      <c r="F40" s="37" t="n">
        <v>1062.99</v>
      </c>
      <c r="G40" s="18" t="n">
        <v>393.23</v>
      </c>
      <c r="H40" s="18" t="n">
        <v>284.35</v>
      </c>
      <c r="J40" s="18" t="n">
        <v>69.29000000000001</v>
      </c>
      <c r="K40" s="37" t="n">
        <v>69.29000000000001</v>
      </c>
      <c r="L40" s="18" t="n">
        <v>151.85</v>
      </c>
      <c r="P40" s="9" t="n"/>
      <c r="S40" s="18" t="n">
        <v>2285.84</v>
      </c>
      <c r="U40" s="9" t="n"/>
      <c r="Y40" s="18" t="n">
        <v>4878.03</v>
      </c>
      <c r="Z40" s="37" t="n">
        <v>4878.03</v>
      </c>
      <c r="AA40" s="18" t="n">
        <v>73775.64999999999</v>
      </c>
      <c r="AB40" s="19" t="n">
        <v>112763.85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221928.05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63891.94</v>
      </c>
      <c r="F42" s="37" t="n">
        <v>63891.94</v>
      </c>
      <c r="G42" s="18" t="n">
        <v>63929.46</v>
      </c>
      <c r="H42" s="18" t="n">
        <v>77221.08</v>
      </c>
      <c r="I42" s="18" t="n">
        <v>41342.46</v>
      </c>
      <c r="J42" s="18" t="n">
        <v>118975.5</v>
      </c>
      <c r="K42" s="37" t="n">
        <v>118975.5</v>
      </c>
      <c r="L42" s="18" t="n">
        <v>119325.08</v>
      </c>
      <c r="M42" s="18" t="n">
        <v>128397.52</v>
      </c>
      <c r="N42" s="18" t="n">
        <v>141772.34</v>
      </c>
      <c r="O42" s="18" t="n">
        <v>19851.73</v>
      </c>
      <c r="P42" s="37" t="n">
        <v>19851.73</v>
      </c>
      <c r="Q42" s="18" t="n">
        <v>20093.29</v>
      </c>
      <c r="R42" s="18" t="n">
        <v>20263.09</v>
      </c>
      <c r="S42" s="18" t="n">
        <v>19285.18</v>
      </c>
      <c r="T42" s="18" t="n">
        <v>22814.53</v>
      </c>
      <c r="U42" s="37" t="n">
        <v>22814.53</v>
      </c>
      <c r="V42" s="18" t="n">
        <v>23560.75</v>
      </c>
      <c r="W42" s="18" t="n">
        <v>23391.38</v>
      </c>
      <c r="X42" s="18" t="n">
        <v>22733.81</v>
      </c>
      <c r="Y42" s="18" t="n">
        <v>34406.02</v>
      </c>
      <c r="Z42" s="37" t="n">
        <v>34406.02</v>
      </c>
      <c r="AA42" s="18" t="n">
        <v>40774.95</v>
      </c>
      <c r="AB42" s="19" t="n">
        <v>37842.67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8405626.1</v>
      </c>
      <c r="F43" s="37" t="n">
        <v>8405626.1</v>
      </c>
      <c r="G43" s="18" t="n">
        <v>9032707.380000001</v>
      </c>
      <c r="H43" s="18" t="n">
        <v>10474077.89</v>
      </c>
      <c r="I43" s="18" t="n">
        <v>11600483.55</v>
      </c>
      <c r="J43" s="18" t="n">
        <v>11490693.37</v>
      </c>
      <c r="K43" s="37" t="n">
        <v>11490693.37</v>
      </c>
      <c r="L43" s="18" t="n">
        <v>11690042.34</v>
      </c>
      <c r="M43" s="18" t="n">
        <v>11308538.51</v>
      </c>
      <c r="N43" s="18" t="n">
        <v>10595985.33</v>
      </c>
      <c r="O43" s="18" t="n">
        <v>9632615.57</v>
      </c>
      <c r="P43" s="37" t="n">
        <v>9632615.57</v>
      </c>
      <c r="Q43" s="18" t="n">
        <v>10531119.15</v>
      </c>
      <c r="R43" s="18" t="n">
        <v>11890725.15</v>
      </c>
      <c r="S43" s="18" t="n">
        <v>12186230.97</v>
      </c>
      <c r="T43" s="18" t="n">
        <v>12980459.27</v>
      </c>
      <c r="U43" s="37" t="n">
        <v>12980459.27</v>
      </c>
      <c r="V43" s="18" t="n">
        <v>13089100.94</v>
      </c>
      <c r="W43" s="18" t="n">
        <v>13077936.43</v>
      </c>
      <c r="X43" s="18" t="n">
        <v>13057869.04</v>
      </c>
      <c r="Y43" s="18" t="n">
        <v>13965907.02</v>
      </c>
      <c r="Z43" s="37" t="n">
        <v>13965907.02</v>
      </c>
      <c r="AA43" s="18" t="n">
        <v>13970574.68</v>
      </c>
      <c r="AB43" s="19" t="n">
        <v>12617974.51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2217583.45</v>
      </c>
      <c r="F44" s="37" t="n">
        <v>2217583.45</v>
      </c>
      <c r="G44" s="18" t="n">
        <v>1726558.87</v>
      </c>
      <c r="H44" s="18" t="n">
        <v>1548380.96</v>
      </c>
      <c r="I44" s="18" t="n">
        <v>898685.87</v>
      </c>
      <c r="J44" s="18" t="n">
        <v>744971.9300000001</v>
      </c>
      <c r="K44" s="37" t="n">
        <v>744971.9300000001</v>
      </c>
      <c r="L44" s="18" t="n">
        <v>629060.1</v>
      </c>
      <c r="M44" s="18" t="n">
        <v>2332207.05</v>
      </c>
      <c r="N44" s="18" t="n">
        <v>2669774.89</v>
      </c>
      <c r="O44" s="18" t="n">
        <v>4307452.65</v>
      </c>
      <c r="P44" s="37" t="n">
        <v>4307452.65</v>
      </c>
      <c r="Q44" s="18" t="n">
        <v>4358727.71</v>
      </c>
      <c r="R44" s="18" t="n">
        <v>4332926.74</v>
      </c>
      <c r="S44" s="18" t="n">
        <v>4176003.15</v>
      </c>
      <c r="T44" s="18" t="n">
        <v>4858676.07</v>
      </c>
      <c r="U44" s="37" t="n">
        <v>4858676.07</v>
      </c>
      <c r="V44" s="18" t="n">
        <v>5083866.41</v>
      </c>
      <c r="W44" s="18" t="n">
        <v>5221010.51</v>
      </c>
      <c r="X44" s="18" t="n">
        <v>5471256.51</v>
      </c>
      <c r="Y44" s="18" t="n">
        <v>6170251.54</v>
      </c>
      <c r="Z44" s="37" t="n">
        <v>6170251.54</v>
      </c>
      <c r="AA44" s="18" t="n">
        <v>6821190.27</v>
      </c>
      <c r="AB44" s="19" t="n">
        <v>7523412.2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541453.34</v>
      </c>
      <c r="F45" s="37" t="n">
        <v>541453.34</v>
      </c>
      <c r="G45" s="18" t="n">
        <v>541453.34</v>
      </c>
      <c r="H45" s="18" t="n">
        <v>541453.34</v>
      </c>
      <c r="I45" s="18" t="n">
        <v>541453.34</v>
      </c>
      <c r="J45" s="18" t="n">
        <v>541453.34</v>
      </c>
      <c r="K45" s="37" t="n">
        <v>541453.34</v>
      </c>
      <c r="L45" s="18" t="n">
        <v>541453.34</v>
      </c>
      <c r="M45" s="18" t="n">
        <v>1089366.99</v>
      </c>
      <c r="N45" s="18" t="n">
        <v>1089366.99</v>
      </c>
      <c r="O45" s="18" t="n">
        <v>1536794.49</v>
      </c>
      <c r="P45" s="37" t="n">
        <v>1536794.49</v>
      </c>
      <c r="Q45" s="18" t="n">
        <v>1536794.49</v>
      </c>
      <c r="R45" s="18" t="n">
        <v>1536794.49</v>
      </c>
      <c r="S45" s="18" t="n">
        <v>1537066.97</v>
      </c>
      <c r="T45" s="18" t="n">
        <v>1537066.97</v>
      </c>
      <c r="U45" s="37" t="n">
        <v>1537066.97</v>
      </c>
      <c r="V45" s="18" t="n">
        <v>1537066.97</v>
      </c>
      <c r="W45" s="18" t="n">
        <v>1537066.97</v>
      </c>
      <c r="X45" s="18" t="n">
        <v>1537066.97</v>
      </c>
      <c r="Y45" s="18" t="n">
        <v>1537066.97</v>
      </c>
      <c r="Z45" s="37" t="n">
        <v>1537066.97</v>
      </c>
      <c r="AA45" s="18" t="n">
        <v>1537066.97</v>
      </c>
      <c r="AB45" s="19" t="n">
        <v>1537066.97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16929.21</v>
      </c>
      <c r="F46" s="37" t="n">
        <v>16929.21</v>
      </c>
      <c r="G46" s="18" t="n">
        <v>16929.21</v>
      </c>
      <c r="H46" s="18" t="n">
        <v>16929.21</v>
      </c>
      <c r="I46" s="18" t="n">
        <v>16929.21</v>
      </c>
      <c r="J46" s="18" t="n">
        <v>16929.21</v>
      </c>
      <c r="K46" s="37" t="n">
        <v>16929.21</v>
      </c>
      <c r="L46" s="18" t="n">
        <v>16929.21</v>
      </c>
      <c r="M46" s="18" t="n">
        <v>1600761.65</v>
      </c>
      <c r="N46" s="18" t="n">
        <v>1707154.89</v>
      </c>
      <c r="O46" s="18" t="n">
        <v>2740229.78</v>
      </c>
      <c r="P46" s="37" t="n">
        <v>2740229.78</v>
      </c>
      <c r="Q46" s="18" t="n">
        <v>111751.88</v>
      </c>
      <c r="R46" s="18" t="n">
        <v>111751.88</v>
      </c>
      <c r="S46" s="18" t="n">
        <v>117591.48</v>
      </c>
      <c r="T46" s="18" t="n">
        <v>118688.52</v>
      </c>
      <c r="U46" s="37" t="n">
        <v>118688.52</v>
      </c>
      <c r="V46" s="18" t="n">
        <v>131643.11</v>
      </c>
      <c r="W46" s="18" t="n">
        <v>149889.9</v>
      </c>
      <c r="X46" s="18" t="n">
        <v>153434.15</v>
      </c>
      <c r="Y46" s="18" t="n">
        <v>181868.13</v>
      </c>
      <c r="Z46" s="37" t="n">
        <v>181868.13</v>
      </c>
      <c r="AA46" s="18" t="n">
        <v>207048.01</v>
      </c>
      <c r="AB46" s="19" t="n">
        <v>209082.59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2660477.05</v>
      </c>
      <c r="F47" s="37" t="n">
        <v>2660477.05</v>
      </c>
      <c r="G47" s="18" t="n">
        <v>2662471.19</v>
      </c>
      <c r="H47" s="18" t="n">
        <v>2661141.31</v>
      </c>
      <c r="I47" s="18" t="n">
        <v>2613833.78</v>
      </c>
      <c r="J47" s="18" t="n">
        <v>2887300.37</v>
      </c>
      <c r="K47" s="37" t="n">
        <v>2887300.37</v>
      </c>
      <c r="L47" s="18" t="n">
        <v>2892892.83</v>
      </c>
      <c r="M47" s="18" t="n">
        <v>2339632.56</v>
      </c>
      <c r="N47" s="18" t="n">
        <v>2339632.56</v>
      </c>
      <c r="O47" s="18" t="n">
        <v>2339632.56</v>
      </c>
      <c r="P47" s="37" t="n">
        <v>2339632.56</v>
      </c>
      <c r="Q47" s="18" t="n">
        <v>2341308.4</v>
      </c>
      <c r="R47" s="18" t="n">
        <v>2344138.92</v>
      </c>
      <c r="S47" s="18" t="n">
        <v>2339288.79</v>
      </c>
      <c r="T47" s="18" t="n">
        <v>2339288.79</v>
      </c>
      <c r="U47" s="37" t="n">
        <v>2339288.79</v>
      </c>
      <c r="V47" s="18" t="n">
        <v>2339288.79</v>
      </c>
      <c r="W47" s="18" t="n">
        <v>2339288.79</v>
      </c>
      <c r="X47" s="18" t="n">
        <v>2339288.79</v>
      </c>
      <c r="Y47" s="18" t="n">
        <v>2339288.79</v>
      </c>
      <c r="Z47" s="37" t="n">
        <v>2339288.79</v>
      </c>
      <c r="AA47" s="18" t="n">
        <v>2334380.16</v>
      </c>
      <c r="AB47" s="19" t="n">
        <v>2334176.3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-1001276.15</v>
      </c>
      <c r="F48" s="37" t="n">
        <v>-1001276.15</v>
      </c>
      <c r="G48" s="18" t="n">
        <v>-1494294.87</v>
      </c>
      <c r="H48" s="18" t="n">
        <v>-1671142.89</v>
      </c>
      <c r="I48" s="18" t="n">
        <v>-2273530.45</v>
      </c>
      <c r="J48" s="18" t="n">
        <v>-2700710.99</v>
      </c>
      <c r="K48" s="37" t="n">
        <v>-2700710.99</v>
      </c>
      <c r="L48" s="18" t="n">
        <v>-2822215.29</v>
      </c>
      <c r="M48" s="18" t="n">
        <v>-3256684.53</v>
      </c>
      <c r="N48" s="18" t="n">
        <v>-3030709.54</v>
      </c>
      <c r="O48" s="18" t="n">
        <v>-2868157.13</v>
      </c>
      <c r="P48" s="37" t="n">
        <v>-2868157.13</v>
      </c>
      <c r="Q48" s="18" t="n">
        <v>-196345.48</v>
      </c>
      <c r="R48" s="18" t="n">
        <v>-230551.14</v>
      </c>
      <c r="S48" s="18" t="n">
        <v>-311959.83</v>
      </c>
      <c r="T48" s="18" t="n">
        <v>236448.28</v>
      </c>
      <c r="U48" s="37" t="n">
        <v>236448.28</v>
      </c>
      <c r="V48" s="18" t="n">
        <v>444624.8</v>
      </c>
      <c r="W48" s="18" t="n">
        <v>585536.5699999999</v>
      </c>
      <c r="X48" s="18" t="n">
        <v>846227.71</v>
      </c>
      <c r="Y48" s="18" t="n">
        <v>1551926.23</v>
      </c>
      <c r="Z48" s="37" t="n">
        <v>1551926.23</v>
      </c>
      <c r="AA48" s="18" t="n">
        <v>2031007.62</v>
      </c>
      <c r="AB48" s="19" t="n">
        <v>2703669.86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2217583.45</v>
      </c>
      <c r="F49" s="37" t="n">
        <v>2217583.45</v>
      </c>
      <c r="G49" s="18" t="n">
        <v>1726558.87</v>
      </c>
      <c r="H49" s="18" t="n">
        <v>1548380.96</v>
      </c>
      <c r="I49" s="18" t="n">
        <v>898685.87</v>
      </c>
      <c r="J49" s="18" t="n">
        <v>744971.9300000001</v>
      </c>
      <c r="K49" s="37" t="n">
        <v>744971.9300000001</v>
      </c>
      <c r="L49" s="18" t="n">
        <v>629060.1</v>
      </c>
      <c r="M49" s="18" t="n">
        <v>2332207.05</v>
      </c>
      <c r="N49" s="18" t="n">
        <v>2673777.83</v>
      </c>
      <c r="O49" s="18" t="n">
        <v>4312157.12</v>
      </c>
      <c r="P49" s="37" t="n">
        <v>4312157.12</v>
      </c>
      <c r="Q49" s="18" t="n">
        <v>4363320.98</v>
      </c>
      <c r="R49" s="18" t="n">
        <v>4337656.77</v>
      </c>
      <c r="S49" s="18" t="n">
        <v>4180771.58</v>
      </c>
      <c r="T49" s="18" t="n">
        <v>4863349.89</v>
      </c>
      <c r="U49" s="37" t="n">
        <v>4863349.89</v>
      </c>
      <c r="V49" s="18" t="n">
        <v>5088572.51</v>
      </c>
      <c r="W49" s="18" t="n">
        <v>5225776.43</v>
      </c>
      <c r="X49" s="18" t="n">
        <v>5476057.45</v>
      </c>
      <c r="Y49" s="18" t="n">
        <v>6175007</v>
      </c>
      <c r="Z49" s="37" t="n">
        <v>6175007</v>
      </c>
      <c r="AA49" s="18" t="n">
        <v>6825972.78</v>
      </c>
      <c r="AB49" s="19" t="n">
        <v>7528212.29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10623209.56</v>
      </c>
      <c r="F50" s="37" t="n">
        <v>10623209.56</v>
      </c>
      <c r="G50" s="18" t="n">
        <v>10759266.24</v>
      </c>
      <c r="H50" s="18" t="n">
        <v>12022458.85</v>
      </c>
      <c r="I50" s="18" t="n">
        <v>12499169.42</v>
      </c>
      <c r="J50" s="18" t="n">
        <v>12235665.3</v>
      </c>
      <c r="K50" s="37" t="n">
        <v>12235665.3</v>
      </c>
      <c r="L50" s="18" t="n">
        <v>12319102.44</v>
      </c>
      <c r="M50" s="18" t="n">
        <v>13640745.56</v>
      </c>
      <c r="N50" s="18" t="n">
        <v>13269763.16</v>
      </c>
      <c r="O50" s="18" t="n">
        <v>13944772.69</v>
      </c>
      <c r="P50" s="37" t="n">
        <v>13944772.69</v>
      </c>
      <c r="Q50" s="18" t="n">
        <v>14894440.13</v>
      </c>
      <c r="R50" s="18" t="n">
        <v>16228381.92</v>
      </c>
      <c r="S50" s="18" t="n">
        <v>16367002.54</v>
      </c>
      <c r="T50" s="18" t="n">
        <v>17843809.16</v>
      </c>
      <c r="U50" s="37" t="n">
        <v>17843809.16</v>
      </c>
      <c r="V50" s="18" t="n">
        <v>18177673.45</v>
      </c>
      <c r="W50" s="18" t="n">
        <v>18303712.87</v>
      </c>
      <c r="X50" s="18" t="n">
        <v>18533926.49</v>
      </c>
      <c r="Y50" s="18" t="n">
        <v>20140914.01</v>
      </c>
      <c r="Z50" s="37" t="n">
        <v>20140914.01</v>
      </c>
      <c r="AA50" s="18" t="n">
        <v>20796547.46</v>
      </c>
      <c r="AB50" s="19" t="n">
        <v>20146186.8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2701697.29</v>
      </c>
      <c r="F51" s="37" t="n">
        <v>2701697.29</v>
      </c>
      <c r="G51" s="18" t="n">
        <v>2881148.63</v>
      </c>
      <c r="H51" s="18" t="n">
        <v>2979867.71</v>
      </c>
      <c r="I51" s="18" t="n">
        <v>3034732.14</v>
      </c>
      <c r="J51" s="18" t="n">
        <v>2687244.57</v>
      </c>
      <c r="K51" s="37" t="n">
        <v>2687244.57</v>
      </c>
      <c r="L51" s="18" t="n">
        <v>3077978.85</v>
      </c>
      <c r="M51" s="18" t="n">
        <v>2340008.94</v>
      </c>
      <c r="N51" s="18" t="n">
        <v>2314969.15</v>
      </c>
      <c r="O51" s="18" t="n">
        <v>2191192.37</v>
      </c>
      <c r="P51" s="37" t="n">
        <v>2191192.37</v>
      </c>
      <c r="Q51" s="18" t="n">
        <v>3428135.91</v>
      </c>
      <c r="R51" s="18" t="n">
        <v>4269419.09</v>
      </c>
      <c r="S51" s="18" t="n">
        <v>4888456.28</v>
      </c>
      <c r="T51" s="18" t="n">
        <v>5265870.07</v>
      </c>
      <c r="U51" s="37" t="n">
        <v>5265870.07</v>
      </c>
      <c r="V51" s="18" t="n">
        <v>5520669.77</v>
      </c>
      <c r="W51" s="18" t="n">
        <v>5028215.91</v>
      </c>
      <c r="X51" s="18" t="n">
        <v>5172282.03</v>
      </c>
      <c r="Y51" s="18" t="n">
        <v>5646344.95</v>
      </c>
      <c r="Z51" s="37" t="n">
        <v>5646344.95</v>
      </c>
      <c r="AA51" s="18" t="n">
        <v>6142955.88</v>
      </c>
      <c r="AB51" s="19" t="n">
        <v>6037492.95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612064.89</v>
      </c>
      <c r="F52" s="37" t="n">
        <v>612064.89</v>
      </c>
      <c r="G52" s="18" t="n">
        <v>1439819.38</v>
      </c>
      <c r="H52" s="18" t="n">
        <v>1704193.45</v>
      </c>
      <c r="I52" s="18" t="n">
        <v>1884151</v>
      </c>
      <c r="J52" s="18" t="n">
        <v>1535268.77</v>
      </c>
      <c r="K52" s="37" t="n">
        <v>1535268.77</v>
      </c>
      <c r="L52" s="18" t="n">
        <v>2807861.54</v>
      </c>
      <c r="M52" s="18" t="n">
        <v>775518.5600000001</v>
      </c>
      <c r="N52" s="18" t="n">
        <v>1336350.81</v>
      </c>
      <c r="O52" s="18" t="n">
        <v>391884.62</v>
      </c>
      <c r="P52" s="37" t="n">
        <v>391884.62</v>
      </c>
      <c r="Q52" s="18" t="n">
        <v>1779332</v>
      </c>
      <c r="R52" s="18" t="n">
        <v>2444662.34</v>
      </c>
      <c r="S52" s="18" t="n">
        <v>3871842.93</v>
      </c>
      <c r="T52" s="18" t="n">
        <v>4677610.33</v>
      </c>
      <c r="U52" s="37" t="n">
        <v>4677610.33</v>
      </c>
      <c r="V52" s="18" t="n">
        <v>4547428.46</v>
      </c>
      <c r="W52" s="18" t="n">
        <v>3990567.4</v>
      </c>
      <c r="X52" s="18" t="n">
        <v>4742781.47</v>
      </c>
      <c r="Y52" s="18" t="n">
        <v>4867873.79</v>
      </c>
      <c r="Z52" s="37" t="n">
        <v>4867873.79</v>
      </c>
      <c r="AA52" s="18" t="n">
        <v>5072723.61</v>
      </c>
      <c r="AB52" s="19" t="n">
        <v>4530461.77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2322797.1</v>
      </c>
      <c r="F53" s="37" t="n">
        <v>2322797.1</v>
      </c>
      <c r="G53" s="18" t="n">
        <v>1669671.45</v>
      </c>
      <c r="H53" s="18" t="n">
        <v>1353697.67</v>
      </c>
      <c r="I53" s="18" t="n">
        <v>1190804.13</v>
      </c>
      <c r="J53" s="18" t="n">
        <v>1192221.86</v>
      </c>
      <c r="K53" s="37" t="n">
        <v>1192221.86</v>
      </c>
      <c r="L53" s="18" t="n">
        <v>270117.31</v>
      </c>
      <c r="M53" s="18" t="n">
        <v>1564490.38</v>
      </c>
      <c r="N53" s="18" t="n">
        <v>978618.34</v>
      </c>
      <c r="O53" s="18" t="n">
        <v>1799307.75</v>
      </c>
      <c r="P53" s="37" t="n">
        <v>1799307.75</v>
      </c>
      <c r="Q53" s="18" t="n">
        <v>1648803.91</v>
      </c>
      <c r="R53" s="18" t="n">
        <v>1824756.75</v>
      </c>
      <c r="S53" s="18" t="n">
        <v>1016613.35</v>
      </c>
      <c r="T53" s="18" t="n">
        <v>588259.74</v>
      </c>
      <c r="U53" s="37" t="n">
        <v>588259.74</v>
      </c>
      <c r="V53" s="18" t="n">
        <v>973241.3100000001</v>
      </c>
      <c r="W53" s="18" t="n">
        <v>1037648.51</v>
      </c>
      <c r="X53" s="18" t="n">
        <v>429500.56</v>
      </c>
      <c r="Y53" s="18" t="n">
        <v>778471.16</v>
      </c>
      <c r="Z53" s="37" t="n">
        <v>778471.16</v>
      </c>
      <c r="AA53" s="18" t="n">
        <v>1070232.27</v>
      </c>
      <c r="AB53" s="19" t="n">
        <v>1507031.18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W55" s="18" t="n">
        <v>155113.83</v>
      </c>
      <c r="X55" s="18" t="n">
        <v>142423.97</v>
      </c>
      <c r="Y55" s="18" t="n">
        <v>68957.10000000001</v>
      </c>
      <c r="Z55" s="37" t="n">
        <v>68957.10000000001</v>
      </c>
      <c r="AA55" s="18" t="n">
        <v>74104.37</v>
      </c>
      <c r="AB55" s="19" t="n">
        <v>144534.63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L56" s="18" t="n">
        <v>427146.69</v>
      </c>
      <c r="M56" s="18" t="n">
        <v>442305.34</v>
      </c>
      <c r="N56" s="18" t="n">
        <v>112800.78</v>
      </c>
      <c r="O56" s="18" t="n">
        <v>124947.86</v>
      </c>
      <c r="P56" s="37" t="n">
        <v>124947.86</v>
      </c>
      <c r="Q56" s="18" t="n">
        <v>135970.66</v>
      </c>
      <c r="R56" s="18" t="n">
        <v>48489.08</v>
      </c>
      <c r="S56" s="18" t="n">
        <v>20699.87</v>
      </c>
      <c r="T56" s="18" t="n">
        <v>46003.53</v>
      </c>
      <c r="U56" s="37" t="n">
        <v>46003.53</v>
      </c>
      <c r="V56" s="18" t="n">
        <v>15219.09</v>
      </c>
      <c r="W56" s="18" t="n">
        <v>9163.17</v>
      </c>
      <c r="X56" s="18" t="n">
        <v>11472.76</v>
      </c>
      <c r="Y56" s="18" t="n">
        <v>10204.24</v>
      </c>
      <c r="Z56" s="37" t="n">
        <v>10204.24</v>
      </c>
      <c r="AA56" s="18" t="n">
        <v>14360.34</v>
      </c>
      <c r="AB56" s="19" t="n">
        <v>25464.24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713220.26</v>
      </c>
      <c r="N57" s="18" t="n">
        <v>576236.23</v>
      </c>
      <c r="O57" s="18" t="n">
        <v>526449.92</v>
      </c>
      <c r="P57" s="37" t="n">
        <v>526449.92</v>
      </c>
      <c r="Q57" s="18" t="n">
        <v>1713714.68</v>
      </c>
      <c r="R57" s="18" t="n">
        <v>2519938.37</v>
      </c>
      <c r="S57" s="18" t="n">
        <v>3179562.51</v>
      </c>
      <c r="T57" s="18" t="n">
        <v>3237744.03</v>
      </c>
      <c r="U57" s="37" t="n">
        <v>3237744.03</v>
      </c>
      <c r="V57" s="18" t="n">
        <v>3371868.65</v>
      </c>
      <c r="W57" s="18" t="n">
        <v>3030820.19</v>
      </c>
      <c r="X57" s="18" t="n">
        <v>3051187.29</v>
      </c>
      <c r="Y57" s="18" t="n">
        <v>3300054.55</v>
      </c>
      <c r="Z57" s="37" t="n">
        <v>3300054.55</v>
      </c>
      <c r="AA57" s="18" t="n">
        <v>3529081.73</v>
      </c>
      <c r="AB57" s="19" t="n">
        <v>3387397.65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P58" s="9" t="n"/>
      <c r="T58" s="18" t="n">
        <v>2028126.04</v>
      </c>
      <c r="U58" s="37" t="n">
        <v>2028126.04</v>
      </c>
      <c r="V58" s="18" t="n">
        <v>2148801.12</v>
      </c>
      <c r="W58" s="18" t="n">
        <v>1997395.72</v>
      </c>
      <c r="X58" s="18" t="n">
        <v>2121094.74</v>
      </c>
      <c r="Y58" s="18" t="n">
        <v>2346290.4</v>
      </c>
      <c r="Z58" s="37" t="n">
        <v>2346290.4</v>
      </c>
      <c r="AA58" s="18" t="n">
        <v>2613874.15</v>
      </c>
      <c r="AB58" s="19" t="n">
        <v>2650095.3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559130.37</v>
      </c>
      <c r="N59" s="18" t="n">
        <v>564329.98</v>
      </c>
      <c r="O59" s="18" t="n">
        <v>558952.9399999999</v>
      </c>
      <c r="P59" s="37" t="n">
        <v>558952.9399999999</v>
      </c>
      <c r="Q59" s="18" t="n">
        <v>565218.41</v>
      </c>
      <c r="R59" s="18" t="n">
        <v>570792.59</v>
      </c>
      <c r="S59" s="18" t="n">
        <v>494015.74</v>
      </c>
      <c r="T59" s="18" t="n">
        <v>627183.51</v>
      </c>
      <c r="U59" s="37" t="n">
        <v>627183.51</v>
      </c>
      <c r="V59" s="18" t="n">
        <v>631242.74</v>
      </c>
      <c r="W59" s="18" t="n">
        <v>609228.28</v>
      </c>
      <c r="X59" s="18" t="n">
        <v>595238.89</v>
      </c>
      <c r="Y59" s="18" t="n">
        <v>560101.42</v>
      </c>
      <c r="Z59" s="37" t="n">
        <v>560101.42</v>
      </c>
      <c r="AA59" s="18" t="n">
        <v>711687.51</v>
      </c>
      <c r="AB59" s="19" t="n">
        <v>739416.48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F60" s="9" t="n"/>
      <c r="K60" s="9" t="n"/>
      <c r="N60" s="18" t="n">
        <v>4002.94</v>
      </c>
      <c r="O60" s="18" t="n">
        <v>4704.47</v>
      </c>
      <c r="P60" s="37" t="n">
        <v>4704.47</v>
      </c>
      <c r="Q60" s="18" t="n">
        <v>4593.27</v>
      </c>
      <c r="R60" s="18" t="n">
        <v>4730.03</v>
      </c>
      <c r="S60" s="18" t="n">
        <v>4768.43</v>
      </c>
      <c r="T60" s="18" t="n">
        <v>4673.82</v>
      </c>
      <c r="U60" s="37" t="n">
        <v>4673.82</v>
      </c>
      <c r="V60" s="18" t="n">
        <v>4706.11</v>
      </c>
      <c r="W60" s="18" t="n">
        <v>4765.92</v>
      </c>
      <c r="X60" s="18" t="n">
        <v>4800.95</v>
      </c>
      <c r="Y60" s="18" t="n">
        <v>4755.45</v>
      </c>
      <c r="Z60" s="37" t="n">
        <v>4755.45</v>
      </c>
      <c r="AA60" s="18" t="n">
        <v>4782.51</v>
      </c>
      <c r="AB60" s="19" t="n">
        <v>4800.08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확정급여부채</t>
        </is>
      </c>
      <c r="F61" s="9" t="n"/>
      <c r="K61" s="9" t="n"/>
      <c r="P61" s="9" t="n"/>
      <c r="U61" s="9" t="n"/>
      <c r="V61" s="18" t="n">
        <v>85122.85000000001</v>
      </c>
      <c r="W61" s="18" t="n">
        <v>86777.56</v>
      </c>
      <c r="X61" s="18" t="n">
        <v>88520.34</v>
      </c>
      <c r="Y61" s="18" t="n">
        <v>119161.33</v>
      </c>
      <c r="Z61" s="37" t="n">
        <v>119161.33</v>
      </c>
      <c r="AA61" s="18" t="n">
        <v>121099.73</v>
      </c>
      <c r="AB61" s="19" t="n">
        <v>185016.91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W62" s="18" t="n">
        <v>12.81</v>
      </c>
      <c r="X62" s="18" t="n">
        <v>1418.5</v>
      </c>
      <c r="Y62" s="18" t="n">
        <v>4864.26</v>
      </c>
      <c r="Z62" s="37" t="n">
        <v>4864.26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단기파생상품부채</t>
        </is>
      </c>
      <c r="F63" s="9" t="n"/>
      <c r="K63" s="9" t="n"/>
      <c r="P63" s="9" t="n"/>
      <c r="U63" s="9" t="n"/>
      <c r="W63" s="18" t="n">
        <v>155113.83</v>
      </c>
      <c r="X63" s="18" t="n">
        <v>142423.97</v>
      </c>
      <c r="Y63" s="18" t="n">
        <v>68957.10000000001</v>
      </c>
      <c r="Z63" s="37" t="n">
        <v>68957.10000000001</v>
      </c>
      <c r="AA63" s="18" t="n">
        <v>74104.37</v>
      </c>
      <c r="AB63" s="19" t="n">
        <v>103732.82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유동파생상품자산</t>
        </is>
      </c>
      <c r="F64" s="9" t="n"/>
      <c r="K64" s="9" t="n"/>
      <c r="P64" s="9" t="n"/>
      <c r="U64" s="9" t="n"/>
      <c r="Z64" s="9" t="n"/>
      <c r="AA64" s="18" t="n">
        <v>11835.59</v>
      </c>
      <c r="AB64" s="19" t="n">
        <v>14682.83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46143.95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유동리스부채</t>
        </is>
      </c>
      <c r="F66" s="9" t="n"/>
      <c r="K66" s="9" t="n"/>
      <c r="P66" s="9" t="n"/>
      <c r="U66" s="9" t="n"/>
      <c r="Z66" s="9" t="n"/>
      <c r="AB66" s="19" t="n">
        <v>40801.81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리스부채</t>
        </is>
      </c>
      <c r="F67" s="9" t="n"/>
      <c r="K67" s="9" t="n"/>
      <c r="P67" s="9" t="n"/>
      <c r="U67" s="9" t="n"/>
      <c r="Z67" s="9" t="n"/>
      <c r="AB67" s="19" t="n">
        <v>149966.01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비유동리스부채</t>
        </is>
      </c>
      <c r="F68" s="9" t="n"/>
      <c r="K68" s="9" t="n"/>
      <c r="P68" s="9" t="n"/>
      <c r="U68" s="9" t="n"/>
      <c r="Z68" s="9" t="n"/>
      <c r="AB68" s="19" t="n">
        <v>109164.2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237733.03</v>
      </c>
      <c r="N16" s="18" t="n">
        <v>202982.23</v>
      </c>
      <c r="O16" s="18" t="n">
        <v>87209.37</v>
      </c>
      <c r="P16" s="37" t="n">
        <v>87209.37</v>
      </c>
      <c r="Q16" s="18" t="n">
        <v>143325.39</v>
      </c>
      <c r="R16" s="18" t="n">
        <v>161122.66</v>
      </c>
      <c r="S16" s="18" t="n">
        <v>56010.89</v>
      </c>
      <c r="T16" s="18" t="n">
        <v>37718.5</v>
      </c>
      <c r="U16" s="37" t="n">
        <v>37718.5</v>
      </c>
      <c r="W16" s="18" t="n">
        <v>12.81</v>
      </c>
      <c r="X16" s="18" t="n">
        <v>1418.5</v>
      </c>
      <c r="Y16" s="18" t="n">
        <v>4864.26</v>
      </c>
      <c r="Z16" s="37" t="n">
        <v>4864.26</v>
      </c>
      <c r="AA16" s="18" t="n">
        <v>75547.42999999999</v>
      </c>
      <c r="AB16" s="19" t="n">
        <v>108869.93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1062.99</v>
      </c>
      <c r="F38" s="37" t="n">
        <v>1062.99</v>
      </c>
      <c r="G38" s="18" t="n">
        <v>393.23</v>
      </c>
      <c r="H38" s="18" t="n">
        <v>284.35</v>
      </c>
      <c r="J38" s="18" t="n">
        <v>69.29000000000001</v>
      </c>
      <c r="K38" s="37" t="n">
        <v>69.29000000000001</v>
      </c>
      <c r="L38" s="18" t="n">
        <v>151.85</v>
      </c>
      <c r="P38" s="9" t="n"/>
      <c r="S38" s="18" t="n">
        <v>2285.84</v>
      </c>
      <c r="U38" s="9" t="n"/>
      <c r="Y38" s="18" t="n">
        <v>4878.03</v>
      </c>
      <c r="Z38" s="37" t="n">
        <v>4878.03</v>
      </c>
      <c r="AA38" s="18" t="n">
        <v>73775.64999999999</v>
      </c>
      <c r="AB38" s="19" t="n">
        <v>112763.85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1062.99</v>
      </c>
      <c r="F39" s="37" t="n">
        <v>1062.99</v>
      </c>
      <c r="G39" s="18" t="n">
        <v>393.23</v>
      </c>
      <c r="H39" s="18" t="n">
        <v>284.35</v>
      </c>
      <c r="J39" s="18" t="n">
        <v>69.29000000000001</v>
      </c>
      <c r="K39" s="37" t="n">
        <v>69.29000000000001</v>
      </c>
      <c r="L39" s="18" t="n">
        <v>151.85</v>
      </c>
      <c r="P39" s="9" t="n"/>
      <c r="S39" s="18" t="n">
        <v>2285.84</v>
      </c>
      <c r="U39" s="9" t="n"/>
      <c r="Y39" s="18" t="n">
        <v>4878.03</v>
      </c>
      <c r="Z39" s="37" t="n">
        <v>4878.03</v>
      </c>
      <c r="AA39" s="18" t="n">
        <v>73775.64999999999</v>
      </c>
      <c r="AB39" s="19" t="n">
        <v>207821.55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60437.62</v>
      </c>
      <c r="F40" s="37" t="n">
        <v>60437.62</v>
      </c>
      <c r="G40" s="18" t="n">
        <v>60437.62</v>
      </c>
      <c r="H40" s="18" t="n">
        <v>73172.12</v>
      </c>
      <c r="I40" s="18" t="n">
        <v>36901.12</v>
      </c>
      <c r="J40" s="18" t="n">
        <v>118380.57</v>
      </c>
      <c r="K40" s="37" t="n">
        <v>118380.57</v>
      </c>
      <c r="L40" s="18" t="n">
        <v>118364.76</v>
      </c>
      <c r="M40" s="18" t="n">
        <v>127453.62</v>
      </c>
      <c r="N40" s="18" t="n">
        <v>127720.83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8313147.25</v>
      </c>
      <c r="F41" s="37" t="n">
        <v>8313147.25</v>
      </c>
      <c r="G41" s="18" t="n">
        <v>8942455.539999999</v>
      </c>
      <c r="H41" s="18" t="n">
        <v>10375971.54</v>
      </c>
      <c r="I41" s="18" t="n">
        <v>11486431.4</v>
      </c>
      <c r="J41" s="18" t="n">
        <v>11402970.67</v>
      </c>
      <c r="K41" s="37" t="n">
        <v>11402970.67</v>
      </c>
      <c r="L41" s="18" t="n">
        <v>11590802.07</v>
      </c>
      <c r="M41" s="18" t="n">
        <v>11217394.67</v>
      </c>
      <c r="N41" s="18" t="n">
        <v>10404833.09</v>
      </c>
      <c r="O41" s="18" t="n">
        <v>9458216.800000001</v>
      </c>
      <c r="P41" s="37" t="n">
        <v>9458216.800000001</v>
      </c>
      <c r="Q41" s="18" t="n">
        <v>10349000.78</v>
      </c>
      <c r="R41" s="18" t="n">
        <v>11809071.18</v>
      </c>
      <c r="S41" s="18" t="n">
        <v>12114587.37</v>
      </c>
      <c r="T41" s="18" t="n">
        <v>12892016.67</v>
      </c>
      <c r="U41" s="37" t="n">
        <v>12892016.67</v>
      </c>
      <c r="V41" s="18" t="n">
        <v>13021358.3</v>
      </c>
      <c r="W41" s="18" t="n">
        <v>12944363.79</v>
      </c>
      <c r="X41" s="18" t="n">
        <v>12879531.07</v>
      </c>
      <c r="Y41" s="18" t="n">
        <v>13730328.43</v>
      </c>
      <c r="Z41" s="37" t="n">
        <v>13730328.43</v>
      </c>
      <c r="AA41" s="18" t="n">
        <v>13725794.58</v>
      </c>
      <c r="AB41" s="19" t="n">
        <v>12370945.99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541453.34</v>
      </c>
      <c r="F42" s="37" t="n">
        <v>541453.34</v>
      </c>
      <c r="G42" s="18" t="n">
        <v>541453.34</v>
      </c>
      <c r="H42" s="18" t="n">
        <v>541453.34</v>
      </c>
      <c r="I42" s="18" t="n">
        <v>541453.34</v>
      </c>
      <c r="J42" s="18" t="n">
        <v>541453.34</v>
      </c>
      <c r="K42" s="37" t="n">
        <v>541453.34</v>
      </c>
      <c r="L42" s="18" t="n">
        <v>541453.34</v>
      </c>
      <c r="M42" s="18" t="n">
        <v>1089366.99</v>
      </c>
      <c r="N42" s="18" t="n">
        <v>1089366.99</v>
      </c>
      <c r="O42" s="18" t="n">
        <v>1536794.49</v>
      </c>
      <c r="P42" s="37" t="n">
        <v>1536794.49</v>
      </c>
      <c r="Q42" s="18" t="n">
        <v>1536794.49</v>
      </c>
      <c r="R42" s="18" t="n">
        <v>1536794.49</v>
      </c>
      <c r="S42" s="18" t="n">
        <v>1537066.97</v>
      </c>
      <c r="T42" s="18" t="n">
        <v>1537066.97</v>
      </c>
      <c r="U42" s="37" t="n">
        <v>1537066.97</v>
      </c>
      <c r="V42" s="18" t="n">
        <v>1537066.97</v>
      </c>
      <c r="W42" s="18" t="n">
        <v>1537066.97</v>
      </c>
      <c r="X42" s="18" t="n">
        <v>1537066.97</v>
      </c>
      <c r="Y42" s="18" t="n">
        <v>1537066.97</v>
      </c>
      <c r="Z42" s="37" t="n">
        <v>1537066.97</v>
      </c>
      <c r="AA42" s="18" t="n">
        <v>1537066.97</v>
      </c>
      <c r="AB42" s="19" t="n">
        <v>1537066.97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-714.45</v>
      </c>
      <c r="F43" s="37" t="n">
        <v>-714.45</v>
      </c>
      <c r="G43" s="18" t="n">
        <v>-714.45</v>
      </c>
      <c r="H43" s="18" t="n">
        <v>-714.45</v>
      </c>
      <c r="I43" s="18" t="n">
        <v>-714.45</v>
      </c>
      <c r="J43" s="18" t="n">
        <v>-714.45</v>
      </c>
      <c r="K43" s="37" t="n">
        <v>-714.45</v>
      </c>
      <c r="L43" s="18" t="n">
        <v>-714.45</v>
      </c>
      <c r="M43" s="18" t="n">
        <v>1594965.47</v>
      </c>
      <c r="N43" s="18" t="n">
        <v>1594964.97</v>
      </c>
      <c r="O43" s="18" t="n">
        <v>2628374.16</v>
      </c>
      <c r="P43" s="37" t="n">
        <v>2628374.16</v>
      </c>
      <c r="Q43" s="18" t="n">
        <v>0</v>
      </c>
      <c r="R43" s="18" t="n">
        <v>0</v>
      </c>
      <c r="S43" s="18" t="n">
        <v>5839.6</v>
      </c>
      <c r="T43" s="18" t="n">
        <v>23477.33</v>
      </c>
      <c r="U43" s="37" t="n">
        <v>23477.33</v>
      </c>
      <c r="V43" s="18" t="n">
        <v>36431.91</v>
      </c>
      <c r="W43" s="18" t="n">
        <v>54678.7</v>
      </c>
      <c r="X43" s="18" t="n">
        <v>58222.95</v>
      </c>
      <c r="Y43" s="18" t="n">
        <v>86656.92999999999</v>
      </c>
      <c r="Z43" s="37" t="n">
        <v>86656.92999999999</v>
      </c>
      <c r="AA43" s="18" t="n">
        <v>111709.32</v>
      </c>
      <c r="AB43" s="19" t="n">
        <v>113743.9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2649143.02</v>
      </c>
      <c r="F44" s="37" t="n">
        <v>2649143.02</v>
      </c>
      <c r="G44" s="18" t="n">
        <v>2649129.53</v>
      </c>
      <c r="H44" s="18" t="n">
        <v>2650568.57</v>
      </c>
      <c r="I44" s="18" t="n">
        <v>2605756.89</v>
      </c>
      <c r="J44" s="18" t="n">
        <v>2887329.3</v>
      </c>
      <c r="K44" s="37" t="n">
        <v>2887329.3</v>
      </c>
      <c r="L44" s="18" t="n">
        <v>2886938.06</v>
      </c>
      <c r="M44" s="18" t="n">
        <v>2327785.08</v>
      </c>
      <c r="N44" s="18" t="n">
        <v>2327785.08</v>
      </c>
      <c r="O44" s="18" t="n">
        <v>2327785.08</v>
      </c>
      <c r="P44" s="37" t="n">
        <v>2327785.08</v>
      </c>
      <c r="Q44" s="18" t="n">
        <v>2329460.92</v>
      </c>
      <c r="R44" s="18" t="n">
        <v>2332291.43</v>
      </c>
      <c r="S44" s="18" t="n">
        <v>2327441.31</v>
      </c>
      <c r="T44" s="18" t="n">
        <v>2327441.31</v>
      </c>
      <c r="U44" s="37" t="n">
        <v>2327441.31</v>
      </c>
      <c r="V44" s="18" t="n">
        <v>2327441.31</v>
      </c>
      <c r="W44" s="18" t="n">
        <v>2327441.31</v>
      </c>
      <c r="X44" s="18" t="n">
        <v>2327441.31</v>
      </c>
      <c r="Y44" s="18" t="n">
        <v>2327441.31</v>
      </c>
      <c r="Z44" s="37" t="n">
        <v>2327441.31</v>
      </c>
      <c r="AA44" s="18" t="n">
        <v>2322532.67</v>
      </c>
      <c r="AB44" s="19" t="n">
        <v>2322328.81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-1062232.18</v>
      </c>
      <c r="F45" s="37" t="n">
        <v>-1062232.18</v>
      </c>
      <c r="G45" s="18" t="n">
        <v>-1553880.9</v>
      </c>
      <c r="H45" s="18" t="n">
        <v>-1736810.44</v>
      </c>
      <c r="I45" s="18" t="n">
        <v>-2345249.84</v>
      </c>
      <c r="J45" s="18" t="n">
        <v>-2784208.46</v>
      </c>
      <c r="K45" s="37" t="n">
        <v>-2784208.46</v>
      </c>
      <c r="L45" s="18" t="n">
        <v>-2906552.12</v>
      </c>
      <c r="M45" s="18" t="n">
        <v>-3354914.56</v>
      </c>
      <c r="N45" s="18" t="n">
        <v>-3138940.8</v>
      </c>
      <c r="O45" s="18" t="n">
        <v>-3001572.42</v>
      </c>
      <c r="P45" s="37" t="n">
        <v>-3001572.42</v>
      </c>
      <c r="Q45" s="18" t="n">
        <v>-334450.25</v>
      </c>
      <c r="R45" s="18" t="n">
        <v>-384877.35</v>
      </c>
      <c r="S45" s="18" t="n">
        <v>-479215.28</v>
      </c>
      <c r="T45" s="18" t="n">
        <v>73450.78999999999</v>
      </c>
      <c r="U45" s="37" t="n">
        <v>73450.78999999999</v>
      </c>
      <c r="V45" s="18" t="n">
        <v>280083.97</v>
      </c>
      <c r="W45" s="18" t="n">
        <v>455059.88</v>
      </c>
      <c r="X45" s="18" t="n">
        <v>731159.55</v>
      </c>
      <c r="Y45" s="18" t="n">
        <v>1488301.84</v>
      </c>
      <c r="Z45" s="37" t="n">
        <v>1488301.84</v>
      </c>
      <c r="AA45" s="18" t="n">
        <v>1989235.35</v>
      </c>
      <c r="AB45" s="19" t="n">
        <v>2666816.9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2127649.73</v>
      </c>
      <c r="F46" s="37" t="n">
        <v>2127649.73</v>
      </c>
      <c r="G46" s="18" t="n">
        <v>1635987.52</v>
      </c>
      <c r="H46" s="18" t="n">
        <v>1454497.02</v>
      </c>
      <c r="I46" s="18" t="n">
        <v>801245.9399999999</v>
      </c>
      <c r="J46" s="18" t="n">
        <v>643859.73</v>
      </c>
      <c r="K46" s="37" t="n">
        <v>643859.73</v>
      </c>
      <c r="L46" s="18" t="n">
        <v>521124.82</v>
      </c>
      <c r="M46" s="18" t="n">
        <v>2210544.28</v>
      </c>
      <c r="N46" s="18" t="n">
        <v>2427893.63</v>
      </c>
      <c r="O46" s="18" t="n">
        <v>4044940.34</v>
      </c>
      <c r="P46" s="37" t="n">
        <v>4044940.34</v>
      </c>
      <c r="Q46" s="18" t="n">
        <v>4085449.25</v>
      </c>
      <c r="R46" s="18" t="n">
        <v>4037600.33</v>
      </c>
      <c r="S46" s="18" t="n">
        <v>3945116.15</v>
      </c>
      <c r="T46" s="18" t="n">
        <v>4515193.28</v>
      </c>
      <c r="U46" s="37" t="n">
        <v>4515193.28</v>
      </c>
      <c r="V46" s="18" t="n">
        <v>4734670.41</v>
      </c>
      <c r="W46" s="18" t="n">
        <v>4938122.38</v>
      </c>
      <c r="X46" s="18" t="n">
        <v>5217711.92</v>
      </c>
      <c r="Y46" s="18" t="n">
        <v>5994317.61</v>
      </c>
      <c r="Z46" s="37" t="n">
        <v>5994317.61</v>
      </c>
      <c r="AA46" s="18" t="n">
        <v>6514137.13</v>
      </c>
      <c r="AB46" s="19" t="n">
        <v>7193208.51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10440796.98</v>
      </c>
      <c r="F47" s="37" t="n">
        <v>10440796.98</v>
      </c>
      <c r="G47" s="18" t="n">
        <v>10578443.06</v>
      </c>
      <c r="H47" s="18" t="n">
        <v>11830468.56</v>
      </c>
      <c r="I47" s="18" t="n">
        <v>12287677.34</v>
      </c>
      <c r="J47" s="18" t="n">
        <v>12046830.4</v>
      </c>
      <c r="K47" s="37" t="n">
        <v>12046830.4</v>
      </c>
      <c r="L47" s="18" t="n">
        <v>12111926.89</v>
      </c>
      <c r="M47" s="18" t="n">
        <v>13427938.96</v>
      </c>
      <c r="N47" s="18" t="n">
        <v>12832726.72</v>
      </c>
      <c r="O47" s="18" t="n">
        <v>13503157.15</v>
      </c>
      <c r="P47" s="37" t="n">
        <v>13503157.15</v>
      </c>
      <c r="Q47" s="18" t="n">
        <v>14434450.02</v>
      </c>
      <c r="R47" s="18" t="n">
        <v>15846671.5</v>
      </c>
      <c r="S47" s="18" t="n">
        <v>16059703.52</v>
      </c>
      <c r="T47" s="18" t="n">
        <v>17407209.94</v>
      </c>
      <c r="U47" s="37" t="n">
        <v>17407209.94</v>
      </c>
      <c r="V47" s="18" t="n">
        <v>17756028.72</v>
      </c>
      <c r="W47" s="18" t="n">
        <v>17882486.17</v>
      </c>
      <c r="X47" s="18" t="n">
        <v>18097243</v>
      </c>
      <c r="Y47" s="18" t="n">
        <v>19724646.03</v>
      </c>
      <c r="Z47" s="37" t="n">
        <v>19724646.03</v>
      </c>
      <c r="AA47" s="18" t="n">
        <v>20239931.7</v>
      </c>
      <c r="AB47" s="19" t="n">
        <v>19564154.5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2637131.45</v>
      </c>
      <c r="F49" s="37" t="n">
        <v>2637131.45</v>
      </c>
      <c r="G49" s="18" t="n">
        <v>2815381</v>
      </c>
      <c r="H49" s="18" t="n">
        <v>2911794.27</v>
      </c>
      <c r="I49" s="18" t="n">
        <v>2962710.77</v>
      </c>
      <c r="J49" s="18" t="n">
        <v>2622272.39</v>
      </c>
      <c r="K49" s="37" t="n">
        <v>2622272.39</v>
      </c>
      <c r="L49" s="18" t="n">
        <v>3010594.51</v>
      </c>
      <c r="M49" s="18" t="n">
        <v>2274257.09</v>
      </c>
      <c r="N49" s="18" t="n">
        <v>2206763.51</v>
      </c>
      <c r="O49" s="18" t="n">
        <v>2084114.02</v>
      </c>
      <c r="P49" s="37" t="n">
        <v>2084114.02</v>
      </c>
      <c r="Q49" s="18" t="n">
        <v>3322377.04</v>
      </c>
      <c r="R49" s="18" t="n">
        <v>4165013.54</v>
      </c>
      <c r="S49" s="18" t="n">
        <v>4786290.48</v>
      </c>
      <c r="T49" s="18" t="n">
        <v>5163714.54</v>
      </c>
      <c r="U49" s="37" t="n">
        <v>5163714.54</v>
      </c>
      <c r="V49" s="18" t="n">
        <v>5420481.96</v>
      </c>
      <c r="W49" s="18" t="n">
        <v>4922539.27</v>
      </c>
      <c r="X49" s="18" t="n">
        <v>5039167.84</v>
      </c>
      <c r="Y49" s="18" t="n">
        <v>5506183.62</v>
      </c>
      <c r="Z49" s="37" t="n">
        <v>5506183.62</v>
      </c>
      <c r="AA49" s="18" t="n">
        <v>5999427.8</v>
      </c>
      <c r="AB49" s="19" t="n">
        <v>5870915.14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597133.5</v>
      </c>
      <c r="F50" s="37" t="n">
        <v>597133.5</v>
      </c>
      <c r="G50" s="18" t="n">
        <v>1416803.7</v>
      </c>
      <c r="H50" s="18" t="n">
        <v>1672286</v>
      </c>
      <c r="I50" s="18" t="n">
        <v>1854260.15</v>
      </c>
      <c r="J50" s="18" t="n">
        <v>1509598.26</v>
      </c>
      <c r="K50" s="37" t="n">
        <v>1509598.26</v>
      </c>
      <c r="L50" s="18" t="n">
        <v>2773587.23</v>
      </c>
      <c r="M50" s="18" t="n">
        <v>739774.79</v>
      </c>
      <c r="N50" s="18" t="n">
        <v>1251788.42</v>
      </c>
      <c r="O50" s="18" t="n">
        <v>313617.03</v>
      </c>
      <c r="P50" s="37" t="n">
        <v>313617.03</v>
      </c>
      <c r="Q50" s="18" t="n">
        <v>1733555.3</v>
      </c>
      <c r="R50" s="18" t="n">
        <v>2439859.78</v>
      </c>
      <c r="S50" s="18" t="n">
        <v>3898297.43</v>
      </c>
      <c r="T50" s="18" t="n">
        <v>4749380.08</v>
      </c>
      <c r="U50" s="37" t="n">
        <v>4749380.08</v>
      </c>
      <c r="V50" s="18" t="n">
        <v>4657769.36</v>
      </c>
      <c r="W50" s="18" t="n">
        <v>4103785.61</v>
      </c>
      <c r="X50" s="18" t="n">
        <v>4820025.42</v>
      </c>
      <c r="Y50" s="18" t="n">
        <v>4904159.23</v>
      </c>
      <c r="Z50" s="37" t="n">
        <v>4904159.23</v>
      </c>
      <c r="AA50" s="18" t="n">
        <v>5102679.93</v>
      </c>
      <c r="AB50" s="19" t="n">
        <v>4624949.6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2273162.65</v>
      </c>
      <c r="F51" s="37" t="n">
        <v>2273162.65</v>
      </c>
      <c r="G51" s="18" t="n">
        <v>1626919.5</v>
      </c>
      <c r="H51" s="18" t="n">
        <v>1317531.68</v>
      </c>
      <c r="I51" s="18" t="n">
        <v>1148673.61</v>
      </c>
      <c r="J51" s="18" t="n">
        <v>1152920.19</v>
      </c>
      <c r="K51" s="37" t="n">
        <v>1152920.19</v>
      </c>
      <c r="L51" s="18" t="n">
        <v>237007.28</v>
      </c>
      <c r="M51" s="18" t="n">
        <v>1534482.3</v>
      </c>
      <c r="N51" s="18" t="n">
        <v>954975.09</v>
      </c>
      <c r="O51" s="18" t="n">
        <v>1770496.99</v>
      </c>
      <c r="P51" s="37" t="n">
        <v>1770496.99</v>
      </c>
      <c r="Q51" s="18" t="n">
        <v>1588821.74</v>
      </c>
      <c r="R51" s="18" t="n">
        <v>1725153.76</v>
      </c>
      <c r="S51" s="18" t="n">
        <v>887993.05</v>
      </c>
      <c r="T51" s="18" t="n">
        <v>414334.46</v>
      </c>
      <c r="U51" s="37" t="n">
        <v>414334.46</v>
      </c>
      <c r="V51" s="18" t="n">
        <v>762712.6</v>
      </c>
      <c r="W51" s="18" t="n">
        <v>818753.66</v>
      </c>
      <c r="X51" s="18" t="n">
        <v>219142.42</v>
      </c>
      <c r="Y51" s="18" t="n">
        <v>602024.39</v>
      </c>
      <c r="Z51" s="37" t="n">
        <v>602024.39</v>
      </c>
      <c r="AA51" s="18" t="n">
        <v>896747.87</v>
      </c>
      <c r="AB51" s="19" t="n">
        <v>1245965.54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G52" s="18" t="n">
        <v>948.34</v>
      </c>
      <c r="H52" s="18" t="n">
        <v>3795.75</v>
      </c>
      <c r="I52" s="18" t="n">
        <v>4818.44</v>
      </c>
      <c r="J52" s="18" t="n">
        <v>5751.49</v>
      </c>
      <c r="K52" s="37" t="n">
        <v>5751.49</v>
      </c>
      <c r="L52" s="18" t="n">
        <v>6576.28</v>
      </c>
      <c r="M52" s="18" t="n">
        <v>2389.52</v>
      </c>
      <c r="N52" s="18" t="n">
        <v>3792.54</v>
      </c>
      <c r="O52" s="18" t="n">
        <v>5328.55</v>
      </c>
      <c r="P52" s="37" t="n">
        <v>5328.55</v>
      </c>
      <c r="Q52" s="18" t="n">
        <v>7961.76</v>
      </c>
      <c r="R52" s="18" t="n">
        <v>5622.7</v>
      </c>
      <c r="S52" s="18" t="n">
        <v>7125.81</v>
      </c>
      <c r="T52" s="18" t="n">
        <v>8150.98</v>
      </c>
      <c r="U52" s="37" t="n">
        <v>8150.98</v>
      </c>
      <c r="V52" s="18" t="n">
        <v>8948.76</v>
      </c>
      <c r="W52" s="18" t="n">
        <v>1897.41</v>
      </c>
      <c r="X52" s="18" t="n">
        <v>2481.71</v>
      </c>
      <c r="Z52" s="9" t="n"/>
      <c r="AB52" s="19" t="n">
        <v>1835.03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H53" s="18" t="n">
        <v>25751.28</v>
      </c>
      <c r="I53" s="18" t="n">
        <v>50921.84</v>
      </c>
      <c r="J53" s="18" t="n">
        <v>31440.48</v>
      </c>
      <c r="K53" s="37" t="n">
        <v>31440.48</v>
      </c>
      <c r="L53" s="18" t="n">
        <v>28739.37</v>
      </c>
      <c r="M53" s="18" t="n">
        <v>16702.79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H54" s="18" t="n">
        <v>25751.28</v>
      </c>
      <c r="I54" s="18" t="n">
        <v>50921.84</v>
      </c>
      <c r="J54" s="18" t="n">
        <v>31440.48</v>
      </c>
      <c r="K54" s="37" t="n">
        <v>31440.48</v>
      </c>
      <c r="L54" s="18" t="n">
        <v>28739.37</v>
      </c>
      <c r="M54" s="18" t="n">
        <v>16702.79</v>
      </c>
      <c r="P54" s="9" t="n"/>
      <c r="U54" s="9" t="n"/>
      <c r="W54" s="18" t="n">
        <v>155113.83</v>
      </c>
      <c r="X54" s="18" t="n">
        <v>142423.97</v>
      </c>
      <c r="Y54" s="18" t="n">
        <v>99176.92</v>
      </c>
      <c r="Z54" s="37" t="n">
        <v>99176.92</v>
      </c>
      <c r="AA54" s="18" t="n">
        <v>74104.37</v>
      </c>
      <c r="AB54" s="19" t="n">
        <v>135025.87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L55" s="18" t="n">
        <v>414700.74</v>
      </c>
      <c r="M55" s="18" t="n">
        <v>429609.86</v>
      </c>
      <c r="N55" s="18" t="n">
        <v>91734.81</v>
      </c>
      <c r="O55" s="18" t="n">
        <v>108239.3</v>
      </c>
      <c r="P55" s="37" t="n">
        <v>108239.3</v>
      </c>
      <c r="Q55" s="18" t="n">
        <v>109262.09</v>
      </c>
      <c r="R55" s="18" t="n">
        <v>10780.51</v>
      </c>
      <c r="S55" s="18" t="n">
        <v>10991.31</v>
      </c>
      <c r="T55" s="18" t="n">
        <v>11454.87</v>
      </c>
      <c r="U55" s="37" t="n">
        <v>11454.87</v>
      </c>
      <c r="V55" s="18" t="n">
        <v>11462.79</v>
      </c>
      <c r="W55" s="18" t="n">
        <v>4752.2</v>
      </c>
      <c r="X55" s="18" t="n">
        <v>4834.52</v>
      </c>
      <c r="Y55" s="18" t="n">
        <v>4404</v>
      </c>
      <c r="Z55" s="37" t="n">
        <v>4404</v>
      </c>
      <c r="AA55" s="18" t="n">
        <v>4485</v>
      </c>
      <c r="AB55" s="19" t="n">
        <v>14512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L56" s="18" t="n">
        <v>21558.39</v>
      </c>
      <c r="P56" s="9" t="n"/>
      <c r="U56" s="9" t="n"/>
      <c r="V56" s="18" t="n">
        <v>157130.47</v>
      </c>
      <c r="W56" s="18" t="n">
        <v>175991.71</v>
      </c>
      <c r="X56" s="18" t="n">
        <v>190644.95</v>
      </c>
      <c r="Y56" s="18" t="n">
        <v>129805.8</v>
      </c>
      <c r="Z56" s="37" t="n">
        <v>129805.8</v>
      </c>
      <c r="AA56" s="18" t="n">
        <v>41662.76</v>
      </c>
      <c r="AB56" s="19" t="n">
        <v>182381.4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M57" s="18" t="n">
        <v>647468.41</v>
      </c>
      <c r="N57" s="18" t="n">
        <v>544631.12</v>
      </c>
      <c r="O57" s="18" t="n">
        <v>494162.6</v>
      </c>
      <c r="P57" s="37" t="n">
        <v>494162.6</v>
      </c>
      <c r="Q57" s="18" t="n">
        <v>1679649.27</v>
      </c>
      <c r="R57" s="18" t="n">
        <v>2485199.05</v>
      </c>
      <c r="S57" s="18" t="n">
        <v>3145042.2</v>
      </c>
      <c r="T57" s="18" t="n">
        <v>3201449.85</v>
      </c>
      <c r="U57" s="37" t="n">
        <v>3201449.85</v>
      </c>
      <c r="V57" s="18" t="n">
        <v>3335499.92</v>
      </c>
      <c r="W57" s="18" t="n">
        <v>2983414.4</v>
      </c>
      <c r="X57" s="18" t="n">
        <v>2978045.82</v>
      </c>
      <c r="Y57" s="18" t="n">
        <v>3220177.27</v>
      </c>
      <c r="Z57" s="37" t="n">
        <v>3220177.27</v>
      </c>
      <c r="AA57" s="18" t="n">
        <v>3443704.22</v>
      </c>
      <c r="AB57" s="19" t="n">
        <v>3292402.72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1626788.68</v>
      </c>
      <c r="N58" s="18" t="n">
        <v>1662132.39</v>
      </c>
      <c r="P58" s="9" t="n"/>
      <c r="T58" s="18" t="n">
        <v>1962264.69</v>
      </c>
      <c r="U58" s="37" t="n">
        <v>1962264.69</v>
      </c>
      <c r="V58" s="18" t="n">
        <v>2084982.04</v>
      </c>
      <c r="W58" s="18" t="n">
        <v>1939124.87</v>
      </c>
      <c r="X58" s="18" t="n">
        <v>2061122.02</v>
      </c>
      <c r="Y58" s="18" t="n">
        <v>2286006.35</v>
      </c>
      <c r="Z58" s="37" t="n">
        <v>2286006.35</v>
      </c>
      <c r="AA58" s="18" t="n">
        <v>2555723.58</v>
      </c>
      <c r="AB58" s="19" t="n">
        <v>2578512.42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기타포괄이익누계액</t>
        </is>
      </c>
      <c r="F59" s="9" t="n"/>
      <c r="K59" s="9" t="n"/>
      <c r="M59" s="18" t="n">
        <v>553341.3100000001</v>
      </c>
      <c r="N59" s="18" t="n">
        <v>554717.39</v>
      </c>
      <c r="O59" s="18" t="n">
        <v>553559.04</v>
      </c>
      <c r="P59" s="37" t="n">
        <v>553559.04</v>
      </c>
      <c r="Q59" s="18" t="n">
        <v>553644.09</v>
      </c>
      <c r="R59" s="18" t="n">
        <v>553391.75</v>
      </c>
      <c r="S59" s="18" t="n">
        <v>553983.5600000001</v>
      </c>
      <c r="T59" s="18" t="n">
        <v>553756.89</v>
      </c>
      <c r="U59" s="37" t="n">
        <v>553756.89</v>
      </c>
      <c r="V59" s="18" t="n">
        <v>553646.26</v>
      </c>
      <c r="W59" s="18" t="n">
        <v>563875.53</v>
      </c>
      <c r="X59" s="18" t="n">
        <v>563821.14</v>
      </c>
      <c r="Y59" s="18" t="n">
        <v>554850.5600000001</v>
      </c>
      <c r="Z59" s="37" t="n">
        <v>554850.5600000001</v>
      </c>
      <c r="AA59" s="18" t="n">
        <v>553592.8199999999</v>
      </c>
      <c r="AB59" s="19" t="n">
        <v>553251.9300000001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이연법인세자산</t>
        </is>
      </c>
      <c r="F60" s="9" t="n"/>
      <c r="K60" s="9" t="n"/>
      <c r="O60" s="18" t="n">
        <v>163892.42</v>
      </c>
      <c r="P60" s="37" t="n">
        <v>163892.42</v>
      </c>
      <c r="Q60" s="18" t="n">
        <v>163892.42</v>
      </c>
      <c r="R60" s="18" t="n">
        <v>154090.12</v>
      </c>
      <c r="S60" s="18" t="n">
        <v>154090.12</v>
      </c>
      <c r="T60" s="18" t="n">
        <v>506573.93</v>
      </c>
      <c r="U60" s="37" t="n">
        <v>506573.93</v>
      </c>
      <c r="V60" s="18" t="n">
        <v>506573.93</v>
      </c>
      <c r="W60" s="18" t="n">
        <v>498512.13</v>
      </c>
      <c r="X60" s="18" t="n">
        <v>498484.85</v>
      </c>
      <c r="Y60" s="18" t="n">
        <v>950308.59</v>
      </c>
      <c r="Z60" s="37" t="n">
        <v>950308.59</v>
      </c>
      <c r="AA60" s="18" t="n">
        <v>950335.73</v>
      </c>
      <c r="AB60" s="19" t="n">
        <v>950335.73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비유동파생상품자산</t>
        </is>
      </c>
      <c r="F61" s="9" t="n"/>
      <c r="K61" s="9" t="n"/>
      <c r="P61" s="9" t="n"/>
      <c r="U61" s="9" t="n"/>
      <c r="W61" s="18" t="n">
        <v>12.81</v>
      </c>
      <c r="X61" s="18" t="n">
        <v>1418.5</v>
      </c>
      <c r="Y61" s="18" t="n">
        <v>4864.26</v>
      </c>
      <c r="Z61" s="37" t="n">
        <v>4864.26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155113.83</v>
      </c>
      <c r="X62" s="18" t="n">
        <v>142423.97</v>
      </c>
      <c r="Y62" s="18" t="n">
        <v>68957.10000000001</v>
      </c>
      <c r="Z62" s="37" t="n">
        <v>68957.10000000001</v>
      </c>
      <c r="AA62" s="18" t="n">
        <v>74104.37</v>
      </c>
      <c r="AB62" s="19" t="n">
        <v>103732.82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유동리스부채</t>
        </is>
      </c>
      <c r="F63" s="9" t="n"/>
      <c r="K63" s="9" t="n"/>
      <c r="P63" s="9" t="n"/>
      <c r="U63" s="9" t="n"/>
      <c r="Y63" s="18" t="n">
        <v>30219.82</v>
      </c>
      <c r="Z63" s="37" t="n">
        <v>30219.82</v>
      </c>
      <c r="AB63" s="19" t="n">
        <v>31293.05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리스부채</t>
        </is>
      </c>
      <c r="F64" s="9" t="n"/>
      <c r="K64" s="9" t="n"/>
      <c r="P64" s="9" t="n"/>
      <c r="U64" s="9" t="n"/>
      <c r="Y64" s="18" t="n">
        <v>30219.82</v>
      </c>
      <c r="Z64" s="37" t="n">
        <v>30219.82</v>
      </c>
      <c r="AB64" s="19" t="n">
        <v>126350.75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유동파생상품자산</t>
        </is>
      </c>
      <c r="F65" s="9" t="n"/>
      <c r="K65" s="9" t="n"/>
      <c r="P65" s="9" t="n"/>
      <c r="U65" s="9" t="n"/>
      <c r="Z65" s="9" t="n"/>
      <c r="AA65" s="18" t="n">
        <v>11835.59</v>
      </c>
      <c r="AB65" s="19" t="n">
        <v>14682.83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K66" s="9" t="n"/>
      <c r="P66" s="9" t="n"/>
      <c r="U66" s="9" t="n"/>
      <c r="Z66" s="9" t="n"/>
      <c r="AB66" s="19" t="n">
        <v>95057.7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IFERROR(AC38+AC40,"")</f>
        <v/>
      </c>
      <c r="AD5" s="20">
        <f>IFERROR(AD38+AD40,"")</f>
        <v/>
      </c>
      <c r="AE5" s="38">
        <f>SUM(AA5:AD5)</f>
        <v/>
      </c>
      <c r="AF5" s="20">
        <f>IFERROR(AF38+AF40,"")</f>
        <v/>
      </c>
      <c r="AG5" s="20">
        <f>IFERROR(AG38+AG40,"")</f>
        <v/>
      </c>
      <c r="AH5" s="20">
        <f>IFERROR(AH38+AH40,"")</f>
        <v/>
      </c>
      <c r="AI5" s="20">
        <f>IFERROR(AI38+AI40,"")</f>
        <v/>
      </c>
      <c r="AJ5" s="38">
        <f>SUM(AF5:AI5)</f>
        <v/>
      </c>
      <c r="AK5" s="20">
        <f>IFERROR(AK38+AK40,"")</f>
        <v/>
      </c>
      <c r="AL5" s="20">
        <f>IFERROR(AL38+AL40,"")</f>
        <v/>
      </c>
      <c r="AM5" s="20">
        <f>IFERROR(AM38+AM40,"")</f>
        <v/>
      </c>
      <c r="AN5" s="20">
        <f>IFERROR(AN38+AN40,"")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IFERROR(AC39+AC41,"")</f>
        <v/>
      </c>
      <c r="AD9" s="20">
        <f>IFERROR(AD39+AD41,"")</f>
        <v/>
      </c>
      <c r="AE9" s="38">
        <f>SUM(AA9:AD9)</f>
        <v/>
      </c>
      <c r="AF9" s="20">
        <f>IFERROR(AF39+AF41,"")</f>
        <v/>
      </c>
      <c r="AG9" s="20">
        <f>IFERROR(AG39+AG41,"")</f>
        <v/>
      </c>
      <c r="AH9" s="20">
        <f>IFERROR(AH39+AH41,"")</f>
        <v/>
      </c>
      <c r="AI9" s="20">
        <f>IFERROR(AI39+AI41,"")</f>
        <v/>
      </c>
      <c r="AJ9" s="38">
        <f>SUM(AF9:AI9)</f>
        <v/>
      </c>
      <c r="AK9" s="20">
        <f>IFERROR(AK39+AK41,"")</f>
        <v/>
      </c>
      <c r="AL9" s="20">
        <f>IFERROR(AL39+AL41,"")</f>
        <v/>
      </c>
      <c r="AM9" s="20">
        <f>IFERROR(AM39+AM41,"")</f>
        <v/>
      </c>
      <c r="AN9" s="20">
        <f>IFERROR(AN39+AN41,"")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IFERROR((AB28*변수!$D$56-AB26*변수!$D$57)/4,"")</f>
        <v/>
      </c>
      <c r="AD12" s="20">
        <f>IFERROR((AC28*변수!$D$56-AC26*변수!$D$57)/4,"")</f>
        <v/>
      </c>
      <c r="AE12" s="38">
        <f>SUM(AA12:AD12)</f>
        <v/>
      </c>
      <c r="AF12" s="20">
        <f>IFERROR((AD28*변수!$D$56-AD26*변수!$D$57)/4,"")</f>
        <v/>
      </c>
      <c r="AG12" s="20">
        <f>IFERROR((AF28*변수!$D$56-AF26*변수!$D$57)/4,"")</f>
        <v/>
      </c>
      <c r="AH12" s="20">
        <f>IFERROR((AG28*변수!$D$56-AG26*변수!$D$57)/4,"")</f>
        <v/>
      </c>
      <c r="AI12" s="20">
        <f>IFERROR((AH28*변수!$D$56-AH26*변수!$D$57)/4,"")</f>
        <v/>
      </c>
      <c r="AJ12" s="38">
        <f>SUM(AF12:AI12)</f>
        <v/>
      </c>
      <c r="AK12" s="20">
        <f>IFERROR((AI28*변수!$D$56-AI26*변수!$D$57)/4,"")</f>
        <v/>
      </c>
      <c r="AL12" s="20">
        <f>IFERROR((AK28*변수!$D$56-AK26*변수!$D$57)/4,"")</f>
        <v/>
      </c>
      <c r="AM12" s="20">
        <f>IFERROR((AL28*변수!$D$56-AL26*변수!$D$57)/4,"")</f>
        <v/>
      </c>
      <c r="AN12" s="20">
        <f>IFERROR((AM28*변수!$D$56-AM26*변수!$D$57)/4,"")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IFERROR(변수!$D$46/(Y33+AA33+AB33+AC33),"")</f>
        <v/>
      </c>
      <c r="AD36" s="39">
        <f>IFERROR(변수!$D$46/(AA33+AB33+AC33+AD33),"")</f>
        <v/>
      </c>
      <c r="AE36" s="40">
        <f>AD36</f>
        <v/>
      </c>
      <c r="AF36" s="39">
        <f>IFERROR(변수!$D$46/(AB33+AC33+AD33+AF33),"")</f>
        <v/>
      </c>
      <c r="AG36" s="39">
        <f>IFERROR(변수!$D$46/(AC33+AD33+AF33+AG33),"")</f>
        <v/>
      </c>
      <c r="AH36" s="39">
        <f>IFERROR(변수!$D$46/(AD33+AF33+AG33+AH33),"")</f>
        <v/>
      </c>
      <c r="AI36" s="39">
        <f>IFERROR(변수!$D$46/(AF33+AG33+AH33+AI33),"")</f>
        <v/>
      </c>
      <c r="AJ36" s="40">
        <f>AI36</f>
        <v/>
      </c>
      <c r="AK36" s="39">
        <f>IFERROR(변수!$D$46/(AG33+AH33+AI33+AK33),"")</f>
        <v/>
      </c>
      <c r="AL36" s="39">
        <f>IFERROR(변수!$D$46/(AH33+AI33+AK33+AL33),"")</f>
        <v/>
      </c>
      <c r="AM36" s="39">
        <f>IFERROR(변수!$D$46/(AI33+AK33+AL33+AM33),"")</f>
        <v/>
      </c>
      <c r="AN36" s="39">
        <f>IFERROR(변수!$D$46/(AK33+AL33+AM33+AN33),"")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IFERROR(변수!$D$46/AC34,"")</f>
        <v/>
      </c>
      <c r="AD37" s="39">
        <f>IFERROR(변수!$D$46/AD34,"")</f>
        <v/>
      </c>
      <c r="AE37" s="40">
        <f>AD37</f>
        <v/>
      </c>
      <c r="AF37" s="39">
        <f>IFERROR(변수!$D$46/AF34,"")</f>
        <v/>
      </c>
      <c r="AG37" s="39">
        <f>IFERROR(변수!$D$46/AG34,"")</f>
        <v/>
      </c>
      <c r="AH37" s="39">
        <f>IFERROR(변수!$D$46/AH34,"")</f>
        <v/>
      </c>
      <c r="AI37" s="39">
        <f>IFERROR(변수!$D$46/AI34,"")</f>
        <v/>
      </c>
      <c r="AJ37" s="40">
        <f>AI37</f>
        <v/>
      </c>
      <c r="AK37" s="39">
        <f>IFERROR(변수!$D$46/AK34,"")</f>
        <v/>
      </c>
      <c r="AL37" s="39">
        <f>IFERROR(변수!$D$46/AL34,"")</f>
        <v/>
      </c>
      <c r="AM37" s="39">
        <f>IFERROR(변수!$D$46/AM34,"")</f>
        <v/>
      </c>
      <c r="AN37" s="39">
        <f>IFERROR(변수!$D$46/AN34,"")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IFERROR(SLS!AH107/100+변수!AC40,"")</f>
        <v/>
      </c>
      <c r="AD38" s="20">
        <f>IFERROR(SLS!AI107/100+변수!AD40,"")</f>
        <v/>
      </c>
      <c r="AE38" s="38">
        <f>SUM(AA38:AD38)</f>
        <v/>
      </c>
      <c r="AF38" s="20">
        <f>IFERROR(SLS!AJ107/100+변수!AF40,"")</f>
        <v/>
      </c>
      <c r="AG38" s="20">
        <f>IFERROR(SLS!AK107/100+변수!AG40,"")</f>
        <v/>
      </c>
      <c r="AH38" s="20">
        <f>IFERROR(SLS!AL107/100+변수!AH40,"")</f>
        <v/>
      </c>
      <c r="AI38" s="20">
        <f>IFERROR(SLS!AM107/100+변수!AI40,"")</f>
        <v/>
      </c>
      <c r="AJ38" s="38">
        <f>SUM(AF38:AI38)</f>
        <v/>
      </c>
      <c r="AK38" s="20">
        <f>IFERROR(SLS!AN107/100+변수!AK40,"")</f>
        <v/>
      </c>
      <c r="AL38" s="20">
        <f>IFERROR(SLS!AO107/100+변수!AL40,"")</f>
        <v/>
      </c>
      <c r="AM38" s="20">
        <f>IFERROR(SLS!AP107/100+변수!AM40,"")</f>
        <v/>
      </c>
      <c r="AN38" s="20">
        <f>IFERROR(SLS!AQ107/100+변수!AN40,"")</f>
        <v/>
      </c>
      <c r="AO38" s="38">
        <f>SUM(AK38:AN38)</f>
        <v/>
      </c>
    </row>
    <row r="39">
      <c r="A39" s="12" t="inlineStr">
        <is>
          <t>OP조선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조선·해양(상선·해양및특수선·EP및특수선)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18" t="n"/>
      <c r="AB39" s="19" t="n"/>
      <c r="AC39" s="20">
        <f>IFERROR(AC38*변수!AC41,"")</f>
        <v/>
      </c>
      <c r="AD39" s="20">
        <f>IFERROR(AD38*변수!AD41,"")</f>
        <v/>
      </c>
      <c r="AE39" s="38">
        <f>SUM(AA39:AD39)</f>
        <v/>
      </c>
      <c r="AF39" s="20">
        <f>IFERROR(AF38*변수!AF41,"")</f>
        <v/>
      </c>
      <c r="AG39" s="20">
        <f>IFERROR(AG38*변수!AG41,"")</f>
        <v/>
      </c>
      <c r="AH39" s="20">
        <f>IFERROR(AH38*변수!AH41,"")</f>
        <v/>
      </c>
      <c r="AI39" s="20">
        <f>IFERROR(AI38*변수!AI41,"")</f>
        <v/>
      </c>
      <c r="AJ39" s="38">
        <f>SUM(AF39:AI39)</f>
        <v/>
      </c>
      <c r="AK39" s="20">
        <f>IFERROR(AK38*변수!AK41,"")</f>
        <v/>
      </c>
      <c r="AL39" s="20">
        <f>IFERROR(AL38*변수!AL41,"")</f>
        <v/>
      </c>
      <c r="AM39" s="20">
        <f>IFERROR(AM38*변수!AM41,"")</f>
        <v/>
      </c>
      <c r="AN39" s="20">
        <f>IFERROR(AN38*변수!AN41,"")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>
        <v>0</v>
      </c>
      <c r="H40" s="18" t="n">
        <v>0</v>
      </c>
      <c r="I40" s="18" t="n">
        <v>0</v>
      </c>
      <c r="J40" s="18" t="n">
        <v>0</v>
      </c>
      <c r="K40" s="37">
        <f>SUM(G40:J40)</f>
        <v/>
      </c>
      <c r="L40" s="18" t="n">
        <v>0</v>
      </c>
      <c r="M40" s="18" t="n">
        <v>0</v>
      </c>
      <c r="N40" s="18" t="n">
        <v>0</v>
      </c>
      <c r="O40" s="18" t="n">
        <v>0</v>
      </c>
      <c r="P40" s="37">
        <f>SUM(L40:O40)</f>
        <v/>
      </c>
      <c r="Q40" s="18" t="n">
        <v>0</v>
      </c>
      <c r="R40" s="18" t="n">
        <v>0</v>
      </c>
      <c r="S40" s="18" t="n">
        <v>454.79</v>
      </c>
      <c r="T40" s="18" t="n">
        <v>916.21</v>
      </c>
      <c r="U40" s="37">
        <f>SUM(Q40:T40)</f>
        <v/>
      </c>
      <c r="V40" s="18" t="n">
        <v>403.31</v>
      </c>
      <c r="W40" s="18" t="n">
        <v>0</v>
      </c>
      <c r="X40" s="18" t="n">
        <v>847.65</v>
      </c>
      <c r="Y40" s="18" t="n">
        <v>1410.53</v>
      </c>
      <c r="Z40" s="37">
        <f>SUM(V40:Y40)</f>
        <v/>
      </c>
      <c r="AA40" s="18" t="n">
        <v>0</v>
      </c>
      <c r="AB40" s="19" t="n">
        <v>0</v>
      </c>
      <c r="AC40" s="20">
        <f>IFERROR(X40*(1+변수!AC42),"")</f>
        <v/>
      </c>
      <c r="AD40" s="20">
        <f>IFERROR(Y40*(1+변수!AD42),"")</f>
        <v/>
      </c>
      <c r="AE40" s="38">
        <f>SUM(AA40:AD40)</f>
        <v/>
      </c>
      <c r="AF40" s="20">
        <f>IFERROR(AD40*(1+변수!AF42),"")</f>
        <v/>
      </c>
      <c r="AG40" s="20">
        <f>IFERROR(AF40*(1+변수!AG42),"")</f>
        <v/>
      </c>
      <c r="AH40" s="20">
        <f>IFERROR(AC40*(1+변수!AH42),"")</f>
        <v/>
      </c>
      <c r="AI40" s="20">
        <f>IFERROR(AD40*(1+변수!AI42),"")</f>
        <v/>
      </c>
      <c r="AJ40" s="38">
        <f>SUM(AF40:AI40)</f>
        <v/>
      </c>
      <c r="AK40" s="20">
        <f>IFERROR(AF40*(1+변수!AK42),"")</f>
        <v/>
      </c>
      <c r="AL40" s="20">
        <f>IFERROR(AG40*(1+변수!AL42),"")</f>
        <v/>
      </c>
      <c r="AM40" s="20">
        <f>IFERROR(AH40*(1+변수!AM42),"")</f>
        <v/>
      </c>
      <c r="AN40" s="20">
        <f>IFERROR(AI40*(1+변수!AN42),"")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IFERROR(AC40*변수!AC43,"")</f>
        <v/>
      </c>
      <c r="AD41" s="20">
        <f>IFERROR(AD40*변수!AD43,"")</f>
        <v/>
      </c>
      <c r="AE41" s="38">
        <f>SUM(AA41:AD41)</f>
        <v/>
      </c>
      <c r="AF41" s="20">
        <f>IFERROR(AF40*변수!AF43,"")</f>
        <v/>
      </c>
      <c r="AG41" s="20">
        <f>IFERROR(AG40*변수!AG43,"")</f>
        <v/>
      </c>
      <c r="AH41" s="20">
        <f>IFERROR(AH40*변수!AH43,"")</f>
        <v/>
      </c>
      <c r="AI41" s="20">
        <f>IFERROR(AI40*변수!AI43,"")</f>
        <v/>
      </c>
      <c r="AJ41" s="38">
        <f>SUM(AF41:AI41)</f>
        <v/>
      </c>
      <c r="AK41" s="20">
        <f>IFERROR(AK40*변수!AK43,"")</f>
        <v/>
      </c>
      <c r="AL41" s="20">
        <f>IFERROR(AL40*변수!AL43,"")</f>
        <v/>
      </c>
      <c r="AM41" s="20">
        <f>IFERROR(AM40*변수!AM43,"")</f>
        <v/>
      </c>
      <c r="AN41" s="20">
        <f>IFERROR(AN40*변수!AN43,"")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2">
        <f>IFERROR(AC21/AC5,"")</f>
        <v/>
      </c>
      <c r="AD43" s="32">
        <f>IFERROR(AD21/AD5,"")</f>
        <v/>
      </c>
      <c r="AE43" s="25">
        <f>IFERROR(AE21/AE5,"")</f>
        <v/>
      </c>
      <c r="AF43" s="32">
        <f>IFERROR(AF21/AF5,"")</f>
        <v/>
      </c>
      <c r="AG43" s="32">
        <f>IFERROR(AG21/AG5,"")</f>
        <v/>
      </c>
      <c r="AH43" s="32">
        <f>IFERROR(AH21/AH5,"")</f>
        <v/>
      </c>
      <c r="AI43" s="32">
        <f>IFERROR(AI21/AI5,"")</f>
        <v/>
      </c>
      <c r="AJ43" s="25">
        <f>IFERROR(AJ21/AJ5,"")</f>
        <v/>
      </c>
      <c r="AK43" s="32">
        <f>IFERROR(AK21/AK5,"")</f>
        <v/>
      </c>
      <c r="AL43" s="32">
        <f>IFERROR(AL21/AL5,"")</f>
        <v/>
      </c>
      <c r="AM43" s="32">
        <f>IFERROR(AM21/AM5,"")</f>
        <v/>
      </c>
      <c r="AN43" s="32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2">
        <f>IFERROR(AC6/AC5,"")</f>
        <v/>
      </c>
      <c r="AD44" s="32">
        <f>IFERROR(AD6/AD5,"")</f>
        <v/>
      </c>
      <c r="AE44" s="25">
        <f>IFERROR(AE6/AE5,"")</f>
        <v/>
      </c>
      <c r="AF44" s="32">
        <f>IFERROR(AF6/AF5,"")</f>
        <v/>
      </c>
      <c r="AG44" s="32">
        <f>IFERROR(AG6/AG5,"")</f>
        <v/>
      </c>
      <c r="AH44" s="32">
        <f>IFERROR(AH6/AH5,"")</f>
        <v/>
      </c>
      <c r="AI44" s="32">
        <f>IFERROR(AI6/AI5,"")</f>
        <v/>
      </c>
      <c r="AJ44" s="25">
        <f>IFERROR(AJ6/AJ5,"")</f>
        <v/>
      </c>
      <c r="AK44" s="32">
        <f>IFERROR(AK6/AK5,"")</f>
        <v/>
      </c>
      <c r="AL44" s="32">
        <f>IFERROR(AL6/AL5,"")</f>
        <v/>
      </c>
      <c r="AM44" s="32">
        <f>IFERROR(AM6/AM5,"")</f>
        <v/>
      </c>
      <c r="AN44" s="32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2">
        <f>IFERROR(AC8/AC5,"")</f>
        <v/>
      </c>
      <c r="AD45" s="32">
        <f>IFERROR(AD8/AD5,"")</f>
        <v/>
      </c>
      <c r="AE45" s="25">
        <f>IFERROR(AE8/AE5,"")</f>
        <v/>
      </c>
      <c r="AF45" s="32">
        <f>IFERROR(AF8/AF5,"")</f>
        <v/>
      </c>
      <c r="AG45" s="32">
        <f>IFERROR(AG8/AG5,"")</f>
        <v/>
      </c>
      <c r="AH45" s="32">
        <f>IFERROR(AH8/AH5,"")</f>
        <v/>
      </c>
      <c r="AI45" s="32">
        <f>IFERROR(AI8/AI5,"")</f>
        <v/>
      </c>
      <c r="AJ45" s="25">
        <f>IFERROR(AJ8/AJ5,"")</f>
        <v/>
      </c>
      <c r="AK45" s="32">
        <f>IFERROR(AK8/AK5,"")</f>
        <v/>
      </c>
      <c r="AL45" s="32">
        <f>IFERROR(AL8/AL5,"")</f>
        <v/>
      </c>
      <c r="AM45" s="32">
        <f>IFERROR(AM8/AM5,"")</f>
        <v/>
      </c>
      <c r="AN45" s="32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1348.08</v>
      </c>
      <c r="AJ21" s="13" t="n">
        <v>1338.78</v>
      </c>
      <c r="AK21" s="13" t="n">
        <v>1338.78</v>
      </c>
      <c r="AL21" s="13" t="n">
        <v>1338.78</v>
      </c>
      <c r="AM21" s="13" t="n">
        <v>1338.78</v>
      </c>
      <c r="AN21" s="13" t="n">
        <v>1338.78</v>
      </c>
      <c r="AO21" s="13" t="n">
        <v>1338.78</v>
      </c>
      <c r="AP21" s="13" t="n">
        <v>1338.78</v>
      </c>
      <c r="AQ21" s="13" t="n">
        <v>1338.78</v>
      </c>
      <c r="AR21" s="13" t="n">
        <v>1338.78</v>
      </c>
      <c r="AS21" s="13" t="n">
        <v>1338.78</v>
      </c>
      <c r="AT21" s="13" t="n">
        <v>1338.78</v>
      </c>
      <c r="AU21" s="13" t="n">
        <v>1338.78</v>
      </c>
      <c r="AV21" s="13" t="n">
        <v>1338.78</v>
      </c>
      <c r="AW21" s="13" t="n">
        <v>1338.78</v>
      </c>
      <c r="AX21" s="13" t="n">
        <v>1338.78</v>
      </c>
      <c r="AY21" s="13" t="n">
        <v>1338.78</v>
      </c>
      <c r="AZ21" s="13" t="n">
        <v>1338.78</v>
      </c>
      <c r="BA21" s="13" t="n">
        <v>1338.78</v>
      </c>
      <c r="BB21" s="13" t="n">
        <v>1338.78</v>
      </c>
      <c r="BC21" s="13" t="n">
        <v>1338.78</v>
      </c>
      <c r="BD21" s="13" t="n">
        <v>1338.78</v>
      </c>
      <c r="BE21" s="13" t="n">
        <v>1338.78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1369.36</v>
      </c>
      <c r="AJ22" s="13" t="n">
        <v>1361.66</v>
      </c>
      <c r="AK22" s="13" t="n">
        <v>1361.66</v>
      </c>
      <c r="AL22" s="13" t="n">
        <v>1361.66</v>
      </c>
      <c r="AM22" s="13" t="n">
        <v>1361.66</v>
      </c>
      <c r="AN22" s="13" t="n">
        <v>1361.66</v>
      </c>
      <c r="AO22" s="13" t="n">
        <v>1361.66</v>
      </c>
      <c r="AP22" s="13" t="n">
        <v>1361.66</v>
      </c>
      <c r="AQ22" s="13" t="n">
        <v>1361.66</v>
      </c>
      <c r="AR22" s="13" t="n">
        <v>1361.66</v>
      </c>
      <c r="AS22" s="13" t="n">
        <v>1361.66</v>
      </c>
      <c r="AT22" s="13" t="n">
        <v>1361.66</v>
      </c>
      <c r="AU22" s="13" t="n">
        <v>1361.66</v>
      </c>
      <c r="AV22" s="13" t="n">
        <v>1361.66</v>
      </c>
      <c r="AW22" s="13" t="n">
        <v>1361.66</v>
      </c>
      <c r="AX22" s="13" t="n">
        <v>1361.66</v>
      </c>
      <c r="AY22" s="13" t="n">
        <v>1361.66</v>
      </c>
      <c r="AZ22" s="13" t="n">
        <v>1361.66</v>
      </c>
      <c r="BA22" s="13" t="n">
        <v>1361.66</v>
      </c>
      <c r="BB22" s="13" t="n">
        <v>1361.66</v>
      </c>
      <c r="BC22" s="13" t="n">
        <v>1361.66</v>
      </c>
      <c r="BD22" s="13" t="n">
        <v>1361.66</v>
      </c>
      <c r="BE22" s="13" t="n">
        <v>1361.66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1631553.4</v>
      </c>
      <c r="AJ23" s="18" t="n">
        <v>1512407.8</v>
      </c>
      <c r="AK23" s="18" t="n">
        <v>1438063</v>
      </c>
      <c r="AL23" s="18" t="n">
        <v>1445670.8</v>
      </c>
      <c r="AM23" s="18" t="n">
        <v>1432119.2</v>
      </c>
      <c r="AN23" s="18" t="n">
        <v>1394255.1</v>
      </c>
      <c r="AO23" s="18" t="n">
        <v>1313363.2</v>
      </c>
      <c r="AP23" s="18" t="n">
        <v>1253807.2</v>
      </c>
      <c r="AQ23" s="18" t="n">
        <v>1233852.4</v>
      </c>
      <c r="AR23" s="18" t="n">
        <v>1114249.2</v>
      </c>
      <c r="AS23" s="18" t="n">
        <v>956409.1</v>
      </c>
      <c r="AT23" s="18" t="n">
        <v>419479.8</v>
      </c>
      <c r="AU23" s="18" t="n">
        <v>210680.9</v>
      </c>
      <c r="AV23" s="18" t="n">
        <v>119767.8</v>
      </c>
      <c r="AW23" s="18" t="n">
        <v>60619.9</v>
      </c>
      <c r="AX23" s="18" t="n">
        <v>61286.1</v>
      </c>
      <c r="AY23" s="18" t="n">
        <v>53932.4</v>
      </c>
      <c r="AZ23" s="18" t="n">
        <v>33480.7</v>
      </c>
      <c r="BA23" s="18" t="n">
        <v>33852.7</v>
      </c>
      <c r="BB23" s="18" t="n">
        <v>34224.7</v>
      </c>
      <c r="BC23" s="18" t="n">
        <v>34224.7</v>
      </c>
      <c r="BD23" s="18" t="n">
        <v>33852.7</v>
      </c>
      <c r="BE23" s="18" t="n">
        <v>33852.7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5753136</v>
      </c>
      <c r="BN23" s="18" t="n">
        <v>5828260.8</v>
      </c>
      <c r="BO23" s="18" t="n">
        <v>5195277.9</v>
      </c>
      <c r="BP23" s="18" t="n">
        <v>2700819</v>
      </c>
      <c r="BQ23" s="18" t="n">
        <v>295606.2</v>
      </c>
      <c r="BR23" s="18" t="n">
        <v>135782.8</v>
      </c>
      <c r="BS23" s="18" t="n">
        <v>67705.39999999999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1547204.1</v>
      </c>
      <c r="AJ24" s="18" t="n">
        <v>1430356.4</v>
      </c>
      <c r="AK24" s="18" t="n">
        <v>1402624.9</v>
      </c>
      <c r="AL24" s="18" t="n">
        <v>1411481.1</v>
      </c>
      <c r="AM24" s="18" t="n">
        <v>1397929.5</v>
      </c>
      <c r="AN24" s="18" t="n">
        <v>1382734.7</v>
      </c>
      <c r="AO24" s="18" t="n">
        <v>1313363.2</v>
      </c>
      <c r="AP24" s="18" t="n">
        <v>1253807.2</v>
      </c>
      <c r="AQ24" s="18" t="n">
        <v>1233852.4</v>
      </c>
      <c r="AR24" s="18" t="n">
        <v>1114249.2</v>
      </c>
      <c r="AS24" s="18" t="n">
        <v>956409.1</v>
      </c>
      <c r="AT24" s="18" t="n">
        <v>419479.8</v>
      </c>
      <c r="AU24" s="18" t="n">
        <v>210680.9</v>
      </c>
      <c r="AV24" s="18" t="n">
        <v>119767.8</v>
      </c>
      <c r="AW24" s="18" t="n">
        <v>60619.9</v>
      </c>
      <c r="AX24" s="18" t="n">
        <v>61286.1</v>
      </c>
      <c r="AY24" s="18" t="n">
        <v>53932.4</v>
      </c>
      <c r="AZ24" s="18" t="n">
        <v>33480.7</v>
      </c>
      <c r="BA24" s="18" t="n">
        <v>33852.7</v>
      </c>
      <c r="BB24" s="18" t="n">
        <v>34224.7</v>
      </c>
      <c r="BC24" s="18" t="n">
        <v>34224.7</v>
      </c>
      <c r="BD24" s="18" t="n">
        <v>33852.7</v>
      </c>
      <c r="BE24" s="18" t="n">
        <v>33852.7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5401237</v>
      </c>
      <c r="BN24" s="18" t="n">
        <v>5642391.9</v>
      </c>
      <c r="BO24" s="18" t="n">
        <v>5183757.5</v>
      </c>
      <c r="BP24" s="18" t="n">
        <v>2700819</v>
      </c>
      <c r="BQ24" s="18" t="n">
        <v>295606.2</v>
      </c>
      <c r="BR24" s="18" t="n">
        <v>135782.8</v>
      </c>
      <c r="BS24" s="18" t="n">
        <v>67705.39999999999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1242438.8</v>
      </c>
      <c r="AJ25" s="18" t="n">
        <v>1133893.6</v>
      </c>
      <c r="AK25" s="18" t="n">
        <v>1102868.1</v>
      </c>
      <c r="AL25" s="18" t="n">
        <v>1108430.3</v>
      </c>
      <c r="AM25" s="18" t="n">
        <v>1094878.7</v>
      </c>
      <c r="AN25" s="18" t="n">
        <v>1082977.9</v>
      </c>
      <c r="AO25" s="18" t="n">
        <v>1013606.4</v>
      </c>
      <c r="AP25" s="18" t="n">
        <v>950756.4</v>
      </c>
      <c r="AQ25" s="18" t="n">
        <v>930801.6</v>
      </c>
      <c r="AR25" s="18" t="n">
        <v>817786.4</v>
      </c>
      <c r="AS25" s="18" t="n">
        <v>656652.3</v>
      </c>
      <c r="AT25" s="18" t="n">
        <v>129939.9</v>
      </c>
      <c r="AU25" s="18" t="n">
        <v>104796.3</v>
      </c>
      <c r="AV25" s="18" t="n">
        <v>34715.2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304765.3</v>
      </c>
      <c r="AJ26" s="18" t="n">
        <v>296462.8</v>
      </c>
      <c r="AK26" s="18" t="n">
        <v>299756.8</v>
      </c>
      <c r="AL26" s="18" t="n">
        <v>303050.8</v>
      </c>
      <c r="AM26" s="18" t="n">
        <v>303050.8</v>
      </c>
      <c r="AN26" s="18" t="n">
        <v>299756.8</v>
      </c>
      <c r="AO26" s="18" t="n">
        <v>299756.8</v>
      </c>
      <c r="AP26" s="18" t="n">
        <v>303050.8</v>
      </c>
      <c r="AQ26" s="18" t="n">
        <v>303050.8</v>
      </c>
      <c r="AR26" s="18" t="n">
        <v>296462.8</v>
      </c>
      <c r="AS26" s="18" t="n">
        <v>299756.8</v>
      </c>
      <c r="AT26" s="18" t="n">
        <v>289540</v>
      </c>
      <c r="AU26" s="18" t="n">
        <v>105884.6</v>
      </c>
      <c r="AV26" s="18" t="n">
        <v>85052.60000000001</v>
      </c>
      <c r="AW26" s="18" t="n">
        <v>60619.9</v>
      </c>
      <c r="AX26" s="18" t="n">
        <v>61286.1</v>
      </c>
      <c r="AY26" s="18" t="n">
        <v>53932.4</v>
      </c>
      <c r="AZ26" s="18" t="n">
        <v>33480.7</v>
      </c>
      <c r="BA26" s="18" t="n">
        <v>33852.7</v>
      </c>
      <c r="BB26" s="18" t="n">
        <v>34224.7</v>
      </c>
      <c r="BC26" s="18" t="n">
        <v>34224.7</v>
      </c>
      <c r="BD26" s="18" t="n">
        <v>33852.7</v>
      </c>
      <c r="BE26" s="18" t="n">
        <v>33852.7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0.05</v>
      </c>
      <c r="F27" s="21" t="n">
        <v>0.05</v>
      </c>
      <c r="G27" s="21" t="n">
        <v>0.05</v>
      </c>
      <c r="H27" s="21" t="n">
        <v>0.05</v>
      </c>
      <c r="I27" s="21" t="n">
        <v>0.05</v>
      </c>
      <c r="J27" s="21" t="n">
        <v>0.05</v>
      </c>
      <c r="K27" s="21" t="n">
        <v>0.05</v>
      </c>
      <c r="L27" s="21" t="n">
        <v>0.05</v>
      </c>
      <c r="M27" s="21" t="n">
        <v>0.0566</v>
      </c>
      <c r="N27" s="21" t="n">
        <v>0.0704</v>
      </c>
      <c r="O27" s="21" t="n">
        <v>0.0704</v>
      </c>
      <c r="P27" s="21" t="n">
        <v>0.0704</v>
      </c>
      <c r="Q27" s="21" t="n">
        <v>0.0704</v>
      </c>
      <c r="R27" s="21" t="n">
        <v>0.0704</v>
      </c>
      <c r="S27" s="21" t="n">
        <v>0.0704</v>
      </c>
      <c r="T27" s="21" t="n">
        <v>0.0762</v>
      </c>
      <c r="U27" s="21" t="n">
        <v>0.1161</v>
      </c>
      <c r="V27" s="21" t="n">
        <v>0.1203</v>
      </c>
      <c r="W27" s="21" t="n">
        <v>0.1223</v>
      </c>
      <c r="X27" s="21" t="n">
        <v>0.1281</v>
      </c>
      <c r="Y27" s="21" t="n">
        <v>0.133</v>
      </c>
      <c r="Z27" s="21" t="n">
        <v>0.1384</v>
      </c>
      <c r="AA27" s="21" t="n">
        <v>0.1384</v>
      </c>
      <c r="AB27" s="21" t="n">
        <v>0.1384</v>
      </c>
      <c r="AC27" s="21" t="n">
        <v>0.1384</v>
      </c>
      <c r="AD27" s="21" t="n">
        <v>0.1396</v>
      </c>
      <c r="AE27" s="21" t="n">
        <v>0.1445</v>
      </c>
      <c r="AF27" s="21" t="n">
        <v>0.1467</v>
      </c>
      <c r="AG27" s="21" t="n">
        <v>0.1472</v>
      </c>
      <c r="AH27" s="21" t="n">
        <v>0.1476</v>
      </c>
      <c r="AI27" s="21" t="n">
        <v>0.1478</v>
      </c>
      <c r="AJ27" s="21" t="n">
        <v>0.1491</v>
      </c>
      <c r="AK27" s="21" t="n">
        <v>0.15</v>
      </c>
      <c r="AL27" s="21" t="n">
        <v>0.15</v>
      </c>
      <c r="AM27" s="21" t="n">
        <v>0.15</v>
      </c>
      <c r="AN27" s="21" t="n">
        <v>0.15</v>
      </c>
      <c r="AO27" s="21" t="n">
        <v>0.15</v>
      </c>
      <c r="AP27" s="21" t="n">
        <v>0.15</v>
      </c>
      <c r="AQ27" s="21" t="n">
        <v>0.15</v>
      </c>
      <c r="AR27" s="21" t="n">
        <v>0.15</v>
      </c>
      <c r="AS27" s="21" t="n">
        <v>0.15</v>
      </c>
      <c r="AT27" s="21" t="n">
        <v>0.15</v>
      </c>
      <c r="AU27" s="21" t="n">
        <v>0.15</v>
      </c>
      <c r="AV27" s="21" t="n">
        <v>0.15</v>
      </c>
      <c r="AW27" s="21" t="n">
        <v>0.15</v>
      </c>
      <c r="AX27" s="21" t="n">
        <v>0.15</v>
      </c>
      <c r="AY27" s="21" t="n">
        <v>0.15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+ 0</t>
        </is>
      </c>
    </row>
    <row r="30">
      <c r="A30" s="12" t="inlineStr">
        <is>
          <t>헤지비율</t>
        </is>
      </c>
      <c r="D30" s="21">
        <f>변수!$D$60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원/달러(평균)",환율,MATCH(AI$1,변수H,0),0),1348.08)</f>
        <v/>
      </c>
      <c r="AJ32" s="13">
        <f>IFERROR(VLOOKUP(" 원/달러(평균)",환율,MATCH(AJ$1,변수H,0),0),1338.78)</f>
        <v/>
      </c>
      <c r="AK32" s="13">
        <f>IFERROR(VLOOKUP(" 원/달러(평균)",환율,MATCH(AK$1,변수H,0),0),1338.78)</f>
        <v/>
      </c>
      <c r="AL32" s="13">
        <f>IFERROR(VLOOKUP(" 원/달러(평균)",환율,MATCH(AL$1,변수H,0),0),1338.78)</f>
        <v/>
      </c>
      <c r="AM32" s="13">
        <f>IFERROR(VLOOKUP(" 원/달러(평균)",환율,MATCH(AM$1,변수H,0),0),1338.78)</f>
        <v/>
      </c>
      <c r="AN32" s="13">
        <f>IFERROR(VLOOKUP(" 원/달러(평균)",환율,MATCH(AN$1,변수H,0),0),1338.78)</f>
        <v/>
      </c>
      <c r="AO32" s="13">
        <f>IFERROR(VLOOKUP(" 원/달러(평균)",환율,MATCH(AO$1,변수H,0),0),1338.78)</f>
        <v/>
      </c>
      <c r="AP32" s="13">
        <f>IFERROR(VLOOKUP(" 원/달러(평균)",환율,MATCH(AP$1,변수H,0),0),1338.78)</f>
        <v/>
      </c>
      <c r="AQ32" s="13">
        <f>IFERROR(VLOOKUP(" 원/달러(평균)",환율,MATCH(AQ$1,변수H,0),0),1338.78)</f>
        <v/>
      </c>
      <c r="AR32" s="13">
        <f>IFERROR(VLOOKUP(" 원/달러(평균)",환율,MATCH(AR$1,변수H,0),0),1338.78)</f>
        <v/>
      </c>
      <c r="AS32" s="13">
        <f>IFERROR(VLOOKUP(" 원/달러(평균)",환율,MATCH(AS$1,변수H,0),0),1338.78)</f>
        <v/>
      </c>
      <c r="AT32" s="13">
        <f>IFERROR(VLOOKUP(" 원/달러(평균)",환율,MATCH(AT$1,변수H,0),0),1338.78)</f>
        <v/>
      </c>
      <c r="AU32" s="13">
        <f>IFERROR(VLOOKUP(" 원/달러(평균)",환율,MATCH(AU$1,변수H,0),0),1338.78)</f>
        <v/>
      </c>
      <c r="AV32" s="13">
        <f>IFERROR(VLOOKUP(" 원/달러(평균)",환율,MATCH(AV$1,변수H,0),0),1338.78)</f>
        <v/>
      </c>
      <c r="AW32" s="13">
        <f>IFERROR(VLOOKUP(" 원/달러(평균)",환율,MATCH(AW$1,변수H,0),0),1338.78)</f>
        <v/>
      </c>
      <c r="AX32" s="13">
        <f>IFERROR(VLOOKUP(" 원/달러(평균)",환율,MATCH(AX$1,변수H,0),0),1338.78)</f>
        <v/>
      </c>
      <c r="AY32" s="13">
        <f>IFERROR(VLOOKUP(" 원/달러(평균)",환율,MATCH(AY$1,변수H,0),0),1338.78)</f>
        <v/>
      </c>
      <c r="AZ32" s="13">
        <f>IFERROR(VLOOKUP(" 원/달러(평균)",환율,MATCH(AZ$1,변수H,0),0),1338.78)</f>
        <v/>
      </c>
      <c r="BA32" s="13">
        <f>IFERROR(VLOOKUP(" 원/달러(평균)",환율,MATCH(BA$1,변수H,0),0),1338.78)</f>
        <v/>
      </c>
      <c r="BB32" s="13">
        <f>IFERROR(VLOOKUP(" 원/달러(평균)",환율,MATCH(BB$1,변수H,0),0),1338.78)</f>
        <v/>
      </c>
      <c r="BC32" s="13">
        <f>IFERROR(VLOOKUP(" 원/달러(평균)",환율,MATCH(BC$1,변수H,0),0),1338.78)</f>
        <v/>
      </c>
      <c r="BD32" s="13">
        <f>IFERROR(VLOOKUP(" 원/달러(평균)",환율,MATCH(BD$1,변수H,0),0),1338.78)</f>
        <v/>
      </c>
      <c r="BE32" s="13">
        <f>IFERROR(VLOOKUP(" 원/달러(평균)",환율,MATCH(BE$1,변수H,0),0),1338.78)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1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1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1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1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1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1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1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1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1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1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1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1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1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1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1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1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1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1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1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1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1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1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1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1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1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1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1</v>
      </c>
      <c r="BV62" s="16" t="n">
        <v>1472.04</v>
      </c>
      <c r="BW62" s="41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1</v>
      </c>
      <c r="BV63" s="16" t="n">
        <v>1472.04</v>
      </c>
      <c r="BW63" s="41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1</v>
      </c>
      <c r="BV64" s="16" t="n">
        <v>1472.04</v>
      </c>
      <c r="BW64" s="41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1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1</v>
      </c>
      <c r="BV66" s="16" t="n">
        <v>1472.04</v>
      </c>
      <c r="BW66" s="41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1</v>
      </c>
      <c r="BV67" s="16" t="n">
        <v>1472.04</v>
      </c>
      <c r="BW67" s="41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1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1</v>
      </c>
      <c r="BV69" s="16" t="n">
        <v>1472.04</v>
      </c>
      <c r="BW69" s="41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14.76% vs 캘리브레이션 10.54%. 바꾸려면 --opm-table reference_calibrated(오너 결정 — 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</t>
        </is>
      </c>
      <c r="D39" t="inlineStr">
        <is>
          <t>OP 조선·해양(상선·해양및특수선·EP및특수선)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2">
        <f>IFERROR(VLOOKUP($A42,subQ,MATCH(X$1,SUBQH,0),0),"")</f>
        <v/>
      </c>
      <c r="Y42" s="32">
        <f>IFERROR(VLOOKUP($A42,subQ,MATCH(Y$1,SUBQH,0),0),"")</f>
        <v/>
      </c>
      <c r="Z42" s="32">
        <f>IFERROR(VLOOKUP($A42,subQ,MATCH(Z$1,SUBQH,0),0),"")</f>
        <v/>
      </c>
      <c r="AA42" s="32">
        <f>IFERROR(VLOOKUP($A42,subQ,MATCH(AA$1,SUBQH,0),0),"")</f>
        <v/>
      </c>
      <c r="AB42" s="32">
        <f>IFERROR(VLOOKUP($A42,subQ,MATCH(AB$1,SUBQH,0),0),"")</f>
        <v/>
      </c>
      <c r="AC42" s="32">
        <f>IFERROR(VLOOKUP($A42,subQ,MATCH(AC$1,SUBQH,0),0),"")</f>
        <v/>
      </c>
      <c r="AD42" s="32">
        <f>IFERROR(VLOOKUP($A42,subQ,MATCH(AD$1,SUBQH,0),0),"")</f>
        <v/>
      </c>
      <c r="AE42" s="32">
        <f>IFERROR(VLOOKUP($A42,subQ,MATCH(AE$1,SUBQH,0),0),"")</f>
        <v/>
      </c>
      <c r="AF42" s="32">
        <f>IFERROR(VLOOKUP($A42,subQ,MATCH(AF$1,SUBQH,0),0),"")</f>
        <v/>
      </c>
      <c r="AG42" s="32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2">
        <f>IFERROR(X5/T5-1,"")</f>
        <v/>
      </c>
      <c r="Y43" s="32">
        <f>IFERROR(Y5/U5-1,"")</f>
        <v/>
      </c>
      <c r="Z43" s="32">
        <f>IFERROR(Z5/V5-1,"")</f>
        <v/>
      </c>
      <c r="AA43" s="32">
        <f>IFERROR(AA5/W5-1,"")</f>
        <v/>
      </c>
      <c r="AB43" s="32">
        <f>IFERROR(AB5/X5-1,"")</f>
        <v/>
      </c>
      <c r="AC43" s="32">
        <f>IFERROR(AC5/Y5-1,"")</f>
        <v/>
      </c>
      <c r="AD43" s="32">
        <f>IFERROR(AD5/Z5-1,"")</f>
        <v/>
      </c>
      <c r="AE43" s="32">
        <f>IFERROR(AE5/AA5-1,"")</f>
        <v/>
      </c>
      <c r="AF43" s="32">
        <f>IFERROR(AF5/AB5-1,"")</f>
        <v/>
      </c>
      <c r="AG43" s="32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2">
        <f>IFERROR(X9/T9-1,"")</f>
        <v/>
      </c>
      <c r="Y44" s="32">
        <f>IFERROR(Y9/U9-1,"")</f>
        <v/>
      </c>
      <c r="Z44" s="32">
        <f>IFERROR(Z9/V9-1,"")</f>
        <v/>
      </c>
      <c r="AA44" s="32">
        <f>IFERROR(AA9/W9-1,"")</f>
        <v/>
      </c>
      <c r="AB44" s="32">
        <f>IFERROR(AB9/X9-1,"")</f>
        <v/>
      </c>
      <c r="AC44" s="32">
        <f>IFERROR(AC9/Y9-1,"")</f>
        <v/>
      </c>
      <c r="AD44" s="32">
        <f>IFERROR(AD9/Z9-1,"")</f>
        <v/>
      </c>
      <c r="AE44" s="32">
        <f>IFERROR(AE9/AA9-1,"")</f>
        <v/>
      </c>
      <c r="AF44" s="32">
        <f>IFERROR(AF9/AB9-1,"")</f>
        <v/>
      </c>
      <c r="AG44" s="32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2">
        <f>IFERROR(X21/T21-1,"")</f>
        <v/>
      </c>
      <c r="Y45" s="32">
        <f>IFERROR(Y21/U21-1,"")</f>
        <v/>
      </c>
      <c r="Z45" s="32">
        <f>IFERROR(Z21/V21-1,"")</f>
        <v/>
      </c>
      <c r="AA45" s="32">
        <f>IFERROR(AA21/W21-1,"")</f>
        <v/>
      </c>
      <c r="AB45" s="32">
        <f>IFERROR(AB21/X21-1,"")</f>
        <v/>
      </c>
      <c r="AC45" s="32">
        <f>IFERROR(AC21/Y21-1,"")</f>
        <v/>
      </c>
      <c r="AD45" s="32">
        <f>IFERROR(AD21/Z21-1,"")</f>
        <v/>
      </c>
      <c r="AE45" s="32">
        <f>IFERROR(AE21/AA21-1,"")</f>
        <v/>
      </c>
      <c r="AF45" s="32">
        <f>IFERROR(AF21/AB21-1,"")</f>
        <v/>
      </c>
      <c r="AG45" s="32">
        <f>IFERROR(AG21/AC21-1,"")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</t>
        </is>
      </c>
      <c r="D39" t="inlineStr">
        <is>
          <t>OP 조선·해양(상선·해양및특수선·EP및특수선)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2">
        <f>IFERROR(VLOOKUP($A42,subQ,MATCH(J$1,SUBQH,0),0),"")</f>
        <v/>
      </c>
      <c r="K42" s="32">
        <f>IFERROR(VLOOKUP($A42,subQ,MATCH(K$1,SUBQH,0),0),"")</f>
        <v/>
      </c>
      <c r="L42" s="32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2">
        <f>IFERROR(J5/I5-1,"")</f>
        <v/>
      </c>
      <c r="K43" s="32">
        <f>IFERROR(K5/J5-1,"")</f>
        <v/>
      </c>
      <c r="L43" s="32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2">
        <f>IFERROR(J9/I9-1,"")</f>
        <v/>
      </c>
      <c r="K44" s="32">
        <f>IFERROR(K9/J9-1,"")</f>
        <v/>
      </c>
      <c r="L44" s="32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2">
        <f>IFERROR(J21/I21-1,"")</f>
        <v/>
      </c>
      <c r="K45" s="32">
        <f>IFERROR(K21/J21-1,"")</f>
        <v/>
      </c>
      <c r="L45" s="32">
        <f>IFERROR(L21/K21-1,"")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4414.6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16.85</v>
      </c>
    </row>
    <row r="32">
      <c r="C32" s="2" t="inlineStr">
        <is>
          <t>pbr_now</t>
        </is>
      </c>
      <c r="D32" t="n">
        <v>3.03</v>
      </c>
    </row>
    <row r="33">
      <c r="C33" s="2" t="inlineStr">
        <is>
          <t>roe_fwd</t>
        </is>
      </c>
      <c r="D33" t="n">
        <v>0.1798</v>
      </c>
    </row>
    <row r="34">
      <c r="C34" s="2" t="inlineStr">
        <is>
          <t>fair_pbr</t>
        </is>
      </c>
      <c r="D34" t="n">
        <v>2</v>
      </c>
    </row>
    <row r="35">
      <c r="C35" s="2" t="inlineStr">
        <is>
          <t>fair_value_pbr</t>
        </is>
      </c>
      <c r="D35" t="n">
        <v>49100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