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13795억(sls.by_quarter.marine_hedged_krw_m_signed_by_origin(헤지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1298억 중 928억 제외(패널 신규수주 규모만큼, 72%)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13278억(sls.by_quarter.marine_hedged_krw_m_signed_by_origin(헤지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143141억)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3044억 중 2177억 제외(패널 신규수주 규모만큼, 72%)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12183억(sls.by_quarter.marine_hedged_krw_m_signed_by_origin(헤지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116980억)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2964억 중 2120억 제외(패널 신규수주 규모만큼, 72%)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11882억(sls.by_quarter.marine_hedged_krw_m_signed_by_origin(헤지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90819억)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2997억 중 2143억 제외(패널 신규수주 규모만큼, 72%)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11947억(sls.by_quarter.marine_hedged_krw_m_signed_by_origin(헤지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64658억)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11812억(sls.by_quarter.marine_hedged_krw_m_signed_by_origin(헤지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38497억)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11683억(sls.by_quarter.marine_hedged_krw_m_signed_by_origin(헤지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12336억)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2997억 중 2143억 제외(패널 신규수주 규모만큼, 72%)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10990억(sls.by_quarter.marine_hedged_krw_m_signed_by_origin(헤지 17% 적용; origin 2026Q2 이후 체결 6건 중 패널 신규수주 규모만큼(72%) 제외 — 패널 신규에 포함)) + 원장 밖 잔고 소진 12336억(최근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2997억 중 2143억 제외(패널 신규수주 규모만큼, 72%)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10371억(sls.by_quarter.marine_hedged_krw_m_signed_by_origin(헤지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10171억(sls.by_quarter.marine_hedged_krw_m_signed_by_origin(헤지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24396억(forecast_panel.json.gz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15070억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18258억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21496억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24854억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28461억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32393억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36676억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41336억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45037억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47907억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15070억 × 7.20%(주석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18258억 × 7.20%(주석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21496억 × 7.20%(주석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24854억 × 7.20%(주석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28461억 × 7.20%(주석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32393억 × 7.20%(주석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36676억 × 7.20%(주석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41336억 × 7.20%(주석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45037억 × 7.20%(주석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47907억 × 7.20%(주석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D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F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G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H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I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K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L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M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N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13795억(sls.by_quarter.marine_hedged_krw_m_signed_by_origin(헤지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1298억 중 928억 제외(패널 신규수주 규모만큼, 72%)
[sls_link]</t>
      </text>
    </comment>
    <comment ref="AD38" authorId="0" shapeId="0">
      <text>
        <t>추정: SLS 해양 원화 13278억(sls.by_quarter.marine_hedged_krw_m_signed_by_origin(헤지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143141억)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3044억 중 2177억 제외(패널 신규수주 규모만큼, 72%)
[sls_link]</t>
      </text>
    </comment>
    <comment ref="AF38" authorId="0" shapeId="0">
      <text>
        <t>추정: SLS 해양 원화 12183억(sls.by_quarter.marine_hedged_krw_m_signed_by_origin(헤지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116980억)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2964억 중 2120억 제외(패널 신규수주 규모만큼, 72%)
[sls_link]</t>
      </text>
    </comment>
    <comment ref="AG38" authorId="0" shapeId="0">
      <text>
        <t>추정: SLS 해양 원화 11882억(sls.by_quarter.marine_hedged_krw_m_signed_by_origin(헤지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90819억)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2997억 중 2143억 제외(패널 신규수주 규모만큼, 72%)
[sls_link]</t>
      </text>
    </comment>
    <comment ref="AH38" authorId="0" shapeId="0">
      <text>
        <t>추정: SLS 해양 원화 11947억(sls.by_quarter.marine_hedged_krw_m_signed_by_origin(헤지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64658억)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
[sls_link]</t>
      </text>
    </comment>
    <comment ref="AI38" authorId="0" shapeId="0">
      <text>
        <t>추정: SLS 해양 원화 11812억(sls.by_quarter.marine_hedged_krw_m_signed_by_origin(헤지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38497억)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
[sls_link]</t>
      </text>
    </comment>
    <comment ref="AK38" authorId="0" shapeId="0">
      <text>
        <t>추정: SLS 해양 원화 11683억(sls.by_quarter.marine_hedged_krw_m_signed_by_origin(헤지 17% 적용; origin 2026Q2 이후 체결 6건 중 패널 신규수주 규모만큼(72%) 제외 — 패널 신규에 포함)) + 원장 밖 잔고 소진 26161억(최근 4분기 '부문매출−SLS' 중위 26161억/분기, 잔여 12336억)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2997억 중 2143억 제외(패널 신규수주 규모만큼, 72%)
[sls_link]</t>
      </text>
    </comment>
    <comment ref="AL38" authorId="0" shapeId="0">
      <text>
        <t>추정: SLS 해양 원화 10990억(sls.by_quarter.marine_hedged_krw_m_signed_by_origin(헤지 17% 적용; origin 2026Q2 이후 체결 6건 중 패널 신규수주 규모만큼(72%) 제외 — 패널 신규에 포함)) + 원장 밖 잔고 소진 12336억(최근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2997억 중 2143억 제외(패널 신규수주 규모만큼, 72%)
[sls_link]</t>
      </text>
    </comment>
    <comment ref="AM38" authorId="0" shapeId="0">
      <text>
        <t>추정: SLS 해양 원화 10371억(sls.by_quarter.marine_hedged_krw_m_signed_by_origin(헤지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
[sls_link]</t>
      </text>
    </comment>
    <comment ref="AN38" authorId="0" shapeId="0">
      <text>
        <t>추정: SLS 해양 원화 10171억(sls.by_quarter.marine_hedged_krw_m_signed_by_origin(헤지 17% 적용; origin 2026Q2 이후 체결 6건 중 패널 신규수주 규모만큼(72%) 제외 — 패널 신규에 포함)) + 원장 밖 잔고 소진 0억(최근 4분기 '부문매출−SLS' 중위 26161억/분기, 잔여 0억) + 신규수주 매출 24396억(forecast_panel.json.gz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저신뢰) · origin 이후 공시 수주 SLS 3030억 중 2167억 제외(패널 신규수주 규모만큼, 72%)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-42.9% 가 5~27% 밖; 세전 &gt; 0 분기 중위 0.7% 도 5~27% 밖 → 법정세율 근사 22% 가정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7.20% / 부채 3.57% — 이자손익 = (전분기 이자발생자산 × 자산이자율 − 전분기 총차입금 × 부채이자율)/4, 최소자승 역산(모델 assumptions [0.072,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신규수주 매출(covered_scope_new_revenue, 미보정 book-value proxy, status partial; FY합 100,974억)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 중 패널 신규수주 규모(체결 분기별 한도)만큼 72% 만 기존 SLS 에서 제외 — 나머지 28% 는 선표에 유지(패널이 공시 체결 속도보다 작음: 2026Q3 패널 31,967억 vs 공시 44,707억) — 추정 창 SLS −20,322억(2026 3,105억 · 2027 8,597억 · 2028 8,620억)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44,707억 vs 패널 base 신규수주 31,967억(140%). 공시 수주의 인식 시점·진행률(선형, 체결 분기부터)은 패널 가정과 다르다(calibrated=false) — FY 제외 SLS vs 패널 base 신규 매출: 2026 3,105억 vs 525억 · 2027 8,597억 vs 23,608억 · 2028 8,620억 vs 76,841억 / 감가상각비가 face·CF 에 없음(주석 미파싱) → EBITDA·EV/EBITDA 미산출 / 금융손익 실적→추정 단절: 최근 4분기 실적 +30/+489/-282/-827(중위 -126억) → 추정 2026Q3 -264억(차 -138억, -110%)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71900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76180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-0.010258093</v>
      </c>
      <c r="AD30" s="29" t="n">
        <v>0.002290663</v>
      </c>
      <c r="AE30" s="30" t="n"/>
      <c r="AF30" s="29" t="n">
        <v>0.001835503</v>
      </c>
      <c r="AG30" s="29" t="n">
        <v>-0.006723585</v>
      </c>
      <c r="AH30" s="29" t="n">
        <v>-0.009416603000000001</v>
      </c>
      <c r="AI30" s="29" t="n">
        <v>0.001059672</v>
      </c>
      <c r="AJ30" s="30" t="n"/>
      <c r="AK30" s="29" t="n">
        <v>-0.015296469</v>
      </c>
      <c r="AL30" s="29" t="n">
        <v>2.892e-06</v>
      </c>
      <c r="AM30" s="29" t="n">
        <v>-0.007072188</v>
      </c>
      <c r="AN30" s="29" t="n">
        <v>-0.000322071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-0.010822672</v>
      </c>
      <c r="AD31" s="29" t="n">
        <v>0.010869208</v>
      </c>
      <c r="AE31" s="30" t="n"/>
      <c r="AF31" s="29" t="n">
        <v>-0.003668361</v>
      </c>
      <c r="AG31" s="29" t="n">
        <v>-0.000835822</v>
      </c>
      <c r="AH31" s="29" t="n">
        <v>-0.004684027</v>
      </c>
      <c r="AI31" s="29" t="n">
        <v>-0.006295407</v>
      </c>
      <c r="AJ31" s="30" t="n"/>
      <c r="AK31" s="29" t="n">
        <v>-0.005639676</v>
      </c>
      <c r="AL31" s="29" t="n">
        <v>-0.00731985</v>
      </c>
      <c r="AM31" s="29" t="n">
        <v>-0.005802572</v>
      </c>
      <c r="AN31" s="29" t="n">
        <v>-0.000600178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-0.07035767800000001</v>
      </c>
      <c r="AD33" s="31" t="n">
        <v>-0.076894676</v>
      </c>
      <c r="AE33" s="25" t="n"/>
      <c r="AF33" s="31" t="n">
        <v>-0.086352075</v>
      </c>
      <c r="AG33" s="31" t="n">
        <v>-0.101557743</v>
      </c>
      <c r="AH33" s="31" t="n">
        <v>-0.12319745</v>
      </c>
      <c r="AI33" s="31" t="n">
        <v>-0.153063154</v>
      </c>
      <c r="AJ33" s="25" t="n"/>
      <c r="AK33" s="31" t="n">
        <v>-0.196655735</v>
      </c>
      <c r="AL33" s="31" t="n">
        <v>-0.194383282</v>
      </c>
      <c r="AM33" s="31" t="n">
        <v>-0.187101107</v>
      </c>
      <c r="AN33" s="31" t="n">
        <v>-0.257085316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0.211510435</v>
      </c>
      <c r="AD34" s="31" t="n">
        <v>0.177380238</v>
      </c>
      <c r="AE34" s="25" t="n"/>
      <c r="AF34" s="31" t="n">
        <v>0.156176703</v>
      </c>
      <c r="AG34" s="31" t="n">
        <v>0.145148039</v>
      </c>
      <c r="AH34" s="31" t="n">
        <v>0.138142842</v>
      </c>
      <c r="AI34" s="31" t="n">
        <v>0.132221585</v>
      </c>
      <c r="AJ34" s="25" t="n"/>
      <c r="AK34" s="31" t="n">
        <v>0.127074355</v>
      </c>
      <c r="AL34" s="31" t="n">
        <v>0.089528094</v>
      </c>
      <c r="AM34" s="31" t="n">
        <v>0.063718688</v>
      </c>
      <c r="AN34" s="31" t="n">
        <v>0.066907912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26530.920974</v>
      </c>
      <c r="AD40" s="29" t="n">
        <v>27028.508064</v>
      </c>
      <c r="AE40" s="30" t="n"/>
      <c r="AF40" s="29" t="n">
        <v>27005.871358</v>
      </c>
      <c r="AG40" s="29" t="n">
        <v>27015.173461</v>
      </c>
      <c r="AH40" s="29" t="n">
        <v>27024.579897</v>
      </c>
      <c r="AI40" s="29" t="n">
        <v>27024.574955</v>
      </c>
      <c r="AJ40" s="30" t="n"/>
      <c r="AK40" s="29" t="n">
        <v>27015.173973</v>
      </c>
      <c r="AL40" s="29" t="n">
        <v>13189.98406</v>
      </c>
      <c r="AM40" s="29" t="n">
        <v>863.478631</v>
      </c>
      <c r="AN40" s="29" t="n">
        <v>863.570783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525.42</v>
      </c>
      <c r="AE41" s="30">
        <f>subQ!AE39</f>
        <v/>
      </c>
      <c r="AF41" s="29" t="n">
        <v>1989.58</v>
      </c>
      <c r="AG41" s="29" t="n">
        <v>4224.28</v>
      </c>
      <c r="AH41" s="29" t="n">
        <v>7061.37</v>
      </c>
      <c r="AI41" s="29" t="n">
        <v>10332.65</v>
      </c>
      <c r="AJ41" s="30">
        <f>subQ!AJ39</f>
        <v/>
      </c>
      <c r="AK41" s="29" t="n">
        <v>13869.95</v>
      </c>
      <c r="AL41" s="29" t="n">
        <v>17505.09</v>
      </c>
      <c r="AM41" s="29" t="n">
        <v>21069.91</v>
      </c>
      <c r="AN41" s="29" t="n">
        <v>24396.21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0.118831519</v>
      </c>
      <c r="AD42" s="31" t="n">
        <v>0.119007673</v>
      </c>
      <c r="AE42" s="25">
        <f>IFERROR(subQ!AE40/subQ!AE38,"")</f>
        <v/>
      </c>
      <c r="AF42" s="31" t="n">
        <v>0.120230666</v>
      </c>
      <c r="AG42" s="31" t="n">
        <v>0.120882719</v>
      </c>
      <c r="AH42" s="31" t="n">
        <v>0.120881113</v>
      </c>
      <c r="AI42" s="31" t="n">
        <v>0.120893216</v>
      </c>
      <c r="AJ42" s="25">
        <f>IFERROR(subQ!AJ40/subQ!AJ38,"")</f>
        <v/>
      </c>
      <c r="AK42" s="31" t="n">
        <v>0.120792971</v>
      </c>
      <c r="AL42" s="31" t="n">
        <v>0.120799723</v>
      </c>
      <c r="AM42" s="31" t="n">
        <v>0.120869733</v>
      </c>
      <c r="AN42" s="31" t="n">
        <v>0.120890219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71900</v>
      </c>
      <c r="E47" s="2" t="inlineStr">
        <is>
          <t>원 — 네이버 정규장 종가(aik 확정종가 대조 · aik 77,200원)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0.22000029432375</v>
      </c>
      <c r="E54" s="2" t="inlineStr">
        <is>
          <t>연결 — 법인세 = MAX(세전,0) × 세율(역산, 재현 오차 ≤ 0.05억 · 모델 assumptions 0.22) · 최근 12분기 유효세율 -42.9% 가 5~27% 밖; 세전 &gt; 0 분기 중위 0.7%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0.05559126709828072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0.9999655956080019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0.07201634856510408</v>
      </c>
      <c r="E57" s="2" t="inlineStr">
        <is>
          <t>연결 — 이자손익 = (전분기 이자발생자산 × 자산이자율 − 전분기 총차입금 × 부채이자율)/4(역산, 재현 오차 ≤ 0.05억 · 모델 assumptions 0.072)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0.03568140706331503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7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7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7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7" t="n">
        <v>1062.99</v>
      </c>
      <c r="G40" s="18" t="n">
        <v>393.23</v>
      </c>
      <c r="H40" s="18" t="n">
        <v>284.35</v>
      </c>
      <c r="J40" s="18" t="n">
        <v>69.29000000000001</v>
      </c>
      <c r="K40" s="37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7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7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7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7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7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7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7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7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7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7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7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7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7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7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7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7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7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7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7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7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7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7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7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7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7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7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7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7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7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7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7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7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7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7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7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7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7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7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7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7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7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7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7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7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7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7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2701697.29</v>
      </c>
      <c r="F51" s="37" t="n">
        <v>2701697.29</v>
      </c>
      <c r="G51" s="18" t="n">
        <v>2881148.63</v>
      </c>
      <c r="H51" s="18" t="n">
        <v>2979867.71</v>
      </c>
      <c r="I51" s="18" t="n">
        <v>3034732.14</v>
      </c>
      <c r="J51" s="18" t="n">
        <v>2687244.57</v>
      </c>
      <c r="K51" s="37" t="n">
        <v>2687244.57</v>
      </c>
      <c r="L51" s="18" t="n">
        <v>3077978.85</v>
      </c>
      <c r="M51" s="18" t="n">
        <v>2340008.94</v>
      </c>
      <c r="N51" s="18" t="n">
        <v>2314969.15</v>
      </c>
      <c r="O51" s="18" t="n">
        <v>2191192.37</v>
      </c>
      <c r="P51" s="37" t="n">
        <v>2191192.37</v>
      </c>
      <c r="Q51" s="18" t="n">
        <v>3428135.91</v>
      </c>
      <c r="R51" s="18" t="n">
        <v>4269419.09</v>
      </c>
      <c r="S51" s="18" t="n">
        <v>4888456.28</v>
      </c>
      <c r="T51" s="18" t="n">
        <v>5265870.07</v>
      </c>
      <c r="U51" s="37" t="n">
        <v>5265870.07</v>
      </c>
      <c r="V51" s="18" t="n">
        <v>5520669.77</v>
      </c>
      <c r="W51" s="18" t="n">
        <v>5028215.91</v>
      </c>
      <c r="X51" s="18" t="n">
        <v>5172282.03</v>
      </c>
      <c r="Y51" s="18" t="n">
        <v>5646344.95</v>
      </c>
      <c r="Z51" s="37" t="n">
        <v>5646344.95</v>
      </c>
      <c r="AA51" s="18" t="n">
        <v>6142955.88</v>
      </c>
      <c r="AB51" s="19" t="n">
        <v>6037492.95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612064.89</v>
      </c>
      <c r="F52" s="37" t="n">
        <v>612064.89</v>
      </c>
      <c r="G52" s="18" t="n">
        <v>1439819.38</v>
      </c>
      <c r="H52" s="18" t="n">
        <v>1704193.45</v>
      </c>
      <c r="I52" s="18" t="n">
        <v>1884151</v>
      </c>
      <c r="J52" s="18" t="n">
        <v>1535268.77</v>
      </c>
      <c r="K52" s="37" t="n">
        <v>1535268.77</v>
      </c>
      <c r="L52" s="18" t="n">
        <v>2807861.54</v>
      </c>
      <c r="M52" s="18" t="n">
        <v>775518.5600000001</v>
      </c>
      <c r="N52" s="18" t="n">
        <v>1336350.81</v>
      </c>
      <c r="O52" s="18" t="n">
        <v>391884.62</v>
      </c>
      <c r="P52" s="37" t="n">
        <v>391884.62</v>
      </c>
      <c r="Q52" s="18" t="n">
        <v>1779332</v>
      </c>
      <c r="R52" s="18" t="n">
        <v>2444662.34</v>
      </c>
      <c r="S52" s="18" t="n">
        <v>3871842.93</v>
      </c>
      <c r="T52" s="18" t="n">
        <v>4677610.33</v>
      </c>
      <c r="U52" s="37" t="n">
        <v>4677610.33</v>
      </c>
      <c r="V52" s="18" t="n">
        <v>4547428.46</v>
      </c>
      <c r="W52" s="18" t="n">
        <v>3990567.4</v>
      </c>
      <c r="X52" s="18" t="n">
        <v>4742781.47</v>
      </c>
      <c r="Y52" s="18" t="n">
        <v>4867873.79</v>
      </c>
      <c r="Z52" s="37" t="n">
        <v>4867873.79</v>
      </c>
      <c r="AA52" s="18" t="n">
        <v>5072723.61</v>
      </c>
      <c r="AB52" s="19" t="n">
        <v>4530461.77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7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7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7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7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7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W55" s="18" t="n">
        <v>155113.83</v>
      </c>
      <c r="X55" s="18" t="n">
        <v>142423.97</v>
      </c>
      <c r="Y55" s="18" t="n">
        <v>68957.10000000001</v>
      </c>
      <c r="Z55" s="37" t="n">
        <v>68957.10000000001</v>
      </c>
      <c r="AA55" s="18" t="n">
        <v>74104.37</v>
      </c>
      <c r="AB55" s="19" t="n">
        <v>144534.63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L56" s="18" t="n">
        <v>427146.69</v>
      </c>
      <c r="M56" s="18" t="n">
        <v>442305.34</v>
      </c>
      <c r="N56" s="18" t="n">
        <v>112800.78</v>
      </c>
      <c r="O56" s="18" t="n">
        <v>124947.86</v>
      </c>
      <c r="P56" s="37" t="n">
        <v>124947.86</v>
      </c>
      <c r="Q56" s="18" t="n">
        <v>135970.66</v>
      </c>
      <c r="R56" s="18" t="n">
        <v>48489.08</v>
      </c>
      <c r="S56" s="18" t="n">
        <v>20699.87</v>
      </c>
      <c r="T56" s="18" t="n">
        <v>46003.53</v>
      </c>
      <c r="U56" s="37" t="n">
        <v>46003.53</v>
      </c>
      <c r="V56" s="18" t="n">
        <v>15219.09</v>
      </c>
      <c r="W56" s="18" t="n">
        <v>9163.17</v>
      </c>
      <c r="X56" s="18" t="n">
        <v>11472.76</v>
      </c>
      <c r="Y56" s="18" t="n">
        <v>10204.24</v>
      </c>
      <c r="Z56" s="37" t="n">
        <v>10204.24</v>
      </c>
      <c r="AA56" s="18" t="n">
        <v>14360.34</v>
      </c>
      <c r="AB56" s="19" t="n">
        <v>25464.24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713220.26</v>
      </c>
      <c r="N57" s="18" t="n">
        <v>576236.23</v>
      </c>
      <c r="O57" s="18" t="n">
        <v>526449.92</v>
      </c>
      <c r="P57" s="37" t="n">
        <v>526449.92</v>
      </c>
      <c r="Q57" s="18" t="n">
        <v>1713714.68</v>
      </c>
      <c r="R57" s="18" t="n">
        <v>2519938.37</v>
      </c>
      <c r="S57" s="18" t="n">
        <v>3179562.51</v>
      </c>
      <c r="T57" s="18" t="n">
        <v>3237744.03</v>
      </c>
      <c r="U57" s="37" t="n">
        <v>3237744.03</v>
      </c>
      <c r="V57" s="18" t="n">
        <v>3371868.65</v>
      </c>
      <c r="W57" s="18" t="n">
        <v>3030820.19</v>
      </c>
      <c r="X57" s="18" t="n">
        <v>3051187.29</v>
      </c>
      <c r="Y57" s="18" t="n">
        <v>3300054.55</v>
      </c>
      <c r="Z57" s="37" t="n">
        <v>3300054.55</v>
      </c>
      <c r="AA57" s="18" t="n">
        <v>3529081.73</v>
      </c>
      <c r="AB57" s="19" t="n">
        <v>3387397.65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P58" s="9" t="n"/>
      <c r="T58" s="18" t="n">
        <v>2028126.04</v>
      </c>
      <c r="U58" s="37" t="n">
        <v>2028126.04</v>
      </c>
      <c r="V58" s="18" t="n">
        <v>2148801.12</v>
      </c>
      <c r="W58" s="18" t="n">
        <v>1997395.72</v>
      </c>
      <c r="X58" s="18" t="n">
        <v>2121094.74</v>
      </c>
      <c r="Y58" s="18" t="n">
        <v>2346290.4</v>
      </c>
      <c r="Z58" s="37" t="n">
        <v>2346290.4</v>
      </c>
      <c r="AA58" s="18" t="n">
        <v>2613874.15</v>
      </c>
      <c r="AB58" s="19" t="n">
        <v>2650095.3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559130.37</v>
      </c>
      <c r="N59" s="18" t="n">
        <v>564329.98</v>
      </c>
      <c r="O59" s="18" t="n">
        <v>558952.9399999999</v>
      </c>
      <c r="P59" s="37" t="n">
        <v>558952.9399999999</v>
      </c>
      <c r="Q59" s="18" t="n">
        <v>565218.41</v>
      </c>
      <c r="R59" s="18" t="n">
        <v>570792.59</v>
      </c>
      <c r="S59" s="18" t="n">
        <v>494015.74</v>
      </c>
      <c r="T59" s="18" t="n">
        <v>627183.51</v>
      </c>
      <c r="U59" s="37" t="n">
        <v>627183.51</v>
      </c>
      <c r="V59" s="18" t="n">
        <v>631242.74</v>
      </c>
      <c r="W59" s="18" t="n">
        <v>609228.28</v>
      </c>
      <c r="X59" s="18" t="n">
        <v>595238.89</v>
      </c>
      <c r="Y59" s="18" t="n">
        <v>560101.42</v>
      </c>
      <c r="Z59" s="37" t="n">
        <v>560101.42</v>
      </c>
      <c r="AA59" s="18" t="n">
        <v>711687.51</v>
      </c>
      <c r="AB59" s="19" t="n">
        <v>739416.48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F60" s="9" t="n"/>
      <c r="K60" s="9" t="n"/>
      <c r="N60" s="18" t="n">
        <v>4002.94</v>
      </c>
      <c r="O60" s="18" t="n">
        <v>4704.47</v>
      </c>
      <c r="P60" s="37" t="n">
        <v>4704.47</v>
      </c>
      <c r="Q60" s="18" t="n">
        <v>4593.27</v>
      </c>
      <c r="R60" s="18" t="n">
        <v>4730.03</v>
      </c>
      <c r="S60" s="18" t="n">
        <v>4768.43</v>
      </c>
      <c r="T60" s="18" t="n">
        <v>4673.82</v>
      </c>
      <c r="U60" s="37" t="n">
        <v>4673.82</v>
      </c>
      <c r="V60" s="18" t="n">
        <v>4706.11</v>
      </c>
      <c r="W60" s="18" t="n">
        <v>4765.92</v>
      </c>
      <c r="X60" s="18" t="n">
        <v>4800.95</v>
      </c>
      <c r="Y60" s="18" t="n">
        <v>4755.45</v>
      </c>
      <c r="Z60" s="37" t="n">
        <v>4755.45</v>
      </c>
      <c r="AA60" s="18" t="n">
        <v>4782.51</v>
      </c>
      <c r="AB60" s="19" t="n">
        <v>4800.08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확정급여부채</t>
        </is>
      </c>
      <c r="F61" s="9" t="n"/>
      <c r="K61" s="9" t="n"/>
      <c r="P61" s="9" t="n"/>
      <c r="U61" s="9" t="n"/>
      <c r="V61" s="18" t="n">
        <v>85122.85000000001</v>
      </c>
      <c r="W61" s="18" t="n">
        <v>86777.56</v>
      </c>
      <c r="X61" s="18" t="n">
        <v>88520.34</v>
      </c>
      <c r="Y61" s="18" t="n">
        <v>119161.33</v>
      </c>
      <c r="Z61" s="37" t="n">
        <v>119161.33</v>
      </c>
      <c r="AA61" s="18" t="n">
        <v>121099.73</v>
      </c>
      <c r="AB61" s="19" t="n">
        <v>185016.91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W62" s="18" t="n">
        <v>12.81</v>
      </c>
      <c r="X62" s="18" t="n">
        <v>1418.5</v>
      </c>
      <c r="Y62" s="18" t="n">
        <v>4864.26</v>
      </c>
      <c r="Z62" s="37" t="n">
        <v>4864.26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단기파생상품부채</t>
        </is>
      </c>
      <c r="F63" s="9" t="n"/>
      <c r="K63" s="9" t="n"/>
      <c r="P63" s="9" t="n"/>
      <c r="U63" s="9" t="n"/>
      <c r="W63" s="18" t="n">
        <v>155113.83</v>
      </c>
      <c r="X63" s="18" t="n">
        <v>142423.97</v>
      </c>
      <c r="Y63" s="18" t="n">
        <v>68957.10000000001</v>
      </c>
      <c r="Z63" s="37" t="n">
        <v>68957.10000000001</v>
      </c>
      <c r="AA63" s="18" t="n">
        <v>74104.37</v>
      </c>
      <c r="AB63" s="19" t="n">
        <v>103732.82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유동파생상품자산</t>
        </is>
      </c>
      <c r="F64" s="9" t="n"/>
      <c r="K64" s="9" t="n"/>
      <c r="P64" s="9" t="n"/>
      <c r="U64" s="9" t="n"/>
      <c r="Z64" s="9" t="n"/>
      <c r="AA64" s="18" t="n">
        <v>11835.59</v>
      </c>
      <c r="AB64" s="19" t="n">
        <v>14682.83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46143.95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유동리스부채</t>
        </is>
      </c>
      <c r="F66" s="9" t="n"/>
      <c r="K66" s="9" t="n"/>
      <c r="P66" s="9" t="n"/>
      <c r="U66" s="9" t="n"/>
      <c r="Z66" s="9" t="n"/>
      <c r="AB66" s="19" t="n">
        <v>40801.81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리스부채</t>
        </is>
      </c>
      <c r="F67" s="9" t="n"/>
      <c r="K67" s="9" t="n"/>
      <c r="P67" s="9" t="n"/>
      <c r="U67" s="9" t="n"/>
      <c r="Z67" s="9" t="n"/>
      <c r="AB67" s="19" t="n">
        <v>149966.01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비유동리스부채</t>
        </is>
      </c>
      <c r="F68" s="9" t="n"/>
      <c r="K68" s="9" t="n"/>
      <c r="P68" s="9" t="n"/>
      <c r="U68" s="9" t="n"/>
      <c r="Z68" s="9" t="n"/>
      <c r="AB68" s="19" t="n">
        <v>109164.2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7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7" t="n">
        <v>37718.5</v>
      </c>
      <c r="W16" s="18" t="n">
        <v>12.81</v>
      </c>
      <c r="X16" s="18" t="n">
        <v>1418.5</v>
      </c>
      <c r="Y16" s="18" t="n">
        <v>4864.26</v>
      </c>
      <c r="Z16" s="37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7" t="n">
        <v>1062.99</v>
      </c>
      <c r="G38" s="18" t="n">
        <v>393.23</v>
      </c>
      <c r="H38" s="18" t="n">
        <v>284.35</v>
      </c>
      <c r="J38" s="18" t="n">
        <v>69.29000000000001</v>
      </c>
      <c r="K38" s="37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7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7" t="n">
        <v>1062.99</v>
      </c>
      <c r="G39" s="18" t="n">
        <v>393.23</v>
      </c>
      <c r="H39" s="18" t="n">
        <v>284.35</v>
      </c>
      <c r="J39" s="18" t="n">
        <v>69.29000000000001</v>
      </c>
      <c r="K39" s="37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7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7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7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7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7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7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7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7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7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7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7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7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7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7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7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7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7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7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7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7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7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7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7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7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7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7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7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7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7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7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7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7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7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7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7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7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7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7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2637131.45</v>
      </c>
      <c r="F49" s="37" t="n">
        <v>2637131.45</v>
      </c>
      <c r="G49" s="18" t="n">
        <v>2815381</v>
      </c>
      <c r="H49" s="18" t="n">
        <v>2911794.27</v>
      </c>
      <c r="I49" s="18" t="n">
        <v>2962710.77</v>
      </c>
      <c r="J49" s="18" t="n">
        <v>2622272.39</v>
      </c>
      <c r="K49" s="37" t="n">
        <v>2622272.39</v>
      </c>
      <c r="L49" s="18" t="n">
        <v>3010594.51</v>
      </c>
      <c r="M49" s="18" t="n">
        <v>2274257.09</v>
      </c>
      <c r="N49" s="18" t="n">
        <v>2206763.51</v>
      </c>
      <c r="O49" s="18" t="n">
        <v>2084114.02</v>
      </c>
      <c r="P49" s="37" t="n">
        <v>2084114.02</v>
      </c>
      <c r="Q49" s="18" t="n">
        <v>3322377.04</v>
      </c>
      <c r="R49" s="18" t="n">
        <v>4165013.54</v>
      </c>
      <c r="S49" s="18" t="n">
        <v>4786290.48</v>
      </c>
      <c r="T49" s="18" t="n">
        <v>5163714.54</v>
      </c>
      <c r="U49" s="37" t="n">
        <v>5163714.54</v>
      </c>
      <c r="V49" s="18" t="n">
        <v>5420481.96</v>
      </c>
      <c r="W49" s="18" t="n">
        <v>4922539.27</v>
      </c>
      <c r="X49" s="18" t="n">
        <v>5039167.84</v>
      </c>
      <c r="Y49" s="18" t="n">
        <v>5506183.62</v>
      </c>
      <c r="Z49" s="37" t="n">
        <v>5506183.62</v>
      </c>
      <c r="AA49" s="18" t="n">
        <v>5999427.8</v>
      </c>
      <c r="AB49" s="19" t="n">
        <v>5870915.14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597133.5</v>
      </c>
      <c r="F50" s="37" t="n">
        <v>597133.5</v>
      </c>
      <c r="G50" s="18" t="n">
        <v>1416803.7</v>
      </c>
      <c r="H50" s="18" t="n">
        <v>1672286</v>
      </c>
      <c r="I50" s="18" t="n">
        <v>1854260.15</v>
      </c>
      <c r="J50" s="18" t="n">
        <v>1509598.26</v>
      </c>
      <c r="K50" s="37" t="n">
        <v>1509598.26</v>
      </c>
      <c r="L50" s="18" t="n">
        <v>2773587.23</v>
      </c>
      <c r="M50" s="18" t="n">
        <v>739774.79</v>
      </c>
      <c r="N50" s="18" t="n">
        <v>1251788.42</v>
      </c>
      <c r="O50" s="18" t="n">
        <v>313617.03</v>
      </c>
      <c r="P50" s="37" t="n">
        <v>313617.03</v>
      </c>
      <c r="Q50" s="18" t="n">
        <v>1733555.3</v>
      </c>
      <c r="R50" s="18" t="n">
        <v>2439859.78</v>
      </c>
      <c r="S50" s="18" t="n">
        <v>3898297.43</v>
      </c>
      <c r="T50" s="18" t="n">
        <v>4749380.08</v>
      </c>
      <c r="U50" s="37" t="n">
        <v>4749380.08</v>
      </c>
      <c r="V50" s="18" t="n">
        <v>4657769.36</v>
      </c>
      <c r="W50" s="18" t="n">
        <v>4103785.61</v>
      </c>
      <c r="X50" s="18" t="n">
        <v>4820025.42</v>
      </c>
      <c r="Y50" s="18" t="n">
        <v>4904159.23</v>
      </c>
      <c r="Z50" s="37" t="n">
        <v>4904159.23</v>
      </c>
      <c r="AA50" s="18" t="n">
        <v>5102679.93</v>
      </c>
      <c r="AB50" s="19" t="n">
        <v>4624949.6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7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7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7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7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7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7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7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7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H53" s="18" t="n">
        <v>25751.28</v>
      </c>
      <c r="I53" s="18" t="n">
        <v>50921.84</v>
      </c>
      <c r="J53" s="18" t="n">
        <v>31440.48</v>
      </c>
      <c r="K53" s="37" t="n">
        <v>31440.48</v>
      </c>
      <c r="L53" s="18" t="n">
        <v>28739.37</v>
      </c>
      <c r="M53" s="18" t="n">
        <v>16702.79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W54" s="18" t="n">
        <v>155113.83</v>
      </c>
      <c r="X54" s="18" t="n">
        <v>142423.97</v>
      </c>
      <c r="Y54" s="18" t="n">
        <v>99176.92</v>
      </c>
      <c r="Z54" s="37" t="n">
        <v>99176.92</v>
      </c>
      <c r="AA54" s="18" t="n">
        <v>74104.37</v>
      </c>
      <c r="AB54" s="19" t="n">
        <v>135025.87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L55" s="18" t="n">
        <v>414700.74</v>
      </c>
      <c r="M55" s="18" t="n">
        <v>429609.86</v>
      </c>
      <c r="N55" s="18" t="n">
        <v>91734.81</v>
      </c>
      <c r="O55" s="18" t="n">
        <v>108239.3</v>
      </c>
      <c r="P55" s="37" t="n">
        <v>108239.3</v>
      </c>
      <c r="Q55" s="18" t="n">
        <v>109262.09</v>
      </c>
      <c r="R55" s="18" t="n">
        <v>10780.51</v>
      </c>
      <c r="S55" s="18" t="n">
        <v>10991.31</v>
      </c>
      <c r="T55" s="18" t="n">
        <v>11454.87</v>
      </c>
      <c r="U55" s="37" t="n">
        <v>11454.87</v>
      </c>
      <c r="V55" s="18" t="n">
        <v>11462.79</v>
      </c>
      <c r="W55" s="18" t="n">
        <v>4752.2</v>
      </c>
      <c r="X55" s="18" t="n">
        <v>4834.52</v>
      </c>
      <c r="Y55" s="18" t="n">
        <v>4404</v>
      </c>
      <c r="Z55" s="37" t="n">
        <v>4404</v>
      </c>
      <c r="AA55" s="18" t="n">
        <v>4485</v>
      </c>
      <c r="AB55" s="19" t="n">
        <v>14512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L56" s="18" t="n">
        <v>21558.39</v>
      </c>
      <c r="P56" s="9" t="n"/>
      <c r="U56" s="9" t="n"/>
      <c r="V56" s="18" t="n">
        <v>157130.47</v>
      </c>
      <c r="W56" s="18" t="n">
        <v>175991.71</v>
      </c>
      <c r="X56" s="18" t="n">
        <v>190644.95</v>
      </c>
      <c r="Y56" s="18" t="n">
        <v>129805.8</v>
      </c>
      <c r="Z56" s="37" t="n">
        <v>129805.8</v>
      </c>
      <c r="AA56" s="18" t="n">
        <v>41662.76</v>
      </c>
      <c r="AB56" s="19" t="n">
        <v>182381.4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647468.41</v>
      </c>
      <c r="N57" s="18" t="n">
        <v>544631.12</v>
      </c>
      <c r="O57" s="18" t="n">
        <v>494162.6</v>
      </c>
      <c r="P57" s="37" t="n">
        <v>494162.6</v>
      </c>
      <c r="Q57" s="18" t="n">
        <v>1679649.27</v>
      </c>
      <c r="R57" s="18" t="n">
        <v>2485199.05</v>
      </c>
      <c r="S57" s="18" t="n">
        <v>3145042.2</v>
      </c>
      <c r="T57" s="18" t="n">
        <v>3201449.85</v>
      </c>
      <c r="U57" s="37" t="n">
        <v>3201449.85</v>
      </c>
      <c r="V57" s="18" t="n">
        <v>3335499.92</v>
      </c>
      <c r="W57" s="18" t="n">
        <v>2983414.4</v>
      </c>
      <c r="X57" s="18" t="n">
        <v>2978045.82</v>
      </c>
      <c r="Y57" s="18" t="n">
        <v>3220177.27</v>
      </c>
      <c r="Z57" s="37" t="n">
        <v>3220177.27</v>
      </c>
      <c r="AA57" s="18" t="n">
        <v>3443704.22</v>
      </c>
      <c r="AB57" s="19" t="n">
        <v>3292402.72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N58" s="18" t="n">
        <v>1662132.39</v>
      </c>
      <c r="P58" s="9" t="n"/>
      <c r="T58" s="18" t="n">
        <v>1962264.69</v>
      </c>
      <c r="U58" s="37" t="n">
        <v>1962264.69</v>
      </c>
      <c r="V58" s="18" t="n">
        <v>2084982.04</v>
      </c>
      <c r="W58" s="18" t="n">
        <v>1939124.87</v>
      </c>
      <c r="X58" s="18" t="n">
        <v>2061122.02</v>
      </c>
      <c r="Y58" s="18" t="n">
        <v>2286006.35</v>
      </c>
      <c r="Z58" s="37" t="n">
        <v>2286006.35</v>
      </c>
      <c r="AA58" s="18" t="n">
        <v>2555723.58</v>
      </c>
      <c r="AB58" s="19" t="n">
        <v>2578512.42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553341.3100000001</v>
      </c>
      <c r="N59" s="18" t="n">
        <v>554717.39</v>
      </c>
      <c r="O59" s="18" t="n">
        <v>553559.04</v>
      </c>
      <c r="P59" s="37" t="n">
        <v>553559.04</v>
      </c>
      <c r="Q59" s="18" t="n">
        <v>553644.09</v>
      </c>
      <c r="R59" s="18" t="n">
        <v>553391.75</v>
      </c>
      <c r="S59" s="18" t="n">
        <v>553983.5600000001</v>
      </c>
      <c r="T59" s="18" t="n">
        <v>553756.89</v>
      </c>
      <c r="U59" s="37" t="n">
        <v>553756.89</v>
      </c>
      <c r="V59" s="18" t="n">
        <v>553646.26</v>
      </c>
      <c r="W59" s="18" t="n">
        <v>563875.53</v>
      </c>
      <c r="X59" s="18" t="n">
        <v>563821.14</v>
      </c>
      <c r="Y59" s="18" t="n">
        <v>554850.5600000001</v>
      </c>
      <c r="Z59" s="37" t="n">
        <v>554850.5600000001</v>
      </c>
      <c r="AA59" s="18" t="n">
        <v>553592.8199999999</v>
      </c>
      <c r="AB59" s="19" t="n">
        <v>553251.9300000001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이연법인세자산</t>
        </is>
      </c>
      <c r="F60" s="9" t="n"/>
      <c r="K60" s="9" t="n"/>
      <c r="O60" s="18" t="n">
        <v>163892.42</v>
      </c>
      <c r="P60" s="37" t="n">
        <v>163892.42</v>
      </c>
      <c r="Q60" s="18" t="n">
        <v>163892.42</v>
      </c>
      <c r="R60" s="18" t="n">
        <v>154090.12</v>
      </c>
      <c r="S60" s="18" t="n">
        <v>154090.12</v>
      </c>
      <c r="T60" s="18" t="n">
        <v>506573.93</v>
      </c>
      <c r="U60" s="37" t="n">
        <v>506573.93</v>
      </c>
      <c r="V60" s="18" t="n">
        <v>506573.93</v>
      </c>
      <c r="W60" s="18" t="n">
        <v>498512.13</v>
      </c>
      <c r="X60" s="18" t="n">
        <v>498484.85</v>
      </c>
      <c r="Y60" s="18" t="n">
        <v>950308.59</v>
      </c>
      <c r="Z60" s="37" t="n">
        <v>950308.59</v>
      </c>
      <c r="AA60" s="18" t="n">
        <v>950335.73</v>
      </c>
      <c r="AB60" s="19" t="n">
        <v>950335.73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비유동파생상품자산</t>
        </is>
      </c>
      <c r="F61" s="9" t="n"/>
      <c r="K61" s="9" t="n"/>
      <c r="P61" s="9" t="n"/>
      <c r="U61" s="9" t="n"/>
      <c r="W61" s="18" t="n">
        <v>12.81</v>
      </c>
      <c r="X61" s="18" t="n">
        <v>1418.5</v>
      </c>
      <c r="Y61" s="18" t="n">
        <v>4864.26</v>
      </c>
      <c r="Z61" s="37" t="n">
        <v>4864.26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155113.83</v>
      </c>
      <c r="X62" s="18" t="n">
        <v>142423.97</v>
      </c>
      <c r="Y62" s="18" t="n">
        <v>68957.10000000001</v>
      </c>
      <c r="Z62" s="37" t="n">
        <v>68957.10000000001</v>
      </c>
      <c r="AA62" s="18" t="n">
        <v>74104.37</v>
      </c>
      <c r="AB62" s="19" t="n">
        <v>103732.82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유동리스부채</t>
        </is>
      </c>
      <c r="F63" s="9" t="n"/>
      <c r="K63" s="9" t="n"/>
      <c r="P63" s="9" t="n"/>
      <c r="U63" s="9" t="n"/>
      <c r="Y63" s="18" t="n">
        <v>30219.82</v>
      </c>
      <c r="Z63" s="37" t="n">
        <v>30219.82</v>
      </c>
      <c r="AB63" s="19" t="n">
        <v>31293.05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리스부채</t>
        </is>
      </c>
      <c r="F64" s="9" t="n"/>
      <c r="K64" s="9" t="n"/>
      <c r="P64" s="9" t="n"/>
      <c r="U64" s="9" t="n"/>
      <c r="Y64" s="18" t="n">
        <v>30219.82</v>
      </c>
      <c r="Z64" s="37" t="n">
        <v>30219.82</v>
      </c>
      <c r="AB64" s="19" t="n">
        <v>126350.75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유동파생상품자산</t>
        </is>
      </c>
      <c r="F65" s="9" t="n"/>
      <c r="K65" s="9" t="n"/>
      <c r="P65" s="9" t="n"/>
      <c r="U65" s="9" t="n"/>
      <c r="Z65" s="9" t="n"/>
      <c r="AA65" s="18" t="n">
        <v>11835.59</v>
      </c>
      <c r="AB65" s="19" t="n">
        <v>14682.83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95057.7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1346.2</v>
      </c>
      <c r="AJ21" s="13" t="n">
        <v>1338.69</v>
      </c>
      <c r="AK21" s="13" t="n">
        <v>1338.69</v>
      </c>
      <c r="AL21" s="13" t="n">
        <v>1338.69</v>
      </c>
      <c r="AM21" s="13" t="n">
        <v>1338.69</v>
      </c>
      <c r="AN21" s="13" t="n">
        <v>1338.69</v>
      </c>
      <c r="AO21" s="13" t="n">
        <v>1338.69</v>
      </c>
      <c r="AP21" s="13" t="n">
        <v>1338.69</v>
      </c>
      <c r="AQ21" s="13" t="n">
        <v>1338.69</v>
      </c>
      <c r="AR21" s="13" t="n">
        <v>1338.69</v>
      </c>
      <c r="AS21" s="13" t="n">
        <v>1338.69</v>
      </c>
      <c r="AT21" s="13" t="n">
        <v>1338.69</v>
      </c>
      <c r="AU21" s="13" t="n">
        <v>1338.69</v>
      </c>
      <c r="AV21" s="13" t="n">
        <v>1338.69</v>
      </c>
      <c r="AW21" s="13" t="n">
        <v>1338.69</v>
      </c>
      <c r="AX21" s="13" t="n">
        <v>1338.69</v>
      </c>
      <c r="AY21" s="13" t="n">
        <v>1338.69</v>
      </c>
      <c r="AZ21" s="13" t="n">
        <v>1338.69</v>
      </c>
      <c r="BA21" s="13" t="n">
        <v>1338.69</v>
      </c>
      <c r="BB21" s="13" t="n">
        <v>1338.69</v>
      </c>
      <c r="BC21" s="13" t="n">
        <v>1338.69</v>
      </c>
      <c r="BD21" s="13" t="n">
        <v>1338.69</v>
      </c>
      <c r="BE21" s="13" t="n">
        <v>1338.69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1367.81</v>
      </c>
      <c r="AJ22" s="13" t="n">
        <v>1361.59</v>
      </c>
      <c r="AK22" s="13" t="n">
        <v>1361.59</v>
      </c>
      <c r="AL22" s="13" t="n">
        <v>1361.59</v>
      </c>
      <c r="AM22" s="13" t="n">
        <v>1361.59</v>
      </c>
      <c r="AN22" s="13" t="n">
        <v>1361.59</v>
      </c>
      <c r="AO22" s="13" t="n">
        <v>1361.59</v>
      </c>
      <c r="AP22" s="13" t="n">
        <v>1361.59</v>
      </c>
      <c r="AQ22" s="13" t="n">
        <v>1361.59</v>
      </c>
      <c r="AR22" s="13" t="n">
        <v>1361.59</v>
      </c>
      <c r="AS22" s="13" t="n">
        <v>1361.59</v>
      </c>
      <c r="AT22" s="13" t="n">
        <v>1361.59</v>
      </c>
      <c r="AU22" s="13" t="n">
        <v>1361.59</v>
      </c>
      <c r="AV22" s="13" t="n">
        <v>1361.59</v>
      </c>
      <c r="AW22" s="13" t="n">
        <v>1361.59</v>
      </c>
      <c r="AX22" s="13" t="n">
        <v>1361.59</v>
      </c>
      <c r="AY22" s="13" t="n">
        <v>1361.59</v>
      </c>
      <c r="AZ22" s="13" t="n">
        <v>1361.59</v>
      </c>
      <c r="BA22" s="13" t="n">
        <v>1361.59</v>
      </c>
      <c r="BB22" s="13" t="n">
        <v>1361.59</v>
      </c>
      <c r="BC22" s="13" t="n">
        <v>1361.59</v>
      </c>
      <c r="BD22" s="13" t="n">
        <v>1361.59</v>
      </c>
      <c r="BE22" s="13" t="n">
        <v>1361.59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1629698</v>
      </c>
      <c r="AJ23" s="18" t="n">
        <v>1512325</v>
      </c>
      <c r="AK23" s="18" t="n">
        <v>1437984.3</v>
      </c>
      <c r="AL23" s="18" t="n">
        <v>1445591.6</v>
      </c>
      <c r="AM23" s="18" t="n">
        <v>1432040.8</v>
      </c>
      <c r="AN23" s="18" t="n">
        <v>1394178.8</v>
      </c>
      <c r="AO23" s="18" t="n">
        <v>1313291.3</v>
      </c>
      <c r="AP23" s="18" t="n">
        <v>1253738.6</v>
      </c>
      <c r="AQ23" s="18" t="n">
        <v>1233784.9</v>
      </c>
      <c r="AR23" s="18" t="n">
        <v>1114188.2</v>
      </c>
      <c r="AS23" s="18" t="n">
        <v>956356.8</v>
      </c>
      <c r="AT23" s="18" t="n">
        <v>419456.9</v>
      </c>
      <c r="AU23" s="18" t="n">
        <v>210669.4</v>
      </c>
      <c r="AV23" s="18" t="n">
        <v>119761.2</v>
      </c>
      <c r="AW23" s="18" t="n">
        <v>60616.6</v>
      </c>
      <c r="AX23" s="18" t="n">
        <v>61282.7</v>
      </c>
      <c r="AY23" s="18" t="n">
        <v>53929.5</v>
      </c>
      <c r="AZ23" s="18" t="n">
        <v>33478.8</v>
      </c>
      <c r="BA23" s="18" t="n">
        <v>33850.8</v>
      </c>
      <c r="BB23" s="18" t="n">
        <v>34222.8</v>
      </c>
      <c r="BC23" s="18" t="n">
        <v>34222.8</v>
      </c>
      <c r="BD23" s="18" t="n">
        <v>33850.8</v>
      </c>
      <c r="BE23" s="18" t="n">
        <v>33850.8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5751280.6</v>
      </c>
      <c r="BN23" s="18" t="n">
        <v>5827941.7</v>
      </c>
      <c r="BO23" s="18" t="n">
        <v>5194993.6</v>
      </c>
      <c r="BP23" s="18" t="n">
        <v>2700671.3</v>
      </c>
      <c r="BQ23" s="18" t="n">
        <v>295590</v>
      </c>
      <c r="BR23" s="18" t="n">
        <v>135775.2</v>
      </c>
      <c r="BS23" s="18" t="n">
        <v>67701.60000000001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1545444.6</v>
      </c>
      <c r="AJ24" s="18" t="n">
        <v>1430278.1</v>
      </c>
      <c r="AK24" s="18" t="n">
        <v>1402548.1</v>
      </c>
      <c r="AL24" s="18" t="n">
        <v>1411403.8</v>
      </c>
      <c r="AM24" s="18" t="n">
        <v>1397853</v>
      </c>
      <c r="AN24" s="18" t="n">
        <v>1382659</v>
      </c>
      <c r="AO24" s="18" t="n">
        <v>1313291.3</v>
      </c>
      <c r="AP24" s="18" t="n">
        <v>1253738.6</v>
      </c>
      <c r="AQ24" s="18" t="n">
        <v>1233784.9</v>
      </c>
      <c r="AR24" s="18" t="n">
        <v>1114188.2</v>
      </c>
      <c r="AS24" s="18" t="n">
        <v>956356.8</v>
      </c>
      <c r="AT24" s="18" t="n">
        <v>419456.9</v>
      </c>
      <c r="AU24" s="18" t="n">
        <v>210669.4</v>
      </c>
      <c r="AV24" s="18" t="n">
        <v>119761.2</v>
      </c>
      <c r="AW24" s="18" t="n">
        <v>60616.6</v>
      </c>
      <c r="AX24" s="18" t="n">
        <v>61282.7</v>
      </c>
      <c r="AY24" s="18" t="n">
        <v>53929.5</v>
      </c>
      <c r="AZ24" s="18" t="n">
        <v>33478.8</v>
      </c>
      <c r="BA24" s="18" t="n">
        <v>33850.8</v>
      </c>
      <c r="BB24" s="18" t="n">
        <v>34222.8</v>
      </c>
      <c r="BC24" s="18" t="n">
        <v>34222.8</v>
      </c>
      <c r="BD24" s="18" t="n">
        <v>33850.8</v>
      </c>
      <c r="BE24" s="18" t="n">
        <v>33850.8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5399477.5</v>
      </c>
      <c r="BN24" s="18" t="n">
        <v>5642083</v>
      </c>
      <c r="BO24" s="18" t="n">
        <v>5183473.8</v>
      </c>
      <c r="BP24" s="18" t="n">
        <v>2700671.3</v>
      </c>
      <c r="BQ24" s="18" t="n">
        <v>295590</v>
      </c>
      <c r="BR24" s="18" t="n">
        <v>135775.2</v>
      </c>
      <c r="BS24" s="18" t="n">
        <v>67701.60000000001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1241026</v>
      </c>
      <c r="AJ25" s="18" t="n">
        <v>1133831.5</v>
      </c>
      <c r="AK25" s="18" t="n">
        <v>1102807.7</v>
      </c>
      <c r="AL25" s="18" t="n">
        <v>1108369.6</v>
      </c>
      <c r="AM25" s="18" t="n">
        <v>1094818.8</v>
      </c>
      <c r="AN25" s="18" t="n">
        <v>1082918.6</v>
      </c>
      <c r="AO25" s="18" t="n">
        <v>1013550.9</v>
      </c>
      <c r="AP25" s="18" t="n">
        <v>950704.3</v>
      </c>
      <c r="AQ25" s="18" t="n">
        <v>930750.6</v>
      </c>
      <c r="AR25" s="18" t="n">
        <v>817741.6</v>
      </c>
      <c r="AS25" s="18" t="n">
        <v>656616.4</v>
      </c>
      <c r="AT25" s="18" t="n">
        <v>129932.7</v>
      </c>
      <c r="AU25" s="18" t="n">
        <v>104790.6</v>
      </c>
      <c r="AV25" s="18" t="n">
        <v>34713.3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304418.7</v>
      </c>
      <c r="AJ26" s="18" t="n">
        <v>296446.5</v>
      </c>
      <c r="AK26" s="18" t="n">
        <v>299740.4</v>
      </c>
      <c r="AL26" s="18" t="n">
        <v>303034.2</v>
      </c>
      <c r="AM26" s="18" t="n">
        <v>303034.2</v>
      </c>
      <c r="AN26" s="18" t="n">
        <v>299740.4</v>
      </c>
      <c r="AO26" s="18" t="n">
        <v>299740.4</v>
      </c>
      <c r="AP26" s="18" t="n">
        <v>303034.2</v>
      </c>
      <c r="AQ26" s="18" t="n">
        <v>303034.2</v>
      </c>
      <c r="AR26" s="18" t="n">
        <v>296446.5</v>
      </c>
      <c r="AS26" s="18" t="n">
        <v>299740.4</v>
      </c>
      <c r="AT26" s="18" t="n">
        <v>289524.1</v>
      </c>
      <c r="AU26" s="18" t="n">
        <v>105878.8</v>
      </c>
      <c r="AV26" s="18" t="n">
        <v>85047.89999999999</v>
      </c>
      <c r="AW26" s="18" t="n">
        <v>60616.6</v>
      </c>
      <c r="AX26" s="18" t="n">
        <v>61282.7</v>
      </c>
      <c r="AY26" s="18" t="n">
        <v>53929.5</v>
      </c>
      <c r="AZ26" s="18" t="n">
        <v>33478.8</v>
      </c>
      <c r="BA26" s="18" t="n">
        <v>33850.8</v>
      </c>
      <c r="BB26" s="18" t="n">
        <v>34222.8</v>
      </c>
      <c r="BC26" s="18" t="n">
        <v>34222.8</v>
      </c>
      <c r="BD26" s="18" t="n">
        <v>33850.8</v>
      </c>
      <c r="BE26" s="18" t="n">
        <v>33850.8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원/달러(평균)",환율,MATCH(AI$1,변수H,0),0),1346.2)</f>
        <v/>
      </c>
      <c r="AJ32" s="13">
        <f>IFERROR(VLOOKUP(" 원/달러(평균)",환율,MATCH(AJ$1,변수H,0),0),1338.69)</f>
        <v/>
      </c>
      <c r="AK32" s="13">
        <f>IFERROR(VLOOKUP(" 원/달러(평균)",환율,MATCH(AK$1,변수H,0),0),1338.69)</f>
        <v/>
      </c>
      <c r="AL32" s="13">
        <f>IFERROR(VLOOKUP(" 원/달러(평균)",환율,MATCH(AL$1,변수H,0),0),1338.69)</f>
        <v/>
      </c>
      <c r="AM32" s="13">
        <f>IFERROR(VLOOKUP(" 원/달러(평균)",환율,MATCH(AM$1,변수H,0),0),1338.69)</f>
        <v/>
      </c>
      <c r="AN32" s="13">
        <f>IFERROR(VLOOKUP(" 원/달러(평균)",환율,MATCH(AN$1,변수H,0),0),1338.69)</f>
        <v/>
      </c>
      <c r="AO32" s="13">
        <f>IFERROR(VLOOKUP(" 원/달러(평균)",환율,MATCH(AO$1,변수H,0),0),1338.69)</f>
        <v/>
      </c>
      <c r="AP32" s="13">
        <f>IFERROR(VLOOKUP(" 원/달러(평균)",환율,MATCH(AP$1,변수H,0),0),1338.69)</f>
        <v/>
      </c>
      <c r="AQ32" s="13">
        <f>IFERROR(VLOOKUP(" 원/달러(평균)",환율,MATCH(AQ$1,변수H,0),0),1338.69)</f>
        <v/>
      </c>
      <c r="AR32" s="13">
        <f>IFERROR(VLOOKUP(" 원/달러(평균)",환율,MATCH(AR$1,변수H,0),0),1338.69)</f>
        <v/>
      </c>
      <c r="AS32" s="13">
        <f>IFERROR(VLOOKUP(" 원/달러(평균)",환율,MATCH(AS$1,변수H,0),0),1338.69)</f>
        <v/>
      </c>
      <c r="AT32" s="13">
        <f>IFERROR(VLOOKUP(" 원/달러(평균)",환율,MATCH(AT$1,변수H,0),0),1338.69)</f>
        <v/>
      </c>
      <c r="AU32" s="13">
        <f>IFERROR(VLOOKUP(" 원/달러(평균)",환율,MATCH(AU$1,변수H,0),0),1338.69)</f>
        <v/>
      </c>
      <c r="AV32" s="13">
        <f>IFERROR(VLOOKUP(" 원/달러(평균)",환율,MATCH(AV$1,변수H,0),0),1338.69)</f>
        <v/>
      </c>
      <c r="AW32" s="13">
        <f>IFERROR(VLOOKUP(" 원/달러(평균)",환율,MATCH(AW$1,변수H,0),0),1338.69)</f>
        <v/>
      </c>
      <c r="AX32" s="13">
        <f>IFERROR(VLOOKUP(" 원/달러(평균)",환율,MATCH(AX$1,변수H,0),0),1338.69)</f>
        <v/>
      </c>
      <c r="AY32" s="13">
        <f>IFERROR(VLOOKUP(" 원/달러(평균)",환율,MATCH(AY$1,변수H,0),0),1338.69)</f>
        <v/>
      </c>
      <c r="AZ32" s="13">
        <f>IFERROR(VLOOKUP(" 원/달러(평균)",환율,MATCH(AZ$1,변수H,0),0),1338.69)</f>
        <v/>
      </c>
      <c r="BA32" s="13">
        <f>IFERROR(VLOOKUP(" 원/달러(평균)",환율,MATCH(BA$1,변수H,0),0),1338.69)</f>
        <v/>
      </c>
      <c r="BB32" s="13">
        <f>IFERROR(VLOOKUP(" 원/달러(평균)",환율,MATCH(BB$1,변수H,0),0),1338.69)</f>
        <v/>
      </c>
      <c r="BC32" s="13">
        <f>IFERROR(VLOOKUP(" 원/달러(평균)",환율,MATCH(BC$1,변수H,0),0),1338.69)</f>
        <v/>
      </c>
      <c r="BD32" s="13">
        <f>IFERROR(VLOOKUP(" 원/달러(평균)",환율,MATCH(BD$1,변수H,0),0),1338.69)</f>
        <v/>
      </c>
      <c r="BE32" s="13">
        <f>IFERROR(VLOOKUP(" 원/달러(평균)",환율,MATCH(BE$1,변수H,0),0),1338.69)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112.77</v>
      </c>
      <c r="G18" s="20">
        <f>SUM(E18:F18)</f>
        <v/>
      </c>
      <c r="H18" s="34" t="n">
        <v>427.02</v>
      </c>
      <c r="I18" s="34" t="n">
        <v>906.65</v>
      </c>
      <c r="J18" s="34" t="n">
        <v>1515.57</v>
      </c>
      <c r="K18" s="34" t="n">
        <v>2217.68</v>
      </c>
      <c r="L18" s="20">
        <f>SUM(H18:K18)</f>
        <v/>
      </c>
      <c r="M18" s="34" t="n">
        <v>2976.88</v>
      </c>
      <c r="N18" s="34" t="n">
        <v>3757.09</v>
      </c>
      <c r="O18" s="34" t="n">
        <v>4522.2</v>
      </c>
      <c r="P18" s="34" t="n">
        <v>5236.12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693.09</v>
      </c>
      <c r="G24" s="20">
        <f>SUM(E24:F24)</f>
        <v/>
      </c>
      <c r="H24" s="34" t="n">
        <v>2624.48</v>
      </c>
      <c r="I24" s="34" t="n">
        <v>5572.3</v>
      </c>
      <c r="J24" s="34" t="n">
        <v>9314.719999999999</v>
      </c>
      <c r="K24" s="34" t="n">
        <v>13629.89</v>
      </c>
      <c r="L24" s="20">
        <f>SUM(H24:K24)</f>
        <v/>
      </c>
      <c r="M24" s="34" t="n">
        <v>18295.95</v>
      </c>
      <c r="N24" s="34" t="n">
        <v>23091.06</v>
      </c>
      <c r="O24" s="34" t="n">
        <v>27793.38</v>
      </c>
      <c r="P24" s="34" t="n">
        <v>32181.05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4370.8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16.45</v>
      </c>
    </row>
    <row r="32">
      <c r="C32" s="2" t="inlineStr">
        <is>
          <t>pbr_now</t>
        </is>
      </c>
      <c r="D32" t="n">
        <v>2.93</v>
      </c>
    </row>
    <row r="33">
      <c r="C33" s="2" t="inlineStr">
        <is>
          <t>roe_fwd</t>
        </is>
      </c>
      <c r="D33" t="n">
        <v>0.178</v>
      </c>
    </row>
    <row r="34">
      <c r="C34" s="2" t="inlineStr">
        <is>
          <t>fair_pbr</t>
        </is>
      </c>
      <c r="D34" t="n">
        <v>1.98</v>
      </c>
    </row>
    <row r="35">
      <c r="C35" s="2" t="inlineStr">
        <is>
          <t>fair_value_pbr</t>
        </is>
      </c>
      <c r="D35" t="n">
        <v>48600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