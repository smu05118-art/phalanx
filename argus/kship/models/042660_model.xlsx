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15428억(sls.by_quarter.marine_hedged_krw_m(헤지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14327억(sls.by_quarter.marine_hedged_krw_m(헤지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2969억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14049억(sls.by_quarter.marine_hedged_krw_m(헤지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3002억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14138억(sls.by_quarter.marine_hedged_krw_m(헤지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14002억(sls.by_quarter.marine_hedged_krw_m(헤지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13850억(sls.by_quarter.marine_hedged_krw_m(헤지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3002억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13155억(sls.by_quarter.marine_hedged_krw_m(헤지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3002억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12558억(sls.by_quarter.marine_hedged_krw_m(헤지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12359억(sls.by_quarter.marine_hedged_krw_m(헤지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26113억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30343억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34673억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39195억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43933억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48906억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52681억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55474억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26113억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30343억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34673억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39195억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43933억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48906억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52681억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55474억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15428억(sls.by_quarter.marine_hedged_krw_m(헤지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3039억 유지(패널 신규수주 체결 분기별 상계, net_panel)
[sls_link]</t>
      </text>
    </comment>
    <comment ref="AF38" authorId="0" shapeId="0">
      <text>
        <t>추정: SLS 해양 원화 14327억(sls.by_quarter.marine_hedged_krw_m(헤지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2969억 유지(패널 신규수주 체결 분기별 상계, net_panel)
[sls_link]</t>
      </text>
    </comment>
    <comment ref="AG38" authorId="0" shapeId="0">
      <text>
        <t>추정: SLS 해양 원화 14049억(sls.by_quarter.marine_hedged_krw_m(헤지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3002억 유지(패널 신규수주 체결 분기별 상계, net_panel)
[sls_link]</t>
      </text>
    </comment>
    <comment ref="AH38" authorId="0" shapeId="0">
      <text>
        <t>추정: SLS 해양 원화 14138억(sls.by_quarter.marine_hedged_krw_m(헤지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
[sls_link]</t>
      </text>
    </comment>
    <comment ref="AI38" authorId="0" shapeId="0">
      <text>
        <t>추정: SLS 해양 원화 14002억(sls.by_quarter.marine_hedged_krw_m(헤지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
[sls_link]</t>
      </text>
    </comment>
    <comment ref="AK38" authorId="0" shapeId="0">
      <text>
        <t>추정: SLS 해양 원화 13850억(sls.by_quarter.marine_hedged_krw_m(헤지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3002억 유지(패널 신규수주 체결 분기별 상계, net_panel)
[sls_link]</t>
      </text>
    </comment>
    <comment ref="AL38" authorId="0" shapeId="0">
      <text>
        <t>추정: SLS 해양 원화 13155억(sls.by_quarter.marine_hedged_krw_m(헤지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3002억 유지(패널 신규수주 체결 분기별 상계, net_panel)
[sls_link]</t>
      </text>
    </comment>
    <comment ref="AM38" authorId="0" shapeId="0">
      <text>
        <t>추정: SLS 해양 원화 12558억(sls.by_quarter.marine_hedged_krw_m(헤지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
[sls_link]</t>
      </text>
    </comment>
    <comment ref="AN38" authorId="0" shapeId="0">
      <text>
        <t>추정: SLS 해양 원화 12359억(sls.by_quarter.marine_hedged_krw_m(헤지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3035억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4,337억 vs 0억 · 2027 12,043억 vs 13,801억 · 2028 12,076억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67400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62700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72762.5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0.006752483</v>
      </c>
      <c r="AE27" s="25">
        <f>IFERROR(subQ!AE19/subQ!AE18,"")</f>
        <v/>
      </c>
      <c r="AF27" s="31" t="n">
        <v>0.033409354</v>
      </c>
      <c r="AG27" s="31" t="n">
        <v>0.060064329</v>
      </c>
      <c r="AH27" s="31" t="n">
        <v>0.08672160600000001</v>
      </c>
      <c r="AI27" s="31" t="n">
        <v>0.113376864</v>
      </c>
      <c r="AJ27" s="25">
        <f>IFERROR(subQ!AJ19/subQ!AJ18,"")</f>
        <v/>
      </c>
      <c r="AK27" s="31" t="n">
        <v>0.140031986</v>
      </c>
      <c r="AL27" s="31" t="n">
        <v>0.166688377</v>
      </c>
      <c r="AM27" s="31" t="n">
        <v>0.193345212</v>
      </c>
      <c r="AN27" s="31" t="n">
        <v>0.220000869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-0.015257357</v>
      </c>
      <c r="AD30" s="29" t="n">
        <v>0.0007010230000000001</v>
      </c>
      <c r="AE30" s="30" t="n"/>
      <c r="AF30" s="29" t="n">
        <v>-0.012264729</v>
      </c>
      <c r="AG30" s="29" t="n">
        <v>-0.003820168</v>
      </c>
      <c r="AH30" s="29" t="n">
        <v>-0.008752393000000001</v>
      </c>
      <c r="AI30" s="29" t="n">
        <v>-0.007439525</v>
      </c>
      <c r="AJ30" s="30" t="n"/>
      <c r="AK30" s="29" t="n">
        <v>-0.005199772</v>
      </c>
      <c r="AL30" s="29" t="n">
        <v>-0.001439259</v>
      </c>
      <c r="AM30" s="29" t="n">
        <v>-0.003693537</v>
      </c>
      <c r="AN30" s="29" t="n">
        <v>-0.015680582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-0.009425813</v>
      </c>
      <c r="AD31" s="29" t="n">
        <v>-0.007746965</v>
      </c>
      <c r="AE31" s="30" t="n"/>
      <c r="AF31" s="29" t="n">
        <v>-0.008205636000000001</v>
      </c>
      <c r="AG31" s="29" t="n">
        <v>-0.003245124</v>
      </c>
      <c r="AH31" s="29" t="n">
        <v>-0.004758947</v>
      </c>
      <c r="AI31" s="29" t="n">
        <v>-0.000897713</v>
      </c>
      <c r="AJ31" s="30" t="n"/>
      <c r="AK31" s="29" t="n">
        <v>-0.006811413</v>
      </c>
      <c r="AL31" s="29" t="n">
        <v>-0.001662061</v>
      </c>
      <c r="AM31" s="29" t="n">
        <v>-0.010068933</v>
      </c>
      <c r="AN31" s="29" t="n">
        <v>-0.000921426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-0.104550323</v>
      </c>
      <c r="AE33" s="25" t="n"/>
      <c r="AF33" s="31" t="n">
        <v>-0.114785822</v>
      </c>
      <c r="AG33" s="31" t="n">
        <v>-0.13276546</v>
      </c>
      <c r="AH33" s="31" t="n">
        <v>-0.15983383</v>
      </c>
      <c r="AI33" s="31" t="n">
        <v>-0.199327487</v>
      </c>
      <c r="AJ33" s="25" t="n"/>
      <c r="AK33" s="31" t="n">
        <v>-0.261367291</v>
      </c>
      <c r="AL33" s="31" t="n">
        <v>-0.268511925</v>
      </c>
      <c r="AM33" s="31" t="n">
        <v>-0.271667339</v>
      </c>
      <c r="AN33" s="31" t="n">
        <v>-0.407310768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0.19726763</v>
      </c>
      <c r="AE34" s="25" t="n"/>
      <c r="AF34" s="31" t="n">
        <v>0.161982702</v>
      </c>
      <c r="AG34" s="31" t="n">
        <v>0.142729647</v>
      </c>
      <c r="AH34" s="31" t="n">
        <v>0.130403986</v>
      </c>
      <c r="AI34" s="31" t="n">
        <v>0.120870651</v>
      </c>
      <c r="AJ34" s="25" t="n"/>
      <c r="AK34" s="31" t="n">
        <v>0.113215093</v>
      </c>
      <c r="AL34" s="31" t="n">
        <v>0.07717313100000001</v>
      </c>
      <c r="AM34" s="31" t="n">
        <v>0.053022684</v>
      </c>
      <c r="AN34" s="31" t="n">
        <v>0.054984567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29200.056006</v>
      </c>
      <c r="AE40" s="30" t="n"/>
      <c r="AF40" s="29" t="n">
        <v>29130.584365</v>
      </c>
      <c r="AG40" s="29" t="n">
        <v>29163.477198</v>
      </c>
      <c r="AH40" s="29" t="n">
        <v>29196.500292</v>
      </c>
      <c r="AI40" s="29" t="n">
        <v>29196.492863</v>
      </c>
      <c r="AJ40" s="30" t="n"/>
      <c r="AK40" s="29" t="n">
        <v>29163.481664</v>
      </c>
      <c r="AL40" s="29" t="n">
        <v>15338.286409</v>
      </c>
      <c r="AM40" s="29" t="n">
        <v>3035.406225</v>
      </c>
      <c r="AN40" s="29" t="n">
        <v>3035.483543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0.119007464</v>
      </c>
      <c r="AE42" s="25">
        <f>IFERROR(subQ!AE40/subQ!AE38,"")</f>
        <v/>
      </c>
      <c r="AF42" s="31" t="n">
        <v>0.120230481</v>
      </c>
      <c r="AG42" s="31" t="n">
        <v>0.120882613</v>
      </c>
      <c r="AH42" s="31" t="n">
        <v>0.120881268</v>
      </c>
      <c r="AI42" s="31" t="n">
        <v>0.120893283</v>
      </c>
      <c r="AJ42" s="25">
        <f>IFERROR(subQ!AJ40/subQ!AJ38,"")</f>
        <v/>
      </c>
      <c r="AK42" s="31" t="n">
        <v>0.120793055</v>
      </c>
      <c r="AL42" s="31" t="n">
        <v>0.120799821</v>
      </c>
      <c r="AM42" s="31" t="n">
        <v>0.120869705</v>
      </c>
      <c r="AN42" s="31" t="n">
        <v>0.120890068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67400</v>
      </c>
      <c r="E47" s="2" t="inlineStr">
        <is>
          <t>원 — 네이버 정규장 종가(aik 확정종가 대조 · aik 67,300원)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20261014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0.0555912388589173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0.9999654971168068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0.05777785200888787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0.03568159340442493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1343.39</v>
      </c>
      <c r="AJ21" s="13" t="n">
        <v>1341.45</v>
      </c>
      <c r="AK21" s="13" t="n">
        <v>1341.45</v>
      </c>
      <c r="AL21" s="13" t="n">
        <v>1341.45</v>
      </c>
      <c r="AM21" s="13" t="n">
        <v>1341.45</v>
      </c>
      <c r="AN21" s="13" t="n">
        <v>1341.45</v>
      </c>
      <c r="AO21" s="13" t="n">
        <v>1341.45</v>
      </c>
      <c r="AP21" s="13" t="n">
        <v>1341.45</v>
      </c>
      <c r="AQ21" s="13" t="n">
        <v>1341.45</v>
      </c>
      <c r="AR21" s="13" t="n">
        <v>1341.45</v>
      </c>
      <c r="AS21" s="13" t="n">
        <v>1341.45</v>
      </c>
      <c r="AT21" s="13" t="n">
        <v>1341.45</v>
      </c>
      <c r="AU21" s="13" t="n">
        <v>1341.45</v>
      </c>
      <c r="AV21" s="13" t="n">
        <v>1341.45</v>
      </c>
      <c r="AW21" s="13" t="n">
        <v>1341.45</v>
      </c>
      <c r="AX21" s="13" t="n">
        <v>1341.45</v>
      </c>
      <c r="AY21" s="13" t="n">
        <v>1341.45</v>
      </c>
      <c r="AZ21" s="13" t="n">
        <v>1341.45</v>
      </c>
      <c r="BA21" s="13" t="n">
        <v>1341.45</v>
      </c>
      <c r="BB21" s="13" t="n">
        <v>1341.45</v>
      </c>
      <c r="BC21" s="13" t="n">
        <v>1341.45</v>
      </c>
      <c r="BD21" s="13" t="n">
        <v>1341.45</v>
      </c>
      <c r="BE21" s="13" t="n">
        <v>1341.45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1365.48</v>
      </c>
      <c r="AJ22" s="13" t="n">
        <v>1363.87</v>
      </c>
      <c r="AK22" s="13" t="n">
        <v>1363.87</v>
      </c>
      <c r="AL22" s="13" t="n">
        <v>1363.87</v>
      </c>
      <c r="AM22" s="13" t="n">
        <v>1363.87</v>
      </c>
      <c r="AN22" s="13" t="n">
        <v>1363.87</v>
      </c>
      <c r="AO22" s="13" t="n">
        <v>1363.87</v>
      </c>
      <c r="AP22" s="13" t="n">
        <v>1363.87</v>
      </c>
      <c r="AQ22" s="13" t="n">
        <v>1363.87</v>
      </c>
      <c r="AR22" s="13" t="n">
        <v>1363.87</v>
      </c>
      <c r="AS22" s="13" t="n">
        <v>1363.87</v>
      </c>
      <c r="AT22" s="13" t="n">
        <v>1363.87</v>
      </c>
      <c r="AU22" s="13" t="n">
        <v>1363.87</v>
      </c>
      <c r="AV22" s="13" t="n">
        <v>1363.87</v>
      </c>
      <c r="AW22" s="13" t="n">
        <v>1363.87</v>
      </c>
      <c r="AX22" s="13" t="n">
        <v>1363.87</v>
      </c>
      <c r="AY22" s="13" t="n">
        <v>1363.87</v>
      </c>
      <c r="AZ22" s="13" t="n">
        <v>1363.87</v>
      </c>
      <c r="BA22" s="13" t="n">
        <v>1363.87</v>
      </c>
      <c r="BB22" s="13" t="n">
        <v>1363.87</v>
      </c>
      <c r="BC22" s="13" t="n">
        <v>1363.87</v>
      </c>
      <c r="BD22" s="13" t="n">
        <v>1363.87</v>
      </c>
      <c r="BE22" s="13" t="n">
        <v>1363.87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1626924.8</v>
      </c>
      <c r="AJ23" s="18" t="n">
        <v>1514864.2</v>
      </c>
      <c r="AK23" s="18" t="n">
        <v>1440398.7</v>
      </c>
      <c r="AL23" s="18" t="n">
        <v>1448018.8</v>
      </c>
      <c r="AM23" s="18" t="n">
        <v>1434445.2</v>
      </c>
      <c r="AN23" s="18" t="n">
        <v>1396519.6</v>
      </c>
      <c r="AO23" s="18" t="n">
        <v>1315496.3</v>
      </c>
      <c r="AP23" s="18" t="n">
        <v>1255843.6</v>
      </c>
      <c r="AQ23" s="18" t="n">
        <v>1235856.4</v>
      </c>
      <c r="AR23" s="18" t="n">
        <v>1116058.9</v>
      </c>
      <c r="AS23" s="18" t="n">
        <v>957962.5</v>
      </c>
      <c r="AT23" s="18" t="n">
        <v>420161.1</v>
      </c>
      <c r="AU23" s="18" t="n">
        <v>211023.1</v>
      </c>
      <c r="AV23" s="18" t="n">
        <v>119962.3</v>
      </c>
      <c r="AW23" s="18" t="n">
        <v>60718.4</v>
      </c>
      <c r="AX23" s="18" t="n">
        <v>61385.6</v>
      </c>
      <c r="AY23" s="18" t="n">
        <v>54020</v>
      </c>
      <c r="AZ23" s="18" t="n">
        <v>33535</v>
      </c>
      <c r="BA23" s="18" t="n">
        <v>33907.7</v>
      </c>
      <c r="BB23" s="18" t="n">
        <v>34280.3</v>
      </c>
      <c r="BC23" s="18" t="n">
        <v>34280.3</v>
      </c>
      <c r="BD23" s="18" t="n">
        <v>33907.7</v>
      </c>
      <c r="BE23" s="18" t="n">
        <v>33907.7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5748507.4</v>
      </c>
      <c r="BN23" s="18" t="n">
        <v>5837726.9</v>
      </c>
      <c r="BO23" s="18" t="n">
        <v>5203715.9</v>
      </c>
      <c r="BP23" s="18" t="n">
        <v>2705205.6</v>
      </c>
      <c r="BQ23" s="18" t="n">
        <v>296086.3</v>
      </c>
      <c r="BR23" s="18" t="n">
        <v>136003.3</v>
      </c>
      <c r="BS23" s="18" t="n">
        <v>67815.39999999999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1542814.8</v>
      </c>
      <c r="AJ24" s="18" t="n">
        <v>1432679.5</v>
      </c>
      <c r="AK24" s="18" t="n">
        <v>1404903</v>
      </c>
      <c r="AL24" s="18" t="n">
        <v>1413773.6</v>
      </c>
      <c r="AM24" s="18" t="n">
        <v>1400200</v>
      </c>
      <c r="AN24" s="18" t="n">
        <v>1384980.4</v>
      </c>
      <c r="AO24" s="18" t="n">
        <v>1315496.3</v>
      </c>
      <c r="AP24" s="18" t="n">
        <v>1255843.6</v>
      </c>
      <c r="AQ24" s="18" t="n">
        <v>1235856.4</v>
      </c>
      <c r="AR24" s="18" t="n">
        <v>1116058.9</v>
      </c>
      <c r="AS24" s="18" t="n">
        <v>957962.5</v>
      </c>
      <c r="AT24" s="18" t="n">
        <v>420161.1</v>
      </c>
      <c r="AU24" s="18" t="n">
        <v>211023.1</v>
      </c>
      <c r="AV24" s="18" t="n">
        <v>119962.3</v>
      </c>
      <c r="AW24" s="18" t="n">
        <v>60718.4</v>
      </c>
      <c r="AX24" s="18" t="n">
        <v>61385.6</v>
      </c>
      <c r="AY24" s="18" t="n">
        <v>54020</v>
      </c>
      <c r="AZ24" s="18" t="n">
        <v>33535</v>
      </c>
      <c r="BA24" s="18" t="n">
        <v>33907.7</v>
      </c>
      <c r="BB24" s="18" t="n">
        <v>34280.3</v>
      </c>
      <c r="BC24" s="18" t="n">
        <v>34280.3</v>
      </c>
      <c r="BD24" s="18" t="n">
        <v>33907.7</v>
      </c>
      <c r="BE24" s="18" t="n">
        <v>33907.7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5396847.7</v>
      </c>
      <c r="BN24" s="18" t="n">
        <v>5651556.1</v>
      </c>
      <c r="BO24" s="18" t="n">
        <v>5192176.7</v>
      </c>
      <c r="BP24" s="18" t="n">
        <v>2705205.6</v>
      </c>
      <c r="BQ24" s="18" t="n">
        <v>296086.3</v>
      </c>
      <c r="BR24" s="18" t="n">
        <v>136003.3</v>
      </c>
      <c r="BS24" s="18" t="n">
        <v>67815.39999999999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1238914.2</v>
      </c>
      <c r="AJ25" s="18" t="n">
        <v>1135735.3</v>
      </c>
      <c r="AK25" s="18" t="n">
        <v>1104659.3</v>
      </c>
      <c r="AL25" s="18" t="n">
        <v>1110230.5</v>
      </c>
      <c r="AM25" s="18" t="n">
        <v>1096657</v>
      </c>
      <c r="AN25" s="18" t="n">
        <v>1084736.8</v>
      </c>
      <c r="AO25" s="18" t="n">
        <v>1015252.7</v>
      </c>
      <c r="AP25" s="18" t="n">
        <v>952300.6</v>
      </c>
      <c r="AQ25" s="18" t="n">
        <v>932313.4</v>
      </c>
      <c r="AR25" s="18" t="n">
        <v>819114.6</v>
      </c>
      <c r="AS25" s="18" t="n">
        <v>657718.9</v>
      </c>
      <c r="AT25" s="18" t="n">
        <v>130150.9</v>
      </c>
      <c r="AU25" s="18" t="n">
        <v>104966.5</v>
      </c>
      <c r="AV25" s="18" t="n">
        <v>34771.6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303900.7</v>
      </c>
      <c r="AJ26" s="18" t="n">
        <v>296944.3</v>
      </c>
      <c r="AK26" s="18" t="n">
        <v>300243.7</v>
      </c>
      <c r="AL26" s="18" t="n">
        <v>303543</v>
      </c>
      <c r="AM26" s="18" t="n">
        <v>303543</v>
      </c>
      <c r="AN26" s="18" t="n">
        <v>300243.7</v>
      </c>
      <c r="AO26" s="18" t="n">
        <v>300243.7</v>
      </c>
      <c r="AP26" s="18" t="n">
        <v>303543</v>
      </c>
      <c r="AQ26" s="18" t="n">
        <v>303543</v>
      </c>
      <c r="AR26" s="18" t="n">
        <v>296944.3</v>
      </c>
      <c r="AS26" s="18" t="n">
        <v>300243.7</v>
      </c>
      <c r="AT26" s="18" t="n">
        <v>290010.2</v>
      </c>
      <c r="AU26" s="18" t="n">
        <v>106056.6</v>
      </c>
      <c r="AV26" s="18" t="n">
        <v>85190.7</v>
      </c>
      <c r="AW26" s="18" t="n">
        <v>60718.4</v>
      </c>
      <c r="AX26" s="18" t="n">
        <v>61385.6</v>
      </c>
      <c r="AY26" s="18" t="n">
        <v>54020</v>
      </c>
      <c r="AZ26" s="18" t="n">
        <v>33535</v>
      </c>
      <c r="BA26" s="18" t="n">
        <v>33907.7</v>
      </c>
      <c r="BB26" s="18" t="n">
        <v>34280.3</v>
      </c>
      <c r="BC26" s="18" t="n">
        <v>34280.3</v>
      </c>
      <c r="BD26" s="18" t="n">
        <v>33907.7</v>
      </c>
      <c r="BE26" s="18" t="n">
        <v>33907.7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원/달러(평균)",환율,MATCH(AI$1,변수H,0),0),1343.39)</f>
        <v/>
      </c>
      <c r="AJ32" s="13">
        <f>IFERROR(VLOOKUP(" 원/달러(평균)",환율,MATCH(AJ$1,변수H,0),0),1341.45)</f>
        <v/>
      </c>
      <c r="AK32" s="13">
        <f>IFERROR(VLOOKUP(" 원/달러(평균)",환율,MATCH(AK$1,변수H,0),0),1341.45)</f>
        <v/>
      </c>
      <c r="AL32" s="13">
        <f>IFERROR(VLOOKUP(" 원/달러(평균)",환율,MATCH(AL$1,변수H,0),0),1341.45)</f>
        <v/>
      </c>
      <c r="AM32" s="13">
        <f>IFERROR(VLOOKUP(" 원/달러(평균)",환율,MATCH(AM$1,변수H,0),0),1341.45)</f>
        <v/>
      </c>
      <c r="AN32" s="13">
        <f>IFERROR(VLOOKUP(" 원/달러(평균)",환율,MATCH(AN$1,변수H,0),0),1341.45)</f>
        <v/>
      </c>
      <c r="AO32" s="13">
        <f>IFERROR(VLOOKUP(" 원/달러(평균)",환율,MATCH(AO$1,변수H,0),0),1341.45)</f>
        <v/>
      </c>
      <c r="AP32" s="13">
        <f>IFERROR(VLOOKUP(" 원/달러(평균)",환율,MATCH(AP$1,변수H,0),0),1341.45)</f>
        <v/>
      </c>
      <c r="AQ32" s="13">
        <f>IFERROR(VLOOKUP(" 원/달러(평균)",환율,MATCH(AQ$1,변수H,0),0),1341.45)</f>
        <v/>
      </c>
      <c r="AR32" s="13">
        <f>IFERROR(VLOOKUP(" 원/달러(평균)",환율,MATCH(AR$1,변수H,0),0),1341.45)</f>
        <v/>
      </c>
      <c r="AS32" s="13">
        <f>IFERROR(VLOOKUP(" 원/달러(평균)",환율,MATCH(AS$1,변수H,0),0),1341.45)</f>
        <v/>
      </c>
      <c r="AT32" s="13">
        <f>IFERROR(VLOOKUP(" 원/달러(평균)",환율,MATCH(AT$1,변수H,0),0),1341.45)</f>
        <v/>
      </c>
      <c r="AU32" s="13">
        <f>IFERROR(VLOOKUP(" 원/달러(평균)",환율,MATCH(AU$1,변수H,0),0),1341.45)</f>
        <v/>
      </c>
      <c r="AV32" s="13">
        <f>IFERROR(VLOOKUP(" 원/달러(평균)",환율,MATCH(AV$1,변수H,0),0),1341.45)</f>
        <v/>
      </c>
      <c r="AW32" s="13">
        <f>IFERROR(VLOOKUP(" 원/달러(평균)",환율,MATCH(AW$1,변수H,0),0),1341.45)</f>
        <v/>
      </c>
      <c r="AX32" s="13">
        <f>IFERROR(VLOOKUP(" 원/달러(평균)",환율,MATCH(AX$1,변수H,0),0),1341.45)</f>
        <v/>
      </c>
      <c r="AY32" s="13">
        <f>IFERROR(VLOOKUP(" 원/달러(평균)",환율,MATCH(AY$1,변수H,0),0),1341.45)</f>
        <v/>
      </c>
      <c r="AZ32" s="13">
        <f>IFERROR(VLOOKUP(" 원/달러(평균)",환율,MATCH(AZ$1,변수H,0),0),1341.45)</f>
        <v/>
      </c>
      <c r="BA32" s="13">
        <f>IFERROR(VLOOKUP(" 원/달러(평균)",환율,MATCH(BA$1,변수H,0),0),1341.45)</f>
        <v/>
      </c>
      <c r="BB32" s="13">
        <f>IFERROR(VLOOKUP(" 원/달러(평균)",환율,MATCH(BB$1,변수H,0),0),1341.45)</f>
        <v/>
      </c>
      <c r="BC32" s="13">
        <f>IFERROR(VLOOKUP(" 원/달러(평균)",환율,MATCH(BC$1,변수H,0),0),1341.45)</f>
        <v/>
      </c>
      <c r="BD32" s="13">
        <f>IFERROR(VLOOKUP(" 원/달러(평균)",환율,MATCH(BD$1,변수H,0),0),1341.45)</f>
        <v/>
      </c>
      <c r="BE32" s="13">
        <f>IFERROR(VLOOKUP(" 원/달러(평균)",환율,MATCH(BE$1,변수H,0),0),1341.45)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5554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12.14</v>
      </c>
    </row>
    <row r="32">
      <c r="C32" s="2" t="inlineStr">
        <is>
          <t>pbr_now</t>
        </is>
      </c>
      <c r="D32" t="n">
        <v>2.74</v>
      </c>
    </row>
    <row r="33">
      <c r="C33" s="2" t="inlineStr">
        <is>
          <t>roe_fwd</t>
        </is>
      </c>
      <c r="D33" t="n">
        <v>0.2262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