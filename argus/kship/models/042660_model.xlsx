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D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F27" authorId="0" shapeId="0">
      <text>
        <t>모델값 역산(implied): v / 세전이익 · 모델 가정 tax_schedule 0.0334(r4)
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G27" authorId="0" shapeId="0">
      <text>
        <t>모델값 역산(implied): v / 세전이익 · 모델 가정 tax_schedule 0.0601(r4)
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H27" authorId="0" shapeId="0">
      <text>
        <t>모델값 역산(implied): v / 세전이익 · 모델 가정 tax_schedule 0.0867(r4)
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I27" authorId="0" shapeId="0">
      <text>
        <t>모델값 역산(implied): v / 세전이익 · 모델 가정 tax_schedule 0.1134(r4)
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K27" authorId="0" shapeId="0">
      <text>
        <t>모델값 역산(implied): v / 세전이익 · 모델 가정 tax_schedule 0.14(r4)
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L27" authorId="0" shapeId="0">
      <text>
        <t>모델값 역산(implied): v / 세전이익 · 모델 가정 tax_schedule 0.1667(r4)
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M27" authorId="0" shapeId="0">
      <text>
        <t>모델값 역산(implied): v / 세전이익 · 모델 가정 tax_schedule 0.1933(r4)
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15430억(sls.by_quarter.marine_hedged_krw_m(헤지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14254억(sls.by_quarter.marine_hedged_krw_m(헤지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2954억 유지(패널 신규수주 체결 분기별 상계, net_panel)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13978억(sls.by_quarter.marine_hedged_krw_m(헤지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2987억 유지(패널 신규수주 체결 분기별 상계, net_panel)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14066억(sls.by_quarter.marine_hedged_krw_m(헤지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3020억 유지(패널 신규수주 체결 분기별 상계, net_panel)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13931억(sls.by_quarter.marine_hedged_krw_m(헤지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3020억 유지(패널 신규수주 체결 분기별 상계, net_panel)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13779억(sls.by_quarter.marine_hedged_krw_m(헤지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2987억 유지(패널 신규수주 체결 분기별 상계, net_panel)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13088억(sls.by_quarter.marine_hedged_krw_m(헤지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2987억 유지(패널 신규수주 체결 분기별 상계, net_panel)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12495억(sls.by_quarter.marine_hedged_krw_m(헤지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3020억 유지(패널 신규수주 체결 분기별 상계, net_panel)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12296억(sls.by_quarter.marine_hedged_krw_m(헤지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3020억 유지(패널 신규수주 체결 분기별 상계, net_panel)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17658억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21810억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26113억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30334억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34657억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39171억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43900억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48866억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52633억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55420억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17658억 × 5.78%(주석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21810억 × 5.78%(주석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26113억 × 5.78%(주석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30334억 × 5.78%(주석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34657억 × 5.78%(주석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39171억 × 5.78%(주석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43900억 × 5.78%(주석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48866억 × 5.78%(주석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52633억 × 5.78%(주석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55420억 × 5.78%(주석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D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F19" authorId="0" shapeId="0">
      <text>
        <t>추정: 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G19" authorId="0" shapeId="0">
      <text>
        <t>추정: 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H19" authorId="0" shapeId="0">
      <text>
        <t>추정: 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I19" authorId="0" shapeId="0">
      <text>
        <t>추정: 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K19" authorId="0" shapeId="0">
      <text>
        <t>추정: 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L19" authorId="0" shapeId="0">
      <text>
        <t>추정: 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M19" authorId="0" shapeId="0">
      <text>
        <t>추정: 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N19" authorId="0" shapeId="0">
      <text>
        <t>추정: 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
[sls_link]</t>
      </text>
    </comment>
    <comment ref="AD38" authorId="0" shapeId="0">
      <text>
        <t>추정: SLS 해양 원화 15430억(sls.by_quarter.marine_hedged_krw_m(헤지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
[sls_link]</t>
      </text>
    </comment>
    <comment ref="AF38" authorId="0" shapeId="0">
      <text>
        <t>추정: SLS 해양 원화 14254억(sls.by_quarter.marine_hedged_krw_m(헤지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2954억 유지(패널 신규수주 체결 분기별 상계, net_panel)
[sls_link]</t>
      </text>
    </comment>
    <comment ref="AG38" authorId="0" shapeId="0">
      <text>
        <t>추정: SLS 해양 원화 13978억(sls.by_quarter.marine_hedged_krw_m(헤지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2987억 유지(패널 신규수주 체결 분기별 상계, net_panel)
[sls_link]</t>
      </text>
    </comment>
    <comment ref="AH38" authorId="0" shapeId="0">
      <text>
        <t>추정: SLS 해양 원화 14066억(sls.by_quarter.marine_hedged_krw_m(헤지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3020억 유지(패널 신규수주 체결 분기별 상계, net_panel)
[sls_link]</t>
      </text>
    </comment>
    <comment ref="AI38" authorId="0" shapeId="0">
      <text>
        <t>추정: SLS 해양 원화 13931억(sls.by_quarter.marine_hedged_krw_m(헤지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3020억 유지(패널 신규수주 체결 분기별 상계, net_panel)
[sls_link]</t>
      </text>
    </comment>
    <comment ref="AK38" authorId="0" shapeId="0">
      <text>
        <t>추정: SLS 해양 원화 13779억(sls.by_quarter.marine_hedged_krw_m(헤지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2987억 유지(패널 신규수주 체결 분기별 상계, net_panel)
[sls_link]</t>
      </text>
    </comment>
    <comment ref="AL38" authorId="0" shapeId="0">
      <text>
        <t>추정: SLS 해양 원화 13088억(sls.by_quarter.marine_hedged_krw_m(헤지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2987억 유지(패널 신규수주 체결 분기별 상계, net_panel)
[sls_link]</t>
      </text>
    </comment>
    <comment ref="AM38" authorId="0" shapeId="0">
      <text>
        <t>추정: SLS 해양 원화 12495억(sls.by_quarter.marine_hedged_krw_m(헤지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3020억 유지(패널 신규수주 체결 분기별 상계, net_panel)
[sls_link]</t>
      </text>
    </comment>
    <comment ref="AN38" authorId="0" shapeId="0">
      <text>
        <t>추정: SLS 해양 원화 12296억(sls.by_quarter.marine_hedged_krw_m(헤지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3020억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0.68%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5.78% / 부채 3.57% — 이자손익 = (전분기 이자발생자산 × 자산이자율 − 전분기 총차입금 × 부채이자율)/4, 최소자승 역산(모델 assumptions [0.0578,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0.68%→22%) — 분기별 세율 드라이버 행 사용)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covered_scope_new_revenue 신규수주 매출(미보정 book-value proxy, status partial; FY합 76,578억)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44,707억은 SLS 일정으로 전부 유지, 패널 신규수주에서 체결 분기별 상계(2026Q3 패널 31,967억 − 공시 36,327억(범위 밖 8,380억 제외) = 0억) — 패널 base 신규 매출 −24,396억(2026 525억 · 2027 9,807억 · 2028 14,064억)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36,327억 vs 패널 base 신규수주 31,967억(114%). 공시 수주의 인식 시점·진행률(선형, 체결 분기부터)은 패널 가정과 다르다(calibrated=false) — FY 유지 SLS(공시) vs 패널 base 신규 매출(상계 후): 2026 4,338억 vs 0억 · 2027 11,982억 vs 13,801억 · 2028 12,014억 vs 62,778억 / 법인세율 이월결손 경로: 최근 양(+)세전 7분기 유효세율 중위 0.7% → 0.7%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+30/+489/-282/-827(중위 -126억) → 추정 2026Q3 -281억(차 -154억, -122%)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66700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62700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73457.10000000001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31" t="n">
        <v>0.006752619</v>
      </c>
      <c r="AD27" s="31" t="n">
        <v>0.006752062</v>
      </c>
      <c r="AE27" s="25">
        <f>IFERROR(subQ!AE19/subQ!AE18,"")</f>
        <v/>
      </c>
      <c r="AF27" s="31" t="n">
        <v>0.033409811</v>
      </c>
      <c r="AG27" s="31" t="n">
        <v>0.060065408</v>
      </c>
      <c r="AH27" s="31" t="n">
        <v>0.08672012699999999</v>
      </c>
      <c r="AI27" s="31" t="n">
        <v>0.113375875</v>
      </c>
      <c r="AJ27" s="25">
        <f>IFERROR(subQ!AJ19/subQ!AJ18,"")</f>
        <v/>
      </c>
      <c r="AK27" s="31" t="n">
        <v>0.140032798</v>
      </c>
      <c r="AL27" s="31" t="n">
        <v>0.166688788</v>
      </c>
      <c r="AM27" s="31" t="n">
        <v>0.193342944</v>
      </c>
      <c r="AN27" s="31" t="n">
        <v>0.22000123</v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-0.014939685</v>
      </c>
      <c r="AD30" s="29" t="n">
        <v>0.001237696</v>
      </c>
      <c r="AE30" s="30" t="n"/>
      <c r="AF30" s="29" t="n">
        <v>0.002194635</v>
      </c>
      <c r="AG30" s="29" t="n">
        <v>-0.011361178</v>
      </c>
      <c r="AH30" s="29" t="n">
        <v>-0.004051476</v>
      </c>
      <c r="AI30" s="29" t="n">
        <v>-0.000248346</v>
      </c>
      <c r="AJ30" s="30" t="n"/>
      <c r="AK30" s="29" t="n">
        <v>-0.011762222</v>
      </c>
      <c r="AL30" s="29" t="n">
        <v>-0.010318135</v>
      </c>
      <c r="AM30" s="29" t="n">
        <v>0.012287203</v>
      </c>
      <c r="AN30" s="29" t="n">
        <v>-0.008084749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-0.010338799</v>
      </c>
      <c r="AD31" s="29" t="n">
        <v>0.001505154</v>
      </c>
      <c r="AE31" s="30" t="n"/>
      <c r="AF31" s="29" t="n">
        <v>-0.004705978</v>
      </c>
      <c r="AG31" s="29" t="n">
        <v>-0.011783698</v>
      </c>
      <c r="AH31" s="29" t="n">
        <v>-0.001114993</v>
      </c>
      <c r="AI31" s="29" t="n">
        <v>-0.004834551</v>
      </c>
      <c r="AJ31" s="30" t="n"/>
      <c r="AK31" s="29" t="n">
        <v>-0.014579443</v>
      </c>
      <c r="AL31" s="29" t="n">
        <v>-0.001408662</v>
      </c>
      <c r="AM31" s="29" t="n">
        <v>0.005318997</v>
      </c>
      <c r="AN31" s="29" t="n">
        <v>-0.004002615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-0.091654624</v>
      </c>
      <c r="AD33" s="31" t="n">
        <v>-0.104556884</v>
      </c>
      <c r="AE33" s="25" t="n"/>
      <c r="AF33" s="31" t="n">
        <v>-0.114557081</v>
      </c>
      <c r="AG33" s="31" t="n">
        <v>-0.132480511</v>
      </c>
      <c r="AH33" s="31" t="n">
        <v>-0.159453647</v>
      </c>
      <c r="AI33" s="31" t="n">
        <v>-0.19878817</v>
      </c>
      <c r="AJ33" s="25" t="n"/>
      <c r="AK33" s="31" t="n">
        <v>-0.260518022</v>
      </c>
      <c r="AL33" s="31" t="n">
        <v>-0.267235796</v>
      </c>
      <c r="AM33" s="31" t="n">
        <v>-0.269764835</v>
      </c>
      <c r="AN33" s="31" t="n">
        <v>-0.403520425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0.235155723</v>
      </c>
      <c r="AD34" s="31" t="n">
        <v>0.197280009</v>
      </c>
      <c r="AE34" s="25" t="n"/>
      <c r="AF34" s="31" t="n">
        <v>0.161657052</v>
      </c>
      <c r="AG34" s="31" t="n">
        <v>0.142497533</v>
      </c>
      <c r="AH34" s="31" t="n">
        <v>0.130230822</v>
      </c>
      <c r="AI34" s="31" t="n">
        <v>0.120743672</v>
      </c>
      <c r="AJ34" s="25" t="n"/>
      <c r="AK34" s="31" t="n">
        <v>0.113123458</v>
      </c>
      <c r="AL34" s="31" t="n">
        <v>0.07708904</v>
      </c>
      <c r="AM34" s="31" t="n">
        <v>0.052941799</v>
      </c>
      <c r="AN34" s="31" t="n">
        <v>0.054920654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27459.150974</v>
      </c>
      <c r="AD40" s="29" t="n">
        <v>29200.492338</v>
      </c>
      <c r="AE40" s="30" t="n"/>
      <c r="AF40" s="29" t="n">
        <v>29115.50714</v>
      </c>
      <c r="AG40" s="29" t="n">
        <v>29148.232691</v>
      </c>
      <c r="AH40" s="29" t="n">
        <v>29181.088516</v>
      </c>
      <c r="AI40" s="29" t="n">
        <v>29181.081952</v>
      </c>
      <c r="AJ40" s="30" t="n"/>
      <c r="AK40" s="29" t="n">
        <v>29148.235613</v>
      </c>
      <c r="AL40" s="29" t="n">
        <v>15323.042626</v>
      </c>
      <c r="AM40" s="29" t="n">
        <v>3019.996122</v>
      </c>
      <c r="AN40" s="29" t="n">
        <v>3020.078227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0</v>
      </c>
      <c r="AE41" s="30">
        <f>subQ!AE39</f>
        <v/>
      </c>
      <c r="AF41" s="29" t="n">
        <v>525.42</v>
      </c>
      <c r="AG41" s="29" t="n">
        <v>1989.58</v>
      </c>
      <c r="AH41" s="29" t="n">
        <v>4224.28</v>
      </c>
      <c r="AI41" s="29" t="n">
        <v>7061.37</v>
      </c>
      <c r="AJ41" s="30">
        <f>subQ!AJ39</f>
        <v/>
      </c>
      <c r="AK41" s="29" t="n">
        <v>10332.65</v>
      </c>
      <c r="AL41" s="29" t="n">
        <v>13869.95</v>
      </c>
      <c r="AM41" s="29" t="n">
        <v>17505.09</v>
      </c>
      <c r="AN41" s="29" t="n">
        <v>21069.91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0.118831446</v>
      </c>
      <c r="AD42" s="31" t="n">
        <v>0.119007547</v>
      </c>
      <c r="AE42" s="25">
        <f>IFERROR(subQ!AE40/subQ!AE38,"")</f>
        <v/>
      </c>
      <c r="AF42" s="31" t="n">
        <v>0.120230617</v>
      </c>
      <c r="AG42" s="31" t="n">
        <v>0.120882674</v>
      </c>
      <c r="AH42" s="31" t="n">
        <v>0.120881197</v>
      </c>
      <c r="AI42" s="31" t="n">
        <v>0.120893162</v>
      </c>
      <c r="AJ42" s="25">
        <f>IFERROR(subQ!AJ40/subQ!AJ38,"")</f>
        <v/>
      </c>
      <c r="AK42" s="31" t="n">
        <v>0.120792939</v>
      </c>
      <c r="AL42" s="31" t="n">
        <v>0.120799775</v>
      </c>
      <c r="AM42" s="31" t="n">
        <v>0.120869927</v>
      </c>
      <c r="AN42" s="31" t="n">
        <v>0.120890207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66700</v>
      </c>
      <c r="E47" s="2" t="inlineStr">
        <is>
          <t>원 — 네이버 정규장 종가(aik 확정종가 대조 · aik 72,000원)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20261013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0.0068</v>
      </c>
      <c r="E54" s="2" t="inlineStr">
        <is>
          <t>참고(연결 안 됨: 이월결손 램프(assumptions.tax_schedule, 0.68%→22%) — 분기별 세율 드라이버 행 사용) — 모델 assumptions 값(시작 0.68% → terminal 22%, 2026Q4 까지 유지 → 2027Q1~2028Q4 선형 램프 — 분기별 값은 2절 drv:법인세비용 행) ·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0.05559126596879789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0.9999652007439197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0.05777803610839154</v>
      </c>
      <c r="E57" s="2" t="inlineStr">
        <is>
          <t>연결 — 이자손익 = (전분기 이자발생자산 × 자산이자율 − 전분기 총차입금 × 부채이자율)/4(역산, 재현 오차 ≤ 0.05억 · 모델 assumptions 0.0578)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0.03568162605870501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M16" s="18" t="n">
        <v>39272.25</v>
      </c>
      <c r="N16" s="18" t="n">
        <v>40704.47</v>
      </c>
      <c r="O16" s="18" t="n">
        <v>39489.68</v>
      </c>
      <c r="P16" s="37" t="n">
        <v>39489.68</v>
      </c>
      <c r="Q16" s="18" t="n">
        <v>41142.97</v>
      </c>
      <c r="R16" s="18" t="n">
        <v>80916.17999999999</v>
      </c>
      <c r="S16" s="18" t="n">
        <v>189040.92</v>
      </c>
      <c r="T16" s="18" t="n">
        <v>254635.47</v>
      </c>
      <c r="U16" s="37" t="n">
        <v>254635.47</v>
      </c>
      <c r="V16" s="18" t="n">
        <v>254224.05</v>
      </c>
      <c r="W16" s="18" t="n">
        <v>268713.11</v>
      </c>
      <c r="X16" s="18" t="n">
        <v>224837.95</v>
      </c>
      <c r="Y16" s="18" t="n">
        <v>190795.74</v>
      </c>
      <c r="Z16" s="37" t="n">
        <v>190795.74</v>
      </c>
      <c r="AA16" s="18" t="n">
        <v>258426.71</v>
      </c>
      <c r="AB16" s="19" t="n">
        <v>258768.03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280519.73</v>
      </c>
      <c r="N17" s="18" t="n">
        <v>247708.23</v>
      </c>
      <c r="O17" s="18" t="n">
        <v>130942.13</v>
      </c>
      <c r="P17" s="37" t="n">
        <v>130942.13</v>
      </c>
      <c r="Q17" s="18" t="n">
        <v>188202.4</v>
      </c>
      <c r="R17" s="18" t="n">
        <v>344053.4</v>
      </c>
      <c r="S17" s="18" t="n">
        <v>354794.18</v>
      </c>
      <c r="T17" s="18" t="n">
        <v>616573.29</v>
      </c>
      <c r="U17" s="37" t="n">
        <v>616573.29</v>
      </c>
      <c r="V17" s="18" t="n">
        <v>594718.5</v>
      </c>
      <c r="W17" s="18" t="n">
        <v>665236.01</v>
      </c>
      <c r="X17" s="18" t="n">
        <v>712876.88</v>
      </c>
      <c r="Y17" s="18" t="n">
        <v>1196058.22</v>
      </c>
      <c r="Z17" s="37" t="n">
        <v>1196058.22</v>
      </c>
      <c r="AA17" s="18" t="n">
        <v>1537413.43</v>
      </c>
      <c r="AB17" s="19" t="n">
        <v>1603017.33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61166.93</v>
      </c>
      <c r="F40" s="37" t="n">
        <v>61166.93</v>
      </c>
      <c r="G40" s="18" t="n">
        <v>61499.05</v>
      </c>
      <c r="H40" s="18" t="n">
        <v>56743.12</v>
      </c>
      <c r="I40" s="18" t="n">
        <v>53365.03</v>
      </c>
      <c r="J40" s="18" t="n">
        <v>48605.25</v>
      </c>
      <c r="K40" s="37" t="n">
        <v>48605.25</v>
      </c>
      <c r="L40" s="18" t="n">
        <v>44450.98</v>
      </c>
      <c r="M40" s="18" t="n">
        <v>55958.79</v>
      </c>
      <c r="N40" s="18" t="n">
        <v>55011.27</v>
      </c>
      <c r="O40" s="18" t="n">
        <v>51346.2</v>
      </c>
      <c r="P40" s="37" t="n">
        <v>51346.2</v>
      </c>
      <c r="Q40" s="18" t="n">
        <v>50602.76</v>
      </c>
      <c r="R40" s="18" t="n">
        <v>42414.97</v>
      </c>
      <c r="S40" s="18" t="n">
        <v>37540.68</v>
      </c>
      <c r="T40" s="18" t="n">
        <v>98270.13</v>
      </c>
      <c r="U40" s="37" t="n">
        <v>98270.13</v>
      </c>
      <c r="V40" s="18" t="n">
        <v>100806.86</v>
      </c>
      <c r="W40" s="18" t="n">
        <v>97641.45</v>
      </c>
      <c r="X40" s="18" t="n">
        <v>94814.23</v>
      </c>
      <c r="Y40" s="18" t="n">
        <v>93427.17</v>
      </c>
      <c r="Z40" s="37" t="n">
        <v>93427.17</v>
      </c>
      <c r="AA40" s="18" t="n">
        <v>89058.33</v>
      </c>
      <c r="AB40" s="19" t="n">
        <v>109164.2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61166.93</v>
      </c>
      <c r="F41" s="37" t="n">
        <v>61166.93</v>
      </c>
      <c r="G41" s="18" t="n">
        <v>61499.05</v>
      </c>
      <c r="H41" s="18" t="n">
        <v>56743.12</v>
      </c>
      <c r="I41" s="18" t="n">
        <v>53365.03</v>
      </c>
      <c r="J41" s="18" t="n">
        <v>48605.25</v>
      </c>
      <c r="K41" s="37" t="n">
        <v>48605.25</v>
      </c>
      <c r="L41" s="18" t="n">
        <v>44450.98</v>
      </c>
      <c r="M41" s="18" t="n">
        <v>55958.79</v>
      </c>
      <c r="N41" s="18" t="n">
        <v>55011.27</v>
      </c>
      <c r="O41" s="18" t="n">
        <v>51346.2</v>
      </c>
      <c r="P41" s="37" t="n">
        <v>51346.2</v>
      </c>
      <c r="Q41" s="18" t="n">
        <v>50602.76</v>
      </c>
      <c r="R41" s="18" t="n">
        <v>42414.97</v>
      </c>
      <c r="S41" s="18" t="n">
        <v>37540.68</v>
      </c>
      <c r="T41" s="18" t="n">
        <v>98270.13</v>
      </c>
      <c r="U41" s="37" t="n">
        <v>98270.13</v>
      </c>
      <c r="V41" s="18" t="n">
        <v>100806.86</v>
      </c>
      <c r="W41" s="18" t="n">
        <v>97641.45</v>
      </c>
      <c r="X41" s="18" t="n">
        <v>94814.23</v>
      </c>
      <c r="Y41" s="18" t="n">
        <v>93427.17</v>
      </c>
      <c r="Z41" s="37" t="n">
        <v>93427.17</v>
      </c>
      <c r="AA41" s="18" t="n">
        <v>89058.33</v>
      </c>
      <c r="AB41" s="19" t="n">
        <v>149966.01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62229.92</v>
      </c>
      <c r="F42" s="37" t="n">
        <v>62229.92</v>
      </c>
      <c r="G42" s="18" t="n">
        <v>61892.28</v>
      </c>
      <c r="H42" s="18" t="n">
        <v>57027.47</v>
      </c>
      <c r="I42" s="18" t="n">
        <v>53365.03</v>
      </c>
      <c r="J42" s="18" t="n">
        <v>48674.54</v>
      </c>
      <c r="K42" s="37" t="n">
        <v>48674.54</v>
      </c>
      <c r="L42" s="18" t="n">
        <v>44602.83</v>
      </c>
      <c r="M42" s="18" t="n">
        <v>55958.79</v>
      </c>
      <c r="N42" s="18" t="n">
        <v>55011.27</v>
      </c>
      <c r="O42" s="18" t="n">
        <v>51346.2</v>
      </c>
      <c r="P42" s="37" t="n">
        <v>51346.2</v>
      </c>
      <c r="Q42" s="18" t="n">
        <v>50602.76</v>
      </c>
      <c r="R42" s="18" t="n">
        <v>42414.97</v>
      </c>
      <c r="S42" s="18" t="n">
        <v>39826.52</v>
      </c>
      <c r="T42" s="18" t="n">
        <v>98270.13</v>
      </c>
      <c r="U42" s="37" t="n">
        <v>98270.13</v>
      </c>
      <c r="V42" s="18" t="n">
        <v>100806.86</v>
      </c>
      <c r="W42" s="18" t="n">
        <v>97641.45</v>
      </c>
      <c r="X42" s="18" t="n">
        <v>94814.23</v>
      </c>
      <c r="Y42" s="18" t="n">
        <v>98305.2</v>
      </c>
      <c r="Z42" s="37" t="n">
        <v>98305.2</v>
      </c>
      <c r="AA42" s="18" t="n">
        <v>162833.98</v>
      </c>
      <c r="AB42" s="19" t="n">
        <v>221928.05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장기파생상품부채</t>
        </is>
      </c>
      <c r="E43" s="18" t="n">
        <v>1062.99</v>
      </c>
      <c r="F43" s="37" t="n">
        <v>1062.99</v>
      </c>
      <c r="G43" s="18" t="n">
        <v>393.23</v>
      </c>
      <c r="H43" s="18" t="n">
        <v>284.35</v>
      </c>
      <c r="J43" s="18" t="n">
        <v>69.29000000000001</v>
      </c>
      <c r="K43" s="37" t="n">
        <v>69.29000000000001</v>
      </c>
      <c r="L43" s="18" t="n">
        <v>151.85</v>
      </c>
      <c r="P43" s="9" t="n"/>
      <c r="S43" s="18" t="n">
        <v>2285.84</v>
      </c>
      <c r="U43" s="9" t="n"/>
      <c r="Y43" s="18" t="n">
        <v>4878.03</v>
      </c>
      <c r="Z43" s="37" t="n">
        <v>4878.03</v>
      </c>
      <c r="AA43" s="18" t="n">
        <v>73775.64999999999</v>
      </c>
      <c r="AB43" s="19" t="n">
        <v>112763.85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63891.94</v>
      </c>
      <c r="F44" s="37" t="n">
        <v>63891.94</v>
      </c>
      <c r="G44" s="18" t="n">
        <v>63929.46</v>
      </c>
      <c r="H44" s="18" t="n">
        <v>77221.08</v>
      </c>
      <c r="I44" s="18" t="n">
        <v>41342.46</v>
      </c>
      <c r="J44" s="18" t="n">
        <v>118975.5</v>
      </c>
      <c r="K44" s="37" t="n">
        <v>118975.5</v>
      </c>
      <c r="L44" s="18" t="n">
        <v>119325.08</v>
      </c>
      <c r="M44" s="18" t="n">
        <v>128397.52</v>
      </c>
      <c r="N44" s="18" t="n">
        <v>141772.34</v>
      </c>
      <c r="O44" s="18" t="n">
        <v>19851.73</v>
      </c>
      <c r="P44" s="37" t="n">
        <v>19851.73</v>
      </c>
      <c r="Q44" s="18" t="n">
        <v>20093.29</v>
      </c>
      <c r="R44" s="18" t="n">
        <v>20263.09</v>
      </c>
      <c r="S44" s="18" t="n">
        <v>19285.18</v>
      </c>
      <c r="T44" s="18" t="n">
        <v>22814.53</v>
      </c>
      <c r="U44" s="37" t="n">
        <v>22814.53</v>
      </c>
      <c r="V44" s="18" t="n">
        <v>23560.75</v>
      </c>
      <c r="W44" s="18" t="n">
        <v>23391.38</v>
      </c>
      <c r="X44" s="18" t="n">
        <v>22733.81</v>
      </c>
      <c r="Y44" s="18" t="n">
        <v>34406.02</v>
      </c>
      <c r="Z44" s="37" t="n">
        <v>34406.02</v>
      </c>
      <c r="AA44" s="18" t="n">
        <v>40774.95</v>
      </c>
      <c r="AB44" s="19" t="n">
        <v>37842.67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8405626.1</v>
      </c>
      <c r="F45" s="37" t="n">
        <v>8405626.1</v>
      </c>
      <c r="G45" s="18" t="n">
        <v>9032707.380000001</v>
      </c>
      <c r="H45" s="18" t="n">
        <v>10474077.89</v>
      </c>
      <c r="I45" s="18" t="n">
        <v>11600483.55</v>
      </c>
      <c r="J45" s="18" t="n">
        <v>11490693.37</v>
      </c>
      <c r="K45" s="37" t="n">
        <v>11490693.37</v>
      </c>
      <c r="L45" s="18" t="n">
        <v>11690042.34</v>
      </c>
      <c r="M45" s="18" t="n">
        <v>11308538.51</v>
      </c>
      <c r="N45" s="18" t="n">
        <v>10595985.33</v>
      </c>
      <c r="O45" s="18" t="n">
        <v>9632615.57</v>
      </c>
      <c r="P45" s="37" t="n">
        <v>9632615.57</v>
      </c>
      <c r="Q45" s="18" t="n">
        <v>10531119.15</v>
      </c>
      <c r="R45" s="18" t="n">
        <v>11890725.15</v>
      </c>
      <c r="S45" s="18" t="n">
        <v>12186230.97</v>
      </c>
      <c r="T45" s="18" t="n">
        <v>12980459.27</v>
      </c>
      <c r="U45" s="37" t="n">
        <v>12980459.27</v>
      </c>
      <c r="V45" s="18" t="n">
        <v>13089100.94</v>
      </c>
      <c r="W45" s="18" t="n">
        <v>13077936.43</v>
      </c>
      <c r="X45" s="18" t="n">
        <v>13057869.04</v>
      </c>
      <c r="Y45" s="18" t="n">
        <v>13965907.02</v>
      </c>
      <c r="Z45" s="37" t="n">
        <v>13965907.02</v>
      </c>
      <c r="AA45" s="18" t="n">
        <v>13970574.68</v>
      </c>
      <c r="AB45" s="19" t="n">
        <v>12617974.51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2217583.45</v>
      </c>
      <c r="F46" s="37" t="n">
        <v>2217583.45</v>
      </c>
      <c r="G46" s="18" t="n">
        <v>1726558.87</v>
      </c>
      <c r="H46" s="18" t="n">
        <v>1548380.96</v>
      </c>
      <c r="I46" s="18" t="n">
        <v>898685.87</v>
      </c>
      <c r="J46" s="18" t="n">
        <v>744971.9300000001</v>
      </c>
      <c r="K46" s="37" t="n">
        <v>744971.9300000001</v>
      </c>
      <c r="L46" s="18" t="n">
        <v>629060.1</v>
      </c>
      <c r="M46" s="18" t="n">
        <v>2332207.05</v>
      </c>
      <c r="N46" s="18" t="n">
        <v>2669774.89</v>
      </c>
      <c r="O46" s="18" t="n">
        <v>4307452.65</v>
      </c>
      <c r="P46" s="37" t="n">
        <v>4307452.65</v>
      </c>
      <c r="Q46" s="18" t="n">
        <v>4358727.71</v>
      </c>
      <c r="R46" s="18" t="n">
        <v>4332926.74</v>
      </c>
      <c r="S46" s="18" t="n">
        <v>4176003.15</v>
      </c>
      <c r="T46" s="18" t="n">
        <v>4858676.07</v>
      </c>
      <c r="U46" s="37" t="n">
        <v>4858676.07</v>
      </c>
      <c r="V46" s="18" t="n">
        <v>5083866.41</v>
      </c>
      <c r="W46" s="18" t="n">
        <v>5221010.51</v>
      </c>
      <c r="X46" s="18" t="n">
        <v>5471256.51</v>
      </c>
      <c r="Y46" s="18" t="n">
        <v>6170251.54</v>
      </c>
      <c r="Z46" s="37" t="n">
        <v>6170251.54</v>
      </c>
      <c r="AA46" s="18" t="n">
        <v>6821190.27</v>
      </c>
      <c r="AB46" s="19" t="n">
        <v>7523412.2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541453.34</v>
      </c>
      <c r="F47" s="37" t="n">
        <v>541453.34</v>
      </c>
      <c r="G47" s="18" t="n">
        <v>541453.34</v>
      </c>
      <c r="H47" s="18" t="n">
        <v>541453.34</v>
      </c>
      <c r="I47" s="18" t="n">
        <v>541453.34</v>
      </c>
      <c r="J47" s="18" t="n">
        <v>541453.34</v>
      </c>
      <c r="K47" s="37" t="n">
        <v>541453.34</v>
      </c>
      <c r="L47" s="18" t="n">
        <v>541453.34</v>
      </c>
      <c r="M47" s="18" t="n">
        <v>1089366.99</v>
      </c>
      <c r="N47" s="18" t="n">
        <v>1089366.99</v>
      </c>
      <c r="O47" s="18" t="n">
        <v>1536794.49</v>
      </c>
      <c r="P47" s="37" t="n">
        <v>1536794.49</v>
      </c>
      <c r="Q47" s="18" t="n">
        <v>1536794.49</v>
      </c>
      <c r="R47" s="18" t="n">
        <v>1536794.49</v>
      </c>
      <c r="S47" s="18" t="n">
        <v>1537066.97</v>
      </c>
      <c r="T47" s="18" t="n">
        <v>1537066.97</v>
      </c>
      <c r="U47" s="37" t="n">
        <v>1537066.97</v>
      </c>
      <c r="V47" s="18" t="n">
        <v>1537066.97</v>
      </c>
      <c r="W47" s="18" t="n">
        <v>1537066.97</v>
      </c>
      <c r="X47" s="18" t="n">
        <v>1537066.97</v>
      </c>
      <c r="Y47" s="18" t="n">
        <v>1537066.97</v>
      </c>
      <c r="Z47" s="37" t="n">
        <v>1537066.97</v>
      </c>
      <c r="AA47" s="18" t="n">
        <v>1537066.97</v>
      </c>
      <c r="AB47" s="19" t="n">
        <v>1537066.97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16929.21</v>
      </c>
      <c r="F48" s="37" t="n">
        <v>16929.21</v>
      </c>
      <c r="G48" s="18" t="n">
        <v>16929.21</v>
      </c>
      <c r="H48" s="18" t="n">
        <v>16929.21</v>
      </c>
      <c r="I48" s="18" t="n">
        <v>16929.21</v>
      </c>
      <c r="J48" s="18" t="n">
        <v>16929.21</v>
      </c>
      <c r="K48" s="37" t="n">
        <v>16929.21</v>
      </c>
      <c r="L48" s="18" t="n">
        <v>16929.21</v>
      </c>
      <c r="M48" s="18" t="n">
        <v>1600761.65</v>
      </c>
      <c r="N48" s="18" t="n">
        <v>1707154.89</v>
      </c>
      <c r="O48" s="18" t="n">
        <v>2740229.78</v>
      </c>
      <c r="P48" s="37" t="n">
        <v>2740229.78</v>
      </c>
      <c r="Q48" s="18" t="n">
        <v>111751.88</v>
      </c>
      <c r="R48" s="18" t="n">
        <v>111751.88</v>
      </c>
      <c r="S48" s="18" t="n">
        <v>117591.48</v>
      </c>
      <c r="T48" s="18" t="n">
        <v>118688.52</v>
      </c>
      <c r="U48" s="37" t="n">
        <v>118688.52</v>
      </c>
      <c r="V48" s="18" t="n">
        <v>131643.11</v>
      </c>
      <c r="W48" s="18" t="n">
        <v>149889.9</v>
      </c>
      <c r="X48" s="18" t="n">
        <v>153434.15</v>
      </c>
      <c r="Y48" s="18" t="n">
        <v>181868.13</v>
      </c>
      <c r="Z48" s="37" t="n">
        <v>181868.13</v>
      </c>
      <c r="AA48" s="18" t="n">
        <v>207048.01</v>
      </c>
      <c r="AB48" s="19" t="n">
        <v>209082.59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2660477.05</v>
      </c>
      <c r="F49" s="37" t="n">
        <v>2660477.05</v>
      </c>
      <c r="G49" s="18" t="n">
        <v>2662471.19</v>
      </c>
      <c r="H49" s="18" t="n">
        <v>2661141.31</v>
      </c>
      <c r="I49" s="18" t="n">
        <v>2613833.78</v>
      </c>
      <c r="J49" s="18" t="n">
        <v>2887300.37</v>
      </c>
      <c r="K49" s="37" t="n">
        <v>2887300.37</v>
      </c>
      <c r="L49" s="18" t="n">
        <v>2892892.83</v>
      </c>
      <c r="M49" s="18" t="n">
        <v>2339632.56</v>
      </c>
      <c r="N49" s="18" t="n">
        <v>2339632.56</v>
      </c>
      <c r="O49" s="18" t="n">
        <v>2339632.56</v>
      </c>
      <c r="P49" s="37" t="n">
        <v>2339632.56</v>
      </c>
      <c r="Q49" s="18" t="n">
        <v>2341308.4</v>
      </c>
      <c r="R49" s="18" t="n">
        <v>2344138.92</v>
      </c>
      <c r="S49" s="18" t="n">
        <v>2339288.79</v>
      </c>
      <c r="T49" s="18" t="n">
        <v>2339288.79</v>
      </c>
      <c r="U49" s="37" t="n">
        <v>2339288.79</v>
      </c>
      <c r="V49" s="18" t="n">
        <v>2339288.79</v>
      </c>
      <c r="W49" s="18" t="n">
        <v>2339288.79</v>
      </c>
      <c r="X49" s="18" t="n">
        <v>2339288.79</v>
      </c>
      <c r="Y49" s="18" t="n">
        <v>2339288.79</v>
      </c>
      <c r="Z49" s="37" t="n">
        <v>2339288.79</v>
      </c>
      <c r="AA49" s="18" t="n">
        <v>2334380.16</v>
      </c>
      <c r="AB49" s="19" t="n">
        <v>2334176.3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-1001276.15</v>
      </c>
      <c r="F50" s="37" t="n">
        <v>-1001276.15</v>
      </c>
      <c r="G50" s="18" t="n">
        <v>-1494294.87</v>
      </c>
      <c r="H50" s="18" t="n">
        <v>-1671142.89</v>
      </c>
      <c r="I50" s="18" t="n">
        <v>-2273530.45</v>
      </c>
      <c r="J50" s="18" t="n">
        <v>-2700710.99</v>
      </c>
      <c r="K50" s="37" t="n">
        <v>-2700710.99</v>
      </c>
      <c r="L50" s="18" t="n">
        <v>-2822215.29</v>
      </c>
      <c r="M50" s="18" t="n">
        <v>-3256684.53</v>
      </c>
      <c r="N50" s="18" t="n">
        <v>-3030709.54</v>
      </c>
      <c r="O50" s="18" t="n">
        <v>-2868157.13</v>
      </c>
      <c r="P50" s="37" t="n">
        <v>-2868157.13</v>
      </c>
      <c r="Q50" s="18" t="n">
        <v>-196345.48</v>
      </c>
      <c r="R50" s="18" t="n">
        <v>-230551.14</v>
      </c>
      <c r="S50" s="18" t="n">
        <v>-311959.83</v>
      </c>
      <c r="T50" s="18" t="n">
        <v>236448.28</v>
      </c>
      <c r="U50" s="37" t="n">
        <v>236448.28</v>
      </c>
      <c r="V50" s="18" t="n">
        <v>444624.8</v>
      </c>
      <c r="W50" s="18" t="n">
        <v>585536.5699999999</v>
      </c>
      <c r="X50" s="18" t="n">
        <v>846227.71</v>
      </c>
      <c r="Y50" s="18" t="n">
        <v>1551926.23</v>
      </c>
      <c r="Z50" s="37" t="n">
        <v>1551926.23</v>
      </c>
      <c r="AA50" s="18" t="n">
        <v>2031007.62</v>
      </c>
      <c r="AB50" s="19" t="n">
        <v>2703669.86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2217583.45</v>
      </c>
      <c r="F51" s="37" t="n">
        <v>2217583.45</v>
      </c>
      <c r="G51" s="18" t="n">
        <v>1726558.87</v>
      </c>
      <c r="H51" s="18" t="n">
        <v>1548380.96</v>
      </c>
      <c r="I51" s="18" t="n">
        <v>898685.87</v>
      </c>
      <c r="J51" s="18" t="n">
        <v>744971.9300000001</v>
      </c>
      <c r="K51" s="37" t="n">
        <v>744971.9300000001</v>
      </c>
      <c r="L51" s="18" t="n">
        <v>629060.1</v>
      </c>
      <c r="M51" s="18" t="n">
        <v>2332207.05</v>
      </c>
      <c r="N51" s="18" t="n">
        <v>2673777.83</v>
      </c>
      <c r="O51" s="18" t="n">
        <v>4312157.12</v>
      </c>
      <c r="P51" s="37" t="n">
        <v>4312157.12</v>
      </c>
      <c r="Q51" s="18" t="n">
        <v>4363320.98</v>
      </c>
      <c r="R51" s="18" t="n">
        <v>4337656.77</v>
      </c>
      <c r="S51" s="18" t="n">
        <v>4180771.58</v>
      </c>
      <c r="T51" s="18" t="n">
        <v>4863349.89</v>
      </c>
      <c r="U51" s="37" t="n">
        <v>4863349.89</v>
      </c>
      <c r="V51" s="18" t="n">
        <v>5088572.51</v>
      </c>
      <c r="W51" s="18" t="n">
        <v>5225776.43</v>
      </c>
      <c r="X51" s="18" t="n">
        <v>5476057.45</v>
      </c>
      <c r="Y51" s="18" t="n">
        <v>6175007</v>
      </c>
      <c r="Z51" s="37" t="n">
        <v>6175007</v>
      </c>
      <c r="AA51" s="18" t="n">
        <v>6825972.78</v>
      </c>
      <c r="AB51" s="19" t="n">
        <v>7528212.29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10623209.56</v>
      </c>
      <c r="F52" s="37" t="n">
        <v>10623209.56</v>
      </c>
      <c r="G52" s="18" t="n">
        <v>10759266.24</v>
      </c>
      <c r="H52" s="18" t="n">
        <v>12022458.85</v>
      </c>
      <c r="I52" s="18" t="n">
        <v>12499169.42</v>
      </c>
      <c r="J52" s="18" t="n">
        <v>12235665.3</v>
      </c>
      <c r="K52" s="37" t="n">
        <v>12235665.3</v>
      </c>
      <c r="L52" s="18" t="n">
        <v>12319102.44</v>
      </c>
      <c r="M52" s="18" t="n">
        <v>13640745.56</v>
      </c>
      <c r="N52" s="18" t="n">
        <v>13269763.16</v>
      </c>
      <c r="O52" s="18" t="n">
        <v>13944772.69</v>
      </c>
      <c r="P52" s="37" t="n">
        <v>13944772.69</v>
      </c>
      <c r="Q52" s="18" t="n">
        <v>14894440.13</v>
      </c>
      <c r="R52" s="18" t="n">
        <v>16228381.92</v>
      </c>
      <c r="S52" s="18" t="n">
        <v>16367002.54</v>
      </c>
      <c r="T52" s="18" t="n">
        <v>17843809.16</v>
      </c>
      <c r="U52" s="37" t="n">
        <v>17843809.16</v>
      </c>
      <c r="V52" s="18" t="n">
        <v>18177673.45</v>
      </c>
      <c r="W52" s="18" t="n">
        <v>18303712.87</v>
      </c>
      <c r="X52" s="18" t="n">
        <v>18533926.49</v>
      </c>
      <c r="Y52" s="18" t="n">
        <v>20140914.01</v>
      </c>
      <c r="Z52" s="37" t="n">
        <v>20140914.01</v>
      </c>
      <c r="AA52" s="18" t="n">
        <v>20796547.46</v>
      </c>
      <c r="AB52" s="19" t="n">
        <v>20146186.8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2701697.29</v>
      </c>
      <c r="F53" s="37" t="n">
        <v>2701697.29</v>
      </c>
      <c r="G53" s="18" t="n">
        <v>2881148.63</v>
      </c>
      <c r="H53" s="18" t="n">
        <v>2979867.71</v>
      </c>
      <c r="I53" s="18" t="n">
        <v>3034732.14</v>
      </c>
      <c r="J53" s="18" t="n">
        <v>2687244.57</v>
      </c>
      <c r="K53" s="37" t="n">
        <v>2687244.57</v>
      </c>
      <c r="L53" s="18" t="n">
        <v>3077978.85</v>
      </c>
      <c r="M53" s="18" t="n">
        <v>2340008.94</v>
      </c>
      <c r="N53" s="18" t="n">
        <v>2314969.15</v>
      </c>
      <c r="O53" s="18" t="n">
        <v>2191192.37</v>
      </c>
      <c r="P53" s="37" t="n">
        <v>2191192.37</v>
      </c>
      <c r="Q53" s="18" t="n">
        <v>3428135.91</v>
      </c>
      <c r="R53" s="18" t="n">
        <v>4269419.09</v>
      </c>
      <c r="S53" s="18" t="n">
        <v>4888456.28</v>
      </c>
      <c r="T53" s="18" t="n">
        <v>5265870.07</v>
      </c>
      <c r="U53" s="37" t="n">
        <v>5265870.07</v>
      </c>
      <c r="V53" s="18" t="n">
        <v>5520669.77</v>
      </c>
      <c r="W53" s="18" t="n">
        <v>5028215.91</v>
      </c>
      <c r="X53" s="18" t="n">
        <v>5172282.03</v>
      </c>
      <c r="Y53" s="18" t="n">
        <v>5646344.95</v>
      </c>
      <c r="Z53" s="37" t="n">
        <v>5646344.95</v>
      </c>
      <c r="AA53" s="18" t="n">
        <v>6142955.88</v>
      </c>
      <c r="AB53" s="19" t="n">
        <v>6037492.95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612064.89</v>
      </c>
      <c r="F54" s="37" t="n">
        <v>612064.89</v>
      </c>
      <c r="G54" s="18" t="n">
        <v>1439819.38</v>
      </c>
      <c r="H54" s="18" t="n">
        <v>1704193.45</v>
      </c>
      <c r="I54" s="18" t="n">
        <v>1884151</v>
      </c>
      <c r="J54" s="18" t="n">
        <v>1535268.77</v>
      </c>
      <c r="K54" s="37" t="n">
        <v>1535268.77</v>
      </c>
      <c r="L54" s="18" t="n">
        <v>2807861.54</v>
      </c>
      <c r="M54" s="18" t="n">
        <v>775518.5600000001</v>
      </c>
      <c r="N54" s="18" t="n">
        <v>1336350.81</v>
      </c>
      <c r="O54" s="18" t="n">
        <v>391884.62</v>
      </c>
      <c r="P54" s="37" t="n">
        <v>391884.62</v>
      </c>
      <c r="Q54" s="18" t="n">
        <v>1779332</v>
      </c>
      <c r="R54" s="18" t="n">
        <v>2444662.34</v>
      </c>
      <c r="S54" s="18" t="n">
        <v>3871842.93</v>
      </c>
      <c r="T54" s="18" t="n">
        <v>4677610.33</v>
      </c>
      <c r="U54" s="37" t="n">
        <v>4677610.33</v>
      </c>
      <c r="V54" s="18" t="n">
        <v>4547428.46</v>
      </c>
      <c r="W54" s="18" t="n">
        <v>3990567.4</v>
      </c>
      <c r="X54" s="18" t="n">
        <v>4742781.47</v>
      </c>
      <c r="Y54" s="18" t="n">
        <v>4867873.79</v>
      </c>
      <c r="Z54" s="37" t="n">
        <v>4867873.79</v>
      </c>
      <c r="AA54" s="18" t="n">
        <v>5072723.61</v>
      </c>
      <c r="AB54" s="19" t="n">
        <v>4530461.77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2322797.1</v>
      </c>
      <c r="F55" s="37" t="n">
        <v>2322797.1</v>
      </c>
      <c r="G55" s="18" t="n">
        <v>1669671.45</v>
      </c>
      <c r="H55" s="18" t="n">
        <v>1353697.67</v>
      </c>
      <c r="I55" s="18" t="n">
        <v>1190804.13</v>
      </c>
      <c r="J55" s="18" t="n">
        <v>1192221.86</v>
      </c>
      <c r="K55" s="37" t="n">
        <v>1192221.86</v>
      </c>
      <c r="L55" s="18" t="n">
        <v>270117.31</v>
      </c>
      <c r="M55" s="18" t="n">
        <v>1603762.63</v>
      </c>
      <c r="N55" s="18" t="n">
        <v>1019322.81</v>
      </c>
      <c r="O55" s="18" t="n">
        <v>1838797.43</v>
      </c>
      <c r="P55" s="37" t="n">
        <v>1838797.43</v>
      </c>
      <c r="Q55" s="18" t="n">
        <v>1689946.88</v>
      </c>
      <c r="R55" s="18" t="n">
        <v>1905672.93</v>
      </c>
      <c r="S55" s="18" t="n">
        <v>1205654.27</v>
      </c>
      <c r="T55" s="18" t="n">
        <v>842895.21</v>
      </c>
      <c r="U55" s="37" t="n">
        <v>842895.21</v>
      </c>
      <c r="V55" s="18" t="n">
        <v>1227465.36</v>
      </c>
      <c r="W55" s="18" t="n">
        <v>1306361.62</v>
      </c>
      <c r="X55" s="18" t="n">
        <v>654338.51</v>
      </c>
      <c r="Y55" s="18" t="n">
        <v>969266.9</v>
      </c>
      <c r="Z55" s="37" t="n">
        <v>969266.9</v>
      </c>
      <c r="AA55" s="18" t="n">
        <v>1328658.98</v>
      </c>
      <c r="AB55" s="19" t="n">
        <v>1765799.21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</t>
        </is>
      </c>
      <c r="F57" s="9" t="n"/>
      <c r="H57" s="18" t="n">
        <v>25751.28</v>
      </c>
      <c r="I57" s="18" t="n">
        <v>50921.84</v>
      </c>
      <c r="J57" s="18" t="n">
        <v>31440.48</v>
      </c>
      <c r="K57" s="37" t="n">
        <v>31440.48</v>
      </c>
      <c r="L57" s="18" t="n">
        <v>28739.37</v>
      </c>
      <c r="M57" s="18" t="n">
        <v>16702.79</v>
      </c>
      <c r="P57" s="9" t="n"/>
      <c r="U57" s="9" t="n"/>
      <c r="W57" s="18" t="n">
        <v>155113.83</v>
      </c>
      <c r="X57" s="18" t="n">
        <v>142423.97</v>
      </c>
      <c r="Y57" s="18" t="n">
        <v>68957.10000000001</v>
      </c>
      <c r="Z57" s="37" t="n">
        <v>68957.10000000001</v>
      </c>
      <c r="AA57" s="18" t="n">
        <v>74104.37</v>
      </c>
      <c r="AB57" s="19" t="n">
        <v>144534.63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L58" s="18" t="n">
        <v>427146.69</v>
      </c>
      <c r="M58" s="18" t="n">
        <v>442305.34</v>
      </c>
      <c r="N58" s="18" t="n">
        <v>112800.78</v>
      </c>
      <c r="O58" s="18" t="n">
        <v>124947.86</v>
      </c>
      <c r="P58" s="37" t="n">
        <v>124947.86</v>
      </c>
      <c r="Q58" s="18" t="n">
        <v>135970.66</v>
      </c>
      <c r="R58" s="18" t="n">
        <v>48489.08</v>
      </c>
      <c r="S58" s="18" t="n">
        <v>20699.87</v>
      </c>
      <c r="T58" s="18" t="n">
        <v>46003.53</v>
      </c>
      <c r="U58" s="37" t="n">
        <v>46003.53</v>
      </c>
      <c r="V58" s="18" t="n">
        <v>15219.09</v>
      </c>
      <c r="W58" s="18" t="n">
        <v>9163.17</v>
      </c>
      <c r="X58" s="18" t="n">
        <v>11472.76</v>
      </c>
      <c r="Y58" s="18" t="n">
        <v>10204.24</v>
      </c>
      <c r="Z58" s="37" t="n">
        <v>10204.24</v>
      </c>
      <c r="AA58" s="18" t="n">
        <v>14360.34</v>
      </c>
      <c r="AB58" s="19" t="n">
        <v>25464.24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713220.26</v>
      </c>
      <c r="N59" s="18" t="n">
        <v>576236.23</v>
      </c>
      <c r="O59" s="18" t="n">
        <v>526449.92</v>
      </c>
      <c r="P59" s="37" t="n">
        <v>526449.92</v>
      </c>
      <c r="Q59" s="18" t="n">
        <v>1713714.68</v>
      </c>
      <c r="R59" s="18" t="n">
        <v>2519938.37</v>
      </c>
      <c r="S59" s="18" t="n">
        <v>3179562.51</v>
      </c>
      <c r="T59" s="18" t="n">
        <v>3237744.03</v>
      </c>
      <c r="U59" s="37" t="n">
        <v>3237744.03</v>
      </c>
      <c r="V59" s="18" t="n">
        <v>3371868.65</v>
      </c>
      <c r="W59" s="18" t="n">
        <v>3030820.19</v>
      </c>
      <c r="X59" s="18" t="n">
        <v>3051187.29</v>
      </c>
      <c r="Y59" s="18" t="n">
        <v>3300054.55</v>
      </c>
      <c r="Z59" s="37" t="n">
        <v>3300054.55</v>
      </c>
      <c r="AA59" s="18" t="n">
        <v>3529081.73</v>
      </c>
      <c r="AB59" s="19" t="n">
        <v>3387397.65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P60" s="9" t="n"/>
      <c r="T60" s="18" t="n">
        <v>2028126.04</v>
      </c>
      <c r="U60" s="37" t="n">
        <v>2028126.04</v>
      </c>
      <c r="V60" s="18" t="n">
        <v>2148801.12</v>
      </c>
      <c r="W60" s="18" t="n">
        <v>1997395.72</v>
      </c>
      <c r="X60" s="18" t="n">
        <v>2121094.74</v>
      </c>
      <c r="Y60" s="18" t="n">
        <v>2346290.4</v>
      </c>
      <c r="Z60" s="37" t="n">
        <v>2346290.4</v>
      </c>
      <c r="AA60" s="18" t="n">
        <v>2613874.15</v>
      </c>
      <c r="AB60" s="19" t="n">
        <v>2650095.3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559130.37</v>
      </c>
      <c r="N61" s="18" t="n">
        <v>564329.98</v>
      </c>
      <c r="O61" s="18" t="n">
        <v>558952.9399999999</v>
      </c>
      <c r="P61" s="37" t="n">
        <v>558952.9399999999</v>
      </c>
      <c r="Q61" s="18" t="n">
        <v>565218.41</v>
      </c>
      <c r="R61" s="18" t="n">
        <v>570792.59</v>
      </c>
      <c r="S61" s="18" t="n">
        <v>494015.74</v>
      </c>
      <c r="T61" s="18" t="n">
        <v>627183.51</v>
      </c>
      <c r="U61" s="37" t="n">
        <v>627183.51</v>
      </c>
      <c r="V61" s="18" t="n">
        <v>631242.74</v>
      </c>
      <c r="W61" s="18" t="n">
        <v>609228.28</v>
      </c>
      <c r="X61" s="18" t="n">
        <v>595238.89</v>
      </c>
      <c r="Y61" s="18" t="n">
        <v>560101.42</v>
      </c>
      <c r="Z61" s="37" t="n">
        <v>560101.42</v>
      </c>
      <c r="AA61" s="18" t="n">
        <v>711687.51</v>
      </c>
      <c r="AB61" s="19" t="n">
        <v>739416.48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N62" s="18" t="n">
        <v>4002.94</v>
      </c>
      <c r="O62" s="18" t="n">
        <v>4704.47</v>
      </c>
      <c r="P62" s="37" t="n">
        <v>4704.47</v>
      </c>
      <c r="Q62" s="18" t="n">
        <v>4593.27</v>
      </c>
      <c r="R62" s="18" t="n">
        <v>4730.03</v>
      </c>
      <c r="S62" s="18" t="n">
        <v>4768.43</v>
      </c>
      <c r="T62" s="18" t="n">
        <v>4673.82</v>
      </c>
      <c r="U62" s="37" t="n">
        <v>4673.82</v>
      </c>
      <c r="V62" s="18" t="n">
        <v>4706.11</v>
      </c>
      <c r="W62" s="18" t="n">
        <v>4765.92</v>
      </c>
      <c r="X62" s="18" t="n">
        <v>4800.95</v>
      </c>
      <c r="Y62" s="18" t="n">
        <v>4755.45</v>
      </c>
      <c r="Z62" s="37" t="n">
        <v>4755.45</v>
      </c>
      <c r="AA62" s="18" t="n">
        <v>4782.51</v>
      </c>
      <c r="AB62" s="19" t="n">
        <v>4800.08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확정급여부채</t>
        </is>
      </c>
      <c r="F63" s="9" t="n"/>
      <c r="K63" s="9" t="n"/>
      <c r="P63" s="9" t="n"/>
      <c r="U63" s="9" t="n"/>
      <c r="V63" s="18" t="n">
        <v>85122.85000000001</v>
      </c>
      <c r="W63" s="18" t="n">
        <v>86777.56</v>
      </c>
      <c r="X63" s="18" t="n">
        <v>88520.34</v>
      </c>
      <c r="Y63" s="18" t="n">
        <v>119161.33</v>
      </c>
      <c r="Z63" s="37" t="n">
        <v>119161.33</v>
      </c>
      <c r="AA63" s="18" t="n">
        <v>121099.73</v>
      </c>
      <c r="AB63" s="19" t="n">
        <v>185016.91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비유동파생상품자산</t>
        </is>
      </c>
      <c r="F64" s="9" t="n"/>
      <c r="K64" s="9" t="n"/>
      <c r="P64" s="9" t="n"/>
      <c r="U64" s="9" t="n"/>
      <c r="W64" s="18" t="n">
        <v>12.81</v>
      </c>
      <c r="X64" s="18" t="n">
        <v>1418.5</v>
      </c>
      <c r="Y64" s="18" t="n">
        <v>4864.26</v>
      </c>
      <c r="Z64" s="37" t="n">
        <v>4864.26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단기파생상품부채</t>
        </is>
      </c>
      <c r="F65" s="9" t="n"/>
      <c r="K65" s="9" t="n"/>
      <c r="P65" s="9" t="n"/>
      <c r="U65" s="9" t="n"/>
      <c r="W65" s="18" t="n">
        <v>155113.83</v>
      </c>
      <c r="X65" s="18" t="n">
        <v>142423.97</v>
      </c>
      <c r="Y65" s="18" t="n">
        <v>68957.10000000001</v>
      </c>
      <c r="Z65" s="37" t="n">
        <v>68957.10000000001</v>
      </c>
      <c r="AA65" s="18" t="n">
        <v>74104.37</v>
      </c>
      <c r="AB65" s="19" t="n">
        <v>103732.82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유동확정계약자산</t>
        </is>
      </c>
      <c r="F67" s="9" t="n"/>
      <c r="K67" s="9" t="n"/>
      <c r="P67" s="9" t="n"/>
      <c r="U67" s="9" t="n"/>
      <c r="Z67" s="9" t="n"/>
      <c r="AB67" s="19" t="n">
        <v>46143.95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유동리스부채</t>
        </is>
      </c>
      <c r="F68" s="9" t="n"/>
      <c r="K68" s="9" t="n"/>
      <c r="P68" s="9" t="n"/>
      <c r="U68" s="9" t="n"/>
      <c r="Z68" s="9" t="n"/>
      <c r="AB68" s="19" t="n">
        <v>40801.81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M15" s="18" t="n">
        <v>39272.25</v>
      </c>
      <c r="N15" s="18" t="n">
        <v>40653.63</v>
      </c>
      <c r="O15" s="18" t="n">
        <v>39438.84</v>
      </c>
      <c r="P15" s="37" t="n">
        <v>39438.84</v>
      </c>
      <c r="Q15" s="18" t="n">
        <v>40492.13</v>
      </c>
      <c r="R15" s="18" t="n">
        <v>51092.14</v>
      </c>
      <c r="S15" s="18" t="n">
        <v>51684.41</v>
      </c>
      <c r="T15" s="18" t="n">
        <v>55154.82</v>
      </c>
      <c r="U15" s="37" t="n">
        <v>55154.82</v>
      </c>
      <c r="V15" s="18" t="n">
        <v>53416.43</v>
      </c>
      <c r="W15" s="18" t="n">
        <v>53394.9</v>
      </c>
      <c r="X15" s="18" t="n">
        <v>54493.26</v>
      </c>
      <c r="Y15" s="18" t="n">
        <v>54797.44</v>
      </c>
      <c r="Z15" s="37" t="n">
        <v>54797.44</v>
      </c>
      <c r="AA15" s="18" t="n">
        <v>54997.5</v>
      </c>
      <c r="AB15" s="19" t="n">
        <v>54808.07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277005.28</v>
      </c>
      <c r="N16" s="18" t="n">
        <v>243635.86</v>
      </c>
      <c r="O16" s="18" t="n">
        <v>126648.21</v>
      </c>
      <c r="P16" s="37" t="n">
        <v>126648.21</v>
      </c>
      <c r="Q16" s="18" t="n">
        <v>183817.52</v>
      </c>
      <c r="R16" s="18" t="n">
        <v>212214.8</v>
      </c>
      <c r="S16" s="18" t="n">
        <v>107695.3</v>
      </c>
      <c r="T16" s="18" t="n">
        <v>92873.32000000001</v>
      </c>
      <c r="U16" s="37" t="n">
        <v>92873.32000000001</v>
      </c>
      <c r="V16" s="18" t="n">
        <v>53416.43</v>
      </c>
      <c r="W16" s="18" t="n">
        <v>53407.71</v>
      </c>
      <c r="X16" s="18" t="n">
        <v>55911.76</v>
      </c>
      <c r="Y16" s="18" t="n">
        <v>59661.7</v>
      </c>
      <c r="Z16" s="37" t="n">
        <v>59661.7</v>
      </c>
      <c r="AA16" s="18" t="n">
        <v>130544.93</v>
      </c>
      <c r="AB16" s="19" t="n">
        <v>163678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61166.93</v>
      </c>
      <c r="F38" s="37" t="n">
        <v>61166.93</v>
      </c>
      <c r="G38" s="18" t="n">
        <v>61499.05</v>
      </c>
      <c r="H38" s="18" t="n">
        <v>56743.12</v>
      </c>
      <c r="I38" s="18" t="n">
        <v>53365.03</v>
      </c>
      <c r="J38" s="18" t="n">
        <v>48605.25</v>
      </c>
      <c r="K38" s="37" t="n">
        <v>48605.25</v>
      </c>
      <c r="L38" s="18" t="n">
        <v>44450.98</v>
      </c>
      <c r="M38" s="18" t="n">
        <v>55851.5</v>
      </c>
      <c r="N38" s="18" t="n">
        <v>52719</v>
      </c>
      <c r="O38" s="18" t="n">
        <v>49361.21</v>
      </c>
      <c r="P38" s="37" t="n">
        <v>49361.21</v>
      </c>
      <c r="Q38" s="18" t="n">
        <v>45868.28</v>
      </c>
      <c r="R38" s="18" t="n">
        <v>38284.48</v>
      </c>
      <c r="S38" s="18" t="n">
        <v>33941.18</v>
      </c>
      <c r="T38" s="18" t="n">
        <v>95156.12</v>
      </c>
      <c r="U38" s="37" t="n">
        <v>95156.12</v>
      </c>
      <c r="V38" s="18" t="n">
        <v>91238.03999999999</v>
      </c>
      <c r="W38" s="18" t="n">
        <v>89698.49000000001</v>
      </c>
      <c r="X38" s="18" t="n">
        <v>87190.03</v>
      </c>
      <c r="Y38" s="18" t="n">
        <v>80584.42</v>
      </c>
      <c r="Z38" s="37" t="n">
        <v>80584.42</v>
      </c>
      <c r="AA38" s="18" t="n">
        <v>75718.56</v>
      </c>
      <c r="AB38" s="19" t="n">
        <v>95057.7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리스부채</t>
        </is>
      </c>
      <c r="E39" s="18" t="n">
        <v>61166.93</v>
      </c>
      <c r="F39" s="37" t="n">
        <v>61166.93</v>
      </c>
      <c r="G39" s="18" t="n">
        <v>61499.05</v>
      </c>
      <c r="H39" s="18" t="n">
        <v>56743.12</v>
      </c>
      <c r="I39" s="18" t="n">
        <v>53365.03</v>
      </c>
      <c r="J39" s="18" t="n">
        <v>48605.25</v>
      </c>
      <c r="K39" s="37" t="n">
        <v>48605.25</v>
      </c>
      <c r="L39" s="18" t="n">
        <v>44450.98</v>
      </c>
      <c r="M39" s="18" t="n">
        <v>55851.5</v>
      </c>
      <c r="N39" s="18" t="n">
        <v>52719</v>
      </c>
      <c r="O39" s="18" t="n">
        <v>49361.21</v>
      </c>
      <c r="P39" s="37" t="n">
        <v>49361.21</v>
      </c>
      <c r="Q39" s="18" t="n">
        <v>45868.28</v>
      </c>
      <c r="R39" s="18" t="n">
        <v>38284.48</v>
      </c>
      <c r="S39" s="18" t="n">
        <v>33941.18</v>
      </c>
      <c r="T39" s="18" t="n">
        <v>95156.12</v>
      </c>
      <c r="U39" s="37" t="n">
        <v>95156.12</v>
      </c>
      <c r="V39" s="18" t="n">
        <v>91238.03999999999</v>
      </c>
      <c r="W39" s="18" t="n">
        <v>89698.49000000001</v>
      </c>
      <c r="X39" s="18" t="n">
        <v>87190.03</v>
      </c>
      <c r="Y39" s="18" t="n">
        <v>110804.24</v>
      </c>
      <c r="Z39" s="37" t="n">
        <v>110804.24</v>
      </c>
      <c r="AA39" s="18" t="n">
        <v>75718.56</v>
      </c>
      <c r="AB39" s="19" t="n">
        <v>126350.75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62229.92</v>
      </c>
      <c r="F40" s="37" t="n">
        <v>62229.92</v>
      </c>
      <c r="G40" s="18" t="n">
        <v>61892.28</v>
      </c>
      <c r="H40" s="18" t="n">
        <v>57027.47</v>
      </c>
      <c r="I40" s="18" t="n">
        <v>53365.03</v>
      </c>
      <c r="J40" s="18" t="n">
        <v>48674.54</v>
      </c>
      <c r="K40" s="37" t="n">
        <v>48674.54</v>
      </c>
      <c r="L40" s="18" t="n">
        <v>44602.83</v>
      </c>
      <c r="M40" s="18" t="n">
        <v>55851.5</v>
      </c>
      <c r="N40" s="18" t="n">
        <v>52719</v>
      </c>
      <c r="O40" s="18" t="n">
        <v>49361.21</v>
      </c>
      <c r="P40" s="37" t="n">
        <v>49361.21</v>
      </c>
      <c r="Q40" s="18" t="n">
        <v>45868.28</v>
      </c>
      <c r="R40" s="18" t="n">
        <v>38284.48</v>
      </c>
      <c r="S40" s="18" t="n">
        <v>36227.02</v>
      </c>
      <c r="T40" s="18" t="n">
        <v>95156.12</v>
      </c>
      <c r="U40" s="37" t="n">
        <v>95156.12</v>
      </c>
      <c r="V40" s="18" t="n">
        <v>91238.03999999999</v>
      </c>
      <c r="W40" s="18" t="n">
        <v>89698.49000000001</v>
      </c>
      <c r="X40" s="18" t="n">
        <v>87190.03</v>
      </c>
      <c r="Y40" s="18" t="n">
        <v>85462.45</v>
      </c>
      <c r="Z40" s="37" t="n">
        <v>85462.45</v>
      </c>
      <c r="AA40" s="18" t="n">
        <v>149494.21</v>
      </c>
      <c r="AB40" s="19" t="n">
        <v>207821.55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장기파생상품부채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112763.85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60437.62</v>
      </c>
      <c r="F42" s="37" t="n">
        <v>60437.62</v>
      </c>
      <c r="G42" s="18" t="n">
        <v>60437.62</v>
      </c>
      <c r="H42" s="18" t="n">
        <v>73172.12</v>
      </c>
      <c r="I42" s="18" t="n">
        <v>36901.12</v>
      </c>
      <c r="J42" s="18" t="n">
        <v>118380.57</v>
      </c>
      <c r="K42" s="37" t="n">
        <v>118380.57</v>
      </c>
      <c r="L42" s="18" t="n">
        <v>118364.76</v>
      </c>
      <c r="M42" s="18" t="n">
        <v>127453.62</v>
      </c>
      <c r="N42" s="18" t="n">
        <v>127720.83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8313147.25</v>
      </c>
      <c r="F43" s="37" t="n">
        <v>8313147.25</v>
      </c>
      <c r="G43" s="18" t="n">
        <v>8942455.539999999</v>
      </c>
      <c r="H43" s="18" t="n">
        <v>10375971.54</v>
      </c>
      <c r="I43" s="18" t="n">
        <v>11486431.4</v>
      </c>
      <c r="J43" s="18" t="n">
        <v>11402970.67</v>
      </c>
      <c r="K43" s="37" t="n">
        <v>11402970.67</v>
      </c>
      <c r="L43" s="18" t="n">
        <v>11590802.07</v>
      </c>
      <c r="M43" s="18" t="n">
        <v>11217394.67</v>
      </c>
      <c r="N43" s="18" t="n">
        <v>10404833.09</v>
      </c>
      <c r="O43" s="18" t="n">
        <v>9458216.800000001</v>
      </c>
      <c r="P43" s="37" t="n">
        <v>9458216.800000001</v>
      </c>
      <c r="Q43" s="18" t="n">
        <v>10349000.78</v>
      </c>
      <c r="R43" s="18" t="n">
        <v>11809071.18</v>
      </c>
      <c r="S43" s="18" t="n">
        <v>12114587.37</v>
      </c>
      <c r="T43" s="18" t="n">
        <v>12892016.67</v>
      </c>
      <c r="U43" s="37" t="n">
        <v>12892016.67</v>
      </c>
      <c r="V43" s="18" t="n">
        <v>13021358.3</v>
      </c>
      <c r="W43" s="18" t="n">
        <v>12944363.79</v>
      </c>
      <c r="X43" s="18" t="n">
        <v>12879531.07</v>
      </c>
      <c r="Y43" s="18" t="n">
        <v>13730328.43</v>
      </c>
      <c r="Z43" s="37" t="n">
        <v>13730328.43</v>
      </c>
      <c r="AA43" s="18" t="n">
        <v>13725794.58</v>
      </c>
      <c r="AB43" s="19" t="n">
        <v>12370945.99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541453.34</v>
      </c>
      <c r="F44" s="37" t="n">
        <v>541453.34</v>
      </c>
      <c r="G44" s="18" t="n">
        <v>541453.34</v>
      </c>
      <c r="H44" s="18" t="n">
        <v>541453.34</v>
      </c>
      <c r="I44" s="18" t="n">
        <v>541453.34</v>
      </c>
      <c r="J44" s="18" t="n">
        <v>541453.34</v>
      </c>
      <c r="K44" s="37" t="n">
        <v>541453.34</v>
      </c>
      <c r="L44" s="18" t="n">
        <v>541453.34</v>
      </c>
      <c r="M44" s="18" t="n">
        <v>1089366.99</v>
      </c>
      <c r="N44" s="18" t="n">
        <v>1089366.99</v>
      </c>
      <c r="O44" s="18" t="n">
        <v>1536794.49</v>
      </c>
      <c r="P44" s="37" t="n">
        <v>1536794.49</v>
      </c>
      <c r="Q44" s="18" t="n">
        <v>1536794.49</v>
      </c>
      <c r="R44" s="18" t="n">
        <v>1536794.49</v>
      </c>
      <c r="S44" s="18" t="n">
        <v>1537066.97</v>
      </c>
      <c r="T44" s="18" t="n">
        <v>1537066.97</v>
      </c>
      <c r="U44" s="37" t="n">
        <v>1537066.97</v>
      </c>
      <c r="V44" s="18" t="n">
        <v>1537066.97</v>
      </c>
      <c r="W44" s="18" t="n">
        <v>1537066.97</v>
      </c>
      <c r="X44" s="18" t="n">
        <v>1537066.97</v>
      </c>
      <c r="Y44" s="18" t="n">
        <v>1537066.97</v>
      </c>
      <c r="Z44" s="37" t="n">
        <v>1537066.97</v>
      </c>
      <c r="AA44" s="18" t="n">
        <v>1537066.97</v>
      </c>
      <c r="AB44" s="19" t="n">
        <v>1537066.97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-714.45</v>
      </c>
      <c r="F45" s="37" t="n">
        <v>-714.45</v>
      </c>
      <c r="G45" s="18" t="n">
        <v>-714.45</v>
      </c>
      <c r="H45" s="18" t="n">
        <v>-714.45</v>
      </c>
      <c r="I45" s="18" t="n">
        <v>-714.45</v>
      </c>
      <c r="J45" s="18" t="n">
        <v>-714.45</v>
      </c>
      <c r="K45" s="37" t="n">
        <v>-714.45</v>
      </c>
      <c r="L45" s="18" t="n">
        <v>-714.45</v>
      </c>
      <c r="M45" s="18" t="n">
        <v>1594965.47</v>
      </c>
      <c r="N45" s="18" t="n">
        <v>1594964.97</v>
      </c>
      <c r="O45" s="18" t="n">
        <v>2628374.16</v>
      </c>
      <c r="P45" s="37" t="n">
        <v>2628374.16</v>
      </c>
      <c r="Q45" s="18" t="n">
        <v>0</v>
      </c>
      <c r="R45" s="18" t="n">
        <v>0</v>
      </c>
      <c r="S45" s="18" t="n">
        <v>5839.6</v>
      </c>
      <c r="T45" s="18" t="n">
        <v>23477.33</v>
      </c>
      <c r="U45" s="37" t="n">
        <v>23477.33</v>
      </c>
      <c r="V45" s="18" t="n">
        <v>36431.91</v>
      </c>
      <c r="W45" s="18" t="n">
        <v>54678.7</v>
      </c>
      <c r="X45" s="18" t="n">
        <v>58222.95</v>
      </c>
      <c r="Y45" s="18" t="n">
        <v>86656.92999999999</v>
      </c>
      <c r="Z45" s="37" t="n">
        <v>86656.92999999999</v>
      </c>
      <c r="AA45" s="18" t="n">
        <v>111709.32</v>
      </c>
      <c r="AB45" s="19" t="n">
        <v>113743.9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2649143.02</v>
      </c>
      <c r="F46" s="37" t="n">
        <v>2649143.02</v>
      </c>
      <c r="G46" s="18" t="n">
        <v>2649129.53</v>
      </c>
      <c r="H46" s="18" t="n">
        <v>2650568.57</v>
      </c>
      <c r="I46" s="18" t="n">
        <v>2605756.89</v>
      </c>
      <c r="J46" s="18" t="n">
        <v>2887329.3</v>
      </c>
      <c r="K46" s="37" t="n">
        <v>2887329.3</v>
      </c>
      <c r="L46" s="18" t="n">
        <v>2886938.06</v>
      </c>
      <c r="M46" s="18" t="n">
        <v>2327785.08</v>
      </c>
      <c r="N46" s="18" t="n">
        <v>2327785.08</v>
      </c>
      <c r="O46" s="18" t="n">
        <v>2327785.08</v>
      </c>
      <c r="P46" s="37" t="n">
        <v>2327785.08</v>
      </c>
      <c r="Q46" s="18" t="n">
        <v>2329460.92</v>
      </c>
      <c r="R46" s="18" t="n">
        <v>2332291.43</v>
      </c>
      <c r="S46" s="18" t="n">
        <v>2327441.31</v>
      </c>
      <c r="T46" s="18" t="n">
        <v>2327441.31</v>
      </c>
      <c r="U46" s="37" t="n">
        <v>2327441.31</v>
      </c>
      <c r="V46" s="18" t="n">
        <v>2327441.31</v>
      </c>
      <c r="W46" s="18" t="n">
        <v>2327441.31</v>
      </c>
      <c r="X46" s="18" t="n">
        <v>2327441.31</v>
      </c>
      <c r="Y46" s="18" t="n">
        <v>2327441.31</v>
      </c>
      <c r="Z46" s="37" t="n">
        <v>2327441.31</v>
      </c>
      <c r="AA46" s="18" t="n">
        <v>2322532.67</v>
      </c>
      <c r="AB46" s="19" t="n">
        <v>2322328.81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-1062232.18</v>
      </c>
      <c r="F47" s="37" t="n">
        <v>-1062232.18</v>
      </c>
      <c r="G47" s="18" t="n">
        <v>-1553880.9</v>
      </c>
      <c r="H47" s="18" t="n">
        <v>-1736810.44</v>
      </c>
      <c r="I47" s="18" t="n">
        <v>-2345249.84</v>
      </c>
      <c r="J47" s="18" t="n">
        <v>-2784208.46</v>
      </c>
      <c r="K47" s="37" t="n">
        <v>-2784208.46</v>
      </c>
      <c r="L47" s="18" t="n">
        <v>-2906552.12</v>
      </c>
      <c r="M47" s="18" t="n">
        <v>-3354914.56</v>
      </c>
      <c r="N47" s="18" t="n">
        <v>-3138940.8</v>
      </c>
      <c r="O47" s="18" t="n">
        <v>-3001572.42</v>
      </c>
      <c r="P47" s="37" t="n">
        <v>-3001572.42</v>
      </c>
      <c r="Q47" s="18" t="n">
        <v>-334450.25</v>
      </c>
      <c r="R47" s="18" t="n">
        <v>-384877.35</v>
      </c>
      <c r="S47" s="18" t="n">
        <v>-479215.28</v>
      </c>
      <c r="T47" s="18" t="n">
        <v>73450.78999999999</v>
      </c>
      <c r="U47" s="37" t="n">
        <v>73450.78999999999</v>
      </c>
      <c r="V47" s="18" t="n">
        <v>280083.97</v>
      </c>
      <c r="W47" s="18" t="n">
        <v>455059.88</v>
      </c>
      <c r="X47" s="18" t="n">
        <v>731159.55</v>
      </c>
      <c r="Y47" s="18" t="n">
        <v>1488301.84</v>
      </c>
      <c r="Z47" s="37" t="n">
        <v>1488301.84</v>
      </c>
      <c r="AA47" s="18" t="n">
        <v>1989235.35</v>
      </c>
      <c r="AB47" s="19" t="n">
        <v>2666816.9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10440796.98</v>
      </c>
      <c r="F49" s="37" t="n">
        <v>10440796.98</v>
      </c>
      <c r="G49" s="18" t="n">
        <v>10578443.06</v>
      </c>
      <c r="H49" s="18" t="n">
        <v>11830468.56</v>
      </c>
      <c r="I49" s="18" t="n">
        <v>12287677.34</v>
      </c>
      <c r="J49" s="18" t="n">
        <v>12046830.4</v>
      </c>
      <c r="K49" s="37" t="n">
        <v>12046830.4</v>
      </c>
      <c r="L49" s="18" t="n">
        <v>12111926.89</v>
      </c>
      <c r="M49" s="18" t="n">
        <v>13427938.96</v>
      </c>
      <c r="N49" s="18" t="n">
        <v>12832726.72</v>
      </c>
      <c r="O49" s="18" t="n">
        <v>13503157.15</v>
      </c>
      <c r="P49" s="37" t="n">
        <v>13503157.15</v>
      </c>
      <c r="Q49" s="18" t="n">
        <v>14434450.02</v>
      </c>
      <c r="R49" s="18" t="n">
        <v>15846671.5</v>
      </c>
      <c r="S49" s="18" t="n">
        <v>16059703.52</v>
      </c>
      <c r="T49" s="18" t="n">
        <v>17407209.94</v>
      </c>
      <c r="U49" s="37" t="n">
        <v>17407209.94</v>
      </c>
      <c r="V49" s="18" t="n">
        <v>17756028.72</v>
      </c>
      <c r="W49" s="18" t="n">
        <v>17882486.17</v>
      </c>
      <c r="X49" s="18" t="n">
        <v>18097243</v>
      </c>
      <c r="Y49" s="18" t="n">
        <v>19724646.03</v>
      </c>
      <c r="Z49" s="37" t="n">
        <v>19724646.03</v>
      </c>
      <c r="AA49" s="18" t="n">
        <v>20239931.7</v>
      </c>
      <c r="AB49" s="19" t="n">
        <v>19564154.5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2127649.73</v>
      </c>
      <c r="F50" s="37" t="n">
        <v>2127649.73</v>
      </c>
      <c r="G50" s="18" t="n">
        <v>1635987.52</v>
      </c>
      <c r="H50" s="18" t="n">
        <v>1454497.02</v>
      </c>
      <c r="I50" s="18" t="n">
        <v>801245.9399999999</v>
      </c>
      <c r="J50" s="18" t="n">
        <v>643859.73</v>
      </c>
      <c r="K50" s="37" t="n">
        <v>643859.73</v>
      </c>
      <c r="L50" s="18" t="n">
        <v>521124.82</v>
      </c>
      <c r="M50" s="18" t="n">
        <v>2210544.28</v>
      </c>
      <c r="N50" s="18" t="n">
        <v>2427893.63</v>
      </c>
      <c r="O50" s="18" t="n">
        <v>4044940.34</v>
      </c>
      <c r="P50" s="37" t="n">
        <v>4044940.34</v>
      </c>
      <c r="Q50" s="18" t="n">
        <v>4085449.25</v>
      </c>
      <c r="R50" s="18" t="n">
        <v>4037600.33</v>
      </c>
      <c r="S50" s="18" t="n">
        <v>3945116.15</v>
      </c>
      <c r="T50" s="18" t="n">
        <v>4515193.28</v>
      </c>
      <c r="U50" s="37" t="n">
        <v>4515193.28</v>
      </c>
      <c r="V50" s="18" t="n">
        <v>4734670.41</v>
      </c>
      <c r="W50" s="18" t="n">
        <v>4938122.38</v>
      </c>
      <c r="X50" s="18" t="n">
        <v>5217711.92</v>
      </c>
      <c r="Y50" s="18" t="n">
        <v>5994317.61</v>
      </c>
      <c r="Z50" s="37" t="n">
        <v>5994317.61</v>
      </c>
      <c r="AA50" s="18" t="n">
        <v>6514137.13</v>
      </c>
      <c r="AB50" s="19" t="n">
        <v>7193208.51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2637131.45</v>
      </c>
      <c r="F51" s="37" t="n">
        <v>2637131.45</v>
      </c>
      <c r="G51" s="18" t="n">
        <v>2815381</v>
      </c>
      <c r="H51" s="18" t="n">
        <v>2911794.27</v>
      </c>
      <c r="I51" s="18" t="n">
        <v>2962710.77</v>
      </c>
      <c r="J51" s="18" t="n">
        <v>2622272.39</v>
      </c>
      <c r="K51" s="37" t="n">
        <v>2622272.39</v>
      </c>
      <c r="L51" s="18" t="n">
        <v>3010594.51</v>
      </c>
      <c r="M51" s="18" t="n">
        <v>2274257.09</v>
      </c>
      <c r="N51" s="18" t="n">
        <v>2206763.51</v>
      </c>
      <c r="O51" s="18" t="n">
        <v>2084114.02</v>
      </c>
      <c r="P51" s="37" t="n">
        <v>2084114.02</v>
      </c>
      <c r="Q51" s="18" t="n">
        <v>3322377.04</v>
      </c>
      <c r="R51" s="18" t="n">
        <v>4165013.54</v>
      </c>
      <c r="S51" s="18" t="n">
        <v>4786290.48</v>
      </c>
      <c r="T51" s="18" t="n">
        <v>5163714.54</v>
      </c>
      <c r="U51" s="37" t="n">
        <v>5163714.54</v>
      </c>
      <c r="V51" s="18" t="n">
        <v>5420481.96</v>
      </c>
      <c r="W51" s="18" t="n">
        <v>4922539.27</v>
      </c>
      <c r="X51" s="18" t="n">
        <v>5039167.84</v>
      </c>
      <c r="Y51" s="18" t="n">
        <v>5506183.62</v>
      </c>
      <c r="Z51" s="37" t="n">
        <v>5506183.62</v>
      </c>
      <c r="AA51" s="18" t="n">
        <v>5999427.8</v>
      </c>
      <c r="AB51" s="19" t="n">
        <v>5870915.14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597133.5</v>
      </c>
      <c r="F52" s="37" t="n">
        <v>597133.5</v>
      </c>
      <c r="G52" s="18" t="n">
        <v>1416803.7</v>
      </c>
      <c r="H52" s="18" t="n">
        <v>1672286</v>
      </c>
      <c r="I52" s="18" t="n">
        <v>1854260.15</v>
      </c>
      <c r="J52" s="18" t="n">
        <v>1509598.26</v>
      </c>
      <c r="K52" s="37" t="n">
        <v>1509598.26</v>
      </c>
      <c r="L52" s="18" t="n">
        <v>2773587.23</v>
      </c>
      <c r="M52" s="18" t="n">
        <v>739774.79</v>
      </c>
      <c r="N52" s="18" t="n">
        <v>1251788.42</v>
      </c>
      <c r="O52" s="18" t="n">
        <v>313617.03</v>
      </c>
      <c r="P52" s="37" t="n">
        <v>313617.03</v>
      </c>
      <c r="Q52" s="18" t="n">
        <v>1733555.3</v>
      </c>
      <c r="R52" s="18" t="n">
        <v>2439859.78</v>
      </c>
      <c r="S52" s="18" t="n">
        <v>3898297.43</v>
      </c>
      <c r="T52" s="18" t="n">
        <v>4749380.08</v>
      </c>
      <c r="U52" s="37" t="n">
        <v>4749380.08</v>
      </c>
      <c r="V52" s="18" t="n">
        <v>4657769.36</v>
      </c>
      <c r="W52" s="18" t="n">
        <v>4103785.61</v>
      </c>
      <c r="X52" s="18" t="n">
        <v>4820025.42</v>
      </c>
      <c r="Y52" s="18" t="n">
        <v>4904159.23</v>
      </c>
      <c r="Z52" s="37" t="n">
        <v>4904159.23</v>
      </c>
      <c r="AA52" s="18" t="n">
        <v>5102679.93</v>
      </c>
      <c r="AB52" s="19" t="n">
        <v>4624949.6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2273162.65</v>
      </c>
      <c r="F53" s="37" t="n">
        <v>2273162.65</v>
      </c>
      <c r="G53" s="18" t="n">
        <v>1626919.5</v>
      </c>
      <c r="H53" s="18" t="n">
        <v>1317531.68</v>
      </c>
      <c r="I53" s="18" t="n">
        <v>1148673.61</v>
      </c>
      <c r="J53" s="18" t="n">
        <v>1152920.19</v>
      </c>
      <c r="K53" s="37" t="n">
        <v>1152920.19</v>
      </c>
      <c r="L53" s="18" t="n">
        <v>237007.28</v>
      </c>
      <c r="M53" s="18" t="n">
        <v>1573754.55</v>
      </c>
      <c r="N53" s="18" t="n">
        <v>995628.72</v>
      </c>
      <c r="O53" s="18" t="n">
        <v>1809935.83</v>
      </c>
      <c r="P53" s="37" t="n">
        <v>1809935.83</v>
      </c>
      <c r="Q53" s="18" t="n">
        <v>1629313.87</v>
      </c>
      <c r="R53" s="18" t="n">
        <v>1776245.9</v>
      </c>
      <c r="S53" s="18" t="n">
        <v>939677.46</v>
      </c>
      <c r="T53" s="18" t="n">
        <v>469489.28</v>
      </c>
      <c r="U53" s="37" t="n">
        <v>469489.28</v>
      </c>
      <c r="V53" s="18" t="n">
        <v>816129.03</v>
      </c>
      <c r="W53" s="18" t="n">
        <v>872148.5600000001</v>
      </c>
      <c r="X53" s="18" t="n">
        <v>273635.68</v>
      </c>
      <c r="Y53" s="18" t="n">
        <v>656821.83</v>
      </c>
      <c r="Z53" s="37" t="n">
        <v>656821.83</v>
      </c>
      <c r="AA53" s="18" t="n">
        <v>951745.37</v>
      </c>
      <c r="AB53" s="19" t="n">
        <v>1300773.61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당기법인세자산(선급법인세)</t>
        </is>
      </c>
      <c r="F54" s="9" t="n"/>
      <c r="G54" s="18" t="n">
        <v>948.34</v>
      </c>
      <c r="H54" s="18" t="n">
        <v>3795.75</v>
      </c>
      <c r="I54" s="18" t="n">
        <v>4818.44</v>
      </c>
      <c r="J54" s="18" t="n">
        <v>5751.49</v>
      </c>
      <c r="K54" s="37" t="n">
        <v>5751.49</v>
      </c>
      <c r="L54" s="18" t="n">
        <v>6576.28</v>
      </c>
      <c r="M54" s="18" t="n">
        <v>2389.52</v>
      </c>
      <c r="N54" s="18" t="n">
        <v>3792.54</v>
      </c>
      <c r="O54" s="18" t="n">
        <v>5328.55</v>
      </c>
      <c r="P54" s="37" t="n">
        <v>5328.55</v>
      </c>
      <c r="Q54" s="18" t="n">
        <v>7961.76</v>
      </c>
      <c r="R54" s="18" t="n">
        <v>5622.7</v>
      </c>
      <c r="S54" s="18" t="n">
        <v>7125.81</v>
      </c>
      <c r="T54" s="18" t="n">
        <v>8150.98</v>
      </c>
      <c r="U54" s="37" t="n">
        <v>8150.98</v>
      </c>
      <c r="V54" s="18" t="n">
        <v>8948.76</v>
      </c>
      <c r="W54" s="18" t="n">
        <v>1897.41</v>
      </c>
      <c r="X54" s="18" t="n">
        <v>2481.71</v>
      </c>
      <c r="Z54" s="9" t="n"/>
      <c r="AB54" s="19" t="n">
        <v>1835.03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W56" s="18" t="n">
        <v>155113.83</v>
      </c>
      <c r="X56" s="18" t="n">
        <v>142423.97</v>
      </c>
      <c r="Y56" s="18" t="n">
        <v>99176.92</v>
      </c>
      <c r="Z56" s="37" t="n">
        <v>99176.92</v>
      </c>
      <c r="AA56" s="18" t="n">
        <v>74104.37</v>
      </c>
      <c r="AB56" s="19" t="n">
        <v>135025.87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기타유동금융자산</t>
        </is>
      </c>
      <c r="F57" s="9" t="n"/>
      <c r="K57" s="9" t="n"/>
      <c r="L57" s="18" t="n">
        <v>414700.74</v>
      </c>
      <c r="M57" s="18" t="n">
        <v>429609.86</v>
      </c>
      <c r="N57" s="18" t="n">
        <v>91734.81</v>
      </c>
      <c r="O57" s="18" t="n">
        <v>108239.3</v>
      </c>
      <c r="P57" s="37" t="n">
        <v>108239.3</v>
      </c>
      <c r="Q57" s="18" t="n">
        <v>109262.09</v>
      </c>
      <c r="R57" s="18" t="n">
        <v>10780.51</v>
      </c>
      <c r="S57" s="18" t="n">
        <v>10991.31</v>
      </c>
      <c r="T57" s="18" t="n">
        <v>11454.87</v>
      </c>
      <c r="U57" s="37" t="n">
        <v>11454.87</v>
      </c>
      <c r="V57" s="18" t="n">
        <v>11462.79</v>
      </c>
      <c r="W57" s="18" t="n">
        <v>4752.2</v>
      </c>
      <c r="X57" s="18" t="n">
        <v>4834.52</v>
      </c>
      <c r="Y57" s="18" t="n">
        <v>4404</v>
      </c>
      <c r="Z57" s="37" t="n">
        <v>4404</v>
      </c>
      <c r="AA57" s="18" t="n">
        <v>4485</v>
      </c>
      <c r="AB57" s="19" t="n">
        <v>14512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L58" s="18" t="n">
        <v>21558.39</v>
      </c>
      <c r="P58" s="9" t="n"/>
      <c r="U58" s="9" t="n"/>
      <c r="V58" s="18" t="n">
        <v>157130.47</v>
      </c>
      <c r="W58" s="18" t="n">
        <v>175991.71</v>
      </c>
      <c r="X58" s="18" t="n">
        <v>190644.95</v>
      </c>
      <c r="Y58" s="18" t="n">
        <v>129805.8</v>
      </c>
      <c r="Z58" s="37" t="n">
        <v>129805.8</v>
      </c>
      <c r="AA58" s="18" t="n">
        <v>41662.76</v>
      </c>
      <c r="AB58" s="19" t="n">
        <v>182381.4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647468.41</v>
      </c>
      <c r="N59" s="18" t="n">
        <v>544631.12</v>
      </c>
      <c r="O59" s="18" t="n">
        <v>494162.6</v>
      </c>
      <c r="P59" s="37" t="n">
        <v>494162.6</v>
      </c>
      <c r="Q59" s="18" t="n">
        <v>1679649.27</v>
      </c>
      <c r="R59" s="18" t="n">
        <v>2485199.05</v>
      </c>
      <c r="S59" s="18" t="n">
        <v>3145042.2</v>
      </c>
      <c r="T59" s="18" t="n">
        <v>3201449.85</v>
      </c>
      <c r="U59" s="37" t="n">
        <v>3201449.85</v>
      </c>
      <c r="V59" s="18" t="n">
        <v>3335499.92</v>
      </c>
      <c r="W59" s="18" t="n">
        <v>2983414.4</v>
      </c>
      <c r="X59" s="18" t="n">
        <v>2978045.82</v>
      </c>
      <c r="Y59" s="18" t="n">
        <v>3220177.27</v>
      </c>
      <c r="Z59" s="37" t="n">
        <v>3220177.27</v>
      </c>
      <c r="AA59" s="18" t="n">
        <v>3443704.22</v>
      </c>
      <c r="AB59" s="19" t="n">
        <v>3292402.72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N60" s="18" t="n">
        <v>1662132.39</v>
      </c>
      <c r="P60" s="9" t="n"/>
      <c r="T60" s="18" t="n">
        <v>1962264.69</v>
      </c>
      <c r="U60" s="37" t="n">
        <v>1962264.69</v>
      </c>
      <c r="V60" s="18" t="n">
        <v>2084982.04</v>
      </c>
      <c r="W60" s="18" t="n">
        <v>1939124.87</v>
      </c>
      <c r="X60" s="18" t="n">
        <v>2061122.02</v>
      </c>
      <c r="Y60" s="18" t="n">
        <v>2286006.35</v>
      </c>
      <c r="Z60" s="37" t="n">
        <v>2286006.35</v>
      </c>
      <c r="AA60" s="18" t="n">
        <v>2555723.58</v>
      </c>
      <c r="AB60" s="19" t="n">
        <v>2578512.42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553341.3100000001</v>
      </c>
      <c r="N61" s="18" t="n">
        <v>554717.39</v>
      </c>
      <c r="O61" s="18" t="n">
        <v>553559.04</v>
      </c>
      <c r="P61" s="37" t="n">
        <v>553559.04</v>
      </c>
      <c r="Q61" s="18" t="n">
        <v>553644.09</v>
      </c>
      <c r="R61" s="18" t="n">
        <v>553391.75</v>
      </c>
      <c r="S61" s="18" t="n">
        <v>553983.5600000001</v>
      </c>
      <c r="T61" s="18" t="n">
        <v>553756.89</v>
      </c>
      <c r="U61" s="37" t="n">
        <v>553756.89</v>
      </c>
      <c r="V61" s="18" t="n">
        <v>553646.26</v>
      </c>
      <c r="W61" s="18" t="n">
        <v>563875.53</v>
      </c>
      <c r="X61" s="18" t="n">
        <v>563821.14</v>
      </c>
      <c r="Y61" s="18" t="n">
        <v>554850.5600000001</v>
      </c>
      <c r="Z61" s="37" t="n">
        <v>554850.5600000001</v>
      </c>
      <c r="AA61" s="18" t="n">
        <v>553592.8199999999</v>
      </c>
      <c r="AB61" s="19" t="n">
        <v>553251.9300000001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O62" s="18" t="n">
        <v>163892.42</v>
      </c>
      <c r="P62" s="37" t="n">
        <v>163892.42</v>
      </c>
      <c r="Q62" s="18" t="n">
        <v>163892.42</v>
      </c>
      <c r="R62" s="18" t="n">
        <v>154090.12</v>
      </c>
      <c r="S62" s="18" t="n">
        <v>154090.12</v>
      </c>
      <c r="T62" s="18" t="n">
        <v>506573.93</v>
      </c>
      <c r="U62" s="37" t="n">
        <v>506573.93</v>
      </c>
      <c r="V62" s="18" t="n">
        <v>506573.93</v>
      </c>
      <c r="W62" s="18" t="n">
        <v>498512.13</v>
      </c>
      <c r="X62" s="18" t="n">
        <v>498484.85</v>
      </c>
      <c r="Y62" s="18" t="n">
        <v>950308.59</v>
      </c>
      <c r="Z62" s="37" t="n">
        <v>950308.59</v>
      </c>
      <c r="AA62" s="18" t="n">
        <v>950335.73</v>
      </c>
      <c r="AB62" s="19" t="n">
        <v>950335.73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비유동파생상품자산</t>
        </is>
      </c>
      <c r="F63" s="9" t="n"/>
      <c r="K63" s="9" t="n"/>
      <c r="P63" s="9" t="n"/>
      <c r="U63" s="9" t="n"/>
      <c r="W63" s="18" t="n">
        <v>12.81</v>
      </c>
      <c r="X63" s="18" t="n">
        <v>1418.5</v>
      </c>
      <c r="Y63" s="18" t="n">
        <v>4864.26</v>
      </c>
      <c r="Z63" s="37" t="n">
        <v>4864.26</v>
      </c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단기파생상품부채</t>
        </is>
      </c>
      <c r="F64" s="9" t="n"/>
      <c r="K64" s="9" t="n"/>
      <c r="P64" s="9" t="n"/>
      <c r="U64" s="9" t="n"/>
      <c r="W64" s="18" t="n">
        <v>155113.83</v>
      </c>
      <c r="X64" s="18" t="n">
        <v>142423.97</v>
      </c>
      <c r="Y64" s="18" t="n">
        <v>68957.10000000001</v>
      </c>
      <c r="Z64" s="37" t="n">
        <v>68957.10000000001</v>
      </c>
      <c r="AA64" s="18" t="n">
        <v>74104.37</v>
      </c>
      <c r="AB64" s="19" t="n">
        <v>103732.82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유동리스부채</t>
        </is>
      </c>
      <c r="F65" s="9" t="n"/>
      <c r="K65" s="9" t="n"/>
      <c r="P65" s="9" t="n"/>
      <c r="U65" s="9" t="n"/>
      <c r="Y65" s="18" t="n">
        <v>30219.82</v>
      </c>
      <c r="Z65" s="37" t="n">
        <v>30219.82</v>
      </c>
      <c r="AB65" s="19" t="n">
        <v>31293.05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1343.63</v>
      </c>
      <c r="AJ21" s="13" t="n">
        <v>1333.09</v>
      </c>
      <c r="AK21" s="13" t="n">
        <v>1333.09</v>
      </c>
      <c r="AL21" s="13" t="n">
        <v>1333.09</v>
      </c>
      <c r="AM21" s="13" t="n">
        <v>1333.09</v>
      </c>
      <c r="AN21" s="13" t="n">
        <v>1333.09</v>
      </c>
      <c r="AO21" s="13" t="n">
        <v>1333.09</v>
      </c>
      <c r="AP21" s="13" t="n">
        <v>1333.09</v>
      </c>
      <c r="AQ21" s="13" t="n">
        <v>1333.09</v>
      </c>
      <c r="AR21" s="13" t="n">
        <v>1333.09</v>
      </c>
      <c r="AS21" s="13" t="n">
        <v>1333.09</v>
      </c>
      <c r="AT21" s="13" t="n">
        <v>1333.09</v>
      </c>
      <c r="AU21" s="13" t="n">
        <v>1333.09</v>
      </c>
      <c r="AV21" s="13" t="n">
        <v>1333.09</v>
      </c>
      <c r="AW21" s="13" t="n">
        <v>1333.09</v>
      </c>
      <c r="AX21" s="13" t="n">
        <v>1333.09</v>
      </c>
      <c r="AY21" s="13" t="n">
        <v>1333.09</v>
      </c>
      <c r="AZ21" s="13" t="n">
        <v>1333.09</v>
      </c>
      <c r="BA21" s="13" t="n">
        <v>1333.09</v>
      </c>
      <c r="BB21" s="13" t="n">
        <v>1333.09</v>
      </c>
      <c r="BC21" s="13" t="n">
        <v>1333.09</v>
      </c>
      <c r="BD21" s="13" t="n">
        <v>1333.09</v>
      </c>
      <c r="BE21" s="13" t="n">
        <v>1333.09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1365.68</v>
      </c>
      <c r="AJ22" s="13" t="n">
        <v>1356.95</v>
      </c>
      <c r="AK22" s="13" t="n">
        <v>1356.95</v>
      </c>
      <c r="AL22" s="13" t="n">
        <v>1356.95</v>
      </c>
      <c r="AM22" s="13" t="n">
        <v>1356.95</v>
      </c>
      <c r="AN22" s="13" t="n">
        <v>1356.95</v>
      </c>
      <c r="AO22" s="13" t="n">
        <v>1356.95</v>
      </c>
      <c r="AP22" s="13" t="n">
        <v>1356.95</v>
      </c>
      <c r="AQ22" s="13" t="n">
        <v>1356.95</v>
      </c>
      <c r="AR22" s="13" t="n">
        <v>1356.95</v>
      </c>
      <c r="AS22" s="13" t="n">
        <v>1356.95</v>
      </c>
      <c r="AT22" s="13" t="n">
        <v>1356.95</v>
      </c>
      <c r="AU22" s="13" t="n">
        <v>1356.95</v>
      </c>
      <c r="AV22" s="13" t="n">
        <v>1356.95</v>
      </c>
      <c r="AW22" s="13" t="n">
        <v>1356.95</v>
      </c>
      <c r="AX22" s="13" t="n">
        <v>1356.95</v>
      </c>
      <c r="AY22" s="13" t="n">
        <v>1356.95</v>
      </c>
      <c r="AZ22" s="13" t="n">
        <v>1356.95</v>
      </c>
      <c r="BA22" s="13" t="n">
        <v>1356.95</v>
      </c>
      <c r="BB22" s="13" t="n">
        <v>1356.95</v>
      </c>
      <c r="BC22" s="13" t="n">
        <v>1356.95</v>
      </c>
      <c r="BD22" s="13" t="n">
        <v>1356.95</v>
      </c>
      <c r="BE22" s="13" t="n">
        <v>1356.95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1627161.7</v>
      </c>
      <c r="AJ23" s="18" t="n">
        <v>1507173</v>
      </c>
      <c r="AK23" s="18" t="n">
        <v>1433085.6</v>
      </c>
      <c r="AL23" s="18" t="n">
        <v>1440667</v>
      </c>
      <c r="AM23" s="18" t="n">
        <v>1427162.3</v>
      </c>
      <c r="AN23" s="18" t="n">
        <v>1389429.2</v>
      </c>
      <c r="AO23" s="18" t="n">
        <v>1308817.4</v>
      </c>
      <c r="AP23" s="18" t="n">
        <v>1249467.5</v>
      </c>
      <c r="AQ23" s="18" t="n">
        <v>1229581.8</v>
      </c>
      <c r="AR23" s="18" t="n">
        <v>1110392.5</v>
      </c>
      <c r="AS23" s="18" t="n">
        <v>953098.8</v>
      </c>
      <c r="AT23" s="18" t="n">
        <v>418027.9</v>
      </c>
      <c r="AU23" s="18" t="n">
        <v>209951.7</v>
      </c>
      <c r="AV23" s="18" t="n">
        <v>119353.3</v>
      </c>
      <c r="AW23" s="18" t="n">
        <v>60410.1</v>
      </c>
      <c r="AX23" s="18" t="n">
        <v>61074</v>
      </c>
      <c r="AY23" s="18" t="n">
        <v>53745.8</v>
      </c>
      <c r="AZ23" s="18" t="n">
        <v>33364.8</v>
      </c>
      <c r="BA23" s="18" t="n">
        <v>33735.5</v>
      </c>
      <c r="BB23" s="18" t="n">
        <v>34106.2</v>
      </c>
      <c r="BC23" s="18" t="n">
        <v>34106.2</v>
      </c>
      <c r="BD23" s="18" t="n">
        <v>33735.5</v>
      </c>
      <c r="BE23" s="18" t="n">
        <v>33735.5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5748744.3</v>
      </c>
      <c r="BN23" s="18" t="n">
        <v>5808087.9</v>
      </c>
      <c r="BO23" s="18" t="n">
        <v>5177295.9</v>
      </c>
      <c r="BP23" s="18" t="n">
        <v>2691470.9</v>
      </c>
      <c r="BQ23" s="18" t="n">
        <v>294583.2</v>
      </c>
      <c r="BR23" s="18" t="n">
        <v>135312.7</v>
      </c>
      <c r="BS23" s="18" t="n">
        <v>67471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1543039.5</v>
      </c>
      <c r="AJ24" s="18" t="n">
        <v>1425405.6</v>
      </c>
      <c r="AK24" s="18" t="n">
        <v>1397770</v>
      </c>
      <c r="AL24" s="18" t="n">
        <v>1406595.6</v>
      </c>
      <c r="AM24" s="18" t="n">
        <v>1393091</v>
      </c>
      <c r="AN24" s="18" t="n">
        <v>1377948.7</v>
      </c>
      <c r="AO24" s="18" t="n">
        <v>1308817.4</v>
      </c>
      <c r="AP24" s="18" t="n">
        <v>1249467.5</v>
      </c>
      <c r="AQ24" s="18" t="n">
        <v>1229581.8</v>
      </c>
      <c r="AR24" s="18" t="n">
        <v>1110392.5</v>
      </c>
      <c r="AS24" s="18" t="n">
        <v>953098.8</v>
      </c>
      <c r="AT24" s="18" t="n">
        <v>418027.9</v>
      </c>
      <c r="AU24" s="18" t="n">
        <v>209951.7</v>
      </c>
      <c r="AV24" s="18" t="n">
        <v>119353.3</v>
      </c>
      <c r="AW24" s="18" t="n">
        <v>60410.1</v>
      </c>
      <c r="AX24" s="18" t="n">
        <v>61074</v>
      </c>
      <c r="AY24" s="18" t="n">
        <v>53745.8</v>
      </c>
      <c r="AZ24" s="18" t="n">
        <v>33364.8</v>
      </c>
      <c r="BA24" s="18" t="n">
        <v>33735.5</v>
      </c>
      <c r="BB24" s="18" t="n">
        <v>34106.2</v>
      </c>
      <c r="BC24" s="18" t="n">
        <v>34106.2</v>
      </c>
      <c r="BD24" s="18" t="n">
        <v>33735.5</v>
      </c>
      <c r="BE24" s="18" t="n">
        <v>33735.5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5397072.4</v>
      </c>
      <c r="BN24" s="18" t="n">
        <v>5622862.2</v>
      </c>
      <c r="BO24" s="18" t="n">
        <v>5165815.4</v>
      </c>
      <c r="BP24" s="18" t="n">
        <v>2691470.9</v>
      </c>
      <c r="BQ24" s="18" t="n">
        <v>294583.2</v>
      </c>
      <c r="BR24" s="18" t="n">
        <v>135312.7</v>
      </c>
      <c r="BS24" s="18" t="n">
        <v>67471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1239094.5</v>
      </c>
      <c r="AJ25" s="18" t="n">
        <v>1129969</v>
      </c>
      <c r="AK25" s="18" t="n">
        <v>1099050.8</v>
      </c>
      <c r="AL25" s="18" t="n">
        <v>1104593.7</v>
      </c>
      <c r="AM25" s="18" t="n">
        <v>1091089.1</v>
      </c>
      <c r="AN25" s="18" t="n">
        <v>1079229.4</v>
      </c>
      <c r="AO25" s="18" t="n">
        <v>1010098.1</v>
      </c>
      <c r="AP25" s="18" t="n">
        <v>947465.6</v>
      </c>
      <c r="AQ25" s="18" t="n">
        <v>927579.9</v>
      </c>
      <c r="AR25" s="18" t="n">
        <v>814955.9</v>
      </c>
      <c r="AS25" s="18" t="n">
        <v>654379.5</v>
      </c>
      <c r="AT25" s="18" t="n">
        <v>129490.1</v>
      </c>
      <c r="AU25" s="18" t="n">
        <v>104433.6</v>
      </c>
      <c r="AV25" s="18" t="n">
        <v>34595.1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303944.9</v>
      </c>
      <c r="AJ26" s="18" t="n">
        <v>295436.6</v>
      </c>
      <c r="AK26" s="18" t="n">
        <v>298719.3</v>
      </c>
      <c r="AL26" s="18" t="n">
        <v>302001.9</v>
      </c>
      <c r="AM26" s="18" t="n">
        <v>302001.9</v>
      </c>
      <c r="AN26" s="18" t="n">
        <v>298719.3</v>
      </c>
      <c r="AO26" s="18" t="n">
        <v>298719.3</v>
      </c>
      <c r="AP26" s="18" t="n">
        <v>302001.9</v>
      </c>
      <c r="AQ26" s="18" t="n">
        <v>302001.9</v>
      </c>
      <c r="AR26" s="18" t="n">
        <v>295436.6</v>
      </c>
      <c r="AS26" s="18" t="n">
        <v>298719.3</v>
      </c>
      <c r="AT26" s="18" t="n">
        <v>288537.8</v>
      </c>
      <c r="AU26" s="18" t="n">
        <v>105518.1</v>
      </c>
      <c r="AV26" s="18" t="n">
        <v>84758.2</v>
      </c>
      <c r="AW26" s="18" t="n">
        <v>60410.1</v>
      </c>
      <c r="AX26" s="18" t="n">
        <v>61074</v>
      </c>
      <c r="AY26" s="18" t="n">
        <v>53745.8</v>
      </c>
      <c r="AZ26" s="18" t="n">
        <v>33364.8</v>
      </c>
      <c r="BA26" s="18" t="n">
        <v>33735.5</v>
      </c>
      <c r="BB26" s="18" t="n">
        <v>34106.2</v>
      </c>
      <c r="BC26" s="18" t="n">
        <v>34106.2</v>
      </c>
      <c r="BD26" s="18" t="n">
        <v>33735.5</v>
      </c>
      <c r="BE26" s="18" t="n">
        <v>33735.5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원/달러(평균)",환율,MATCH(AI$1,변수H,0),0),1343.63)</f>
        <v/>
      </c>
      <c r="AJ32" s="13">
        <f>IFERROR(VLOOKUP(" 원/달러(평균)",환율,MATCH(AJ$1,변수H,0),0),1333.09)</f>
        <v/>
      </c>
      <c r="AK32" s="13">
        <f>IFERROR(VLOOKUP(" 원/달러(평균)",환율,MATCH(AK$1,변수H,0),0),1333.09)</f>
        <v/>
      </c>
      <c r="AL32" s="13">
        <f>IFERROR(VLOOKUP(" 원/달러(평균)",환율,MATCH(AL$1,변수H,0),0),1333.09)</f>
        <v/>
      </c>
      <c r="AM32" s="13">
        <f>IFERROR(VLOOKUP(" 원/달러(평균)",환율,MATCH(AM$1,변수H,0),0),1333.09)</f>
        <v/>
      </c>
      <c r="AN32" s="13">
        <f>IFERROR(VLOOKUP(" 원/달러(평균)",환율,MATCH(AN$1,변수H,0),0),1333.09)</f>
        <v/>
      </c>
      <c r="AO32" s="13">
        <f>IFERROR(VLOOKUP(" 원/달러(평균)",환율,MATCH(AO$1,변수H,0),0),1333.09)</f>
        <v/>
      </c>
      <c r="AP32" s="13">
        <f>IFERROR(VLOOKUP(" 원/달러(평균)",환율,MATCH(AP$1,변수H,0),0),1333.09)</f>
        <v/>
      </c>
      <c r="AQ32" s="13">
        <f>IFERROR(VLOOKUP(" 원/달러(평균)",환율,MATCH(AQ$1,변수H,0),0),1333.09)</f>
        <v/>
      </c>
      <c r="AR32" s="13">
        <f>IFERROR(VLOOKUP(" 원/달러(평균)",환율,MATCH(AR$1,변수H,0),0),1333.09)</f>
        <v/>
      </c>
      <c r="AS32" s="13">
        <f>IFERROR(VLOOKUP(" 원/달러(평균)",환율,MATCH(AS$1,변수H,0),0),1333.09)</f>
        <v/>
      </c>
      <c r="AT32" s="13">
        <f>IFERROR(VLOOKUP(" 원/달러(평균)",환율,MATCH(AT$1,변수H,0),0),1333.09)</f>
        <v/>
      </c>
      <c r="AU32" s="13">
        <f>IFERROR(VLOOKUP(" 원/달러(평균)",환율,MATCH(AU$1,변수H,0),0),1333.09)</f>
        <v/>
      </c>
      <c r="AV32" s="13">
        <f>IFERROR(VLOOKUP(" 원/달러(평균)",환율,MATCH(AV$1,변수H,0),0),1333.09)</f>
        <v/>
      </c>
      <c r="AW32" s="13">
        <f>IFERROR(VLOOKUP(" 원/달러(평균)",환율,MATCH(AW$1,변수H,0),0),1333.09)</f>
        <v/>
      </c>
      <c r="AX32" s="13">
        <f>IFERROR(VLOOKUP(" 원/달러(평균)",환율,MATCH(AX$1,변수H,0),0),1333.09)</f>
        <v/>
      </c>
      <c r="AY32" s="13">
        <f>IFERROR(VLOOKUP(" 원/달러(평균)",환율,MATCH(AY$1,변수H,0),0),1333.09)</f>
        <v/>
      </c>
      <c r="AZ32" s="13">
        <f>IFERROR(VLOOKUP(" 원/달러(평균)",환율,MATCH(AZ$1,변수H,0),0),1333.09)</f>
        <v/>
      </c>
      <c r="BA32" s="13">
        <f>IFERROR(VLOOKUP(" 원/달러(평균)",환율,MATCH(BA$1,변수H,0),0),1333.09)</f>
        <v/>
      </c>
      <c r="BB32" s="13">
        <f>IFERROR(VLOOKUP(" 원/달러(평균)",환율,MATCH(BB$1,변수H,0),0),1333.09)</f>
        <v/>
      </c>
      <c r="BC32" s="13">
        <f>IFERROR(VLOOKUP(" 원/달러(평균)",환율,MATCH(BC$1,변수H,0),0),1333.09)</f>
        <v/>
      </c>
      <c r="BD32" s="13">
        <f>IFERROR(VLOOKUP(" 원/달러(평균)",환율,MATCH(BD$1,변수H,0),0),1333.09)</f>
        <v/>
      </c>
      <c r="BE32" s="13">
        <f>IFERROR(VLOOKUP(" 원/달러(평균)",환율,MATCH(BE$1,변수H,0),0),1333.09)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— 공시 수주 체결 분기별 상계 후(net_panel)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112.77</v>
      </c>
      <c r="I18" s="34" t="n">
        <v>427.02</v>
      </c>
      <c r="J18" s="34" t="n">
        <v>906.65</v>
      </c>
      <c r="K18" s="34" t="n">
        <v>1515.57</v>
      </c>
      <c r="L18" s="20">
        <f>SUM(H18:K18)</f>
        <v/>
      </c>
      <c r="M18" s="34" t="n">
        <v>2217.68</v>
      </c>
      <c r="N18" s="34" t="n">
        <v>2976.88</v>
      </c>
      <c r="O18" s="34" t="n">
        <v>3757.09</v>
      </c>
      <c r="P18" s="34" t="n">
        <v>4522.2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96</v>
      </c>
      <c r="G24" s="20">
        <f>SUM(E24:F24)</f>
        <v/>
      </c>
      <c r="H24" s="34" t="n">
        <v>960.62</v>
      </c>
      <c r="I24" s="34" t="n">
        <v>3032.79</v>
      </c>
      <c r="J24" s="34" t="n">
        <v>6090.68</v>
      </c>
      <c r="K24" s="34" t="n">
        <v>9912.43</v>
      </c>
      <c r="L24" s="20">
        <f>SUM(H24:K24)</f>
        <v/>
      </c>
      <c r="M24" s="34" t="n">
        <v>14276.2</v>
      </c>
      <c r="N24" s="34" t="n">
        <v>18960.14</v>
      </c>
      <c r="O24" s="34" t="n">
        <v>23742.4</v>
      </c>
      <c r="P24" s="34" t="n">
        <v>28401.13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5548.6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12.02</v>
      </c>
    </row>
    <row r="32">
      <c r="C32" s="2" t="inlineStr">
        <is>
          <t>pbr_now</t>
        </is>
      </c>
      <c r="D32" t="n">
        <v>2.72</v>
      </c>
    </row>
    <row r="33">
      <c r="C33" s="2" t="inlineStr">
        <is>
          <t>roe_fwd</t>
        </is>
      </c>
      <c r="D33" t="n">
        <v>0.2259</v>
      </c>
    </row>
    <row r="34">
      <c r="C34" s="2" t="inlineStr">
        <is>
          <t>fair_pbr</t>
        </is>
      </c>
      <c r="D34" t="n">
        <v>2.51</v>
      </c>
    </row>
    <row r="35">
      <c r="C35" s="2" t="inlineStr">
        <is>
          <t>fair_value_pbr</t>
        </is>
      </c>
      <c r="D35" t="n">
        <v>61600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