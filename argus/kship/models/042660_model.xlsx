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15445억(sls.by_quarter.marine_hedged_krw_m(헤지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3042억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14327억(sls.by_quarter.marine_hedged_krw_m(헤지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2970억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14049억(sls.by_quarter.marine_hedged_krw_m(헤지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14138억(sls.by_quarter.marine_hedged_krw_m(헤지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14002억(sls.by_quarter.marine_hedged_krw_m(헤지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13850억(sls.by_quarter.marine_hedged_krw_m(헤지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13155억(sls.by_quarter.marine_hedged_krw_m(헤지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12559억(sls.by_quarter.marine_hedged_krw_m(헤지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12359억(sls.by_quarter.marine_hedged_krw_m(헤지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26115억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30345억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34676억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39197억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43935억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48909억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52683억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55476억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26115억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30345억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34676억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39197억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43935억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48909억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52683억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55476억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15445억(sls.by_quarter.marine_hedged_krw_m(헤지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3042억 유지(패널 신규수주 체결 분기별 상계, net_panel)
[sls_link]</t>
      </text>
    </comment>
    <comment ref="AF38" authorId="0" shapeId="0">
      <text>
        <t>추정: SLS 해양 원화 14327억(sls.by_quarter.marine_hedged_krw_m(헤지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2970억 유지(패널 신규수주 체결 분기별 상계, net_panel)
[sls_link]</t>
      </text>
    </comment>
    <comment ref="AG38" authorId="0" shapeId="0">
      <text>
        <t>추정: SLS 해양 원화 14049억(sls.by_quarter.marine_hedged_krw_m(헤지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
[sls_link]</t>
      </text>
    </comment>
    <comment ref="AH38" authorId="0" shapeId="0">
      <text>
        <t>추정: SLS 해양 원화 14138억(sls.by_quarter.marine_hedged_krw_m(헤지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I38" authorId="0" shapeId="0">
      <text>
        <t>추정: SLS 해양 원화 14002억(sls.by_quarter.marine_hedged_krw_m(헤지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K38" authorId="0" shapeId="0">
      <text>
        <t>추정: SLS 해양 원화 13850억(sls.by_quarter.marine_hedged_krw_m(헤지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
[sls_link]</t>
      </text>
    </comment>
    <comment ref="AL38" authorId="0" shapeId="0">
      <text>
        <t>추정: SLS 해양 원화 13155억(sls.by_quarter.marine_hedged_krw_m(헤지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
[sls_link]</t>
      </text>
    </comment>
    <comment ref="AM38" authorId="0" shapeId="0">
      <text>
        <t>추정: SLS 해양 원화 12559억(sls.by_quarter.marine_hedged_krw_m(헤지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N38" authorId="0" shapeId="0">
      <text>
        <t>추정: SLS 해양 원화 12359억(sls.by_quarter.marine_hedged_krw_m(헤지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4,340억 vs 0억 · 2027 12,043억 vs 13,801억 · 2028 12,076억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71800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76160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0.006754059</v>
      </c>
      <c r="AE27" s="25">
        <f>IFERROR(subQ!AE19/subQ!AE18,"")</f>
        <v/>
      </c>
      <c r="AF27" s="31" t="n">
        <v>0.033408819</v>
      </c>
      <c r="AG27" s="31" t="n">
        <v>0.060065587</v>
      </c>
      <c r="AH27" s="31" t="n">
        <v>0.08672020499999999</v>
      </c>
      <c r="AI27" s="31" t="n">
        <v>0.11337725</v>
      </c>
      <c r="AJ27" s="25">
        <f>IFERROR(subQ!AJ19/subQ!AJ18,"")</f>
        <v/>
      </c>
      <c r="AK27" s="31" t="n">
        <v>0.14003202</v>
      </c>
      <c r="AL27" s="31" t="n">
        <v>0.166688009</v>
      </c>
      <c r="AM27" s="31" t="n">
        <v>0.193344191</v>
      </c>
      <c r="AN27" s="31" t="n">
        <v>0.219999489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-0.01662006</v>
      </c>
      <c r="AD30" s="29" t="n">
        <v>-0.010357283</v>
      </c>
      <c r="AE30" s="30" t="n"/>
      <c r="AF30" s="29" t="n">
        <v>0.004744529</v>
      </c>
      <c r="AG30" s="29" t="n">
        <v>-0.015303061</v>
      </c>
      <c r="AH30" s="29" t="n">
        <v>-0.008136676000000001</v>
      </c>
      <c r="AI30" s="29" t="n">
        <v>-0.006513659</v>
      </c>
      <c r="AJ30" s="30" t="n"/>
      <c r="AK30" s="29" t="n">
        <v>-0.003354116</v>
      </c>
      <c r="AL30" s="29" t="n">
        <v>0.001469314</v>
      </c>
      <c r="AM30" s="29" t="n">
        <v>3.5952e-05</v>
      </c>
      <c r="AN30" s="29" t="n">
        <v>-0.001256641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-0.009763957</v>
      </c>
      <c r="AD31" s="29" t="n">
        <v>-0.0078098</v>
      </c>
      <c r="AE31" s="30" t="n"/>
      <c r="AF31" s="29" t="n">
        <v>-0.000155394</v>
      </c>
      <c r="AG31" s="29" t="n">
        <v>-0.013661483</v>
      </c>
      <c r="AH31" s="29" t="n">
        <v>-0.003030048</v>
      </c>
      <c r="AI31" s="29" t="n">
        <v>0.001194955</v>
      </c>
      <c r="AJ31" s="30" t="n"/>
      <c r="AK31" s="29" t="n">
        <v>-0.003740682</v>
      </c>
      <c r="AL31" s="29" t="n">
        <v>0.002175579</v>
      </c>
      <c r="AM31" s="29" t="n">
        <v>0.004347552</v>
      </c>
      <c r="AN31" s="29" t="n">
        <v>0.004252885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-0.104597465</v>
      </c>
      <c r="AE33" s="25" t="n"/>
      <c r="AF33" s="31" t="n">
        <v>-0.114793494</v>
      </c>
      <c r="AG33" s="31" t="n">
        <v>-0.132775746</v>
      </c>
      <c r="AH33" s="31" t="n">
        <v>-0.159848001</v>
      </c>
      <c r="AI33" s="31" t="n">
        <v>-0.19934754</v>
      </c>
      <c r="AJ33" s="25" t="n"/>
      <c r="AK33" s="31" t="n">
        <v>-0.261401577</v>
      </c>
      <c r="AL33" s="31" t="n">
        <v>-0.268558853</v>
      </c>
      <c r="AM33" s="31" t="n">
        <v>-0.271734488</v>
      </c>
      <c r="AN33" s="31" t="n">
        <v>-0.407446936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0.197356579</v>
      </c>
      <c r="AE34" s="25" t="n"/>
      <c r="AF34" s="31" t="n">
        <v>0.161972966</v>
      </c>
      <c r="AG34" s="31" t="n">
        <v>0.142722546</v>
      </c>
      <c r="AH34" s="31" t="n">
        <v>0.13039822</v>
      </c>
      <c r="AI34" s="31" t="n">
        <v>0.120865328</v>
      </c>
      <c r="AJ34" s="25" t="n"/>
      <c r="AK34" s="31" t="n">
        <v>0.113211043</v>
      </c>
      <c r="AL34" s="31" t="n">
        <v>0.077170791</v>
      </c>
      <c r="AM34" s="31" t="n">
        <v>0.053021488</v>
      </c>
      <c r="AN34" s="31" t="n">
        <v>0.054983289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29203.284263</v>
      </c>
      <c r="AE40" s="30" t="n"/>
      <c r="AF40" s="29" t="n">
        <v>29130.658466</v>
      </c>
      <c r="AG40" s="29" t="n">
        <v>29163.548846</v>
      </c>
      <c r="AH40" s="29" t="n">
        <v>29196.570587</v>
      </c>
      <c r="AI40" s="29" t="n">
        <v>29196.566456</v>
      </c>
      <c r="AJ40" s="30" t="n"/>
      <c r="AK40" s="29" t="n">
        <v>29163.558152</v>
      </c>
      <c r="AL40" s="29" t="n">
        <v>15338.359776</v>
      </c>
      <c r="AM40" s="29" t="n">
        <v>3035.474886</v>
      </c>
      <c r="AN40" s="29" t="n">
        <v>3035.557062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0.11900748</v>
      </c>
      <c r="AE42" s="25">
        <f>IFERROR(subQ!AE40/subQ!AE38,"")</f>
        <v/>
      </c>
      <c r="AF42" s="31" t="n">
        <v>0.120230674</v>
      </c>
      <c r="AG42" s="31" t="n">
        <v>0.120882587</v>
      </c>
      <c r="AH42" s="31" t="n">
        <v>0.120881243</v>
      </c>
      <c r="AI42" s="31" t="n">
        <v>0.120893259</v>
      </c>
      <c r="AJ42" s="25">
        <f>IFERROR(subQ!AJ40/subQ!AJ38,"")</f>
        <v/>
      </c>
      <c r="AK42" s="31" t="n">
        <v>0.120793034</v>
      </c>
      <c r="AL42" s="31" t="n">
        <v>0.120799855</v>
      </c>
      <c r="AM42" s="31" t="n">
        <v>0.120869829</v>
      </c>
      <c r="AN42" s="31" t="n">
        <v>0.120890179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71800</v>
      </c>
      <c r="E47" s="2" t="inlineStr">
        <is>
          <t>원 — 네이버 정규장 종가(aik 확정종가 대조 · aik 74,100원)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0.05559126936026393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0.9999657438466775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0.05777813684516334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0.03568176760762954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1345.14</v>
      </c>
      <c r="AJ21" s="13" t="n">
        <v>1341.49</v>
      </c>
      <c r="AK21" s="13" t="n">
        <v>1341.49</v>
      </c>
      <c r="AL21" s="13" t="n">
        <v>1341.49</v>
      </c>
      <c r="AM21" s="13" t="n">
        <v>1341.49</v>
      </c>
      <c r="AN21" s="13" t="n">
        <v>1341.49</v>
      </c>
      <c r="AO21" s="13" t="n">
        <v>1341.49</v>
      </c>
      <c r="AP21" s="13" t="n">
        <v>1341.49</v>
      </c>
      <c r="AQ21" s="13" t="n">
        <v>1341.49</v>
      </c>
      <c r="AR21" s="13" t="n">
        <v>1341.49</v>
      </c>
      <c r="AS21" s="13" t="n">
        <v>1341.49</v>
      </c>
      <c r="AT21" s="13" t="n">
        <v>1341.49</v>
      </c>
      <c r="AU21" s="13" t="n">
        <v>1341.49</v>
      </c>
      <c r="AV21" s="13" t="n">
        <v>1341.49</v>
      </c>
      <c r="AW21" s="13" t="n">
        <v>1341.49</v>
      </c>
      <c r="AX21" s="13" t="n">
        <v>1341.49</v>
      </c>
      <c r="AY21" s="13" t="n">
        <v>1341.49</v>
      </c>
      <c r="AZ21" s="13" t="n">
        <v>1341.49</v>
      </c>
      <c r="BA21" s="13" t="n">
        <v>1341.49</v>
      </c>
      <c r="BB21" s="13" t="n">
        <v>1341.49</v>
      </c>
      <c r="BC21" s="13" t="n">
        <v>1341.49</v>
      </c>
      <c r="BD21" s="13" t="n">
        <v>1341.49</v>
      </c>
      <c r="BE21" s="13" t="n">
        <v>1341.49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1366.93</v>
      </c>
      <c r="AJ22" s="13" t="n">
        <v>1363.91</v>
      </c>
      <c r="AK22" s="13" t="n">
        <v>1363.91</v>
      </c>
      <c r="AL22" s="13" t="n">
        <v>1363.91</v>
      </c>
      <c r="AM22" s="13" t="n">
        <v>1363.91</v>
      </c>
      <c r="AN22" s="13" t="n">
        <v>1363.91</v>
      </c>
      <c r="AO22" s="13" t="n">
        <v>1363.91</v>
      </c>
      <c r="AP22" s="13" t="n">
        <v>1363.91</v>
      </c>
      <c r="AQ22" s="13" t="n">
        <v>1363.91</v>
      </c>
      <c r="AR22" s="13" t="n">
        <v>1363.91</v>
      </c>
      <c r="AS22" s="13" t="n">
        <v>1363.91</v>
      </c>
      <c r="AT22" s="13" t="n">
        <v>1363.91</v>
      </c>
      <c r="AU22" s="13" t="n">
        <v>1363.91</v>
      </c>
      <c r="AV22" s="13" t="n">
        <v>1363.91</v>
      </c>
      <c r="AW22" s="13" t="n">
        <v>1363.91</v>
      </c>
      <c r="AX22" s="13" t="n">
        <v>1363.91</v>
      </c>
      <c r="AY22" s="13" t="n">
        <v>1363.91</v>
      </c>
      <c r="AZ22" s="13" t="n">
        <v>1363.91</v>
      </c>
      <c r="BA22" s="13" t="n">
        <v>1363.91</v>
      </c>
      <c r="BB22" s="13" t="n">
        <v>1363.91</v>
      </c>
      <c r="BC22" s="13" t="n">
        <v>1363.91</v>
      </c>
      <c r="BD22" s="13" t="n">
        <v>1363.91</v>
      </c>
      <c r="BE22" s="13" t="n">
        <v>1363.91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1628651.9</v>
      </c>
      <c r="AJ23" s="18" t="n">
        <v>1514901</v>
      </c>
      <c r="AK23" s="18" t="n">
        <v>1440433.7</v>
      </c>
      <c r="AL23" s="18" t="n">
        <v>1448053.9</v>
      </c>
      <c r="AM23" s="18" t="n">
        <v>1434480</v>
      </c>
      <c r="AN23" s="18" t="n">
        <v>1396553.5</v>
      </c>
      <c r="AO23" s="18" t="n">
        <v>1315528.3</v>
      </c>
      <c r="AP23" s="18" t="n">
        <v>1255874.1</v>
      </c>
      <c r="AQ23" s="18" t="n">
        <v>1235886.4</v>
      </c>
      <c r="AR23" s="18" t="n">
        <v>1116086</v>
      </c>
      <c r="AS23" s="18" t="n">
        <v>957985.8</v>
      </c>
      <c r="AT23" s="18" t="n">
        <v>420171.3</v>
      </c>
      <c r="AU23" s="18" t="n">
        <v>211028.2</v>
      </c>
      <c r="AV23" s="18" t="n">
        <v>119965.2</v>
      </c>
      <c r="AW23" s="18" t="n">
        <v>60719.9</v>
      </c>
      <c r="AX23" s="18" t="n">
        <v>61387.1</v>
      </c>
      <c r="AY23" s="18" t="n">
        <v>54021.4</v>
      </c>
      <c r="AZ23" s="18" t="n">
        <v>33535.9</v>
      </c>
      <c r="BA23" s="18" t="n">
        <v>33908.5</v>
      </c>
      <c r="BB23" s="18" t="n">
        <v>34281.1</v>
      </c>
      <c r="BC23" s="18" t="n">
        <v>34281.1</v>
      </c>
      <c r="BD23" s="18" t="n">
        <v>33908.5</v>
      </c>
      <c r="BE23" s="18" t="n">
        <v>33908.5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5750234.5</v>
      </c>
      <c r="BN23" s="18" t="n">
        <v>5837868.6</v>
      </c>
      <c r="BO23" s="18" t="n">
        <v>5203842.3</v>
      </c>
      <c r="BP23" s="18" t="n">
        <v>2705271.3</v>
      </c>
      <c r="BQ23" s="18" t="n">
        <v>296093.6</v>
      </c>
      <c r="BR23" s="18" t="n">
        <v>136006.6</v>
      </c>
      <c r="BS23" s="18" t="n">
        <v>67817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1544452.6</v>
      </c>
      <c r="AJ24" s="18" t="n">
        <v>1432714.3</v>
      </c>
      <c r="AK24" s="18" t="n">
        <v>1404937.1</v>
      </c>
      <c r="AL24" s="18" t="n">
        <v>1413807.9</v>
      </c>
      <c r="AM24" s="18" t="n">
        <v>1400234</v>
      </c>
      <c r="AN24" s="18" t="n">
        <v>1385014.1</v>
      </c>
      <c r="AO24" s="18" t="n">
        <v>1315528.3</v>
      </c>
      <c r="AP24" s="18" t="n">
        <v>1255874.1</v>
      </c>
      <c r="AQ24" s="18" t="n">
        <v>1235886.4</v>
      </c>
      <c r="AR24" s="18" t="n">
        <v>1116086</v>
      </c>
      <c r="AS24" s="18" t="n">
        <v>957985.8</v>
      </c>
      <c r="AT24" s="18" t="n">
        <v>420171.3</v>
      </c>
      <c r="AU24" s="18" t="n">
        <v>211028.2</v>
      </c>
      <c r="AV24" s="18" t="n">
        <v>119965.2</v>
      </c>
      <c r="AW24" s="18" t="n">
        <v>60719.9</v>
      </c>
      <c r="AX24" s="18" t="n">
        <v>61387.1</v>
      </c>
      <c r="AY24" s="18" t="n">
        <v>54021.4</v>
      </c>
      <c r="AZ24" s="18" t="n">
        <v>33535.9</v>
      </c>
      <c r="BA24" s="18" t="n">
        <v>33908.5</v>
      </c>
      <c r="BB24" s="18" t="n">
        <v>34281.1</v>
      </c>
      <c r="BC24" s="18" t="n">
        <v>34281.1</v>
      </c>
      <c r="BD24" s="18" t="n">
        <v>33908.5</v>
      </c>
      <c r="BE24" s="18" t="n">
        <v>33908.5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5398485.5</v>
      </c>
      <c r="BN24" s="18" t="n">
        <v>5651693.3</v>
      </c>
      <c r="BO24" s="18" t="n">
        <v>5192302.9</v>
      </c>
      <c r="BP24" s="18" t="n">
        <v>2705271.3</v>
      </c>
      <c r="BQ24" s="18" t="n">
        <v>296093.6</v>
      </c>
      <c r="BR24" s="18" t="n">
        <v>136006.6</v>
      </c>
      <c r="BS24" s="18" t="n">
        <v>67817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1240229.3</v>
      </c>
      <c r="AJ25" s="18" t="n">
        <v>1135762.8</v>
      </c>
      <c r="AK25" s="18" t="n">
        <v>1104686.1</v>
      </c>
      <c r="AL25" s="18" t="n">
        <v>1110257.5</v>
      </c>
      <c r="AM25" s="18" t="n">
        <v>1096683.6</v>
      </c>
      <c r="AN25" s="18" t="n">
        <v>1084763.1</v>
      </c>
      <c r="AO25" s="18" t="n">
        <v>1015277.3</v>
      </c>
      <c r="AP25" s="18" t="n">
        <v>952323.7</v>
      </c>
      <c r="AQ25" s="18" t="n">
        <v>932336</v>
      </c>
      <c r="AR25" s="18" t="n">
        <v>819134.5</v>
      </c>
      <c r="AS25" s="18" t="n">
        <v>657734.8</v>
      </c>
      <c r="AT25" s="18" t="n">
        <v>130154.1</v>
      </c>
      <c r="AU25" s="18" t="n">
        <v>104969.1</v>
      </c>
      <c r="AV25" s="18" t="n">
        <v>34772.4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304223.3</v>
      </c>
      <c r="AJ26" s="18" t="n">
        <v>296951.5</v>
      </c>
      <c r="AK26" s="18" t="n">
        <v>300251</v>
      </c>
      <c r="AL26" s="18" t="n">
        <v>303550.4</v>
      </c>
      <c r="AM26" s="18" t="n">
        <v>303550.4</v>
      </c>
      <c r="AN26" s="18" t="n">
        <v>300251</v>
      </c>
      <c r="AO26" s="18" t="n">
        <v>300251</v>
      </c>
      <c r="AP26" s="18" t="n">
        <v>303550.4</v>
      </c>
      <c r="AQ26" s="18" t="n">
        <v>303550.4</v>
      </c>
      <c r="AR26" s="18" t="n">
        <v>296951.5</v>
      </c>
      <c r="AS26" s="18" t="n">
        <v>300251</v>
      </c>
      <c r="AT26" s="18" t="n">
        <v>290017.3</v>
      </c>
      <c r="AU26" s="18" t="n">
        <v>106059.2</v>
      </c>
      <c r="AV26" s="18" t="n">
        <v>85192.8</v>
      </c>
      <c r="AW26" s="18" t="n">
        <v>60719.9</v>
      </c>
      <c r="AX26" s="18" t="n">
        <v>61387.1</v>
      </c>
      <c r="AY26" s="18" t="n">
        <v>54021.4</v>
      </c>
      <c r="AZ26" s="18" t="n">
        <v>33535.9</v>
      </c>
      <c r="BA26" s="18" t="n">
        <v>33908.5</v>
      </c>
      <c r="BB26" s="18" t="n">
        <v>34281.1</v>
      </c>
      <c r="BC26" s="18" t="n">
        <v>34281.1</v>
      </c>
      <c r="BD26" s="18" t="n">
        <v>33908.5</v>
      </c>
      <c r="BE26" s="18" t="n">
        <v>33908.5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원/달러(평균)",환율,MATCH(AI$1,변수H,0),0),1345.14)</f>
        <v/>
      </c>
      <c r="AJ32" s="13">
        <f>IFERROR(VLOOKUP(" 원/달러(평균)",환율,MATCH(AJ$1,변수H,0),0),1341.49)</f>
        <v/>
      </c>
      <c r="AK32" s="13">
        <f>IFERROR(VLOOKUP(" 원/달러(평균)",환율,MATCH(AK$1,변수H,0),0),1341.49)</f>
        <v/>
      </c>
      <c r="AL32" s="13">
        <f>IFERROR(VLOOKUP(" 원/달러(평균)",환율,MATCH(AL$1,변수H,0),0),1341.49)</f>
        <v/>
      </c>
      <c r="AM32" s="13">
        <f>IFERROR(VLOOKUP(" 원/달러(평균)",환율,MATCH(AM$1,변수H,0),0),1341.49)</f>
        <v/>
      </c>
      <c r="AN32" s="13">
        <f>IFERROR(VLOOKUP(" 원/달러(평균)",환율,MATCH(AN$1,변수H,0),0),1341.49)</f>
        <v/>
      </c>
      <c r="AO32" s="13">
        <f>IFERROR(VLOOKUP(" 원/달러(평균)",환율,MATCH(AO$1,변수H,0),0),1341.49)</f>
        <v/>
      </c>
      <c r="AP32" s="13">
        <f>IFERROR(VLOOKUP(" 원/달러(평균)",환율,MATCH(AP$1,변수H,0),0),1341.49)</f>
        <v/>
      </c>
      <c r="AQ32" s="13">
        <f>IFERROR(VLOOKUP(" 원/달러(평균)",환율,MATCH(AQ$1,변수H,0),0),1341.49)</f>
        <v/>
      </c>
      <c r="AR32" s="13">
        <f>IFERROR(VLOOKUP(" 원/달러(평균)",환율,MATCH(AR$1,변수H,0),0),1341.49)</f>
        <v/>
      </c>
      <c r="AS32" s="13">
        <f>IFERROR(VLOOKUP(" 원/달러(평균)",환율,MATCH(AS$1,변수H,0),0),1341.49)</f>
        <v/>
      </c>
      <c r="AT32" s="13">
        <f>IFERROR(VLOOKUP(" 원/달러(평균)",환율,MATCH(AT$1,변수H,0),0),1341.49)</f>
        <v/>
      </c>
      <c r="AU32" s="13">
        <f>IFERROR(VLOOKUP(" 원/달러(평균)",환율,MATCH(AU$1,변수H,0),0),1341.49)</f>
        <v/>
      </c>
      <c r="AV32" s="13">
        <f>IFERROR(VLOOKUP(" 원/달러(평균)",환율,MATCH(AV$1,변수H,0),0),1341.49)</f>
        <v/>
      </c>
      <c r="AW32" s="13">
        <f>IFERROR(VLOOKUP(" 원/달러(평균)",환율,MATCH(AW$1,변수H,0),0),1341.49)</f>
        <v/>
      </c>
      <c r="AX32" s="13">
        <f>IFERROR(VLOOKUP(" 원/달러(평균)",환율,MATCH(AX$1,변수H,0),0),1341.49)</f>
        <v/>
      </c>
      <c r="AY32" s="13">
        <f>IFERROR(VLOOKUP(" 원/달러(평균)",환율,MATCH(AY$1,변수H,0),0),1341.49)</f>
        <v/>
      </c>
      <c r="AZ32" s="13">
        <f>IFERROR(VLOOKUP(" 원/달러(평균)",환율,MATCH(AZ$1,변수H,0),0),1341.49)</f>
        <v/>
      </c>
      <c r="BA32" s="13">
        <f>IFERROR(VLOOKUP(" 원/달러(평균)",환율,MATCH(BA$1,변수H,0),0),1341.49)</f>
        <v/>
      </c>
      <c r="BB32" s="13">
        <f>IFERROR(VLOOKUP(" 원/달러(평균)",환율,MATCH(BB$1,변수H,0),0),1341.49)</f>
        <v/>
      </c>
      <c r="BC32" s="13">
        <f>IFERROR(VLOOKUP(" 원/달러(평균)",환율,MATCH(BC$1,변수H,0),0),1341.49)</f>
        <v/>
      </c>
      <c r="BD32" s="13">
        <f>IFERROR(VLOOKUP(" 원/달러(평균)",환율,MATCH(BD$1,변수H,0),0),1341.49)</f>
        <v/>
      </c>
      <c r="BE32" s="13">
        <f>IFERROR(VLOOKUP(" 원/달러(평균)",환율,MATCH(BE$1,변수H,0),0),1341.49)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5554.7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12.93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0.2262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