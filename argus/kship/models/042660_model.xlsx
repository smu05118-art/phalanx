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SLS" sheetId="6" state="visible" r:id="rId6"/>
    <sheet name="시나리오" sheetId="7" state="visible" r:id="rId7"/>
    <sheet name="분기" sheetId="8" state="visible" r:id="rId8"/>
    <sheet name="연간예상" sheetId="9" state="visible" r:id="rId9"/>
    <sheet name="TP" sheetId="10" state="visible" r:id="rId10"/>
    <sheet name="외화" sheetId="11" state="visible" r:id="rId11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BS연결!$C$5:$AO$119</definedName>
    <definedName name="BS별도H">BS별도!$C$1:$AO$1</definedName>
    <definedName name="BS별도">BS별도!$C$5:$AO$103</definedName>
    <definedName name="SUBQH">subQ!$A$1:$AO$1</definedName>
    <definedName name="subQ">subQ!$A$5:$AO$47</definedName>
    <definedName name="SLS_H">SLS!$A$1:$BS$1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6" borderId="0" pivotButton="0" quotePrefix="0" xfId="0"/>
    <xf numFmtId="164" fontId="1" fillId="5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3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3" fontId="0" fillId="5" borderId="1" pivotButton="0" quotePrefix="0" xfId="0"/>
    <xf numFmtId="166" fontId="0" fillId="0" borderId="0" pivotButton="0" quotePrefix="0" xfId="0"/>
    <xf numFmtId="3" fontId="0" fillId="6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3절 스칼라 '판관비율' 참조 — 숫자로 덮어쓰면 이 분기만 바뀐다
매출액 × 판관비율 5.56%(최근 4분기 중위)</t>
      </text>
    </comment>
    <comment ref="AD21" authorId="0" shapeId="0">
      <text>
        <t>3절 스칼라 '판관비율' 참조 — 숫자로 덮어쓰면 이 분기만 바뀐다
매출액 × 판관비율 5.56%(최근 4분기 중위)</t>
      </text>
    </comment>
    <comment ref="AF21" authorId="0" shapeId="0">
      <text>
        <t>3절 스칼라 '판관비율' 참조 — 숫자로 덮어쓰면 이 분기만 바뀐다
매출액 × 판관비율 5.56%(최근 4분기 중위)</t>
      </text>
    </comment>
    <comment ref="AG21" authorId="0" shapeId="0">
      <text>
        <t>3절 스칼라 '판관비율' 참조 — 숫자로 덮어쓰면 이 분기만 바뀐다
매출액 × 판관비율 5.56%(최근 4분기 중위)</t>
      </text>
    </comment>
    <comment ref="AH21" authorId="0" shapeId="0">
      <text>
        <t>3절 스칼라 '판관비율' 참조 — 숫자로 덮어쓰면 이 분기만 바뀐다
매출액 × 판관비율 5.56%(최근 4분기 중위)</t>
      </text>
    </comment>
    <comment ref="AI21" authorId="0" shapeId="0">
      <text>
        <t>3절 스칼라 '판관비율' 참조 — 숫자로 덮어쓰면 이 분기만 바뀐다
매출액 × 판관비율 5.56%(최근 4분기 중위)</t>
      </text>
    </comment>
    <comment ref="AK21" authorId="0" shapeId="0">
      <text>
        <t>3절 스칼라 '판관비율' 참조 — 숫자로 덮어쓰면 이 분기만 바뀐다
매출액 × 판관비율 5.56%(최근 4분기 중위)</t>
      </text>
    </comment>
    <comment ref="AL21" authorId="0" shapeId="0">
      <text>
        <t>3절 스칼라 '판관비율' 참조 — 숫자로 덮어쓰면 이 분기만 바뀐다
매출액 × 판관비율 5.56%(최근 4분기 중위)</t>
      </text>
    </comment>
    <comment ref="AM21" authorId="0" shapeId="0">
      <text>
        <t>3절 스칼라 '판관비율' 참조 — 숫자로 덮어쓰면 이 분기만 바뀐다
매출액 × 판관비율 5.56%(최근 4분기 중위)</t>
      </text>
    </comment>
    <comment ref="AN21" authorId="0" shapeId="0">
      <text>
        <t>3절 스칼라 '판관비율' 참조 — 숫자로 덮어쓰면 이 분기만 바뀐다
매출액 × 판관비율 5.56%(최근 4분기 중위)</t>
      </text>
    </comment>
    <comment ref="AC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3" authorId="0" shapeId="0">
      <text>
        <t>모델값 역산(implied): 모델 v 그대로
파생상품 평가·거래손익 0 가정</t>
      </text>
    </comment>
    <comment ref="AD23" authorId="0" shapeId="0">
      <text>
        <t>모델값 역산(implied): 모델 v 그대로
파생상품 평가·거래손익 0 가정</t>
      </text>
    </comment>
    <comment ref="AF23" authorId="0" shapeId="0">
      <text>
        <t>모델값 역산(implied): 모델 v 그대로
파생상품 평가·거래손익 0 가정</t>
      </text>
    </comment>
    <comment ref="AG23" authorId="0" shapeId="0">
      <text>
        <t>모델값 역산(implied): 모델 v 그대로
파생상품 평가·거래손익 0 가정</t>
      </text>
    </comment>
    <comment ref="AH23" authorId="0" shapeId="0">
      <text>
        <t>모델값 역산(implied): 모델 v 그대로
파생상품 평가·거래손익 0 가정</t>
      </text>
    </comment>
    <comment ref="AI23" authorId="0" shapeId="0">
      <text>
        <t>모델값 역산(implied): 모델 v 그대로
파생상품 평가·거래손익 0 가정</t>
      </text>
    </comment>
    <comment ref="AK23" authorId="0" shapeId="0">
      <text>
        <t>모델값 역산(implied): 모델 v 그대로
파생상품 평가·거래손익 0 가정</t>
      </text>
    </comment>
    <comment ref="AL23" authorId="0" shapeId="0">
      <text>
        <t>모델값 역산(implied): 모델 v 그대로
파생상품 평가·거래손익 0 가정</t>
      </text>
    </comment>
    <comment ref="AM23" authorId="0" shapeId="0">
      <text>
        <t>모델값 역산(implied): 모델 v 그대로
파생상품 평가·거래손익 0 가정</t>
      </text>
    </comment>
    <comment ref="AN23" authorId="0" shapeId="0">
      <text>
        <t>모델값 역산(implied): 모델 v 그대로
파생상품 평가·거래손익 0 가정</t>
      </text>
    </comment>
    <comment ref="AC24" authorId="0" shapeId="0">
      <text>
        <t>모델값 역산(implied): 모델 v 그대로
최근 4분기(2025Q3~2026Q2) 잔차 중위</t>
      </text>
    </comment>
    <comment ref="AD24" authorId="0" shapeId="0">
      <text>
        <t>모델값 역산(implied): 모델 v 그대로
최근 4분기(2025Q3~2026Q2) 잔차 중위</t>
      </text>
    </comment>
    <comment ref="AF24" authorId="0" shapeId="0">
      <text>
        <t>모델값 역산(implied): 모델 v 그대로
최근 4분기(2025Q3~2026Q2) 잔차 중위</t>
      </text>
    </comment>
    <comment ref="AG24" authorId="0" shapeId="0">
      <text>
        <t>모델값 역산(implied): 모델 v 그대로
최근 4분기(2025Q3~2026Q2) 잔차 중위</t>
      </text>
    </comment>
    <comment ref="AH24" authorId="0" shapeId="0">
      <text>
        <t>모델값 역산(implied): 모델 v 그대로
최근 4분기(2025Q3~2026Q2) 잔차 중위</t>
      </text>
    </comment>
    <comment ref="AI24" authorId="0" shapeId="0">
      <text>
        <t>모델값 역산(implied): 모델 v 그대로
최근 4분기(2025Q3~2026Q2) 잔차 중위</t>
      </text>
    </comment>
    <comment ref="AK24" authorId="0" shapeId="0">
      <text>
        <t>모델값 역산(implied): 모델 v 그대로
최근 4분기(2025Q3~2026Q2) 잔차 중위</t>
      </text>
    </comment>
    <comment ref="AL24" authorId="0" shapeId="0">
      <text>
        <t>모델값 역산(implied): 모델 v 그대로
최근 4분기(2025Q3~2026Q2) 잔차 중위</t>
      </text>
    </comment>
    <comment ref="AM24" authorId="0" shapeId="0">
      <text>
        <t>모델값 역산(implied): 모델 v 그대로
최근 4분기(2025Q3~2026Q2) 잔차 중위</t>
      </text>
    </comment>
    <comment ref="AN24" authorId="0" shapeId="0">
      <text>
        <t>모델값 역산(implied): 모델 v 그대로
최근 4분기(2025Q3~2026Q2) 잔차 중위</t>
      </text>
    </comment>
    <comment ref="AC25" authorId="0" shapeId="0">
      <text>
        <t>모델값 역산(implied): 모델 v 그대로
일회성 미가정 → 0</t>
      </text>
    </comment>
    <comment ref="AD25" authorId="0" shapeId="0">
      <text>
        <t>모델값 역산(implied): 모델 v 그대로
일회성 미가정 → 0</t>
      </text>
    </comment>
    <comment ref="AF25" authorId="0" shapeId="0">
      <text>
        <t>모델값 역산(implied): 모델 v 그대로
일회성 미가정 → 0</t>
      </text>
    </comment>
    <comment ref="AG25" authorId="0" shapeId="0">
      <text>
        <t>모델값 역산(implied): 모델 v 그대로
일회성 미가정 → 0</t>
      </text>
    </comment>
    <comment ref="AH25" authorId="0" shapeId="0">
      <text>
        <t>모델값 역산(implied): 모델 v 그대로
일회성 미가정 → 0</t>
      </text>
    </comment>
    <comment ref="AI25" authorId="0" shapeId="0">
      <text>
        <t>모델값 역산(implied): 모델 v 그대로
일회성 미가정 → 0</t>
      </text>
    </comment>
    <comment ref="AK25" authorId="0" shapeId="0">
      <text>
        <t>모델값 역산(implied): 모델 v 그대로
일회성 미가정 → 0</t>
      </text>
    </comment>
    <comment ref="AL25" authorId="0" shapeId="0">
      <text>
        <t>모델값 역산(implied): 모델 v 그대로
일회성 미가정 → 0</t>
      </text>
    </comment>
    <comment ref="AM25" authorId="0" shapeId="0">
      <text>
        <t>모델값 역산(implied): 모델 v 그대로
일회성 미가정 → 0</t>
      </text>
    </comment>
    <comment ref="AN25" authorId="0" shapeId="0">
      <text>
        <t>모델값 역산(implied): 모델 v 그대로
일회성 미가정 → 0</t>
      </text>
    </comment>
    <comment ref="AC26" authorId="0" shapeId="0">
      <text>
        <t>모델값 역산(implied): 모델 v 그대로
최근 4분기 중위</t>
      </text>
    </comment>
    <comment ref="AD26" authorId="0" shapeId="0">
      <text>
        <t>모델값 역산(implied): 모델 v 그대로
최근 4분기 중위</t>
      </text>
    </comment>
    <comment ref="AF26" authorId="0" shapeId="0">
      <text>
        <t>모델값 역산(implied): 모델 v 그대로
최근 4분기 중위</t>
      </text>
    </comment>
    <comment ref="AG26" authorId="0" shapeId="0">
      <text>
        <t>모델값 역산(implied): 모델 v 그대로
최근 4분기 중위</t>
      </text>
    </comment>
    <comment ref="AH26" authorId="0" shapeId="0">
      <text>
        <t>모델값 역산(implied): 모델 v 그대로
최근 4분기 중위</t>
      </text>
    </comment>
    <comment ref="AI26" authorId="0" shapeId="0">
      <text>
        <t>모델값 역산(implied): 모델 v 그대로
최근 4분기 중위</t>
      </text>
    </comment>
    <comment ref="AK26" authorId="0" shapeId="0">
      <text>
        <t>모델값 역산(implied): 모델 v 그대로
최근 4분기 중위</t>
      </text>
    </comment>
    <comment ref="AL26" authorId="0" shapeId="0">
      <text>
        <t>모델값 역산(implied): 모델 v 그대로
최근 4분기 중위</t>
      </text>
    </comment>
    <comment ref="AM26" authorId="0" shapeId="0">
      <text>
        <t>모델값 역산(implied): 모델 v 그대로
최근 4분기 중위</t>
      </text>
    </comment>
    <comment ref="AN26" authorId="0" shapeId="0">
      <text>
        <t>모델값 역산(implied): 모델 v 그대로
최근 4분기 중위</t>
      </text>
    </comment>
    <comment ref="AC27" authorId="0" shapeId="0">
      <text>
        <t>모델값 역산(implied): v / 세전이익 · 모델 가정 tax_schedule 0.0068(r4)
max(세전, 0) × 세율 0.7%(이월결손 경로 유지 — 최근 8분기 중 세전 &gt; 0 인 7분기(2024Q4~2026Q2) 법인세/세전 중위 0.7%·최근 4분기 중위 -1.2% 가 모두 5% 미만 → 이월결손 공제 중으로 보고 0.7% 를 2026Q4 까지 유지, 2027Q1~2028Q4 선형 램프로 법정세율 근사 22% 수렴)</t>
      </text>
    </comment>
    <comment ref="AD27" authorId="0" shapeId="0">
      <text>
        <t>모델값 역산(implied): v / 세전이익 · 모델 가정 tax_schedule 0.0068(r4)
max(세전, 0) × 세율 0.7%(이월결손 경로 유지 — 최근 8분기 중 세전 &gt; 0 인 7분기(2024Q4~2026Q2) 법인세/세전 중위 0.7%·최근 4분기 중위 -1.2% 가 모두 5% 미만 → 이월결손 공제 중으로 보고 0.7% 를 2026Q4 까지 유지, 2027Q1~2028Q4 선형 램프로 법정세율 근사 22% 수렴)</t>
      </text>
    </comment>
    <comment ref="AF27" authorId="0" shapeId="0">
      <text>
        <t>모델값 역산(implied): v / 세전이익 · 모델 가정 tax_schedule 0.0334(r4)
max(세전, 0) × 세율 3.3%(이월결손 경로 램프 1/8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</t>
      </text>
    </comment>
    <comment ref="AG27" authorId="0" shapeId="0">
      <text>
        <t>모델값 역산(implied): v / 세전이익 · 모델 가정 tax_schedule 0.0601(r4)
max(세전, 0) × 세율 6.0%(이월결손 경로 램프 2/8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</t>
      </text>
    </comment>
    <comment ref="AH27" authorId="0" shapeId="0">
      <text>
        <t>모델값 역산(implied): v / 세전이익 · 모델 가정 tax_schedule 0.0867(r4)
max(세전, 0) × 세율 8.7%(이월결손 경로 램프 3/8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</t>
      </text>
    </comment>
    <comment ref="AI27" authorId="0" shapeId="0">
      <text>
        <t>모델값 역산(implied): v / 세전이익 · 모델 가정 tax_schedule 0.1134(r4)
max(세전, 0) × 세율 11.3%(이월결손 경로 램프 4/8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</t>
      </text>
    </comment>
    <comment ref="AK27" authorId="0" shapeId="0">
      <text>
        <t>모델값 역산(implied): v / 세전이익 · 모델 가정 tax_schedule 0.14(r4)
max(세전, 0) × 세율 14.0%(이월결손 경로 램프 5/8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</t>
      </text>
    </comment>
    <comment ref="AL27" authorId="0" shapeId="0">
      <text>
        <t>모델값 역산(implied): v / 세전이익 · 모델 가정 tax_schedule 0.1667(r4)
max(세전, 0) × 세율 16.7%(이월결손 경로 램프 6/8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</t>
      </text>
    </comment>
    <comment ref="AM27" authorId="0" shapeId="0">
      <text>
        <t>모델값 역산(implied): v / 세전이익 · 모델 가정 tax_schedule 0.1933(r4)
max(세전, 0) × 세율 19.3%(이월결손 경로 램프 7/8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</t>
      </text>
    </comment>
    <comment ref="AN27" authorId="0" shapeId="0">
      <text>
        <t>모델값 역산(implied): v / 세전이익 · 모델 가정 tax_schedule 0.22(r4)
max(세전, 0) × 세율 22.0%(이월결손 경로 램프 8/8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</t>
      </text>
    </comment>
    <comment ref="AC28" authorId="0" shapeId="0">
      <text>
        <t>3절 스칼라 '지배주주비중' 참조 — 숫자로 덮어쓰면 이 분기만 바뀐다
당기순이익 × (1 − 비지배 비중 0.0%, 최근 8분기 실측)</t>
      </text>
    </comment>
    <comment ref="AD28" authorId="0" shapeId="0">
      <text>
        <t>3절 스칼라 '지배주주비중' 참조 — 숫자로 덮어쓰면 이 분기만 바뀐다
당기순이익 × (1 − 비지배 비중 0.0%, 최근 8분기 실측)</t>
      </text>
    </comment>
    <comment ref="AF28" authorId="0" shapeId="0">
      <text>
        <t>3절 스칼라 '지배주주비중' 참조 — 숫자로 덮어쓰면 이 분기만 바뀐다
당기순이익 × (1 − 비지배 비중 0.0%, 최근 8분기 실측)</t>
      </text>
    </comment>
    <comment ref="AG28" authorId="0" shapeId="0">
      <text>
        <t>3절 스칼라 '지배주주비중' 참조 — 숫자로 덮어쓰면 이 분기만 바뀐다
당기순이익 × (1 − 비지배 비중 0.0%, 최근 8분기 실측)</t>
      </text>
    </comment>
    <comment ref="AH28" authorId="0" shapeId="0">
      <text>
        <t>3절 스칼라 '지배주주비중' 참조 — 숫자로 덮어쓰면 이 분기만 바뀐다
당기순이익 × (1 − 비지배 비중 0.0%, 최근 8분기 실측)</t>
      </text>
    </comment>
    <comment ref="AI28" authorId="0" shapeId="0">
      <text>
        <t>3절 스칼라 '지배주주비중' 참조 — 숫자로 덮어쓰면 이 분기만 바뀐다
당기순이익 × (1 − 비지배 비중 0.0%, 최근 8분기 실측)</t>
      </text>
    </comment>
    <comment ref="AK28" authorId="0" shapeId="0">
      <text>
        <t>3절 스칼라 '지배주주비중' 참조 — 숫자로 덮어쓰면 이 분기만 바뀐다
당기순이익 × (1 − 비지배 비중 0.0%, 최근 8분기 실측)</t>
      </text>
    </comment>
    <comment ref="AL28" authorId="0" shapeId="0">
      <text>
        <t>3절 스칼라 '지배주주비중' 참조 — 숫자로 덮어쓰면 이 분기만 바뀐다
당기순이익 × (1 − 비지배 비중 0.0%, 최근 8분기 실측)</t>
      </text>
    </comment>
    <comment ref="AM28" authorId="0" shapeId="0">
      <text>
        <t>3절 스칼라 '지배주주비중' 참조 — 숫자로 덮어쓰면 이 분기만 바뀐다
당기순이익 × (1 − 비지배 비중 0.0%, 최근 8분기 실측)</t>
      </text>
    </comment>
    <comment ref="AN28" authorId="0" shapeId="0">
      <text>
        <t>3절 스칼라 '지배주주비중' 참조 — 숫자로 덮어쓰면 이 분기만 바뀐다
당기순이익 × (1 − 비지배 비중 0.0%, 최근 8분기 실측)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AK29" authorId="0" shapeId="0">
      <text>
        <t>모델값 역산(implied): v / 전분기 − 1
마지막 실적 유지(가정)</t>
      </text>
    </comment>
    <comment ref="AL29" authorId="0" shapeId="0">
      <text>
        <t>모델값 역산(implied): v / 전분기 − 1
마지막 실적 유지(가정)</t>
      </text>
    </comment>
    <comment ref="AM29" authorId="0" shapeId="0">
      <text>
        <t>모델값 역산(implied): v / 전분기 − 1
마지막 실적 유지(가정)</t>
      </text>
    </comment>
    <comment ref="AN29" authorId="0" shapeId="0">
      <text>
        <t>모델값 역산(implied): v / 전분기 − 1
마지막 실적 유지(가정)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AK30" authorId="0" shapeId="0">
      <text>
        <t>모델값 역산(implied): 전분기(시트값) + 당기순이익(시트 수식값) − v
전분기 + 당기순이익 − 배당(Q2 지급 가정)</t>
      </text>
    </comment>
    <comment ref="AL30" authorId="0" shapeId="0">
      <text>
        <t>모델값 역산(implied): 전분기(시트값) + 당기순이익(시트 수식값) − v
전분기 + 당기순이익 − 배당(Q2 지급 가정)</t>
      </text>
    </comment>
    <comment ref="AM30" authorId="0" shapeId="0">
      <text>
        <t>모델값 역산(implied): 전분기(시트값) + 당기순이익(시트 수식값) − v
전분기 + 당기순이익 − 배당(Q2 지급 가정)</t>
      </text>
    </comment>
    <comment ref="AN30" authorId="0" shapeId="0">
      <text>
        <t>모델값 역산(implied): 전분기(시트값) + 당기순이익(시트 수식값) − v
전분기 + 당기순이익 − 배당(Q2 지급 가정)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AK31" authorId="0" shapeId="0">
      <text>
        <t>모델값 역산(implied): 전분기(시트값) + 지배주주순이익(시트 수식값) − v
전분기 + 지배주주순이익 − 배당</t>
      </text>
    </comment>
    <comment ref="AL31" authorId="0" shapeId="0">
      <text>
        <t>모델값 역산(implied): 전분기(시트값) + 지배주주순이익(시트 수식값) − v
전분기 + 지배주주순이익 − 배당</t>
      </text>
    </comment>
    <comment ref="AM31" authorId="0" shapeId="0">
      <text>
        <t>모델값 역산(implied): 전분기(시트값) + 지배주주순이익(시트 수식값) − v
전분기 + 지배주주순이익 − 배당</t>
      </text>
    </comment>
    <comment ref="AN31" authorId="0" shapeId="0">
      <text>
        <t>모델값 역산(implied): 전분기(시트값) + 지배주주순이익(시트 수식값) − v
전분기 + 지배주주순이익 − 배당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v / 전분기 − 1
전분기 − FCF 근사[순이익 − 배당(감가상각비 없음 → CAPEX≈감가 가정, CAPEX 중위 2168억은 행에만)] (운전자본 불변·총차입금 유지 가정 → 변동은 전부 현금)</t>
      </text>
    </comment>
    <comment ref="AD33" authorId="0" shapeId="0">
      <text>
        <t>모델값 역산(implied): v / 전분기 − 1
전분기 − FCF 근사[순이익 − 배당(감가상각비 없음 → CAPEX≈감가 가정, CAPEX 중위 2168억은 행에만)] (운전자본 불변·총차입금 유지 가정 → 변동은 전부 현금)</t>
      </text>
    </comment>
    <comment ref="AF33" authorId="0" shapeId="0">
      <text>
        <t>모델값 역산(implied): v / 전분기 − 1
전분기 − FCF 근사[순이익 − 배당(감가상각비 없음 → CAPEX≈감가 가정, CAPEX 중위 2168억은 행에만)] (운전자본 불변·총차입금 유지 가정 → 변동은 전부 현금)</t>
      </text>
    </comment>
    <comment ref="AG33" authorId="0" shapeId="0">
      <text>
        <t>모델값 역산(implied): v / 전분기 − 1
전분기 − FCF 근사[순이익 − 배당(감가상각비 없음 → CAPEX≈감가 가정, CAPEX 중위 2168억은 행에만)] (운전자본 불변·총차입금 유지 가정 → 변동은 전부 현금)</t>
      </text>
    </comment>
    <comment ref="AH33" authorId="0" shapeId="0">
      <text>
        <t>모델값 역산(implied): v / 전분기 − 1
전분기 − FCF 근사[순이익 − 배당(감가상각비 없음 → CAPEX≈감가 가정, CAPEX 중위 2168억은 행에만)] (운전자본 불변·총차입금 유지 가정 → 변동은 전부 현금)</t>
      </text>
    </comment>
    <comment ref="AI33" authorId="0" shapeId="0">
      <text>
        <t>모델값 역산(implied): v / 전분기 − 1
전분기 − FCF 근사[순이익 − 배당(감가상각비 없음 → CAPEX≈감가 가정, CAPEX 중위 2168억은 행에만)] (운전자본 불변·총차입금 유지 가정 → 변동은 전부 현금)</t>
      </text>
    </comment>
    <comment ref="AK33" authorId="0" shapeId="0">
      <text>
        <t>모델값 역산(implied): v / 전분기 − 1
전분기 − FCF 근사[순이익 − 배당(감가상각비 없음 → CAPEX≈감가 가정, CAPEX 중위 2168억은 행에만)] (운전자본 불변·총차입금 유지 가정 → 변동은 전부 현금)</t>
      </text>
    </comment>
    <comment ref="AL33" authorId="0" shapeId="0">
      <text>
        <t>모델값 역산(implied): v / 전분기 − 1
전분기 − FCF 근사[순이익 − 배당(감가상각비 없음 → CAPEX≈감가 가정, CAPEX 중위 2168억은 행에만)] (운전자본 불변·총차입금 유지 가정 → 변동은 전부 현금)</t>
      </text>
    </comment>
    <comment ref="AM33" authorId="0" shapeId="0">
      <text>
        <t>모델값 역산(implied): v / 전분기 − 1
전분기 − FCF 근사[순이익 − 배당(감가상각비 없음 → CAPEX≈감가 가정, CAPEX 중위 2168억은 행에만)] (운전자본 불변·총차입금 유지 가정 → 변동은 전부 현금)</t>
      </text>
    </comment>
    <comment ref="AN33" authorId="0" shapeId="0">
      <text>
        <t>모델값 역산(implied): v / 전분기 − 1
전분기 − FCF 근사[순이익 − 배당(감가상각비 없음 → CAPEX≈감가 가정, CAPEX 중위 2168억은 행에만)] (운전자본 불변·총차입금 유지 가정 → 변동은 전부 현금)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AK34" authorId="0" shapeId="0">
      <text>
        <t>모델값 역산(implied): v / 전분기 − 1
전분기 + FCF 근사 — 순차입금 롤과 같은 가정</t>
      </text>
    </comment>
    <comment ref="AL34" authorId="0" shapeId="0">
      <text>
        <t>모델값 역산(implied): v / 전분기 − 1
전분기 + FCF 근사 — 순차입금 롤과 같은 가정</t>
      </text>
    </comment>
    <comment ref="AM34" authorId="0" shapeId="0">
      <text>
        <t>모델값 역산(implied): v / 전분기 − 1
전분기 + FCF 근사 — 순차입금 롤과 같은 가정</t>
      </text>
    </comment>
    <comment ref="AN34" authorId="0" shapeId="0">
      <text>
        <t>모델값 역산(implied): v / 전분기 − 1
전분기 + FCF 근사 — 순차입금 롤과 같은 가정</t>
      </text>
    </comment>
    <comment ref="AC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6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AK38" authorId="0" shapeId="0">
      <text>
        <t>모델값 역산(implied): v / 전분기 − 1
유통주식수 유지 — fin.shares.common_outstanding(2026Q2)</t>
      </text>
    </comment>
    <comment ref="AL38" authorId="0" shapeId="0">
      <text>
        <t>모델값 역산(implied): v / 전분기 − 1
유통주식수 유지 — fin.shares.common_outstanding(2026Q2)</t>
      </text>
    </comment>
    <comment ref="AM38" authorId="0" shapeId="0">
      <text>
        <t>모델값 역산(implied): v / 전분기 − 1
유통주식수 유지 — fin.shares.common_outstanding(2026Q2)</t>
      </text>
    </comment>
    <comment ref="AN38" authorId="0" shapeId="0">
      <text>
        <t>모델값 역산(implied): v / 전분기 − 1
유통주식수 유지 — fin.shares.common_outstanding(2026Q2)</t>
      </text>
    </comment>
    <comment ref="AD39" authorId="0" shapeId="0">
      <text>
        <t>모델값 역산(implied): 모델 v 그대로
직전 결산 DPS 0원 유지</t>
      </text>
    </comment>
    <comment ref="AI39" authorId="0" shapeId="0">
      <text>
        <t>모델값 역산(implied): 모델 v 그대로
직전 결산 DPS 0원 유지</t>
      </text>
    </comment>
    <comment ref="AN39" authorId="0" shapeId="0">
      <text>
        <t>모델값 역산(implied): 모델 v 그대로
직전 결산 DPS 0원 유지</t>
      </text>
    </comment>
    <comment ref="AC40" authorId="0" shapeId="0">
      <text>
        <t>역산: 모델 매출조선 − SLS 재구성 원화/100 − 매출조선신규 (모델 runoff_per_q 26161.09; 계약 스케줄 소수 3자리 반올림 차 포함)
SLS 해양 원화 14723억(sls.by_quarter.marine_hedged_krw_m(헤지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169302억) + 신규수주 매출 0억(forecast_panel.json.gz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1298억 유지(패널 신규수주 체결 분기별 상계, net_panel)</t>
      </text>
    </comment>
    <comment ref="AD40" authorId="0" shapeId="0">
      <text>
        <t>역산: 모델 매출조선 − SLS 재구성 원화/100 − 매출조선신규 (모델 runoff_per_q 26161.09; 계약 스케줄 소수 3자리 반올림 차 포함)
SLS 해양 원화 15445억(sls.by_quarter.marine_hedged_krw_m(헤지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143141억) + 신규수주 매출 0억(forecast_panel.json.gz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3042억 유지(패널 신규수주 체결 분기별 상계, net_panel)</t>
      </text>
    </comment>
    <comment ref="AF40" authorId="0" shapeId="0">
      <text>
        <t>역산: 모델 매출조선 − SLS 재구성 원화/100 − 매출조선신규 (모델 runoff_per_q 26161.09; 계약 스케줄 소수 3자리 반올림 차 포함)
SLS 해양 원화 14327억(sls.by_quarter.marine_hedged_krw_m(헤지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116980억) + 신규수주 매출 525억(forecast_panel.json.gz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2970억 유지(패널 신규수주 체결 분기별 상계, net_panel)</t>
      </text>
    </comment>
    <comment ref="AG40" authorId="0" shapeId="0">
      <text>
        <t>역산: 모델 매출조선 − SLS 재구성 원화/100 − 매출조선신규 (모델 runoff_per_q 26161.09; 계약 스케줄 소수 3자리 반올림 차 포함)
SLS 해양 원화 14049억(sls.by_quarter.marine_hedged_krw_m(헤지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90819억) + 신규수주 매출 1990억(forecast_panel.json.gz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3003억 유지(패널 신규수주 체결 분기별 상계, net_panel)</t>
      </text>
    </comment>
    <comment ref="AH40" authorId="0" shapeId="0">
      <text>
        <t>역산: 모델 매출조선 − SLS 재구성 원화/100 − 매출조선신규 (모델 runoff_per_q 26161.09; 계약 스케줄 소수 3자리 반올림 차 포함)
SLS 해양 원화 14138억(sls.by_quarter.marine_hedged_krw_m(헤지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64658억) + 신규수주 매출 4224억(forecast_panel.json.gz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3036억 유지(패널 신규수주 체결 분기별 상계, net_panel)</t>
      </text>
    </comment>
    <comment ref="AI40" authorId="0" shapeId="0">
      <text>
        <t>역산: 모델 매출조선 − SLS 재구성 원화/100 − 매출조선신규 (모델 runoff_per_q 26161.09; 계약 스케줄 소수 3자리 반올림 차 포함)
SLS 해양 원화 14002억(sls.by_quarter.marine_hedged_krw_m(헤지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38497억) + 신규수주 매출 7061억(forecast_panel.json.gz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3036억 유지(패널 신규수주 체결 분기별 상계, net_panel)</t>
      </text>
    </comment>
    <comment ref="AK40" authorId="0" shapeId="0">
      <text>
        <t>역산: 모델 매출조선 − SLS 재구성 원화/100 − 매출조선신규 (모델 runoff_per_q 26161.09; 계약 스케줄 소수 3자리 반올림 차 포함)
SLS 해양 원화 13850억(sls.by_quarter.marine_hedged_krw_m(헤지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12336억) + 신규수주 매출 10333억(forecast_panel.json.gz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3003억 유지(패널 신규수주 체결 분기별 상계, net_panel)</t>
      </text>
    </comment>
    <comment ref="AL40" authorId="0" shapeId="0">
      <text>
        <t>역산: 모델 매출조선 − SLS 재구성 원화/100 − 매출조선신규 (모델 runoff_per_q 26161.09; 계약 스케줄 소수 3자리 반올림 차 포함)
SLS 해양 원화 13155억(sls.by_quarter.marine_hedged_krw_m(헤지 17% 적용; origin 2026Q2 이후 체결 6건 SLS 유지 — 패널 신규수주와 체결 분기별 상계(net_panel), 패널 범위 밖 NAVAL 8,380억은 상계 안 함)) + 원장 밖 잔고 소진 12336억(최근 4분기 '부문매출−SLS' 중위 26161억/분기, 잔여 0억) + 신규수주 매출 13870억(forecast_panel.json.gz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3003억 유지(패널 신규수주 체결 분기별 상계, net_panel)</t>
      </text>
    </comment>
    <comment ref="AM40" authorId="0" shapeId="0">
      <text>
        <t>역산: 모델 매출조선 − SLS 재구성 원화/100 − 매출조선신규 (모델 runoff_per_q 26161.09; 계약 스케줄 소수 3자리 반올림 차 포함)
SLS 해양 원화 12559억(sls.by_quarter.marine_hedged_krw_m(헤지 17% 적용; origin 2026Q2 이후 체결 6건 SLS 유지 — 패널 신규수주와 체결 분기별 상계(net_panel), 패널 범위 밖 NAVAL 8,380억은 상계 안 함)) + 원장 밖 잔고 소진 0억(최근 4분기 '부문매출−SLS' 중위 26161억/분기, 잔여 0억) + 신규수주 매출 17505억(forecast_panel.json.gz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3036억 유지(패널 신규수주 체결 분기별 상계, net_panel)</t>
      </text>
    </comment>
    <comment ref="AN40" authorId="0" shapeId="0">
      <text>
        <t>역산: 모델 매출조선 − SLS 재구성 원화/100 − 매출조선신규 (모델 runoff_per_q 26161.09; 계약 스케줄 소수 3자리 반올림 차 포함)
SLS 해양 원화 12359억(sls.by_quarter.marine_hedged_krw_m(헤지 17% 적용; origin 2026Q2 이후 체결 6건 SLS 유지 — 패널 신규수주와 체결 분기별 상계(net_panel), 패널 범위 밖 NAVAL 8,380억은 상계 안 함)) + 원장 밖 잔고 소진 0억(최근 4분기 '부문매출−SLS' 중위 26161억/분기, 잔여 0억) + 신규수주 매출 21070억(forecast_panel.json.gz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3036억 유지(패널 신규수주 체결 분기별 상계, net_panel)</t>
      </text>
    </comment>
    <comment ref="AC41" authorId="0" shapeId="0">
      <text>
        <t>모델값 역산(implied): 모델 v 그대로
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</t>
      </text>
    </comment>
    <comment ref="AD41" authorId="0" shapeId="0">
      <text>
        <t>모델값 역산(implied): 모델 v 그대로
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</t>
      </text>
    </comment>
    <comment ref="AF41" authorId="0" shapeId="0">
      <text>
        <t>모델값 역산(implied): 모델 v 그대로
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</t>
      </text>
    </comment>
    <comment ref="AG41" authorId="0" shapeId="0">
      <text>
        <t>모델값 역산(implied): 모델 v 그대로
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</t>
      </text>
    </comment>
    <comment ref="AH41" authorId="0" shapeId="0">
      <text>
        <t>모델값 역산(implied): 모델 v 그대로
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</t>
      </text>
    </comment>
    <comment ref="AI41" authorId="0" shapeId="0">
      <text>
        <t>모델값 역산(implied): 모델 v 그대로
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</t>
      </text>
    </comment>
    <comment ref="AK41" authorId="0" shapeId="0">
      <text>
        <t>모델값 역산(implied): 모델 v 그대로
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</t>
      </text>
    </comment>
    <comment ref="AL41" authorId="0" shapeId="0">
      <text>
        <t>모델값 역산(implied): 모델 v 그대로
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</t>
      </text>
    </comment>
    <comment ref="AM41" authorId="0" shapeId="0">
      <text>
        <t>모델값 역산(implied): 모델 v 그대로
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</t>
      </text>
    </comment>
    <comment ref="AN41" authorId="0" shapeId="0">
      <text>
        <t>모델값 역산(implied): 모델 v 그대로
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</t>
      </text>
    </comment>
    <comment ref="AC42" authorId="0" shapeId="0">
      <text>
        <t>모델값 역산(implied): v / 매출조선
매출조선 × 타겟 OPM(부문 OP 미공시 → 회사 OPM 적용; 신규수주분 포함)</t>
      </text>
    </comment>
    <comment ref="AD42" authorId="0" shapeId="0">
      <text>
        <t>모델값 역산(implied): v / 매출조선
매출조선 × 타겟 OPM(부문 OP 미공시 → 회사 OPM 적용; 신규수주분 포함)</t>
      </text>
    </comment>
    <comment ref="AF42" authorId="0" shapeId="0">
      <text>
        <t>모델값 역산(implied): v / 매출조선
매출조선 × 타겟 OPM(부문 OP 미공시 → 회사 OPM 적용; 신규수주분 포함)</t>
      </text>
    </comment>
    <comment ref="AG42" authorId="0" shapeId="0">
      <text>
        <t>모델값 역산(implied): v / 매출조선
매출조선 × 타겟 OPM(부문 OP 미공시 → 회사 OPM 적용; 신규수주분 포함)</t>
      </text>
    </comment>
    <comment ref="AH42" authorId="0" shapeId="0">
      <text>
        <t>모델값 역산(implied): v / 매출조선
매출조선 × 타겟 OPM(부문 OP 미공시 → 회사 OPM 적용; 신규수주분 포함)</t>
      </text>
    </comment>
    <comment ref="AI42" authorId="0" shapeId="0">
      <text>
        <t>모델값 역산(implied): v / 매출조선
매출조선 × 타겟 OPM(부문 OP 미공시 → 회사 OPM 적용; 신규수주분 포함)</t>
      </text>
    </comment>
    <comment ref="AK42" authorId="0" shapeId="0">
      <text>
        <t>모델값 역산(implied): v / 매출조선
매출조선 × 타겟 OPM(부문 OP 미공시 → 회사 OPM 적용; 신규수주분 포함)</t>
      </text>
    </comment>
    <comment ref="AL42" authorId="0" shapeId="0">
      <text>
        <t>모델값 역산(implied): v / 매출조선
매출조선 × 타겟 OPM(부문 OP 미공시 → 회사 OPM 적용; 신규수주분 포함)</t>
      </text>
    </comment>
    <comment ref="AM42" authorId="0" shapeId="0">
      <text>
        <t>모델값 역산(implied): v / 매출조선
매출조선 × 타겟 OPM(부문 OP 미공시 → 회사 OPM 적용; 신규수주분 포함)</t>
      </text>
    </comment>
    <comment ref="AN42" authorId="0" shapeId="0">
      <text>
        <t>모델값 역산(implied): v / 매출조선
매출조선 × 타겟 OPM(부문 OP 미공시 → 회사 OPM 적용; 신규수주분 포함)</t>
      </text>
    </comment>
    <comment ref="AC43" authorId="0" shapeId="0">
      <text>
        <t>모델값 역산(implied): v / 전년동기 − 1
기타 부문(연결 − 조선 부문) 최근 4분기 중위 424억 유지</t>
      </text>
    </comment>
    <comment ref="AD43" authorId="0" shapeId="0">
      <text>
        <t>모델값 역산(implied): v / 전년동기 − 1
기타 부문(연결 − 조선 부문) 최근 4분기 중위 424억 유지</t>
      </text>
    </comment>
    <comment ref="AF43" authorId="0" shapeId="0">
      <text>
        <t>모델값 역산(implied): v / 전분기 − 1 (전년동기 없음 → 전분기 대비)
기타 부문(연결 − 조선 부문) 최근 4분기 중위 424억 유지</t>
      </text>
    </comment>
    <comment ref="AG43" authorId="0" shapeId="0">
      <text>
        <t>모델값 역산(implied): v / 전분기 − 1 (전년동기 없음 → 전분기 대비)
기타 부문(연결 − 조선 부문) 최근 4분기 중위 424억 유지</t>
      </text>
    </comment>
    <comment ref="AH43" authorId="0" shapeId="0">
      <text>
        <t>모델값 역산(implied): v / 전년동기 − 1
기타 부문(연결 − 조선 부문) 최근 4분기 중위 424억 유지</t>
      </text>
    </comment>
    <comment ref="AI43" authorId="0" shapeId="0">
      <text>
        <t>모델값 역산(implied): v / 전년동기 − 1
기타 부문(연결 − 조선 부문) 최근 4분기 중위 424억 유지</t>
      </text>
    </comment>
    <comment ref="AK43" authorId="0" shapeId="0">
      <text>
        <t>모델값 역산(implied): v / 전년동기 − 1
기타 부문(연결 − 조선 부문) 최근 4분기 중위 424억 유지</t>
      </text>
    </comment>
    <comment ref="AL43" authorId="0" shapeId="0">
      <text>
        <t>모델값 역산(implied): v / 전년동기 − 1
기타 부문(연결 − 조선 부문) 최근 4분기 중위 424억 유지</t>
      </text>
    </comment>
    <comment ref="AM43" authorId="0" shapeId="0">
      <text>
        <t>모델값 역산(implied): v / 전년동기 − 1
기타 부문(연결 − 조선 부문) 최근 4분기 중위 424억 유지</t>
      </text>
    </comment>
    <comment ref="AN43" authorId="0" shapeId="0">
      <text>
        <t>모델값 역산(implied): v / 전년동기 − 1
기타 부문(연결 − 조선 부문) 최근 4분기 중위 424억 유지</t>
      </text>
    </comment>
    <comment ref="AC44" authorId="0" shapeId="0">
      <text>
        <t>모델값 역산(implied): v / 매출기타
매출기타 × 회사 OPM(부문 OP 미공시)</t>
      </text>
    </comment>
    <comment ref="AD44" authorId="0" shapeId="0">
      <text>
        <t>모델값 역산(implied): v / 매출기타
매출기타 × 회사 OPM(부문 OP 미공시)</t>
      </text>
    </comment>
    <comment ref="AF44" authorId="0" shapeId="0">
      <text>
        <t>모델값 역산(implied): v / 매출기타
매출기타 × 회사 OPM(부문 OP 미공시)</t>
      </text>
    </comment>
    <comment ref="AG44" authorId="0" shapeId="0">
      <text>
        <t>모델값 역산(implied): v / 매출기타
매출기타 × 회사 OPM(부문 OP 미공시)</t>
      </text>
    </comment>
    <comment ref="AH44" authorId="0" shapeId="0">
      <text>
        <t>모델값 역산(implied): v / 매출기타
매출기타 × 회사 OPM(부문 OP 미공시)</t>
      </text>
    </comment>
    <comment ref="AI44" authorId="0" shapeId="0">
      <text>
        <t>모델값 역산(implied): v / 매출기타
매출기타 × 회사 OPM(부문 OP 미공시)</t>
      </text>
    </comment>
    <comment ref="AK44" authorId="0" shapeId="0">
      <text>
        <t>모델값 역산(implied): v / 매출기타
매출기타 × 회사 OPM(부문 OP 미공시)</t>
      </text>
    </comment>
    <comment ref="AL44" authorId="0" shapeId="0">
      <text>
        <t>모델값 역산(implied): v / 매출기타
매출기타 × 회사 OPM(부문 OP 미공시)</t>
      </text>
    </comment>
    <comment ref="AM44" authorId="0" shapeId="0">
      <text>
        <t>모델값 역산(implied): v / 매출기타
매출기타 × 회사 OPM(부문 OP 미공시)</t>
      </text>
    </comment>
    <comment ref="AN44" authorId="0" shapeId="0">
      <text>
        <t>모델값 역산(implied): v / 매출기타
매출기타 × 회사 OPM(부문 OP 미공시)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매출조선 + 매출기타
[identity]</t>
      </text>
    </comment>
    <comment ref="AD5" authorId="0" shapeId="0">
      <text>
        <t>추정: 매출조선 + 매출기타
[identity]</t>
      </text>
    </comment>
    <comment ref="AF5" authorId="0" shapeId="0">
      <text>
        <t>추정: 매출조선 + 매출기타
[identity]</t>
      </text>
    </comment>
    <comment ref="AG5" authorId="0" shapeId="0">
      <text>
        <t>추정: 매출조선 + 매출기타
[identity]</t>
      </text>
    </comment>
    <comment ref="AH5" authorId="0" shapeId="0">
      <text>
        <t>추정: 매출조선 + 매출기타
[identity]</t>
      </text>
    </comment>
    <comment ref="AI5" authorId="0" shapeId="0">
      <text>
        <t>추정: 매출조선 + 매출기타
[identity]</t>
      </text>
    </comment>
    <comment ref="AK5" authorId="0" shapeId="0">
      <text>
        <t>추정: 매출조선 + 매출기타
[identity]</t>
      </text>
    </comment>
    <comment ref="AL5" authorId="0" shapeId="0">
      <text>
        <t>추정: 매출조선 + 매출기타
[identity]</t>
      </text>
    </comment>
    <comment ref="AM5" authorId="0" shapeId="0">
      <text>
        <t>추정: 매출조선 + 매출기타
[identity]</t>
      </text>
    </comment>
    <comment ref="AN5" authorId="0" shapeId="0">
      <text>
        <t>추정: 매출조선 + 매출기타
[identity]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5.56%(최근 4분기 중위)
[ratio]</t>
      </text>
    </comment>
    <comment ref="AD8" authorId="0" shapeId="0">
      <text>
        <t>추정: 매출액 × 판관비율 5.56%(최근 4분기 중위)
[ratio]</t>
      </text>
    </comment>
    <comment ref="AF8" authorId="0" shapeId="0">
      <text>
        <t>추정: 매출액 × 판관비율 5.56%(최근 4분기 중위)
[ratio]</t>
      </text>
    </comment>
    <comment ref="AG8" authorId="0" shapeId="0">
      <text>
        <t>추정: 매출액 × 판관비율 5.56%(최근 4분기 중위)
[ratio]</t>
      </text>
    </comment>
    <comment ref="AH8" authorId="0" shapeId="0">
      <text>
        <t>추정: 매출액 × 판관비율 5.56%(최근 4분기 중위)
[ratio]</t>
      </text>
    </comment>
    <comment ref="AI8" authorId="0" shapeId="0">
      <text>
        <t>추정: 매출액 × 판관비율 5.56%(최근 4분기 중위)
[ratio]</t>
      </text>
    </comment>
    <comment ref="AK8" authorId="0" shapeId="0">
      <text>
        <t>추정: 매출액 × 판관비율 5.56%(최근 4분기 중위)
[ratio]</t>
      </text>
    </comment>
    <comment ref="AL8" authorId="0" shapeId="0">
      <text>
        <t>추정: 매출액 × 판관비율 5.56%(최근 4분기 중위)
[ratio]</t>
      </text>
    </comment>
    <comment ref="AM8" authorId="0" shapeId="0">
      <text>
        <t>추정: 매출액 × 판관비율 5.56%(최근 4분기 중위)
[ratio]</t>
      </text>
    </comment>
    <comment ref="AN8" authorId="0" shapeId="0">
      <text>
        <t>추정: 매출액 × 판관비율 5.56%(최근 4분기 중위)
[ratio]</t>
      </text>
    </comment>
    <comment ref="AC9" authorId="0" shapeId="0">
      <text>
        <t>추정: 매출액 × OPM(SLS 코호트 타겟 10.7%(코호트 모드 reference_anchor; 등급 비중 82% × 코호트 10.5% + 등급없음 18% × 최근 4분기 실측 OPM 중위 11.6%) + 회사 캘리브레이션 +1.2%p(최근 4분기 실측−타겟 중위) — 신규수주 매출에도 같은 타겟)
[identity]</t>
      </text>
    </comment>
    <comment ref="AD9" authorId="0" shapeId="0">
      <text>
        <t>추정: 매출액 × OPM(SLS 코호트 타겟 10.7%(코호트 모드 reference_anchor; 등급 비중 82% × 코호트 10.6% + 등급없음 18% × 최근 4분기 실측 OPM 중위 11.6%) + 회사 캘리브레이션 +1.2%p(최근 4분기 실측−타겟 중위) — 신규수주 매출에도 같은 타겟)
[identity]</t>
      </text>
    </comment>
    <comment ref="AF9" authorId="0" shapeId="0">
      <text>
        <t>추정: 매출액 × OPM(SLS 코호트 타겟 10.9%(코호트 모드 reference_anchor; 등급 비중 81% × 코호트 10.7% + 등급없음 19% × 최근 4분기 실측 OPM 중위 11.6%) + 회사 캘리브레이션 +1.2%p(최근 4분기 실측−타겟 중위) — 신규수주 매출에도 같은 타겟)
[identity]</t>
      </text>
    </comment>
    <comment ref="AG9" authorId="0" shapeId="0">
      <text>
        <t>추정: 매출액 × OPM(SLS 코호트 타겟 10.9%(코호트 모드 reference_anchor; 등급 비중 83% × 코호트 10.8% + 등급없음 17% × 최근 4분기 실측 OPM 중위 11.6%) + 회사 캘리브레이션 +1.2%p(최근 4분기 실측−타겟 중위) — 신규수주 매출에도 같은 타겟)
[identity]</t>
      </text>
    </comment>
    <comment ref="AH9" authorId="0" shapeId="0">
      <text>
        <t>추정: 매출액 × OPM(SLS 코호트 타겟 10.9%(코호트 모드 reference_anchor; 등급 비중 83% × 코호트 10.8% + 등급없음 17% × 최근 4분기 실측 OPM 중위 11.6%) + 회사 캘리브레이션 +1.2%p(최근 4분기 실측−타겟 중위) — 신규수주 매출에도 같은 타겟)
[identity]</t>
      </text>
    </comment>
    <comment ref="AI9" authorId="0" shapeId="0">
      <text>
        <t>추정: 매출액 × OPM(SLS 코호트 타겟 10.9%(코호트 모드 reference_anchor; 등급 비중 83% × 코호트 10.8% + 등급없음 17% × 최근 4분기 실측 OPM 중위 11.6%) + 회사 캘리브레이션 +1.2%p(최근 4분기 실측−타겟 중위) — 신규수주 매출에도 같은 타겟)
[identity]</t>
      </text>
    </comment>
    <comment ref="AK9" authorId="0" shapeId="0">
      <text>
        <t>추정: 매출액 × OPM(SLS 코호트 타겟 10.9%(코호트 모드 reference_anchor; 등급 비중 84% × 코호트 10.8% + 등급없음 16% × 최근 4분기 실측 OPM 중위 11.6%) + 회사 캘리브레이션 +1.2%p(최근 4분기 실측−타겟 중위) — 신규수주 매출에도 같은 타겟)
[identity]</t>
      </text>
    </comment>
    <comment ref="AL9" authorId="0" shapeId="0">
      <text>
        <t>추정: 매출액 × OPM(SLS 코호트 타겟 10.9%(코호트 모드 reference_anchor; 등급 비중 84% × 코호트 10.8% + 등급없음 16% × 최근 4분기 실측 OPM 중위 11.6%) + 회사 캘리브레이션 +1.2%p(최근 4분기 실측−타겟 중위) — 신규수주 매출에도 같은 타겟)
[identity]</t>
      </text>
    </comment>
    <comment ref="AM9" authorId="0" shapeId="0">
      <text>
        <t>추정: 매출액 × OPM(SLS 코호트 타겟 10.9%(코호트 모드 reference_anchor; 등급 비중 83% × 코호트 10.8% + 등급없음 17% × 최근 4분기 실측 OPM 중위 11.6%) + 회사 캘리브레이션 +1.2%p(최근 4분기 실측−타겟 중위) — 신규수주 매출에도 같은 타겟)
[identity]</t>
      </text>
    </comment>
    <comment ref="AN9" authorId="0" shapeId="0">
      <text>
        <t>추정: 매출액 × OPM(SLS 코호트 타겟 10.9%(코호트 모드 reference_anchor; 등급 비중 83% × 코호트 10.8% + 등급없음 17% × 최근 4분기 실측 OPM 중위 11.6%) + 회사 캘리브레이션 +1.2%p(최근 4분기 실측−타겟 중위) — 신규수주 매출에도 같은 타겟)
[identity]</t>
      </text>
    </comment>
    <comment ref="AC10" authorId="0" shapeId="0">
      <text>
        <t>추정: SLS 코호트 타겟 10.7%(코호트 모드 reference_anchor; 등급 비중 82% × 코호트 10.5% + 등급없음 18% × 최근 4분기 실측 OPM 중위 11.6%) + 회사 캘리브레이션 +1.2%p(최근 4분기 실측−타겟 중위) — 신규수주 매출에도 같은 타겟
[divide]</t>
      </text>
    </comment>
    <comment ref="AD10" authorId="0" shapeId="0">
      <text>
        <t>추정: SLS 코호트 타겟 10.7%(코호트 모드 reference_anchor; 등급 비중 82% × 코호트 10.6% + 등급없음 18% × 최근 4분기 실측 OPM 중위 11.6%) + 회사 캘리브레이션 +1.2%p(최근 4분기 실측−타겟 중위) — 신규수주 매출에도 같은 타겟
[divide]</t>
      </text>
    </comment>
    <comment ref="AF10" authorId="0" shapeId="0">
      <text>
        <t>추정: SLS 코호트 타겟 10.9%(코호트 모드 reference_anchor; 등급 비중 81% × 코호트 10.7% + 등급없음 19% × 최근 4분기 실측 OPM 중위 11.6%) + 회사 캘리브레이션 +1.2%p(최근 4분기 실측−타겟 중위) — 신규수주 매출에도 같은 타겟
[divide]</t>
      </text>
    </comment>
    <comment ref="AG10" authorId="0" shapeId="0">
      <text>
        <t>추정: SLS 코호트 타겟 10.9%(코호트 모드 reference_anchor; 등급 비중 83% × 코호트 10.8% + 등급없음 17% × 최근 4분기 실측 OPM 중위 11.6%) + 회사 캘리브레이션 +1.2%p(최근 4분기 실측−타겟 중위) — 신규수주 매출에도 같은 타겟
[divide]</t>
      </text>
    </comment>
    <comment ref="AH10" authorId="0" shapeId="0">
      <text>
        <t>추정: SLS 코호트 타겟 10.9%(코호트 모드 reference_anchor; 등급 비중 83% × 코호트 10.8% + 등급없음 17% × 최근 4분기 실측 OPM 중위 11.6%) + 회사 캘리브레이션 +1.2%p(최근 4분기 실측−타겟 중위) — 신규수주 매출에도 같은 타겟
[divide]</t>
      </text>
    </comment>
    <comment ref="AI10" authorId="0" shapeId="0">
      <text>
        <t>추정: SLS 코호트 타겟 10.9%(코호트 모드 reference_anchor; 등급 비중 83% × 코호트 10.8% + 등급없음 17% × 최근 4분기 실측 OPM 중위 11.6%) + 회사 캘리브레이션 +1.2%p(최근 4분기 실측−타겟 중위) — 신규수주 매출에도 같은 타겟
[divide]</t>
      </text>
    </comment>
    <comment ref="AK10" authorId="0" shapeId="0">
      <text>
        <t>추정: SLS 코호트 타겟 10.9%(코호트 모드 reference_anchor; 등급 비중 84% × 코호트 10.8% + 등급없음 16% × 최근 4분기 실측 OPM 중위 11.6%) + 회사 캘리브레이션 +1.2%p(최근 4분기 실측−타겟 중위) — 신규수주 매출에도 같은 타겟
[divide]</t>
      </text>
    </comment>
    <comment ref="AL10" authorId="0" shapeId="0">
      <text>
        <t>추정: SLS 코호트 타겟 10.9%(코호트 모드 reference_anchor; 등급 비중 84% × 코호트 10.8% + 등급없음 16% × 최근 4분기 실측 OPM 중위 11.6%) + 회사 캘리브레이션 +1.2%p(최근 4분기 실측−타겟 중위) — 신규수주 매출에도 같은 타겟
[divide]</t>
      </text>
    </comment>
    <comment ref="AM10" authorId="0" shapeId="0">
      <text>
        <t>추정: SLS 코호트 타겟 10.9%(코호트 모드 reference_anchor; 등급 비중 83% × 코호트 10.8% + 등급없음 17% × 최근 4분기 실측 OPM 중위 11.6%) + 회사 캘리브레이션 +1.2%p(최근 4분기 실측−타겟 중위) — 신규수주 매출에도 같은 타겟
[divide]</t>
      </text>
    </comment>
    <comment ref="AN10" authorId="0" shapeId="0">
      <text>
        <t>추정: SLS 코호트 타겟 10.9%(코호트 모드 reference_anchor; 등급 비중 83% × 코호트 10.8% + 등급없음 17% × 최근 4분기 실측 OPM 중위 11.6%) + 회사 캘리브레이션 +1.2%p(최근 4분기 실측−타겟 중위) — 신규수주 매출에도 같은 타겟
[divide]</t>
      </text>
    </comment>
    <comment ref="AC11" authorId="0" shapeId="0">
      <text>
        <t>추정: 이자손익 + 외환손익 0 + 파생상품손익 0 + 기타금융손익 +2.92억(최근 4분기(2025Q3~2026Q2) 잔차 중위) (항등식); 이자손익 = 이자발생자산 17658억 × 5.78%(주석 이자수익 ÷ 평균 이자발생자산(2025Q3~2026Q2)) − 총차입금 60375억 × 3.57%(주석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+2.92억(최근 4분기(2025Q3~2026Q2) 잔차 중위) (항등식); 이자손익 = 이자발생자산 21810억 × 5.78%(주석 이자수익 ÷ 평균 이자발생자산(2025Q3~2026Q2)) − 총차입금 60375억 × 3.57%(주석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+2.92억(최근 4분기(2025Q3~2026Q2) 잔차 중위) (항등식); 이자손익 = 이자발생자산 26115억 × 5.78%(주석 이자수익 ÷ 평균 이자발생자산(2025Q3~2026Q2)) − 총차입금 60375억 × 3.57%(주석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+2.92억(최근 4분기(2025Q3~2026Q2) 잔차 중위) (항등식); 이자손익 = 이자발생자산 30345억 × 5.78%(주석 이자수익 ÷ 평균 이자발생자산(2025Q3~2026Q2)) − 총차입금 60375억 × 3.57%(주석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+2.92억(최근 4분기(2025Q3~2026Q2) 잔차 중위) (항등식); 이자손익 = 이자발생자산 34676억 × 5.78%(주석 이자수익 ÷ 평균 이자발생자산(2025Q3~2026Q2)) − 총차입금 60375억 × 3.57%(주석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+2.92억(최근 4분기(2025Q3~2026Q2) 잔차 중위) (항등식); 이자손익 = 이자발생자산 39197억 × 5.78%(주석 이자수익 ÷ 평균 이자발생자산(2025Q3~2026Q2)) − 총차입금 60375억 × 3.57%(주석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+2.92억(최근 4분기(2025Q3~2026Q2) 잔차 중위) (항등식); 이자손익 = 이자발생자산 43935억 × 5.78%(주석 이자수익 ÷ 평균 이자발생자산(2025Q3~2026Q2)) − 총차입금 60375억 × 3.57%(주석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+2.92억(최근 4분기(2025Q3~2026Q2) 잔차 중위) (항등식); 이자손익 = 이자발생자산 48909억 × 5.78%(주석 이자수익 ÷ 평균 이자발생자산(2025Q3~2026Q2)) − 총차입금 60375억 × 3.57%(주석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+2.92억(최근 4분기(2025Q3~2026Q2) 잔차 중위) (항등식); 이자손익 = 이자발생자산 52683억 × 5.78%(주석 이자수익 ÷ 평균 이자발생자산(2025Q3~2026Q2)) − 총차입금 60375억 × 3.57%(주석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+2.92억(최근 4분기(2025Q3~2026Q2) 잔차 중위) (항등식); 이자손익 = 이자발생자산 55476억 × 5.78%(주석 이자수익 ÷ 평균 이자발생자산(2025Q3~2026Q2)) − 총차입금 60375억 × 3.57%(주석 이자비용 ÷ 평균 총차입금(2025Q3~2026Q2)) (연율) ÷ 4; 환율 효과는 환관련손익 행 별도
[identity]</t>
      </text>
    </comment>
    <comment ref="AC12" authorId="0" shapeId="0">
      <text>
        <t>추정: 이자발생자산 17658억 × 5.78%(주석 이자수익 ÷ 평균 이자발생자산(2025Q3~2026Q2)) − 총차입금 60375억 × 3.57%(주석 이자비용 ÷ 평균 총차입금(2025Q3~2026Q2)) (연율) ÷ 4
[interest]</t>
      </text>
    </comment>
    <comment ref="AD12" authorId="0" shapeId="0">
      <text>
        <t>추정: 이자발생자산 21810억 × 5.78%(주석 이자수익 ÷ 평균 이자발생자산(2025Q3~2026Q2)) − 총차입금 60375억 × 3.57%(주석 이자비용 ÷ 평균 총차입금(2025Q3~2026Q2)) (연율) ÷ 4
[interest]</t>
      </text>
    </comment>
    <comment ref="AF12" authorId="0" shapeId="0">
      <text>
        <t>추정: 이자발생자산 26115억 × 5.78%(주석 이자수익 ÷ 평균 이자발생자산(2025Q3~2026Q2)) − 총차입금 60375억 × 3.57%(주석 이자비용 ÷ 평균 총차입금(2025Q3~2026Q2)) (연율) ÷ 4
[interest]</t>
      </text>
    </comment>
    <comment ref="AG12" authorId="0" shapeId="0">
      <text>
        <t>추정: 이자발생자산 30345억 × 5.78%(주석 이자수익 ÷ 평균 이자발생자산(2025Q3~2026Q2)) − 총차입금 60375억 × 3.57%(주석 이자비용 ÷ 평균 총차입금(2025Q3~2026Q2)) (연율) ÷ 4
[interest]</t>
      </text>
    </comment>
    <comment ref="AH12" authorId="0" shapeId="0">
      <text>
        <t>추정: 이자발생자산 34676억 × 5.78%(주석 이자수익 ÷ 평균 이자발생자산(2025Q3~2026Q2)) − 총차입금 60375억 × 3.57%(주석 이자비용 ÷ 평균 총차입금(2025Q3~2026Q2)) (연율) ÷ 4
[interest]</t>
      </text>
    </comment>
    <comment ref="AI12" authorId="0" shapeId="0">
      <text>
        <t>추정: 이자발생자산 39197억 × 5.78%(주석 이자수익 ÷ 평균 이자발생자산(2025Q3~2026Q2)) − 총차입금 60375억 × 3.57%(주석 이자비용 ÷ 평균 총차입금(2025Q3~2026Q2)) (연율) ÷ 4
[interest]</t>
      </text>
    </comment>
    <comment ref="AK12" authorId="0" shapeId="0">
      <text>
        <t>추정: 이자발생자산 43935억 × 5.78%(주석 이자수익 ÷ 평균 이자발생자산(2025Q3~2026Q2)) − 총차입금 60375억 × 3.57%(주석 이자비용 ÷ 평균 총차입금(2025Q3~2026Q2)) (연율) ÷ 4
[interest]</t>
      </text>
    </comment>
    <comment ref="AL12" authorId="0" shapeId="0">
      <text>
        <t>추정: 이자발생자산 48909억 × 5.78%(주석 이자수익 ÷ 평균 이자발생자산(2025Q3~2026Q2)) − 총차입금 60375억 × 3.57%(주석 이자비용 ÷ 평균 총차입금(2025Q3~2026Q2)) (연율) ÷ 4
[interest]</t>
      </text>
    </comment>
    <comment ref="AM12" authorId="0" shapeId="0">
      <text>
        <t>추정: 이자발생자산 52683억 × 5.78%(주석 이자수익 ÷ 평균 이자발생자산(2025Q3~2026Q2)) − 총차입금 60375억 × 3.57%(주석 이자비용 ÷ 평균 총차입금(2025Q3~2026Q2)) (연율) ÷ 4
[interest]</t>
      </text>
    </comment>
    <comment ref="AN12" authorId="0" shapeId="0">
      <text>
        <t>추정: 이자발생자산 55476억 × 5.78%(주석 이자수익 ÷ 평균 이자발생자산(2025Q3~2026Q2)) − 총차입금 60375억 × 3.57%(주석 이자비용 ÷ 평균 총차입금(2025Q3~2026Q2)) (연율) ÷ 4
[interest]</t>
      </text>
    </comment>
    <comment ref="G13" authorId="0" shapeId="0">
      <text>
        <t>BS 계정 합·차: +외환차익 -외환차손 +외화환산이익 -외화환산손실</t>
      </text>
    </comment>
    <comment ref="H13" authorId="0" shapeId="0">
      <text>
        <t>BS 계정 합·차: +외환차익 -외환차손 +외화환산이익 -외화환산손실</t>
      </text>
    </comment>
    <comment ref="I13" authorId="0" shapeId="0">
      <text>
        <t>BS 계정 합·차: +외환차익 -외환차손 +외화환산이익 -외화환산손실</t>
      </text>
    </comment>
    <comment ref="J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4분기(2025Q3~2026Q2) 잔차 중위
[abs]</t>
      </text>
    </comment>
    <comment ref="AD15" authorId="0" shapeId="0">
      <text>
        <t>추정: 최근 4분기(2025Q3~2026Q2) 잔차 중위
[abs]</t>
      </text>
    </comment>
    <comment ref="AF15" authorId="0" shapeId="0">
      <text>
        <t>추정: 최근 4분기(2025Q3~2026Q2) 잔차 중위
[abs]</t>
      </text>
    </comment>
    <comment ref="AG15" authorId="0" shapeId="0">
      <text>
        <t>추정: 최근 4분기(2025Q3~2026Q2) 잔차 중위
[abs]</t>
      </text>
    </comment>
    <comment ref="AH15" authorId="0" shapeId="0">
      <text>
        <t>추정: 최근 4분기(2025Q3~2026Q2) 잔차 중위
[abs]</t>
      </text>
    </comment>
    <comment ref="AI15" authorId="0" shapeId="0">
      <text>
        <t>추정: 최근 4분기(2025Q3~2026Q2) 잔차 중위
[abs]</t>
      </text>
    </comment>
    <comment ref="AK15" authorId="0" shapeId="0">
      <text>
        <t>추정: 최근 4분기(2025Q3~2026Q2) 잔차 중위
[abs]</t>
      </text>
    </comment>
    <comment ref="AL15" authorId="0" shapeId="0">
      <text>
        <t>추정: 최근 4분기(2025Q3~2026Q2) 잔차 중위
[abs]</t>
      </text>
    </comment>
    <comment ref="AM15" authorId="0" shapeId="0">
      <text>
        <t>추정: 최근 4분기(2025Q3~2026Q2) 잔차 중위
[abs]</t>
      </text>
    </comment>
    <comment ref="AN15" authorId="0" shapeId="0">
      <text>
        <t>추정: 최근 4분기(2025Q3~2026Q2) 잔차 중위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0.7%(이월결손 경로 유지 — 최근 8분기 중 세전 &gt; 0 인 7분기(2024Q4~2026Q2) 법인세/세전 중위 0.7%·최근 4분기 중위 -1.2% 가 모두 5% 미만 → 이월결손 공제 중으로 보고 0.7% 를 2026Q4 까지 유지, 2027Q1~2028Q4 선형 램프로 법정세율 근사 22% 수렴)
[tax]</t>
      </text>
    </comment>
    <comment ref="AD19" authorId="0" shapeId="0">
      <text>
        <t>추정: max(세전, 0) × 세율 0.7%(이월결손 경로 유지 — 최근 8분기 중 세전 &gt; 0 인 7분기(2024Q4~2026Q2) 법인세/세전 중위 0.7%·최근 4분기 중위 -1.2% 가 모두 5% 미만 → 이월결손 공제 중으로 보고 0.7% 를 2026Q4 까지 유지, 2027Q1~2028Q4 선형 램프로 법정세율 근사 22% 수렴)
[tax]</t>
      </text>
    </comment>
    <comment ref="AF19" authorId="0" shapeId="0">
      <text>
        <t>추정: max(세전, 0) × 세율 3.3%(이월결손 경로 램프 1/8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
[tax]</t>
      </text>
    </comment>
    <comment ref="AG19" authorId="0" shapeId="0">
      <text>
        <t>추정: max(세전, 0) × 세율 6.0%(이월결손 경로 램프 2/8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
[tax]</t>
      </text>
    </comment>
    <comment ref="AH19" authorId="0" shapeId="0">
      <text>
        <t>추정: max(세전, 0) × 세율 8.7%(이월결손 경로 램프 3/8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
[tax]</t>
      </text>
    </comment>
    <comment ref="AI19" authorId="0" shapeId="0">
      <text>
        <t>추정: max(세전, 0) × 세율 11.3%(이월결손 경로 램프 4/8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
[tax]</t>
      </text>
    </comment>
    <comment ref="AK19" authorId="0" shapeId="0">
      <text>
        <t>추정: max(세전, 0) × 세율 14.0%(이월결손 경로 램프 5/8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
[tax]</t>
      </text>
    </comment>
    <comment ref="AL19" authorId="0" shapeId="0">
      <text>
        <t>추정: max(세전, 0) × 세율 16.7%(이월결손 경로 램프 6/8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
[tax]</t>
      </text>
    </comment>
    <comment ref="AM19" authorId="0" shapeId="0">
      <text>
        <t>추정: max(세전, 0) × 세율 19.3%(이월결손 경로 램프 7/8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
[tax]</t>
      </text>
    </comment>
    <comment ref="AN19" authorId="0" shapeId="0">
      <text>
        <t>추정: max(세전, 0) × 세율 22.0%(이월결손 경로 램프 8/8 — 최근 8분기 중 세전 &gt; 0 인 7분기(2024Q4~2026Q2) 법인세/세전 중위 0.7%·최근 4분기 중위 -1.2% 가 모두 5% 미만 → 이월결손 공제 중으로 보고 0.7% 를 2026Q4 까지 유지, 2027Q1~2028Q4 선형 램프로 법정세율 근사 22% 수렴)
[tax]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0.0%, 최근 8분기 실측)
[ratio]</t>
      </text>
    </comment>
    <comment ref="AD21" authorId="0" shapeId="0">
      <text>
        <t>추정: 당기순이익 × (1 − 비지배 비중 0.0%, 최근 8분기 실측)
[ratio]</t>
      </text>
    </comment>
    <comment ref="AF21" authorId="0" shapeId="0">
      <text>
        <t>추정: 당기순이익 × (1 − 비지배 비중 0.0%, 최근 8분기 실측)
[ratio]</t>
      </text>
    </comment>
    <comment ref="AG21" authorId="0" shapeId="0">
      <text>
        <t>추정: 당기순이익 × (1 − 비지배 비중 0.0%, 최근 8분기 실측)
[ratio]</t>
      </text>
    </comment>
    <comment ref="AH21" authorId="0" shapeId="0">
      <text>
        <t>추정: 당기순이익 × (1 − 비지배 비중 0.0%, 최근 8분기 실측)
[ratio]</t>
      </text>
    </comment>
    <comment ref="AI21" authorId="0" shapeId="0">
      <text>
        <t>추정: 당기순이익 × (1 − 비지배 비중 0.0%, 최근 8분기 실측)
[ratio]</t>
      </text>
    </comment>
    <comment ref="AK21" authorId="0" shapeId="0">
      <text>
        <t>추정: 당기순이익 × (1 − 비지배 비중 0.0%, 최근 8분기 실측)
[ratio]</t>
      </text>
    </comment>
    <comment ref="AL21" authorId="0" shapeId="0">
      <text>
        <t>추정: 당기순이익 × (1 − 비지배 비중 0.0%, 최근 8분기 실측)
[ratio]</t>
      </text>
    </comment>
    <comment ref="AM21" authorId="0" shapeId="0">
      <text>
        <t>추정: 당기순이익 × (1 − 비지배 비중 0.0%, 최근 8분기 실측)
[ratio]</t>
      </text>
    </comment>
    <comment ref="AN21" authorId="0" shapeId="0">
      <text>
        <t>추정: 당기순이익 × (1 − 비지배 비중 0.0%, 최근 8분기 실측)
[ratio]</t>
      </text>
    </comment>
    <comment ref="AC22" authorId="0" shapeId="0">
      <text>
        <t>추정: 부채총계 + 자본총계(항등식)
[identity]</t>
      </text>
    </comment>
    <comment ref="AD22" authorId="0" shapeId="0">
      <text>
        <t>추정: 부채총계 + 자본총계(항등식)
[identity]</t>
      </text>
    </comment>
    <comment ref="AF22" authorId="0" shapeId="0">
      <text>
        <t>추정: 부채총계 + 자본총계(항등식)
[identity]</t>
      </text>
    </comment>
    <comment ref="AG22" authorId="0" shapeId="0">
      <text>
        <t>추정: 부채총계 + 자본총계(항등식)
[identity]</t>
      </text>
    </comment>
    <comment ref="AH22" authorId="0" shapeId="0">
      <text>
        <t>추정: 부채총계 + 자본총계(항등식)
[identity]</t>
      </text>
    </comment>
    <comment ref="AI22" authorId="0" shapeId="0">
      <text>
        <t>추정: 부채총계 + 자본총계(항등식)
[identity]</t>
      </text>
    </comment>
    <comment ref="AK22" authorId="0" shapeId="0">
      <text>
        <t>추정: 부채총계 + 자본총계(항등식)
[identity]</t>
      </text>
    </comment>
    <comment ref="AL22" authorId="0" shapeId="0">
      <text>
        <t>추정: 부채총계 + 자본총계(항등식)
[identity]</t>
      </text>
    </comment>
    <comment ref="AM22" authorId="0" shapeId="0">
      <text>
        <t>추정: 부채총계 + 자본총계(항등식)
[identity]</t>
      </text>
    </comment>
    <comment ref="AN22" authorId="0" shapeId="0">
      <text>
        <t>추정: 부채총계 + 자본총계(항등식)
[identity]</t>
      </text>
    </comment>
    <comment ref="AC23" authorId="0" shapeId="0">
      <text>
        <t>추정: 마지막 실적 유지(가정)
[qoq]</t>
      </text>
    </comment>
    <comment ref="AD23" authorId="0" shapeId="0">
      <text>
        <t>추정: 마지막 실적 유지(가정)
[qoq]</t>
      </text>
    </comment>
    <comment ref="AF23" authorId="0" shapeId="0">
      <text>
        <t>추정: 마지막 실적 유지(가정)
[qoq]</t>
      </text>
    </comment>
    <comment ref="AG23" authorId="0" shapeId="0">
      <text>
        <t>추정: 마지막 실적 유지(가정)
[qoq]</t>
      </text>
    </comment>
    <comment ref="AH23" authorId="0" shapeId="0">
      <text>
        <t>추정: 마지막 실적 유지(가정)
[qoq]</t>
      </text>
    </comment>
    <comment ref="AI23" authorId="0" shapeId="0">
      <text>
        <t>추정: 마지막 실적 유지(가정)
[qoq]</t>
      </text>
    </comment>
    <comment ref="AK23" authorId="0" shapeId="0">
      <text>
        <t>추정: 마지막 실적 유지(가정)
[qoq]</t>
      </text>
    </comment>
    <comment ref="AL23" authorId="0" shapeId="0">
      <text>
        <t>추정: 마지막 실적 유지(가정)
[qoq]</t>
      </text>
    </comment>
    <comment ref="AM23" authorId="0" shapeId="0">
      <text>
        <t>추정: 마지막 실적 유지(가정)
[qoq]</t>
      </text>
    </comment>
    <comment ref="AN23" authorId="0" shapeId="0">
      <text>
        <t>추정: 마지막 실적 유지(가정)
[qoq]</t>
      </text>
    </comment>
    <comment ref="AC24" authorId="0" shapeId="0">
      <text>
        <t>추정: 전분기 + 당기순이익 − 배당(Q2 지급 가정)
[roll]</t>
      </text>
    </comment>
    <comment ref="AD24" authorId="0" shapeId="0">
      <text>
        <t>추정: 전분기 + 당기순이익 − 배당(Q2 지급 가정)
[roll]</t>
      </text>
    </comment>
    <comment ref="AF24" authorId="0" shapeId="0">
      <text>
        <t>추정: 전분기 + 당기순이익 − 배당(Q2 지급 가정)
[roll]</t>
      </text>
    </comment>
    <comment ref="AG24" authorId="0" shapeId="0">
      <text>
        <t>추정: 전분기 + 당기순이익 − 배당(Q2 지급 가정)
[roll]</t>
      </text>
    </comment>
    <comment ref="AH24" authorId="0" shapeId="0">
      <text>
        <t>추정: 전분기 + 당기순이익 − 배당(Q2 지급 가정)
[roll]</t>
      </text>
    </comment>
    <comment ref="AI24" authorId="0" shapeId="0">
      <text>
        <t>추정: 전분기 + 당기순이익 − 배당(Q2 지급 가정)
[roll]</t>
      </text>
    </comment>
    <comment ref="AK24" authorId="0" shapeId="0">
      <text>
        <t>추정: 전분기 + 당기순이익 − 배당(Q2 지급 가정)
[roll]</t>
      </text>
    </comment>
    <comment ref="AL24" authorId="0" shapeId="0">
      <text>
        <t>추정: 전분기 + 당기순이익 − 배당(Q2 지급 가정)
[roll]</t>
      </text>
    </comment>
    <comment ref="AM24" authorId="0" shapeId="0">
      <text>
        <t>추정: 전분기 + 당기순이익 − 배당(Q2 지급 가정)
[roll]</t>
      </text>
    </comment>
    <comment ref="AN24" authorId="0" shapeId="0">
      <text>
        <t>추정: 전분기 + 당기순이익 − 배당(Q2 지급 가정)
[roll]</t>
      </text>
    </comment>
    <comment ref="AC25" authorId="0" shapeId="0">
      <text>
        <t>추정: 전분기 + 지배주주순이익 − 배당
[roll]</t>
      </text>
    </comment>
    <comment ref="AD25" authorId="0" shapeId="0">
      <text>
        <t>추정: 전분기 + 지배주주순이익 − 배당
[roll]</t>
      </text>
    </comment>
    <comment ref="AF25" authorId="0" shapeId="0">
      <text>
        <t>추정: 전분기 + 지배주주순이익 − 배당
[roll]</t>
      </text>
    </comment>
    <comment ref="AG25" authorId="0" shapeId="0">
      <text>
        <t>추정: 전분기 + 지배주주순이익 − 배당
[roll]</t>
      </text>
    </comment>
    <comment ref="AH25" authorId="0" shapeId="0">
      <text>
        <t>추정: 전분기 + 지배주주순이익 − 배당
[roll]</t>
      </text>
    </comment>
    <comment ref="AI25" authorId="0" shapeId="0">
      <text>
        <t>추정: 전분기 + 지배주주순이익 − 배당
[roll]</t>
      </text>
    </comment>
    <comment ref="AK25" authorId="0" shapeId="0">
      <text>
        <t>추정: 전분기 + 지배주주순이익 − 배당
[roll]</t>
      </text>
    </comment>
    <comment ref="AL25" authorId="0" shapeId="0">
      <text>
        <t>추정: 전분기 + 지배주주순이익 − 배당
[roll]</t>
      </text>
    </comment>
    <comment ref="AM25" authorId="0" shapeId="0">
      <text>
        <t>추정: 전분기 + 지배주주순이익 − 배당
[roll]</t>
      </text>
    </comment>
    <comment ref="AN25" authorId="0" shapeId="0">
      <text>
        <t>추정: 전분기 + 지배주주순이익 − 배당
[roll]</t>
      </text>
    </comment>
    <comment ref="AC26" authorId="0" shapeId="0">
      <text>
        <t>추정: 마지막 실적 유지(가정)
[qoq]</t>
      </text>
    </comment>
    <comment ref="AD26" authorId="0" shapeId="0">
      <text>
        <t>추정: 마지막 실적 유지(가정)
[qoq]</t>
      </text>
    </comment>
    <comment ref="AF26" authorId="0" shapeId="0">
      <text>
        <t>추정: 마지막 실적 유지(가정)
[qoq]</t>
      </text>
    </comment>
    <comment ref="AG26" authorId="0" shapeId="0">
      <text>
        <t>추정: 마지막 실적 유지(가정)
[qoq]</t>
      </text>
    </comment>
    <comment ref="AH26" authorId="0" shapeId="0">
      <text>
        <t>추정: 마지막 실적 유지(가정)
[qoq]</t>
      </text>
    </comment>
    <comment ref="AI26" authorId="0" shapeId="0">
      <text>
        <t>추정: 마지막 실적 유지(가정)
[qoq]</t>
      </text>
    </comment>
    <comment ref="AK26" authorId="0" shapeId="0">
      <text>
        <t>추정: 마지막 실적 유지(가정)
[qoq]</t>
      </text>
    </comment>
    <comment ref="AL26" authorId="0" shapeId="0">
      <text>
        <t>추정: 마지막 실적 유지(가정)
[qoq]</t>
      </text>
    </comment>
    <comment ref="AM26" authorId="0" shapeId="0">
      <text>
        <t>추정: 마지막 실적 유지(가정)
[qoq]</t>
      </text>
    </comment>
    <comment ref="AN26" authorId="0" shapeId="0">
      <text>
        <t>추정: 마지막 실적 유지(가정)
[qoq]</t>
      </text>
    </comment>
    <comment ref="AC27" authorId="0" shapeId="0">
      <text>
        <t>추정: 전분기 − FCF 근사[순이익 − 배당(감가상각비 없음 → CAPEX≈감가 가정, CAPEX 중위 2168억은 행에만)] (운전자본 불변·총차입금 유지 가정 → 변동은 전부 현금)
[qoq]</t>
      </text>
    </comment>
    <comment ref="AD27" authorId="0" shapeId="0">
      <text>
        <t>추정: 전분기 − FCF 근사[순이익 − 배당(감가상각비 없음 → CAPEX≈감가 가정, CAPEX 중위 2168억은 행에만)] (운전자본 불변·총차입금 유지 가정 → 변동은 전부 현금)
[qoq]</t>
      </text>
    </comment>
    <comment ref="AF27" authorId="0" shapeId="0">
      <text>
        <t>추정: 전분기 − FCF 근사[순이익 − 배당(감가상각비 없음 → CAPEX≈감가 가정, CAPEX 중위 2168억은 행에만)] (운전자본 불변·총차입금 유지 가정 → 변동은 전부 현금)
[qoq]</t>
      </text>
    </comment>
    <comment ref="AG27" authorId="0" shapeId="0">
      <text>
        <t>추정: 전분기 − FCF 근사[순이익 − 배당(감가상각비 없음 → CAPEX≈감가 가정, CAPEX 중위 2168억은 행에만)] (운전자본 불변·총차입금 유지 가정 → 변동은 전부 현금)
[qoq]</t>
      </text>
    </comment>
    <comment ref="AH27" authorId="0" shapeId="0">
      <text>
        <t>추정: 전분기 − FCF 근사[순이익 − 배당(감가상각비 없음 → CAPEX≈감가 가정, CAPEX 중위 2168억은 행에만)] (운전자본 불변·총차입금 유지 가정 → 변동은 전부 현금)
[qoq]</t>
      </text>
    </comment>
    <comment ref="AI27" authorId="0" shapeId="0">
      <text>
        <t>추정: 전분기 − FCF 근사[순이익 − 배당(감가상각비 없음 → CAPEX≈감가 가정, CAPEX 중위 2168억은 행에만)] (운전자본 불변·총차입금 유지 가정 → 변동은 전부 현금)
[qoq]</t>
      </text>
    </comment>
    <comment ref="AK27" authorId="0" shapeId="0">
      <text>
        <t>추정: 전분기 − FCF 근사[순이익 − 배당(감가상각비 없음 → CAPEX≈감가 가정, CAPEX 중위 2168억은 행에만)] (운전자본 불변·총차입금 유지 가정 → 변동은 전부 현금)
[qoq]</t>
      </text>
    </comment>
    <comment ref="AL27" authorId="0" shapeId="0">
      <text>
        <t>추정: 전분기 − FCF 근사[순이익 − 배당(감가상각비 없음 → CAPEX≈감가 가정, CAPEX 중위 2168억은 행에만)] (운전자본 불변·총차입금 유지 가정 → 변동은 전부 현금)
[qoq]</t>
      </text>
    </comment>
    <comment ref="AM27" authorId="0" shapeId="0">
      <text>
        <t>추정: 전분기 − FCF 근사[순이익 − 배당(감가상각비 없음 → CAPEX≈감가 가정, CAPEX 중위 2168억은 행에만)] (운전자본 불변·총차입금 유지 가정 → 변동은 전부 현금)
[qoq]</t>
      </text>
    </comment>
    <comment ref="AN27" authorId="0" shapeId="0">
      <text>
        <t>추정: 전분기 − FCF 근사[순이익 − 배당(감가상각비 없음 → CAPEX≈감가 가정, CAPEX 중위 2168억은 행에만)] (운전자본 불변·총차입금 유지 가정 → 변동은 전부 현금)
[qoq]</t>
      </text>
    </comment>
    <comment ref="AC28" authorId="0" shapeId="0">
      <text>
        <t>추정: 전분기 + FCF 근사 — 순차입금 롤과 같은 가정
[qoq]</t>
      </text>
    </comment>
    <comment ref="AD28" authorId="0" shapeId="0">
      <text>
        <t>추정: 전분기 + FCF 근사 — 순차입금 롤과 같은 가정
[qoq]</t>
      </text>
    </comment>
    <comment ref="AF28" authorId="0" shapeId="0">
      <text>
        <t>추정: 전분기 + FCF 근사 — 순차입금 롤과 같은 가정
[qoq]</t>
      </text>
    </comment>
    <comment ref="AG28" authorId="0" shapeId="0">
      <text>
        <t>추정: 전분기 + FCF 근사 — 순차입금 롤과 같은 가정
[qoq]</t>
      </text>
    </comment>
    <comment ref="AH28" authorId="0" shapeId="0">
      <text>
        <t>추정: 전분기 + FCF 근사 — 순차입금 롤과 같은 가정
[qoq]</t>
      </text>
    </comment>
    <comment ref="AI28" authorId="0" shapeId="0">
      <text>
        <t>추정: 전분기 + FCF 근사 — 순차입금 롤과 같은 가정
[qoq]</t>
      </text>
    </comment>
    <comment ref="AK28" authorId="0" shapeId="0">
      <text>
        <t>추정: 전분기 + FCF 근사 — 순차입금 롤과 같은 가정
[qoq]</t>
      </text>
    </comment>
    <comment ref="AL28" authorId="0" shapeId="0">
      <text>
        <t>추정: 전분기 + FCF 근사 — 순차입금 롤과 같은 가정
[qoq]</t>
      </text>
    </comment>
    <comment ref="AM28" authorId="0" shapeId="0">
      <text>
        <t>추정: 전분기 + FCF 근사 — 순차입금 롤과 같은 가정
[qoq]</t>
      </text>
    </comment>
    <comment ref="AN28" authorId="0" shapeId="0">
      <text>
        <t>추정: 전분기 + FCF 근사 — 순차입금 롤과 같은 가정
[qoq]</t>
      </text>
    </comment>
    <comment ref="AC30" authorId="0" shapeId="0">
      <text>
        <t>추정: 최근 4분기(2025Q3~2026Q2) CAPEX 중위 유지 — 순차입금 롤에 미반영(감가상각비 없음 → CAPEX≈감가 가정)
[yoy]</t>
      </text>
    </comment>
    <comment ref="AD30" authorId="0" shapeId="0">
      <text>
        <t>추정: 최근 4분기(2025Q3~2026Q2) CAPEX 중위 유지 — 순차입금 롤에 미반영(감가상각비 없음 → CAPEX≈감가 가정)
[yoy]</t>
      </text>
    </comment>
    <comment ref="AF30" authorId="0" shapeId="0">
      <text>
        <t>추정: 최근 4분기(2025Q3~2026Q2) CAPEX 중위 유지 — 순차입금 롤에 미반영(감가상각비 없음 → CAPEX≈감가 가정)
[yoy]</t>
      </text>
    </comment>
    <comment ref="AG30" authorId="0" shapeId="0">
      <text>
        <t>추정: 최근 4분기(2025Q3~2026Q2) CAPEX 중위 유지 — 순차입금 롤에 미반영(감가상각비 없음 → CAPEX≈감가 가정)
[yoy]</t>
      </text>
    </comment>
    <comment ref="AH30" authorId="0" shapeId="0">
      <text>
        <t>추정: 최근 4분기(2025Q3~2026Q2) CAPEX 중위 유지 — 순차입금 롤에 미반영(감가상각비 없음 → CAPEX≈감가 가정)
[yoy]</t>
      </text>
    </comment>
    <comment ref="AI30" authorId="0" shapeId="0">
      <text>
        <t>추정: 최근 4분기(2025Q3~2026Q2) CAPEX 중위 유지 — 순차입금 롤에 미반영(감가상각비 없음 → CAPEX≈감가 가정)
[yoy]</t>
      </text>
    </comment>
    <comment ref="AK30" authorId="0" shapeId="0">
      <text>
        <t>추정: 최근 4분기(2025Q3~2026Q2) CAPEX 중위 유지 — 순차입금 롤에 미반영(감가상각비 없음 → CAPEX≈감가 가정)
[yoy]</t>
      </text>
    </comment>
    <comment ref="AL30" authorId="0" shapeId="0">
      <text>
        <t>추정: 최근 4분기(2025Q3~2026Q2) CAPEX 중위 유지 — 순차입금 롤에 미반영(감가상각비 없음 → CAPEX≈감가 가정)
[yoy]</t>
      </text>
    </comment>
    <comment ref="AM30" authorId="0" shapeId="0">
      <text>
        <t>추정: 최근 4분기(2025Q3~2026Q2) CAPEX 중위 유지 — 순차입금 롤에 미반영(감가상각비 없음 → CAPEX≈감가 가정)
[yoy]</t>
      </text>
    </comment>
    <comment ref="AN30" authorId="0" shapeId="0">
      <text>
        <t>추정: 최근 4분기(2025Q3~2026Q2) CAPEX 중위 유지 — 순차입금 롤에 미반영(감가상각비 없음 → CAPEX≈감가 가정)
[yoy]</t>
      </text>
    </comment>
    <comment ref="E32" authorId="0" shapeId="0">
      <text>
        <t>실측(계정 매핑 없음(파생·부문·시세 행) — 모델값 직접) — fin.shares.common_outstanding</t>
      </text>
    </comment>
    <comment ref="G32" authorId="0" shapeId="0">
      <text>
        <t>실측(계정 매핑 없음(파생·부문·시세 행) — 모델값 직접) — fin.shares.common_outstanding</t>
      </text>
    </comment>
    <comment ref="H32" authorId="0" shapeId="0">
      <text>
        <t>실측(계정 매핑 없음(파생·부문·시세 행) — 모델값 직접) — fin.shares.common_outstanding</t>
      </text>
    </comment>
    <comment ref="I32" authorId="0" shapeId="0">
      <text>
        <t>실측(계정 매핑 없음(파생·부문·시세 행) — 모델값 직접) — fin.shares.common_outstanding</t>
      </text>
    </comment>
    <comment ref="J32" authorId="0" shapeId="0">
      <text>
        <t>실측(계정 매핑 없음(파생·부문·시세 행) — 모델값 직접) — fin.shares.common_outstanding</t>
      </text>
    </comment>
    <comment ref="L32" authorId="0" shapeId="0">
      <text>
        <t>실측(계정 매핑 없음(파생·부문·시세 행) — 모델값 직접) — fin.shares.common_outstanding</t>
      </text>
    </comment>
    <comment ref="M32" authorId="0" shapeId="0">
      <text>
        <t>실측(계정 매핑 없음(파생·부문·시세 행) — 모델값 직접) — fin.shares.common_outstanding</t>
      </text>
    </comment>
    <comment ref="N32" authorId="0" shapeId="0">
      <text>
        <t>실측(계정 매핑 없음(파생·부문·시세 행) — 모델값 직접) — fin.shares.common_outstanding</t>
      </text>
    </comment>
    <comment ref="O32" authorId="0" shapeId="0">
      <text>
        <t>실측(계정 매핑 없음(파생·부문·시세 행) — 모델값 직접) — fin.shares.common_outstanding</t>
      </text>
    </comment>
    <comment ref="Q32" authorId="0" shapeId="0">
      <text>
        <t>실측(계정 매핑 없음(파생·부문·시세 행) — 모델값 직접) — fin.shares.common_outstanding</t>
      </text>
    </comment>
    <comment ref="R32" authorId="0" shapeId="0">
      <text>
        <t>실측(계정 매핑 없음(파생·부문·시세 행) — 모델값 직접) — fin.shares.common_outstanding</t>
      </text>
    </comment>
    <comment ref="S32" authorId="0" shapeId="0">
      <text>
        <t>실측(계정 매핑 없음(파생·부문·시세 행) — 모델값 직접) — fin.shares.common_outstanding</t>
      </text>
    </comment>
    <comment ref="T32" authorId="0" shapeId="0">
      <text>
        <t>실측(계정 매핑 없음(파생·부문·시세 행) — 모델값 직접) — fin.shares.common_outstanding</t>
      </text>
    </comment>
    <comment ref="V32" authorId="0" shapeId="0">
      <text>
        <t>실측(계정 매핑 없음(파생·부문·시세 행) — 모델값 직접) — fin.shares.common_outstanding</t>
      </text>
    </comment>
    <comment ref="W32" authorId="0" shapeId="0">
      <text>
        <t>실측(계정 매핑 없음(파생·부문·시세 행) — 모델값 직접) — fin.shares.common_outstanding</t>
      </text>
    </comment>
    <comment ref="X32" authorId="0" shapeId="0">
      <text>
        <t>실측(계정 매핑 없음(파생·부문·시세 행) — 모델값 직접) — fin.shares.common_outstanding</t>
      </text>
    </comment>
    <comment ref="Y32" authorId="0" shapeId="0">
      <text>
        <t>실측(계정 매핑 없음(파생·부문·시세 행) — 모델값 직접) — fin.shares.common_outstanding</t>
      </text>
    </comment>
    <comment ref="AA32" authorId="0" shapeId="0">
      <text>
        <t>실측(계정 매핑 없음(파생·부문·시세 행) — 모델값 직접) — fin.shares.common_outstanding</t>
      </text>
    </comment>
    <comment ref="AB32" authorId="0" shapeId="0">
      <text>
        <t>실측(계정 매핑 없음(파생·부문·시세 행) — 모델값 직접) — fin.shares.common_outstanding</t>
      </text>
    </comment>
    <comment ref="AC32" authorId="0" shapeId="0">
      <text>
        <t>추정: 유통주식수 유지 — fin.shares.common_outstanding(2026Q2)
[qoq]</t>
      </text>
    </comment>
    <comment ref="AD32" authorId="0" shapeId="0">
      <text>
        <t>추정: 유통주식수 유지 — fin.shares.common_outstanding(2026Q2)
[qoq]</t>
      </text>
    </comment>
    <comment ref="AF32" authorId="0" shapeId="0">
      <text>
        <t>추정: 유통주식수 유지 — fin.shares.common_outstanding(2026Q2)
[qoq]</t>
      </text>
    </comment>
    <comment ref="AG32" authorId="0" shapeId="0">
      <text>
        <t>추정: 유통주식수 유지 — fin.shares.common_outstanding(2026Q2)
[qoq]</t>
      </text>
    </comment>
    <comment ref="AH32" authorId="0" shapeId="0">
      <text>
        <t>추정: 유통주식수 유지 — fin.shares.common_outstanding(2026Q2)
[qoq]</t>
      </text>
    </comment>
    <comment ref="AI32" authorId="0" shapeId="0">
      <text>
        <t>추정: 유통주식수 유지 — fin.shares.common_outstanding(2026Q2)
[qoq]</t>
      </text>
    </comment>
    <comment ref="AK32" authorId="0" shapeId="0">
      <text>
        <t>추정: 유통주식수 유지 — fin.shares.common_outstanding(2026Q2)
[qoq]</t>
      </text>
    </comment>
    <comment ref="AL32" authorId="0" shapeId="0">
      <text>
        <t>추정: 유통주식수 유지 — fin.shares.common_outstanding(2026Q2)
[qoq]</t>
      </text>
    </comment>
    <comment ref="AM32" authorId="0" shapeId="0">
      <text>
        <t>추정: 유통주식수 유지 — fin.shares.common_outstanding(2026Q2)
[qoq]</t>
      </text>
    </comment>
    <comment ref="AN32" authorId="0" shapeId="0">
      <text>
        <t>추정: 유통주식수 유지 — fin.shares.common_outstanding(2026Q2)
[qoq]</t>
      </text>
    </comment>
    <comment ref="AC33" authorId="0" shapeId="0">
      <text>
        <t>추정: 지배주주순이익 ÷ 유통주식수
[per_share]</t>
      </text>
    </comment>
    <comment ref="AD33" authorId="0" shapeId="0">
      <text>
        <t>추정: 지배주주순이익 ÷ 유통주식수
[per_share]</t>
      </text>
    </comment>
    <comment ref="AF33" authorId="0" shapeId="0">
      <text>
        <t>추정: 지배주주순이익 ÷ 유통주식수
[per_share]</t>
      </text>
    </comment>
    <comment ref="AG33" authorId="0" shapeId="0">
      <text>
        <t>추정: 지배주주순이익 ÷ 유통주식수
[per_share]</t>
      </text>
    </comment>
    <comment ref="AH33" authorId="0" shapeId="0">
      <text>
        <t>추정: 지배주주순이익 ÷ 유통주식수
[per_share]</t>
      </text>
    </comment>
    <comment ref="AI33" authorId="0" shapeId="0">
      <text>
        <t>추정: 지배주주순이익 ÷ 유통주식수
[per_share]</t>
      </text>
    </comment>
    <comment ref="AK33" authorId="0" shapeId="0">
      <text>
        <t>추정: 지배주주순이익 ÷ 유통주식수
[per_share]</t>
      </text>
    </comment>
    <comment ref="AL33" authorId="0" shapeId="0">
      <text>
        <t>추정: 지배주주순이익 ÷ 유통주식수
[per_share]</t>
      </text>
    </comment>
    <comment ref="AM33" authorId="0" shapeId="0">
      <text>
        <t>추정: 지배주주순이익 ÷ 유통주식수
[per_share]</t>
      </text>
    </comment>
    <comment ref="AN33" authorId="0" shapeId="0">
      <text>
        <t>추정: 지배주주순이익 ÷ 유통주식수
[per_share]</t>
      </text>
    </comment>
    <comment ref="AC34" authorId="0" shapeId="0">
      <text>
        <t>추정: 지배주주지분 ÷ 유통주식수
[per_share]</t>
      </text>
    </comment>
    <comment ref="AD34" authorId="0" shapeId="0">
      <text>
        <t>추정: 지배주주지분 ÷ 유통주식수
[per_share]</t>
      </text>
    </comment>
    <comment ref="AF34" authorId="0" shapeId="0">
      <text>
        <t>추정: 지배주주지분 ÷ 유통주식수
[per_share]</t>
      </text>
    </comment>
    <comment ref="AG34" authorId="0" shapeId="0">
      <text>
        <t>추정: 지배주주지분 ÷ 유통주식수
[per_share]</t>
      </text>
    </comment>
    <comment ref="AH34" authorId="0" shapeId="0">
      <text>
        <t>추정: 지배주주지분 ÷ 유통주식수
[per_share]</t>
      </text>
    </comment>
    <comment ref="AI34" authorId="0" shapeId="0">
      <text>
        <t>추정: 지배주주지분 ÷ 유통주식수
[per_share]</t>
      </text>
    </comment>
    <comment ref="AK34" authorId="0" shapeId="0">
      <text>
        <t>추정: 지배주주지분 ÷ 유통주식수
[per_share]</t>
      </text>
    </comment>
    <comment ref="AL34" authorId="0" shapeId="0">
      <text>
        <t>추정: 지배주주지분 ÷ 유통주식수
[per_share]</t>
      </text>
    </comment>
    <comment ref="AM34" authorId="0" shapeId="0">
      <text>
        <t>추정: 지배주주지분 ÷ 유통주식수
[per_share]</t>
      </text>
    </comment>
    <comment ref="AN34" authorId="0" shapeId="0">
      <text>
        <t>추정: 지배주주지분 ÷ 유통주식수
[per_share]</t>
      </text>
    </comment>
    <comment ref="E35" authorId="0" shapeId="0">
      <text>
        <t>실측(계정 매핑 없음(파생·부문·시세 행) — 모델값 직접) — fin.dividend.dps_common(연간, Q4 에 표기)</t>
      </text>
    </comment>
    <comment ref="F35" authorId="0" shapeId="0">
      <text>
        <t>연간(actual) — 분기 미완 연도, 모델 a 값 직접</t>
      </text>
    </comment>
    <comment ref="J35" authorId="0" shapeId="0">
      <text>
        <t>실측(계정 매핑 없음(파생·부문·시세 행) — 모델값 직접) — fin.dividend.dps_common(연간, Q4 에 표기)</t>
      </text>
    </comment>
    <comment ref="O35" authorId="0" shapeId="0">
      <text>
        <t>실측(계정 매핑 없음(파생·부문·시세 행) — 모델값 직접) — fin.dividend.dps_common(연간, Q4 에 표기)</t>
      </text>
    </comment>
    <comment ref="T35" authorId="0" shapeId="0">
      <text>
        <t>실측(계정 매핑 없음(파생·부문·시세 행) — 모델값 직접) — fin.dividend.dps_common(연간, Q4 에 표기)</t>
      </text>
    </comment>
    <comment ref="Y35" authorId="0" shapeId="0">
      <text>
        <t>실측(계정 매핑 없음(파생·부문·시세 행) — 모델값 직접) — fin.dividend.dps_common(연간, Q4 에 표기)</t>
      </text>
    </comment>
    <comment ref="AD35" authorId="0" shapeId="0">
      <text>
        <t>추정: 직전 결산 DPS 0원 유지
[abs]</t>
      </text>
    </comment>
    <comment ref="AI35" authorId="0" shapeId="0">
      <text>
        <t>추정: 직전 결산 DPS 0원 유지
[abs]</t>
      </text>
    </comment>
    <comment ref="AN35" authorId="0" shapeId="0">
      <text>
        <t>추정: 직전 결산 DPS 0원 유지
[abs]</t>
      </text>
    </comment>
    <comment ref="AC36" authorId="0" shapeId="0">
      <text>
        <t>추정: 현재 종가 ÷ TTM EPS(추정 포함)
[valuation]</t>
      </text>
    </comment>
    <comment ref="AD36" authorId="0" shapeId="0">
      <text>
        <t>추정: 현재 종가 ÷ TTM EPS(추정 포함)
[valuation]</t>
      </text>
    </comment>
    <comment ref="AF36" authorId="0" shapeId="0">
      <text>
        <t>추정: 현재 종가 ÷ TTM EPS(추정 포함)
[valuation]</t>
      </text>
    </comment>
    <comment ref="AG36" authorId="0" shapeId="0">
      <text>
        <t>추정: 현재 종가 ÷ TTM EPS(추정 포함)
[valuation]</t>
      </text>
    </comment>
    <comment ref="AH36" authorId="0" shapeId="0">
      <text>
        <t>추정: 현재 종가 ÷ TTM EPS(추정 포함)
[valuation]</t>
      </text>
    </comment>
    <comment ref="AI36" authorId="0" shapeId="0">
      <text>
        <t>추정: 현재 종가 ÷ TTM EPS(추정 포함)
[valuation]</t>
      </text>
    </comment>
    <comment ref="AK36" authorId="0" shapeId="0">
      <text>
        <t>추정: 현재 종가 ÷ TTM EPS(추정 포함)
[valuation]</t>
      </text>
    </comment>
    <comment ref="AL36" authorId="0" shapeId="0">
      <text>
        <t>추정: 현재 종가 ÷ TTM EPS(추정 포함)
[valuation]</t>
      </text>
    </comment>
    <comment ref="AM36" authorId="0" shapeId="0">
      <text>
        <t>추정: 현재 종가 ÷ TTM EPS(추정 포함)
[valuation]</t>
      </text>
    </comment>
    <comment ref="AN36" authorId="0" shapeId="0">
      <text>
        <t>추정: 현재 종가 ÷ TTM EPS(추정 포함)
[valuation]</t>
      </text>
    </comment>
    <comment ref="AC37" authorId="0" shapeId="0">
      <text>
        <t>추정: 현재 종가 ÷ BPS(추정 포함)
[valuation]</t>
      </text>
    </comment>
    <comment ref="AD37" authorId="0" shapeId="0">
      <text>
        <t>추정: 현재 종가 ÷ BPS(추정 포함)
[valuation]</t>
      </text>
    </comment>
    <comment ref="AF37" authorId="0" shapeId="0">
      <text>
        <t>추정: 현재 종가 ÷ BPS(추정 포함)
[valuation]</t>
      </text>
    </comment>
    <comment ref="AG37" authorId="0" shapeId="0">
      <text>
        <t>추정: 현재 종가 ÷ BPS(추정 포함)
[valuation]</t>
      </text>
    </comment>
    <comment ref="AH37" authorId="0" shapeId="0">
      <text>
        <t>추정: 현재 종가 ÷ BPS(추정 포함)
[valuation]</t>
      </text>
    </comment>
    <comment ref="AI37" authorId="0" shapeId="0">
      <text>
        <t>추정: 현재 종가 ÷ BPS(추정 포함)
[valuation]</t>
      </text>
    </comment>
    <comment ref="AK37" authorId="0" shapeId="0">
      <text>
        <t>추정: 현재 종가 ÷ BPS(추정 포함)
[valuation]</t>
      </text>
    </comment>
    <comment ref="AL37" authorId="0" shapeId="0">
      <text>
        <t>추정: 현재 종가 ÷ BPS(추정 포함)
[valuation]</t>
      </text>
    </comment>
    <comment ref="AM37" authorId="0" shapeId="0">
      <text>
        <t>추정: 현재 종가 ÷ BPS(추정 포함)
[valuation]</t>
      </text>
    </comment>
    <comment ref="AN37" authorId="0" shapeId="0">
      <text>
        <t>추정: 현재 종가 ÷ BPS(추정 포함)
[valuation]</t>
      </text>
    </comment>
    <comment ref="G38" authorId="0" shapeId="0">
      <text>
        <t>실측(계정 매핑 없음(파생·부문·시세 행) — 모델값 직접) — sls.reconcile.reported_segment_rev_m ← yards_cache 부문표(3개월분)</t>
      </text>
    </comment>
    <comment ref="H38" authorId="0" shapeId="0">
      <text>
        <t>실측(계정 매핑 없음(파생·부문·시세 행) — 모델값 직접) — sls.reconcile.reported_segment_rev_m ← yards_cache 부문표(3개월분)</t>
      </text>
    </comment>
    <comment ref="I38" authorId="0" shapeId="0">
      <text>
        <t>실측(계정 매핑 없음(파생·부문·시세 행) — 모델값 직접) — sls.reconcile.reported_segment_rev_m ← yards_cache 부문표(3개월분)</t>
      </text>
    </comment>
    <comment ref="J38" authorId="0" shapeId="0">
      <text>
        <t>실측(계정 매핑 없음(파생·부문·시세 행) — 모델값 직접) — sls.reconcile.reported_segment_rev_m ← yards_cache 부문표(3개월분)</t>
      </text>
    </comment>
    <comment ref="L38" authorId="0" shapeId="0">
      <text>
        <t>실측(계정 매핑 없음(파생·부문·시세 행) — 모델값 직접) — sls.reconcile.reported_segment_rev_m ← yards_cache 부문표(3개월분)</t>
      </text>
    </comment>
    <comment ref="M38" authorId="0" shapeId="0">
      <text>
        <t>실측(계정 매핑 없음(파생·부문·시세 행) — 모델값 직접) — sls.reconcile.reported_segment_rev_m ← yards_cache 부문표(3개월분)</t>
      </text>
    </comment>
    <comment ref="N38" authorId="0" shapeId="0">
      <text>
        <t>실측(계정 매핑 없음(파생·부문·시세 행) — 모델값 직접) — sls.reconcile.reported_segment_rev_m ← yards_cache 부문표(3개월분)</t>
      </text>
    </comment>
    <comment ref="O38" authorId="0" shapeId="0">
      <text>
        <t>실측(계정 매핑 없음(파생·부문·시세 행) — 모델값 직접) — sls.reconcile.reported_segment_rev_m ← yards_cache 부문표(3개월분)</t>
      </text>
    </comment>
    <comment ref="Q38" authorId="0" shapeId="0">
      <text>
        <t>실측(계정 매핑 없음(파생·부문·시세 행) — 모델값 직접) — sls.reconcile.reported_segment_rev_m ← yards_cache 부문표(3개월분)</t>
      </text>
    </comment>
    <comment ref="R38" authorId="0" shapeId="0">
      <text>
        <t>실측(계정 매핑 없음(파생·부문·시세 행) — 모델값 직접) — sls.reconcile.reported_segment_rev_m ← yards_cache 부문표(3개월분)</t>
      </text>
    </comment>
    <comment ref="S38" authorId="0" shapeId="0">
      <text>
        <t>실측(계정 매핑 없음(파생·부문·시세 행) — 모델값 직접) — sls.reconcile.reported_segment_rev_m ← yards_cache 부문표(3개월분)</t>
      </text>
    </comment>
    <comment ref="T38" authorId="0" shapeId="0">
      <text>
        <t>실측(계정 매핑 없음(파생·부문·시세 행) — 모델값 직접) — sls.reconcile.reported_segment_rev_m ← yards_cache 부문표(3개월분)</t>
      </text>
    </comment>
    <comment ref="V38" authorId="0" shapeId="0">
      <text>
        <t>실측(계정 매핑 없음(파생·부문·시세 행) — 모델값 직접) — sls.reconcile.reported_segment_rev_m ← yards_cache 부문표(3개월분)</t>
      </text>
    </comment>
    <comment ref="W38" authorId="0" shapeId="0">
      <text>
        <t>실측(계정 매핑 없음(파생·부문·시세 행) — 모델값 직접) — sls.reconcile.reported_segment_rev_m ← yards_cache 부문표(3개월분)</t>
      </text>
    </comment>
    <comment ref="X38" authorId="0" shapeId="0">
      <text>
        <t>실측(계정 매핑 없음(파생·부문·시세 행) — 모델값 직접) — sls.reconcile.reported_segment_rev_m ← yards_cache 부문표(3개월분)</t>
      </text>
    </comment>
    <comment ref="Y38" authorId="0" shapeId="0">
      <text>
        <t>실측(계정 매핑 없음(파생·부문·시세 행) — 모델값 직접) — sls.reconcile.reported_segment_rev_m ← yards_cache 부문표(3개월분)</t>
      </text>
    </comment>
    <comment ref="AA38" authorId="0" shapeId="0">
      <text>
        <t>실측(계정 매핑 없음(파생·부문·시세 행) — 모델값 직접) — sls.reconcile.reported_segment_rev_m ← yards_cache 부문표(3개월분)</t>
      </text>
    </comment>
    <comment ref="AB38" authorId="0" shapeId="0">
      <text>
        <t>실측(계정 매핑 없음(파생·부문·시세 행) — 모델값 직접) — sls.reconcile.reported_segment_rev_m ← yards_cache 부문표(3개월분)</t>
      </text>
    </comment>
    <comment ref="AC38" authorId="0" shapeId="0">
      <text>
        <t>추정: SLS 해양 원화 14723억(sls.by_quarter.marine_hedged_krw_m(헤지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169302억) + 신규수주 매출 0억(forecast_panel.json.gz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1298억 유지(패널 신규수주 체결 분기별 상계, net_panel)
[sls_link]</t>
      </text>
    </comment>
    <comment ref="AD38" authorId="0" shapeId="0">
      <text>
        <t>추정: SLS 해양 원화 15445억(sls.by_quarter.marine_hedged_krw_m(헤지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143141억) + 신규수주 매출 0억(forecast_panel.json.gz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3042억 유지(패널 신규수주 체결 분기별 상계, net_panel)
[sls_link]</t>
      </text>
    </comment>
    <comment ref="AF38" authorId="0" shapeId="0">
      <text>
        <t>추정: SLS 해양 원화 14327억(sls.by_quarter.marine_hedged_krw_m(헤지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116980억) + 신규수주 매출 525억(forecast_panel.json.gz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2970억 유지(패널 신규수주 체결 분기별 상계, net_panel)
[sls_link]</t>
      </text>
    </comment>
    <comment ref="AG38" authorId="0" shapeId="0">
      <text>
        <t>추정: SLS 해양 원화 14049억(sls.by_quarter.marine_hedged_krw_m(헤지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90819억) + 신규수주 매출 1990억(forecast_panel.json.gz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3003억 유지(패널 신규수주 체결 분기별 상계, net_panel)
[sls_link]</t>
      </text>
    </comment>
    <comment ref="AH38" authorId="0" shapeId="0">
      <text>
        <t>추정: SLS 해양 원화 14138억(sls.by_quarter.marine_hedged_krw_m(헤지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64658억) + 신규수주 매출 4224억(forecast_panel.json.gz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3036억 유지(패널 신규수주 체결 분기별 상계, net_panel)
[sls_link]</t>
      </text>
    </comment>
    <comment ref="AI38" authorId="0" shapeId="0">
      <text>
        <t>추정: SLS 해양 원화 14002억(sls.by_quarter.marine_hedged_krw_m(헤지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38497억) + 신규수주 매출 7061억(forecast_panel.json.gz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3036억 유지(패널 신규수주 체결 분기별 상계, net_panel)
[sls_link]</t>
      </text>
    </comment>
    <comment ref="AK38" authorId="0" shapeId="0">
      <text>
        <t>추정: SLS 해양 원화 13850억(sls.by_quarter.marine_hedged_krw_m(헤지 17% 적용; origin 2026Q2 이후 체결 6건 SLS 유지 — 패널 신규수주와 체결 분기별 상계(net_panel), 패널 범위 밖 NAVAL 8,380억은 상계 안 함)) + 원장 밖 잔고 소진 26161억(최근 4분기 '부문매출−SLS' 중위 26161억/분기, 잔여 12336억) + 신규수주 매출 10333억(forecast_panel.json.gz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3003억 유지(패널 신규수주 체결 분기별 상계, net_panel)
[sls_link]</t>
      </text>
    </comment>
    <comment ref="AL38" authorId="0" shapeId="0">
      <text>
        <t>추정: SLS 해양 원화 13155억(sls.by_quarter.marine_hedged_krw_m(헤지 17% 적용; origin 2026Q2 이후 체결 6건 SLS 유지 — 패널 신규수주와 체결 분기별 상계(net_panel), 패널 범위 밖 NAVAL 8,380억은 상계 안 함)) + 원장 밖 잔고 소진 12336억(최근 4분기 '부문매출−SLS' 중위 26161억/분기, 잔여 0억) + 신규수주 매출 13870억(forecast_panel.json.gz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3003억 유지(패널 신규수주 체결 분기별 상계, net_panel)
[sls_link]</t>
      </text>
    </comment>
    <comment ref="AM38" authorId="0" shapeId="0">
      <text>
        <t>추정: SLS 해양 원화 12559억(sls.by_quarter.marine_hedged_krw_m(헤지 17% 적용; origin 2026Q2 이후 체결 6건 SLS 유지 — 패널 신규수주와 체결 분기별 상계(net_panel), 패널 범위 밖 NAVAL 8,380억은 상계 안 함)) + 원장 밖 잔고 소진 0억(최근 4분기 '부문매출−SLS' 중위 26161억/분기, 잔여 0억) + 신규수주 매출 17505억(forecast_panel.json.gz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3036억 유지(패널 신규수주 체결 분기별 상계, net_panel)
[sls_link]</t>
      </text>
    </comment>
    <comment ref="AN38" authorId="0" shapeId="0">
      <text>
        <t>추정: SLS 해양 원화 12359억(sls.by_quarter.marine_hedged_krw_m(헤지 17% 적용; origin 2026Q2 이후 체결 6건 SLS 유지 — 패널 신규수주와 체결 분기별 상계(net_panel), 패널 범위 밖 NAVAL 8,380억은 상계 안 함)) + 원장 밖 잔고 소진 0억(최근 4분기 '부문매출−SLS' 중위 26161억/분기, 잔여 0억) + 신규수주 매출 21070억(forecast_panel.json.gz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0억)) · origin 이후 공시 수주 SLS 3036억 유지(패널 신규수주 체결 분기별 상계, net_panel)
[sls_link]</t>
      </text>
    </comment>
    <comment ref="AA39" authorId="0" shapeId="0">
      <text>
        <t>추정(실적 구간 갭필): 정의상 0 — origin 2026Q2 이전 실적 분기, origin 이후 신규수주 매출(fin 값 아님)</t>
      </text>
    </comment>
    <comment ref="AB39" authorId="0" shapeId="0">
      <text>
        <t>추정(실적 구간 갭필): 정의상 0 — origin 2026Q2 이전 실적 분기, origin 이후 신규수주 매출(fin 값 아님)</t>
      </text>
    </comment>
    <comment ref="AC39" authorId="0" shapeId="0">
      <text>
        <t>추정: 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
[abs]</t>
      </text>
    </comment>
    <comment ref="AD39" authorId="0" shapeId="0">
      <text>
        <t>추정: 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
[abs]</t>
      </text>
    </comment>
    <comment ref="AF39" authorId="0" shapeId="0">
      <text>
        <t>추정: 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
[abs]</t>
      </text>
    </comment>
    <comment ref="AG39" authorId="0" shapeId="0">
      <text>
        <t>추정: 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
[abs]</t>
      </text>
    </comment>
    <comment ref="AH39" authorId="0" shapeId="0">
      <text>
        <t>추정: 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
[abs]</t>
      </text>
    </comment>
    <comment ref="AI39" authorId="0" shapeId="0">
      <text>
        <t>추정: 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
[abs]</t>
      </text>
    </comment>
    <comment ref="AK39" authorId="0" shapeId="0">
      <text>
        <t>추정: 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
[abs]</t>
      </text>
    </comment>
    <comment ref="AL39" authorId="0" shapeId="0">
      <text>
        <t>추정: 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
[abs]</t>
      </text>
    </comment>
    <comment ref="AM39" authorId="0" shapeId="0">
      <text>
        <t>추정: 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
[abs]</t>
      </text>
    </comment>
    <comment ref="AN39" authorId="0" shapeId="0">
      <text>
        <t>추정: forecast_panel.json.gz scenarios.base covered_scope_new_revenue(KRW_million÷100), status partial, calibrated=false, book-value proxy; ※폴백 — 패널이 전범위 new_order_revenue 를 비워(book_value_only, scope_unverified, insufficient_segment_history, insufficient_burn_history, insufficient_order_history, negative_net_inflow) 모델 대상 부문(상선·기타, 제외 EP및특수선)만 덮는 covered_scope_new_revenue 사용 · 저신뢰; 출처 사슬 new_order_revenue→covered_scope_new_revenue→ledger_signing_rate; origin 이후 공시 수주 체결 분기별 상계(net_panel: 2026Q3 패널 31,967억 − 공시 36,327억(범위 밖 8,380억 제외) = 0억) — 매출조선에 포함(합산 금지)
[abs]</t>
      </text>
    </comment>
    <comment ref="AC40" authorId="0" shapeId="0">
      <text>
        <t>추정: 매출조선 × 타겟 OPM(부문 OP 미공시 → 회사 OPM 적용; 신규수주분 포함)
[ratio]</t>
      </text>
    </comment>
    <comment ref="AD40" authorId="0" shapeId="0">
      <text>
        <t>추정: 매출조선 × 타겟 OPM(부문 OP 미공시 → 회사 OPM 적용; 신규수주분 포함)
[ratio]</t>
      </text>
    </comment>
    <comment ref="AF40" authorId="0" shapeId="0">
      <text>
        <t>추정: 매출조선 × 타겟 OPM(부문 OP 미공시 → 회사 OPM 적용; 신규수주분 포함)
[ratio]</t>
      </text>
    </comment>
    <comment ref="AG40" authorId="0" shapeId="0">
      <text>
        <t>추정: 매출조선 × 타겟 OPM(부문 OP 미공시 → 회사 OPM 적용; 신규수주분 포함)
[ratio]</t>
      </text>
    </comment>
    <comment ref="AH40" authorId="0" shapeId="0">
      <text>
        <t>추정: 매출조선 × 타겟 OPM(부문 OP 미공시 → 회사 OPM 적용; 신규수주분 포함)
[ratio]</t>
      </text>
    </comment>
    <comment ref="AI40" authorId="0" shapeId="0">
      <text>
        <t>추정: 매출조선 × 타겟 OPM(부문 OP 미공시 → 회사 OPM 적용; 신규수주분 포함)
[ratio]</t>
      </text>
    </comment>
    <comment ref="AK40" authorId="0" shapeId="0">
      <text>
        <t>추정: 매출조선 × 타겟 OPM(부문 OP 미공시 → 회사 OPM 적용; 신규수주분 포함)
[ratio]</t>
      </text>
    </comment>
    <comment ref="AL40" authorId="0" shapeId="0">
      <text>
        <t>추정: 매출조선 × 타겟 OPM(부문 OP 미공시 → 회사 OPM 적용; 신규수주분 포함)
[ratio]</t>
      </text>
    </comment>
    <comment ref="AM40" authorId="0" shapeId="0">
      <text>
        <t>추정: 매출조선 × 타겟 OPM(부문 OP 미공시 → 회사 OPM 적용; 신규수주분 포함)
[ratio]</t>
      </text>
    </comment>
    <comment ref="AN40" authorId="0" shapeId="0">
      <text>
        <t>추정: 매출조선 × 타겟 OPM(부문 OP 미공시 → 회사 OPM 적용; 신규수주분 포함)
[ratio]</t>
      </text>
    </comment>
    <comment ref="AA41" authorId="0" shapeId="0">
      <text>
        <t>추정(실적 구간 갭필): 정의상 0 — origin 2026Q2 이전 실적 분기(fin 값 아님)</t>
      </text>
    </comment>
    <comment ref="AB41" authorId="0" shapeId="0">
      <text>
        <t>추정(실적 구간 갭필): 정의상 0 — origin 2026Q2 이전 실적 분기(fin 값 아님)</t>
      </text>
    </comment>
    <comment ref="AC41" authorId="0" shapeId="0">
      <text>
        <t>추정: 매출조선신규 × 타겟 OPM(신규분에도 같은 타겟) — OP조선에 포함
[ratio_parent]</t>
      </text>
    </comment>
    <comment ref="AD41" authorId="0" shapeId="0">
      <text>
        <t>추정: 매출조선신규 × 타겟 OPM(신규분에도 같은 타겟) — OP조선에 포함
[ratio_parent]</t>
      </text>
    </comment>
    <comment ref="AF41" authorId="0" shapeId="0">
      <text>
        <t>추정: 매출조선신규 × 타겟 OPM(신규분에도 같은 타겟) — OP조선에 포함
[ratio_parent]</t>
      </text>
    </comment>
    <comment ref="AG41" authorId="0" shapeId="0">
      <text>
        <t>추정: 매출조선신규 × 타겟 OPM(신규분에도 같은 타겟) — OP조선에 포함
[ratio_parent]</t>
      </text>
    </comment>
    <comment ref="AH41" authorId="0" shapeId="0">
      <text>
        <t>추정: 매출조선신규 × 타겟 OPM(신규분에도 같은 타겟) — OP조선에 포함
[ratio_parent]</t>
      </text>
    </comment>
    <comment ref="AI41" authorId="0" shapeId="0">
      <text>
        <t>추정: 매출조선신규 × 타겟 OPM(신규분에도 같은 타겟) — OP조선에 포함
[ratio_parent]</t>
      </text>
    </comment>
    <comment ref="AK41" authorId="0" shapeId="0">
      <text>
        <t>추정: 매출조선신규 × 타겟 OPM(신규분에도 같은 타겟) — OP조선에 포함
[ratio_parent]</t>
      </text>
    </comment>
    <comment ref="AL41" authorId="0" shapeId="0">
      <text>
        <t>추정: 매출조선신규 × 타겟 OPM(신규분에도 같은 타겟) — OP조선에 포함
[ratio_parent]</t>
      </text>
    </comment>
    <comment ref="AM41" authorId="0" shapeId="0">
      <text>
        <t>추정: 매출조선신규 × 타겟 OPM(신규분에도 같은 타겟) — OP조선에 포함
[ratio_parent]</t>
      </text>
    </comment>
    <comment ref="AN41" authorId="0" shapeId="0">
      <text>
        <t>추정: 매출조선신규 × 타겟 OPM(신규분에도 같은 타겟) — OP조선에 포함
[ratio_parent]</t>
      </text>
    </comment>
    <comment ref="G42" authorId="0" shapeId="0">
      <text>
        <t>실측(계정 매핑 없음(파생·부문·시세 행) — 모델값 직접) — 연결 매출 − 조선 부문(파생)</t>
      </text>
    </comment>
    <comment ref="H42" authorId="0" shapeId="0">
      <text>
        <t>실측(계정 매핑 없음(파생·부문·시세 행) — 모델값 직접) — 연결 매출 − 조선 부문(파생)</t>
      </text>
    </comment>
    <comment ref="I42" authorId="0" shapeId="0">
      <text>
        <t>실측(계정 매핑 없음(파생·부문·시세 행) — 모델값 직접) — 연결 매출 − 조선 부문(파생)</t>
      </text>
    </comment>
    <comment ref="J42" authorId="0" shapeId="0">
      <text>
        <t>실측(계정 매핑 없음(파생·부문·시세 행) — 모델값 직접) — 연결 매출 − 조선 부문(파생)</t>
      </text>
    </comment>
    <comment ref="L42" authorId="0" shapeId="0">
      <text>
        <t>실측(계정 매핑 없음(파생·부문·시세 행) — 모델값 직접) — 연결 매출 − 조선 부문(파생)</t>
      </text>
    </comment>
    <comment ref="M42" authorId="0" shapeId="0">
      <text>
        <t>실측(계정 매핑 없음(파생·부문·시세 행) — 모델값 직접) — 연결 매출 − 조선 부문(파생)</t>
      </text>
    </comment>
    <comment ref="N42" authorId="0" shapeId="0">
      <text>
        <t>실측(계정 매핑 없음(파생·부문·시세 행) — 모델값 직접) — 연결 매출 − 조선 부문(파생)</t>
      </text>
    </comment>
    <comment ref="O42" authorId="0" shapeId="0">
      <text>
        <t>실측(계정 매핑 없음(파생·부문·시세 행) — 모델값 직접) — 연결 매출 − 조선 부문(파생)</t>
      </text>
    </comment>
    <comment ref="Q42" authorId="0" shapeId="0">
      <text>
        <t>실측(계정 매핑 없음(파생·부문·시세 행) — 모델값 직접) — 연결 매출 − 조선 부문(파생)</t>
      </text>
    </comment>
    <comment ref="R42" authorId="0" shapeId="0">
      <text>
        <t>실측(계정 매핑 없음(파생·부문·시세 행) — 모델값 직접) — 연결 매출 − 조선 부문(파생)</t>
      </text>
    </comment>
    <comment ref="S42" authorId="0" shapeId="0">
      <text>
        <t>실측(계정 매핑 없음(파생·부문·시세 행) — 모델값 직접) — 연결 매출 − 조선 부문(파생)</t>
      </text>
    </comment>
    <comment ref="T42" authorId="0" shapeId="0">
      <text>
        <t>실측(계정 매핑 없음(파생·부문·시세 행) — 모델값 직접) — 연결 매출 − 조선 부문(파생)</t>
      </text>
    </comment>
    <comment ref="V42" authorId="0" shapeId="0">
      <text>
        <t>실측(계정 매핑 없음(파생·부문·시세 행) — 모델값 직접) — 연결 매출 − 조선 부문(파생)</t>
      </text>
    </comment>
    <comment ref="W42" authorId="0" shapeId="0">
      <text>
        <t>실측(계정 매핑 없음(파생·부문·시세 행) — 모델값 직접) — 연결 매출 − 조선 부문(파생)</t>
      </text>
    </comment>
    <comment ref="X42" authorId="0" shapeId="0">
      <text>
        <t>실측(계정 매핑 없음(파생·부문·시세 행) — 모델값 직접) — 연결 매출 − 조선 부문(파생)</t>
      </text>
    </comment>
    <comment ref="Y42" authorId="0" shapeId="0">
      <text>
        <t>실측(계정 매핑 없음(파생·부문·시세 행) — 모델값 직접) — 연결 매출 − 조선 부문(파생)</t>
      </text>
    </comment>
    <comment ref="AA42" authorId="0" shapeId="0">
      <text>
        <t>실측(계정 매핑 없음(파생·부문·시세 행) — 모델값 직접) — 연결 매출 − 조선 부문(파생)</t>
      </text>
    </comment>
    <comment ref="AB42" authorId="0" shapeId="0">
      <text>
        <t>실측(계정 매핑 없음(파생·부문·시세 행) — 모델값 직접) — 연결 매출 − 조선 부문(파생)</t>
      </text>
    </comment>
    <comment ref="AC42" authorId="0" shapeId="0">
      <text>
        <t>추정: 기타 부문(연결 − 조선 부문) 최근 4분기 중위 424억 유지
[yoy]</t>
      </text>
    </comment>
    <comment ref="AD42" authorId="0" shapeId="0">
      <text>
        <t>추정: 기타 부문(연결 − 조선 부문) 최근 4분기 중위 424억 유지
[yoy]</t>
      </text>
    </comment>
    <comment ref="AF42" authorId="0" shapeId="0">
      <text>
        <t>추정: 기타 부문(연결 − 조선 부문) 최근 4분기 중위 424억 유지
[yoy]</t>
      </text>
    </comment>
    <comment ref="AG42" authorId="0" shapeId="0">
      <text>
        <t>추정: 기타 부문(연결 − 조선 부문) 최근 4분기 중위 424억 유지
[yoy]</t>
      </text>
    </comment>
    <comment ref="AH42" authorId="0" shapeId="0">
      <text>
        <t>추정: 기타 부문(연결 − 조선 부문) 최근 4분기 중위 424억 유지
[yoy]</t>
      </text>
    </comment>
    <comment ref="AI42" authorId="0" shapeId="0">
      <text>
        <t>추정: 기타 부문(연결 − 조선 부문) 최근 4분기 중위 424억 유지
[yoy]</t>
      </text>
    </comment>
    <comment ref="AK42" authorId="0" shapeId="0">
      <text>
        <t>추정: 기타 부문(연결 − 조선 부문) 최근 4분기 중위 424억 유지
[yoy]</t>
      </text>
    </comment>
    <comment ref="AL42" authorId="0" shapeId="0">
      <text>
        <t>추정: 기타 부문(연결 − 조선 부문) 최근 4분기 중위 424억 유지
[yoy]</t>
      </text>
    </comment>
    <comment ref="AM42" authorId="0" shapeId="0">
      <text>
        <t>추정: 기타 부문(연결 − 조선 부문) 최근 4분기 중위 424억 유지
[yoy]</t>
      </text>
    </comment>
    <comment ref="AN42" authorId="0" shapeId="0">
      <text>
        <t>추정: 기타 부문(연결 − 조선 부문) 최근 4분기 중위 424억 유지
[yoy]</t>
      </text>
    </comment>
    <comment ref="AC43" authorId="0" shapeId="0">
      <text>
        <t>추정: 매출기타 × 회사 OPM(부문 OP 미공시)
[ratio]</t>
      </text>
    </comment>
    <comment ref="AD43" authorId="0" shapeId="0">
      <text>
        <t>추정: 매출기타 × 회사 OPM(부문 OP 미공시)
[ratio]</t>
      </text>
    </comment>
    <comment ref="AF43" authorId="0" shapeId="0">
      <text>
        <t>추정: 매출기타 × 회사 OPM(부문 OP 미공시)
[ratio]</t>
      </text>
    </comment>
    <comment ref="AG43" authorId="0" shapeId="0">
      <text>
        <t>추정: 매출기타 × 회사 OPM(부문 OP 미공시)
[ratio]</t>
      </text>
    </comment>
    <comment ref="AH43" authorId="0" shapeId="0">
      <text>
        <t>추정: 매출기타 × 회사 OPM(부문 OP 미공시)
[ratio]</t>
      </text>
    </comment>
    <comment ref="AI43" authorId="0" shapeId="0">
      <text>
        <t>추정: 매출기타 × 회사 OPM(부문 OP 미공시)
[ratio]</t>
      </text>
    </comment>
    <comment ref="AK43" authorId="0" shapeId="0">
      <text>
        <t>추정: 매출기타 × 회사 OPM(부문 OP 미공시)
[ratio]</t>
      </text>
    </comment>
    <comment ref="AL43" authorId="0" shapeId="0">
      <text>
        <t>추정: 매출기타 × 회사 OPM(부문 OP 미공시)
[ratio]</t>
      </text>
    </comment>
    <comment ref="AM43" authorId="0" shapeId="0">
      <text>
        <t>추정: 매출기타 × 회사 OPM(부문 OP 미공시)
[ratio]</t>
      </text>
    </comment>
    <comment ref="AN43" authorId="0" shapeId="0">
      <text>
        <t>추정: 매출기타 × 회사 OPM(부문 OP 미공시)
[ratio]</t>
      </text>
    </comment>
  </commentList>
</comments>
</file>

<file path=xl/comments/comment3.xml><?xml version="1.0" encoding="utf-8"?>
<comments xmlns="http://schemas.openxmlformats.org/spreadsheetml/2006/main">
  <authors>
    <author>kship</author>
  </authors>
  <commentList>
    <comment ref="BU3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3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3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3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4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4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4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4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4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4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4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4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4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4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5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5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5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5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5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5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5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5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5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59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60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61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62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63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64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65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66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67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68" authorId="0" shapeId="0">
      <text>
        <t>모델 포함 규칙: 해양(type≠OTHER) · origin 분기말까지 체결분(이후 체결은 패널 신규수주에 포함으로 봄). 0 으로 바꾸면 그 계약을 매출에서 뺀다</t>
      </text>
    </comment>
    <comment ref="BU69" authorId="0" shapeId="0">
      <text>
        <t>모델 포함 규칙: 해양(type≠OTHER) · origin 분기말까지 체결분(이후 체결은 패널 신규수주에 포함으로 봄). 0 으로 바꾸면 그 계약을 매출에서 뺀다</t>
      </text>
    </comment>
  </commentList>
</comments>
</file>

<file path=xl/comments/comment4.xml><?xml version="1.0" encoding="utf-8"?>
<comments xmlns="http://schemas.openxmlformats.org/spreadsheetml/2006/main">
  <authors>
    <author>kship</author>
  </authors>
  <commentList>
    <comment ref="E12" authorId="0" shapeId="0">
      <text>
        <t>forecast_panel existing_only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F12" authorId="0" shapeId="0">
      <text>
        <t>forecast_panel existing_only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H12" authorId="0" shapeId="0">
      <text>
        <t>forecast_panel existing_only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I12" authorId="0" shapeId="0">
      <text>
        <t>forecast_panel existing_only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J12" authorId="0" shapeId="0">
      <text>
        <t>forecast_panel existing_only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K12" authorId="0" shapeId="0">
      <text>
        <t>forecast_panel existing_only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M12" authorId="0" shapeId="0">
      <text>
        <t>forecast_panel existing_only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N12" authorId="0" shapeId="0">
      <text>
        <t>forecast_panel existing_only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O12" authorId="0" shapeId="0">
      <text>
        <t>forecast_panel existing_only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P12" authorId="0" shapeId="0">
      <text>
        <t>forecast_panel existing_only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E18" authorId="0" shapeId="0">
      <text>
        <t>forecast_panel conservative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F18" authorId="0" shapeId="0">
      <text>
        <t>forecast_panel conservative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H18" authorId="0" shapeId="0">
      <text>
        <t>forecast_panel conservative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I18" authorId="0" shapeId="0">
      <text>
        <t>forecast_panel conservative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J18" authorId="0" shapeId="0">
      <text>
        <t>forecast_panel conservative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K18" authorId="0" shapeId="0">
      <text>
        <t>forecast_panel conservative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M18" authorId="0" shapeId="0">
      <text>
        <t>forecast_panel conservative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N18" authorId="0" shapeId="0">
      <text>
        <t>forecast_panel conservative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O18" authorId="0" shapeId="0">
      <text>
        <t>forecast_panel conservative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P18" authorId="0" shapeId="0">
      <text>
        <t>forecast_panel conservative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E24" authorId="0" shapeId="0">
      <text>
        <t>forecast_panel optimistic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F24" authorId="0" shapeId="0">
      <text>
        <t>forecast_panel optimistic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H24" authorId="0" shapeId="0">
      <text>
        <t>forecast_panel optimistic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I24" authorId="0" shapeId="0">
      <text>
        <t>forecast_panel optimistic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J24" authorId="0" shapeId="0">
      <text>
        <t>forecast_panel optimistic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K24" authorId="0" shapeId="0">
      <text>
        <t>forecast_panel optimistic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M24" authorId="0" shapeId="0">
      <text>
        <t>forecast_panel optimistic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N24" authorId="0" shapeId="0">
      <text>
        <t>forecast_panel optimistic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O24" authorId="0" shapeId="0">
      <text>
        <t>forecast_panel optimistic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  <comment ref="P24" authorId="0" shapeId="0">
      <text>
        <t>forecast_panel optimistic covered_scope_new_revenue(억원) · 폴백·저신뢰 — forecast_panel.json.gz scenarios.{conservative,base,optimistic}.quarterly[].covered_scope_new_revenue (KRW_million → 억원 ÷100) — 공시 수주 체결 분기별 상계 후(net_panel)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한화오션(042660) 실적 모델 — ARGUS 한국조선</t>
        </is>
      </c>
    </row>
    <row r="2">
      <c r="A2" t="inlineStr">
        <is>
          <t>기준 분기 2026Q2 · 마지막 실적 2026Q2 · 생성 2026-10-12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0.68% → 22%(terminal, 2026Q4 까지 유지 → 2027Q1~2028Q4 선형 램프) — 이월결손 램프(assumptions.tax_schedule): 변수 drv:법인세비용 추정 분기 셀이 분기별 세율(3절 '세율' 스칼라 연결 안 됨 — 그 값은 시작 세율) · 근거: 최근 8분기 중 세전 &gt; 0 인 7분기(2024Q4~2026Q2) 법인세/세전 중위 0.7%·최근 4분기 중위 -1.2% 가 모두 5% 미만 → 이월결손 공제 중으로 보고 0.7% 를 2026Q4 까지 유지, 2027Q1~2028Q4 선형 램프로 법정세율 근사 22% 수렴</t>
        </is>
      </c>
    </row>
    <row r="23">
      <c r="A23" t="inlineStr">
        <is>
          <t>· 판관비율 5.56%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5.78% / 부채 3.57% — 이자손익 = (전분기 이자발생자산 × 자산이자율 − 전분기 총차입금 × 부채이자율)/4, 최소자승 역산(모델 assumptions [0.0578, 0.0357]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선표(SLS) — 헤지비율 17.2%(measured) · 헤지환율 약정환율(measured) · 코호트 모드 reference_anchor · 잔고 캡 미적용 · subQ 매출조선 = SLS 합계/100 + 원장 밖 잔고 소진(변수 drv:매출조선, 역산) + 매출조선신규 — 계약 34건 중 포함 26건(marine_hedged_krw_m_signed_by_origin), 재구성 최대차 7.8 백만원</t>
        </is>
      </c>
    </row>
    <row r="28">
      <c r="A28" t="inlineStr">
        <is>
          <t>· 신규수주 — forecast_panel base 시나리오를 매출조선신규 행에 포함(calibrated=False, status partial — 공시 계약은 체결 분기별로 패널 신규수주와 상계(SLS 일정 유지)). 보수/낙관/기존만 은 시나리오 시트에만(합산 안 함)</t>
        </is>
      </c>
    </row>
    <row r="29">
      <c r="A29" t="inlineStr">
        <is>
          <t>· 연결된 가정: 판관비율, 지배주주비중, 이자율, 선표 · 연결 안 된 가정(모델값·분기별 역산 그대로): 세율(이월결손 램프(assumptions.tax_schedule, 0.68%→22%) — 분기별 세율 드라이버 행 사용)</t>
        </is>
      </c>
    </row>
    <row r="30">
      <c r="A30" t="inlineStr">
        <is>
          <t>· 밸류에이션 — PER 밴드 19.2/26.2/28.7배(hist_quarterly(분기 평균가 ÷ TTM EPS, 10분기, 25/50/75 백분위)) · COE 9.0% · 12M fwd EPS 가중 0.5(가정). 모델 산출값 구간이며 추천이 아니다</t>
        </is>
      </c>
    </row>
    <row r="31">
      <c r="A31" t="inlineStr"/>
    </row>
    <row r="32">
      <c r="A32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3">
      <c r="A33" t="inlineStr">
        <is>
          <t>재현: cd argus/kship/tools &amp;&amp; python3 kship_model_xlsx.py --model assets/models/042660.json --verify   (모델 json 부터: kship_model.py --build --all --xlsx · xlsx 58사 일괄: kship_model_xlsx.py --all --verify)</t>
        </is>
      </c>
    </row>
    <row r="34">
      <c r="A34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5">
      <c r="A35" t="inlineStr">
        <is>
          <t>한계: 모델 quality.warnings — 2022Q1 조선 부문 매출(12481억) &gt; 연결 매출(12455억) — 부문표/파서 문제(yards 레인 확인) / 2022Q2 조선 부문 매출(11969억) &gt; 연결 매출(11841억) — 부문표/파서 문제(yards 레인 확인) / 2022Q3 조선 부문 매출(10004억) &gt; 연결 매출(9815억) — 부문표/파서 문제(yards 레인 확인) / 2022Q4 조선 부문 매출(14764억) &gt; 연결 매출(14492억) — 부문표/파서 문제(yards 레인 확인) / 2023Q1 조선 부문 매출(14706억) &gt; 연결 매출(14398억) — 부문표/파서 문제(yards 레인 확인) / 2023Q2 조선 부문 매출(18569억) &gt; 연결 매출(18207억) — 부문표/파서 문제(yards 레인 확인) / 2023Q3 조선 부문 매출(20122억) &gt; 연결 매출(19168억) — 부문표/파서 문제(yards 레인 확인) / 2023Q4 조선 부문 매출(23388억) &gt; 연결 매출(22309억) — 부문표/파서 문제(yards 레인 확인) / 2024Q1 조선 부문 매출(23616억) &gt; 연결 매출(22836억) — 부문표/파서 문제(yards 레인 확인) / 2024Q2 조선 부문 매출(26384억) &gt; 연결 매출(25361억) — 부문표/파서 문제(yards 레인 확인) / 2025Q2 조선 부문 매출(33310억) &gt; 연결 매출(32941억) — 부문표/파서 문제(yards 레인 확인) / 2026Q1 조선 부문 매출(33220억) &gt; 연결 매출(32099억) — 부문표/파서 문제(yards 레인 확인) / 2026Q2 조선 부문 매출(56347억) &gt; 연결 매출(54432억) — 부문표/파서 문제(yards 레인 확인) / 추정 매출조선 = 2026Q2 기준 잔고 소진분 + forecast_panel base covered_scope_new_revenue 신규수주 매출(미보정 book-value proxy, status partial; FY합 76,578억) — 보수/낙관은 scenarios 블록(합산 안 함) / 신규수주 폴백(저신뢰): 패널이 전범위 new_order_revenue 를 비웠다(book_value_only, scope_unverified, insufficient_segment_history, insufficient_burn_history, insufficient_order_history, negative_net_inflow) → 같은 엔진·같은 R1 인식·같은 시나리오 정의의 covered_scope_new_revenue 사용. 모델 대상 부문 상선·기타 (제외 EP및특수선)만 덮고 제외 부문(EP및특수선)의 신규분은 반영되지 않는다, 패널 신규수주는 공시 체결 속도 대비 84% 수준(분기 평균 31,967억 vs 공시 체결 38,167억 — 대체로 같은 규모) / origin 이후 공시 수주 6건 44,707억은 SLS 일정으로 전부 유지, 패널 신규수주에서 체결 분기별 상계(2026Q3 패널 31,967억 − 공시 36,327억(범위 밖 8,380억 제외) = 0억) — 패널 base 신규 매출 −24,396억(2026 525억 · 2027 9,807억 · 2028 14,064억) · 패널 new_order_revenue 정의 불확실 — order_basis=positive_part_of_empirical_net_replenishment; includes_unseparated_FX_cancellations(경험적 순보충 분위의 통계 흐름, 공시 계약을 개별 반영하지 않음) · new_order_arrival=quarter_end; first_recognition_next_quarter · progress_curve=R1_smoothstep_unfitted; contract_period_not_actual_build_stage; 패널 기존잔고는 origin 이후 공시 6건을 제외(industry_axes.schedule_exclusions.not_known_at_origin); 2026Q3 공시 수주 36,327억 vs 패널 base 신규수주 31,967억(114%). 공시 수주의 인식 시점·진행률(선형, 체결 분기부터)은 패널 가정과 다르다(calibrated=false) — FY 유지 SLS(공시) vs 패널 base 신규 매출(상계 후): 2026 4,340억 vs 0억 · 2027 12,043억 vs 13,801억 · 2028 12,076억 vs 62,778억 / 법인세율 이월결손 경로: 최근 양(+)세전 7분기 유효세율 중위 0.7% → 0.7% 를 2026Q4 까지 유지, 2027Q1~2028Q4 선형 램프로 법정세율 근사 22% 수렴 — 결손 잔액·만기는 주석 미파싱(추정) / 감가상각비가 face·CF 에 없음(주석 미파싱) → EBITDA·EV/EBITDA 미산출 / 금융손익 실적→추정 단절: 최근 4분기 실적 +30/+489/-282/-827(중위 -126억) → 추정 2026Q3 -281억(차 -154억, -122%) — 추정은 이자손익 + 기타금융 중위, 외환·파생 평가손익 0 가정(환율 효과는 환관련손익 행). 값은 바꾸지 않음 — 지배NI·EPS 해석 시 참고</t>
        </is>
      </c>
    </row>
    <row r="36">
      <c r="A36" t="inlineStr">
        <is>
          <t>백테스트: {"freeze": "2025Q2", "horizon": 4, "revenue_wape_pct": 17.8, "op_wape_pct": 51.2, "n": 4, "note": "단일 회사 4분기 — 통계 아님", "driver_at_freeze": "sls_marine_plus_uncovered_backlog_runoff",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31776.86, "rev_act": 30233.58, "op_pred": 2132.75, "op_act": 2897.59}, {"q": "2025Q4", "rev_pred": 31776.86, "rev_act": 33229.51, "op_pred": 2132.75, "op_act": 2475.19}, {"q": "2026Q1", "rev_pred": 31609.47, "rev_act": 32099.4, "op_pred": 2103.87, "op_act": 4410.65}, {"q": "2026Q2", "rev_pred": 31245.58, "rev_act": 54431.71, "op_pred": 2005.63, "op_act": 7361.14}]}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20478</v>
      </c>
      <c r="F15" s="9" t="n"/>
      <c r="G15" s="18" t="n">
        <v>22032</v>
      </c>
      <c r="H15" s="18" t="n">
        <v>21322</v>
      </c>
      <c r="I15" s="18" t="n">
        <v>16835</v>
      </c>
      <c r="J15" s="18" t="n">
        <v>16835</v>
      </c>
      <c r="K15" s="9" t="n"/>
      <c r="L15" s="18" t="n">
        <v>21766</v>
      </c>
      <c r="M15" s="18" t="n">
        <v>33493</v>
      </c>
      <c r="N15" s="18" t="n">
        <v>30950</v>
      </c>
      <c r="O15" s="18" t="n">
        <v>25100</v>
      </c>
      <c r="P15" s="9" t="n"/>
      <c r="Q15" s="18" t="n">
        <v>27600</v>
      </c>
      <c r="R15" s="18" t="n">
        <v>30550</v>
      </c>
      <c r="S15" s="18" t="n">
        <v>30550</v>
      </c>
      <c r="T15" s="18" t="n">
        <v>37350</v>
      </c>
      <c r="U15" s="9" t="n"/>
      <c r="V15" s="18" t="n">
        <v>67100</v>
      </c>
      <c r="W15" s="18" t="n">
        <v>79400</v>
      </c>
      <c r="X15" s="18" t="n">
        <v>110300</v>
      </c>
      <c r="Y15" s="18" t="n">
        <v>113600</v>
      </c>
      <c r="Z15" s="9" t="n"/>
      <c r="AA15" s="18" t="n">
        <v>120200</v>
      </c>
      <c r="AB15" s="19" t="n">
        <v>100300</v>
      </c>
      <c r="AC15" s="20" t="n">
        <v>78800</v>
      </c>
      <c r="AD15" s="20" t="n">
        <v>67100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24298</v>
      </c>
      <c r="F16" s="9" t="n"/>
      <c r="G16" s="18" t="n">
        <v>25453</v>
      </c>
      <c r="H16" s="18" t="n">
        <v>25764</v>
      </c>
      <c r="I16" s="18" t="n">
        <v>23098</v>
      </c>
      <c r="J16" s="18" t="n">
        <v>18923</v>
      </c>
      <c r="K16" s="9" t="n"/>
      <c r="L16" s="18" t="n">
        <v>24164</v>
      </c>
      <c r="M16" s="18" t="n">
        <v>35980</v>
      </c>
      <c r="N16" s="18" t="n">
        <v>44332</v>
      </c>
      <c r="O16" s="18" t="n">
        <v>30900</v>
      </c>
      <c r="P16" s="9" t="n"/>
      <c r="Q16" s="18" t="n">
        <v>30900</v>
      </c>
      <c r="R16" s="18" t="n">
        <v>36400</v>
      </c>
      <c r="S16" s="18" t="n">
        <v>35300</v>
      </c>
      <c r="T16" s="18" t="n">
        <v>41050</v>
      </c>
      <c r="U16" s="9" t="n"/>
      <c r="V16" s="18" t="n">
        <v>87200</v>
      </c>
      <c r="W16" s="18" t="n">
        <v>95800</v>
      </c>
      <c r="X16" s="18" t="n">
        <v>123800</v>
      </c>
      <c r="Y16" s="18" t="n">
        <v>151600</v>
      </c>
      <c r="Z16" s="9" t="n"/>
      <c r="AA16" s="18" t="n">
        <v>154800</v>
      </c>
      <c r="AB16" s="19" t="n">
        <v>141900</v>
      </c>
      <c r="AC16" s="20" t="n">
        <v>123000</v>
      </c>
      <c r="AD16" s="20" t="n">
        <v>79200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19856</v>
      </c>
      <c r="F17" s="9" t="n"/>
      <c r="G17" s="18" t="n">
        <v>16258</v>
      </c>
      <c r="H17" s="18" t="n">
        <v>17412</v>
      </c>
      <c r="I17" s="18" t="n">
        <v>16169</v>
      </c>
      <c r="J17" s="18" t="n">
        <v>15325</v>
      </c>
      <c r="K17" s="9" t="n"/>
      <c r="L17" s="18" t="n">
        <v>15636</v>
      </c>
      <c r="M17" s="18" t="n">
        <v>21677</v>
      </c>
      <c r="N17" s="18" t="n">
        <v>29000</v>
      </c>
      <c r="O17" s="18" t="n">
        <v>21900</v>
      </c>
      <c r="P17" s="9" t="n"/>
      <c r="Q17" s="18" t="n">
        <v>21050</v>
      </c>
      <c r="R17" s="18" t="n">
        <v>24850</v>
      </c>
      <c r="S17" s="18" t="n">
        <v>25400</v>
      </c>
      <c r="T17" s="18" t="n">
        <v>26100</v>
      </c>
      <c r="U17" s="9" t="n"/>
      <c r="V17" s="18" t="n">
        <v>36300</v>
      </c>
      <c r="W17" s="18" t="n">
        <v>62350</v>
      </c>
      <c r="X17" s="18" t="n">
        <v>71500</v>
      </c>
      <c r="Y17" s="18" t="n">
        <v>99600</v>
      </c>
      <c r="Z17" s="9" t="n"/>
      <c r="AA17" s="18" t="n">
        <v>108500</v>
      </c>
      <c r="AB17" s="19" t="n">
        <v>95500</v>
      </c>
      <c r="AC17" s="20" t="n">
        <v>71300</v>
      </c>
      <c r="AD17" s="20" t="n">
        <v>67000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21658.5</v>
      </c>
      <c r="F18" s="9" t="n"/>
      <c r="G18" s="18" t="n">
        <v>20964</v>
      </c>
      <c r="H18" s="18" t="n">
        <v>20935.4</v>
      </c>
      <c r="I18" s="18" t="n">
        <v>18116.1</v>
      </c>
      <c r="J18" s="18" t="n">
        <v>16754.1</v>
      </c>
      <c r="K18" s="9" t="n"/>
      <c r="L18" s="18" t="n">
        <v>20254.7</v>
      </c>
      <c r="M18" s="18" t="n">
        <v>25770.2</v>
      </c>
      <c r="N18" s="18" t="n">
        <v>35815.9</v>
      </c>
      <c r="O18" s="18" t="n">
        <v>25825.8</v>
      </c>
      <c r="P18" s="9" t="n"/>
      <c r="Q18" s="18" t="n">
        <v>24048.4</v>
      </c>
      <c r="R18" s="18" t="n">
        <v>30870</v>
      </c>
      <c r="S18" s="18" t="n">
        <v>31184.7</v>
      </c>
      <c r="T18" s="18" t="n">
        <v>33018</v>
      </c>
      <c r="U18" s="9" t="n"/>
      <c r="V18" s="18" t="n">
        <v>64850</v>
      </c>
      <c r="W18" s="18" t="n">
        <v>79135</v>
      </c>
      <c r="X18" s="18" t="n">
        <v>101701.5</v>
      </c>
      <c r="Y18" s="18" t="n">
        <v>118854.2</v>
      </c>
      <c r="Z18" s="9" t="n"/>
      <c r="AA18" s="18" t="n">
        <v>133781.4</v>
      </c>
      <c r="AB18" s="19" t="n">
        <v>121616.4</v>
      </c>
      <c r="AC18" s="20" t="n">
        <v>86733.89999999999</v>
      </c>
      <c r="AD18" s="20" t="n">
        <v>74650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drv:판관비</t>
        </is>
      </c>
      <c r="B21" s="2" t="inlineStr">
        <is>
          <t>ratio</t>
        </is>
      </c>
      <c r="C21" t="inlineStr">
        <is>
          <t>판관비율(/매출)</t>
        </is>
      </c>
      <c r="E21" s="21">
        <f>IFERROR(subQ!E8/subQ!E5,"")</f>
        <v/>
      </c>
      <c r="F21" s="22">
        <f>IFERROR(subQ!F8/subQ!F5,"")</f>
        <v/>
      </c>
      <c r="G21" s="21">
        <f>IFERROR(subQ!G8/subQ!G5,"")</f>
        <v/>
      </c>
      <c r="H21" s="21">
        <f>IFERROR(subQ!H8/subQ!H5,"")</f>
        <v/>
      </c>
      <c r="I21" s="21">
        <f>IFERROR(subQ!I8/subQ!I5,"")</f>
        <v/>
      </c>
      <c r="J21" s="21">
        <f>IFERROR(subQ!J8/subQ!J5,"")</f>
        <v/>
      </c>
      <c r="K21" s="22">
        <f>IFERROR(subQ!K8/subQ!K5,"")</f>
        <v/>
      </c>
      <c r="L21" s="21">
        <f>IFERROR(subQ!L8/subQ!L5,"")</f>
        <v/>
      </c>
      <c r="M21" s="21">
        <f>IFERROR(subQ!M8/subQ!M5,"")</f>
        <v/>
      </c>
      <c r="N21" s="21">
        <f>IFERROR(subQ!N8/subQ!N5,"")</f>
        <v/>
      </c>
      <c r="O21" s="21">
        <f>IFERROR(subQ!O8/subQ!O5,"")</f>
        <v/>
      </c>
      <c r="P21" s="22">
        <f>IFERROR(subQ!P8/subQ!P5,"")</f>
        <v/>
      </c>
      <c r="Q21" s="21">
        <f>IFERROR(subQ!Q8/subQ!Q5,"")</f>
        <v/>
      </c>
      <c r="R21" s="21">
        <f>IFERROR(subQ!R8/subQ!R5,"")</f>
        <v/>
      </c>
      <c r="S21" s="21">
        <f>IFERROR(subQ!S8/subQ!S5,"")</f>
        <v/>
      </c>
      <c r="T21" s="21">
        <f>IFERROR(subQ!T8/subQ!T5,"")</f>
        <v/>
      </c>
      <c r="U21" s="22">
        <f>IFERROR(subQ!U8/subQ!U5,"")</f>
        <v/>
      </c>
      <c r="V21" s="21">
        <f>IFERROR(subQ!V8/subQ!V5,"")</f>
        <v/>
      </c>
      <c r="W21" s="21">
        <f>IFERROR(subQ!W8/subQ!W5,"")</f>
        <v/>
      </c>
      <c r="X21" s="21">
        <f>IFERROR(subQ!X8/subQ!X5,"")</f>
        <v/>
      </c>
      <c r="Y21" s="21">
        <f>IFERROR(subQ!Y8/subQ!Y5,"")</f>
        <v/>
      </c>
      <c r="Z21" s="22">
        <f>IFERROR(subQ!Z8/subQ!Z5,"")</f>
        <v/>
      </c>
      <c r="AA21" s="21">
        <f>IFERROR(subQ!AA8/subQ!AA5,"")</f>
        <v/>
      </c>
      <c r="AB21" s="23">
        <f>IFERROR(subQ!AB8/subQ!AB5,"")</f>
        <v/>
      </c>
      <c r="AC21" s="24">
        <f>$D$55</f>
        <v/>
      </c>
      <c r="AD21" s="24">
        <f>$D$55</f>
        <v/>
      </c>
      <c r="AE21" s="25">
        <f>IFERROR(subQ!AE8/subQ!AE5,"")</f>
        <v/>
      </c>
      <c r="AF21" s="24">
        <f>$D$55</f>
        <v/>
      </c>
      <c r="AG21" s="24">
        <f>$D$55</f>
        <v/>
      </c>
      <c r="AH21" s="24">
        <f>$D$55</f>
        <v/>
      </c>
      <c r="AI21" s="24">
        <f>$D$55</f>
        <v/>
      </c>
      <c r="AJ21" s="25">
        <f>IFERROR(subQ!AJ8/subQ!AJ5,"")</f>
        <v/>
      </c>
      <c r="AK21" s="24">
        <f>$D$55</f>
        <v/>
      </c>
      <c r="AL21" s="24">
        <f>$D$55</f>
        <v/>
      </c>
      <c r="AM21" s="24">
        <f>$D$55</f>
        <v/>
      </c>
      <c r="AN21" s="24">
        <f>$D$55</f>
        <v/>
      </c>
      <c r="AO21" s="25">
        <f>IFERROR(subQ!AO8/subQ!AO5,"")</f>
        <v/>
      </c>
    </row>
    <row r="22">
      <c r="A22" s="12" t="inlineStr">
        <is>
          <t>drv:외환손익</t>
        </is>
      </c>
      <c r="B22" s="2" t="inlineStr">
        <is>
          <t>abs</t>
        </is>
      </c>
      <c r="C22" t="inlineStr">
        <is>
          <t>외환손익 (가정, 억원)</t>
        </is>
      </c>
      <c r="E22" s="26">
        <f>subQ!E13</f>
        <v/>
      </c>
      <c r="F22" s="27">
        <f>subQ!F13</f>
        <v/>
      </c>
      <c r="G22" s="26">
        <f>subQ!G13</f>
        <v/>
      </c>
      <c r="H22" s="26">
        <f>subQ!H13</f>
        <v/>
      </c>
      <c r="I22" s="26">
        <f>subQ!I13</f>
        <v/>
      </c>
      <c r="J22" s="26">
        <f>subQ!J13</f>
        <v/>
      </c>
      <c r="K22" s="27">
        <f>subQ!K13</f>
        <v/>
      </c>
      <c r="L22" s="26">
        <f>subQ!L13</f>
        <v/>
      </c>
      <c r="M22" s="26">
        <f>subQ!M13</f>
        <v/>
      </c>
      <c r="N22" s="26">
        <f>subQ!N13</f>
        <v/>
      </c>
      <c r="O22" s="26">
        <f>subQ!O13</f>
        <v/>
      </c>
      <c r="P22" s="27">
        <f>subQ!P13</f>
        <v/>
      </c>
      <c r="Q22" s="26">
        <f>subQ!Q13</f>
        <v/>
      </c>
      <c r="R22" s="26">
        <f>subQ!R13</f>
        <v/>
      </c>
      <c r="S22" s="26">
        <f>subQ!S13</f>
        <v/>
      </c>
      <c r="T22" s="26">
        <f>subQ!T13</f>
        <v/>
      </c>
      <c r="U22" s="27">
        <f>subQ!U13</f>
        <v/>
      </c>
      <c r="V22" s="26">
        <f>subQ!V13</f>
        <v/>
      </c>
      <c r="W22" s="26">
        <f>subQ!W13</f>
        <v/>
      </c>
      <c r="X22" s="26">
        <f>subQ!X13</f>
        <v/>
      </c>
      <c r="Y22" s="26">
        <f>subQ!Y13</f>
        <v/>
      </c>
      <c r="Z22" s="27">
        <f>subQ!Z13</f>
        <v/>
      </c>
      <c r="AA22" s="26">
        <f>subQ!AA13</f>
        <v/>
      </c>
      <c r="AB22" s="28">
        <f>subQ!AB13</f>
        <v/>
      </c>
      <c r="AC22" s="29" t="n">
        <v>0</v>
      </c>
      <c r="AD22" s="29" t="n">
        <v>0</v>
      </c>
      <c r="AE22" s="30">
        <f>subQ!AE13</f>
        <v/>
      </c>
      <c r="AF22" s="29" t="n">
        <v>0</v>
      </c>
      <c r="AG22" s="29" t="n">
        <v>0</v>
      </c>
      <c r="AH22" s="29" t="n">
        <v>0</v>
      </c>
      <c r="AI22" s="29" t="n">
        <v>0</v>
      </c>
      <c r="AJ22" s="30">
        <f>subQ!AJ13</f>
        <v/>
      </c>
      <c r="AK22" s="29" t="n">
        <v>0</v>
      </c>
      <c r="AL22" s="29" t="n">
        <v>0</v>
      </c>
      <c r="AM22" s="29" t="n">
        <v>0</v>
      </c>
      <c r="AN22" s="29" t="n">
        <v>0</v>
      </c>
      <c r="AO22" s="30">
        <f>subQ!AO13</f>
        <v/>
      </c>
    </row>
    <row r="23">
      <c r="A23" s="12" t="inlineStr">
        <is>
          <t>drv:파생상품손익</t>
        </is>
      </c>
      <c r="B23" s="2" t="inlineStr">
        <is>
          <t>abs</t>
        </is>
      </c>
      <c r="C23" t="inlineStr">
        <is>
          <t>파생상품손익 (가정, 억원)</t>
        </is>
      </c>
      <c r="E23" s="26">
        <f>subQ!E14</f>
        <v/>
      </c>
      <c r="F23" s="27">
        <f>subQ!F14</f>
        <v/>
      </c>
      <c r="G23" s="26">
        <f>subQ!G14</f>
        <v/>
      </c>
      <c r="H23" s="26">
        <f>subQ!H14</f>
        <v/>
      </c>
      <c r="I23" s="26">
        <f>subQ!I14</f>
        <v/>
      </c>
      <c r="J23" s="26">
        <f>subQ!J14</f>
        <v/>
      </c>
      <c r="K23" s="27">
        <f>subQ!K14</f>
        <v/>
      </c>
      <c r="L23" s="26">
        <f>subQ!L14</f>
        <v/>
      </c>
      <c r="M23" s="26">
        <f>subQ!M14</f>
        <v/>
      </c>
      <c r="N23" s="26">
        <f>subQ!N14</f>
        <v/>
      </c>
      <c r="O23" s="26">
        <f>subQ!O14</f>
        <v/>
      </c>
      <c r="P23" s="27">
        <f>subQ!P14</f>
        <v/>
      </c>
      <c r="Q23" s="26">
        <f>subQ!Q14</f>
        <v/>
      </c>
      <c r="R23" s="26">
        <f>subQ!R14</f>
        <v/>
      </c>
      <c r="S23" s="26">
        <f>subQ!S14</f>
        <v/>
      </c>
      <c r="T23" s="26">
        <f>subQ!T14</f>
        <v/>
      </c>
      <c r="U23" s="27">
        <f>subQ!U14</f>
        <v/>
      </c>
      <c r="V23" s="26">
        <f>subQ!V14</f>
        <v/>
      </c>
      <c r="W23" s="26">
        <f>subQ!W14</f>
        <v/>
      </c>
      <c r="X23" s="26">
        <f>subQ!X14</f>
        <v/>
      </c>
      <c r="Y23" s="26">
        <f>subQ!Y14</f>
        <v/>
      </c>
      <c r="Z23" s="27">
        <f>subQ!Z14</f>
        <v/>
      </c>
      <c r="AA23" s="26">
        <f>subQ!AA14</f>
        <v/>
      </c>
      <c r="AB23" s="28">
        <f>subQ!AB14</f>
        <v/>
      </c>
      <c r="AC23" s="29" t="n">
        <v>0</v>
      </c>
      <c r="AD23" s="29" t="n">
        <v>0</v>
      </c>
      <c r="AE23" s="30">
        <f>subQ!AE14</f>
        <v/>
      </c>
      <c r="AF23" s="29" t="n">
        <v>0</v>
      </c>
      <c r="AG23" s="29" t="n">
        <v>0</v>
      </c>
      <c r="AH23" s="29" t="n">
        <v>0</v>
      </c>
      <c r="AI23" s="29" t="n">
        <v>0</v>
      </c>
      <c r="AJ23" s="30">
        <f>subQ!AJ14</f>
        <v/>
      </c>
      <c r="AK23" s="29" t="n">
        <v>0</v>
      </c>
      <c r="AL23" s="29" t="n">
        <v>0</v>
      </c>
      <c r="AM23" s="29" t="n">
        <v>0</v>
      </c>
      <c r="AN23" s="29" t="n">
        <v>0</v>
      </c>
      <c r="AO23" s="30">
        <f>subQ!AO14</f>
        <v/>
      </c>
    </row>
    <row r="24">
      <c r="A24" s="12" t="inlineStr">
        <is>
          <t>drv:기타금융손익</t>
        </is>
      </c>
      <c r="B24" s="2" t="inlineStr">
        <is>
          <t>abs</t>
        </is>
      </c>
      <c r="C24" t="inlineStr">
        <is>
          <t>기타금융손익 (가정, 억원)</t>
        </is>
      </c>
      <c r="E24" s="26">
        <f>subQ!E15</f>
        <v/>
      </c>
      <c r="F24" s="27">
        <f>subQ!F15</f>
        <v/>
      </c>
      <c r="G24" s="26">
        <f>subQ!G15</f>
        <v/>
      </c>
      <c r="H24" s="26">
        <f>subQ!H15</f>
        <v/>
      </c>
      <c r="I24" s="26">
        <f>subQ!I15</f>
        <v/>
      </c>
      <c r="J24" s="26">
        <f>subQ!J15</f>
        <v/>
      </c>
      <c r="K24" s="27">
        <f>subQ!K15</f>
        <v/>
      </c>
      <c r="L24" s="26">
        <f>subQ!L15</f>
        <v/>
      </c>
      <c r="M24" s="26">
        <f>subQ!M15</f>
        <v/>
      </c>
      <c r="N24" s="26">
        <f>subQ!N15</f>
        <v/>
      </c>
      <c r="O24" s="26">
        <f>subQ!O15</f>
        <v/>
      </c>
      <c r="P24" s="27">
        <f>subQ!P15</f>
        <v/>
      </c>
      <c r="Q24" s="26">
        <f>subQ!Q15</f>
        <v/>
      </c>
      <c r="R24" s="26">
        <f>subQ!R15</f>
        <v/>
      </c>
      <c r="S24" s="26">
        <f>subQ!S15</f>
        <v/>
      </c>
      <c r="T24" s="26">
        <f>subQ!T15</f>
        <v/>
      </c>
      <c r="U24" s="27">
        <f>subQ!U15</f>
        <v/>
      </c>
      <c r="V24" s="26">
        <f>subQ!V15</f>
        <v/>
      </c>
      <c r="W24" s="26">
        <f>subQ!W15</f>
        <v/>
      </c>
      <c r="X24" s="26">
        <f>subQ!X15</f>
        <v/>
      </c>
      <c r="Y24" s="26">
        <f>subQ!Y15</f>
        <v/>
      </c>
      <c r="Z24" s="27">
        <f>subQ!Z15</f>
        <v/>
      </c>
      <c r="AA24" s="26">
        <f>subQ!AA15</f>
        <v/>
      </c>
      <c r="AB24" s="28">
        <f>subQ!AB15</f>
        <v/>
      </c>
      <c r="AC24" s="29" t="n">
        <v>2.92</v>
      </c>
      <c r="AD24" s="29" t="n">
        <v>2.92</v>
      </c>
      <c r="AE24" s="30">
        <f>subQ!AE15</f>
        <v/>
      </c>
      <c r="AF24" s="29" t="n">
        <v>2.92</v>
      </c>
      <c r="AG24" s="29" t="n">
        <v>2.92</v>
      </c>
      <c r="AH24" s="29" t="n">
        <v>2.92</v>
      </c>
      <c r="AI24" s="29" t="n">
        <v>2.92</v>
      </c>
      <c r="AJ24" s="30">
        <f>subQ!AJ15</f>
        <v/>
      </c>
      <c r="AK24" s="29" t="n">
        <v>2.92</v>
      </c>
      <c r="AL24" s="29" t="n">
        <v>2.92</v>
      </c>
      <c r="AM24" s="29" t="n">
        <v>2.92</v>
      </c>
      <c r="AN24" s="29" t="n">
        <v>2.92</v>
      </c>
      <c r="AO24" s="30">
        <f>subQ!AO15</f>
        <v/>
      </c>
    </row>
    <row r="25">
      <c r="A25" s="12" t="inlineStr">
        <is>
          <t>drv:기타영업외손익</t>
        </is>
      </c>
      <c r="B25" s="2" t="inlineStr">
        <is>
          <t>abs</t>
        </is>
      </c>
      <c r="C25" t="inlineStr">
        <is>
          <t>기타영업외손익 (가정, 억원)</t>
        </is>
      </c>
      <c r="E25" s="26">
        <f>subQ!E16</f>
        <v/>
      </c>
      <c r="F25" s="27">
        <f>subQ!F16</f>
        <v/>
      </c>
      <c r="G25" s="26">
        <f>subQ!G16</f>
        <v/>
      </c>
      <c r="H25" s="26">
        <f>subQ!H16</f>
        <v/>
      </c>
      <c r="I25" s="26">
        <f>subQ!I16</f>
        <v/>
      </c>
      <c r="J25" s="26">
        <f>subQ!J16</f>
        <v/>
      </c>
      <c r="K25" s="27">
        <f>subQ!K16</f>
        <v/>
      </c>
      <c r="L25" s="26">
        <f>subQ!L16</f>
        <v/>
      </c>
      <c r="M25" s="26">
        <f>subQ!M16</f>
        <v/>
      </c>
      <c r="N25" s="26">
        <f>subQ!N16</f>
        <v/>
      </c>
      <c r="O25" s="26">
        <f>subQ!O16</f>
        <v/>
      </c>
      <c r="P25" s="27">
        <f>subQ!P16</f>
        <v/>
      </c>
      <c r="Q25" s="26">
        <f>subQ!Q16</f>
        <v/>
      </c>
      <c r="R25" s="26">
        <f>subQ!R16</f>
        <v/>
      </c>
      <c r="S25" s="26">
        <f>subQ!S16</f>
        <v/>
      </c>
      <c r="T25" s="26">
        <f>subQ!T16</f>
        <v/>
      </c>
      <c r="U25" s="27">
        <f>subQ!U16</f>
        <v/>
      </c>
      <c r="V25" s="26">
        <f>subQ!V16</f>
        <v/>
      </c>
      <c r="W25" s="26">
        <f>subQ!W16</f>
        <v/>
      </c>
      <c r="X25" s="26">
        <f>subQ!X16</f>
        <v/>
      </c>
      <c r="Y25" s="26">
        <f>subQ!Y16</f>
        <v/>
      </c>
      <c r="Z25" s="27">
        <f>subQ!Z16</f>
        <v/>
      </c>
      <c r="AA25" s="26">
        <f>subQ!AA16</f>
        <v/>
      </c>
      <c r="AB25" s="28">
        <f>subQ!AB16</f>
        <v/>
      </c>
      <c r="AC25" s="29" t="n">
        <v>0</v>
      </c>
      <c r="AD25" s="29" t="n">
        <v>0</v>
      </c>
      <c r="AE25" s="30">
        <f>subQ!AE16</f>
        <v/>
      </c>
      <c r="AF25" s="29" t="n">
        <v>0</v>
      </c>
      <c r="AG25" s="29" t="n">
        <v>0</v>
      </c>
      <c r="AH25" s="29" t="n">
        <v>0</v>
      </c>
      <c r="AI25" s="29" t="n">
        <v>0</v>
      </c>
      <c r="AJ25" s="30">
        <f>subQ!AJ16</f>
        <v/>
      </c>
      <c r="AK25" s="29" t="n">
        <v>0</v>
      </c>
      <c r="AL25" s="29" t="n">
        <v>0</v>
      </c>
      <c r="AM25" s="29" t="n">
        <v>0</v>
      </c>
      <c r="AN25" s="29" t="n">
        <v>0</v>
      </c>
      <c r="AO25" s="30">
        <f>subQ!AO16</f>
        <v/>
      </c>
    </row>
    <row r="26">
      <c r="A26" s="12" t="inlineStr">
        <is>
          <t>drv:지분법손익</t>
        </is>
      </c>
      <c r="B26" s="2" t="inlineStr">
        <is>
          <t>abs</t>
        </is>
      </c>
      <c r="C26" t="inlineStr">
        <is>
          <t>지분법손익 (가정, 억원)</t>
        </is>
      </c>
      <c r="E26" s="26">
        <f>subQ!E17</f>
        <v/>
      </c>
      <c r="F26" s="27">
        <f>subQ!F17</f>
        <v/>
      </c>
      <c r="G26" s="26">
        <f>subQ!G17</f>
        <v/>
      </c>
      <c r="H26" s="26">
        <f>subQ!H17</f>
        <v/>
      </c>
      <c r="I26" s="26">
        <f>subQ!I17</f>
        <v/>
      </c>
      <c r="J26" s="26">
        <f>subQ!J17</f>
        <v/>
      </c>
      <c r="K26" s="27">
        <f>subQ!K17</f>
        <v/>
      </c>
      <c r="L26" s="26">
        <f>subQ!L17</f>
        <v/>
      </c>
      <c r="M26" s="26">
        <f>subQ!M17</f>
        <v/>
      </c>
      <c r="N26" s="26">
        <f>subQ!N17</f>
        <v/>
      </c>
      <c r="O26" s="26">
        <f>subQ!O17</f>
        <v/>
      </c>
      <c r="P26" s="27">
        <f>subQ!P17</f>
        <v/>
      </c>
      <c r="Q26" s="26">
        <f>subQ!Q17</f>
        <v/>
      </c>
      <c r="R26" s="26">
        <f>subQ!R17</f>
        <v/>
      </c>
      <c r="S26" s="26">
        <f>subQ!S17</f>
        <v/>
      </c>
      <c r="T26" s="26">
        <f>subQ!T17</f>
        <v/>
      </c>
      <c r="U26" s="27">
        <f>subQ!U17</f>
        <v/>
      </c>
      <c r="V26" s="26">
        <f>subQ!V17</f>
        <v/>
      </c>
      <c r="W26" s="26">
        <f>subQ!W17</f>
        <v/>
      </c>
      <c r="X26" s="26">
        <f>subQ!X17</f>
        <v/>
      </c>
      <c r="Y26" s="26">
        <f>subQ!Y17</f>
        <v/>
      </c>
      <c r="Z26" s="27">
        <f>subQ!Z17</f>
        <v/>
      </c>
      <c r="AA26" s="26">
        <f>subQ!AA17</f>
        <v/>
      </c>
      <c r="AB26" s="28">
        <f>subQ!AB17</f>
        <v/>
      </c>
      <c r="AC26" s="29" t="n">
        <v>-447.53</v>
      </c>
      <c r="AD26" s="29" t="n">
        <v>-447.53</v>
      </c>
      <c r="AE26" s="30">
        <f>subQ!AE17</f>
        <v/>
      </c>
      <c r="AF26" s="29" t="n">
        <v>-447.53</v>
      </c>
      <c r="AG26" s="29" t="n">
        <v>-447.53</v>
      </c>
      <c r="AH26" s="29" t="n">
        <v>-447.53</v>
      </c>
      <c r="AI26" s="29" t="n">
        <v>-447.53</v>
      </c>
      <c r="AJ26" s="30">
        <f>subQ!AJ17</f>
        <v/>
      </c>
      <c r="AK26" s="29" t="n">
        <v>-447.53</v>
      </c>
      <c r="AL26" s="29" t="n">
        <v>-447.53</v>
      </c>
      <c r="AM26" s="29" t="n">
        <v>-447.53</v>
      </c>
      <c r="AN26" s="29" t="n">
        <v>-447.53</v>
      </c>
      <c r="AO26" s="30">
        <f>subQ!AO17</f>
        <v/>
      </c>
    </row>
    <row r="27">
      <c r="A27" s="12" t="inlineStr">
        <is>
          <t>drv:법인세비용</t>
        </is>
      </c>
      <c r="B27" s="2" t="inlineStr">
        <is>
          <t>tax</t>
        </is>
      </c>
      <c r="C27" t="inlineStr">
        <is>
          <t>법인세율(/세전) — 법인세 = MAX(세전,0) × 분기별 세율(이월결손 램프, assumptions.tax_schedule)</t>
        </is>
      </c>
      <c r="E27" s="21">
        <f>IFERROR(subQ!E19/subQ!E18,"")</f>
        <v/>
      </c>
      <c r="F27" s="22">
        <f>IFERROR(subQ!F19/subQ!F18,"")</f>
        <v/>
      </c>
      <c r="G27" s="21">
        <f>IFERROR(subQ!G19/subQ!G18,"")</f>
        <v/>
      </c>
      <c r="H27" s="21">
        <f>IFERROR(subQ!H19/subQ!H18,"")</f>
        <v/>
      </c>
      <c r="I27" s="21">
        <f>IFERROR(subQ!I19/subQ!I18,"")</f>
        <v/>
      </c>
      <c r="J27" s="21">
        <f>IFERROR(subQ!J19/subQ!J18,"")</f>
        <v/>
      </c>
      <c r="K27" s="22">
        <f>IFERROR(subQ!K19/subQ!K18,"")</f>
        <v/>
      </c>
      <c r="L27" s="21">
        <f>IFERROR(subQ!L19/subQ!L18,"")</f>
        <v/>
      </c>
      <c r="M27" s="21">
        <f>IFERROR(subQ!M19/subQ!M18,"")</f>
        <v/>
      </c>
      <c r="N27" s="21">
        <f>IFERROR(subQ!N19/subQ!N18,"")</f>
        <v/>
      </c>
      <c r="O27" s="21">
        <f>IFERROR(subQ!O19/subQ!O18,"")</f>
        <v/>
      </c>
      <c r="P27" s="22">
        <f>IFERROR(subQ!P19/subQ!P18,"")</f>
        <v/>
      </c>
      <c r="Q27" s="21">
        <f>IFERROR(subQ!Q19/subQ!Q18,"")</f>
        <v/>
      </c>
      <c r="R27" s="21">
        <f>IFERROR(subQ!R19/subQ!R18,"")</f>
        <v/>
      </c>
      <c r="S27" s="21">
        <f>IFERROR(subQ!S19/subQ!S18,"")</f>
        <v/>
      </c>
      <c r="T27" s="21">
        <f>IFERROR(subQ!T19/subQ!T18,"")</f>
        <v/>
      </c>
      <c r="U27" s="22">
        <f>IFERROR(subQ!U19/subQ!U18,"")</f>
        <v/>
      </c>
      <c r="V27" s="21">
        <f>IFERROR(subQ!V19/subQ!V18,"")</f>
        <v/>
      </c>
      <c r="W27" s="21">
        <f>IFERROR(subQ!W19/subQ!W18,"")</f>
        <v/>
      </c>
      <c r="X27" s="21">
        <f>IFERROR(subQ!X19/subQ!X18,"")</f>
        <v/>
      </c>
      <c r="Y27" s="21">
        <f>IFERROR(subQ!Y19/subQ!Y18,"")</f>
        <v/>
      </c>
      <c r="Z27" s="22">
        <f>IFERROR(subQ!Z19/subQ!Z18,"")</f>
        <v/>
      </c>
      <c r="AA27" s="21">
        <f>IFERROR(subQ!AA19/subQ!AA18,"")</f>
        <v/>
      </c>
      <c r="AB27" s="23">
        <f>IFERROR(subQ!AB19/subQ!AB18,"")</f>
        <v/>
      </c>
      <c r="AC27" s="31" t="n">
        <v>0.006752619</v>
      </c>
      <c r="AD27" s="31" t="n">
        <v>0.006754059</v>
      </c>
      <c r="AE27" s="25">
        <f>IFERROR(subQ!AE19/subQ!AE18,"")</f>
        <v/>
      </c>
      <c r="AF27" s="31" t="n">
        <v>0.033408819</v>
      </c>
      <c r="AG27" s="31" t="n">
        <v>0.060065587</v>
      </c>
      <c r="AH27" s="31" t="n">
        <v>0.08672020499999999</v>
      </c>
      <c r="AI27" s="31" t="n">
        <v>0.11337725</v>
      </c>
      <c r="AJ27" s="25">
        <f>IFERROR(subQ!AJ19/subQ!AJ18,"")</f>
        <v/>
      </c>
      <c r="AK27" s="31" t="n">
        <v>0.14003202</v>
      </c>
      <c r="AL27" s="31" t="n">
        <v>0.166688009</v>
      </c>
      <c r="AM27" s="31" t="n">
        <v>0.193344191</v>
      </c>
      <c r="AN27" s="31" t="n">
        <v>0.219999489</v>
      </c>
      <c r="AO27" s="25">
        <f>IFERROR(subQ!AO19/subQ!AO18,"")</f>
        <v/>
      </c>
    </row>
    <row r="28">
      <c r="A28" s="12" t="inlineStr">
        <is>
          <t>drv:지배주주순이익</t>
        </is>
      </c>
      <c r="B28" s="2" t="inlineStr">
        <is>
          <t>ratio</t>
        </is>
      </c>
      <c r="C28" t="inlineStr">
        <is>
          <t>지배주주 비중(/당기순이익)</t>
        </is>
      </c>
      <c r="E28" s="21">
        <f>IFERROR(subQ!E21/subQ!E20,"")</f>
        <v/>
      </c>
      <c r="F28" s="22">
        <f>IFERROR(subQ!F21/subQ!F20,"")</f>
        <v/>
      </c>
      <c r="G28" s="21">
        <f>IFERROR(subQ!G21/subQ!G20,"")</f>
        <v/>
      </c>
      <c r="H28" s="21">
        <f>IFERROR(subQ!H21/subQ!H20,"")</f>
        <v/>
      </c>
      <c r="I28" s="21">
        <f>IFERROR(subQ!I21/subQ!I20,"")</f>
        <v/>
      </c>
      <c r="J28" s="21">
        <f>IFERROR(subQ!J21/subQ!J20,"")</f>
        <v/>
      </c>
      <c r="K28" s="22">
        <f>IFERROR(subQ!K21/subQ!K20,"")</f>
        <v/>
      </c>
      <c r="L28" s="21">
        <f>IFERROR(subQ!L21/subQ!L20,"")</f>
        <v/>
      </c>
      <c r="M28" s="21">
        <f>IFERROR(subQ!M21/subQ!M20,"")</f>
        <v/>
      </c>
      <c r="N28" s="21">
        <f>IFERROR(subQ!N21/subQ!N20,"")</f>
        <v/>
      </c>
      <c r="O28" s="21">
        <f>IFERROR(subQ!O21/subQ!O20,"")</f>
        <v/>
      </c>
      <c r="P28" s="22">
        <f>IFERROR(subQ!P21/subQ!P20,"")</f>
        <v/>
      </c>
      <c r="Q28" s="21">
        <f>IFERROR(subQ!Q21/subQ!Q20,"")</f>
        <v/>
      </c>
      <c r="R28" s="21">
        <f>IFERROR(subQ!R21/subQ!R20,"")</f>
        <v/>
      </c>
      <c r="S28" s="21">
        <f>IFERROR(subQ!S21/subQ!S20,"")</f>
        <v/>
      </c>
      <c r="T28" s="21">
        <f>IFERROR(subQ!T21/subQ!T20,"")</f>
        <v/>
      </c>
      <c r="U28" s="22">
        <f>IFERROR(subQ!U21/subQ!U20,"")</f>
        <v/>
      </c>
      <c r="V28" s="21">
        <f>IFERROR(subQ!V21/subQ!V20,"")</f>
        <v/>
      </c>
      <c r="W28" s="21">
        <f>IFERROR(subQ!W21/subQ!W20,"")</f>
        <v/>
      </c>
      <c r="X28" s="21">
        <f>IFERROR(subQ!X21/subQ!X20,"")</f>
        <v/>
      </c>
      <c r="Y28" s="21">
        <f>IFERROR(subQ!Y21/subQ!Y20,"")</f>
        <v/>
      </c>
      <c r="Z28" s="22">
        <f>IFERROR(subQ!Z21/subQ!Z20,"")</f>
        <v/>
      </c>
      <c r="AA28" s="21">
        <f>IFERROR(subQ!AA21/subQ!AA20,"")</f>
        <v/>
      </c>
      <c r="AB28" s="23">
        <f>IFERROR(subQ!AB21/subQ!AB20,"")</f>
        <v/>
      </c>
      <c r="AC28" s="24">
        <f>$D$56</f>
        <v/>
      </c>
      <c r="AD28" s="24">
        <f>$D$56</f>
        <v/>
      </c>
      <c r="AE28" s="25">
        <f>IFERROR(subQ!AE21/subQ!AE20,"")</f>
        <v/>
      </c>
      <c r="AF28" s="24">
        <f>$D$56</f>
        <v/>
      </c>
      <c r="AG28" s="24">
        <f>$D$56</f>
        <v/>
      </c>
      <c r="AH28" s="24">
        <f>$D$56</f>
        <v/>
      </c>
      <c r="AI28" s="24">
        <f>$D$56</f>
        <v/>
      </c>
      <c r="AJ28" s="25">
        <f>IFERROR(subQ!AJ21/subQ!AJ20,"")</f>
        <v/>
      </c>
      <c r="AK28" s="24">
        <f>$D$56</f>
        <v/>
      </c>
      <c r="AL28" s="24">
        <f>$D$56</f>
        <v/>
      </c>
      <c r="AM28" s="24">
        <f>$D$56</f>
        <v/>
      </c>
      <c r="AN28" s="24">
        <f>$D$56</f>
        <v/>
      </c>
      <c r="AO28" s="25">
        <f>IFERROR(subQ!AO21/subQ!AO20,"")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IFERROR(subQ!G23/subQ!E23-1,"")</f>
        <v/>
      </c>
      <c r="H29" s="21">
        <f>IFERROR(subQ!H23/subQ!G23-1,"")</f>
        <v/>
      </c>
      <c r="I29" s="21">
        <f>IFERROR(subQ!I23/subQ!H23-1,"")</f>
        <v/>
      </c>
      <c r="J29" s="21">
        <f>IFERROR(subQ!J23/subQ!I23-1,"")</f>
        <v/>
      </c>
      <c r="K29" s="22" t="n"/>
      <c r="L29" s="21">
        <f>IFERROR(subQ!L23/subQ!J23-1,"")</f>
        <v/>
      </c>
      <c r="M29" s="21">
        <f>IFERROR(subQ!M23/subQ!L23-1,"")</f>
        <v/>
      </c>
      <c r="N29" s="21">
        <f>IFERROR(subQ!N23/subQ!M23-1,"")</f>
        <v/>
      </c>
      <c r="O29" s="21">
        <f>IFERROR(subQ!O23/subQ!N23-1,"")</f>
        <v/>
      </c>
      <c r="P29" s="22" t="n"/>
      <c r="Q29" s="21">
        <f>IFERROR(subQ!Q23/subQ!O23-1,"")</f>
        <v/>
      </c>
      <c r="R29" s="21">
        <f>IFERROR(subQ!R23/subQ!Q23-1,"")</f>
        <v/>
      </c>
      <c r="S29" s="21">
        <f>IFERROR(subQ!S23/subQ!R23-1,"")</f>
        <v/>
      </c>
      <c r="T29" s="21">
        <f>IFERROR(subQ!T23/subQ!S23-1,"")</f>
        <v/>
      </c>
      <c r="U29" s="22" t="n"/>
      <c r="V29" s="21">
        <f>IFERROR(subQ!V23/subQ!T23-1,"")</f>
        <v/>
      </c>
      <c r="W29" s="21">
        <f>IFERROR(subQ!W23/subQ!V23-1,"")</f>
        <v/>
      </c>
      <c r="X29" s="21">
        <f>IFERROR(subQ!X23/subQ!W23-1,"")</f>
        <v/>
      </c>
      <c r="Y29" s="21">
        <f>IFERROR(subQ!Y23/subQ!X23-1,"")</f>
        <v/>
      </c>
      <c r="Z29" s="22" t="n"/>
      <c r="AA29" s="21">
        <f>IFERROR(subQ!AA23/subQ!Y23-1,"")</f>
        <v/>
      </c>
      <c r="AB29" s="23">
        <f>IFERROR(subQ!AB23/subQ!AA23-1,"")</f>
        <v/>
      </c>
      <c r="AC29" s="31" t="n">
        <v>3.9e-08</v>
      </c>
      <c r="AD29" s="31" t="n">
        <v>0</v>
      </c>
      <c r="AE29" s="25" t="n"/>
      <c r="AF29" s="31" t="n">
        <v>0</v>
      </c>
      <c r="AG29" s="31" t="n">
        <v>0</v>
      </c>
      <c r="AH29" s="31" t="n">
        <v>0</v>
      </c>
      <c r="AI29" s="31" t="n">
        <v>0</v>
      </c>
      <c r="AJ29" s="25" t="n"/>
      <c r="AK29" s="31" t="n">
        <v>0</v>
      </c>
      <c r="AL29" s="31" t="n">
        <v>0</v>
      </c>
      <c r="AM29" s="31" t="n">
        <v>0</v>
      </c>
      <c r="AN29" s="31" t="n">
        <v>0</v>
      </c>
      <c r="AO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6" t="n"/>
      <c r="F30" s="27" t="n"/>
      <c r="G30" s="26">
        <f>IFERROR(subQ!E24+subQ!G20-subQ!G24,"")</f>
        <v/>
      </c>
      <c r="H30" s="26">
        <f>IFERROR(subQ!G24+subQ!H20-subQ!H24,"")</f>
        <v/>
      </c>
      <c r="I30" s="26">
        <f>IFERROR(subQ!H24+subQ!I20-subQ!I24,"")</f>
        <v/>
      </c>
      <c r="J30" s="26">
        <f>IFERROR(subQ!I24+subQ!J20-subQ!J24,"")</f>
        <v/>
      </c>
      <c r="K30" s="27" t="n"/>
      <c r="L30" s="26">
        <f>IFERROR(subQ!J24+subQ!L20-subQ!L24,"")</f>
        <v/>
      </c>
      <c r="M30" s="26">
        <f>IFERROR(subQ!L24+subQ!M20-subQ!M24,"")</f>
        <v/>
      </c>
      <c r="N30" s="26">
        <f>IFERROR(subQ!M24+subQ!N20-subQ!N24,"")</f>
        <v/>
      </c>
      <c r="O30" s="26">
        <f>IFERROR(subQ!N24+subQ!O20-subQ!O24,"")</f>
        <v/>
      </c>
      <c r="P30" s="27" t="n"/>
      <c r="Q30" s="26">
        <f>IFERROR(subQ!O24+subQ!Q20-subQ!Q24,"")</f>
        <v/>
      </c>
      <c r="R30" s="26">
        <f>IFERROR(subQ!Q24+subQ!R20-subQ!R24,"")</f>
        <v/>
      </c>
      <c r="S30" s="26">
        <f>IFERROR(subQ!R24+subQ!S20-subQ!S24,"")</f>
        <v/>
      </c>
      <c r="T30" s="26">
        <f>IFERROR(subQ!S24+subQ!T20-subQ!T24,"")</f>
        <v/>
      </c>
      <c r="U30" s="27" t="n"/>
      <c r="V30" s="26">
        <f>IFERROR(subQ!T24+subQ!V20-subQ!V24,"")</f>
        <v/>
      </c>
      <c r="W30" s="26">
        <f>IFERROR(subQ!V24+subQ!W20-subQ!W24,"")</f>
        <v/>
      </c>
      <c r="X30" s="26">
        <f>IFERROR(subQ!W24+subQ!X20-subQ!X24,"")</f>
        <v/>
      </c>
      <c r="Y30" s="26">
        <f>IFERROR(subQ!X24+subQ!Y20-subQ!Y24,"")</f>
        <v/>
      </c>
      <c r="Z30" s="27" t="n"/>
      <c r="AA30" s="26">
        <f>IFERROR(subQ!Y24+subQ!AA20-subQ!AA24,"")</f>
        <v/>
      </c>
      <c r="AB30" s="28">
        <f>IFERROR(subQ!AA24+subQ!AB20-subQ!AB24,"")</f>
        <v/>
      </c>
      <c r="AC30" s="29" t="n">
        <v>-0.01662006</v>
      </c>
      <c r="AD30" s="29" t="n">
        <v>-0.010357283</v>
      </c>
      <c r="AE30" s="30" t="n"/>
      <c r="AF30" s="29" t="n">
        <v>0.004744529</v>
      </c>
      <c r="AG30" s="29" t="n">
        <v>-0.015303061</v>
      </c>
      <c r="AH30" s="29" t="n">
        <v>-0.008136676000000001</v>
      </c>
      <c r="AI30" s="29" t="n">
        <v>-0.006513659</v>
      </c>
      <c r="AJ30" s="30" t="n"/>
      <c r="AK30" s="29" t="n">
        <v>-0.003354116</v>
      </c>
      <c r="AL30" s="29" t="n">
        <v>0.001469314</v>
      </c>
      <c r="AM30" s="29" t="n">
        <v>3.5952e-05</v>
      </c>
      <c r="AN30" s="29" t="n">
        <v>-0.001256641</v>
      </c>
      <c r="AO30" s="30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6" t="n"/>
      <c r="F31" s="27" t="n"/>
      <c r="G31" s="26">
        <f>IFERROR(subQ!E25+subQ!G21-subQ!G25,"")</f>
        <v/>
      </c>
      <c r="H31" s="26">
        <f>IFERROR(subQ!G25+subQ!H21-subQ!H25,"")</f>
        <v/>
      </c>
      <c r="I31" s="26">
        <f>IFERROR(subQ!H25+subQ!I21-subQ!I25,"")</f>
        <v/>
      </c>
      <c r="J31" s="26">
        <f>IFERROR(subQ!I25+subQ!J21-subQ!J25,"")</f>
        <v/>
      </c>
      <c r="K31" s="27" t="n"/>
      <c r="L31" s="26">
        <f>IFERROR(subQ!J25+subQ!L21-subQ!L25,"")</f>
        <v/>
      </c>
      <c r="M31" s="26">
        <f>IFERROR(subQ!L25+subQ!M21-subQ!M25,"")</f>
        <v/>
      </c>
      <c r="N31" s="26">
        <f>IFERROR(subQ!M25+subQ!N21-subQ!N25,"")</f>
        <v/>
      </c>
      <c r="O31" s="26">
        <f>IFERROR(subQ!N25+subQ!O21-subQ!O25,"")</f>
        <v/>
      </c>
      <c r="P31" s="27" t="n"/>
      <c r="Q31" s="26">
        <f>IFERROR(subQ!O25+subQ!Q21-subQ!Q25,"")</f>
        <v/>
      </c>
      <c r="R31" s="26">
        <f>IFERROR(subQ!Q25+subQ!R21-subQ!R25,"")</f>
        <v/>
      </c>
      <c r="S31" s="26">
        <f>IFERROR(subQ!R25+subQ!S21-subQ!S25,"")</f>
        <v/>
      </c>
      <c r="T31" s="26">
        <f>IFERROR(subQ!S25+subQ!T21-subQ!T25,"")</f>
        <v/>
      </c>
      <c r="U31" s="27" t="n"/>
      <c r="V31" s="26">
        <f>IFERROR(subQ!T25+subQ!V21-subQ!V25,"")</f>
        <v/>
      </c>
      <c r="W31" s="26">
        <f>IFERROR(subQ!V25+subQ!W21-subQ!W25,"")</f>
        <v/>
      </c>
      <c r="X31" s="26">
        <f>IFERROR(subQ!W25+subQ!X21-subQ!X25,"")</f>
        <v/>
      </c>
      <c r="Y31" s="26">
        <f>IFERROR(subQ!X25+subQ!Y21-subQ!Y25,"")</f>
        <v/>
      </c>
      <c r="Z31" s="27" t="n"/>
      <c r="AA31" s="26">
        <f>IFERROR(subQ!Y25+subQ!AA21-subQ!AA25,"")</f>
        <v/>
      </c>
      <c r="AB31" s="28">
        <f>IFERROR(subQ!AA25+subQ!AB21-subQ!AB25,"")</f>
        <v/>
      </c>
      <c r="AC31" s="29" t="n">
        <v>-0.009763957</v>
      </c>
      <c r="AD31" s="29" t="n">
        <v>-0.0078098</v>
      </c>
      <c r="AE31" s="30" t="n"/>
      <c r="AF31" s="29" t="n">
        <v>-0.000155394</v>
      </c>
      <c r="AG31" s="29" t="n">
        <v>-0.013661483</v>
      </c>
      <c r="AH31" s="29" t="n">
        <v>-0.003030048</v>
      </c>
      <c r="AI31" s="29" t="n">
        <v>0.001194955</v>
      </c>
      <c r="AJ31" s="30" t="n"/>
      <c r="AK31" s="29" t="n">
        <v>-0.003740682</v>
      </c>
      <c r="AL31" s="29" t="n">
        <v>0.002175579</v>
      </c>
      <c r="AM31" s="29" t="n">
        <v>0.004347552</v>
      </c>
      <c r="AN31" s="29" t="n">
        <v>0.004252885</v>
      </c>
      <c r="AO31" s="30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IFERROR(subQ!G26/subQ!E26-1,"")</f>
        <v/>
      </c>
      <c r="H32" s="21">
        <f>IFERROR(subQ!H26/subQ!G26-1,"")</f>
        <v/>
      </c>
      <c r="I32" s="21">
        <f>IFERROR(subQ!I26/subQ!H26-1,"")</f>
        <v/>
      </c>
      <c r="J32" s="21">
        <f>IFERROR(subQ!J26/subQ!I26-1,"")</f>
        <v/>
      </c>
      <c r="K32" s="22" t="n"/>
      <c r="L32" s="21">
        <f>IFERROR(subQ!L26/subQ!J26-1,"")</f>
        <v/>
      </c>
      <c r="M32" s="21">
        <f>IFERROR(subQ!M26/subQ!L26-1,"")</f>
        <v/>
      </c>
      <c r="N32" s="21">
        <f>IFERROR(subQ!N26/subQ!M26-1,"")</f>
        <v/>
      </c>
      <c r="O32" s="21">
        <f>IFERROR(subQ!O26/subQ!N26-1,"")</f>
        <v/>
      </c>
      <c r="P32" s="22" t="n"/>
      <c r="Q32" s="21">
        <f>IFERROR(subQ!Q26/subQ!O26-1,"")</f>
        <v/>
      </c>
      <c r="R32" s="21">
        <f>IFERROR(subQ!R26/subQ!Q26-1,"")</f>
        <v/>
      </c>
      <c r="S32" s="21">
        <f>IFERROR(subQ!S26/subQ!R26-1,"")</f>
        <v/>
      </c>
      <c r="T32" s="21">
        <f>IFERROR(subQ!T26/subQ!S26-1,"")</f>
        <v/>
      </c>
      <c r="U32" s="22" t="n"/>
      <c r="V32" s="21">
        <f>IFERROR(subQ!V26/subQ!T26-1,"")</f>
        <v/>
      </c>
      <c r="W32" s="21">
        <f>IFERROR(subQ!W26/subQ!V26-1,"")</f>
        <v/>
      </c>
      <c r="X32" s="21">
        <f>IFERROR(subQ!X26/subQ!W26-1,"")</f>
        <v/>
      </c>
      <c r="Y32" s="21">
        <f>IFERROR(subQ!Y26/subQ!X26-1,"")</f>
        <v/>
      </c>
      <c r="Z32" s="22" t="n"/>
      <c r="AA32" s="21">
        <f>IFERROR(subQ!AA26/subQ!Y26-1,"")</f>
        <v/>
      </c>
      <c r="AB32" s="23">
        <f>IFERROR(subQ!AB26/subQ!AA26-1,"")</f>
        <v/>
      </c>
      <c r="AC32" s="31" t="n">
        <v>8e-09</v>
      </c>
      <c r="AD32" s="31" t="n">
        <v>0</v>
      </c>
      <c r="AE32" s="25" t="n"/>
      <c r="AF32" s="31" t="n">
        <v>0</v>
      </c>
      <c r="AG32" s="31" t="n">
        <v>0</v>
      </c>
      <c r="AH32" s="31" t="n">
        <v>0</v>
      </c>
      <c r="AI32" s="31" t="n">
        <v>0</v>
      </c>
      <c r="AJ32" s="25" t="n"/>
      <c r="AK32" s="31" t="n">
        <v>0</v>
      </c>
      <c r="AL32" s="31" t="n">
        <v>0</v>
      </c>
      <c r="AM32" s="31" t="n">
        <v>0</v>
      </c>
      <c r="AN32" s="31" t="n">
        <v>0</v>
      </c>
      <c r="AO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IFERROR(subQ!G27/subQ!E27-1,"")</f>
        <v/>
      </c>
      <c r="H33" s="21">
        <f>IFERROR(subQ!H27/subQ!G27-1,"")</f>
        <v/>
      </c>
      <c r="I33" s="21">
        <f>IFERROR(subQ!I27/subQ!H27-1,"")</f>
        <v/>
      </c>
      <c r="J33" s="21">
        <f>IFERROR(subQ!J27/subQ!I27-1,"")</f>
        <v/>
      </c>
      <c r="K33" s="22" t="n"/>
      <c r="L33" s="21">
        <f>IFERROR(subQ!L27/subQ!J27-1,"")</f>
        <v/>
      </c>
      <c r="M33" s="21">
        <f>IFERROR(subQ!M27/subQ!L27-1,"")</f>
        <v/>
      </c>
      <c r="N33" s="21">
        <f>IFERROR(subQ!N27/subQ!M27-1,"")</f>
        <v/>
      </c>
      <c r="O33" s="21">
        <f>IFERROR(subQ!O27/subQ!N27-1,"")</f>
        <v/>
      </c>
      <c r="P33" s="22" t="n"/>
      <c r="Q33" s="21">
        <f>IFERROR(subQ!Q27/subQ!O27-1,"")</f>
        <v/>
      </c>
      <c r="R33" s="21">
        <f>IFERROR(subQ!R27/subQ!Q27-1,"")</f>
        <v/>
      </c>
      <c r="S33" s="21">
        <f>IFERROR(subQ!S27/subQ!R27-1,"")</f>
        <v/>
      </c>
      <c r="T33" s="21">
        <f>IFERROR(subQ!T27/subQ!S27-1,"")</f>
        <v/>
      </c>
      <c r="U33" s="22" t="n"/>
      <c r="V33" s="21">
        <f>IFERROR(subQ!V27/subQ!T27-1,"")</f>
        <v/>
      </c>
      <c r="W33" s="21">
        <f>IFERROR(subQ!W27/subQ!V27-1,"")</f>
        <v/>
      </c>
      <c r="X33" s="21">
        <f>IFERROR(subQ!X27/subQ!W27-1,"")</f>
        <v/>
      </c>
      <c r="Y33" s="21">
        <f>IFERROR(subQ!Y27/subQ!X27-1,"")</f>
        <v/>
      </c>
      <c r="Z33" s="22" t="n"/>
      <c r="AA33" s="21">
        <f>IFERROR(subQ!AA27/subQ!Y27-1,"")</f>
        <v/>
      </c>
      <c r="AB33" s="23">
        <f>IFERROR(subQ!AB27/subQ!AA27-1,"")</f>
        <v/>
      </c>
      <c r="AC33" s="31" t="n">
        <v>-0.091654624</v>
      </c>
      <c r="AD33" s="31" t="n">
        <v>-0.104597465</v>
      </c>
      <c r="AE33" s="25" t="n"/>
      <c r="AF33" s="31" t="n">
        <v>-0.114793494</v>
      </c>
      <c r="AG33" s="31" t="n">
        <v>-0.132775746</v>
      </c>
      <c r="AH33" s="31" t="n">
        <v>-0.159848001</v>
      </c>
      <c r="AI33" s="31" t="n">
        <v>-0.19934754</v>
      </c>
      <c r="AJ33" s="25" t="n"/>
      <c r="AK33" s="31" t="n">
        <v>-0.261401577</v>
      </c>
      <c r="AL33" s="31" t="n">
        <v>-0.268558853</v>
      </c>
      <c r="AM33" s="31" t="n">
        <v>-0.271734488</v>
      </c>
      <c r="AN33" s="31" t="n">
        <v>-0.407446936</v>
      </c>
      <c r="AO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IFERROR(subQ!G28/subQ!E28-1,"")</f>
        <v/>
      </c>
      <c r="H34" s="21">
        <f>IFERROR(subQ!H28/subQ!G28-1,"")</f>
        <v/>
      </c>
      <c r="I34" s="21">
        <f>IFERROR(subQ!I28/subQ!H28-1,"")</f>
        <v/>
      </c>
      <c r="J34" s="21">
        <f>IFERROR(subQ!J28/subQ!I28-1,"")</f>
        <v/>
      </c>
      <c r="K34" s="22" t="n"/>
      <c r="L34" s="21">
        <f>IFERROR(subQ!L28/subQ!J28-1,"")</f>
        <v/>
      </c>
      <c r="M34" s="21">
        <f>IFERROR(subQ!M28/subQ!L28-1,"")</f>
        <v/>
      </c>
      <c r="N34" s="21">
        <f>IFERROR(subQ!N28/subQ!M28-1,"")</f>
        <v/>
      </c>
      <c r="O34" s="21">
        <f>IFERROR(subQ!O28/subQ!N28-1,"")</f>
        <v/>
      </c>
      <c r="P34" s="22" t="n"/>
      <c r="Q34" s="21">
        <f>IFERROR(subQ!Q28/subQ!O28-1,"")</f>
        <v/>
      </c>
      <c r="R34" s="21">
        <f>IFERROR(subQ!R28/subQ!Q28-1,"")</f>
        <v/>
      </c>
      <c r="S34" s="21">
        <f>IFERROR(subQ!S28/subQ!R28-1,"")</f>
        <v/>
      </c>
      <c r="T34" s="21">
        <f>IFERROR(subQ!T28/subQ!S28-1,"")</f>
        <v/>
      </c>
      <c r="U34" s="22" t="n"/>
      <c r="V34" s="21">
        <f>IFERROR(subQ!V28/subQ!T28-1,"")</f>
        <v/>
      </c>
      <c r="W34" s="21">
        <f>IFERROR(subQ!W28/subQ!V28-1,"")</f>
        <v/>
      </c>
      <c r="X34" s="21">
        <f>IFERROR(subQ!X28/subQ!W28-1,"")</f>
        <v/>
      </c>
      <c r="Y34" s="21">
        <f>IFERROR(subQ!Y28/subQ!X28-1,"")</f>
        <v/>
      </c>
      <c r="Z34" s="22" t="n"/>
      <c r="AA34" s="21">
        <f>IFERROR(subQ!AA28/subQ!Y28-1,"")</f>
        <v/>
      </c>
      <c r="AB34" s="23">
        <f>IFERROR(subQ!AB28/subQ!AA28-1,"")</f>
        <v/>
      </c>
      <c r="AC34" s="31" t="n">
        <v>0.235155723</v>
      </c>
      <c r="AD34" s="31" t="n">
        <v>0.197356579</v>
      </c>
      <c r="AE34" s="25" t="n"/>
      <c r="AF34" s="31" t="n">
        <v>0.161972966</v>
      </c>
      <c r="AG34" s="31" t="n">
        <v>0.142722546</v>
      </c>
      <c r="AH34" s="31" t="n">
        <v>0.13039822</v>
      </c>
      <c r="AI34" s="31" t="n">
        <v>0.120865328</v>
      </c>
      <c r="AJ34" s="25" t="n"/>
      <c r="AK34" s="31" t="n">
        <v>0.113211043</v>
      </c>
      <c r="AL34" s="31" t="n">
        <v>0.077170791</v>
      </c>
      <c r="AM34" s="31" t="n">
        <v>0.053021488</v>
      </c>
      <c r="AN34" s="31" t="n">
        <v>0.054983289</v>
      </c>
      <c r="AO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IFERROR(subQ!G29/subQ!E29-1,"")</f>
        <v/>
      </c>
      <c r="H35" s="21">
        <f>IFERROR(subQ!H29/subQ!G29-1,"")</f>
        <v/>
      </c>
      <c r="I35" s="21">
        <f>IFERROR(subQ!I29/subQ!H29-1,"")</f>
        <v/>
      </c>
      <c r="J35" s="21">
        <f>IFERROR(subQ!J29/subQ!I29-1,"")</f>
        <v/>
      </c>
      <c r="K35" s="22" t="n"/>
      <c r="L35" s="21">
        <f>IFERROR(subQ!L29/subQ!J29-1,"")</f>
        <v/>
      </c>
      <c r="M35" s="21">
        <f>IFERROR(subQ!M29/subQ!L29-1,"")</f>
        <v/>
      </c>
      <c r="N35" s="21">
        <f>IFERROR(subQ!N29/subQ!M29-1,"")</f>
        <v/>
      </c>
      <c r="O35" s="21">
        <f>IFERROR(subQ!O29/subQ!N29-1,"")</f>
        <v/>
      </c>
      <c r="P35" s="22" t="n"/>
      <c r="Q35" s="21">
        <f>IFERROR(subQ!Q29/subQ!O29-1,"")</f>
        <v/>
      </c>
      <c r="R35" s="21">
        <f>IFERROR(subQ!R29/subQ!Q29-1,"")</f>
        <v/>
      </c>
      <c r="S35" s="21">
        <f>IFERROR(subQ!S29/subQ!R29-1,"")</f>
        <v/>
      </c>
      <c r="T35" s="21">
        <f>IFERROR(subQ!T29/subQ!S29-1,"")</f>
        <v/>
      </c>
      <c r="U35" s="22" t="n"/>
      <c r="V35" s="21">
        <f>IFERROR(subQ!V29/subQ!T29-1,"")</f>
        <v/>
      </c>
      <c r="W35" s="21">
        <f>IFERROR(subQ!W29/subQ!V29-1,"")</f>
        <v/>
      </c>
      <c r="X35" s="21">
        <f>IFERROR(subQ!X29/subQ!W29-1,"")</f>
        <v/>
      </c>
      <c r="Y35" s="21">
        <f>IFERROR(subQ!Y29/subQ!X29-1,"")</f>
        <v/>
      </c>
      <c r="Z35" s="22" t="n"/>
      <c r="AA35" s="21">
        <f>IFERROR(subQ!AA29/subQ!Y29-1,"")</f>
        <v/>
      </c>
      <c r="AB35" s="23">
        <f>IFERROR(subQ!AB29/subQ!AA29-1,"")</f>
        <v/>
      </c>
      <c r="AC35" s="32" t="n"/>
      <c r="AD35" s="32" t="n"/>
      <c r="AE35" s="25" t="n"/>
      <c r="AF35" s="32" t="n"/>
      <c r="AG35" s="32" t="n"/>
      <c r="AH35" s="32" t="n"/>
      <c r="AI35" s="32" t="n"/>
      <c r="AJ35" s="25" t="n"/>
      <c r="AK35" s="32" t="n"/>
      <c r="AL35" s="32" t="n"/>
      <c r="AM35" s="32" t="n"/>
      <c r="AN35" s="32" t="n"/>
      <c r="AO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IFERROR(subQ!J30/subQ!E30-1,"")</f>
        <v/>
      </c>
      <c r="K36" s="22" t="n"/>
      <c r="L36" s="21">
        <f>IFERROR(subQ!L30/subQ!G30-1,"")</f>
        <v/>
      </c>
      <c r="M36" s="21">
        <f>IFERROR(subQ!M30/subQ!H30-1,"")</f>
        <v/>
      </c>
      <c r="N36" s="21">
        <f>IFERROR(subQ!N30/subQ!I30-1,"")</f>
        <v/>
      </c>
      <c r="O36" s="21">
        <f>IFERROR(subQ!O30/subQ!J30-1,"")</f>
        <v/>
      </c>
      <c r="P36" s="22" t="n"/>
      <c r="Q36" s="21">
        <f>IFERROR(subQ!Q30/subQ!L30-1,"")</f>
        <v/>
      </c>
      <c r="R36" s="21">
        <f>IFERROR(subQ!R30/subQ!M30-1,"")</f>
        <v/>
      </c>
      <c r="S36" s="21">
        <f>IFERROR(subQ!S30/subQ!N30-1,"")</f>
        <v/>
      </c>
      <c r="T36" s="21">
        <f>IFERROR(subQ!T30/subQ!O30-1,"")</f>
        <v/>
      </c>
      <c r="U36" s="22" t="n"/>
      <c r="V36" s="21">
        <f>IFERROR(subQ!V30/subQ!Q30-1,"")</f>
        <v/>
      </c>
      <c r="W36" s="21">
        <f>IFERROR(subQ!W30/subQ!R30-1,"")</f>
        <v/>
      </c>
      <c r="X36" s="21">
        <f>IFERROR(subQ!X30/subQ!S30-1,"")</f>
        <v/>
      </c>
      <c r="Y36" s="21">
        <f>IFERROR(subQ!Y30/subQ!T30-1,"")</f>
        <v/>
      </c>
      <c r="Z36" s="22" t="n"/>
      <c r="AA36" s="21">
        <f>IFERROR(subQ!AA30/subQ!V30-1,"")</f>
        <v/>
      </c>
      <c r="AB36" s="23">
        <f>IFERROR(subQ!AB30/subQ!W30-1,"")</f>
        <v/>
      </c>
      <c r="AC36" s="31" t="n">
        <v>-0.078054236</v>
      </c>
      <c r="AD36" s="31" t="n">
        <v>-0.321387684</v>
      </c>
      <c r="AE36" s="25" t="n"/>
      <c r="AF36" s="31" t="n">
        <v>1.017898192</v>
      </c>
      <c r="AG36" s="31" t="n">
        <v>0.09248952100000001</v>
      </c>
      <c r="AH36" s="31" t="n">
        <v>0</v>
      </c>
      <c r="AI36" s="31" t="n">
        <v>0</v>
      </c>
      <c r="AJ36" s="25" t="n"/>
      <c r="AK36" s="31" t="n">
        <v>0</v>
      </c>
      <c r="AL36" s="31" t="n">
        <v>0</v>
      </c>
      <c r="AM36" s="31" t="n">
        <v>0</v>
      </c>
      <c r="AN36" s="31" t="n">
        <v>0</v>
      </c>
      <c r="AO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IFERROR(subQ!J31/subQ!E31-1,"")</f>
        <v/>
      </c>
      <c r="K37" s="22" t="n"/>
      <c r="L37" s="21">
        <f>IFERROR(subQ!L31/subQ!G31-1,"")</f>
        <v/>
      </c>
      <c r="M37" s="21">
        <f>IFERROR(subQ!M31/subQ!H31-1,"")</f>
        <v/>
      </c>
      <c r="N37" s="21">
        <f>IFERROR(subQ!N31/subQ!I31-1,"")</f>
        <v/>
      </c>
      <c r="O37" s="21">
        <f>IFERROR(subQ!O31/subQ!J31-1,"")</f>
        <v/>
      </c>
      <c r="P37" s="22" t="n"/>
      <c r="Q37" s="21">
        <f>IFERROR(subQ!Q31/subQ!L31-1,"")</f>
        <v/>
      </c>
      <c r="R37" s="21">
        <f>IFERROR(subQ!R31/subQ!M31-1,"")</f>
        <v/>
      </c>
      <c r="S37" s="21">
        <f>IFERROR(subQ!S31/subQ!N31-1,"")</f>
        <v/>
      </c>
      <c r="T37" s="21">
        <f>IFERROR(subQ!T31/subQ!O31-1,"")</f>
        <v/>
      </c>
      <c r="U37" s="22" t="n"/>
      <c r="V37" s="21">
        <f>IFERROR(subQ!V31/subQ!Q31-1,"")</f>
        <v/>
      </c>
      <c r="W37" s="21">
        <f>IFERROR(subQ!W31/subQ!R31-1,"")</f>
        <v/>
      </c>
      <c r="X37" s="21">
        <f>IFERROR(subQ!X31/subQ!S31-1,"")</f>
        <v/>
      </c>
      <c r="Y37" s="21">
        <f>IFERROR(subQ!Y31/subQ!T31-1,"")</f>
        <v/>
      </c>
      <c r="Z37" s="22" t="n"/>
      <c r="AA37" s="21">
        <f>IFERROR(subQ!AA31/subQ!V31-1,"")</f>
        <v/>
      </c>
      <c r="AB37" s="23">
        <f>IFERROR(subQ!AB31/subQ!W31-1,"")</f>
        <v/>
      </c>
      <c r="AC37" s="32" t="n"/>
      <c r="AD37" s="32" t="n"/>
      <c r="AE37" s="25" t="n"/>
      <c r="AF37" s="32" t="n"/>
      <c r="AG37" s="32" t="n"/>
      <c r="AH37" s="32" t="n"/>
      <c r="AI37" s="32" t="n"/>
      <c r="AJ37" s="25" t="n"/>
      <c r="AK37" s="32" t="n"/>
      <c r="AL37" s="32" t="n"/>
      <c r="AM37" s="32" t="n"/>
      <c r="AN37" s="32" t="n"/>
      <c r="AO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IFERROR(subQ!G32/subQ!E32-1,"")</f>
        <v/>
      </c>
      <c r="H38" s="21">
        <f>IFERROR(subQ!H32/subQ!G32-1,"")</f>
        <v/>
      </c>
      <c r="I38" s="21">
        <f>IFERROR(subQ!I32/subQ!H32-1,"")</f>
        <v/>
      </c>
      <c r="J38" s="21">
        <f>IFERROR(subQ!J32/subQ!I32-1,"")</f>
        <v/>
      </c>
      <c r="K38" s="22" t="n"/>
      <c r="L38" s="21">
        <f>IFERROR(subQ!L32/subQ!J32-1,"")</f>
        <v/>
      </c>
      <c r="M38" s="21">
        <f>IFERROR(subQ!M32/subQ!L32-1,"")</f>
        <v/>
      </c>
      <c r="N38" s="21">
        <f>IFERROR(subQ!N32/subQ!M32-1,"")</f>
        <v/>
      </c>
      <c r="O38" s="21">
        <f>IFERROR(subQ!O32/subQ!N32-1,"")</f>
        <v/>
      </c>
      <c r="P38" s="22" t="n"/>
      <c r="Q38" s="21">
        <f>IFERROR(subQ!Q32/subQ!O32-1,"")</f>
        <v/>
      </c>
      <c r="R38" s="21">
        <f>IFERROR(subQ!R32/subQ!Q32-1,"")</f>
        <v/>
      </c>
      <c r="S38" s="21">
        <f>IFERROR(subQ!S32/subQ!R32-1,"")</f>
        <v/>
      </c>
      <c r="T38" s="21">
        <f>IFERROR(subQ!T32/subQ!S32-1,"")</f>
        <v/>
      </c>
      <c r="U38" s="22" t="n"/>
      <c r="V38" s="21">
        <f>IFERROR(subQ!V32/subQ!T32-1,"")</f>
        <v/>
      </c>
      <c r="W38" s="21">
        <f>IFERROR(subQ!W32/subQ!V32-1,"")</f>
        <v/>
      </c>
      <c r="X38" s="21">
        <f>IFERROR(subQ!X32/subQ!W32-1,"")</f>
        <v/>
      </c>
      <c r="Y38" s="21">
        <f>IFERROR(subQ!Y32/subQ!X32-1,"")</f>
        <v/>
      </c>
      <c r="Z38" s="22" t="n"/>
      <c r="AA38" s="21">
        <f>IFERROR(subQ!AA32/subQ!Y32-1,"")</f>
        <v/>
      </c>
      <c r="AB38" s="23">
        <f>IFERROR(subQ!AB32/subQ!AA32-1,"")</f>
        <v/>
      </c>
      <c r="AC38" s="31" t="n">
        <v>0</v>
      </c>
      <c r="AD38" s="31" t="n">
        <v>0</v>
      </c>
      <c r="AE38" s="25" t="n"/>
      <c r="AF38" s="31" t="n">
        <v>0</v>
      </c>
      <c r="AG38" s="31" t="n">
        <v>0</v>
      </c>
      <c r="AH38" s="31" t="n">
        <v>0</v>
      </c>
      <c r="AI38" s="31" t="n">
        <v>0</v>
      </c>
      <c r="AJ38" s="25" t="n"/>
      <c r="AK38" s="31" t="n">
        <v>0</v>
      </c>
      <c r="AL38" s="31" t="n">
        <v>0</v>
      </c>
      <c r="AM38" s="31" t="n">
        <v>0</v>
      </c>
      <c r="AN38" s="31" t="n">
        <v>0</v>
      </c>
      <c r="AO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6">
        <f>subQ!E35</f>
        <v/>
      </c>
      <c r="F39" s="27">
        <f>subQ!F35</f>
        <v/>
      </c>
      <c r="G39" s="26">
        <f>subQ!G35</f>
        <v/>
      </c>
      <c r="H39" s="26">
        <f>subQ!H35</f>
        <v/>
      </c>
      <c r="I39" s="26">
        <f>subQ!I35</f>
        <v/>
      </c>
      <c r="J39" s="26">
        <f>subQ!J35</f>
        <v/>
      </c>
      <c r="K39" s="27">
        <f>subQ!K35</f>
        <v/>
      </c>
      <c r="L39" s="26">
        <f>subQ!L35</f>
        <v/>
      </c>
      <c r="M39" s="26">
        <f>subQ!M35</f>
        <v/>
      </c>
      <c r="N39" s="26">
        <f>subQ!N35</f>
        <v/>
      </c>
      <c r="O39" s="26">
        <f>subQ!O35</f>
        <v/>
      </c>
      <c r="P39" s="27">
        <f>subQ!P35</f>
        <v/>
      </c>
      <c r="Q39" s="26">
        <f>subQ!Q35</f>
        <v/>
      </c>
      <c r="R39" s="26">
        <f>subQ!R35</f>
        <v/>
      </c>
      <c r="S39" s="26">
        <f>subQ!S35</f>
        <v/>
      </c>
      <c r="T39" s="26">
        <f>subQ!T35</f>
        <v/>
      </c>
      <c r="U39" s="27">
        <f>subQ!U35</f>
        <v/>
      </c>
      <c r="V39" s="26">
        <f>subQ!V35</f>
        <v/>
      </c>
      <c r="W39" s="26">
        <f>subQ!W35</f>
        <v/>
      </c>
      <c r="X39" s="26">
        <f>subQ!X35</f>
        <v/>
      </c>
      <c r="Y39" s="26">
        <f>subQ!Y35</f>
        <v/>
      </c>
      <c r="Z39" s="27">
        <f>subQ!Z35</f>
        <v/>
      </c>
      <c r="AA39" s="26">
        <f>subQ!AA35</f>
        <v/>
      </c>
      <c r="AB39" s="28">
        <f>subQ!AB35</f>
        <v/>
      </c>
      <c r="AC39" s="33" t="n"/>
      <c r="AD39" s="29" t="n">
        <v>0</v>
      </c>
      <c r="AE39" s="30">
        <f>subQ!AE35</f>
        <v/>
      </c>
      <c r="AF39" s="33" t="n"/>
      <c r="AG39" s="33" t="n"/>
      <c r="AH39" s="33" t="n"/>
      <c r="AI39" s="29" t="n">
        <v>0</v>
      </c>
      <c r="AJ39" s="30">
        <f>subQ!AJ35</f>
        <v/>
      </c>
      <c r="AK39" s="33" t="n"/>
      <c r="AL39" s="33" t="n"/>
      <c r="AM39" s="33" t="n"/>
      <c r="AN39" s="29" t="n">
        <v>0</v>
      </c>
      <c r="AO39" s="30">
        <f>subQ!AO35</f>
        <v/>
      </c>
    </row>
    <row r="40">
      <c r="A40" s="12" t="inlineStr">
        <is>
          <t>drv:매출조선</t>
        </is>
      </c>
      <c r="B40" s="2" t="inlineStr">
        <is>
          <t>sls_link</t>
        </is>
      </c>
      <c r="C40" t="inlineStr">
        <is>
          <t>원장 밖 잔고 소진(억원) — 매출조선 = SLS 원화/100 + 이 행 + 매출조선신규</t>
        </is>
      </c>
      <c r="E40" s="26">
        <f>IFERROR(subQ!E38-SLS!O107/100,"")</f>
        <v/>
      </c>
      <c r="F40" s="27" t="n"/>
      <c r="G40" s="26">
        <f>IFERROR(subQ!G38-SLS!P107/100,"")</f>
        <v/>
      </c>
      <c r="H40" s="26">
        <f>IFERROR(subQ!H38-SLS!Q107/100,"")</f>
        <v/>
      </c>
      <c r="I40" s="26">
        <f>IFERROR(subQ!I38-SLS!R107/100,"")</f>
        <v/>
      </c>
      <c r="J40" s="26">
        <f>IFERROR(subQ!J38-SLS!S107/100,"")</f>
        <v/>
      </c>
      <c r="K40" s="27" t="n"/>
      <c r="L40" s="26">
        <f>IFERROR(subQ!L38-SLS!T107/100,"")</f>
        <v/>
      </c>
      <c r="M40" s="26">
        <f>IFERROR(subQ!M38-SLS!U107/100,"")</f>
        <v/>
      </c>
      <c r="N40" s="26">
        <f>IFERROR(subQ!N38-SLS!V107/100,"")</f>
        <v/>
      </c>
      <c r="O40" s="26">
        <f>IFERROR(subQ!O38-SLS!W107/100,"")</f>
        <v/>
      </c>
      <c r="P40" s="27" t="n"/>
      <c r="Q40" s="26">
        <f>IFERROR(subQ!Q38-SLS!X107/100,"")</f>
        <v/>
      </c>
      <c r="R40" s="26">
        <f>IFERROR(subQ!R38-SLS!Y107/100,"")</f>
        <v/>
      </c>
      <c r="S40" s="26">
        <f>IFERROR(subQ!S38-SLS!Z107/100,"")</f>
        <v/>
      </c>
      <c r="T40" s="26">
        <f>IFERROR(subQ!T38-SLS!AA107/100,"")</f>
        <v/>
      </c>
      <c r="U40" s="27" t="n"/>
      <c r="V40" s="26">
        <f>IFERROR(subQ!V38-SLS!AB107/100,"")</f>
        <v/>
      </c>
      <c r="W40" s="26">
        <f>IFERROR(subQ!W38-SLS!AC107/100,"")</f>
        <v/>
      </c>
      <c r="X40" s="26">
        <f>IFERROR(subQ!X38-SLS!AD107/100,"")</f>
        <v/>
      </c>
      <c r="Y40" s="26">
        <f>IFERROR(subQ!Y38-SLS!AE107/100,"")</f>
        <v/>
      </c>
      <c r="Z40" s="27" t="n"/>
      <c r="AA40" s="26">
        <f>IFERROR(subQ!AA38-SLS!AF107/100,"")</f>
        <v/>
      </c>
      <c r="AB40" s="28">
        <f>IFERROR(subQ!AB38-SLS!AG107/100,"")</f>
        <v/>
      </c>
      <c r="AC40" s="29" t="n">
        <v>27459.150974</v>
      </c>
      <c r="AD40" s="29" t="n">
        <v>29203.284263</v>
      </c>
      <c r="AE40" s="30" t="n"/>
      <c r="AF40" s="29" t="n">
        <v>29130.658466</v>
      </c>
      <c r="AG40" s="29" t="n">
        <v>29163.548846</v>
      </c>
      <c r="AH40" s="29" t="n">
        <v>29196.570587</v>
      </c>
      <c r="AI40" s="29" t="n">
        <v>29196.566456</v>
      </c>
      <c r="AJ40" s="30" t="n"/>
      <c r="AK40" s="29" t="n">
        <v>29163.558152</v>
      </c>
      <c r="AL40" s="29" t="n">
        <v>15338.359776</v>
      </c>
      <c r="AM40" s="29" t="n">
        <v>3035.474886</v>
      </c>
      <c r="AN40" s="29" t="n">
        <v>3035.557062</v>
      </c>
      <c r="AO40" s="30" t="n"/>
    </row>
    <row r="41">
      <c r="A41" s="12" t="inlineStr">
        <is>
          <t>drv:매출조선신규</t>
        </is>
      </c>
      <c r="B41" s="2" t="inlineStr">
        <is>
          <t>abs</t>
        </is>
      </c>
      <c r="C41" t="inlineStr">
        <is>
          <t>매출조선신규 (forecast_panel base · 공시 상계 신규수주 매출, 억원 — 가정)</t>
        </is>
      </c>
      <c r="E41" s="26">
        <f>subQ!E39</f>
        <v/>
      </c>
      <c r="F41" s="27">
        <f>subQ!F39</f>
        <v/>
      </c>
      <c r="G41" s="26">
        <f>subQ!G39</f>
        <v/>
      </c>
      <c r="H41" s="26">
        <f>subQ!H39</f>
        <v/>
      </c>
      <c r="I41" s="26">
        <f>subQ!I39</f>
        <v/>
      </c>
      <c r="J41" s="26">
        <f>subQ!J39</f>
        <v/>
      </c>
      <c r="K41" s="27">
        <f>subQ!K39</f>
        <v/>
      </c>
      <c r="L41" s="26">
        <f>subQ!L39</f>
        <v/>
      </c>
      <c r="M41" s="26">
        <f>subQ!M39</f>
        <v/>
      </c>
      <c r="N41" s="26">
        <f>subQ!N39</f>
        <v/>
      </c>
      <c r="O41" s="26">
        <f>subQ!O39</f>
        <v/>
      </c>
      <c r="P41" s="27">
        <f>subQ!P39</f>
        <v/>
      </c>
      <c r="Q41" s="26">
        <f>subQ!Q39</f>
        <v/>
      </c>
      <c r="R41" s="26">
        <f>subQ!R39</f>
        <v/>
      </c>
      <c r="S41" s="26">
        <f>subQ!S39</f>
        <v/>
      </c>
      <c r="T41" s="26">
        <f>subQ!T39</f>
        <v/>
      </c>
      <c r="U41" s="27">
        <f>subQ!U39</f>
        <v/>
      </c>
      <c r="V41" s="26">
        <f>subQ!V39</f>
        <v/>
      </c>
      <c r="W41" s="26">
        <f>subQ!W39</f>
        <v/>
      </c>
      <c r="X41" s="26">
        <f>subQ!X39</f>
        <v/>
      </c>
      <c r="Y41" s="26">
        <f>subQ!Y39</f>
        <v/>
      </c>
      <c r="Z41" s="27">
        <f>subQ!Z39</f>
        <v/>
      </c>
      <c r="AA41" s="26">
        <f>subQ!AA39</f>
        <v/>
      </c>
      <c r="AB41" s="28">
        <f>subQ!AB39</f>
        <v/>
      </c>
      <c r="AC41" s="29" t="n">
        <v>0</v>
      </c>
      <c r="AD41" s="29" t="n">
        <v>0</v>
      </c>
      <c r="AE41" s="30">
        <f>subQ!AE39</f>
        <v/>
      </c>
      <c r="AF41" s="29" t="n">
        <v>525.42</v>
      </c>
      <c r="AG41" s="29" t="n">
        <v>1989.58</v>
      </c>
      <c r="AH41" s="29" t="n">
        <v>4224.28</v>
      </c>
      <c r="AI41" s="29" t="n">
        <v>7061.37</v>
      </c>
      <c r="AJ41" s="30">
        <f>subQ!AJ39</f>
        <v/>
      </c>
      <c r="AK41" s="29" t="n">
        <v>10332.65</v>
      </c>
      <c r="AL41" s="29" t="n">
        <v>13869.95</v>
      </c>
      <c r="AM41" s="29" t="n">
        <v>17505.09</v>
      </c>
      <c r="AN41" s="29" t="n">
        <v>21069.91</v>
      </c>
      <c r="AO41" s="30">
        <f>subQ!AO39</f>
        <v/>
      </c>
    </row>
    <row r="42">
      <c r="A42" s="12" t="inlineStr">
        <is>
          <t>drv:OP조선</t>
        </is>
      </c>
      <c r="B42" s="2" t="inlineStr">
        <is>
          <t>ratio</t>
        </is>
      </c>
      <c r="C42" t="inlineStr">
        <is>
          <t>OP조선 마진(/매출조선)</t>
        </is>
      </c>
      <c r="E42" s="21">
        <f>IFERROR(subQ!E40/subQ!E38,"")</f>
        <v/>
      </c>
      <c r="F42" s="22">
        <f>IFERROR(subQ!F40/subQ!F38,"")</f>
        <v/>
      </c>
      <c r="G42" s="21">
        <f>IFERROR(subQ!G40/subQ!G38,"")</f>
        <v/>
      </c>
      <c r="H42" s="21">
        <f>IFERROR(subQ!H40/subQ!H38,"")</f>
        <v/>
      </c>
      <c r="I42" s="21">
        <f>IFERROR(subQ!I40/subQ!I38,"")</f>
        <v/>
      </c>
      <c r="J42" s="21">
        <f>IFERROR(subQ!J40/subQ!J38,"")</f>
        <v/>
      </c>
      <c r="K42" s="22">
        <f>IFERROR(subQ!K40/subQ!K38,"")</f>
        <v/>
      </c>
      <c r="L42" s="21">
        <f>IFERROR(subQ!L40/subQ!L38,"")</f>
        <v/>
      </c>
      <c r="M42" s="21">
        <f>IFERROR(subQ!M40/subQ!M38,"")</f>
        <v/>
      </c>
      <c r="N42" s="21">
        <f>IFERROR(subQ!N40/subQ!N38,"")</f>
        <v/>
      </c>
      <c r="O42" s="21">
        <f>IFERROR(subQ!O40/subQ!O38,"")</f>
        <v/>
      </c>
      <c r="P42" s="22">
        <f>IFERROR(subQ!P40/subQ!P38,"")</f>
        <v/>
      </c>
      <c r="Q42" s="21">
        <f>IFERROR(subQ!Q40/subQ!Q38,"")</f>
        <v/>
      </c>
      <c r="R42" s="21">
        <f>IFERROR(subQ!R40/subQ!R38,"")</f>
        <v/>
      </c>
      <c r="S42" s="21">
        <f>IFERROR(subQ!S40/subQ!S38,"")</f>
        <v/>
      </c>
      <c r="T42" s="21">
        <f>IFERROR(subQ!T40/subQ!T38,"")</f>
        <v/>
      </c>
      <c r="U42" s="22">
        <f>IFERROR(subQ!U40/subQ!U38,"")</f>
        <v/>
      </c>
      <c r="V42" s="21">
        <f>IFERROR(subQ!V40/subQ!V38,"")</f>
        <v/>
      </c>
      <c r="W42" s="21">
        <f>IFERROR(subQ!W40/subQ!W38,"")</f>
        <v/>
      </c>
      <c r="X42" s="21">
        <f>IFERROR(subQ!X40/subQ!X38,"")</f>
        <v/>
      </c>
      <c r="Y42" s="21">
        <f>IFERROR(subQ!Y40/subQ!Y38,"")</f>
        <v/>
      </c>
      <c r="Z42" s="22">
        <f>IFERROR(subQ!Z40/subQ!Z38,"")</f>
        <v/>
      </c>
      <c r="AA42" s="21">
        <f>IFERROR(subQ!AA40/subQ!AA38,"")</f>
        <v/>
      </c>
      <c r="AB42" s="23">
        <f>IFERROR(subQ!AB40/subQ!AB38,"")</f>
        <v/>
      </c>
      <c r="AC42" s="31" t="n">
        <v>0.118831446</v>
      </c>
      <c r="AD42" s="31" t="n">
        <v>0.11900748</v>
      </c>
      <c r="AE42" s="25">
        <f>IFERROR(subQ!AE40/subQ!AE38,"")</f>
        <v/>
      </c>
      <c r="AF42" s="31" t="n">
        <v>0.120230674</v>
      </c>
      <c r="AG42" s="31" t="n">
        <v>0.120882587</v>
      </c>
      <c r="AH42" s="31" t="n">
        <v>0.120881243</v>
      </c>
      <c r="AI42" s="31" t="n">
        <v>0.120893259</v>
      </c>
      <c r="AJ42" s="25">
        <f>IFERROR(subQ!AJ40/subQ!AJ38,"")</f>
        <v/>
      </c>
      <c r="AK42" s="31" t="n">
        <v>0.120793034</v>
      </c>
      <c r="AL42" s="31" t="n">
        <v>0.120799855</v>
      </c>
      <c r="AM42" s="31" t="n">
        <v>0.120869829</v>
      </c>
      <c r="AN42" s="31" t="n">
        <v>0.120890179</v>
      </c>
      <c r="AO42" s="25">
        <f>IFERROR(subQ!AO40/subQ!AO38,"")</f>
        <v/>
      </c>
    </row>
    <row r="43">
      <c r="A43" s="12" t="inlineStr">
        <is>
          <t>drv:매출기타</t>
        </is>
      </c>
      <c r="B43" s="2" t="inlineStr">
        <is>
          <t>yoy</t>
        </is>
      </c>
      <c r="C43" t="inlineStr">
        <is>
          <t>매출기타 YoY</t>
        </is>
      </c>
      <c r="E43" s="21" t="n"/>
      <c r="F43" s="22" t="n"/>
      <c r="G43" s="21" t="n"/>
      <c r="H43" s="21" t="n"/>
      <c r="I43" s="21" t="n"/>
      <c r="J43" s="21">
        <f>IFERROR(subQ!J42/subQ!E42-1,"")</f>
        <v/>
      </c>
      <c r="K43" s="22" t="n"/>
      <c r="L43" s="21">
        <f>IFERROR(subQ!L42/subQ!G42-1,"")</f>
        <v/>
      </c>
      <c r="M43" s="21">
        <f>IFERROR(subQ!M42/subQ!H42-1,"")</f>
        <v/>
      </c>
      <c r="N43" s="21">
        <f>IFERROR(subQ!N42/subQ!I42-1,"")</f>
        <v/>
      </c>
      <c r="O43" s="21">
        <f>IFERROR(subQ!O42/subQ!J42-1,"")</f>
        <v/>
      </c>
      <c r="P43" s="22" t="n"/>
      <c r="Q43" s="21">
        <f>IFERROR(subQ!Q42/subQ!L42-1,"")</f>
        <v/>
      </c>
      <c r="R43" s="21">
        <f>IFERROR(subQ!R42/subQ!M42-1,"")</f>
        <v/>
      </c>
      <c r="S43" s="21">
        <f>IFERROR(subQ!S42/subQ!N42-1,"")</f>
        <v/>
      </c>
      <c r="T43" s="21">
        <f>IFERROR(subQ!T42/subQ!O42-1,"")</f>
        <v/>
      </c>
      <c r="U43" s="22" t="n"/>
      <c r="V43" s="21">
        <f>IFERROR(subQ!V42/subQ!Q42-1,"")</f>
        <v/>
      </c>
      <c r="W43" s="21">
        <f>IFERROR(subQ!W42/subQ!R42-1,"")</f>
        <v/>
      </c>
      <c r="X43" s="21">
        <f>IFERROR(subQ!X42/subQ!S42-1,"")</f>
        <v/>
      </c>
      <c r="Y43" s="21">
        <f>IFERROR(subQ!Y42/subQ!T42-1,"")</f>
        <v/>
      </c>
      <c r="Z43" s="22" t="n"/>
      <c r="AA43" s="21">
        <f>IFERROR(subQ!AA42/subQ!V42-1,"")</f>
        <v/>
      </c>
      <c r="AB43" s="23">
        <f>IFERROR(subQ!AB42/subQ!W42-1,"")</f>
        <v/>
      </c>
      <c r="AC43" s="31" t="n">
        <v>-0.500005899</v>
      </c>
      <c r="AD43" s="31" t="n">
        <v>-0.699531382</v>
      </c>
      <c r="AE43" s="25" t="n"/>
      <c r="AF43" s="31" t="n">
        <v>0</v>
      </c>
      <c r="AG43" s="31" t="n">
        <v>0</v>
      </c>
      <c r="AH43" s="31" t="n">
        <v>0</v>
      </c>
      <c r="AI43" s="31" t="n">
        <v>0</v>
      </c>
      <c r="AJ43" s="25" t="n"/>
      <c r="AK43" s="31" t="n">
        <v>0</v>
      </c>
      <c r="AL43" s="31" t="n">
        <v>0</v>
      </c>
      <c r="AM43" s="31" t="n">
        <v>0</v>
      </c>
      <c r="AN43" s="31" t="n">
        <v>0</v>
      </c>
      <c r="AO43" s="25" t="n"/>
    </row>
    <row r="44">
      <c r="A44" s="12" t="inlineStr">
        <is>
          <t>drv:OP기타</t>
        </is>
      </c>
      <c r="B44" s="2" t="inlineStr">
        <is>
          <t>ratio</t>
        </is>
      </c>
      <c r="C44" t="inlineStr">
        <is>
          <t>OP기타 마진(/매출기타)</t>
        </is>
      </c>
      <c r="E44" s="21">
        <f>IFERROR(subQ!E43/subQ!E42,"")</f>
        <v/>
      </c>
      <c r="F44" s="22">
        <f>IFERROR(subQ!F43/subQ!F42,"")</f>
        <v/>
      </c>
      <c r="G44" s="21">
        <f>IFERROR(subQ!G43/subQ!G42,"")</f>
        <v/>
      </c>
      <c r="H44" s="21">
        <f>IFERROR(subQ!H43/subQ!H42,"")</f>
        <v/>
      </c>
      <c r="I44" s="21">
        <f>IFERROR(subQ!I43/subQ!I42,"")</f>
        <v/>
      </c>
      <c r="J44" s="21">
        <f>IFERROR(subQ!J43/subQ!J42,"")</f>
        <v/>
      </c>
      <c r="K44" s="22">
        <f>IFERROR(subQ!K43/subQ!K42,"")</f>
        <v/>
      </c>
      <c r="L44" s="21">
        <f>IFERROR(subQ!L43/subQ!L42,"")</f>
        <v/>
      </c>
      <c r="M44" s="21">
        <f>IFERROR(subQ!M43/subQ!M42,"")</f>
        <v/>
      </c>
      <c r="N44" s="21">
        <f>IFERROR(subQ!N43/subQ!N42,"")</f>
        <v/>
      </c>
      <c r="O44" s="21">
        <f>IFERROR(subQ!O43/subQ!O42,"")</f>
        <v/>
      </c>
      <c r="P44" s="22">
        <f>IFERROR(subQ!P43/subQ!P42,"")</f>
        <v/>
      </c>
      <c r="Q44" s="21">
        <f>IFERROR(subQ!Q43/subQ!Q42,"")</f>
        <v/>
      </c>
      <c r="R44" s="21">
        <f>IFERROR(subQ!R43/subQ!R42,"")</f>
        <v/>
      </c>
      <c r="S44" s="21">
        <f>IFERROR(subQ!S43/subQ!S42,"")</f>
        <v/>
      </c>
      <c r="T44" s="21">
        <f>IFERROR(subQ!T43/subQ!T42,"")</f>
        <v/>
      </c>
      <c r="U44" s="22">
        <f>IFERROR(subQ!U43/subQ!U42,"")</f>
        <v/>
      </c>
      <c r="V44" s="21">
        <f>IFERROR(subQ!V43/subQ!V42,"")</f>
        <v/>
      </c>
      <c r="W44" s="21">
        <f>IFERROR(subQ!W43/subQ!W42,"")</f>
        <v/>
      </c>
      <c r="X44" s="21">
        <f>IFERROR(subQ!X43/subQ!X42,"")</f>
        <v/>
      </c>
      <c r="Y44" s="21">
        <f>IFERROR(subQ!Y43/subQ!Y42,"")</f>
        <v/>
      </c>
      <c r="Z44" s="22">
        <f>IFERROR(subQ!Z43/subQ!Z42,"")</f>
        <v/>
      </c>
      <c r="AA44" s="21">
        <f>IFERROR(subQ!AA43/subQ!AA42,"")</f>
        <v/>
      </c>
      <c r="AB44" s="23">
        <f>IFERROR(subQ!AB43/subQ!AB42,"")</f>
        <v/>
      </c>
      <c r="AC44" s="31" t="n">
        <v>0.118824029</v>
      </c>
      <c r="AD44" s="31" t="n">
        <v>0.119012788</v>
      </c>
      <c r="AE44" s="25">
        <f>IFERROR(subQ!AE43/subQ!AE42,"")</f>
        <v/>
      </c>
      <c r="AF44" s="31" t="n">
        <v>0.120239724</v>
      </c>
      <c r="AG44" s="31" t="n">
        <v>0.120876787</v>
      </c>
      <c r="AH44" s="31" t="n">
        <v>0.120876787</v>
      </c>
      <c r="AI44" s="31" t="n">
        <v>0.120900382</v>
      </c>
      <c r="AJ44" s="25">
        <f>IFERROR(subQ!AJ43/subQ!AJ42,"")</f>
        <v/>
      </c>
      <c r="AK44" s="31" t="n">
        <v>0.120782408</v>
      </c>
      <c r="AL44" s="31" t="n">
        <v>0.120806003</v>
      </c>
      <c r="AM44" s="31" t="n">
        <v>0.120876787</v>
      </c>
      <c r="AN44" s="31" t="n">
        <v>0.120900382</v>
      </c>
      <c r="AO44" s="25">
        <f>IFERROR(subQ!AO43/subQ!AO42,"")</f>
        <v/>
      </c>
    </row>
    <row r="45"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B46" s="1" t="inlineStr">
        <is>
          <t>3. 밸류에이션·스칼라</t>
        </is>
      </c>
      <c r="C46" s="2" t="inlineStr">
        <is>
          <t>노란 셀 = 가정. '연결' 표시는 추정 전 분기 수식이 이 셀을 참조한다는 뜻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sc:종가</t>
        </is>
      </c>
      <c r="C47" t="inlineStr">
        <is>
          <t>종가</t>
        </is>
      </c>
      <c r="D47" s="34" t="n">
        <v>67100</v>
      </c>
      <c r="E47" s="2" t="inlineStr">
        <is>
          <t>원 — 네이버 정규장 종가(aik 확정종가 대조 · aik 74,100원)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sc:기준일</t>
        </is>
      </c>
      <c r="C48" t="inlineStr">
        <is>
          <t>기준일</t>
        </is>
      </c>
      <c r="D48" s="35" t="inlineStr">
        <is>
          <t>20261012</t>
        </is>
      </c>
      <c r="E48" s="2" t="inlineStr">
        <is>
          <t>종가 기준일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sc:COE</t>
        </is>
      </c>
      <c r="C49" t="inlineStr">
        <is>
          <t>COE</t>
        </is>
      </c>
      <c r="D49" s="31" t="n">
        <v>0.09</v>
      </c>
      <c r="E49" s="2" t="inlineStr">
        <is>
          <t>자기자본비용(가정) — TP 적정 PBR = ROE/COE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sc:PER_lo</t>
        </is>
      </c>
      <c r="C50" t="inlineStr">
        <is>
          <t>PER_lo</t>
        </is>
      </c>
      <c r="D50" s="29" t="n">
        <v>19.2</v>
      </c>
      <c r="E50" s="2" t="inlineStr">
        <is>
          <t>PER 밴드 하단(배) — hist_quarterly(분기 평균가 ÷ TTM EPS, 10분기, 25/50/75 백분위)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sc:PER_mid</t>
        </is>
      </c>
      <c r="C51" t="inlineStr">
        <is>
          <t>PER_mid</t>
        </is>
      </c>
      <c r="D51" s="29" t="n">
        <v>26.2</v>
      </c>
      <c r="E51" s="2" t="inlineStr">
        <is>
          <t>PER 밴드 중단(배)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sc:PER_hi</t>
        </is>
      </c>
      <c r="C52" t="inlineStr">
        <is>
          <t>PER_hi</t>
        </is>
      </c>
      <c r="D52" s="29" t="n">
        <v>28.7</v>
      </c>
      <c r="E52" s="2" t="inlineStr">
        <is>
          <t>PER 밴드 상단(배)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sc:EPS_Y1가중</t>
        </is>
      </c>
      <c r="C53" t="inlineStr">
        <is>
          <t>EPS_Y1가중</t>
        </is>
      </c>
      <c r="D53" s="31" t="n">
        <v>0.5</v>
      </c>
      <c r="E53" s="2" t="inlineStr">
        <is>
          <t>12M fwd EPS = FY(last_actual연도)E × w + FY+1E × (1−w) — 기준 분기 2Q 이면 0.5(가정)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sc:세율</t>
        </is>
      </c>
      <c r="C54" t="inlineStr">
        <is>
          <t>세율</t>
        </is>
      </c>
      <c r="D54" s="36" t="n">
        <v>0.0068</v>
      </c>
      <c r="E54" s="2" t="inlineStr">
        <is>
          <t>참고(연결 안 됨: 이월결손 램프(assumptions.tax_schedule, 0.68%→22%) — 분기별 세율 드라이버 행 사용) — 모델 assumptions 값(시작 0.68% → terminal 22%, 2026Q4 까지 유지 → 2027Q1~2028Q4 선형 램프 — 분기별 값은 2절 drv:법인세비용 행) · 최근 8분기 중 세전 &gt; 0 인 7분기(2024Q4~2026Q2) 법인세/세전 중위 0.7%·최근 4분기 중위 -1.2% 가 모두 5% 미만 → 이월결손 공제 중으로 보고 0.7% 를 2026Q4 까지 유지, 2027Q1~2028Q4 선형 램프로 법정세율 근사 22% 수렴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sc:판관비율</t>
        </is>
      </c>
      <c r="C55" t="inlineStr">
        <is>
          <t>판관비율</t>
        </is>
      </c>
      <c r="D55" s="36" t="n">
        <v>0.05559126936026393</v>
      </c>
      <c r="E55" s="2" t="inlineStr">
        <is>
          <t>연결 — 판관비 = 매출액 × 판관비율(역산, 재현 오차 ≤ 0.05억 · 모델 assumptions 0.0556)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sc:지배주주비중</t>
        </is>
      </c>
      <c r="C56" t="inlineStr">
        <is>
          <t>지배주주비중</t>
        </is>
      </c>
      <c r="D56" s="36" t="n">
        <v>0.9999657438466775</v>
      </c>
      <c r="E56" s="2" t="inlineStr">
        <is>
          <t>연결 — 지배주주순이익 = 당기순이익 × 비중(역산, 재현 오차 ≤ 0.05억)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sc:이자율_자산</t>
        </is>
      </c>
      <c r="C57" t="inlineStr">
        <is>
          <t>이자율_자산</t>
        </is>
      </c>
      <c r="D57" s="36" t="n">
        <v>0.05777813684516334</v>
      </c>
      <c r="E57" s="2" t="inlineStr">
        <is>
          <t>연결 — 이자손익 = (전분기 이자발생자산 × 자산이자율 − 전분기 총차입금 × 부채이자율)/4(역산, 재현 오차 ≤ 0.05억 · 모델 assumptions 0.0578)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sc:이자율_부채</t>
        </is>
      </c>
      <c r="C58" t="inlineStr">
        <is>
          <t>이자율_부채</t>
        </is>
      </c>
      <c r="D58" s="36" t="n">
        <v>0.03568176760762954</v>
      </c>
      <c r="E58" s="2" t="inlineStr">
        <is>
          <t>연결 — 같은 수식의 부채 쪽(총차입금 행이 없으면 0)(역산, 재현 오차 ≤ 0.05억 · 모델 assumptions 0.0357)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sc:배당성향</t>
        </is>
      </c>
      <c r="C59" t="inlineStr">
        <is>
          <t>배당성향</t>
        </is>
      </c>
      <c r="D59" s="31" t="n">
        <v>0</v>
      </c>
      <c r="E59" s="2" t="inlineStr">
        <is>
          <t>배당성향(참고 — 모델은 직전 DPS 유지·Q2 지급 가정)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sc:외화순노출_백만$</t>
        </is>
      </c>
      <c r="C60" t="inlineStr">
        <is>
          <t>외화순노출_백만$</t>
        </is>
      </c>
      <c r="D60" s="29" t="n"/>
      <c r="E60" s="2" t="inlineStr">
        <is>
          <t>외화 순노출 × Δ기말환율 (외화 시트 방식) — 외화 순노출 미공시(face) → 0 + 표기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s="12" t="inlineStr">
        <is>
          <t>sc:헤지비율</t>
        </is>
      </c>
      <c r="C61" t="inlineStr">
        <is>
          <t>헤지비율</t>
        </is>
      </c>
      <c r="D61" s="31" t="n">
        <v>0.1717</v>
      </c>
      <c r="E61" s="2" t="inlineStr">
        <is>
          <t>SLS 원화 = Σ 스케줄 × (헤지비율 × 헤지환율 + (1−헤지비율) × 건조시점 환율[원/달러(평균)]) — measured · usd_sell_m ÷ (기말 수주잔고 원화 ÷ 평균약정환율), 2026Q2 정기보고서 위험관리 절 — kship_page.yard_summary 방식</t>
        </is>
      </c>
      <c r="F61" s="9" t="n"/>
      <c r="K61" s="9" t="n"/>
      <c r="P61" s="9" t="n"/>
      <c r="U61" s="9" t="n"/>
      <c r="Z61" s="9" t="n"/>
      <c r="AB61" s="5" t="n"/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s="12" t="inlineStr">
        <is>
          <t>sc:헤지환율_약정</t>
        </is>
      </c>
      <c r="C62" t="inlineStr">
        <is>
          <t>헤지환율_약정</t>
        </is>
      </c>
      <c r="D62" s="16" t="n">
        <v>1472.04</v>
      </c>
      <c r="E62" s="2" t="inlineStr">
        <is>
          <t>정기보고서 평균 약정환율(measured) — 비어 있으면 계약별 수주시점 환율(fx_at_sign)을 쓴다</t>
        </is>
      </c>
      <c r="F62" s="9" t="n"/>
      <c r="K62" s="9" t="n"/>
      <c r="P62" s="9" t="n"/>
      <c r="U62" s="9" t="n"/>
      <c r="Z62" s="9" t="n"/>
      <c r="AB62" s="5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한화오션(연)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6481079.24</v>
      </c>
      <c r="F5" s="37" t="n">
        <v>6481079.24</v>
      </c>
      <c r="G5" s="18" t="n">
        <v>6529546.25</v>
      </c>
      <c r="H5" s="18" t="n">
        <v>7600539.65</v>
      </c>
      <c r="I5" s="18" t="n">
        <v>7609361.82</v>
      </c>
      <c r="J5" s="18" t="n">
        <v>7822464.53</v>
      </c>
      <c r="K5" s="37" t="n">
        <v>7822464.53</v>
      </c>
      <c r="L5" s="18" t="n">
        <v>7842922.35</v>
      </c>
      <c r="M5" s="18" t="n">
        <v>9286501.859999999</v>
      </c>
      <c r="N5" s="18" t="n">
        <v>8707670.130000001</v>
      </c>
      <c r="O5" s="18" t="n">
        <v>9217523.939999999</v>
      </c>
      <c r="P5" s="37" t="n">
        <v>9217523.939999999</v>
      </c>
      <c r="Q5" s="18" t="n">
        <v>9983392.92</v>
      </c>
      <c r="R5" s="18" t="n">
        <v>10812814.01</v>
      </c>
      <c r="S5" s="18" t="n">
        <v>10676937.13</v>
      </c>
      <c r="T5" s="18" t="n">
        <v>11246034.31</v>
      </c>
      <c r="U5" s="37" t="n">
        <v>11246034.31</v>
      </c>
      <c r="V5" s="18" t="n">
        <v>11568534.32</v>
      </c>
      <c r="W5" s="18" t="n">
        <v>11517406.93</v>
      </c>
      <c r="X5" s="18" t="n">
        <v>11387275.29</v>
      </c>
      <c r="Y5" s="18" t="n">
        <v>12082155.48</v>
      </c>
      <c r="Z5" s="37" t="n">
        <v>12082155.48</v>
      </c>
      <c r="AA5" s="18" t="n">
        <v>12289555.05</v>
      </c>
      <c r="AB5" s="19" t="n">
        <v>11356552.13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1778939.68</v>
      </c>
      <c r="F6" s="37" t="n">
        <v>1778939.68</v>
      </c>
      <c r="G6" s="18" t="n">
        <v>1174446.61</v>
      </c>
      <c r="H6" s="18" t="n">
        <v>1106062.68</v>
      </c>
      <c r="I6" s="18" t="n">
        <v>684185.72</v>
      </c>
      <c r="J6" s="18" t="n">
        <v>659721.35</v>
      </c>
      <c r="K6" s="37" t="n">
        <v>659721.35</v>
      </c>
      <c r="L6" s="18" t="n">
        <v>270117.31</v>
      </c>
      <c r="M6" s="18" t="n">
        <v>1564490.38</v>
      </c>
      <c r="N6" s="18" t="n">
        <v>978618.34</v>
      </c>
      <c r="O6" s="18" t="n">
        <v>1799307.75</v>
      </c>
      <c r="P6" s="37" t="n">
        <v>1799307.75</v>
      </c>
      <c r="Q6" s="18" t="n">
        <v>1648803.91</v>
      </c>
      <c r="R6" s="18" t="n">
        <v>1824756.75</v>
      </c>
      <c r="S6" s="18" t="n">
        <v>1016613.35</v>
      </c>
      <c r="T6" s="18" t="n">
        <v>588259.74</v>
      </c>
      <c r="U6" s="37" t="n">
        <v>588259.74</v>
      </c>
      <c r="V6" s="18" t="n">
        <v>973241.3100000001</v>
      </c>
      <c r="W6" s="18" t="n">
        <v>1037648.51</v>
      </c>
      <c r="X6" s="18" t="n">
        <v>429500.56</v>
      </c>
      <c r="Y6" s="18" t="n">
        <v>778471.16</v>
      </c>
      <c r="Z6" s="37" t="n">
        <v>778471.16</v>
      </c>
      <c r="AA6" s="18" t="n">
        <v>1058396.68</v>
      </c>
      <c r="AB6" s="19" t="n">
        <v>1446204.4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310692.72</v>
      </c>
      <c r="F7" s="37" t="n">
        <v>310692.72</v>
      </c>
      <c r="G7" s="18" t="n">
        <v>266882.64</v>
      </c>
      <c r="H7" s="18" t="n">
        <v>169595.43</v>
      </c>
      <c r="I7" s="18" t="n">
        <v>466379.27</v>
      </c>
      <c r="J7" s="18" t="n">
        <v>492238.3</v>
      </c>
      <c r="K7" s="37" t="n">
        <v>492238.3</v>
      </c>
      <c r="P7" s="9" t="n"/>
      <c r="U7" s="9" t="n"/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310692.72</v>
      </c>
      <c r="F8" s="37" t="n">
        <v>310692.72</v>
      </c>
      <c r="G8" s="18" t="n">
        <v>266882.64</v>
      </c>
      <c r="H8" s="18" t="n">
        <v>169611.58</v>
      </c>
      <c r="I8" s="18" t="n">
        <v>466395.42</v>
      </c>
      <c r="J8" s="18" t="n">
        <v>492254.45</v>
      </c>
      <c r="K8" s="37" t="n">
        <v>492254.45</v>
      </c>
      <c r="P8" s="9" t="n"/>
      <c r="U8" s="9" t="n"/>
      <c r="Z8" s="9" t="n"/>
      <c r="AA8" s="18" t="n">
        <v>11835.59</v>
      </c>
      <c r="AB8" s="19" t="n">
        <v>60826.78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345121.59</v>
      </c>
      <c r="F9" s="37" t="n">
        <v>345121.59</v>
      </c>
      <c r="G9" s="18" t="n">
        <v>445003</v>
      </c>
      <c r="H9" s="18" t="n">
        <v>401269.91</v>
      </c>
      <c r="I9" s="18" t="n">
        <v>205292.22</v>
      </c>
      <c r="J9" s="18" t="n">
        <v>404741.92</v>
      </c>
      <c r="K9" s="37" t="n">
        <v>404741.92</v>
      </c>
      <c r="L9" s="18" t="n">
        <v>234682.14</v>
      </c>
      <c r="M9" s="18" t="n">
        <v>191888.47</v>
      </c>
      <c r="N9" s="18" t="n">
        <v>257126.78</v>
      </c>
      <c r="O9" s="18" t="n">
        <v>332546.69</v>
      </c>
      <c r="P9" s="37" t="n">
        <v>332546.69</v>
      </c>
      <c r="Q9" s="18" t="n">
        <v>158647.11</v>
      </c>
      <c r="R9" s="18" t="n">
        <v>320681.34</v>
      </c>
      <c r="S9" s="18" t="n">
        <v>714442.7</v>
      </c>
      <c r="T9" s="18" t="n">
        <v>894491.36</v>
      </c>
      <c r="U9" s="37" t="n">
        <v>894491.36</v>
      </c>
      <c r="V9" s="18" t="n">
        <v>1088908.06</v>
      </c>
      <c r="W9" s="18" t="n">
        <v>737068.29</v>
      </c>
      <c r="X9" s="18" t="n">
        <v>869273.09</v>
      </c>
      <c r="Y9" s="18" t="n">
        <v>965182.46</v>
      </c>
      <c r="Z9" s="37" t="n">
        <v>965182.46</v>
      </c>
      <c r="AA9" s="18" t="n">
        <v>849821.3</v>
      </c>
      <c r="AB9" s="19" t="n">
        <v>621607.55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1936517.06</v>
      </c>
      <c r="F10" s="37" t="n">
        <v>1936517.06</v>
      </c>
      <c r="G10" s="18" t="n">
        <v>2295770.73</v>
      </c>
      <c r="H10" s="18" t="n">
        <v>2788096.08</v>
      </c>
      <c r="I10" s="18" t="n">
        <v>2705615.03</v>
      </c>
      <c r="J10" s="18" t="n">
        <v>2566075.04</v>
      </c>
      <c r="K10" s="37" t="n">
        <v>2566075.04</v>
      </c>
      <c r="L10" s="18" t="n">
        <v>2799855.65</v>
      </c>
      <c r="M10" s="18" t="n">
        <v>2587496.28</v>
      </c>
      <c r="N10" s="18" t="n">
        <v>2607014.91</v>
      </c>
      <c r="O10" s="18" t="n">
        <v>2517851.3</v>
      </c>
      <c r="P10" s="37" t="n">
        <v>2517851.3</v>
      </c>
      <c r="Q10" s="18" t="n">
        <v>3463023.26</v>
      </c>
      <c r="R10" s="18" t="n">
        <v>4172601.79</v>
      </c>
      <c r="S10" s="18" t="n">
        <v>4406914.96</v>
      </c>
      <c r="T10" s="18" t="n">
        <v>4986595.94</v>
      </c>
      <c r="U10" s="37" t="n">
        <v>4986595.94</v>
      </c>
      <c r="V10" s="18" t="n">
        <v>5049134.22</v>
      </c>
      <c r="W10" s="18" t="n">
        <v>5448042.55</v>
      </c>
      <c r="X10" s="18" t="n">
        <v>5457909.13</v>
      </c>
      <c r="Y10" s="18" t="n">
        <v>5506124.86</v>
      </c>
      <c r="Z10" s="37" t="n">
        <v>5506124.86</v>
      </c>
      <c r="AA10" s="18" t="n">
        <v>5455115.32</v>
      </c>
      <c r="AB10" s="19" t="n">
        <v>5899780.63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1139095.85</v>
      </c>
      <c r="F11" s="37" t="n">
        <v>1139095.85</v>
      </c>
      <c r="G11" s="18" t="n">
        <v>1124060.86</v>
      </c>
      <c r="H11" s="18" t="n">
        <v>1711064.13</v>
      </c>
      <c r="I11" s="18" t="n">
        <v>1985849</v>
      </c>
      <c r="J11" s="18" t="n">
        <v>2202075.92</v>
      </c>
      <c r="K11" s="37" t="n">
        <v>2202075.92</v>
      </c>
      <c r="L11" s="18" t="n">
        <v>2509502.7</v>
      </c>
      <c r="M11" s="18" t="n">
        <v>2780399.2</v>
      </c>
      <c r="N11" s="18" t="n">
        <v>3041200.02</v>
      </c>
      <c r="O11" s="18" t="n">
        <v>2890783.26</v>
      </c>
      <c r="P11" s="37" t="n">
        <v>2890783.26</v>
      </c>
      <c r="Q11" s="18" t="n">
        <v>2977779.01</v>
      </c>
      <c r="R11" s="18" t="n">
        <v>2834661.64</v>
      </c>
      <c r="S11" s="18" t="n">
        <v>2843596.79</v>
      </c>
      <c r="T11" s="18" t="n">
        <v>2779695.38</v>
      </c>
      <c r="U11" s="37" t="n">
        <v>2779695.38</v>
      </c>
      <c r="V11" s="18" t="n">
        <v>2653888.73</v>
      </c>
      <c r="W11" s="18" t="n">
        <v>2620480.61</v>
      </c>
      <c r="X11" s="18" t="n">
        <v>2781920.64</v>
      </c>
      <c r="Y11" s="18" t="n">
        <v>3040398.55</v>
      </c>
      <c r="Z11" s="37" t="n">
        <v>3040398.55</v>
      </c>
      <c r="AA11" s="18" t="n">
        <v>3103900.71</v>
      </c>
      <c r="AB11" s="19" t="n">
        <v>1583621.85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당기법인세자산(선급법인세)</t>
        </is>
      </c>
      <c r="E12" s="18" t="n">
        <v>90.45999999999999</v>
      </c>
      <c r="F12" s="37" t="n">
        <v>90.45999999999999</v>
      </c>
      <c r="G12" s="18" t="n">
        <v>1024.23</v>
      </c>
      <c r="H12" s="18" t="n">
        <v>3876.31</v>
      </c>
      <c r="I12" s="18" t="n">
        <v>4899</v>
      </c>
      <c r="J12" s="18" t="n">
        <v>5831.76</v>
      </c>
      <c r="K12" s="37" t="n">
        <v>5831.76</v>
      </c>
      <c r="L12" s="18" t="n">
        <v>6660.63</v>
      </c>
      <c r="M12" s="18" t="n">
        <v>2473.87</v>
      </c>
      <c r="N12" s="18" t="n">
        <v>3938.08</v>
      </c>
      <c r="O12" s="18" t="n">
        <v>5494.68</v>
      </c>
      <c r="P12" s="37" t="n">
        <v>5494.68</v>
      </c>
      <c r="Q12" s="18" t="n">
        <v>8246.49</v>
      </c>
      <c r="R12" s="18" t="n">
        <v>5897.16</v>
      </c>
      <c r="S12" s="18" t="n">
        <v>7711.05</v>
      </c>
      <c r="T12" s="18" t="n">
        <v>8632.120000000001</v>
      </c>
      <c r="U12" s="37" t="n">
        <v>8632.120000000001</v>
      </c>
      <c r="V12" s="18" t="n">
        <v>9478.41</v>
      </c>
      <c r="W12" s="18" t="n">
        <v>1977.06</v>
      </c>
      <c r="X12" s="18" t="n">
        <v>2624.95</v>
      </c>
      <c r="Y12" s="18" t="n">
        <v>2126.1</v>
      </c>
      <c r="Z12" s="37" t="n">
        <v>2126.1</v>
      </c>
      <c r="AA12" s="18" t="n">
        <v>1488.07</v>
      </c>
      <c r="AB12" s="19" t="n">
        <v>5511.81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기타유동자산</t>
        </is>
      </c>
      <c r="E13" s="18" t="n">
        <v>773335.85</v>
      </c>
      <c r="F13" s="37" t="n">
        <v>773335.85</v>
      </c>
      <c r="G13" s="18" t="n">
        <v>989546.24</v>
      </c>
      <c r="H13" s="18" t="n">
        <v>1107041.39</v>
      </c>
      <c r="I13" s="18" t="n">
        <v>1255423</v>
      </c>
      <c r="J13" s="18" t="n">
        <v>1288871.6</v>
      </c>
      <c r="K13" s="37" t="n">
        <v>1288871.6</v>
      </c>
      <c r="L13" s="18" t="n">
        <v>1358136.69</v>
      </c>
      <c r="M13" s="18" t="n">
        <v>1439825.87</v>
      </c>
      <c r="N13" s="18" t="n">
        <v>1359720.66</v>
      </c>
      <c r="O13" s="18" t="n">
        <v>1315290.52</v>
      </c>
      <c r="P13" s="37" t="n">
        <v>1315290.52</v>
      </c>
      <c r="Q13" s="18" t="n">
        <v>1337389.49</v>
      </c>
      <c r="R13" s="18" t="n">
        <v>1371864.49</v>
      </c>
      <c r="S13" s="18" t="n">
        <v>1480128.63</v>
      </c>
      <c r="T13" s="18" t="n">
        <v>1597417.06</v>
      </c>
      <c r="U13" s="37" t="n">
        <v>1597417.06</v>
      </c>
      <c r="V13" s="18" t="n">
        <v>1547557.53</v>
      </c>
      <c r="W13" s="18" t="n">
        <v>1579496.37</v>
      </c>
      <c r="X13" s="18" t="n">
        <v>1784388.6</v>
      </c>
      <c r="Y13" s="18" t="n">
        <v>1719764.36</v>
      </c>
      <c r="Z13" s="37" t="n">
        <v>1719764.36</v>
      </c>
      <c r="AA13" s="18" t="n">
        <v>1739483.76</v>
      </c>
      <c r="AB13" s="19" t="n">
        <v>1713534.88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매각예정비유동자산및처분자산</t>
        </is>
      </c>
      <c r="E14" s="18" t="n">
        <v>161964.11</v>
      </c>
      <c r="F14" s="37" t="n">
        <v>161964.11</v>
      </c>
      <c r="G14" s="18" t="n">
        <v>161964.11</v>
      </c>
      <c r="H14" s="18" t="n">
        <v>161964.11</v>
      </c>
      <c r="I14" s="18" t="n">
        <v>282.96</v>
      </c>
      <c r="J14" s="18" t="n">
        <v>282.96</v>
      </c>
      <c r="K14" s="37" t="n">
        <v>282.96</v>
      </c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18" t="n">
        <v>4142130.31</v>
      </c>
      <c r="F15" s="37" t="n">
        <v>4142130.31</v>
      </c>
      <c r="G15" s="18" t="n">
        <v>4229719.99</v>
      </c>
      <c r="H15" s="18" t="n">
        <v>4421919.21</v>
      </c>
      <c r="I15" s="18" t="n">
        <v>4889807.6</v>
      </c>
      <c r="J15" s="18" t="n">
        <v>4413200.78</v>
      </c>
      <c r="K15" s="37" t="n">
        <v>4413200.78</v>
      </c>
      <c r="L15" s="18" t="n">
        <v>4476180.09</v>
      </c>
      <c r="M15" s="18" t="n">
        <v>4354243.71</v>
      </c>
      <c r="N15" s="18" t="n">
        <v>4562093.03</v>
      </c>
      <c r="O15" s="18" t="n">
        <v>4727248.75</v>
      </c>
      <c r="P15" s="37" t="n">
        <v>4727248.75</v>
      </c>
      <c r="Q15" s="18" t="n">
        <v>4911047.21</v>
      </c>
      <c r="R15" s="18" t="n">
        <v>5415567.9</v>
      </c>
      <c r="S15" s="18" t="n">
        <v>5690065.41</v>
      </c>
      <c r="T15" s="18" t="n">
        <v>6597774.85</v>
      </c>
      <c r="U15" s="37" t="n">
        <v>6597774.85</v>
      </c>
      <c r="V15" s="18" t="n">
        <v>6609139.14</v>
      </c>
      <c r="W15" s="18" t="n">
        <v>6786305.94</v>
      </c>
      <c r="X15" s="18" t="n">
        <v>7146651.2</v>
      </c>
      <c r="Y15" s="18" t="n">
        <v>8058758.53</v>
      </c>
      <c r="Z15" s="37" t="n">
        <v>8058758.53</v>
      </c>
      <c r="AA15" s="18" t="n">
        <v>8506992.4</v>
      </c>
      <c r="AB15" s="19" t="n">
        <v>8789634.67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18" t="n">
        <v>233164.7</v>
      </c>
      <c r="F16" s="37" t="n">
        <v>233164.7</v>
      </c>
      <c r="G16" s="18" t="n">
        <v>228342.2</v>
      </c>
      <c r="H16" s="18" t="n">
        <v>78023.41</v>
      </c>
      <c r="I16" s="18" t="n">
        <v>40222.99</v>
      </c>
      <c r="J16" s="18" t="n">
        <v>40246.06</v>
      </c>
      <c r="K16" s="37" t="n">
        <v>40246.06</v>
      </c>
      <c r="M16" s="18" t="n">
        <v>39272.25</v>
      </c>
      <c r="N16" s="18" t="n">
        <v>40704.47</v>
      </c>
      <c r="O16" s="18" t="n">
        <v>39489.68</v>
      </c>
      <c r="P16" s="37" t="n">
        <v>39489.68</v>
      </c>
      <c r="Q16" s="18" t="n">
        <v>41142.97</v>
      </c>
      <c r="R16" s="18" t="n">
        <v>80916.17999999999</v>
      </c>
      <c r="S16" s="18" t="n">
        <v>189040.92</v>
      </c>
      <c r="T16" s="18" t="n">
        <v>254635.47</v>
      </c>
      <c r="U16" s="37" t="n">
        <v>254635.47</v>
      </c>
      <c r="V16" s="18" t="n">
        <v>254224.05</v>
      </c>
      <c r="W16" s="18" t="n">
        <v>268713.11</v>
      </c>
      <c r="X16" s="18" t="n">
        <v>224837.95</v>
      </c>
      <c r="Y16" s="18" t="n">
        <v>190795.74</v>
      </c>
      <c r="Z16" s="37" t="n">
        <v>190795.74</v>
      </c>
      <c r="AA16" s="18" t="n">
        <v>258426.71</v>
      </c>
      <c r="AB16" s="19" t="n">
        <v>258768.03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18" t="n">
        <v>467405.5</v>
      </c>
      <c r="F17" s="37" t="n">
        <v>467405.5</v>
      </c>
      <c r="G17" s="18" t="n">
        <v>469626.43</v>
      </c>
      <c r="H17" s="18" t="n">
        <v>675758.42</v>
      </c>
      <c r="I17" s="18" t="n">
        <v>1089919.42</v>
      </c>
      <c r="J17" s="18" t="n">
        <v>277304.56</v>
      </c>
      <c r="K17" s="37" t="n">
        <v>277304.56</v>
      </c>
      <c r="L17" s="18" t="n">
        <v>312265.32</v>
      </c>
      <c r="M17" s="18" t="n">
        <v>280519.73</v>
      </c>
      <c r="N17" s="18" t="n">
        <v>247708.23</v>
      </c>
      <c r="O17" s="18" t="n">
        <v>130942.13</v>
      </c>
      <c r="P17" s="37" t="n">
        <v>130942.13</v>
      </c>
      <c r="Q17" s="18" t="n">
        <v>188202.4</v>
      </c>
      <c r="R17" s="18" t="n">
        <v>344053.4</v>
      </c>
      <c r="S17" s="18" t="n">
        <v>354794.18</v>
      </c>
      <c r="T17" s="18" t="n">
        <v>616573.29</v>
      </c>
      <c r="U17" s="37" t="n">
        <v>616573.29</v>
      </c>
      <c r="V17" s="18" t="n">
        <v>594718.5</v>
      </c>
      <c r="W17" s="18" t="n">
        <v>665236.01</v>
      </c>
      <c r="X17" s="18" t="n">
        <v>712876.88</v>
      </c>
      <c r="Y17" s="18" t="n">
        <v>1196058.22</v>
      </c>
      <c r="Z17" s="37" t="n">
        <v>1196058.22</v>
      </c>
      <c r="AA17" s="18" t="n">
        <v>1537413.43</v>
      </c>
      <c r="AB17" s="19" t="n">
        <v>1603017.33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종속기업및관계기업투자</t>
        </is>
      </c>
      <c r="E18" s="18" t="n">
        <v>3989.4</v>
      </c>
      <c r="F18" s="37" t="n">
        <v>3989.4</v>
      </c>
      <c r="G18" s="18" t="n">
        <v>3317.45</v>
      </c>
      <c r="H18" s="18" t="n">
        <v>3151.38</v>
      </c>
      <c r="I18" s="18" t="n">
        <v>3426.68</v>
      </c>
      <c r="J18" s="18" t="n">
        <v>3694.66</v>
      </c>
      <c r="K18" s="37" t="n">
        <v>3694.66</v>
      </c>
      <c r="L18" s="18" t="n">
        <v>3117.16</v>
      </c>
      <c r="M18" s="18" t="n">
        <v>3514.45</v>
      </c>
      <c r="N18" s="18" t="n">
        <v>4021.53</v>
      </c>
      <c r="O18" s="18" t="n">
        <v>4243.08</v>
      </c>
      <c r="P18" s="37" t="n">
        <v>4243.08</v>
      </c>
      <c r="Q18" s="18" t="n">
        <v>3734.04</v>
      </c>
      <c r="R18" s="18" t="n">
        <v>102014.56</v>
      </c>
      <c r="S18" s="18" t="n">
        <v>109742.37</v>
      </c>
      <c r="T18" s="18" t="n">
        <v>324219.32</v>
      </c>
      <c r="U18" s="37" t="n">
        <v>324219.32</v>
      </c>
      <c r="V18" s="18" t="n">
        <v>340494.45</v>
      </c>
      <c r="W18" s="18" t="n">
        <v>396510.09</v>
      </c>
      <c r="X18" s="18" t="n">
        <v>486620.43</v>
      </c>
      <c r="Y18" s="18" t="n">
        <v>1000398.22</v>
      </c>
      <c r="Z18" s="37" t="n">
        <v>1000398.22</v>
      </c>
      <c r="AA18" s="18" t="n">
        <v>1203439.29</v>
      </c>
      <c r="AB18" s="19" t="n">
        <v>1235379.37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장기매출채권및기타채권</t>
        </is>
      </c>
      <c r="E19" s="18" t="n">
        <v>103932.42</v>
      </c>
      <c r="F19" s="37" t="n">
        <v>103932.42</v>
      </c>
      <c r="G19" s="18" t="n">
        <v>189282.71</v>
      </c>
      <c r="H19" s="18" t="n">
        <v>181675.85</v>
      </c>
      <c r="I19" s="18" t="n">
        <v>228283.68</v>
      </c>
      <c r="J19" s="18" t="n">
        <v>203539.47</v>
      </c>
      <c r="K19" s="37" t="n">
        <v>203539.47</v>
      </c>
      <c r="L19" s="18" t="n">
        <v>206740.99</v>
      </c>
      <c r="M19" s="18" t="n">
        <v>204543.59</v>
      </c>
      <c r="N19" s="18" t="n">
        <v>207471.46</v>
      </c>
      <c r="O19" s="18" t="n">
        <v>273802.16</v>
      </c>
      <c r="P19" s="37" t="n">
        <v>273802.16</v>
      </c>
      <c r="Q19" s="18" t="n">
        <v>280814.74</v>
      </c>
      <c r="R19" s="18" t="n">
        <v>294202.34</v>
      </c>
      <c r="S19" s="18" t="n">
        <v>300864.12</v>
      </c>
      <c r="T19" s="18" t="n">
        <v>267215.33</v>
      </c>
      <c r="U19" s="37" t="n">
        <v>267215.33</v>
      </c>
      <c r="V19" s="18" t="n">
        <v>224199.73</v>
      </c>
      <c r="W19" s="18" t="n">
        <v>228172.29</v>
      </c>
      <c r="X19" s="18" t="n">
        <v>356635.77</v>
      </c>
      <c r="Y19" s="18" t="n">
        <v>96905.28</v>
      </c>
      <c r="Z19" s="37" t="n">
        <v>96905.28</v>
      </c>
      <c r="AA19" s="18" t="n">
        <v>95044.24000000001</v>
      </c>
      <c r="AB19" s="19" t="n">
        <v>97716.52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비유동확정계약자산</t>
        </is>
      </c>
      <c r="E20" s="18" t="n">
        <v>230251.4</v>
      </c>
      <c r="F20" s="37" t="n">
        <v>230251.4</v>
      </c>
      <c r="G20" s="18" t="n">
        <v>237966.78</v>
      </c>
      <c r="H20" s="18" t="n">
        <v>594583.63</v>
      </c>
      <c r="I20" s="18" t="n">
        <v>1046269.75</v>
      </c>
      <c r="J20" s="18" t="n">
        <v>233363.84</v>
      </c>
      <c r="K20" s="37" t="n">
        <v>233363.84</v>
      </c>
      <c r="L20" s="18" t="n">
        <v>309148.16</v>
      </c>
      <c r="M20" s="18" t="n">
        <v>237733.03</v>
      </c>
      <c r="N20" s="18" t="n">
        <v>202982.23</v>
      </c>
      <c r="O20" s="18" t="n">
        <v>87209.37</v>
      </c>
      <c r="P20" s="37" t="n">
        <v>87209.37</v>
      </c>
      <c r="Q20" s="18" t="n">
        <v>143325.39</v>
      </c>
      <c r="R20" s="18" t="n">
        <v>161122.66</v>
      </c>
      <c r="S20" s="18" t="n">
        <v>56010.89</v>
      </c>
      <c r="T20" s="18" t="n">
        <v>37718.5</v>
      </c>
      <c r="U20" s="37" t="n">
        <v>37718.5</v>
      </c>
      <c r="Z20" s="9" t="n"/>
      <c r="AA20" s="18" t="n">
        <v>75547.42999999999</v>
      </c>
      <c r="AB20" s="19" t="n">
        <v>108869.93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유형자산</t>
        </is>
      </c>
      <c r="E21" s="18" t="n">
        <v>3469402.81</v>
      </c>
      <c r="F21" s="37" t="n">
        <v>3469402.81</v>
      </c>
      <c r="G21" s="18" t="n">
        <v>3462311.09</v>
      </c>
      <c r="H21" s="18" t="n">
        <v>3460717.59</v>
      </c>
      <c r="I21" s="18" t="n">
        <v>3477467.3</v>
      </c>
      <c r="J21" s="18" t="n">
        <v>3786679.5</v>
      </c>
      <c r="K21" s="37" t="n">
        <v>3786679.5</v>
      </c>
      <c r="L21" s="18" t="n">
        <v>3779589.12</v>
      </c>
      <c r="M21" s="18" t="n">
        <v>3771452.46</v>
      </c>
      <c r="N21" s="18" t="n">
        <v>4006438.39</v>
      </c>
      <c r="O21" s="18" t="n">
        <v>4062170.72</v>
      </c>
      <c r="P21" s="37" t="n">
        <v>4062170.72</v>
      </c>
      <c r="Q21" s="18" t="n">
        <v>4178534.94</v>
      </c>
      <c r="R21" s="18" t="n">
        <v>4521690.63</v>
      </c>
      <c r="S21" s="18" t="n">
        <v>4555285.68</v>
      </c>
      <c r="T21" s="18" t="n">
        <v>4648353.65</v>
      </c>
      <c r="U21" s="37" t="n">
        <v>4648353.65</v>
      </c>
      <c r="V21" s="18" t="n">
        <v>4721666.69</v>
      </c>
      <c r="W21" s="18" t="n">
        <v>4845759.84</v>
      </c>
      <c r="X21" s="18" t="n">
        <v>5025252.82</v>
      </c>
      <c r="Y21" s="18" t="n">
        <v>5273172.77</v>
      </c>
      <c r="Z21" s="37" t="n">
        <v>5273172.77</v>
      </c>
      <c r="AA21" s="18" t="n">
        <v>5385181.49</v>
      </c>
      <c r="AB21" s="19" t="n">
        <v>5546064.15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무형자산</t>
        </is>
      </c>
      <c r="E22" s="18" t="n">
        <v>1207.78</v>
      </c>
      <c r="F22" s="37" t="n">
        <v>1207.78</v>
      </c>
      <c r="G22" s="18" t="n">
        <v>1549.95</v>
      </c>
      <c r="H22" s="18" t="n">
        <v>1887.38</v>
      </c>
      <c r="I22" s="18" t="n">
        <v>2626.9</v>
      </c>
      <c r="J22" s="18" t="n">
        <v>1532.33</v>
      </c>
      <c r="K22" s="37" t="n">
        <v>1532.33</v>
      </c>
      <c r="L22" s="18" t="n">
        <v>2247.37</v>
      </c>
      <c r="M22" s="18" t="n">
        <v>2482.89</v>
      </c>
      <c r="N22" s="18" t="n">
        <v>3200.92</v>
      </c>
      <c r="O22" s="18" t="n">
        <v>4343.85</v>
      </c>
      <c r="P22" s="37" t="n">
        <v>4343.85</v>
      </c>
      <c r="Q22" s="18" t="n">
        <v>4945.74</v>
      </c>
      <c r="R22" s="18" t="n">
        <v>5828.69</v>
      </c>
      <c r="S22" s="18" t="n">
        <v>236920.02</v>
      </c>
      <c r="T22" s="18" t="n">
        <v>394140.1</v>
      </c>
      <c r="U22" s="37" t="n">
        <v>394140.1</v>
      </c>
      <c r="V22" s="18" t="n">
        <v>393622.22</v>
      </c>
      <c r="W22" s="18" t="n">
        <v>378103.51</v>
      </c>
      <c r="X22" s="18" t="n">
        <v>376918.67</v>
      </c>
      <c r="Y22" s="18" t="n">
        <v>362397.28</v>
      </c>
      <c r="Z22" s="37" t="n">
        <v>362397.28</v>
      </c>
      <c r="AA22" s="18" t="n">
        <v>357671.72</v>
      </c>
      <c r="AB22" s="19" t="n">
        <v>352438.93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이연법인세자산</t>
        </is>
      </c>
      <c r="E23" s="18" t="n">
        <v>352.58</v>
      </c>
      <c r="F23" s="37" t="n">
        <v>352.58</v>
      </c>
      <c r="G23" s="18" t="n">
        <v>62.68</v>
      </c>
      <c r="H23" s="18" t="n">
        <v>419.38</v>
      </c>
      <c r="I23" s="18" t="n">
        <v>193.04</v>
      </c>
      <c r="J23" s="18" t="n">
        <v>267.52</v>
      </c>
      <c r="K23" s="37" t="n">
        <v>267.52</v>
      </c>
      <c r="L23" s="18" t="n">
        <v>90.95999999999999</v>
      </c>
      <c r="O23" s="18" t="n">
        <v>164100.77</v>
      </c>
      <c r="P23" s="37" t="n">
        <v>164100.77</v>
      </c>
      <c r="Q23" s="18" t="n">
        <v>164039.62</v>
      </c>
      <c r="R23" s="18" t="n">
        <v>154280.07</v>
      </c>
      <c r="S23" s="18" t="n">
        <v>154367.13</v>
      </c>
      <c r="T23" s="18" t="n">
        <v>506573.93</v>
      </c>
      <c r="U23" s="37" t="n">
        <v>506573.93</v>
      </c>
      <c r="V23" s="18" t="n">
        <v>506573.93</v>
      </c>
      <c r="W23" s="18" t="n">
        <v>498189.16</v>
      </c>
      <c r="X23" s="18" t="n">
        <v>502055.36</v>
      </c>
      <c r="Y23" s="18" t="n">
        <v>949984.61</v>
      </c>
      <c r="Z23" s="37" t="n">
        <v>949984.61</v>
      </c>
      <c r="AA23" s="18" t="n">
        <v>950011.75</v>
      </c>
      <c r="AB23" s="19" t="n">
        <v>965854.76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사용권자산</t>
        </is>
      </c>
      <c r="E24" s="18" t="n">
        <v>82802.61</v>
      </c>
      <c r="F24" s="37" t="n">
        <v>82802.61</v>
      </c>
      <c r="G24" s="18" t="n">
        <v>86151.07000000001</v>
      </c>
      <c r="H24" s="18" t="n">
        <v>81146.60000000001</v>
      </c>
      <c r="I24" s="18" t="n">
        <v>79715.49000000001</v>
      </c>
      <c r="J24" s="18" t="n">
        <v>71585.23</v>
      </c>
      <c r="K24" s="37" t="n">
        <v>71585.23</v>
      </c>
      <c r="L24" s="18" t="n">
        <v>68282.44</v>
      </c>
      <c r="M24" s="18" t="n">
        <v>82580.83</v>
      </c>
      <c r="N24" s="18" t="n">
        <v>84122.07000000001</v>
      </c>
      <c r="O24" s="18" t="n">
        <v>76561.75999999999</v>
      </c>
      <c r="P24" s="37" t="n">
        <v>76561.75999999999</v>
      </c>
      <c r="Q24" s="18" t="n">
        <v>78875.74000000001</v>
      </c>
      <c r="R24" s="18" t="n">
        <v>81362.69</v>
      </c>
      <c r="S24" s="18" t="n">
        <v>73177</v>
      </c>
      <c r="T24" s="18" t="n">
        <v>133041.57</v>
      </c>
      <c r="U24" s="37" t="n">
        <v>133041.57</v>
      </c>
      <c r="V24" s="18" t="n">
        <v>136787.44</v>
      </c>
      <c r="W24" s="18" t="n">
        <v>138515.32</v>
      </c>
      <c r="X24" s="18" t="n">
        <v>140716.69</v>
      </c>
      <c r="Y24" s="18" t="n">
        <v>138173.29</v>
      </c>
      <c r="Z24" s="37" t="n">
        <v>138173.29</v>
      </c>
      <c r="AA24" s="18" t="n">
        <v>124078.23</v>
      </c>
      <c r="AB24" s="19" t="n">
        <v>151508.55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기타비유동자산</t>
        </is>
      </c>
      <c r="E25" s="18" t="n">
        <v>98307.42</v>
      </c>
      <c r="F25" s="37" t="n">
        <v>98307.42</v>
      </c>
      <c r="G25" s="18" t="n">
        <v>105091.93</v>
      </c>
      <c r="H25" s="18" t="n">
        <v>99962.44</v>
      </c>
      <c r="I25" s="18" t="n">
        <v>91317.25999999999</v>
      </c>
      <c r="J25" s="18" t="n">
        <v>143085.17</v>
      </c>
      <c r="K25" s="37" t="n">
        <v>143085.17</v>
      </c>
      <c r="L25" s="18" t="n">
        <v>133912.79</v>
      </c>
      <c r="M25" s="18" t="n">
        <v>95245.03</v>
      </c>
      <c r="N25" s="18" t="n">
        <v>97274.02</v>
      </c>
      <c r="O25" s="18" t="n">
        <v>91889.12</v>
      </c>
      <c r="P25" s="37" t="n">
        <v>91889.12</v>
      </c>
      <c r="Q25" s="18" t="n">
        <v>94509.77</v>
      </c>
      <c r="R25" s="18" t="n">
        <v>95512.75999999999</v>
      </c>
      <c r="S25" s="18" t="n">
        <v>87083.08</v>
      </c>
      <c r="T25" s="18" t="n">
        <v>164918.56</v>
      </c>
      <c r="U25" s="37" t="n">
        <v>164918.56</v>
      </c>
      <c r="V25" s="18" t="n">
        <v>168358.06</v>
      </c>
      <c r="W25" s="18" t="n">
        <v>170845.13</v>
      </c>
      <c r="X25" s="18" t="n">
        <v>172911.7</v>
      </c>
      <c r="Y25" s="18" t="n">
        <v>180240.37</v>
      </c>
      <c r="Z25" s="37" t="n">
        <v>180240.37</v>
      </c>
      <c r="AA25" s="18" t="n">
        <v>181669.77</v>
      </c>
      <c r="AB25" s="19" t="n">
        <v>224542.98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자산총계</t>
        </is>
      </c>
      <c r="E26" s="18" t="n">
        <v>10623209.56</v>
      </c>
      <c r="F26" s="37" t="n">
        <v>10623209.56</v>
      </c>
      <c r="G26" s="18" t="n">
        <v>10759266.24</v>
      </c>
      <c r="H26" s="18" t="n">
        <v>12022458.85</v>
      </c>
      <c r="I26" s="18" t="n">
        <v>12499169.42</v>
      </c>
      <c r="J26" s="18" t="n">
        <v>12235665.3</v>
      </c>
      <c r="K26" s="37" t="n">
        <v>12235665.3</v>
      </c>
      <c r="L26" s="18" t="n">
        <v>12319102.44</v>
      </c>
      <c r="M26" s="18" t="n">
        <v>13640745.56</v>
      </c>
      <c r="N26" s="18" t="n">
        <v>13269763.16</v>
      </c>
      <c r="O26" s="18" t="n">
        <v>13944772.69</v>
      </c>
      <c r="P26" s="37" t="n">
        <v>13944772.69</v>
      </c>
      <c r="Q26" s="18" t="n">
        <v>14894440.13</v>
      </c>
      <c r="R26" s="18" t="n">
        <v>16228381.92</v>
      </c>
      <c r="S26" s="18" t="n">
        <v>16367002.54</v>
      </c>
      <c r="T26" s="18" t="n">
        <v>17843809.16</v>
      </c>
      <c r="U26" s="37" t="n">
        <v>17843809.16</v>
      </c>
      <c r="V26" s="18" t="n">
        <v>18177673.45</v>
      </c>
      <c r="W26" s="18" t="n">
        <v>18303712.87</v>
      </c>
      <c r="X26" s="18" t="n">
        <v>18533926.49</v>
      </c>
      <c r="Y26" s="18" t="n">
        <v>20140914.01</v>
      </c>
      <c r="Z26" s="37" t="n">
        <v>20140914.01</v>
      </c>
      <c r="AA26" s="18" t="n">
        <v>20796547.46</v>
      </c>
      <c r="AB26" s="19" t="n">
        <v>20146186.8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유동부채</t>
        </is>
      </c>
      <c r="E27" s="18" t="n">
        <v>7464467.86</v>
      </c>
      <c r="F27" s="37" t="n">
        <v>7464467.86</v>
      </c>
      <c r="G27" s="18" t="n">
        <v>8148435.39</v>
      </c>
      <c r="H27" s="18" t="n">
        <v>9288994.289999999</v>
      </c>
      <c r="I27" s="18" t="n">
        <v>10028904.51</v>
      </c>
      <c r="J27" s="18" t="n">
        <v>10672486.38</v>
      </c>
      <c r="K27" s="37" t="n">
        <v>10672486.38</v>
      </c>
      <c r="L27" s="18" t="n">
        <v>10837185.59</v>
      </c>
      <c r="M27" s="18" t="n">
        <v>8882481.619999999</v>
      </c>
      <c r="N27" s="18" t="n">
        <v>8104192.59</v>
      </c>
      <c r="O27" s="18" t="n">
        <v>7459444.08</v>
      </c>
      <c r="P27" s="37" t="n">
        <v>7459444.08</v>
      </c>
      <c r="Q27" s="18" t="n">
        <v>8240962.06</v>
      </c>
      <c r="R27" s="18" t="n">
        <v>9540282.68</v>
      </c>
      <c r="S27" s="18" t="n">
        <v>9904381.85</v>
      </c>
      <c r="T27" s="18" t="n">
        <v>10346614.47</v>
      </c>
      <c r="U27" s="37" t="n">
        <v>10346614.47</v>
      </c>
      <c r="V27" s="18" t="n">
        <v>10339706.54</v>
      </c>
      <c r="W27" s="18" t="n">
        <v>10456875.07</v>
      </c>
      <c r="X27" s="18" t="n">
        <v>10274686.24</v>
      </c>
      <c r="Y27" s="18" t="n">
        <v>11200499.2</v>
      </c>
      <c r="Z27" s="37" t="n">
        <v>11200499.2</v>
      </c>
      <c r="AA27" s="18" t="n">
        <v>10825510.42</v>
      </c>
      <c r="AB27" s="19" t="n">
        <v>9364479.720000001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단기차입금</t>
        </is>
      </c>
      <c r="E28" s="18" t="n">
        <v>1137945.73</v>
      </c>
      <c r="F28" s="37" t="n">
        <v>1137945.73</v>
      </c>
      <c r="G28" s="18" t="n">
        <v>1347185.28</v>
      </c>
      <c r="H28" s="18" t="n">
        <v>1424089.69</v>
      </c>
      <c r="I28" s="18" t="n">
        <v>1411648.88</v>
      </c>
      <c r="J28" s="18" t="n">
        <v>1283430.94</v>
      </c>
      <c r="K28" s="37" t="n">
        <v>1283430.94</v>
      </c>
      <c r="L28" s="18" t="n">
        <v>1707126.47</v>
      </c>
      <c r="M28" s="18" t="n">
        <v>713220.26</v>
      </c>
      <c r="N28" s="18" t="n">
        <v>576236.23</v>
      </c>
      <c r="O28" s="18" t="n">
        <v>526449.92</v>
      </c>
      <c r="P28" s="37" t="n">
        <v>526449.92</v>
      </c>
      <c r="Q28" s="18" t="n">
        <v>1713714.68</v>
      </c>
      <c r="R28" s="18" t="n">
        <v>2519938.37</v>
      </c>
      <c r="S28" s="18" t="n">
        <v>3179562.51</v>
      </c>
      <c r="T28" s="18" t="n">
        <v>3237744.03</v>
      </c>
      <c r="U28" s="37" t="n">
        <v>3237744.03</v>
      </c>
      <c r="V28" s="18" t="n">
        <v>3371868.65</v>
      </c>
      <c r="W28" s="18" t="n">
        <v>3030820.19</v>
      </c>
      <c r="X28" s="18" t="n">
        <v>3051187.29</v>
      </c>
      <c r="Y28" s="18" t="n">
        <v>3300054.55</v>
      </c>
      <c r="Z28" s="37" t="n">
        <v>3300054.55</v>
      </c>
      <c r="AA28" s="18" t="n">
        <v>3529081.73</v>
      </c>
      <c r="AB28" s="19" t="n">
        <v>3387397.65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매입채무및기타채무</t>
        </is>
      </c>
      <c r="E29" s="18" t="n">
        <v>669851.3199999999</v>
      </c>
      <c r="F29" s="37" t="n">
        <v>669851.3199999999</v>
      </c>
      <c r="G29" s="18" t="n">
        <v>649354.86</v>
      </c>
      <c r="H29" s="18" t="n">
        <v>690954.1</v>
      </c>
      <c r="I29" s="18" t="n">
        <v>720459.37</v>
      </c>
      <c r="J29" s="18" t="n">
        <v>921458.49</v>
      </c>
      <c r="K29" s="37" t="n">
        <v>921458.49</v>
      </c>
      <c r="L29" s="18" t="n">
        <v>919163.14</v>
      </c>
      <c r="M29" s="18" t="n">
        <v>985040.9399999999</v>
      </c>
      <c r="N29" s="18" t="n">
        <v>953132.5600000001</v>
      </c>
      <c r="O29" s="18" t="n">
        <v>1176410.91</v>
      </c>
      <c r="P29" s="37" t="n">
        <v>1176410.91</v>
      </c>
      <c r="Q29" s="18" t="n">
        <v>1152124.31</v>
      </c>
      <c r="R29" s="18" t="n">
        <v>1285395.14</v>
      </c>
      <c r="S29" s="18" t="n">
        <v>1254663.3</v>
      </c>
      <c r="T29" s="18" t="n">
        <v>1671989.52</v>
      </c>
      <c r="U29" s="37" t="n">
        <v>1671989.52</v>
      </c>
      <c r="V29" s="18" t="n">
        <v>1350338.12</v>
      </c>
      <c r="W29" s="18" t="n">
        <v>1525558.88</v>
      </c>
      <c r="X29" s="18" t="n">
        <v>1619500.58</v>
      </c>
      <c r="Y29" s="18" t="n">
        <v>1856322.29</v>
      </c>
      <c r="Z29" s="37" t="n">
        <v>1856322.29</v>
      </c>
      <c r="AA29" s="18" t="n">
        <v>1693852.1</v>
      </c>
      <c r="AB29" s="19" t="n">
        <v>1626179.85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유동성장기부채</t>
        </is>
      </c>
      <c r="E30" s="18" t="n">
        <v>1329495.23</v>
      </c>
      <c r="F30" s="37" t="n">
        <v>1329495.23</v>
      </c>
      <c r="G30" s="18" t="n">
        <v>1360748.21</v>
      </c>
      <c r="H30" s="18" t="n">
        <v>1443944.34</v>
      </c>
      <c r="I30" s="18" t="n">
        <v>1506873.97</v>
      </c>
      <c r="J30" s="18" t="n">
        <v>1304098.27</v>
      </c>
      <c r="K30" s="37" t="n">
        <v>1304098.27</v>
      </c>
      <c r="L30" s="18" t="n">
        <v>1276920.8</v>
      </c>
      <c r="P30" s="9" t="n"/>
      <c r="U30" s="9" t="n"/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계약부채</t>
        </is>
      </c>
      <c r="E31" s="18" t="n">
        <v>2094172.33</v>
      </c>
      <c r="F31" s="37" t="n">
        <v>2094172.33</v>
      </c>
      <c r="G31" s="18" t="n">
        <v>2277141.93</v>
      </c>
      <c r="H31" s="18" t="n">
        <v>3168104.66</v>
      </c>
      <c r="I31" s="18" t="n">
        <v>3538939.97</v>
      </c>
      <c r="J31" s="18" t="n">
        <v>4681596.49</v>
      </c>
      <c r="K31" s="37" t="n">
        <v>4681596.49</v>
      </c>
      <c r="L31" s="18" t="n">
        <v>4662527.25</v>
      </c>
      <c r="M31" s="18" t="n">
        <v>5037872.39</v>
      </c>
      <c r="N31" s="18" t="n">
        <v>4631146.71</v>
      </c>
      <c r="O31" s="18" t="n">
        <v>4366249.55</v>
      </c>
      <c r="P31" s="37" t="n">
        <v>4366249.55</v>
      </c>
      <c r="Q31" s="18" t="n">
        <v>4101558.42</v>
      </c>
      <c r="R31" s="18" t="n">
        <v>4552346.13</v>
      </c>
      <c r="S31" s="18" t="n">
        <v>4498055.88</v>
      </c>
      <c r="T31" s="18" t="n">
        <v>4315343.88</v>
      </c>
      <c r="U31" s="37" t="n">
        <v>4315343.88</v>
      </c>
      <c r="V31" s="18" t="n">
        <v>4682275.54</v>
      </c>
      <c r="W31" s="18" t="n">
        <v>5211565.97</v>
      </c>
      <c r="X31" s="18" t="n">
        <v>4921540.03</v>
      </c>
      <c r="Y31" s="18" t="n">
        <v>5195941.49</v>
      </c>
      <c r="Z31" s="37" t="n">
        <v>5195941.49</v>
      </c>
      <c r="AA31" s="18" t="n">
        <v>5010726.14</v>
      </c>
      <c r="AB31" s="19" t="n">
        <v>3747953.75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단기충당부채</t>
        </is>
      </c>
      <c r="E32" s="18" t="n">
        <v>1758206.81</v>
      </c>
      <c r="F32" s="37" t="n">
        <v>1758206.81</v>
      </c>
      <c r="G32" s="18" t="n">
        <v>1945101.87</v>
      </c>
      <c r="H32" s="18" t="n">
        <v>1639502.86</v>
      </c>
      <c r="I32" s="18" t="n">
        <v>1738772.52</v>
      </c>
      <c r="J32" s="18" t="n">
        <v>1570254.83</v>
      </c>
      <c r="K32" s="37" t="n">
        <v>1570254.83</v>
      </c>
      <c r="L32" s="18" t="n">
        <v>1295722.59</v>
      </c>
      <c r="M32" s="18" t="n">
        <v>1131567.29</v>
      </c>
      <c r="N32" s="18" t="n">
        <v>817880.83</v>
      </c>
      <c r="O32" s="18" t="n">
        <v>715250.6</v>
      </c>
      <c r="P32" s="37" t="n">
        <v>715250.6</v>
      </c>
      <c r="Q32" s="18" t="n">
        <v>479182.01</v>
      </c>
      <c r="R32" s="18" t="n">
        <v>367066.55</v>
      </c>
      <c r="S32" s="18" t="n">
        <v>314386.63</v>
      </c>
      <c r="T32" s="18" t="n">
        <v>364183.97</v>
      </c>
      <c r="U32" s="37" t="n">
        <v>364183.97</v>
      </c>
      <c r="V32" s="18" t="n">
        <v>242337.4</v>
      </c>
      <c r="W32" s="18" t="n">
        <v>220674.22</v>
      </c>
      <c r="X32" s="18" t="n">
        <v>215275.04</v>
      </c>
      <c r="Y32" s="18" t="n">
        <v>416851.88</v>
      </c>
      <c r="Z32" s="37" t="n">
        <v>416851.88</v>
      </c>
      <c r="AA32" s="18" t="n">
        <v>144786</v>
      </c>
      <c r="AB32" s="19" t="n">
        <v>140709.67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당기법인세부채(미지급법인세)</t>
        </is>
      </c>
      <c r="E33" s="18" t="n">
        <v>2336.39</v>
      </c>
      <c r="F33" s="37" t="n">
        <v>2336.39</v>
      </c>
      <c r="G33" s="18" t="n">
        <v>2444.39</v>
      </c>
      <c r="H33" s="18" t="n">
        <v>1045.1</v>
      </c>
      <c r="I33" s="18" t="n">
        <v>1134.74</v>
      </c>
      <c r="J33" s="18" t="n">
        <v>1386.7</v>
      </c>
      <c r="K33" s="37" t="n">
        <v>1386.7</v>
      </c>
      <c r="L33" s="18" t="n">
        <v>1425.36</v>
      </c>
      <c r="M33" s="18" t="n">
        <v>891.6</v>
      </c>
      <c r="N33" s="18" t="n">
        <v>711.6900000000001</v>
      </c>
      <c r="O33" s="18" t="n">
        <v>837.3099999999999</v>
      </c>
      <c r="P33" s="37" t="n">
        <v>837.3099999999999</v>
      </c>
      <c r="Q33" s="18" t="n">
        <v>2559.42</v>
      </c>
      <c r="R33" s="18" t="n">
        <v>2416.28</v>
      </c>
      <c r="S33" s="18" t="n">
        <v>1180.4</v>
      </c>
      <c r="T33" s="18" t="n">
        <v>3007.76</v>
      </c>
      <c r="U33" s="37" t="n">
        <v>3007.76</v>
      </c>
      <c r="V33" s="18" t="n">
        <v>1774.07</v>
      </c>
      <c r="W33" s="18" t="n">
        <v>2184.69</v>
      </c>
      <c r="X33" s="18" t="n">
        <v>3600.88</v>
      </c>
      <c r="Y33" s="18" t="n">
        <v>4896.14</v>
      </c>
      <c r="Z33" s="37" t="n">
        <v>4896.14</v>
      </c>
      <c r="AA33" s="18" t="n">
        <v>4913.69</v>
      </c>
      <c r="AB33" s="19" t="n">
        <v>2854.65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기타유동부채</t>
        </is>
      </c>
      <c r="E34" s="18" t="n">
        <v>402287.76</v>
      </c>
      <c r="F34" s="37" t="n">
        <v>402287.76</v>
      </c>
      <c r="G34" s="18" t="n">
        <v>431136.91</v>
      </c>
      <c r="H34" s="18" t="n">
        <v>601537.4300000001</v>
      </c>
      <c r="I34" s="18" t="n">
        <v>551816.25</v>
      </c>
      <c r="J34" s="18" t="n">
        <v>565985.9399999999</v>
      </c>
      <c r="K34" s="37" t="n">
        <v>565985.9399999999</v>
      </c>
      <c r="L34" s="18" t="n">
        <v>580939.25</v>
      </c>
      <c r="M34" s="18" t="n">
        <v>585268.8100000001</v>
      </c>
      <c r="N34" s="18" t="n">
        <v>591927.09</v>
      </c>
      <c r="O34" s="18" t="n">
        <v>422464.75</v>
      </c>
      <c r="P34" s="37" t="n">
        <v>422464.75</v>
      </c>
      <c r="Q34" s="18" t="n">
        <v>432172.3</v>
      </c>
      <c r="R34" s="18" t="n">
        <v>458795.92</v>
      </c>
      <c r="S34" s="18" t="n">
        <v>491527.18</v>
      </c>
      <c r="T34" s="18" t="n">
        <v>376263.58</v>
      </c>
      <c r="U34" s="37" t="n">
        <v>376263.58</v>
      </c>
      <c r="V34" s="18" t="n">
        <v>297043.49</v>
      </c>
      <c r="W34" s="18" t="n">
        <v>272295.45</v>
      </c>
      <c r="X34" s="18" t="n">
        <v>283238.69</v>
      </c>
      <c r="Y34" s="18" t="n">
        <v>319985.15</v>
      </c>
      <c r="Z34" s="37" t="n">
        <v>319985.15</v>
      </c>
      <c r="AA34" s="18" t="n">
        <v>334609.54</v>
      </c>
      <c r="AB34" s="19" t="n">
        <v>314600.48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비유동부채</t>
        </is>
      </c>
      <c r="E35" s="18" t="n">
        <v>941158.24</v>
      </c>
      <c r="F35" s="37" t="n">
        <v>941158.24</v>
      </c>
      <c r="G35" s="18" t="n">
        <v>884271.99</v>
      </c>
      <c r="H35" s="18" t="n">
        <v>1185083.6</v>
      </c>
      <c r="I35" s="18" t="n">
        <v>1571579.04</v>
      </c>
      <c r="J35" s="18" t="n">
        <v>818206.99</v>
      </c>
      <c r="K35" s="37" t="n">
        <v>818206.99</v>
      </c>
      <c r="L35" s="18" t="n">
        <v>852856.75</v>
      </c>
      <c r="M35" s="18" t="n">
        <v>2426056.9</v>
      </c>
      <c r="N35" s="18" t="n">
        <v>2491792.75</v>
      </c>
      <c r="O35" s="18" t="n">
        <v>2173171.49</v>
      </c>
      <c r="P35" s="37" t="n">
        <v>2173171.49</v>
      </c>
      <c r="Q35" s="18" t="n">
        <v>2290157.09</v>
      </c>
      <c r="R35" s="18" t="n">
        <v>2350442.47</v>
      </c>
      <c r="S35" s="18" t="n">
        <v>2281849.12</v>
      </c>
      <c r="T35" s="18" t="n">
        <v>2633844.8</v>
      </c>
      <c r="U35" s="37" t="n">
        <v>2633844.8</v>
      </c>
      <c r="V35" s="18" t="n">
        <v>2749394.4</v>
      </c>
      <c r="W35" s="18" t="n">
        <v>2621061.36</v>
      </c>
      <c r="X35" s="18" t="n">
        <v>2783182.8</v>
      </c>
      <c r="Y35" s="18" t="n">
        <v>2765407.82</v>
      </c>
      <c r="Z35" s="37" t="n">
        <v>2765407.82</v>
      </c>
      <c r="AA35" s="18" t="n">
        <v>3145064.26</v>
      </c>
      <c r="AB35" s="19" t="n">
        <v>3253494.79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사채</t>
        </is>
      </c>
      <c r="E36" s="18" t="n">
        <v>111743.39</v>
      </c>
      <c r="F36" s="37" t="n">
        <v>111743.39</v>
      </c>
      <c r="G36" s="18" t="n">
        <v>56393.11</v>
      </c>
      <c r="K36" s="9" t="n"/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장기차입금</t>
        </is>
      </c>
      <c r="E37" s="18" t="n">
        <v>122512.94</v>
      </c>
      <c r="F37" s="37" t="n">
        <v>122512.94</v>
      </c>
      <c r="G37" s="18" t="n">
        <v>116822.03</v>
      </c>
      <c r="H37" s="18" t="n">
        <v>111833.68</v>
      </c>
      <c r="I37" s="18" t="n">
        <v>116209.29</v>
      </c>
      <c r="J37" s="18" t="n">
        <v>99715.36</v>
      </c>
      <c r="K37" s="37" t="n">
        <v>99715.36</v>
      </c>
      <c r="L37" s="18" t="n">
        <v>93931.58</v>
      </c>
      <c r="M37" s="18" t="n">
        <v>1626788.68</v>
      </c>
      <c r="N37" s="18" t="n">
        <v>1738732.92</v>
      </c>
      <c r="O37" s="18" t="n">
        <v>1664742.45</v>
      </c>
      <c r="P37" s="37" t="n">
        <v>1664742.45</v>
      </c>
      <c r="Q37" s="18" t="n">
        <v>1714421.23</v>
      </c>
      <c r="R37" s="18" t="n">
        <v>1749480.72</v>
      </c>
      <c r="S37" s="18" t="n">
        <v>1708893.77</v>
      </c>
      <c r="T37" s="18" t="n">
        <v>2028126.04</v>
      </c>
      <c r="U37" s="37" t="n">
        <v>2028126.04</v>
      </c>
      <c r="V37" s="18" t="n">
        <v>2148801.12</v>
      </c>
      <c r="W37" s="18" t="n">
        <v>1997395.72</v>
      </c>
      <c r="X37" s="18" t="n">
        <v>2121094.74</v>
      </c>
      <c r="Y37" s="18" t="n">
        <v>2346290.4</v>
      </c>
      <c r="Z37" s="37" t="n">
        <v>2346290.4</v>
      </c>
      <c r="AA37" s="18" t="n">
        <v>2613874.15</v>
      </c>
      <c r="AB37" s="19" t="n">
        <v>2650095.3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장기매입채무및기타채무</t>
        </is>
      </c>
      <c r="E38" s="18" t="n">
        <v>6993.08</v>
      </c>
      <c r="F38" s="37" t="n">
        <v>6993.08</v>
      </c>
      <c r="G38" s="18" t="n">
        <v>7112.83</v>
      </c>
      <c r="H38" s="18" t="n">
        <v>4888.31</v>
      </c>
      <c r="I38" s="18" t="n">
        <v>5429.07</v>
      </c>
      <c r="J38" s="18" t="n">
        <v>5244.47</v>
      </c>
      <c r="K38" s="37" t="n">
        <v>5244.47</v>
      </c>
      <c r="L38" s="18" t="n">
        <v>5401.6</v>
      </c>
      <c r="M38" s="18" t="n">
        <v>5431.72</v>
      </c>
      <c r="N38" s="18" t="n">
        <v>5552.15</v>
      </c>
      <c r="O38" s="18" t="n">
        <v>5234.39</v>
      </c>
      <c r="P38" s="37" t="n">
        <v>5234.39</v>
      </c>
      <c r="Q38" s="18" t="n">
        <v>7873</v>
      </c>
      <c r="R38" s="18" t="n">
        <v>11510.58</v>
      </c>
      <c r="S38" s="18" t="n">
        <v>12468.92</v>
      </c>
      <c r="T38" s="18" t="n">
        <v>15320.02</v>
      </c>
      <c r="U38" s="37" t="n">
        <v>15320.02</v>
      </c>
      <c r="V38" s="18" t="n">
        <v>45782.77</v>
      </c>
      <c r="W38" s="18" t="n">
        <v>48419.3</v>
      </c>
      <c r="X38" s="18" t="n">
        <v>68685.17999999999</v>
      </c>
      <c r="Y38" s="18" t="n">
        <v>72938.28999999999</v>
      </c>
      <c r="Z38" s="37" t="n">
        <v>72938.28999999999</v>
      </c>
      <c r="AA38" s="18" t="n">
        <v>80988.66</v>
      </c>
      <c r="AB38" s="19" t="n">
        <v>72323.77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장기충당부채</t>
        </is>
      </c>
      <c r="E39" s="18" t="n">
        <v>334794.55</v>
      </c>
      <c r="F39" s="37" t="n">
        <v>334794.55</v>
      </c>
      <c r="G39" s="18" t="n">
        <v>322340.27</v>
      </c>
      <c r="H39" s="18" t="n">
        <v>360892.5</v>
      </c>
      <c r="I39" s="18" t="n">
        <v>362692.78</v>
      </c>
      <c r="J39" s="18" t="n">
        <v>328991.34</v>
      </c>
      <c r="K39" s="37" t="n">
        <v>328991.34</v>
      </c>
      <c r="L39" s="18" t="n">
        <v>305459.49</v>
      </c>
      <c r="M39" s="18" t="n">
        <v>288476.34</v>
      </c>
      <c r="N39" s="18" t="n">
        <v>244465.91</v>
      </c>
      <c r="O39" s="18" t="n">
        <v>229959.7</v>
      </c>
      <c r="P39" s="37" t="n">
        <v>229959.7</v>
      </c>
      <c r="Q39" s="18" t="n">
        <v>230121.95</v>
      </c>
      <c r="R39" s="18" t="n">
        <v>234804.46</v>
      </c>
      <c r="S39" s="18" t="n">
        <v>232901.09</v>
      </c>
      <c r="T39" s="18" t="n">
        <v>187901.66</v>
      </c>
      <c r="U39" s="37" t="n">
        <v>187901.66</v>
      </c>
      <c r="V39" s="18" t="n">
        <v>188013.52</v>
      </c>
      <c r="W39" s="18" t="n">
        <v>190682.12</v>
      </c>
      <c r="X39" s="18" t="n">
        <v>195341.35</v>
      </c>
      <c r="Y39" s="18" t="n">
        <v>80308.64999999999</v>
      </c>
      <c r="Z39" s="37" t="n">
        <v>80308.64999999999</v>
      </c>
      <c r="AA39" s="18" t="n">
        <v>80927.94</v>
      </c>
      <c r="AB39" s="19" t="n">
        <v>84805.87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비유동리스부채</t>
        </is>
      </c>
      <c r="E40" s="18" t="n">
        <v>61166.93</v>
      </c>
      <c r="F40" s="37" t="n">
        <v>61166.93</v>
      </c>
      <c r="G40" s="18" t="n">
        <v>61499.05</v>
      </c>
      <c r="H40" s="18" t="n">
        <v>56743.12</v>
      </c>
      <c r="I40" s="18" t="n">
        <v>53365.03</v>
      </c>
      <c r="J40" s="18" t="n">
        <v>48605.25</v>
      </c>
      <c r="K40" s="37" t="n">
        <v>48605.25</v>
      </c>
      <c r="L40" s="18" t="n">
        <v>44450.98</v>
      </c>
      <c r="M40" s="18" t="n">
        <v>55958.79</v>
      </c>
      <c r="N40" s="18" t="n">
        <v>55011.27</v>
      </c>
      <c r="O40" s="18" t="n">
        <v>51346.2</v>
      </c>
      <c r="P40" s="37" t="n">
        <v>51346.2</v>
      </c>
      <c r="Q40" s="18" t="n">
        <v>50602.76</v>
      </c>
      <c r="R40" s="18" t="n">
        <v>42414.97</v>
      </c>
      <c r="S40" s="18" t="n">
        <v>37540.68</v>
      </c>
      <c r="T40" s="18" t="n">
        <v>98270.13</v>
      </c>
      <c r="U40" s="37" t="n">
        <v>98270.13</v>
      </c>
      <c r="V40" s="18" t="n">
        <v>100806.86</v>
      </c>
      <c r="W40" s="18" t="n">
        <v>97641.45</v>
      </c>
      <c r="X40" s="18" t="n">
        <v>94814.23</v>
      </c>
      <c r="Y40" s="18" t="n">
        <v>93427.17</v>
      </c>
      <c r="Z40" s="37" t="n">
        <v>93427.17</v>
      </c>
      <c r="AA40" s="18" t="n">
        <v>89058.33</v>
      </c>
      <c r="AB40" s="19" t="n">
        <v>109164.2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리스부채</t>
        </is>
      </c>
      <c r="E41" s="18" t="n">
        <v>61166.93</v>
      </c>
      <c r="F41" s="37" t="n">
        <v>61166.93</v>
      </c>
      <c r="G41" s="18" t="n">
        <v>61499.05</v>
      </c>
      <c r="H41" s="18" t="n">
        <v>56743.12</v>
      </c>
      <c r="I41" s="18" t="n">
        <v>53365.03</v>
      </c>
      <c r="J41" s="18" t="n">
        <v>48605.25</v>
      </c>
      <c r="K41" s="37" t="n">
        <v>48605.25</v>
      </c>
      <c r="L41" s="18" t="n">
        <v>44450.98</v>
      </c>
      <c r="M41" s="18" t="n">
        <v>55958.79</v>
      </c>
      <c r="N41" s="18" t="n">
        <v>55011.27</v>
      </c>
      <c r="O41" s="18" t="n">
        <v>51346.2</v>
      </c>
      <c r="P41" s="37" t="n">
        <v>51346.2</v>
      </c>
      <c r="Q41" s="18" t="n">
        <v>50602.76</v>
      </c>
      <c r="R41" s="18" t="n">
        <v>42414.97</v>
      </c>
      <c r="S41" s="18" t="n">
        <v>37540.68</v>
      </c>
      <c r="T41" s="18" t="n">
        <v>98270.13</v>
      </c>
      <c r="U41" s="37" t="n">
        <v>98270.13</v>
      </c>
      <c r="V41" s="18" t="n">
        <v>100806.86</v>
      </c>
      <c r="W41" s="18" t="n">
        <v>97641.45</v>
      </c>
      <c r="X41" s="18" t="n">
        <v>94814.23</v>
      </c>
      <c r="Y41" s="18" t="n">
        <v>93427.17</v>
      </c>
      <c r="Z41" s="37" t="n">
        <v>93427.17</v>
      </c>
      <c r="AA41" s="18" t="n">
        <v>89058.33</v>
      </c>
      <c r="AB41" s="19" t="n">
        <v>149966.01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장기금융부채</t>
        </is>
      </c>
      <c r="E42" s="18" t="n">
        <v>62229.92</v>
      </c>
      <c r="F42" s="37" t="n">
        <v>62229.92</v>
      </c>
      <c r="G42" s="18" t="n">
        <v>61892.28</v>
      </c>
      <c r="H42" s="18" t="n">
        <v>57027.47</v>
      </c>
      <c r="I42" s="18" t="n">
        <v>53365.03</v>
      </c>
      <c r="J42" s="18" t="n">
        <v>48674.54</v>
      </c>
      <c r="K42" s="37" t="n">
        <v>48674.54</v>
      </c>
      <c r="L42" s="18" t="n">
        <v>44602.83</v>
      </c>
      <c r="M42" s="18" t="n">
        <v>55958.79</v>
      </c>
      <c r="N42" s="18" t="n">
        <v>55011.27</v>
      </c>
      <c r="O42" s="18" t="n">
        <v>51346.2</v>
      </c>
      <c r="P42" s="37" t="n">
        <v>51346.2</v>
      </c>
      <c r="Q42" s="18" t="n">
        <v>50602.76</v>
      </c>
      <c r="R42" s="18" t="n">
        <v>42414.97</v>
      </c>
      <c r="S42" s="18" t="n">
        <v>39826.52</v>
      </c>
      <c r="T42" s="18" t="n">
        <v>98270.13</v>
      </c>
      <c r="U42" s="37" t="n">
        <v>98270.13</v>
      </c>
      <c r="V42" s="18" t="n">
        <v>100806.86</v>
      </c>
      <c r="W42" s="18" t="n">
        <v>97641.45</v>
      </c>
      <c r="X42" s="18" t="n">
        <v>94814.23</v>
      </c>
      <c r="Y42" s="18" t="n">
        <v>98305.2</v>
      </c>
      <c r="Z42" s="37" t="n">
        <v>98305.2</v>
      </c>
      <c r="AA42" s="18" t="n">
        <v>162833.98</v>
      </c>
      <c r="AB42" s="19" t="n">
        <v>221928.05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장기파생상품부채</t>
        </is>
      </c>
      <c r="E43" s="18" t="n">
        <v>1062.99</v>
      </c>
      <c r="F43" s="37" t="n">
        <v>1062.99</v>
      </c>
      <c r="G43" s="18" t="n">
        <v>393.23</v>
      </c>
      <c r="H43" s="18" t="n">
        <v>284.35</v>
      </c>
      <c r="J43" s="18" t="n">
        <v>69.29000000000001</v>
      </c>
      <c r="K43" s="37" t="n">
        <v>69.29000000000001</v>
      </c>
      <c r="L43" s="18" t="n">
        <v>151.85</v>
      </c>
      <c r="P43" s="9" t="n"/>
      <c r="S43" s="18" t="n">
        <v>2285.84</v>
      </c>
      <c r="U43" s="9" t="n"/>
      <c r="Y43" s="18" t="n">
        <v>4878.03</v>
      </c>
      <c r="Z43" s="37" t="n">
        <v>4878.03</v>
      </c>
      <c r="AA43" s="18" t="n">
        <v>73775.64999999999</v>
      </c>
      <c r="AB43" s="19" t="n">
        <v>112763.85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이연법인세부채</t>
        </is>
      </c>
      <c r="E44" s="18" t="n">
        <v>63891.94</v>
      </c>
      <c r="F44" s="37" t="n">
        <v>63891.94</v>
      </c>
      <c r="G44" s="18" t="n">
        <v>63929.46</v>
      </c>
      <c r="H44" s="18" t="n">
        <v>77221.08</v>
      </c>
      <c r="I44" s="18" t="n">
        <v>41342.46</v>
      </c>
      <c r="J44" s="18" t="n">
        <v>118975.5</v>
      </c>
      <c r="K44" s="37" t="n">
        <v>118975.5</v>
      </c>
      <c r="L44" s="18" t="n">
        <v>119325.08</v>
      </c>
      <c r="M44" s="18" t="n">
        <v>128397.52</v>
      </c>
      <c r="N44" s="18" t="n">
        <v>141772.34</v>
      </c>
      <c r="O44" s="18" t="n">
        <v>19851.73</v>
      </c>
      <c r="P44" s="37" t="n">
        <v>19851.73</v>
      </c>
      <c r="Q44" s="18" t="n">
        <v>20093.29</v>
      </c>
      <c r="R44" s="18" t="n">
        <v>20263.09</v>
      </c>
      <c r="S44" s="18" t="n">
        <v>19285.18</v>
      </c>
      <c r="T44" s="18" t="n">
        <v>22814.53</v>
      </c>
      <c r="U44" s="37" t="n">
        <v>22814.53</v>
      </c>
      <c r="V44" s="18" t="n">
        <v>23560.75</v>
      </c>
      <c r="W44" s="18" t="n">
        <v>23391.38</v>
      </c>
      <c r="X44" s="18" t="n">
        <v>22733.81</v>
      </c>
      <c r="Y44" s="18" t="n">
        <v>34406.02</v>
      </c>
      <c r="Z44" s="37" t="n">
        <v>34406.02</v>
      </c>
      <c r="AA44" s="18" t="n">
        <v>40774.95</v>
      </c>
      <c r="AB44" s="19" t="n">
        <v>37842.67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부채총계</t>
        </is>
      </c>
      <c r="E45" s="18" t="n">
        <v>8405626.1</v>
      </c>
      <c r="F45" s="37" t="n">
        <v>8405626.1</v>
      </c>
      <c r="G45" s="18" t="n">
        <v>9032707.380000001</v>
      </c>
      <c r="H45" s="18" t="n">
        <v>10474077.89</v>
      </c>
      <c r="I45" s="18" t="n">
        <v>11600483.55</v>
      </c>
      <c r="J45" s="18" t="n">
        <v>11490693.37</v>
      </c>
      <c r="K45" s="37" t="n">
        <v>11490693.37</v>
      </c>
      <c r="L45" s="18" t="n">
        <v>11690042.34</v>
      </c>
      <c r="M45" s="18" t="n">
        <v>11308538.51</v>
      </c>
      <c r="N45" s="18" t="n">
        <v>10595985.33</v>
      </c>
      <c r="O45" s="18" t="n">
        <v>9632615.57</v>
      </c>
      <c r="P45" s="37" t="n">
        <v>9632615.57</v>
      </c>
      <c r="Q45" s="18" t="n">
        <v>10531119.15</v>
      </c>
      <c r="R45" s="18" t="n">
        <v>11890725.15</v>
      </c>
      <c r="S45" s="18" t="n">
        <v>12186230.97</v>
      </c>
      <c r="T45" s="18" t="n">
        <v>12980459.27</v>
      </c>
      <c r="U45" s="37" t="n">
        <v>12980459.27</v>
      </c>
      <c r="V45" s="18" t="n">
        <v>13089100.94</v>
      </c>
      <c r="W45" s="18" t="n">
        <v>13077936.43</v>
      </c>
      <c r="X45" s="18" t="n">
        <v>13057869.04</v>
      </c>
      <c r="Y45" s="18" t="n">
        <v>13965907.02</v>
      </c>
      <c r="Z45" s="37" t="n">
        <v>13965907.02</v>
      </c>
      <c r="AA45" s="18" t="n">
        <v>13970574.68</v>
      </c>
      <c r="AB45" s="19" t="n">
        <v>12617974.51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지배주주지분</t>
        </is>
      </c>
      <c r="E46" s="18" t="n">
        <v>2217583.45</v>
      </c>
      <c r="F46" s="37" t="n">
        <v>2217583.45</v>
      </c>
      <c r="G46" s="18" t="n">
        <v>1726558.87</v>
      </c>
      <c r="H46" s="18" t="n">
        <v>1548380.96</v>
      </c>
      <c r="I46" s="18" t="n">
        <v>898685.87</v>
      </c>
      <c r="J46" s="18" t="n">
        <v>744971.9300000001</v>
      </c>
      <c r="K46" s="37" t="n">
        <v>744971.9300000001</v>
      </c>
      <c r="L46" s="18" t="n">
        <v>629060.1</v>
      </c>
      <c r="M46" s="18" t="n">
        <v>2332207.05</v>
      </c>
      <c r="N46" s="18" t="n">
        <v>2669774.89</v>
      </c>
      <c r="O46" s="18" t="n">
        <v>4307452.65</v>
      </c>
      <c r="P46" s="37" t="n">
        <v>4307452.65</v>
      </c>
      <c r="Q46" s="18" t="n">
        <v>4358727.71</v>
      </c>
      <c r="R46" s="18" t="n">
        <v>4332926.74</v>
      </c>
      <c r="S46" s="18" t="n">
        <v>4176003.15</v>
      </c>
      <c r="T46" s="18" t="n">
        <v>4858676.07</v>
      </c>
      <c r="U46" s="37" t="n">
        <v>4858676.07</v>
      </c>
      <c r="V46" s="18" t="n">
        <v>5083866.41</v>
      </c>
      <c r="W46" s="18" t="n">
        <v>5221010.51</v>
      </c>
      <c r="X46" s="18" t="n">
        <v>5471256.51</v>
      </c>
      <c r="Y46" s="18" t="n">
        <v>6170251.54</v>
      </c>
      <c r="Z46" s="37" t="n">
        <v>6170251.54</v>
      </c>
      <c r="AA46" s="18" t="n">
        <v>6821190.27</v>
      </c>
      <c r="AB46" s="19" t="n">
        <v>7523412.2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자본금</t>
        </is>
      </c>
      <c r="E47" s="18" t="n">
        <v>541453.34</v>
      </c>
      <c r="F47" s="37" t="n">
        <v>541453.34</v>
      </c>
      <c r="G47" s="18" t="n">
        <v>541453.34</v>
      </c>
      <c r="H47" s="18" t="n">
        <v>541453.34</v>
      </c>
      <c r="I47" s="18" t="n">
        <v>541453.34</v>
      </c>
      <c r="J47" s="18" t="n">
        <v>541453.34</v>
      </c>
      <c r="K47" s="37" t="n">
        <v>541453.34</v>
      </c>
      <c r="L47" s="18" t="n">
        <v>541453.34</v>
      </c>
      <c r="M47" s="18" t="n">
        <v>1089366.99</v>
      </c>
      <c r="N47" s="18" t="n">
        <v>1089366.99</v>
      </c>
      <c r="O47" s="18" t="n">
        <v>1536794.49</v>
      </c>
      <c r="P47" s="37" t="n">
        <v>1536794.49</v>
      </c>
      <c r="Q47" s="18" t="n">
        <v>1536794.49</v>
      </c>
      <c r="R47" s="18" t="n">
        <v>1536794.49</v>
      </c>
      <c r="S47" s="18" t="n">
        <v>1537066.97</v>
      </c>
      <c r="T47" s="18" t="n">
        <v>1537066.97</v>
      </c>
      <c r="U47" s="37" t="n">
        <v>1537066.97</v>
      </c>
      <c r="V47" s="18" t="n">
        <v>1537066.97</v>
      </c>
      <c r="W47" s="18" t="n">
        <v>1537066.97</v>
      </c>
      <c r="X47" s="18" t="n">
        <v>1537066.97</v>
      </c>
      <c r="Y47" s="18" t="n">
        <v>1537066.97</v>
      </c>
      <c r="Z47" s="37" t="n">
        <v>1537066.97</v>
      </c>
      <c r="AA47" s="18" t="n">
        <v>1537066.97</v>
      </c>
      <c r="AB47" s="19" t="n">
        <v>1537066.97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자본잉여금</t>
        </is>
      </c>
      <c r="E48" s="18" t="n">
        <v>16929.21</v>
      </c>
      <c r="F48" s="37" t="n">
        <v>16929.21</v>
      </c>
      <c r="G48" s="18" t="n">
        <v>16929.21</v>
      </c>
      <c r="H48" s="18" t="n">
        <v>16929.21</v>
      </c>
      <c r="I48" s="18" t="n">
        <v>16929.21</v>
      </c>
      <c r="J48" s="18" t="n">
        <v>16929.21</v>
      </c>
      <c r="K48" s="37" t="n">
        <v>16929.21</v>
      </c>
      <c r="L48" s="18" t="n">
        <v>16929.21</v>
      </c>
      <c r="M48" s="18" t="n">
        <v>1600761.65</v>
      </c>
      <c r="N48" s="18" t="n">
        <v>1707154.89</v>
      </c>
      <c r="O48" s="18" t="n">
        <v>2740229.78</v>
      </c>
      <c r="P48" s="37" t="n">
        <v>2740229.78</v>
      </c>
      <c r="Q48" s="18" t="n">
        <v>111751.88</v>
      </c>
      <c r="R48" s="18" t="n">
        <v>111751.88</v>
      </c>
      <c r="S48" s="18" t="n">
        <v>117591.48</v>
      </c>
      <c r="T48" s="18" t="n">
        <v>118688.52</v>
      </c>
      <c r="U48" s="37" t="n">
        <v>118688.52</v>
      </c>
      <c r="V48" s="18" t="n">
        <v>131643.11</v>
      </c>
      <c r="W48" s="18" t="n">
        <v>149889.9</v>
      </c>
      <c r="X48" s="18" t="n">
        <v>153434.15</v>
      </c>
      <c r="Y48" s="18" t="n">
        <v>181868.13</v>
      </c>
      <c r="Z48" s="37" t="n">
        <v>181868.13</v>
      </c>
      <c r="AA48" s="18" t="n">
        <v>207048.01</v>
      </c>
      <c r="AB48" s="19" t="n">
        <v>209082.59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기타자본</t>
        </is>
      </c>
      <c r="E49" s="18" t="n">
        <v>2660477.05</v>
      </c>
      <c r="F49" s="37" t="n">
        <v>2660477.05</v>
      </c>
      <c r="G49" s="18" t="n">
        <v>2662471.19</v>
      </c>
      <c r="H49" s="18" t="n">
        <v>2661141.31</v>
      </c>
      <c r="I49" s="18" t="n">
        <v>2613833.78</v>
      </c>
      <c r="J49" s="18" t="n">
        <v>2887300.37</v>
      </c>
      <c r="K49" s="37" t="n">
        <v>2887300.37</v>
      </c>
      <c r="L49" s="18" t="n">
        <v>2892892.83</v>
      </c>
      <c r="M49" s="18" t="n">
        <v>2339632.56</v>
      </c>
      <c r="N49" s="18" t="n">
        <v>2339632.56</v>
      </c>
      <c r="O49" s="18" t="n">
        <v>2339632.56</v>
      </c>
      <c r="P49" s="37" t="n">
        <v>2339632.56</v>
      </c>
      <c r="Q49" s="18" t="n">
        <v>2341308.4</v>
      </c>
      <c r="R49" s="18" t="n">
        <v>2344138.92</v>
      </c>
      <c r="S49" s="18" t="n">
        <v>2339288.79</v>
      </c>
      <c r="T49" s="18" t="n">
        <v>2339288.79</v>
      </c>
      <c r="U49" s="37" t="n">
        <v>2339288.79</v>
      </c>
      <c r="V49" s="18" t="n">
        <v>2339288.79</v>
      </c>
      <c r="W49" s="18" t="n">
        <v>2339288.79</v>
      </c>
      <c r="X49" s="18" t="n">
        <v>2339288.79</v>
      </c>
      <c r="Y49" s="18" t="n">
        <v>2339288.79</v>
      </c>
      <c r="Z49" s="37" t="n">
        <v>2339288.79</v>
      </c>
      <c r="AA49" s="18" t="n">
        <v>2334380.16</v>
      </c>
      <c r="AB49" s="19" t="n">
        <v>2334176.3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이익잉여금</t>
        </is>
      </c>
      <c r="E50" s="18" t="n">
        <v>-1001276.15</v>
      </c>
      <c r="F50" s="37" t="n">
        <v>-1001276.15</v>
      </c>
      <c r="G50" s="18" t="n">
        <v>-1494294.87</v>
      </c>
      <c r="H50" s="18" t="n">
        <v>-1671142.89</v>
      </c>
      <c r="I50" s="18" t="n">
        <v>-2273530.45</v>
      </c>
      <c r="J50" s="18" t="n">
        <v>-2700710.99</v>
      </c>
      <c r="K50" s="37" t="n">
        <v>-2700710.99</v>
      </c>
      <c r="L50" s="18" t="n">
        <v>-2822215.29</v>
      </c>
      <c r="M50" s="18" t="n">
        <v>-3256684.53</v>
      </c>
      <c r="N50" s="18" t="n">
        <v>-3030709.54</v>
      </c>
      <c r="O50" s="18" t="n">
        <v>-2868157.13</v>
      </c>
      <c r="P50" s="37" t="n">
        <v>-2868157.13</v>
      </c>
      <c r="Q50" s="18" t="n">
        <v>-196345.48</v>
      </c>
      <c r="R50" s="18" t="n">
        <v>-230551.14</v>
      </c>
      <c r="S50" s="18" t="n">
        <v>-311959.83</v>
      </c>
      <c r="T50" s="18" t="n">
        <v>236448.28</v>
      </c>
      <c r="U50" s="37" t="n">
        <v>236448.28</v>
      </c>
      <c r="V50" s="18" t="n">
        <v>444624.8</v>
      </c>
      <c r="W50" s="18" t="n">
        <v>585536.5699999999</v>
      </c>
      <c r="X50" s="18" t="n">
        <v>846227.71</v>
      </c>
      <c r="Y50" s="18" t="n">
        <v>1551926.23</v>
      </c>
      <c r="Z50" s="37" t="n">
        <v>1551926.23</v>
      </c>
      <c r="AA50" s="18" t="n">
        <v>2031007.62</v>
      </c>
      <c r="AB50" s="19" t="n">
        <v>2703669.86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자본총계</t>
        </is>
      </c>
      <c r="E51" s="18" t="n">
        <v>2217583.45</v>
      </c>
      <c r="F51" s="37" t="n">
        <v>2217583.45</v>
      </c>
      <c r="G51" s="18" t="n">
        <v>1726558.87</v>
      </c>
      <c r="H51" s="18" t="n">
        <v>1548380.96</v>
      </c>
      <c r="I51" s="18" t="n">
        <v>898685.87</v>
      </c>
      <c r="J51" s="18" t="n">
        <v>744971.9300000001</v>
      </c>
      <c r="K51" s="37" t="n">
        <v>744971.9300000001</v>
      </c>
      <c r="L51" s="18" t="n">
        <v>629060.1</v>
      </c>
      <c r="M51" s="18" t="n">
        <v>2332207.05</v>
      </c>
      <c r="N51" s="18" t="n">
        <v>2673777.83</v>
      </c>
      <c r="O51" s="18" t="n">
        <v>4312157.12</v>
      </c>
      <c r="P51" s="37" t="n">
        <v>4312157.12</v>
      </c>
      <c r="Q51" s="18" t="n">
        <v>4363320.98</v>
      </c>
      <c r="R51" s="18" t="n">
        <v>4337656.77</v>
      </c>
      <c r="S51" s="18" t="n">
        <v>4180771.58</v>
      </c>
      <c r="T51" s="18" t="n">
        <v>4863349.89</v>
      </c>
      <c r="U51" s="37" t="n">
        <v>4863349.89</v>
      </c>
      <c r="V51" s="18" t="n">
        <v>5088572.51</v>
      </c>
      <c r="W51" s="18" t="n">
        <v>5225776.43</v>
      </c>
      <c r="X51" s="18" t="n">
        <v>5476057.45</v>
      </c>
      <c r="Y51" s="18" t="n">
        <v>6175007</v>
      </c>
      <c r="Z51" s="37" t="n">
        <v>6175007</v>
      </c>
      <c r="AA51" s="18" t="n">
        <v>6825972.78</v>
      </c>
      <c r="AB51" s="19" t="n">
        <v>7528212.29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부채와자본총계</t>
        </is>
      </c>
      <c r="E52" s="18" t="n">
        <v>10623209.56</v>
      </c>
      <c r="F52" s="37" t="n">
        <v>10623209.56</v>
      </c>
      <c r="G52" s="18" t="n">
        <v>10759266.24</v>
      </c>
      <c r="H52" s="18" t="n">
        <v>12022458.85</v>
      </c>
      <c r="I52" s="18" t="n">
        <v>12499169.42</v>
      </c>
      <c r="J52" s="18" t="n">
        <v>12235665.3</v>
      </c>
      <c r="K52" s="37" t="n">
        <v>12235665.3</v>
      </c>
      <c r="L52" s="18" t="n">
        <v>12319102.44</v>
      </c>
      <c r="M52" s="18" t="n">
        <v>13640745.56</v>
      </c>
      <c r="N52" s="18" t="n">
        <v>13269763.16</v>
      </c>
      <c r="O52" s="18" t="n">
        <v>13944772.69</v>
      </c>
      <c r="P52" s="37" t="n">
        <v>13944772.69</v>
      </c>
      <c r="Q52" s="18" t="n">
        <v>14894440.13</v>
      </c>
      <c r="R52" s="18" t="n">
        <v>16228381.92</v>
      </c>
      <c r="S52" s="18" t="n">
        <v>16367002.54</v>
      </c>
      <c r="T52" s="18" t="n">
        <v>17843809.16</v>
      </c>
      <c r="U52" s="37" t="n">
        <v>17843809.16</v>
      </c>
      <c r="V52" s="18" t="n">
        <v>18177673.45</v>
      </c>
      <c r="W52" s="18" t="n">
        <v>18303712.87</v>
      </c>
      <c r="X52" s="18" t="n">
        <v>18533926.49</v>
      </c>
      <c r="Y52" s="18" t="n">
        <v>20140914.01</v>
      </c>
      <c r="Z52" s="37" t="n">
        <v>20140914.01</v>
      </c>
      <c r="AA52" s="18" t="n">
        <v>20796547.46</v>
      </c>
      <c r="AB52" s="19" t="n">
        <v>20146186.8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총차입금</t>
        </is>
      </c>
      <c r="E53" s="18" t="n">
        <v>2701697.29</v>
      </c>
      <c r="F53" s="37" t="n">
        <v>2701697.29</v>
      </c>
      <c r="G53" s="18" t="n">
        <v>2881148.63</v>
      </c>
      <c r="H53" s="18" t="n">
        <v>2979867.71</v>
      </c>
      <c r="I53" s="18" t="n">
        <v>3034732.14</v>
      </c>
      <c r="J53" s="18" t="n">
        <v>2687244.57</v>
      </c>
      <c r="K53" s="37" t="n">
        <v>2687244.57</v>
      </c>
      <c r="L53" s="18" t="n">
        <v>3077978.85</v>
      </c>
      <c r="M53" s="18" t="n">
        <v>2340008.94</v>
      </c>
      <c r="N53" s="18" t="n">
        <v>2314969.15</v>
      </c>
      <c r="O53" s="18" t="n">
        <v>2191192.37</v>
      </c>
      <c r="P53" s="37" t="n">
        <v>2191192.37</v>
      </c>
      <c r="Q53" s="18" t="n">
        <v>3428135.91</v>
      </c>
      <c r="R53" s="18" t="n">
        <v>4269419.09</v>
      </c>
      <c r="S53" s="18" t="n">
        <v>4888456.28</v>
      </c>
      <c r="T53" s="18" t="n">
        <v>5265870.07</v>
      </c>
      <c r="U53" s="37" t="n">
        <v>5265870.07</v>
      </c>
      <c r="V53" s="18" t="n">
        <v>5520669.77</v>
      </c>
      <c r="W53" s="18" t="n">
        <v>5028215.91</v>
      </c>
      <c r="X53" s="18" t="n">
        <v>5172282.03</v>
      </c>
      <c r="Y53" s="18" t="n">
        <v>5646344.95</v>
      </c>
      <c r="Z53" s="37" t="n">
        <v>5646344.95</v>
      </c>
      <c r="AA53" s="18" t="n">
        <v>6142955.88</v>
      </c>
      <c r="AB53" s="19" t="n">
        <v>6037492.95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순차입금</t>
        </is>
      </c>
      <c r="E54" s="18" t="n">
        <v>612064.89</v>
      </c>
      <c r="F54" s="37" t="n">
        <v>612064.89</v>
      </c>
      <c r="G54" s="18" t="n">
        <v>1439819.38</v>
      </c>
      <c r="H54" s="18" t="n">
        <v>1704193.45</v>
      </c>
      <c r="I54" s="18" t="n">
        <v>1884151</v>
      </c>
      <c r="J54" s="18" t="n">
        <v>1535268.77</v>
      </c>
      <c r="K54" s="37" t="n">
        <v>1535268.77</v>
      </c>
      <c r="L54" s="18" t="n">
        <v>2807861.54</v>
      </c>
      <c r="M54" s="18" t="n">
        <v>775518.5600000001</v>
      </c>
      <c r="N54" s="18" t="n">
        <v>1336350.81</v>
      </c>
      <c r="O54" s="18" t="n">
        <v>391884.62</v>
      </c>
      <c r="P54" s="37" t="n">
        <v>391884.62</v>
      </c>
      <c r="Q54" s="18" t="n">
        <v>1779332</v>
      </c>
      <c r="R54" s="18" t="n">
        <v>2444662.34</v>
      </c>
      <c r="S54" s="18" t="n">
        <v>3871842.93</v>
      </c>
      <c r="T54" s="18" t="n">
        <v>4677610.33</v>
      </c>
      <c r="U54" s="37" t="n">
        <v>4677610.33</v>
      </c>
      <c r="V54" s="18" t="n">
        <v>4547428.46</v>
      </c>
      <c r="W54" s="18" t="n">
        <v>3990567.4</v>
      </c>
      <c r="X54" s="18" t="n">
        <v>4742781.47</v>
      </c>
      <c r="Y54" s="18" t="n">
        <v>4867873.79</v>
      </c>
      <c r="Z54" s="37" t="n">
        <v>4867873.79</v>
      </c>
      <c r="AA54" s="18" t="n">
        <v>5072723.61</v>
      </c>
      <c r="AB54" s="19" t="n">
        <v>4530461.77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이자발생자산</t>
        </is>
      </c>
      <c r="E55" s="18" t="n">
        <v>2322797.1</v>
      </c>
      <c r="F55" s="37" t="n">
        <v>2322797.1</v>
      </c>
      <c r="G55" s="18" t="n">
        <v>1669671.45</v>
      </c>
      <c r="H55" s="18" t="n">
        <v>1353697.67</v>
      </c>
      <c r="I55" s="18" t="n">
        <v>1190804.13</v>
      </c>
      <c r="J55" s="18" t="n">
        <v>1192221.86</v>
      </c>
      <c r="K55" s="37" t="n">
        <v>1192221.86</v>
      </c>
      <c r="L55" s="18" t="n">
        <v>270117.31</v>
      </c>
      <c r="M55" s="18" t="n">
        <v>1603762.63</v>
      </c>
      <c r="N55" s="18" t="n">
        <v>1019322.81</v>
      </c>
      <c r="O55" s="18" t="n">
        <v>1838797.43</v>
      </c>
      <c r="P55" s="37" t="n">
        <v>1838797.43</v>
      </c>
      <c r="Q55" s="18" t="n">
        <v>1689946.88</v>
      </c>
      <c r="R55" s="18" t="n">
        <v>1905672.93</v>
      </c>
      <c r="S55" s="18" t="n">
        <v>1205654.27</v>
      </c>
      <c r="T55" s="18" t="n">
        <v>842895.21</v>
      </c>
      <c r="U55" s="37" t="n">
        <v>842895.21</v>
      </c>
      <c r="V55" s="18" t="n">
        <v>1227465.36</v>
      </c>
      <c r="W55" s="18" t="n">
        <v>1306361.62</v>
      </c>
      <c r="X55" s="18" t="n">
        <v>654338.51</v>
      </c>
      <c r="Y55" s="18" t="n">
        <v>969266.9</v>
      </c>
      <c r="Z55" s="37" t="n">
        <v>969266.9</v>
      </c>
      <c r="AA55" s="18" t="n">
        <v>1328658.98</v>
      </c>
      <c r="AB55" s="19" t="n">
        <v>1765799.21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기타유동금융부채</t>
        </is>
      </c>
      <c r="F56" s="9" t="n"/>
      <c r="H56" s="18" t="n">
        <v>25751.28</v>
      </c>
      <c r="I56" s="18" t="n">
        <v>50921.84</v>
      </c>
      <c r="J56" s="18" t="n">
        <v>31440.48</v>
      </c>
      <c r="K56" s="37" t="n">
        <v>31440.48</v>
      </c>
      <c r="L56" s="18" t="n">
        <v>28739.37</v>
      </c>
      <c r="M56" s="18" t="n">
        <v>16702.79</v>
      </c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단기금융부채</t>
        </is>
      </c>
      <c r="F57" s="9" t="n"/>
      <c r="H57" s="18" t="n">
        <v>25751.28</v>
      </c>
      <c r="I57" s="18" t="n">
        <v>50921.84</v>
      </c>
      <c r="J57" s="18" t="n">
        <v>31440.48</v>
      </c>
      <c r="K57" s="37" t="n">
        <v>31440.48</v>
      </c>
      <c r="L57" s="18" t="n">
        <v>28739.37</v>
      </c>
      <c r="M57" s="18" t="n">
        <v>16702.79</v>
      </c>
      <c r="P57" s="9" t="n"/>
      <c r="U57" s="9" t="n"/>
      <c r="W57" s="18" t="n">
        <v>155113.83</v>
      </c>
      <c r="X57" s="18" t="n">
        <v>142423.97</v>
      </c>
      <c r="Y57" s="18" t="n">
        <v>68957.10000000001</v>
      </c>
      <c r="Z57" s="37" t="n">
        <v>68957.10000000001</v>
      </c>
      <c r="AA57" s="18" t="n">
        <v>74104.37</v>
      </c>
      <c r="AB57" s="19" t="n">
        <v>144534.63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기타유동금융자산</t>
        </is>
      </c>
      <c r="F58" s="9" t="n"/>
      <c r="K58" s="9" t="n"/>
      <c r="L58" s="18" t="n">
        <v>427146.69</v>
      </c>
      <c r="M58" s="18" t="n">
        <v>442305.34</v>
      </c>
      <c r="N58" s="18" t="n">
        <v>112800.78</v>
      </c>
      <c r="O58" s="18" t="n">
        <v>124947.86</v>
      </c>
      <c r="P58" s="37" t="n">
        <v>124947.86</v>
      </c>
      <c r="Q58" s="18" t="n">
        <v>135970.66</v>
      </c>
      <c r="R58" s="18" t="n">
        <v>48489.08</v>
      </c>
      <c r="S58" s="18" t="n">
        <v>20699.87</v>
      </c>
      <c r="T58" s="18" t="n">
        <v>46003.53</v>
      </c>
      <c r="U58" s="37" t="n">
        <v>46003.53</v>
      </c>
      <c r="V58" s="18" t="n">
        <v>15219.09</v>
      </c>
      <c r="W58" s="18" t="n">
        <v>9163.17</v>
      </c>
      <c r="X58" s="18" t="n">
        <v>11472.76</v>
      </c>
      <c r="Y58" s="18" t="n">
        <v>10204.24</v>
      </c>
      <c r="Z58" s="37" t="n">
        <v>10204.24</v>
      </c>
      <c r="AA58" s="18" t="n">
        <v>14360.34</v>
      </c>
      <c r="AB58" s="19" t="n">
        <v>25464.24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단기금융부채(face)</t>
        </is>
      </c>
      <c r="F59" s="9" t="n"/>
      <c r="K59" s="9" t="n"/>
      <c r="M59" s="18" t="n">
        <v>713220.26</v>
      </c>
      <c r="N59" s="18" t="n">
        <v>576236.23</v>
      </c>
      <c r="O59" s="18" t="n">
        <v>526449.92</v>
      </c>
      <c r="P59" s="37" t="n">
        <v>526449.92</v>
      </c>
      <c r="Q59" s="18" t="n">
        <v>1713714.68</v>
      </c>
      <c r="R59" s="18" t="n">
        <v>2519938.37</v>
      </c>
      <c r="S59" s="18" t="n">
        <v>3179562.51</v>
      </c>
      <c r="T59" s="18" t="n">
        <v>3237744.03</v>
      </c>
      <c r="U59" s="37" t="n">
        <v>3237744.03</v>
      </c>
      <c r="V59" s="18" t="n">
        <v>3371868.65</v>
      </c>
      <c r="W59" s="18" t="n">
        <v>3030820.19</v>
      </c>
      <c r="X59" s="18" t="n">
        <v>3051187.29</v>
      </c>
      <c r="Y59" s="18" t="n">
        <v>3300054.55</v>
      </c>
      <c r="Z59" s="37" t="n">
        <v>3300054.55</v>
      </c>
      <c r="AA59" s="18" t="n">
        <v>3529081.73</v>
      </c>
      <c r="AB59" s="19" t="n">
        <v>3387397.65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장기금융부채(face)</t>
        </is>
      </c>
      <c r="F60" s="9" t="n"/>
      <c r="K60" s="9" t="n"/>
      <c r="M60" s="18" t="n">
        <v>1626788.68</v>
      </c>
      <c r="P60" s="9" t="n"/>
      <c r="T60" s="18" t="n">
        <v>2028126.04</v>
      </c>
      <c r="U60" s="37" t="n">
        <v>2028126.04</v>
      </c>
      <c r="V60" s="18" t="n">
        <v>2148801.12</v>
      </c>
      <c r="W60" s="18" t="n">
        <v>1997395.72</v>
      </c>
      <c r="X60" s="18" t="n">
        <v>2121094.74</v>
      </c>
      <c r="Y60" s="18" t="n">
        <v>2346290.4</v>
      </c>
      <c r="Z60" s="37" t="n">
        <v>2346290.4</v>
      </c>
      <c r="AA60" s="18" t="n">
        <v>2613874.15</v>
      </c>
      <c r="AB60" s="19" t="n">
        <v>2650095.3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기타포괄이익누계액</t>
        </is>
      </c>
      <c r="F61" s="9" t="n"/>
      <c r="K61" s="9" t="n"/>
      <c r="M61" s="18" t="n">
        <v>559130.37</v>
      </c>
      <c r="N61" s="18" t="n">
        <v>564329.98</v>
      </c>
      <c r="O61" s="18" t="n">
        <v>558952.9399999999</v>
      </c>
      <c r="P61" s="37" t="n">
        <v>558952.9399999999</v>
      </c>
      <c r="Q61" s="18" t="n">
        <v>565218.41</v>
      </c>
      <c r="R61" s="18" t="n">
        <v>570792.59</v>
      </c>
      <c r="S61" s="18" t="n">
        <v>494015.74</v>
      </c>
      <c r="T61" s="18" t="n">
        <v>627183.51</v>
      </c>
      <c r="U61" s="37" t="n">
        <v>627183.51</v>
      </c>
      <c r="V61" s="18" t="n">
        <v>631242.74</v>
      </c>
      <c r="W61" s="18" t="n">
        <v>609228.28</v>
      </c>
      <c r="X61" s="18" t="n">
        <v>595238.89</v>
      </c>
      <c r="Y61" s="18" t="n">
        <v>560101.42</v>
      </c>
      <c r="Z61" s="37" t="n">
        <v>560101.42</v>
      </c>
      <c r="AA61" s="18" t="n">
        <v>711687.51</v>
      </c>
      <c r="AB61" s="19" t="n">
        <v>739416.48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비지배주주지분</t>
        </is>
      </c>
      <c r="F62" s="9" t="n"/>
      <c r="K62" s="9" t="n"/>
      <c r="N62" s="18" t="n">
        <v>4002.94</v>
      </c>
      <c r="O62" s="18" t="n">
        <v>4704.47</v>
      </c>
      <c r="P62" s="37" t="n">
        <v>4704.47</v>
      </c>
      <c r="Q62" s="18" t="n">
        <v>4593.27</v>
      </c>
      <c r="R62" s="18" t="n">
        <v>4730.03</v>
      </c>
      <c r="S62" s="18" t="n">
        <v>4768.43</v>
      </c>
      <c r="T62" s="18" t="n">
        <v>4673.82</v>
      </c>
      <c r="U62" s="37" t="n">
        <v>4673.82</v>
      </c>
      <c r="V62" s="18" t="n">
        <v>4706.11</v>
      </c>
      <c r="W62" s="18" t="n">
        <v>4765.92</v>
      </c>
      <c r="X62" s="18" t="n">
        <v>4800.95</v>
      </c>
      <c r="Y62" s="18" t="n">
        <v>4755.45</v>
      </c>
      <c r="Z62" s="37" t="n">
        <v>4755.45</v>
      </c>
      <c r="AA62" s="18" t="n">
        <v>4782.51</v>
      </c>
      <c r="AB62" s="19" t="n">
        <v>4800.08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확정급여부채</t>
        </is>
      </c>
      <c r="F63" s="9" t="n"/>
      <c r="K63" s="9" t="n"/>
      <c r="P63" s="9" t="n"/>
      <c r="U63" s="9" t="n"/>
      <c r="V63" s="18" t="n">
        <v>85122.85000000001</v>
      </c>
      <c r="W63" s="18" t="n">
        <v>86777.56</v>
      </c>
      <c r="X63" s="18" t="n">
        <v>88520.34</v>
      </c>
      <c r="Y63" s="18" t="n">
        <v>119161.33</v>
      </c>
      <c r="Z63" s="37" t="n">
        <v>119161.33</v>
      </c>
      <c r="AA63" s="18" t="n">
        <v>121099.73</v>
      </c>
      <c r="AB63" s="19" t="n">
        <v>185016.91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비유동파생상품자산</t>
        </is>
      </c>
      <c r="F64" s="9" t="n"/>
      <c r="K64" s="9" t="n"/>
      <c r="P64" s="9" t="n"/>
      <c r="U64" s="9" t="n"/>
      <c r="W64" s="18" t="n">
        <v>12.81</v>
      </c>
      <c r="X64" s="18" t="n">
        <v>1418.5</v>
      </c>
      <c r="Y64" s="18" t="n">
        <v>4864.26</v>
      </c>
      <c r="Z64" s="37" t="n">
        <v>4864.26</v>
      </c>
      <c r="AB64" s="5" t="n"/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단기파생상품부채</t>
        </is>
      </c>
      <c r="F65" s="9" t="n"/>
      <c r="K65" s="9" t="n"/>
      <c r="P65" s="9" t="n"/>
      <c r="U65" s="9" t="n"/>
      <c r="W65" s="18" t="n">
        <v>155113.83</v>
      </c>
      <c r="X65" s="18" t="n">
        <v>142423.97</v>
      </c>
      <c r="Y65" s="18" t="n">
        <v>68957.10000000001</v>
      </c>
      <c r="Z65" s="37" t="n">
        <v>68957.10000000001</v>
      </c>
      <c r="AA65" s="18" t="n">
        <v>74104.37</v>
      </c>
      <c r="AB65" s="19" t="n">
        <v>103732.82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유동파생상품자산</t>
        </is>
      </c>
      <c r="F66" s="9" t="n"/>
      <c r="K66" s="9" t="n"/>
      <c r="P66" s="9" t="n"/>
      <c r="U66" s="9" t="n"/>
      <c r="Z66" s="9" t="n"/>
      <c r="AA66" s="18" t="n">
        <v>11835.59</v>
      </c>
      <c r="AB66" s="19" t="n">
        <v>14682.83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유동확정계약자산</t>
        </is>
      </c>
      <c r="F67" s="9" t="n"/>
      <c r="K67" s="9" t="n"/>
      <c r="P67" s="9" t="n"/>
      <c r="U67" s="9" t="n"/>
      <c r="Z67" s="9" t="n"/>
      <c r="AB67" s="19" t="n">
        <v>46143.95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유동리스부채</t>
        </is>
      </c>
      <c r="F68" s="9" t="n"/>
      <c r="K68" s="9" t="n"/>
      <c r="P68" s="9" t="n"/>
      <c r="U68" s="9" t="n"/>
      <c r="Z68" s="9" t="n"/>
      <c r="AB68" s="19" t="n">
        <v>40801.81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매출액(수익)</t>
        </is>
      </c>
      <c r="E69" s="18" t="n">
        <v>1355717.08</v>
      </c>
      <c r="F69" s="9" t="n"/>
      <c r="G69" s="18" t="n">
        <v>1245450.63</v>
      </c>
      <c r="H69" s="18" t="n">
        <v>1184054.45</v>
      </c>
      <c r="I69" s="18" t="n">
        <v>981451.63</v>
      </c>
      <c r="J69" s="18" t="n">
        <v>1449193.54</v>
      </c>
      <c r="K69" s="37" t="n">
        <v>4860150.25</v>
      </c>
      <c r="L69" s="18" t="n">
        <v>1439835.45</v>
      </c>
      <c r="M69" s="18" t="n">
        <v>1820700.74</v>
      </c>
      <c r="N69" s="18" t="n">
        <v>1916837.19</v>
      </c>
      <c r="O69" s="18" t="n">
        <v>2230938.89</v>
      </c>
      <c r="P69" s="37" t="n">
        <v>7408312.27</v>
      </c>
      <c r="Q69" s="18" t="n">
        <v>2283627.13</v>
      </c>
      <c r="R69" s="18" t="n">
        <v>2536090.81</v>
      </c>
      <c r="S69" s="18" t="n">
        <v>2703108.87</v>
      </c>
      <c r="T69" s="18" t="n">
        <v>3253178.13</v>
      </c>
      <c r="U69" s="37" t="n">
        <v>10776004.94</v>
      </c>
      <c r="V69" s="18" t="n">
        <v>3143089.5</v>
      </c>
      <c r="W69" s="18" t="n">
        <v>3294113.47</v>
      </c>
      <c r="X69" s="18" t="n">
        <v>3023357.86</v>
      </c>
      <c r="Y69" s="18" t="n">
        <v>3322951.45</v>
      </c>
      <c r="Z69" s="37" t="n">
        <v>12783512.28</v>
      </c>
      <c r="AA69" s="18" t="n">
        <v>3209940.25</v>
      </c>
      <c r="AB69" s="19" t="n">
        <v>5443171.48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매출원가</t>
        </is>
      </c>
      <c r="E70" s="18" t="n">
        <v>1802832.8</v>
      </c>
      <c r="F70" s="9" t="n"/>
      <c r="G70" s="18" t="n">
        <v>1659893.54</v>
      </c>
      <c r="H70" s="18" t="n">
        <v>1219428.92</v>
      </c>
      <c r="I70" s="18" t="n">
        <v>1548191.25</v>
      </c>
      <c r="J70" s="18" t="n">
        <v>1779518.82</v>
      </c>
      <c r="K70" s="37" t="n">
        <v>6207032.53</v>
      </c>
      <c r="L70" s="18" t="n">
        <v>1446589.78</v>
      </c>
      <c r="M70" s="18" t="n">
        <v>1893734.82</v>
      </c>
      <c r="N70" s="18" t="n">
        <v>1774958.02</v>
      </c>
      <c r="O70" s="18" t="n">
        <v>2194221.2</v>
      </c>
      <c r="P70" s="37" t="n">
        <v>7309503.82</v>
      </c>
      <c r="Q70" s="18" t="n">
        <v>2148520.24</v>
      </c>
      <c r="R70" s="18" t="n">
        <v>2459322.48</v>
      </c>
      <c r="S70" s="18" t="n">
        <v>2570106.69</v>
      </c>
      <c r="T70" s="18" t="n">
        <v>2914129.3</v>
      </c>
      <c r="U70" s="37" t="n">
        <v>10092078.71</v>
      </c>
      <c r="V70" s="18" t="n">
        <v>2720749.36</v>
      </c>
      <c r="W70" s="18" t="n">
        <v>2766607.96</v>
      </c>
      <c r="X70" s="18" t="n">
        <v>2569308.11</v>
      </c>
      <c r="Y70" s="18" t="n">
        <v>2886548.85</v>
      </c>
      <c r="Z70" s="37" t="n">
        <v>10943214.28</v>
      </c>
      <c r="AA70" s="18" t="n">
        <v>2583679.51</v>
      </c>
      <c r="AB70" s="19" t="n">
        <v>4493612.06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매출총이익</t>
        </is>
      </c>
      <c r="E71" s="18" t="n">
        <v>-447115.72</v>
      </c>
      <c r="F71" s="9" t="n"/>
      <c r="G71" s="18" t="n">
        <v>-414442.91</v>
      </c>
      <c r="H71" s="18" t="n">
        <v>-35374.47</v>
      </c>
      <c r="I71" s="18" t="n">
        <v>-566739.62</v>
      </c>
      <c r="J71" s="18" t="n">
        <v>-330325.28</v>
      </c>
      <c r="K71" s="37" t="n">
        <v>-1346882.28</v>
      </c>
      <c r="L71" s="18" t="n">
        <v>-6754.33</v>
      </c>
      <c r="M71" s="18" t="n">
        <v>-73034.08</v>
      </c>
      <c r="N71" s="18" t="n">
        <v>141879.17</v>
      </c>
      <c r="O71" s="18" t="n">
        <v>36717.69</v>
      </c>
      <c r="P71" s="37" t="n">
        <v>98808.45</v>
      </c>
      <c r="Q71" s="18" t="n">
        <v>135106.89</v>
      </c>
      <c r="R71" s="18" t="n">
        <v>76768.33</v>
      </c>
      <c r="S71" s="18" t="n">
        <v>133002.18</v>
      </c>
      <c r="T71" s="18" t="n">
        <v>339048.83</v>
      </c>
      <c r="U71" s="37" t="n">
        <v>683926.23</v>
      </c>
      <c r="V71" s="18" t="n">
        <v>422340.15</v>
      </c>
      <c r="W71" s="18" t="n">
        <v>527505.5</v>
      </c>
      <c r="X71" s="18" t="n">
        <v>454049.75</v>
      </c>
      <c r="Y71" s="18" t="n">
        <v>436402.6</v>
      </c>
      <c r="Z71" s="37" t="n">
        <v>1840298</v>
      </c>
      <c r="AA71" s="18" t="n">
        <v>626260.73</v>
      </c>
      <c r="AB71" s="19" t="n">
        <v>949559.42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판관비</t>
        </is>
      </c>
      <c r="E72" s="18" t="n">
        <v>68219.78</v>
      </c>
      <c r="F72" s="9" t="n"/>
      <c r="G72" s="18" t="n">
        <v>55662.48</v>
      </c>
      <c r="H72" s="18" t="n">
        <v>64133.72</v>
      </c>
      <c r="I72" s="18" t="n">
        <v>61079.18</v>
      </c>
      <c r="J72" s="18" t="n">
        <v>85806.88</v>
      </c>
      <c r="K72" s="37" t="n">
        <v>266682.26</v>
      </c>
      <c r="L72" s="18" t="n">
        <v>56040.41</v>
      </c>
      <c r="M72" s="18" t="n">
        <v>85975.64999999999</v>
      </c>
      <c r="N72" s="18" t="n">
        <v>67744.58</v>
      </c>
      <c r="O72" s="18" t="n">
        <v>85546.10000000001</v>
      </c>
      <c r="P72" s="37" t="n">
        <v>295306.74</v>
      </c>
      <c r="Q72" s="18" t="n">
        <v>82170.62</v>
      </c>
      <c r="R72" s="18" t="n">
        <v>86427.02</v>
      </c>
      <c r="S72" s="18" t="n">
        <v>107420.65</v>
      </c>
      <c r="T72" s="18" t="n">
        <v>170031.56</v>
      </c>
      <c r="U72" s="37" t="n">
        <v>446049.85</v>
      </c>
      <c r="V72" s="18" t="n">
        <v>163731.98</v>
      </c>
      <c r="W72" s="18" t="n">
        <v>155801.85</v>
      </c>
      <c r="X72" s="18" t="n">
        <v>164290.54</v>
      </c>
      <c r="Y72" s="18" t="n">
        <v>188883.48</v>
      </c>
      <c r="Z72" s="37" t="n">
        <v>672707.85</v>
      </c>
      <c r="AA72" s="18" t="n">
        <v>185195.61</v>
      </c>
      <c r="AB72" s="19" t="n">
        <v>213445.78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영업이익</t>
        </is>
      </c>
      <c r="E73" s="18" t="n">
        <v>-515335.5</v>
      </c>
      <c r="F73" s="9" t="n"/>
      <c r="G73" s="18" t="n">
        <v>-470105.39</v>
      </c>
      <c r="H73" s="18" t="n">
        <v>-99508.19</v>
      </c>
      <c r="I73" s="18" t="n">
        <v>-627818.8</v>
      </c>
      <c r="J73" s="18" t="n">
        <v>-416132.15</v>
      </c>
      <c r="K73" s="37" t="n">
        <v>-1613564.53</v>
      </c>
      <c r="L73" s="18" t="n">
        <v>-62794.75</v>
      </c>
      <c r="M73" s="18" t="n">
        <v>-159009.73</v>
      </c>
      <c r="N73" s="18" t="n">
        <v>74134.58</v>
      </c>
      <c r="P73" s="9" t="n"/>
      <c r="Q73" s="18" t="n">
        <v>52936.27</v>
      </c>
      <c r="R73" s="18" t="n">
        <v>-9658.690000000001</v>
      </c>
      <c r="S73" s="18" t="n">
        <v>25581.53</v>
      </c>
      <c r="T73" s="18" t="n">
        <v>169017.27</v>
      </c>
      <c r="U73" s="37" t="n">
        <v>237876.38</v>
      </c>
      <c r="V73" s="18" t="n">
        <v>258608.17</v>
      </c>
      <c r="W73" s="18" t="n">
        <v>371703.65</v>
      </c>
      <c r="X73" s="18" t="n">
        <v>289759.21</v>
      </c>
      <c r="Y73" s="18" t="n">
        <v>247519.12</v>
      </c>
      <c r="Z73" s="37" t="n">
        <v>1167590.15</v>
      </c>
      <c r="AA73" s="18" t="n">
        <v>441065.12</v>
      </c>
      <c r="AB73" s="19" t="n">
        <v>736113.64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금융수익</t>
        </is>
      </c>
      <c r="E74" s="18" t="n">
        <v>32326.26</v>
      </c>
      <c r="F74" s="9" t="n"/>
      <c r="G74" s="18" t="n">
        <v>84990.13</v>
      </c>
      <c r="H74" s="18" t="n">
        <v>182181.81</v>
      </c>
      <c r="I74" s="18" t="n">
        <v>286338.6</v>
      </c>
      <c r="J74" s="18" t="n">
        <v>-13382.55</v>
      </c>
      <c r="K74" s="37" t="n">
        <v>540127.99</v>
      </c>
      <c r="L74" s="18" t="n">
        <v>195057.33</v>
      </c>
      <c r="M74" s="18" t="n">
        <v>88427.42</v>
      </c>
      <c r="N74" s="18" t="n">
        <v>188976.27</v>
      </c>
      <c r="O74" s="18" t="n">
        <v>80217.71000000001</v>
      </c>
      <c r="P74" s="37" t="n">
        <v>552678.73</v>
      </c>
      <c r="Q74" s="18" t="n">
        <v>303207.17</v>
      </c>
      <c r="R74" s="18" t="n">
        <v>41316.34</v>
      </c>
      <c r="S74" s="18" t="n">
        <v>-11215.92</v>
      </c>
      <c r="T74" s="18" t="n">
        <v>363192.87</v>
      </c>
      <c r="U74" s="37" t="n">
        <v>696500.46</v>
      </c>
      <c r="V74" s="18" t="n">
        <v>135685.01</v>
      </c>
      <c r="W74" s="18" t="n">
        <v>398614.68</v>
      </c>
      <c r="X74" s="18" t="n">
        <v>-39683.94</v>
      </c>
      <c r="Y74" s="18" t="n">
        <v>147942.3</v>
      </c>
      <c r="Z74" s="37" t="n">
        <v>642558.05</v>
      </c>
      <c r="AA74" s="18" t="n">
        <v>430821.32</v>
      </c>
      <c r="AB74" s="19" t="n">
        <v>186387.59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금융비용</t>
        </is>
      </c>
      <c r="E75" s="18" t="n">
        <v>84074.39</v>
      </c>
      <c r="F75" s="9" t="n"/>
      <c r="G75" s="18" t="n">
        <v>159855.07</v>
      </c>
      <c r="H75" s="18" t="n">
        <v>756892.75</v>
      </c>
      <c r="I75" s="18" t="n">
        <v>1169912.01</v>
      </c>
      <c r="J75" s="18" t="n">
        <v>-949616.59</v>
      </c>
      <c r="K75" s="37" t="n">
        <v>1137043.24</v>
      </c>
      <c r="L75" s="18" t="n">
        <v>437292.19</v>
      </c>
      <c r="M75" s="18" t="n">
        <v>243231.05</v>
      </c>
      <c r="N75" s="18" t="n">
        <v>326552.74</v>
      </c>
      <c r="O75" s="18" t="n">
        <v>-108182.88</v>
      </c>
      <c r="P75" s="37" t="n">
        <v>898893.1</v>
      </c>
      <c r="Q75" s="18" t="n">
        <v>478115.2</v>
      </c>
      <c r="R75" s="18" t="n">
        <v>146284.99</v>
      </c>
      <c r="S75" s="18" t="n">
        <v>-21896.44</v>
      </c>
      <c r="T75" s="18" t="n">
        <v>569685.79</v>
      </c>
      <c r="U75" s="37" t="n">
        <v>1172189.54</v>
      </c>
      <c r="V75" s="18" t="n">
        <v>179662.64</v>
      </c>
      <c r="W75" s="18" t="n">
        <v>530933.86</v>
      </c>
      <c r="X75" s="18" t="n">
        <v>-42642.23</v>
      </c>
      <c r="Y75" s="18" t="n">
        <v>99017.92999999999</v>
      </c>
      <c r="Z75" s="37" t="n">
        <v>766972.2</v>
      </c>
      <c r="AA75" s="18" t="n">
        <v>459011.23</v>
      </c>
      <c r="AB75" s="19" t="n">
        <v>269057.3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기타영업외수익</t>
        </is>
      </c>
      <c r="E76" s="18" t="n">
        <v>181067.85</v>
      </c>
      <c r="F76" s="9" t="n"/>
      <c r="G76" s="18" t="n">
        <v>71928.09</v>
      </c>
      <c r="H76" s="18" t="n">
        <v>512228.61</v>
      </c>
      <c r="I76" s="18" t="n">
        <v>834614.45</v>
      </c>
      <c r="J76" s="18" t="n">
        <v>-908154.13</v>
      </c>
      <c r="K76" s="37" t="n">
        <v>510617.02</v>
      </c>
      <c r="L76" s="18" t="n">
        <v>193705.35</v>
      </c>
      <c r="M76" s="18" t="n">
        <v>82638.03999999999</v>
      </c>
      <c r="N76" s="18" t="n">
        <v>306853.12</v>
      </c>
      <c r="O76" s="18" t="n">
        <v>-28147.88</v>
      </c>
      <c r="P76" s="37" t="n">
        <v>555048.63</v>
      </c>
      <c r="Q76" s="18" t="n">
        <v>178304.91</v>
      </c>
      <c r="R76" s="18" t="n">
        <v>92630.85000000001</v>
      </c>
      <c r="S76" s="18" t="n">
        <v>-107919.08</v>
      </c>
      <c r="T76" s="18" t="n">
        <v>341249.83</v>
      </c>
      <c r="U76" s="37" t="n">
        <v>504266.51</v>
      </c>
      <c r="V76" s="18" t="n">
        <v>28721.13</v>
      </c>
      <c r="W76" s="18" t="n">
        <v>2742.97</v>
      </c>
      <c r="X76" s="18" t="n">
        <v>9727.049999999999</v>
      </c>
      <c r="Y76" s="18" t="n">
        <v>19933.87</v>
      </c>
      <c r="Z76" s="37" t="n">
        <v>61125.02</v>
      </c>
      <c r="AA76" s="18" t="n">
        <v>160253.64</v>
      </c>
      <c r="AB76" s="19" t="n">
        <v>60198.21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기타영업외비용</t>
        </is>
      </c>
      <c r="E77" s="18" t="n">
        <v>23328.25</v>
      </c>
      <c r="F77" s="9" t="n"/>
      <c r="G77" s="18" t="n">
        <v>18291.92</v>
      </c>
      <c r="H77" s="18" t="n">
        <v>13600.81</v>
      </c>
      <c r="I77" s="18" t="n">
        <v>5784.43</v>
      </c>
      <c r="J77" s="18" t="n">
        <v>57016.17</v>
      </c>
      <c r="K77" s="37" t="n">
        <v>94693.33</v>
      </c>
      <c r="L77" s="18" t="n">
        <v>8961.629999999999</v>
      </c>
      <c r="M77" s="18" t="n">
        <v>6105.84</v>
      </c>
      <c r="N77" s="18" t="n">
        <v>12316.52</v>
      </c>
      <c r="O77" s="18" t="n">
        <v>102729.55</v>
      </c>
      <c r="P77" s="37" t="n">
        <v>130113.54</v>
      </c>
      <c r="Q77" s="18" t="n">
        <v>2771.41</v>
      </c>
      <c r="R77" s="18" t="n">
        <v>3518.77</v>
      </c>
      <c r="S77" s="18" t="n">
        <v>8382.200000000001</v>
      </c>
      <c r="T77" s="18" t="n">
        <v>86197.16</v>
      </c>
      <c r="U77" s="37" t="n">
        <v>100869.54</v>
      </c>
      <c r="V77" s="18" t="n">
        <v>28662.46</v>
      </c>
      <c r="W77" s="18" t="n">
        <v>80449.56</v>
      </c>
      <c r="X77" s="18" t="n">
        <v>11912.51</v>
      </c>
      <c r="Y77" s="18" t="n">
        <v>63900.2</v>
      </c>
      <c r="Z77" s="37" t="n">
        <v>184924.73</v>
      </c>
      <c r="AA77" s="18" t="n">
        <v>19900.51</v>
      </c>
      <c r="AB77" s="19" t="n">
        <v>2395.31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종속기업,공동지배기업및관계기업관련손익</t>
        </is>
      </c>
      <c r="E78" s="18" t="n">
        <v>-197.59</v>
      </c>
      <c r="F78" s="9" t="n"/>
      <c r="G78" s="18" t="n">
        <v>-147.55</v>
      </c>
      <c r="H78" s="18" t="n">
        <v>-166.07</v>
      </c>
      <c r="I78" s="18" t="n">
        <v>275.3</v>
      </c>
      <c r="J78" s="18" t="n">
        <v>267.97</v>
      </c>
      <c r="K78" s="37" t="n">
        <v>229.65</v>
      </c>
      <c r="L78" s="18" t="n">
        <v>372.5</v>
      </c>
      <c r="M78" s="18" t="n">
        <v>397.3</v>
      </c>
      <c r="N78" s="18" t="n">
        <v>507.08</v>
      </c>
      <c r="O78" s="18" t="n">
        <v>221.54</v>
      </c>
      <c r="P78" s="37" t="n">
        <v>1498.42</v>
      </c>
      <c r="Q78" s="18" t="n">
        <v>364.96</v>
      </c>
      <c r="R78" s="18" t="n">
        <v>358.25</v>
      </c>
      <c r="S78" s="18" t="n">
        <v>7111.04</v>
      </c>
      <c r="T78" s="18" t="n">
        <v>7616.56</v>
      </c>
      <c r="U78" s="37" t="n">
        <v>15450.81</v>
      </c>
      <c r="V78" s="18" t="n">
        <v>2503.39</v>
      </c>
      <c r="W78" s="18" t="n">
        <v>-10936.61</v>
      </c>
      <c r="X78" s="18" t="n">
        <v>-17933.14</v>
      </c>
      <c r="Y78" s="18" t="n">
        <v>-50640.36</v>
      </c>
      <c r="Z78" s="37" t="n">
        <v>-77006.72</v>
      </c>
      <c r="AA78" s="18" t="n">
        <v>-46783.21</v>
      </c>
      <c r="AB78" s="19" t="n">
        <v>-42722.72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지분법관련손익</t>
        </is>
      </c>
      <c r="E79" s="18" t="n">
        <v>-197.59</v>
      </c>
      <c r="F79" s="9" t="n"/>
      <c r="G79" s="18" t="n">
        <v>-147.55</v>
      </c>
      <c r="H79" s="18" t="n">
        <v>-166.07</v>
      </c>
      <c r="I79" s="18" t="n">
        <v>275.3</v>
      </c>
      <c r="J79" s="18" t="n">
        <v>267.97</v>
      </c>
      <c r="K79" s="37" t="n">
        <v>229.65</v>
      </c>
      <c r="L79" s="18" t="n">
        <v>372.5</v>
      </c>
      <c r="M79" s="18" t="n">
        <v>397.3</v>
      </c>
      <c r="N79" s="18" t="n">
        <v>507.08</v>
      </c>
      <c r="O79" s="18" t="n">
        <v>221.54</v>
      </c>
      <c r="P79" s="37" t="n">
        <v>1498.42</v>
      </c>
      <c r="Q79" s="18" t="n">
        <v>364.96</v>
      </c>
      <c r="R79" s="18" t="n">
        <v>358.25</v>
      </c>
      <c r="S79" s="18" t="n">
        <v>7111.04</v>
      </c>
      <c r="T79" s="18" t="n">
        <v>7616.56</v>
      </c>
      <c r="U79" s="37" t="n">
        <v>15450.81</v>
      </c>
      <c r="V79" s="18" t="n">
        <v>2503.39</v>
      </c>
      <c r="W79" s="18" t="n">
        <v>-10936.61</v>
      </c>
      <c r="X79" s="18" t="n">
        <v>-17933.14</v>
      </c>
      <c r="Y79" s="18" t="n">
        <v>-50640.36</v>
      </c>
      <c r="Z79" s="37" t="n">
        <v>-77006.72</v>
      </c>
      <c r="AA79" s="18" t="n">
        <v>-46783.21</v>
      </c>
      <c r="AB79" s="19" t="n">
        <v>-42722.72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법인세비용차감전계속사업이익</t>
        </is>
      </c>
      <c r="E80" s="18" t="n">
        <v>-409541.62</v>
      </c>
      <c r="F80" s="9" t="n"/>
      <c r="G80" s="18" t="n">
        <v>-491481.72</v>
      </c>
      <c r="H80" s="18" t="n">
        <v>-175757.39</v>
      </c>
      <c r="I80" s="18" t="n">
        <v>-682286.89</v>
      </c>
      <c r="J80" s="18" t="n">
        <v>-444800.44</v>
      </c>
      <c r="K80" s="37" t="n">
        <v>-1794326.44</v>
      </c>
      <c r="L80" s="18" t="n">
        <v>-119913.39</v>
      </c>
      <c r="M80" s="18" t="n">
        <v>-236883.87</v>
      </c>
      <c r="N80" s="18" t="n">
        <v>231601.79</v>
      </c>
      <c r="O80" s="18" t="n">
        <v>8916.299999999999</v>
      </c>
      <c r="P80" s="37" t="n">
        <v>-116279.17</v>
      </c>
      <c r="Q80" s="18" t="n">
        <v>53926.71</v>
      </c>
      <c r="R80" s="18" t="n">
        <v>-25157.02</v>
      </c>
      <c r="S80" s="18" t="n">
        <v>-72928.19</v>
      </c>
      <c r="T80" s="18" t="n">
        <v>225193.57</v>
      </c>
      <c r="U80" s="37" t="n">
        <v>181035.07</v>
      </c>
      <c r="V80" s="18" t="n">
        <v>217192.61</v>
      </c>
      <c r="W80" s="18" t="n">
        <v>150741.27</v>
      </c>
      <c r="X80" s="18" t="n">
        <v>272598.9</v>
      </c>
      <c r="Y80" s="18" t="n">
        <v>201836.79</v>
      </c>
      <c r="Z80" s="37" t="n">
        <v>842369.5699999999</v>
      </c>
      <c r="AA80" s="18" t="n">
        <v>506445.12</v>
      </c>
      <c r="AB80" s="19" t="n">
        <v>668524.12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법인세비용</t>
        </is>
      </c>
      <c r="E81" s="18" t="n">
        <v>-11139.89</v>
      </c>
      <c r="F81" s="9" t="n"/>
      <c r="G81" s="18" t="n">
        <v>316.21</v>
      </c>
      <c r="H81" s="18" t="n">
        <v>324.47</v>
      </c>
      <c r="I81" s="18" t="n">
        <v>-35659.11</v>
      </c>
      <c r="J81" s="18" t="n">
        <v>-14529.56</v>
      </c>
      <c r="K81" s="37" t="n">
        <v>-49547.99</v>
      </c>
      <c r="L81" s="18" t="n">
        <v>495.62</v>
      </c>
      <c r="M81" s="18" t="n">
        <v>326.36</v>
      </c>
      <c r="N81" s="18" t="n">
        <v>-3.91</v>
      </c>
      <c r="O81" s="18" t="n">
        <v>-277141.11</v>
      </c>
      <c r="P81" s="37" t="n">
        <v>-276323.04</v>
      </c>
      <c r="Q81" s="18" t="n">
        <v>2905.83</v>
      </c>
      <c r="R81" s="18" t="n">
        <v>2225.89</v>
      </c>
      <c r="S81" s="18" t="n">
        <v>1918.78</v>
      </c>
      <c r="T81" s="18" t="n">
        <v>-354228.33</v>
      </c>
      <c r="U81" s="37" t="n">
        <v>-347177.83</v>
      </c>
      <c r="V81" s="18" t="n">
        <v>1466.69</v>
      </c>
      <c r="W81" s="18" t="n">
        <v>2265.15</v>
      </c>
      <c r="X81" s="18" t="n">
        <v>3211.73</v>
      </c>
      <c r="Y81" s="18" t="n">
        <v>-410495.54</v>
      </c>
      <c r="Z81" s="37" t="n">
        <v>-403551.97</v>
      </c>
      <c r="AA81" s="18" t="n">
        <v>6408.4</v>
      </c>
      <c r="AB81" s="19" t="n">
        <v>-24064.98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당기순이익</t>
        </is>
      </c>
      <c r="E82" s="18" t="n">
        <v>-398401.72</v>
      </c>
      <c r="F82" s="9" t="n"/>
      <c r="G82" s="18" t="n">
        <v>-491797.92</v>
      </c>
      <c r="H82" s="18" t="n">
        <v>-176081.86</v>
      </c>
      <c r="I82" s="18" t="n">
        <v>-646627.78</v>
      </c>
      <c r="J82" s="18" t="n">
        <v>-430270.88</v>
      </c>
      <c r="K82" s="37" t="n">
        <v>-1744778.44</v>
      </c>
      <c r="L82" s="18" t="n">
        <v>-120409.02</v>
      </c>
      <c r="M82" s="18" t="n">
        <v>-237210.23</v>
      </c>
      <c r="N82" s="18" t="n">
        <v>231605.7</v>
      </c>
      <c r="O82" s="18" t="n">
        <v>286057.4</v>
      </c>
      <c r="P82" s="37" t="n">
        <v>160043.85</v>
      </c>
      <c r="Q82" s="18" t="n">
        <v>51020.88</v>
      </c>
      <c r="R82" s="18" t="n">
        <v>-27382.91</v>
      </c>
      <c r="S82" s="18" t="n">
        <v>-74846.97</v>
      </c>
      <c r="T82" s="18" t="n">
        <v>579421.9</v>
      </c>
      <c r="U82" s="37" t="n">
        <v>528212.9</v>
      </c>
      <c r="V82" s="18" t="n">
        <v>215725.91</v>
      </c>
      <c r="W82" s="18" t="n">
        <v>148476.12</v>
      </c>
      <c r="X82" s="18" t="n">
        <v>269387.17</v>
      </c>
      <c r="Y82" s="18" t="n">
        <v>612332.33</v>
      </c>
      <c r="Z82" s="37" t="n">
        <v>1245921.53</v>
      </c>
      <c r="AA82" s="18" t="n">
        <v>500036.73</v>
      </c>
      <c r="AB82" s="19" t="n">
        <v>692589.09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(지배주주지분)당기순이익</t>
        </is>
      </c>
      <c r="E83" s="18" t="n">
        <v>-398401.72</v>
      </c>
      <c r="F83" s="9" t="n"/>
      <c r="G83" s="18" t="n">
        <v>-491797.92</v>
      </c>
      <c r="H83" s="18" t="n">
        <v>-176081.86</v>
      </c>
      <c r="I83" s="18" t="n">
        <v>-646627.78</v>
      </c>
      <c r="J83" s="18" t="n">
        <v>-430270.88</v>
      </c>
      <c r="K83" s="37" t="n">
        <v>-1744778.44</v>
      </c>
      <c r="L83" s="18" t="n">
        <v>-120409.02</v>
      </c>
      <c r="M83" s="18" t="n">
        <v>-237210.23</v>
      </c>
      <c r="N83" s="18" t="n">
        <v>231519.94</v>
      </c>
      <c r="O83" s="18" t="n">
        <v>285985.26</v>
      </c>
      <c r="P83" s="37" t="n">
        <v>159885.95</v>
      </c>
      <c r="Q83" s="18" t="n">
        <v>51034.87</v>
      </c>
      <c r="R83" s="18" t="n">
        <v>-27519.67</v>
      </c>
      <c r="S83" s="18" t="n">
        <v>-74885.37</v>
      </c>
      <c r="T83" s="18" t="n">
        <v>579489.28</v>
      </c>
      <c r="U83" s="37" t="n">
        <v>528119.11</v>
      </c>
      <c r="V83" s="18" t="n">
        <v>215693.63</v>
      </c>
      <c r="W83" s="18" t="n">
        <v>148431.76</v>
      </c>
      <c r="X83" s="18" t="n">
        <v>269352.29</v>
      </c>
      <c r="Y83" s="18" t="n">
        <v>612360.8199999999</v>
      </c>
      <c r="Z83" s="37" t="n">
        <v>1245838.5</v>
      </c>
      <c r="AA83" s="18" t="n">
        <v>500005.98</v>
      </c>
      <c r="AB83" s="19" t="n">
        <v>692571.51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금융손익</t>
        </is>
      </c>
      <c r="E84" s="18" t="n">
        <v>-51748.13</v>
      </c>
      <c r="F84" s="9" t="n"/>
      <c r="G84" s="18" t="n">
        <v>-74864.94</v>
      </c>
      <c r="H84" s="18" t="n">
        <v>-574710.9399999999</v>
      </c>
      <c r="I84" s="18" t="n">
        <v>-883573.41</v>
      </c>
      <c r="J84" s="18" t="n">
        <v>936234.04</v>
      </c>
      <c r="K84" s="37" t="n">
        <v>-596915.25</v>
      </c>
      <c r="L84" s="18" t="n">
        <v>-242234.86</v>
      </c>
      <c r="M84" s="18" t="n">
        <v>-154803.63</v>
      </c>
      <c r="N84" s="18" t="n">
        <v>-137576.47</v>
      </c>
      <c r="O84" s="18" t="n">
        <v>188400.59</v>
      </c>
      <c r="P84" s="37" t="n">
        <v>-346214.37</v>
      </c>
      <c r="Q84" s="18" t="n">
        <v>-174908.03</v>
      </c>
      <c r="R84" s="18" t="n">
        <v>-104968.65</v>
      </c>
      <c r="S84" s="18" t="n">
        <v>10680.52</v>
      </c>
      <c r="T84" s="18" t="n">
        <v>-206492.92</v>
      </c>
      <c r="U84" s="37" t="n">
        <v>-475689.08</v>
      </c>
      <c r="V84" s="18" t="n">
        <v>-43977.63</v>
      </c>
      <c r="W84" s="18" t="n">
        <v>-132319.18</v>
      </c>
      <c r="X84" s="18" t="n">
        <v>2958.29</v>
      </c>
      <c r="Y84" s="18" t="n">
        <v>48924.37</v>
      </c>
      <c r="Z84" s="37" t="n">
        <v>-124414.15</v>
      </c>
      <c r="AA84" s="18" t="n">
        <v>-28189.91</v>
      </c>
      <c r="AB84" s="19" t="n">
        <v>-82669.71000000001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기타영업외손익</t>
        </is>
      </c>
      <c r="E85" s="18" t="n">
        <v>157739.6</v>
      </c>
      <c r="F85" s="9" t="n"/>
      <c r="G85" s="18" t="n">
        <v>53636.17</v>
      </c>
      <c r="H85" s="18" t="n">
        <v>498627.8</v>
      </c>
      <c r="I85" s="18" t="n">
        <v>828830.02</v>
      </c>
      <c r="J85" s="18" t="n">
        <v>-965170.3</v>
      </c>
      <c r="K85" s="37" t="n">
        <v>415923.69</v>
      </c>
      <c r="L85" s="18" t="n">
        <v>184743.72</v>
      </c>
      <c r="M85" s="18" t="n">
        <v>76532.2</v>
      </c>
      <c r="N85" s="18" t="n">
        <v>294536.6</v>
      </c>
      <c r="O85" s="18" t="n">
        <v>-130877.43</v>
      </c>
      <c r="P85" s="37" t="n">
        <v>424935.09</v>
      </c>
      <c r="Q85" s="18" t="n">
        <v>175533.5</v>
      </c>
      <c r="R85" s="18" t="n">
        <v>89112.08</v>
      </c>
      <c r="S85" s="18" t="n">
        <v>-116301.28</v>
      </c>
      <c r="T85" s="18" t="n">
        <v>255052.67</v>
      </c>
      <c r="U85" s="37" t="n">
        <v>403396.97</v>
      </c>
      <c r="V85" s="18" t="n">
        <v>58.67</v>
      </c>
      <c r="W85" s="18" t="n">
        <v>-77706.59</v>
      </c>
      <c r="X85" s="18" t="n">
        <v>-2185.46</v>
      </c>
      <c r="Y85" s="18" t="n">
        <v>-43966.33</v>
      </c>
      <c r="Z85" s="37" t="n">
        <v>-123799.71</v>
      </c>
      <c r="AA85" s="18" t="n">
        <v>140353.13</v>
      </c>
      <c r="AB85" s="19" t="n">
        <v>57802.9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계속사업이익</t>
        </is>
      </c>
      <c r="E86" s="18" t="n">
        <v>-398401.72</v>
      </c>
      <c r="F86" s="9" t="n"/>
      <c r="G86" s="18" t="n">
        <v>-491797.92</v>
      </c>
      <c r="H86" s="18" t="n">
        <v>-176081.86</v>
      </c>
      <c r="I86" s="18" t="n">
        <v>-646627.78</v>
      </c>
      <c r="J86" s="18" t="n">
        <v>-430270.88</v>
      </c>
      <c r="K86" s="37" t="n">
        <v>-1744778.44</v>
      </c>
      <c r="L86" s="18" t="n">
        <v>-120409.02</v>
      </c>
      <c r="M86" s="18" t="n">
        <v>-237210.23</v>
      </c>
      <c r="N86" s="18" t="n">
        <v>231605.7</v>
      </c>
      <c r="O86" s="18" t="n">
        <v>286057.4</v>
      </c>
      <c r="P86" s="37" t="n">
        <v>160043.85</v>
      </c>
      <c r="Q86" s="18" t="n">
        <v>51020.88</v>
      </c>
      <c r="R86" s="18" t="n">
        <v>-27382.91</v>
      </c>
      <c r="S86" s="18" t="n">
        <v>-74846.97</v>
      </c>
      <c r="T86" s="18" t="n">
        <v>579421.9</v>
      </c>
      <c r="U86" s="37" t="n">
        <v>528212.9</v>
      </c>
      <c r="V86" s="18" t="n">
        <v>215725.91</v>
      </c>
      <c r="W86" s="18" t="n">
        <v>148476.12</v>
      </c>
      <c r="X86" s="18" t="n">
        <v>269387.17</v>
      </c>
      <c r="Y86" s="18" t="n">
        <v>612332.33</v>
      </c>
      <c r="Z86" s="37" t="n">
        <v>1245921.53</v>
      </c>
      <c r="AA86" s="18" t="n">
        <v>500036.73</v>
      </c>
      <c r="AB86" s="19" t="n">
        <v>692589.09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총포괄손익</t>
        </is>
      </c>
      <c r="E87" s="18" t="n">
        <v>-359954.48</v>
      </c>
      <c r="F87" s="9" t="n"/>
      <c r="G87" s="18" t="n">
        <v>-491024.59</v>
      </c>
      <c r="H87" s="18" t="n">
        <v>-178177.9</v>
      </c>
      <c r="I87" s="18" t="n">
        <v>-649695.09</v>
      </c>
      <c r="J87" s="18" t="n">
        <v>-153713.94</v>
      </c>
      <c r="K87" s="37" t="n">
        <v>-1472611.52</v>
      </c>
      <c r="L87" s="18" t="n">
        <v>-115911.83</v>
      </c>
      <c r="M87" s="18" t="n">
        <v>-294106.79</v>
      </c>
      <c r="N87" s="18" t="n">
        <v>237092.44</v>
      </c>
      <c r="P87" s="9" t="n"/>
      <c r="Q87" s="18" t="n">
        <v>55529.22</v>
      </c>
      <c r="R87" s="18" t="n">
        <v>-22662.65</v>
      </c>
      <c r="S87" s="18" t="n">
        <v>-152315.06</v>
      </c>
      <c r="T87" s="18" t="n">
        <v>687847.89</v>
      </c>
      <c r="U87" s="37" t="n">
        <v>568399.4</v>
      </c>
      <c r="V87" s="18" t="n">
        <v>218098.6</v>
      </c>
      <c r="W87" s="18" t="n">
        <v>124783.11</v>
      </c>
      <c r="X87" s="18" t="n">
        <v>252585.49</v>
      </c>
      <c r="Y87" s="18" t="n">
        <v>671020.3</v>
      </c>
      <c r="Z87" s="37" t="n">
        <v>1266487.5</v>
      </c>
      <c r="AA87" s="18" t="n">
        <v>636529.59</v>
      </c>
      <c r="AB87" s="19" t="n">
        <v>706240.87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이자수익</t>
        </is>
      </c>
      <c r="F88" s="9" t="n"/>
      <c r="G88" s="18" t="n">
        <v>14338</v>
      </c>
      <c r="H88" s="18" t="n">
        <v>14445</v>
      </c>
      <c r="I88" s="18" t="n">
        <v>17751</v>
      </c>
      <c r="J88" s="18" t="n">
        <v>19659</v>
      </c>
      <c r="K88" s="37" t="n">
        <v>66193</v>
      </c>
      <c r="L88" s="18" t="n">
        <v>24009</v>
      </c>
      <c r="M88" s="18" t="n">
        <v>18134</v>
      </c>
      <c r="N88" s="18" t="n">
        <v>24644</v>
      </c>
      <c r="O88" s="18" t="n">
        <v>50977</v>
      </c>
      <c r="P88" s="37" t="n">
        <v>117764</v>
      </c>
      <c r="Q88" s="18" t="n">
        <v>22627</v>
      </c>
      <c r="R88" s="18" t="n">
        <v>24380</v>
      </c>
      <c r="S88" s="18" t="n">
        <v>19162</v>
      </c>
      <c r="T88" s="18" t="n">
        <v>-1895</v>
      </c>
      <c r="U88" s="37" t="n">
        <v>64274</v>
      </c>
      <c r="V88" s="18" t="n">
        <v>17967</v>
      </c>
      <c r="W88" s="18" t="n">
        <v>17323</v>
      </c>
      <c r="X88" s="18" t="n">
        <v>11726</v>
      </c>
      <c r="Y88" s="18" t="n">
        <v>28820</v>
      </c>
      <c r="Z88" s="37" t="n">
        <v>75836</v>
      </c>
      <c r="AA88" s="18" t="n">
        <v>9995</v>
      </c>
      <c r="AB88" s="19" t="n">
        <v>17609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배당금수익</t>
        </is>
      </c>
      <c r="F89" s="9" t="n"/>
      <c r="G89" s="18" t="n">
        <v>46</v>
      </c>
      <c r="H89" s="18" t="n">
        <v>15</v>
      </c>
      <c r="I89" s="18" t="n">
        <v>0</v>
      </c>
      <c r="J89" s="18" t="n">
        <v>0</v>
      </c>
      <c r="K89" s="37" t="n">
        <v>61</v>
      </c>
      <c r="L89" s="18" t="n">
        <v>65</v>
      </c>
      <c r="M89" s="18" t="n">
        <v>8</v>
      </c>
      <c r="N89" s="18" t="n">
        <v>0</v>
      </c>
      <c r="O89" s="18" t="n">
        <v>0</v>
      </c>
      <c r="P89" s="37" t="n">
        <v>73</v>
      </c>
      <c r="Q89" s="18" t="n">
        <v>42</v>
      </c>
      <c r="R89" s="18" t="n">
        <v>138</v>
      </c>
      <c r="S89" s="18" t="n">
        <v>24</v>
      </c>
      <c r="T89" s="18" t="n">
        <v>-24</v>
      </c>
      <c r="U89" s="37" t="n">
        <v>180</v>
      </c>
      <c r="V89" s="18" t="n">
        <v>19</v>
      </c>
      <c r="W89" s="18" t="n">
        <v>1</v>
      </c>
      <c r="X89" s="18" t="n">
        <v>2</v>
      </c>
      <c r="Y89" s="18" t="n">
        <v>7</v>
      </c>
      <c r="Z89" s="37" t="n">
        <v>29</v>
      </c>
      <c r="AA89" s="18" t="n">
        <v>172</v>
      </c>
      <c r="AB89" s="19" t="n">
        <v>1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이자비용</t>
        </is>
      </c>
      <c r="F90" s="9" t="n"/>
      <c r="G90" s="18" t="n">
        <v>25198</v>
      </c>
      <c r="H90" s="18" t="n">
        <v>27463</v>
      </c>
      <c r="I90" s="18" t="n">
        <v>32927</v>
      </c>
      <c r="J90" s="18" t="n">
        <v>36227</v>
      </c>
      <c r="K90" s="37" t="n">
        <v>121815</v>
      </c>
      <c r="L90" s="18" t="n">
        <v>41593</v>
      </c>
      <c r="M90" s="18" t="n">
        <v>41735</v>
      </c>
      <c r="N90" s="18" t="n">
        <v>35878</v>
      </c>
      <c r="O90" s="18" t="n">
        <v>39827</v>
      </c>
      <c r="P90" s="37" t="n">
        <v>159033</v>
      </c>
      <c r="Q90" s="18" t="n">
        <v>38982</v>
      </c>
      <c r="R90" s="18" t="n">
        <v>50689</v>
      </c>
      <c r="S90" s="18" t="n">
        <v>51808</v>
      </c>
      <c r="T90" s="18" t="n">
        <v>31036</v>
      </c>
      <c r="U90" s="37" t="n">
        <v>172515</v>
      </c>
      <c r="V90" s="18" t="n">
        <v>51493</v>
      </c>
      <c r="W90" s="18" t="n">
        <v>52609</v>
      </c>
      <c r="X90" s="18" t="n">
        <v>52080</v>
      </c>
      <c r="Y90" s="18" t="n">
        <v>39548</v>
      </c>
      <c r="Z90" s="37" t="n">
        <v>195730</v>
      </c>
      <c r="AA90" s="18" t="n">
        <v>56339</v>
      </c>
      <c r="AB90" s="19" t="n">
        <v>57194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외환차익</t>
        </is>
      </c>
      <c r="F91" s="9" t="n"/>
      <c r="G91" s="18" t="n">
        <v>40349</v>
      </c>
      <c r="H91" s="18" t="n">
        <v>82858</v>
      </c>
      <c r="I91" s="18" t="n">
        <v>191808</v>
      </c>
      <c r="J91" s="18" t="n">
        <v>86685</v>
      </c>
      <c r="K91" s="37" t="n">
        <v>401700</v>
      </c>
      <c r="L91" s="18" t="n">
        <v>97721</v>
      </c>
      <c r="M91" s="18" t="n">
        <v>90052</v>
      </c>
      <c r="N91" s="18" t="n">
        <v>117712</v>
      </c>
      <c r="O91" s="18" t="n">
        <v>72732</v>
      </c>
      <c r="P91" s="37" t="n">
        <v>378217</v>
      </c>
      <c r="Q91" s="18" t="n">
        <v>196178</v>
      </c>
      <c r="R91" s="18" t="n">
        <v>-22099</v>
      </c>
      <c r="S91" s="18" t="n">
        <v>60422</v>
      </c>
      <c r="T91" s="18" t="n">
        <v>142740</v>
      </c>
      <c r="U91" s="37" t="n">
        <v>377241</v>
      </c>
      <c r="V91" s="18" t="n">
        <v>86914</v>
      </c>
      <c r="W91" s="18" t="n">
        <v>77318</v>
      </c>
      <c r="X91" s="18" t="n">
        <v>50378</v>
      </c>
      <c r="Y91" s="18" t="n">
        <v>137811</v>
      </c>
      <c r="Z91" s="37" t="n">
        <v>352421</v>
      </c>
      <c r="AA91" s="18" t="n">
        <v>170749</v>
      </c>
      <c r="AB91" s="19" t="n">
        <v>123524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외환차손</t>
        </is>
      </c>
      <c r="F92" s="9" t="n"/>
      <c r="G92" s="18" t="n">
        <v>16300</v>
      </c>
      <c r="H92" s="18" t="n">
        <v>69798</v>
      </c>
      <c r="I92" s="18" t="n">
        <v>134593</v>
      </c>
      <c r="J92" s="18" t="n">
        <v>98313</v>
      </c>
      <c r="K92" s="37" t="n">
        <v>319004</v>
      </c>
      <c r="L92" s="18" t="n">
        <v>88769</v>
      </c>
      <c r="M92" s="18" t="n">
        <v>77002</v>
      </c>
      <c r="N92" s="18" t="n">
        <v>82041</v>
      </c>
      <c r="O92" s="18" t="n">
        <v>67542</v>
      </c>
      <c r="P92" s="37" t="n">
        <v>315354</v>
      </c>
      <c r="Q92" s="18" t="n">
        <v>147113</v>
      </c>
      <c r="R92" s="18" t="n">
        <v>-79298</v>
      </c>
      <c r="S92" s="18" t="n">
        <v>76480</v>
      </c>
      <c r="T92" s="18" t="n">
        <v>87226</v>
      </c>
      <c r="U92" s="37" t="n">
        <v>231521</v>
      </c>
      <c r="V92" s="18" t="n">
        <v>100622</v>
      </c>
      <c r="W92" s="18" t="n">
        <v>189793</v>
      </c>
      <c r="X92" s="18" t="n">
        <v>103540</v>
      </c>
      <c r="Y92" s="18" t="n">
        <v>84738</v>
      </c>
      <c r="Z92" s="37" t="n">
        <v>478693</v>
      </c>
      <c r="AA92" s="18" t="n">
        <v>89671</v>
      </c>
      <c r="AB92" s="19" t="n">
        <v>75007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외화환산이익</t>
        </is>
      </c>
      <c r="F93" s="9" t="n"/>
      <c r="G93" s="18" t="n">
        <v>24927</v>
      </c>
      <c r="H93" s="18" t="n">
        <v>85740</v>
      </c>
      <c r="I93" s="18" t="n">
        <v>72772</v>
      </c>
      <c r="J93" s="18" t="n">
        <v>-122079</v>
      </c>
      <c r="K93" s="37" t="n">
        <v>61360</v>
      </c>
      <c r="L93" s="18" t="n">
        <v>62628</v>
      </c>
      <c r="M93" s="18" t="n">
        <v>-28149</v>
      </c>
      <c r="N93" s="18" t="n">
        <v>24914</v>
      </c>
      <c r="O93" s="18" t="n">
        <v>-54692</v>
      </c>
      <c r="P93" s="37" t="n">
        <v>4701</v>
      </c>
      <c r="Q93" s="18" t="n">
        <v>84015</v>
      </c>
      <c r="R93" s="18" t="n">
        <v>34744</v>
      </c>
      <c r="S93" s="18" t="n">
        <v>-94289</v>
      </c>
      <c r="T93" s="18" t="n">
        <v>219930</v>
      </c>
      <c r="U93" s="37" t="n">
        <v>244400</v>
      </c>
      <c r="V93" s="18" t="n">
        <v>29834</v>
      </c>
      <c r="W93" s="18" t="n">
        <v>146180</v>
      </c>
      <c r="X93" s="18" t="n">
        <v>-30542</v>
      </c>
      <c r="Y93" s="18" t="n">
        <v>-8947</v>
      </c>
      <c r="Z93" s="37" t="n">
        <v>136525</v>
      </c>
      <c r="AA93" s="18" t="n">
        <v>248259</v>
      </c>
      <c r="AB93" s="19" t="n">
        <v>40822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외화환산손실</t>
        </is>
      </c>
      <c r="F94" s="9" t="n"/>
      <c r="G94" s="18" t="n">
        <v>43997</v>
      </c>
      <c r="H94" s="18" t="n">
        <v>150361</v>
      </c>
      <c r="I94" s="18" t="n">
        <v>232205</v>
      </c>
      <c r="J94" s="18" t="n">
        <v>-230247</v>
      </c>
      <c r="K94" s="37" t="n">
        <v>196316</v>
      </c>
      <c r="L94" s="18" t="n">
        <v>79922</v>
      </c>
      <c r="M94" s="18" t="n">
        <v>11721</v>
      </c>
      <c r="N94" s="18" t="n">
        <v>20088</v>
      </c>
      <c r="O94" s="18" t="n">
        <v>-60601</v>
      </c>
      <c r="P94" s="37" t="n">
        <v>51130</v>
      </c>
      <c r="Q94" s="18" t="n">
        <v>78497</v>
      </c>
      <c r="R94" s="18" t="n">
        <v>57386</v>
      </c>
      <c r="S94" s="18" t="n">
        <v>-30504</v>
      </c>
      <c r="T94" s="18" t="n">
        <v>150785</v>
      </c>
      <c r="U94" s="37" t="n">
        <v>256164</v>
      </c>
      <c r="V94" s="18" t="n">
        <v>12719</v>
      </c>
      <c r="W94" s="18" t="n">
        <v>303104</v>
      </c>
      <c r="X94" s="18" t="n">
        <v>-199276</v>
      </c>
      <c r="Y94" s="18" t="n">
        <v>-34343</v>
      </c>
      <c r="Z94" s="37" t="n">
        <v>82204</v>
      </c>
      <c r="AA94" s="18" t="n">
        <v>146145</v>
      </c>
      <c r="AB94" s="19" t="n">
        <v>49400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이자손익</t>
        </is>
      </c>
      <c r="F95" s="9" t="n"/>
      <c r="G95" s="18" t="n">
        <v>-10860</v>
      </c>
      <c r="H95" s="18" t="n">
        <v>-13018</v>
      </c>
      <c r="I95" s="18" t="n">
        <v>-15176</v>
      </c>
      <c r="J95" s="18" t="n">
        <v>-16568</v>
      </c>
      <c r="K95" s="37" t="n">
        <v>-55622</v>
      </c>
      <c r="L95" s="18" t="n">
        <v>-17584</v>
      </c>
      <c r="M95" s="18" t="n">
        <v>-23601</v>
      </c>
      <c r="N95" s="18" t="n">
        <v>-11234</v>
      </c>
      <c r="O95" s="18" t="n">
        <v>11150</v>
      </c>
      <c r="P95" s="37" t="n">
        <v>-41269</v>
      </c>
      <c r="Q95" s="18" t="n">
        <v>-16355</v>
      </c>
      <c r="R95" s="18" t="n">
        <v>-26309</v>
      </c>
      <c r="S95" s="18" t="n">
        <v>-32646</v>
      </c>
      <c r="T95" s="18" t="n">
        <v>-32931</v>
      </c>
      <c r="U95" s="37" t="n">
        <v>-108241</v>
      </c>
      <c r="V95" s="18" t="n">
        <v>-33526</v>
      </c>
      <c r="W95" s="18" t="n">
        <v>-35286</v>
      </c>
      <c r="X95" s="18" t="n">
        <v>-40354</v>
      </c>
      <c r="Y95" s="18" t="n">
        <v>-10728</v>
      </c>
      <c r="Z95" s="37" t="n">
        <v>-119894</v>
      </c>
      <c r="AA95" s="18" t="n">
        <v>-46344</v>
      </c>
      <c r="AB95" s="19" t="n">
        <v>-39585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(비지배주주지분)당기순이익</t>
        </is>
      </c>
      <c r="F96" s="9" t="n"/>
      <c r="K96" s="9" t="n"/>
      <c r="N96" s="18" t="n">
        <v>85.76000000000001</v>
      </c>
      <c r="O96" s="18" t="n">
        <v>72.14</v>
      </c>
      <c r="P96" s="9" t="n"/>
      <c r="Q96" s="18" t="n">
        <v>-14</v>
      </c>
      <c r="R96" s="18" t="n">
        <v>136.76</v>
      </c>
      <c r="S96" s="18" t="n">
        <v>38.4</v>
      </c>
      <c r="T96" s="18" t="n">
        <v>-67.38</v>
      </c>
      <c r="U96" s="37" t="n">
        <v>93.78</v>
      </c>
      <c r="V96" s="18" t="n">
        <v>32.29</v>
      </c>
      <c r="W96" s="18" t="n">
        <v>44.36</v>
      </c>
      <c r="X96" s="18" t="n">
        <v>34.87</v>
      </c>
      <c r="Y96" s="18" t="n">
        <v>-28.48</v>
      </c>
      <c r="Z96" s="37" t="n">
        <v>83.04000000000001</v>
      </c>
      <c r="AA96" s="18" t="n">
        <v>30.75</v>
      </c>
      <c r="AB96" s="19" t="n">
        <v>17.58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파생상품이익</t>
        </is>
      </c>
      <c r="F97" s="9" t="n"/>
      <c r="K97" s="9" t="n"/>
      <c r="P97" s="9" t="n"/>
      <c r="U97" s="9" t="n"/>
      <c r="W97" s="18" t="n">
        <v>157782</v>
      </c>
      <c r="X97" s="18" t="n">
        <v>-71331</v>
      </c>
      <c r="Y97" s="18" t="n">
        <v>-9779</v>
      </c>
      <c r="Z97" s="9" t="n"/>
      <c r="AA97" s="18" t="n">
        <v>1318</v>
      </c>
      <c r="AB97" s="19" t="n">
        <v>3864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파생상품손실</t>
        </is>
      </c>
      <c r="F98" s="9" t="n"/>
      <c r="K98" s="9" t="n"/>
      <c r="P98" s="9" t="n"/>
      <c r="U98" s="9" t="n"/>
      <c r="W98" s="18" t="n">
        <v>-14573</v>
      </c>
      <c r="X98" s="18" t="n">
        <v>1014</v>
      </c>
      <c r="Y98" s="18" t="n">
        <v>9075</v>
      </c>
      <c r="Z98" s="9" t="n"/>
      <c r="AA98" s="18" t="n">
        <v>166856</v>
      </c>
      <c r="AB98" s="19" t="n">
        <v>87408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영업활동으로인한현금흐름</t>
        </is>
      </c>
      <c r="E99" s="18" t="n">
        <v>28365.93</v>
      </c>
      <c r="F99" s="9" t="n"/>
      <c r="G99" s="18" t="n">
        <v>-725825.8100000001</v>
      </c>
      <c r="H99" s="18" t="n">
        <v>-279038.48</v>
      </c>
      <c r="I99" s="18" t="n">
        <v>-178055.47</v>
      </c>
      <c r="J99" s="18" t="n">
        <v>117487.13</v>
      </c>
      <c r="K99" s="37" t="n">
        <v>-1065432.63</v>
      </c>
      <c r="L99" s="18" t="n">
        <v>-776346.72</v>
      </c>
      <c r="M99" s="18" t="n">
        <v>18351.27</v>
      </c>
      <c r="N99" s="18" t="n">
        <v>-726049.36</v>
      </c>
      <c r="O99" s="18" t="n">
        <v>-455110.5</v>
      </c>
      <c r="P99" s="37" t="n">
        <v>-1939155.31</v>
      </c>
      <c r="Q99" s="18" t="n">
        <v>-1164444.89</v>
      </c>
      <c r="R99" s="18" t="n">
        <v>-502494.72</v>
      </c>
      <c r="S99" s="18" t="n">
        <v>-982928.98</v>
      </c>
      <c r="T99" s="18" t="n">
        <v>-254705.88</v>
      </c>
      <c r="U99" s="37" t="n">
        <v>-2904574.47</v>
      </c>
      <c r="V99" s="18" t="n">
        <v>222413.2</v>
      </c>
      <c r="W99" s="18" t="n">
        <v>625473.29</v>
      </c>
      <c r="X99" s="18" t="n">
        <v>-340157.92</v>
      </c>
      <c r="Y99" s="18" t="n">
        <v>806943.01</v>
      </c>
      <c r="Z99" s="37" t="n">
        <v>1314671.58</v>
      </c>
      <c r="AA99" s="18" t="n">
        <v>221996.29</v>
      </c>
      <c r="AB99" s="19" t="n">
        <v>818214.29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배당금수취(CF)</t>
        </is>
      </c>
      <c r="E100" s="18" t="n">
        <v>0</v>
      </c>
      <c r="F100" s="9" t="n"/>
      <c r="G100" s="18" t="n">
        <v>570.89</v>
      </c>
      <c r="H100" s="18" t="n">
        <v>14.85</v>
      </c>
      <c r="I100" s="18" t="n">
        <v>0</v>
      </c>
      <c r="J100" s="18" t="n">
        <v>0</v>
      </c>
      <c r="K100" s="37" t="n">
        <v>585.74</v>
      </c>
      <c r="L100" s="18" t="n">
        <v>950</v>
      </c>
      <c r="M100" s="18" t="n">
        <v>73.25</v>
      </c>
      <c r="N100" s="18" t="n">
        <v>0</v>
      </c>
      <c r="O100" s="18" t="n">
        <v>0</v>
      </c>
      <c r="P100" s="37" t="n">
        <v>1023.25</v>
      </c>
      <c r="Q100" s="18" t="n">
        <v>874</v>
      </c>
      <c r="R100" s="18" t="n">
        <v>180.29</v>
      </c>
      <c r="S100" s="18" t="n">
        <v>23.91</v>
      </c>
      <c r="T100" s="18" t="n">
        <v>-23.91</v>
      </c>
      <c r="U100" s="37" t="n">
        <v>1054.29</v>
      </c>
      <c r="X100" s="18" t="n">
        <v>3.19</v>
      </c>
      <c r="Y100" s="18" t="n">
        <v>6.75</v>
      </c>
      <c r="Z100" s="9" t="n"/>
      <c r="AA100" s="18" t="n">
        <v>121.28</v>
      </c>
      <c r="AB100" s="19" t="n">
        <v>51.64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이자수취(CF)</t>
        </is>
      </c>
      <c r="E101" s="18" t="n">
        <v>7088.08</v>
      </c>
      <c r="F101" s="9" t="n"/>
      <c r="G101" s="18" t="n">
        <v>8233.24</v>
      </c>
      <c r="H101" s="18" t="n">
        <v>20154.3</v>
      </c>
      <c r="I101" s="18" t="n">
        <v>8731.629999999999</v>
      </c>
      <c r="J101" s="18" t="n">
        <v>10813.24</v>
      </c>
      <c r="K101" s="37" t="n">
        <v>47932.41</v>
      </c>
      <c r="L101" s="18" t="n">
        <v>11840.48</v>
      </c>
      <c r="M101" s="18" t="n">
        <v>2092.89</v>
      </c>
      <c r="N101" s="18" t="n">
        <v>15650.8</v>
      </c>
      <c r="O101" s="18" t="n">
        <v>23849.44</v>
      </c>
      <c r="P101" s="37" t="n">
        <v>53433.61</v>
      </c>
      <c r="Q101" s="18" t="n">
        <v>17990.78</v>
      </c>
      <c r="R101" s="18" t="n">
        <v>16925.54</v>
      </c>
      <c r="S101" s="18" t="n">
        <v>14328.67</v>
      </c>
      <c r="T101" s="18" t="n">
        <v>9180.48</v>
      </c>
      <c r="U101" s="37" t="n">
        <v>58425.47</v>
      </c>
      <c r="V101" s="18" t="n">
        <v>7649.97</v>
      </c>
      <c r="W101" s="18" t="n">
        <v>8719.76</v>
      </c>
      <c r="X101" s="18" t="n">
        <v>4860.76</v>
      </c>
      <c r="Y101" s="18" t="n">
        <v>8226.370000000001</v>
      </c>
      <c r="Z101" s="37" t="n">
        <v>29456.86</v>
      </c>
      <c r="AA101" s="18" t="n">
        <v>22274.1</v>
      </c>
      <c r="AB101" s="19" t="n">
        <v>8554.870000000001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이자지급(CF)</t>
        </is>
      </c>
      <c r="E102" s="18" t="n">
        <v>-17785.61</v>
      </c>
      <c r="F102" s="9" t="n"/>
      <c r="G102" s="18" t="n">
        <v>-12600.45</v>
      </c>
      <c r="H102" s="18" t="n">
        <v>-17975.27</v>
      </c>
      <c r="I102" s="18" t="n">
        <v>-22239.45</v>
      </c>
      <c r="J102" s="18" t="n">
        <v>-24468.02</v>
      </c>
      <c r="K102" s="37" t="n">
        <v>-77283.19</v>
      </c>
      <c r="L102" s="18" t="n">
        <v>-38266.93</v>
      </c>
      <c r="M102" s="18" t="n">
        <v>-42682.63</v>
      </c>
      <c r="N102" s="18" t="n">
        <v>-28547.14</v>
      </c>
      <c r="O102" s="18" t="n">
        <v>-32046.25</v>
      </c>
      <c r="P102" s="37" t="n">
        <v>-141542.95</v>
      </c>
      <c r="Q102" s="18" t="n">
        <v>-28799.85</v>
      </c>
      <c r="R102" s="18" t="n">
        <v>-40860.06</v>
      </c>
      <c r="S102" s="18" t="n">
        <v>-43469.7</v>
      </c>
      <c r="T102" s="18" t="n">
        <v>-44717.18</v>
      </c>
      <c r="U102" s="37" t="n">
        <v>-157846.79</v>
      </c>
      <c r="V102" s="18" t="n">
        <v>-45826.16</v>
      </c>
      <c r="W102" s="18" t="n">
        <v>-48032.26</v>
      </c>
      <c r="X102" s="18" t="n">
        <v>-44122.04</v>
      </c>
      <c r="Y102" s="18" t="n">
        <v>-32882.26</v>
      </c>
      <c r="Z102" s="37" t="n">
        <v>-170862.72</v>
      </c>
      <c r="AA102" s="18" t="n">
        <v>-49982.21</v>
      </c>
      <c r="AB102" s="19" t="n">
        <v>-56717.4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법인세납부(CF)</t>
        </is>
      </c>
      <c r="E103" s="18" t="n">
        <v>-708.27</v>
      </c>
      <c r="F103" s="9" t="n"/>
      <c r="G103" s="18" t="n">
        <v>-909.66</v>
      </c>
      <c r="H103" s="18" t="n">
        <v>7831.54</v>
      </c>
      <c r="I103" s="18" t="n">
        <v>-1614.01</v>
      </c>
      <c r="J103" s="18" t="n">
        <v>2673.88</v>
      </c>
      <c r="K103" s="37" t="n">
        <v>7981.75</v>
      </c>
      <c r="L103" s="18" t="n">
        <v>-1151.16</v>
      </c>
      <c r="M103" s="18" t="n">
        <v>12275.54</v>
      </c>
      <c r="N103" s="18" t="n">
        <v>-1121.81</v>
      </c>
      <c r="O103" s="18" t="n">
        <v>-4803.11</v>
      </c>
      <c r="P103" s="37" t="n">
        <v>5199.46</v>
      </c>
      <c r="Q103" s="18" t="n">
        <v>-3507.54</v>
      </c>
      <c r="R103" s="18" t="n">
        <v>-2602.74</v>
      </c>
      <c r="S103" s="18" t="n">
        <v>6211.84</v>
      </c>
      <c r="T103" s="18" t="n">
        <v>-2582.08</v>
      </c>
      <c r="U103" s="37" t="n">
        <v>-2480.52</v>
      </c>
      <c r="V103" s="18" t="n">
        <v>-2878.11</v>
      </c>
      <c r="W103" s="18" t="n">
        <v>-4028.71</v>
      </c>
      <c r="X103" s="18" t="n">
        <v>11377.47</v>
      </c>
      <c r="Y103" s="18" t="n">
        <v>-12005.01</v>
      </c>
      <c r="Z103" s="37" t="n">
        <v>-7534.36</v>
      </c>
      <c r="AA103" s="18" t="n">
        <v>-1365.14</v>
      </c>
      <c r="AB103" s="19" t="n">
        <v>12043.24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투자활동으로인한현금흐름</t>
        </is>
      </c>
      <c r="E104" s="18" t="n">
        <v>44786.95</v>
      </c>
      <c r="F104" s="9" t="n"/>
      <c r="G104" s="18" t="n">
        <v>-13993.74</v>
      </c>
      <c r="H104" s="18" t="n">
        <v>222684.82</v>
      </c>
      <c r="I104" s="18" t="n">
        <v>-127443.01</v>
      </c>
      <c r="J104" s="18" t="n">
        <v>6726.06</v>
      </c>
      <c r="K104" s="37" t="n">
        <v>87974.13</v>
      </c>
      <c r="L104" s="18" t="n">
        <v>59136.81</v>
      </c>
      <c r="M104" s="18" t="n">
        <v>-34385.63</v>
      </c>
      <c r="N104" s="18" t="n">
        <v>289746.99</v>
      </c>
      <c r="O104" s="18" t="n">
        <v>-117791.82</v>
      </c>
      <c r="P104" s="37" t="n">
        <v>196706.35</v>
      </c>
      <c r="Q104" s="18" t="n">
        <v>-147211.19</v>
      </c>
      <c r="R104" s="18" t="n">
        <v>-101940.75</v>
      </c>
      <c r="S104" s="18" t="n">
        <v>-487427.7</v>
      </c>
      <c r="T104" s="18" t="n">
        <v>-373558.26</v>
      </c>
      <c r="U104" s="37" t="n">
        <v>-1110137.9</v>
      </c>
      <c r="V104" s="18" t="n">
        <v>-75810.35000000001</v>
      </c>
      <c r="W104" s="18" t="n">
        <v>-172152.81</v>
      </c>
      <c r="X104" s="18" t="n">
        <v>-336567.53</v>
      </c>
      <c r="Y104" s="18" t="n">
        <v>-864341.5600000001</v>
      </c>
      <c r="Z104" s="37" t="n">
        <v>-1448872.25</v>
      </c>
      <c r="AA104" s="18" t="n">
        <v>-303222.3</v>
      </c>
      <c r="AB104" s="19" t="n">
        <v>-271440.3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재무활동으로인한현금흐름</t>
        </is>
      </c>
      <c r="E105" s="18" t="n">
        <v>43708.47</v>
      </c>
      <c r="F105" s="9" t="n"/>
      <c r="G105" s="18" t="n">
        <v>134627.27</v>
      </c>
      <c r="H105" s="18" t="n">
        <v>-13498.7</v>
      </c>
      <c r="I105" s="18" t="n">
        <v>-133723.18</v>
      </c>
      <c r="J105" s="18" t="n">
        <v>-117185.87</v>
      </c>
      <c r="K105" s="37" t="n">
        <v>-129780.48</v>
      </c>
      <c r="L105" s="18" t="n">
        <v>325443.03</v>
      </c>
      <c r="M105" s="18" t="n">
        <v>1314513.81</v>
      </c>
      <c r="N105" s="18" t="n">
        <v>-154120.54</v>
      </c>
      <c r="O105" s="18" t="n">
        <v>1399356.47</v>
      </c>
      <c r="P105" s="37" t="n">
        <v>2885192.77</v>
      </c>
      <c r="Q105" s="18" t="n">
        <v>1160125.54</v>
      </c>
      <c r="R105" s="18" t="n">
        <v>779253.24</v>
      </c>
      <c r="S105" s="18" t="n">
        <v>672194.24</v>
      </c>
      <c r="T105" s="18" t="n">
        <v>191428.06</v>
      </c>
      <c r="U105" s="37" t="n">
        <v>2803001.08</v>
      </c>
      <c r="V105" s="18" t="n">
        <v>237800.98</v>
      </c>
      <c r="W105" s="18" t="n">
        <v>-377324.57</v>
      </c>
      <c r="X105" s="18" t="n">
        <v>61631.06</v>
      </c>
      <c r="Y105" s="18" t="n">
        <v>407710.37</v>
      </c>
      <c r="Z105" s="37" t="n">
        <v>329817.84</v>
      </c>
      <c r="AA105" s="18" t="n">
        <v>353480.5</v>
      </c>
      <c r="AB105" s="19" t="n">
        <v>-160614.05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단기차입금의증가</t>
        </is>
      </c>
      <c r="E106" s="18" t="n">
        <v>107250.23</v>
      </c>
      <c r="F106" s="9" t="n"/>
      <c r="G106" s="18" t="n">
        <v>201791.78</v>
      </c>
      <c r="H106" s="18" t="n">
        <v>53934.47</v>
      </c>
      <c r="K106" s="9" t="n"/>
      <c r="L106" s="18" t="n">
        <v>424426.52</v>
      </c>
      <c r="M106" s="18" t="n">
        <v>495573.48</v>
      </c>
      <c r="N106" s="18" t="n">
        <v>10</v>
      </c>
      <c r="O106" s="18" t="n">
        <v>40138.54</v>
      </c>
      <c r="P106" s="37" t="n">
        <v>960148.54</v>
      </c>
      <c r="Q106" s="18" t="n">
        <v>1207199.91</v>
      </c>
      <c r="R106" s="18" t="n">
        <v>802270.8100000001</v>
      </c>
      <c r="S106" s="18" t="n">
        <v>500018.42</v>
      </c>
      <c r="T106" s="18" t="n">
        <v>20986.31</v>
      </c>
      <c r="U106" s="37" t="n">
        <v>2530475.45</v>
      </c>
      <c r="V106" s="18" t="n">
        <v>146738.1</v>
      </c>
      <c r="W106" s="18" t="n">
        <v>9862.73</v>
      </c>
      <c r="X106" s="18" t="n">
        <v>425966.24</v>
      </c>
      <c r="Y106" s="18" t="n">
        <v>98005.37</v>
      </c>
      <c r="Z106" s="37" t="n">
        <v>680572.4399999999</v>
      </c>
      <c r="AA106" s="18" t="n">
        <v>272085.21</v>
      </c>
      <c r="AB106" s="19" t="n">
        <v>226289.15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유동성장기부채의감소</t>
        </is>
      </c>
      <c r="E107" s="18" t="n">
        <v>0</v>
      </c>
      <c r="F107" s="9" t="n"/>
      <c r="G107" s="18" t="n">
        <v>4.03</v>
      </c>
      <c r="H107" s="18" t="n">
        <v>0</v>
      </c>
      <c r="I107" s="18" t="n">
        <v>8348.75</v>
      </c>
      <c r="J107" s="18" t="n">
        <v>8348.74</v>
      </c>
      <c r="K107" s="37" t="n">
        <v>16701.52</v>
      </c>
      <c r="L107" s="18" t="n">
        <v>8418.639999999999</v>
      </c>
      <c r="M107" s="18" t="n">
        <v>8414.610000000001</v>
      </c>
      <c r="N107" s="18" t="n">
        <v>0</v>
      </c>
      <c r="O107" s="18" t="n">
        <v>19036.3</v>
      </c>
      <c r="P107" s="37" t="n">
        <v>35869.55</v>
      </c>
      <c r="Q107" s="18" t="n">
        <v>10643.51</v>
      </c>
      <c r="R107" s="18" t="n">
        <v>10639.48</v>
      </c>
      <c r="S107" s="18" t="n">
        <v>10639.48</v>
      </c>
      <c r="T107" s="18" t="n">
        <v>10639.48</v>
      </c>
      <c r="U107" s="37" t="n">
        <v>42561.95</v>
      </c>
      <c r="V107" s="18" t="n">
        <v>10788.93</v>
      </c>
      <c r="W107" s="18" t="n">
        <v>11004.89</v>
      </c>
      <c r="X107" s="18" t="n">
        <v>10564.9</v>
      </c>
      <c r="Z107" s="9" t="n"/>
      <c r="AA107" s="18" t="n">
        <v>10760.66</v>
      </c>
      <c r="AB107" s="19" t="n">
        <v>10756.64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리스부채의상환</t>
        </is>
      </c>
      <c r="E108" s="18" t="n">
        <v>4788.95</v>
      </c>
      <c r="F108" s="9" t="n"/>
      <c r="G108" s="18" t="n">
        <v>4815.98</v>
      </c>
      <c r="H108" s="18" t="n">
        <v>5794.73</v>
      </c>
      <c r="I108" s="18" t="n">
        <v>5954.99</v>
      </c>
      <c r="J108" s="18" t="n">
        <v>6019.43</v>
      </c>
      <c r="K108" s="37" t="n">
        <v>22585.13</v>
      </c>
      <c r="L108" s="18" t="n">
        <v>5415.34</v>
      </c>
      <c r="M108" s="18" t="n">
        <v>6394.35</v>
      </c>
      <c r="N108" s="18" t="n">
        <v>8610.940000000001</v>
      </c>
      <c r="O108" s="18" t="n">
        <v>8840.51</v>
      </c>
      <c r="P108" s="37" t="n">
        <v>29261.14</v>
      </c>
      <c r="Q108" s="18" t="n">
        <v>8851.950000000001</v>
      </c>
      <c r="R108" s="18" t="n">
        <v>9613.83</v>
      </c>
      <c r="S108" s="18" t="n">
        <v>10737.63</v>
      </c>
      <c r="T108" s="18" t="n">
        <v>10596.94</v>
      </c>
      <c r="U108" s="37" t="n">
        <v>39800.35</v>
      </c>
      <c r="V108" s="18" t="n">
        <v>9871.09</v>
      </c>
      <c r="W108" s="18" t="n">
        <v>10540.34</v>
      </c>
      <c r="X108" s="18" t="n">
        <v>9900.98</v>
      </c>
      <c r="Y108" s="18" t="n">
        <v>11764.92</v>
      </c>
      <c r="Z108" s="37" t="n">
        <v>42077.33</v>
      </c>
      <c r="AA108" s="18" t="n">
        <v>10527.75</v>
      </c>
      <c r="AB108" s="19" t="n">
        <v>11370.94</v>
      </c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현금및현금성자산의증감</t>
        </is>
      </c>
      <c r="E109" s="18" t="n">
        <v>116861.35</v>
      </c>
      <c r="F109" s="9" t="n"/>
      <c r="G109" s="18" t="n">
        <v>-605192.28</v>
      </c>
      <c r="H109" s="18" t="n">
        <v>-69852.37</v>
      </c>
      <c r="I109" s="18" t="n">
        <v>-439221.66</v>
      </c>
      <c r="J109" s="18" t="n">
        <v>7027.33</v>
      </c>
      <c r="K109" s="37" t="n">
        <v>-1107238.98</v>
      </c>
      <c r="L109" s="18" t="n">
        <v>-391766.88</v>
      </c>
      <c r="M109" s="18" t="n">
        <v>1298479.44</v>
      </c>
      <c r="N109" s="18" t="n">
        <v>-590422.9</v>
      </c>
      <c r="O109" s="18" t="n">
        <v>826454.14</v>
      </c>
      <c r="P109" s="37" t="n">
        <v>1142743.8</v>
      </c>
      <c r="Q109" s="18" t="n">
        <v>-151530.54</v>
      </c>
      <c r="R109" s="18" t="n">
        <v>174817.77</v>
      </c>
      <c r="S109" s="18" t="n">
        <v>-798162.4399999999</v>
      </c>
      <c r="T109" s="18" t="n">
        <v>-436836.08</v>
      </c>
      <c r="U109" s="37" t="n">
        <v>-1211711.29</v>
      </c>
      <c r="V109" s="18" t="n">
        <v>384403.83</v>
      </c>
      <c r="W109" s="18" t="n">
        <v>75995.91</v>
      </c>
      <c r="X109" s="18" t="n">
        <v>-615094.4</v>
      </c>
      <c r="Y109" s="18" t="n">
        <v>350311.83</v>
      </c>
      <c r="Z109" s="37" t="n">
        <v>195617.17</v>
      </c>
      <c r="AA109" s="18" t="n">
        <v>272254.48</v>
      </c>
      <c r="AB109" s="19" t="n">
        <v>386159.94</v>
      </c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  <row r="110">
      <c r="A110" t="n">
        <v>1</v>
      </c>
      <c r="C110" t="inlineStr">
        <is>
          <t>기말현금및현금성자산</t>
        </is>
      </c>
      <c r="E110" s="18" t="n">
        <v>116393.84</v>
      </c>
      <c r="F110" s="9" t="n"/>
      <c r="G110" s="18" t="n">
        <v>1174446.61</v>
      </c>
      <c r="H110" s="18" t="n">
        <v>-68383.92999999999</v>
      </c>
      <c r="I110" s="18" t="n">
        <v>-421876.96</v>
      </c>
      <c r="J110" s="18" t="n">
        <v>-24464.37</v>
      </c>
      <c r="K110" s="37" t="n">
        <v>659721.35</v>
      </c>
      <c r="L110" s="18" t="n">
        <v>270117.31</v>
      </c>
      <c r="M110" s="18" t="n">
        <v>1294373.07</v>
      </c>
      <c r="N110" s="18" t="n">
        <v>-585872.04</v>
      </c>
      <c r="O110" s="18" t="n">
        <v>820689.41</v>
      </c>
      <c r="P110" s="37" t="n">
        <v>1799307.75</v>
      </c>
      <c r="Q110" s="18" t="n">
        <v>1648803.91</v>
      </c>
      <c r="R110" s="18" t="n">
        <v>175952.84</v>
      </c>
      <c r="S110" s="18" t="n">
        <v>-808143.4</v>
      </c>
      <c r="T110" s="18" t="n">
        <v>-428353.61</v>
      </c>
      <c r="U110" s="37" t="n">
        <v>588259.74</v>
      </c>
      <c r="V110" s="18" t="n">
        <v>973241.3100000001</v>
      </c>
      <c r="W110" s="18" t="n">
        <v>64407.2</v>
      </c>
      <c r="X110" s="18" t="n">
        <v>-608147.95</v>
      </c>
      <c r="Y110" s="18" t="n">
        <v>348970.6</v>
      </c>
      <c r="Z110" s="37" t="n">
        <v>778471.16</v>
      </c>
      <c r="AA110" s="18" t="n">
        <v>1058396.68</v>
      </c>
      <c r="AB110" s="19" t="n">
        <v>387807.72</v>
      </c>
      <c r="AC110" s="10" t="n"/>
      <c r="AD110" s="10" t="n"/>
      <c r="AE110" s="11" t="n"/>
      <c r="AF110" s="10" t="n"/>
      <c r="AG110" s="10" t="n"/>
      <c r="AH110" s="10" t="n"/>
      <c r="AI110" s="10" t="n"/>
      <c r="AJ110" s="11" t="n"/>
      <c r="AK110" s="10" t="n"/>
      <c r="AL110" s="10" t="n"/>
      <c r="AM110" s="10" t="n"/>
      <c r="AN110" s="10" t="n"/>
      <c r="AO110" s="11" t="n"/>
    </row>
    <row r="111">
      <c r="A111" t="n">
        <v>1</v>
      </c>
      <c r="C111" t="inlineStr">
        <is>
          <t>유형자산의감소</t>
        </is>
      </c>
      <c r="F111" s="9" t="n"/>
      <c r="G111" s="18" t="n">
        <v>456.88</v>
      </c>
      <c r="K111" s="9" t="n"/>
      <c r="L111" s="18" t="n">
        <v>77.48999999999999</v>
      </c>
      <c r="P111" s="9" t="n"/>
      <c r="Q111" s="18" t="n">
        <v>380.26</v>
      </c>
      <c r="R111" s="18" t="n">
        <v>375.79</v>
      </c>
      <c r="S111" s="18" t="n">
        <v>97.14</v>
      </c>
      <c r="T111" s="18" t="n">
        <v>517.42</v>
      </c>
      <c r="U111" s="37" t="n">
        <v>1370.61</v>
      </c>
      <c r="V111" s="18" t="n">
        <v>462.54</v>
      </c>
      <c r="W111" s="18" t="n">
        <v>1314.87</v>
      </c>
      <c r="X111" s="18" t="n">
        <v>685.1</v>
      </c>
      <c r="Y111" s="18" t="n">
        <v>1021.33</v>
      </c>
      <c r="Z111" s="37" t="n">
        <v>3483.84</v>
      </c>
      <c r="AA111" s="18" t="n">
        <v>198.45</v>
      </c>
      <c r="AB111" s="19" t="n">
        <v>638.91</v>
      </c>
      <c r="AC111" s="10" t="n"/>
      <c r="AD111" s="10" t="n"/>
      <c r="AE111" s="11" t="n"/>
      <c r="AF111" s="10" t="n"/>
      <c r="AG111" s="10" t="n"/>
      <c r="AH111" s="10" t="n"/>
      <c r="AI111" s="10" t="n"/>
      <c r="AJ111" s="11" t="n"/>
      <c r="AK111" s="10" t="n"/>
      <c r="AL111" s="10" t="n"/>
      <c r="AM111" s="10" t="n"/>
      <c r="AN111" s="10" t="n"/>
      <c r="AO111" s="11" t="n"/>
    </row>
    <row r="112">
      <c r="A112" t="n">
        <v>1</v>
      </c>
      <c r="C112" t="inlineStr">
        <is>
          <t>단기차입금의감소</t>
        </is>
      </c>
      <c r="F112" s="9" t="n"/>
      <c r="K112" s="9" t="n"/>
      <c r="L112" s="18" t="n">
        <v>23203.62</v>
      </c>
      <c r="M112" s="18" t="n">
        <v>1163614.22</v>
      </c>
      <c r="N112" s="18" t="n">
        <v>139687.01</v>
      </c>
      <c r="O112" s="18" t="n">
        <v>87565.17999999999</v>
      </c>
      <c r="P112" s="37" t="n">
        <v>1414070.03</v>
      </c>
      <c r="Q112" s="18" t="n">
        <v>22145.89</v>
      </c>
      <c r="S112" s="18" t="n">
        <v>7010.35</v>
      </c>
      <c r="U112" s="9" t="n"/>
      <c r="V112" s="18" t="n">
        <v>150000</v>
      </c>
      <c r="W112" s="18" t="n">
        <v>500000</v>
      </c>
      <c r="X112" s="18" t="n">
        <v>520000</v>
      </c>
      <c r="Y112" s="18" t="n">
        <v>100000</v>
      </c>
      <c r="Z112" s="37" t="n">
        <v>1270000</v>
      </c>
      <c r="AA112" s="18" t="n">
        <v>250000</v>
      </c>
      <c r="AB112" s="19" t="n">
        <v>310000</v>
      </c>
      <c r="AC112" s="10" t="n"/>
      <c r="AD112" s="10" t="n"/>
      <c r="AE112" s="11" t="n"/>
      <c r="AF112" s="10" t="n"/>
      <c r="AG112" s="10" t="n"/>
      <c r="AH112" s="10" t="n"/>
      <c r="AI112" s="10" t="n"/>
      <c r="AJ112" s="11" t="n"/>
      <c r="AK112" s="10" t="n"/>
      <c r="AL112" s="10" t="n"/>
      <c r="AM112" s="10" t="n"/>
      <c r="AN112" s="10" t="n"/>
      <c r="AO112" s="11" t="n"/>
    </row>
    <row r="113">
      <c r="A113" t="n">
        <v>1</v>
      </c>
      <c r="C113" t="inlineStr">
        <is>
          <t>유형자산의증가</t>
        </is>
      </c>
      <c r="F113" s="9" t="n"/>
      <c r="K113" s="9" t="n"/>
      <c r="P113" s="9" t="n"/>
      <c r="Q113" s="18" t="n">
        <v>135373.66</v>
      </c>
      <c r="R113" s="18" t="n">
        <v>51546.11</v>
      </c>
      <c r="S113" s="18" t="n">
        <v>64147.03</v>
      </c>
      <c r="T113" s="18" t="n">
        <v>122573.42</v>
      </c>
      <c r="U113" s="37" t="n">
        <v>373640.22</v>
      </c>
      <c r="V113" s="18" t="n">
        <v>92830.66</v>
      </c>
      <c r="W113" s="18" t="n">
        <v>65595.34</v>
      </c>
      <c r="X113" s="18" t="n">
        <v>233233.46</v>
      </c>
      <c r="Y113" s="18" t="n">
        <v>317960.24</v>
      </c>
      <c r="Z113" s="37" t="n">
        <v>709619.7</v>
      </c>
      <c r="AA113" s="18" t="n">
        <v>106566.99</v>
      </c>
      <c r="AB113" s="19" t="n">
        <v>197933.37</v>
      </c>
      <c r="AC113" s="10" t="n"/>
      <c r="AD113" s="10" t="n"/>
      <c r="AE113" s="11" t="n"/>
      <c r="AF113" s="10" t="n"/>
      <c r="AG113" s="10" t="n"/>
      <c r="AH113" s="10" t="n"/>
      <c r="AI113" s="10" t="n"/>
      <c r="AJ113" s="11" t="n"/>
      <c r="AK113" s="10" t="n"/>
      <c r="AL113" s="10" t="n"/>
      <c r="AM113" s="10" t="n"/>
      <c r="AN113" s="10" t="n"/>
      <c r="AO113" s="11" t="n"/>
    </row>
    <row r="114">
      <c r="A114" t="n">
        <v>1</v>
      </c>
      <c r="C114" t="inlineStr">
        <is>
          <t>CAPEX</t>
        </is>
      </c>
      <c r="F114" s="9" t="n"/>
      <c r="K114" s="9" t="n"/>
      <c r="P114" s="9" t="n"/>
      <c r="Q114" s="18" t="n">
        <v>136070.21</v>
      </c>
      <c r="R114" s="18" t="n">
        <v>52537.99</v>
      </c>
      <c r="S114" s="18" t="n">
        <v>66193.41</v>
      </c>
      <c r="T114" s="18" t="n">
        <v>124582.48</v>
      </c>
      <c r="U114" s="37" t="n">
        <v>379384.09</v>
      </c>
      <c r="V114" s="18" t="n">
        <v>95435.87</v>
      </c>
      <c r="W114" s="18" t="n">
        <v>66589.32000000001</v>
      </c>
      <c r="X114" s="18" t="n">
        <v>235140.73</v>
      </c>
      <c r="Y114" s="18" t="n">
        <v>319456.33</v>
      </c>
      <c r="Z114" s="37" t="n">
        <v>716622.25</v>
      </c>
      <c r="AA114" s="18" t="n">
        <v>107432.08</v>
      </c>
      <c r="AB114" s="19" t="n">
        <v>198433.94</v>
      </c>
      <c r="AC114" s="10" t="n"/>
      <c r="AD114" s="10" t="n"/>
      <c r="AE114" s="11" t="n"/>
      <c r="AF114" s="10" t="n"/>
      <c r="AG114" s="10" t="n"/>
      <c r="AH114" s="10" t="n"/>
      <c r="AI114" s="10" t="n"/>
      <c r="AJ114" s="11" t="n"/>
      <c r="AK114" s="10" t="n"/>
      <c r="AL114" s="10" t="n"/>
      <c r="AM114" s="10" t="n"/>
      <c r="AN114" s="10" t="n"/>
      <c r="AO114" s="11" t="n"/>
    </row>
    <row r="115">
      <c r="A115" t="n">
        <v>1</v>
      </c>
      <c r="C115" t="inlineStr">
        <is>
          <t>무형자산의증가</t>
        </is>
      </c>
      <c r="F115" s="9" t="n"/>
      <c r="K115" s="9" t="n"/>
      <c r="P115" s="9" t="n"/>
      <c r="Q115" s="18" t="n">
        <v>696.55</v>
      </c>
      <c r="R115" s="18" t="n">
        <v>991.88</v>
      </c>
      <c r="S115" s="18" t="n">
        <v>2046.38</v>
      </c>
      <c r="T115" s="18" t="n">
        <v>2009.06</v>
      </c>
      <c r="U115" s="37" t="n">
        <v>5743.87</v>
      </c>
      <c r="V115" s="18" t="n">
        <v>2605.21</v>
      </c>
      <c r="W115" s="18" t="n">
        <v>993.98</v>
      </c>
      <c r="X115" s="18" t="n">
        <v>1907.27</v>
      </c>
      <c r="Y115" s="18" t="n">
        <v>1496.09</v>
      </c>
      <c r="Z115" s="37" t="n">
        <v>7002.55</v>
      </c>
      <c r="AA115" s="18" t="n">
        <v>865.09</v>
      </c>
      <c r="AB115" s="19" t="n">
        <v>500.57</v>
      </c>
      <c r="AC115" s="10" t="n"/>
      <c r="AD115" s="10" t="n"/>
      <c r="AE115" s="11" t="n"/>
      <c r="AF115" s="10" t="n"/>
      <c r="AG115" s="10" t="n"/>
      <c r="AH115" s="10" t="n"/>
      <c r="AI115" s="10" t="n"/>
      <c r="AJ115" s="11" t="n"/>
      <c r="AK115" s="10" t="n"/>
      <c r="AL115" s="10" t="n"/>
      <c r="AM115" s="10" t="n"/>
      <c r="AN115" s="10" t="n"/>
      <c r="AO115" s="11" t="n"/>
    </row>
    <row r="116">
      <c r="A116" t="n">
        <v>1</v>
      </c>
      <c r="C116" t="inlineStr">
        <is>
          <t>무형자산의감소</t>
        </is>
      </c>
      <c r="F116" s="9" t="n"/>
      <c r="K116" s="9" t="n"/>
      <c r="P116" s="9" t="n"/>
      <c r="S116" s="18" t="n">
        <v>30.8</v>
      </c>
      <c r="T116" s="18" t="n">
        <v>654.55</v>
      </c>
      <c r="U116" s="9" t="n"/>
      <c r="V116" s="18" t="n">
        <v>13.09</v>
      </c>
      <c r="W116" s="18" t="n">
        <v>0</v>
      </c>
      <c r="X116" s="18" t="n">
        <v>0</v>
      </c>
      <c r="Y116" s="18" t="n">
        <v>19810.38</v>
      </c>
      <c r="Z116" s="37" t="n">
        <v>19823.47</v>
      </c>
      <c r="AB116" s="5" t="n"/>
      <c r="AC116" s="10" t="n"/>
      <c r="AD116" s="10" t="n"/>
      <c r="AE116" s="11" t="n"/>
      <c r="AF116" s="10" t="n"/>
      <c r="AG116" s="10" t="n"/>
      <c r="AH116" s="10" t="n"/>
      <c r="AI116" s="10" t="n"/>
      <c r="AJ116" s="11" t="n"/>
      <c r="AK116" s="10" t="n"/>
      <c r="AL116" s="10" t="n"/>
      <c r="AM116" s="10" t="n"/>
      <c r="AN116" s="10" t="n"/>
      <c r="AO116" s="11" t="n"/>
    </row>
    <row r="117">
      <c r="A117" t="n">
        <v>1</v>
      </c>
      <c r="C117" t="inlineStr">
        <is>
          <t>장기차입금의증가</t>
        </is>
      </c>
      <c r="F117" s="9" t="n"/>
      <c r="K117" s="9" t="n"/>
      <c r="P117" s="9" t="n"/>
      <c r="T117" s="18" t="n">
        <v>68020</v>
      </c>
      <c r="U117" s="9" t="n"/>
      <c r="Y117" s="18" t="n">
        <v>435953.69</v>
      </c>
      <c r="Z117" s="9" t="n"/>
      <c r="AA117" s="18" t="n">
        <v>500</v>
      </c>
      <c r="AB117" s="19" t="n">
        <v>20869.55</v>
      </c>
      <c r="AC117" s="10" t="n"/>
      <c r="AD117" s="10" t="n"/>
      <c r="AE117" s="11" t="n"/>
      <c r="AF117" s="10" t="n"/>
      <c r="AG117" s="10" t="n"/>
      <c r="AH117" s="10" t="n"/>
      <c r="AI117" s="10" t="n"/>
      <c r="AJ117" s="11" t="n"/>
      <c r="AK117" s="10" t="n"/>
      <c r="AL117" s="10" t="n"/>
      <c r="AM117" s="10" t="n"/>
      <c r="AN117" s="10" t="n"/>
      <c r="AO117" s="11" t="n"/>
    </row>
    <row r="118">
      <c r="A118" t="n">
        <v>1</v>
      </c>
      <c r="C118" t="inlineStr">
        <is>
          <t>사채의증가</t>
        </is>
      </c>
      <c r="F118" s="9" t="n"/>
      <c r="K118" s="9" t="n"/>
      <c r="P118" s="9" t="n"/>
      <c r="U118" s="9" t="n"/>
      <c r="V118" s="18" t="n">
        <v>161343.38</v>
      </c>
      <c r="W118" s="18" t="n">
        <v>0</v>
      </c>
      <c r="X118" s="18" t="n">
        <v>119552.54</v>
      </c>
      <c r="Y118" s="18" t="n">
        <v>0</v>
      </c>
      <c r="Z118" s="37" t="n">
        <v>280895.92</v>
      </c>
      <c r="AA118" s="18" t="n">
        <v>338241.83</v>
      </c>
      <c r="AB118" s="5" t="n"/>
      <c r="AC118" s="10" t="n"/>
      <c r="AD118" s="10" t="n"/>
      <c r="AE118" s="11" t="n"/>
      <c r="AF118" s="10" t="n"/>
      <c r="AG118" s="10" t="n"/>
      <c r="AH118" s="10" t="n"/>
      <c r="AI118" s="10" t="n"/>
      <c r="AJ118" s="11" t="n"/>
      <c r="AK118" s="10" t="n"/>
      <c r="AL118" s="10" t="n"/>
      <c r="AM118" s="10" t="n"/>
      <c r="AN118" s="10" t="n"/>
      <c r="AO118" s="11" t="n"/>
    </row>
    <row r="119">
      <c r="A119" t="n">
        <v>1</v>
      </c>
      <c r="C119" t="inlineStr">
        <is>
          <t>자기주식의취득</t>
        </is>
      </c>
      <c r="F119" s="9" t="n"/>
      <c r="K119" s="9" t="n"/>
      <c r="P119" s="9" t="n"/>
      <c r="U119" s="9" t="n"/>
      <c r="Z119" s="9" t="n"/>
      <c r="AA119" s="18" t="n">
        <v>4908.63</v>
      </c>
      <c r="AB119" s="19" t="n">
        <v>203.86</v>
      </c>
      <c r="AC119" s="10" t="n"/>
      <c r="AD119" s="10" t="n"/>
      <c r="AE119" s="11" t="n"/>
      <c r="AF119" s="10" t="n"/>
      <c r="AG119" s="10" t="n"/>
      <c r="AH119" s="10" t="n"/>
      <c r="AI119" s="10" t="n"/>
      <c r="AJ119" s="11" t="n"/>
      <c r="AK119" s="10" t="n"/>
      <c r="AL119" s="10" t="n"/>
      <c r="AM119" s="10" t="n"/>
      <c r="AN119" s="10" t="n"/>
      <c r="AO119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한화오션(별)</t>
        </is>
      </c>
      <c r="C3" s="2" t="inlineStr">
        <is>
          <t>UPDATE: 26-10-12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6419034.52</v>
      </c>
      <c r="F5" s="37" t="n">
        <v>6419034.52</v>
      </c>
      <c r="G5" s="18" t="n">
        <v>6471133.06</v>
      </c>
      <c r="H5" s="18" t="n">
        <v>7533299.22</v>
      </c>
      <c r="I5" s="18" t="n">
        <v>7530412.75</v>
      </c>
      <c r="J5" s="18" t="n">
        <v>7738158.43</v>
      </c>
      <c r="K5" s="37" t="n">
        <v>7738158.43</v>
      </c>
      <c r="L5" s="18" t="n">
        <v>7747259.51</v>
      </c>
      <c r="M5" s="18" t="n">
        <v>9179285.16</v>
      </c>
      <c r="N5" s="18" t="n">
        <v>8572249.710000001</v>
      </c>
      <c r="O5" s="18" t="n">
        <v>9096135.77</v>
      </c>
      <c r="P5" s="37" t="n">
        <v>9096135.77</v>
      </c>
      <c r="Q5" s="18" t="n">
        <v>9801677.720000001</v>
      </c>
      <c r="R5" s="18" t="n">
        <v>11012666.64</v>
      </c>
      <c r="S5" s="18" t="n">
        <v>10776727.87</v>
      </c>
      <c r="T5" s="18" t="n">
        <v>11238633.76</v>
      </c>
      <c r="U5" s="37" t="n">
        <v>11238633.76</v>
      </c>
      <c r="V5" s="18" t="n">
        <v>11610033.73</v>
      </c>
      <c r="W5" s="18" t="n">
        <v>11198945.47</v>
      </c>
      <c r="X5" s="18" t="n">
        <v>11068721.17</v>
      </c>
      <c r="Y5" s="18" t="n">
        <v>11799385.76</v>
      </c>
      <c r="Z5" s="37" t="n">
        <v>11799385.76</v>
      </c>
      <c r="AA5" s="18" t="n">
        <v>11997574.76</v>
      </c>
      <c r="AB5" s="19" t="n">
        <v>11119990.3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1748494.83</v>
      </c>
      <c r="F6" s="37" t="n">
        <v>1748494.83</v>
      </c>
      <c r="G6" s="18" t="n">
        <v>1151228.91</v>
      </c>
      <c r="H6" s="18" t="n">
        <v>1087001.67</v>
      </c>
      <c r="I6" s="18" t="n">
        <v>657427.6800000001</v>
      </c>
      <c r="J6" s="18" t="n">
        <v>633463.9300000001</v>
      </c>
      <c r="K6" s="37" t="n">
        <v>633463.9300000001</v>
      </c>
      <c r="L6" s="18" t="n">
        <v>237007.28</v>
      </c>
      <c r="M6" s="18" t="n">
        <v>1534482.3</v>
      </c>
      <c r="N6" s="18" t="n">
        <v>954975.09</v>
      </c>
      <c r="O6" s="18" t="n">
        <v>1770496.99</v>
      </c>
      <c r="P6" s="37" t="n">
        <v>1770496.99</v>
      </c>
      <c r="Q6" s="18" t="n">
        <v>1588821.74</v>
      </c>
      <c r="R6" s="18" t="n">
        <v>1725153.76</v>
      </c>
      <c r="S6" s="18" t="n">
        <v>887993.05</v>
      </c>
      <c r="T6" s="18" t="n">
        <v>414334.46</v>
      </c>
      <c r="U6" s="37" t="n">
        <v>414334.46</v>
      </c>
      <c r="V6" s="18" t="n">
        <v>762712.6</v>
      </c>
      <c r="W6" s="18" t="n">
        <v>818753.66</v>
      </c>
      <c r="X6" s="18" t="n">
        <v>219142.42</v>
      </c>
      <c r="Y6" s="18" t="n">
        <v>602024.39</v>
      </c>
      <c r="Z6" s="37" t="n">
        <v>602024.39</v>
      </c>
      <c r="AA6" s="18" t="n">
        <v>884912.28</v>
      </c>
      <c r="AB6" s="19" t="n">
        <v>1231282.71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291503.12</v>
      </c>
      <c r="F7" s="37" t="n">
        <v>291503.12</v>
      </c>
      <c r="G7" s="18" t="n">
        <v>247348.39</v>
      </c>
      <c r="H7" s="18" t="n">
        <v>152490.45</v>
      </c>
      <c r="I7" s="18" t="n">
        <v>451006.79</v>
      </c>
      <c r="J7" s="18" t="n">
        <v>479194.05</v>
      </c>
      <c r="K7" s="37" t="n">
        <v>479194.05</v>
      </c>
      <c r="P7" s="9" t="n"/>
      <c r="U7" s="9" t="n"/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291503.12</v>
      </c>
      <c r="F8" s="37" t="n">
        <v>291503.12</v>
      </c>
      <c r="G8" s="18" t="n">
        <v>247348.39</v>
      </c>
      <c r="H8" s="18" t="n">
        <v>152506.6</v>
      </c>
      <c r="I8" s="18" t="n">
        <v>451022.94</v>
      </c>
      <c r="J8" s="18" t="n">
        <v>479210.2</v>
      </c>
      <c r="K8" s="37" t="n">
        <v>479210.2</v>
      </c>
      <c r="P8" s="9" t="n"/>
      <c r="U8" s="9" t="n"/>
      <c r="Z8" s="9" t="n"/>
      <c r="AA8" s="18" t="n">
        <v>11835.59</v>
      </c>
      <c r="AB8" s="19" t="n">
        <v>14682.83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345269.04</v>
      </c>
      <c r="F9" s="37" t="n">
        <v>345269.04</v>
      </c>
      <c r="G9" s="18" t="n">
        <v>445066.21</v>
      </c>
      <c r="H9" s="18" t="n">
        <v>402475.13</v>
      </c>
      <c r="I9" s="18" t="n">
        <v>204727.96</v>
      </c>
      <c r="J9" s="18" t="n">
        <v>403485.85</v>
      </c>
      <c r="K9" s="37" t="n">
        <v>403485.85</v>
      </c>
      <c r="L9" s="18" t="n">
        <v>235303.52</v>
      </c>
      <c r="M9" s="18" t="n">
        <v>191266.95</v>
      </c>
      <c r="N9" s="18" t="n">
        <v>254729.22</v>
      </c>
      <c r="O9" s="18" t="n">
        <v>334564.92</v>
      </c>
      <c r="P9" s="37" t="n">
        <v>334564.92</v>
      </c>
      <c r="Q9" s="18" t="n">
        <v>160761.3</v>
      </c>
      <c r="R9" s="18" t="n">
        <v>433357.79</v>
      </c>
      <c r="S9" s="18" t="n">
        <v>700923.3</v>
      </c>
      <c r="T9" s="18" t="n">
        <v>897795.51</v>
      </c>
      <c r="U9" s="37" t="n">
        <v>897795.51</v>
      </c>
      <c r="V9" s="18" t="n">
        <v>1095379.73</v>
      </c>
      <c r="W9" s="18" t="n">
        <v>741005.15</v>
      </c>
      <c r="X9" s="18" t="n">
        <v>832147.03</v>
      </c>
      <c r="Y9" s="18" t="n">
        <v>977825.54</v>
      </c>
      <c r="Z9" s="37" t="n">
        <v>977825.54</v>
      </c>
      <c r="AA9" s="18" t="n">
        <v>859187.67</v>
      </c>
      <c r="AB9" s="19" t="n">
        <v>749539.27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계약자산</t>
        </is>
      </c>
      <c r="E10" s="18" t="n">
        <v>1919963.04</v>
      </c>
      <c r="F10" s="37" t="n">
        <v>1919963.04</v>
      </c>
      <c r="G10" s="18" t="n">
        <v>2269458.8</v>
      </c>
      <c r="H10" s="18" t="n">
        <v>2745622.04</v>
      </c>
      <c r="I10" s="18" t="n">
        <v>2658816.67</v>
      </c>
      <c r="J10" s="18" t="n">
        <v>2515400.12</v>
      </c>
      <c r="K10" s="37" t="n">
        <v>2515400.12</v>
      </c>
      <c r="L10" s="18" t="n">
        <v>2748256.94</v>
      </c>
      <c r="M10" s="18" t="n">
        <v>2536190.15</v>
      </c>
      <c r="N10" s="18" t="n">
        <v>2558208.48</v>
      </c>
      <c r="O10" s="18" t="n">
        <v>2481791.38</v>
      </c>
      <c r="P10" s="37" t="n">
        <v>2481791.38</v>
      </c>
      <c r="Q10" s="18" t="n">
        <v>3396193.26</v>
      </c>
      <c r="R10" s="18" t="n">
        <v>4107241.28</v>
      </c>
      <c r="S10" s="18" t="n">
        <v>4358647.01</v>
      </c>
      <c r="T10" s="18" t="n">
        <v>4933931.19</v>
      </c>
      <c r="U10" s="37" t="n">
        <v>4933931.19</v>
      </c>
      <c r="V10" s="18" t="n">
        <v>5010517.68</v>
      </c>
      <c r="W10" s="18" t="n">
        <v>5413984.04</v>
      </c>
      <c r="X10" s="18" t="n">
        <v>5437949.45</v>
      </c>
      <c r="Y10" s="18" t="n">
        <v>5488624.93</v>
      </c>
      <c r="Z10" s="37" t="n">
        <v>5488624.93</v>
      </c>
      <c r="AA10" s="18" t="n">
        <v>5423702.36</v>
      </c>
      <c r="AB10" s="19" t="n">
        <v>5838294.07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1128875.91</v>
      </c>
      <c r="F11" s="37" t="n">
        <v>1128875.91</v>
      </c>
      <c r="G11" s="18" t="n">
        <v>1112559.91</v>
      </c>
      <c r="H11" s="18" t="n">
        <v>1699608</v>
      </c>
      <c r="I11" s="18" t="n">
        <v>1971772.1</v>
      </c>
      <c r="J11" s="18" t="n">
        <v>2190744.42</v>
      </c>
      <c r="K11" s="37" t="n">
        <v>2190744.42</v>
      </c>
      <c r="L11" s="18" t="n">
        <v>2496505.99</v>
      </c>
      <c r="M11" s="18" t="n">
        <v>2767691.8</v>
      </c>
      <c r="N11" s="18" t="n">
        <v>3007566.67</v>
      </c>
      <c r="O11" s="18" t="n">
        <v>2852678.38</v>
      </c>
      <c r="P11" s="37" t="n">
        <v>2852678.38</v>
      </c>
      <c r="Q11" s="18" t="n">
        <v>2957415.93</v>
      </c>
      <c r="R11" s="18" t="n">
        <v>3128696.13</v>
      </c>
      <c r="S11" s="18" t="n">
        <v>3149764.66</v>
      </c>
      <c r="T11" s="18" t="n">
        <v>3045973.24</v>
      </c>
      <c r="U11" s="37" t="n">
        <v>3045973.24</v>
      </c>
      <c r="V11" s="18" t="n">
        <v>2968494.78</v>
      </c>
      <c r="W11" s="18" t="n">
        <v>2599463.7</v>
      </c>
      <c r="X11" s="18" t="n">
        <v>2753035.78</v>
      </c>
      <c r="Y11" s="18" t="n">
        <v>3021715.66</v>
      </c>
      <c r="Z11" s="37" t="n">
        <v>3021715.66</v>
      </c>
      <c r="AA11" s="18" t="n">
        <v>3093619.93</v>
      </c>
      <c r="AB11" s="19" t="n">
        <v>1592826.97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787642.55</v>
      </c>
      <c r="F12" s="37" t="n">
        <v>787642.55</v>
      </c>
      <c r="G12" s="18" t="n">
        <v>1011710.57</v>
      </c>
      <c r="H12" s="18" t="n">
        <v>1128772.47</v>
      </c>
      <c r="I12" s="18" t="n">
        <v>1280124.53</v>
      </c>
      <c r="J12" s="18" t="n">
        <v>1307209.93</v>
      </c>
      <c r="K12" s="37" t="n">
        <v>1307209.93</v>
      </c>
      <c r="L12" s="18" t="n">
        <v>1372088.22</v>
      </c>
      <c r="M12" s="18" t="n">
        <v>1440032.13</v>
      </c>
      <c r="N12" s="18" t="n">
        <v>1353992.35</v>
      </c>
      <c r="O12" s="18" t="n">
        <v>1311734.39</v>
      </c>
      <c r="P12" s="37" t="n">
        <v>1311734.39</v>
      </c>
      <c r="Q12" s="18" t="n">
        <v>1327728.66</v>
      </c>
      <c r="R12" s="18" t="n">
        <v>1367952.71</v>
      </c>
      <c r="S12" s="18" t="n">
        <v>1474452.94</v>
      </c>
      <c r="T12" s="18" t="n">
        <v>1582054.33</v>
      </c>
      <c r="U12" s="37" t="n">
        <v>1582054.33</v>
      </c>
      <c r="V12" s="18" t="n">
        <v>1521410.45</v>
      </c>
      <c r="W12" s="18" t="n">
        <v>1535558.95</v>
      </c>
      <c r="X12" s="18" t="n">
        <v>1768944.7</v>
      </c>
      <c r="Y12" s="18" t="n">
        <v>1644907.5</v>
      </c>
      <c r="Z12" s="37" t="n">
        <v>1644907.5</v>
      </c>
      <c r="AA12" s="18" t="n">
        <v>1664678.65</v>
      </c>
      <c r="AB12" s="19" t="n">
        <v>1630873.46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매각예정비유동자산및처분자산</t>
        </is>
      </c>
      <c r="E13" s="18" t="n">
        <v>161964.11</v>
      </c>
      <c r="F13" s="37" t="n">
        <v>161964.11</v>
      </c>
      <c r="G13" s="18" t="n">
        <v>161964.11</v>
      </c>
      <c r="H13" s="18" t="n">
        <v>161964.11</v>
      </c>
      <c r="I13" s="18" t="n">
        <v>282.96</v>
      </c>
      <c r="J13" s="18" t="n">
        <v>282.96</v>
      </c>
      <c r="K13" s="37" t="n">
        <v>282.96</v>
      </c>
      <c r="P13" s="9" t="n"/>
      <c r="U13" s="9" t="n"/>
      <c r="Z13" s="9" t="n"/>
      <c r="AB13" s="5" t="n"/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4021762.46</v>
      </c>
      <c r="F14" s="37" t="n">
        <v>4021762.46</v>
      </c>
      <c r="G14" s="18" t="n">
        <v>4107310</v>
      </c>
      <c r="H14" s="18" t="n">
        <v>4297169.34</v>
      </c>
      <c r="I14" s="18" t="n">
        <v>4757264.59</v>
      </c>
      <c r="J14" s="18" t="n">
        <v>4308671.96</v>
      </c>
      <c r="K14" s="37" t="n">
        <v>4308671.96</v>
      </c>
      <c r="L14" s="18" t="n">
        <v>4364667.38</v>
      </c>
      <c r="M14" s="18" t="n">
        <v>4248653.8</v>
      </c>
      <c r="N14" s="18" t="n">
        <v>4260477.01</v>
      </c>
      <c r="O14" s="18" t="n">
        <v>4407021.37</v>
      </c>
      <c r="P14" s="37" t="n">
        <v>4407021.37</v>
      </c>
      <c r="Q14" s="18" t="n">
        <v>4632772.3</v>
      </c>
      <c r="R14" s="18" t="n">
        <v>4834004.86</v>
      </c>
      <c r="S14" s="18" t="n">
        <v>5282975.65</v>
      </c>
      <c r="T14" s="18" t="n">
        <v>6168576.18</v>
      </c>
      <c r="U14" s="37" t="n">
        <v>6168576.18</v>
      </c>
      <c r="V14" s="18" t="n">
        <v>6145994.98</v>
      </c>
      <c r="W14" s="18" t="n">
        <v>6683540.7</v>
      </c>
      <c r="X14" s="18" t="n">
        <v>7028521.83</v>
      </c>
      <c r="Y14" s="18" t="n">
        <v>7925260.27</v>
      </c>
      <c r="Z14" s="37" t="n">
        <v>7925260.27</v>
      </c>
      <c r="AA14" s="18" t="n">
        <v>8242356.95</v>
      </c>
      <c r="AB14" s="19" t="n">
        <v>8444164.199999999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233164.7</v>
      </c>
      <c r="F15" s="37" t="n">
        <v>233164.7</v>
      </c>
      <c r="G15" s="18" t="n">
        <v>228342.2</v>
      </c>
      <c r="H15" s="18" t="n">
        <v>78023.41</v>
      </c>
      <c r="I15" s="18" t="n">
        <v>40222.99</v>
      </c>
      <c r="J15" s="18" t="n">
        <v>40246.06</v>
      </c>
      <c r="K15" s="37" t="n">
        <v>40246.06</v>
      </c>
      <c r="M15" s="18" t="n">
        <v>39272.25</v>
      </c>
      <c r="N15" s="18" t="n">
        <v>40653.63</v>
      </c>
      <c r="O15" s="18" t="n">
        <v>39438.84</v>
      </c>
      <c r="P15" s="37" t="n">
        <v>39438.84</v>
      </c>
      <c r="Q15" s="18" t="n">
        <v>40492.13</v>
      </c>
      <c r="R15" s="18" t="n">
        <v>51092.14</v>
      </c>
      <c r="S15" s="18" t="n">
        <v>51684.41</v>
      </c>
      <c r="T15" s="18" t="n">
        <v>55154.82</v>
      </c>
      <c r="U15" s="37" t="n">
        <v>55154.82</v>
      </c>
      <c r="V15" s="18" t="n">
        <v>53416.43</v>
      </c>
      <c r="W15" s="18" t="n">
        <v>53394.9</v>
      </c>
      <c r="X15" s="18" t="n">
        <v>54493.26</v>
      </c>
      <c r="Y15" s="18" t="n">
        <v>54797.44</v>
      </c>
      <c r="Z15" s="37" t="n">
        <v>54797.44</v>
      </c>
      <c r="AA15" s="18" t="n">
        <v>54997.5</v>
      </c>
      <c r="AB15" s="19" t="n">
        <v>54808.07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467092.83</v>
      </c>
      <c r="F16" s="37" t="n">
        <v>467092.83</v>
      </c>
      <c r="G16" s="18" t="n">
        <v>469985.71</v>
      </c>
      <c r="H16" s="18" t="n">
        <v>675996.63</v>
      </c>
      <c r="I16" s="18" t="n">
        <v>1089754.59</v>
      </c>
      <c r="J16" s="18" t="n">
        <v>276540.52</v>
      </c>
      <c r="K16" s="37" t="n">
        <v>276540.52</v>
      </c>
      <c r="L16" s="18" t="n">
        <v>312078.78</v>
      </c>
      <c r="M16" s="18" t="n">
        <v>277005.28</v>
      </c>
      <c r="N16" s="18" t="n">
        <v>243635.86</v>
      </c>
      <c r="O16" s="18" t="n">
        <v>126648.21</v>
      </c>
      <c r="P16" s="37" t="n">
        <v>126648.21</v>
      </c>
      <c r="Q16" s="18" t="n">
        <v>183817.52</v>
      </c>
      <c r="R16" s="18" t="n">
        <v>212214.8</v>
      </c>
      <c r="S16" s="18" t="n">
        <v>107695.3</v>
      </c>
      <c r="T16" s="18" t="n">
        <v>92873.32000000001</v>
      </c>
      <c r="U16" s="37" t="n">
        <v>92873.32000000001</v>
      </c>
      <c r="V16" s="18" t="n">
        <v>53416.43</v>
      </c>
      <c r="W16" s="18" t="n">
        <v>53407.71</v>
      </c>
      <c r="X16" s="18" t="n">
        <v>55911.76</v>
      </c>
      <c r="Y16" s="18" t="n">
        <v>59661.7</v>
      </c>
      <c r="Z16" s="37" t="n">
        <v>59661.7</v>
      </c>
      <c r="AA16" s="18" t="n">
        <v>130544.93</v>
      </c>
      <c r="AB16" s="19" t="n">
        <v>163678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3676.73</v>
      </c>
      <c r="F17" s="37" t="n">
        <v>3676.73</v>
      </c>
      <c r="G17" s="18" t="n">
        <v>3676.73</v>
      </c>
      <c r="H17" s="18" t="n">
        <v>3389.59</v>
      </c>
      <c r="I17" s="18" t="n">
        <v>3261.85</v>
      </c>
      <c r="J17" s="18" t="n">
        <v>2930.62</v>
      </c>
      <c r="K17" s="37" t="n">
        <v>2930.62</v>
      </c>
      <c r="L17" s="18" t="n">
        <v>2930.62</v>
      </c>
      <c r="P17" s="9" t="n"/>
      <c r="U17" s="9" t="n"/>
      <c r="Z17" s="9" t="n"/>
      <c r="AB17" s="5" t="n"/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장기매출채권및기타채권</t>
        </is>
      </c>
      <c r="E18" s="18" t="n">
        <v>103840.03</v>
      </c>
      <c r="F18" s="37" t="n">
        <v>103840.03</v>
      </c>
      <c r="G18" s="18" t="n">
        <v>189211.28</v>
      </c>
      <c r="H18" s="18" t="n">
        <v>181603.42</v>
      </c>
      <c r="I18" s="18" t="n">
        <v>228208.7</v>
      </c>
      <c r="J18" s="18" t="n">
        <v>201864.23</v>
      </c>
      <c r="K18" s="37" t="n">
        <v>201864.23</v>
      </c>
      <c r="L18" s="18" t="n">
        <v>205033.07</v>
      </c>
      <c r="M18" s="18" t="n">
        <v>202868.35</v>
      </c>
      <c r="N18" s="18" t="n">
        <v>205730.54</v>
      </c>
      <c r="O18" s="18" t="n">
        <v>272708.61</v>
      </c>
      <c r="P18" s="37" t="n">
        <v>272708.61</v>
      </c>
      <c r="Q18" s="18" t="n">
        <v>279721.19</v>
      </c>
      <c r="R18" s="18" t="n">
        <v>293002.15</v>
      </c>
      <c r="S18" s="18" t="n">
        <v>299657.43</v>
      </c>
      <c r="T18" s="18" t="n">
        <v>276375.56</v>
      </c>
      <c r="U18" s="37" t="n">
        <v>276375.56</v>
      </c>
      <c r="V18" s="18" t="n">
        <v>233909.93</v>
      </c>
      <c r="W18" s="18" t="n">
        <v>667579.9</v>
      </c>
      <c r="X18" s="18" t="n">
        <v>823921.34</v>
      </c>
      <c r="Y18" s="18" t="n">
        <v>533759.12</v>
      </c>
      <c r="Z18" s="37" t="n">
        <v>533759.12</v>
      </c>
      <c r="AA18" s="18" t="n">
        <v>555503.72</v>
      </c>
      <c r="AB18" s="19" t="n">
        <v>571401.21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비유동확정계약자산</t>
        </is>
      </c>
      <c r="E19" s="18" t="n">
        <v>230251.4</v>
      </c>
      <c r="F19" s="37" t="n">
        <v>230251.4</v>
      </c>
      <c r="G19" s="18" t="n">
        <v>237966.78</v>
      </c>
      <c r="H19" s="18" t="n">
        <v>594583.63</v>
      </c>
      <c r="I19" s="18" t="n">
        <v>1046269.75</v>
      </c>
      <c r="J19" s="18" t="n">
        <v>233363.84</v>
      </c>
      <c r="K19" s="37" t="n">
        <v>233363.84</v>
      </c>
      <c r="L19" s="18" t="n">
        <v>309148.16</v>
      </c>
      <c r="M19" s="18" t="n">
        <v>237733.03</v>
      </c>
      <c r="N19" s="18" t="n">
        <v>202982.23</v>
      </c>
      <c r="O19" s="18" t="n">
        <v>87209.37</v>
      </c>
      <c r="P19" s="37" t="n">
        <v>87209.37</v>
      </c>
      <c r="Q19" s="18" t="n">
        <v>143325.39</v>
      </c>
      <c r="R19" s="18" t="n">
        <v>161122.66</v>
      </c>
      <c r="S19" s="18" t="n">
        <v>56010.89</v>
      </c>
      <c r="T19" s="18" t="n">
        <v>37718.5</v>
      </c>
      <c r="U19" s="37" t="n">
        <v>37718.5</v>
      </c>
      <c r="Z19" s="9" t="n"/>
      <c r="AA19" s="18" t="n">
        <v>75547.42999999999</v>
      </c>
      <c r="AB19" s="19" t="n">
        <v>108869.93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유형자산</t>
        </is>
      </c>
      <c r="E20" s="18" t="n">
        <v>3375715.96</v>
      </c>
      <c r="F20" s="37" t="n">
        <v>3375715.96</v>
      </c>
      <c r="G20" s="18" t="n">
        <v>3365911.76</v>
      </c>
      <c r="H20" s="18" t="n">
        <v>3362698.56</v>
      </c>
      <c r="I20" s="18" t="n">
        <v>3372984.16</v>
      </c>
      <c r="J20" s="18" t="n">
        <v>3709724.72</v>
      </c>
      <c r="K20" s="37" t="n">
        <v>3709724.72</v>
      </c>
      <c r="L20" s="18" t="n">
        <v>3696116.49</v>
      </c>
      <c r="M20" s="18" t="n">
        <v>3693149.37</v>
      </c>
      <c r="N20" s="18" t="n">
        <v>3720090.05</v>
      </c>
      <c r="O20" s="18" t="n">
        <v>3755171.57</v>
      </c>
      <c r="P20" s="37" t="n">
        <v>3755171.57</v>
      </c>
      <c r="Q20" s="18" t="n">
        <v>3764663.51</v>
      </c>
      <c r="R20" s="18" t="n">
        <v>3785538.08</v>
      </c>
      <c r="S20" s="18" t="n">
        <v>3809674.91</v>
      </c>
      <c r="T20" s="18" t="n">
        <v>3903542.25</v>
      </c>
      <c r="U20" s="37" t="n">
        <v>3903542.25</v>
      </c>
      <c r="V20" s="18" t="n">
        <v>3937946.85</v>
      </c>
      <c r="W20" s="18" t="n">
        <v>4011494.12</v>
      </c>
      <c r="X20" s="18" t="n">
        <v>4099370.93</v>
      </c>
      <c r="Y20" s="18" t="n">
        <v>4273894.07</v>
      </c>
      <c r="Z20" s="37" t="n">
        <v>4273894.07</v>
      </c>
      <c r="AA20" s="18" t="n">
        <v>4298682.16</v>
      </c>
      <c r="AB20" s="19" t="n">
        <v>4357892.4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사용권자산</t>
        </is>
      </c>
      <c r="E21" s="18" t="n">
        <v>59107.24</v>
      </c>
      <c r="F21" s="37" t="n">
        <v>59107.24</v>
      </c>
      <c r="G21" s="18" t="n">
        <v>62155.11</v>
      </c>
      <c r="H21" s="18" t="n">
        <v>56986.19</v>
      </c>
      <c r="I21" s="18" t="n">
        <v>54875.71</v>
      </c>
      <c r="J21" s="18" t="n">
        <v>49181.93</v>
      </c>
      <c r="K21" s="37" t="n">
        <v>49181.93</v>
      </c>
      <c r="L21" s="18" t="n">
        <v>45106.53</v>
      </c>
      <c r="M21" s="18" t="n">
        <v>60260.87</v>
      </c>
      <c r="N21" s="18" t="n">
        <v>55460.18</v>
      </c>
      <c r="O21" s="18" t="n">
        <v>50059.79</v>
      </c>
      <c r="P21" s="37" t="n">
        <v>50059.79</v>
      </c>
      <c r="Q21" s="18" t="n">
        <v>48834.6</v>
      </c>
      <c r="R21" s="18" t="n">
        <v>47343.23</v>
      </c>
      <c r="S21" s="18" t="n">
        <v>41430.49</v>
      </c>
      <c r="T21" s="18" t="n">
        <v>101723.7</v>
      </c>
      <c r="U21" s="37" t="n">
        <v>101723.7</v>
      </c>
      <c r="V21" s="18" t="n">
        <v>99560.12</v>
      </c>
      <c r="W21" s="18" t="n">
        <v>100534.77</v>
      </c>
      <c r="X21" s="18" t="n">
        <v>103592.44</v>
      </c>
      <c r="Y21" s="18" t="n">
        <v>95455.46000000001</v>
      </c>
      <c r="Z21" s="37" t="n">
        <v>95455.46000000001</v>
      </c>
      <c r="AA21" s="18" t="n">
        <v>81419.3</v>
      </c>
      <c r="AB21" s="19" t="n">
        <v>102886.33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기타비유동자산</t>
        </is>
      </c>
      <c r="E22" s="18" t="n">
        <v>72921.31</v>
      </c>
      <c r="F22" s="37" t="n">
        <v>72921.31</v>
      </c>
      <c r="G22" s="18" t="n">
        <v>79388.94</v>
      </c>
      <c r="H22" s="18" t="n">
        <v>74088.56</v>
      </c>
      <c r="I22" s="18" t="n">
        <v>64721.32</v>
      </c>
      <c r="J22" s="18" t="n">
        <v>119102.99</v>
      </c>
      <c r="K22" s="37" t="n">
        <v>119102.99</v>
      </c>
      <c r="L22" s="18" t="n">
        <v>109108.84</v>
      </c>
      <c r="M22" s="18" t="n">
        <v>71383.57000000001</v>
      </c>
      <c r="N22" s="18" t="n">
        <v>66345.52</v>
      </c>
      <c r="O22" s="18" t="n">
        <v>62792.95</v>
      </c>
      <c r="P22" s="37" t="n">
        <v>62792.95</v>
      </c>
      <c r="Q22" s="18" t="n">
        <v>62028.47</v>
      </c>
      <c r="R22" s="18" t="n">
        <v>59493.22</v>
      </c>
      <c r="S22" s="18" t="n">
        <v>53508.65</v>
      </c>
      <c r="T22" s="18" t="n">
        <v>130595.97</v>
      </c>
      <c r="U22" s="37" t="n">
        <v>130595.97</v>
      </c>
      <c r="V22" s="18" t="n">
        <v>129368.88</v>
      </c>
      <c r="W22" s="18" t="n">
        <v>132814.96</v>
      </c>
      <c r="X22" s="18" t="n">
        <v>136472.19</v>
      </c>
      <c r="Y22" s="18" t="n">
        <v>138313.72</v>
      </c>
      <c r="Z22" s="37" t="n">
        <v>138313.72</v>
      </c>
      <c r="AA22" s="18" t="n">
        <v>139965.68</v>
      </c>
      <c r="AB22" s="19" t="n">
        <v>174253.38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무형자산</t>
        </is>
      </c>
      <c r="E23" s="18" t="n">
        <v>670.53</v>
      </c>
      <c r="F23" s="37" t="n">
        <v>670.53</v>
      </c>
      <c r="G23" s="18" t="n">
        <v>1017.11</v>
      </c>
      <c r="H23" s="18" t="n">
        <v>1284.03</v>
      </c>
      <c r="I23" s="18" t="n">
        <v>1595.82</v>
      </c>
      <c r="J23" s="18" t="n">
        <v>647.28</v>
      </c>
      <c r="K23" s="37" t="n">
        <v>647.28</v>
      </c>
      <c r="L23" s="18" t="n">
        <v>996.67</v>
      </c>
      <c r="M23" s="18" t="n">
        <v>1316.61</v>
      </c>
      <c r="N23" s="18" t="n">
        <v>1744.43</v>
      </c>
      <c r="O23" s="18" t="n">
        <v>2877</v>
      </c>
      <c r="P23" s="37" t="n">
        <v>2877</v>
      </c>
      <c r="Q23" s="18" t="n">
        <v>3518.57</v>
      </c>
      <c r="R23" s="18" t="n">
        <v>4277.35</v>
      </c>
      <c r="S23" s="18" t="n">
        <v>235292.98</v>
      </c>
      <c r="T23" s="18" t="n">
        <v>390391.94</v>
      </c>
      <c r="U23" s="37" t="n">
        <v>390391.94</v>
      </c>
      <c r="V23" s="18" t="n">
        <v>389944.2</v>
      </c>
      <c r="W23" s="18" t="n">
        <v>374480.63</v>
      </c>
      <c r="X23" s="18" t="n">
        <v>371858.37</v>
      </c>
      <c r="Y23" s="18" t="n">
        <v>358470.04</v>
      </c>
      <c r="Z23" s="37" t="n">
        <v>358470.04</v>
      </c>
      <c r="AA23" s="18" t="n">
        <v>353394.45</v>
      </c>
      <c r="AB23" s="19" t="n">
        <v>348093.24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자산총계</t>
        </is>
      </c>
      <c r="E24" s="18" t="n">
        <v>10440796.98</v>
      </c>
      <c r="F24" s="37" t="n">
        <v>10440796.98</v>
      </c>
      <c r="G24" s="18" t="n">
        <v>10578443.06</v>
      </c>
      <c r="H24" s="18" t="n">
        <v>11830468.56</v>
      </c>
      <c r="I24" s="18" t="n">
        <v>12287677.34</v>
      </c>
      <c r="J24" s="18" t="n">
        <v>12046830.4</v>
      </c>
      <c r="K24" s="37" t="n">
        <v>12046830.4</v>
      </c>
      <c r="L24" s="18" t="n">
        <v>12111926.89</v>
      </c>
      <c r="M24" s="18" t="n">
        <v>13427938.96</v>
      </c>
      <c r="N24" s="18" t="n">
        <v>12832726.72</v>
      </c>
      <c r="O24" s="18" t="n">
        <v>13503157.15</v>
      </c>
      <c r="P24" s="37" t="n">
        <v>13503157.15</v>
      </c>
      <c r="Q24" s="18" t="n">
        <v>14434450.02</v>
      </c>
      <c r="R24" s="18" t="n">
        <v>15846671.5</v>
      </c>
      <c r="S24" s="18" t="n">
        <v>16059703.52</v>
      </c>
      <c r="T24" s="18" t="n">
        <v>17407209.94</v>
      </c>
      <c r="U24" s="37" t="n">
        <v>17407209.94</v>
      </c>
      <c r="V24" s="18" t="n">
        <v>17756028.72</v>
      </c>
      <c r="W24" s="18" t="n">
        <v>17882486.17</v>
      </c>
      <c r="X24" s="18" t="n">
        <v>18097243</v>
      </c>
      <c r="Y24" s="18" t="n">
        <v>19724646.03</v>
      </c>
      <c r="Z24" s="37" t="n">
        <v>19724646.03</v>
      </c>
      <c r="AA24" s="18" t="n">
        <v>20239931.7</v>
      </c>
      <c r="AB24" s="19" t="n">
        <v>19564154.5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유동부채</t>
        </is>
      </c>
      <c r="E25" s="18" t="n">
        <v>7375443.77</v>
      </c>
      <c r="F25" s="37" t="n">
        <v>7375443.77</v>
      </c>
      <c r="G25" s="18" t="n">
        <v>8061432.69</v>
      </c>
      <c r="H25" s="18" t="n">
        <v>9194975.109999999</v>
      </c>
      <c r="I25" s="18" t="n">
        <v>9919624.199999999</v>
      </c>
      <c r="J25" s="18" t="n">
        <v>10586129.43</v>
      </c>
      <c r="K25" s="37" t="n">
        <v>10586129.43</v>
      </c>
      <c r="L25" s="18" t="n">
        <v>10739485.43</v>
      </c>
      <c r="M25" s="18" t="n">
        <v>8793766.16</v>
      </c>
      <c r="N25" s="18" t="n">
        <v>8006557.28</v>
      </c>
      <c r="O25" s="18" t="n">
        <v>7382284.13</v>
      </c>
      <c r="P25" s="37" t="n">
        <v>7382284.13</v>
      </c>
      <c r="Q25" s="18" t="n">
        <v>8156375.43</v>
      </c>
      <c r="R25" s="18" t="n">
        <v>9553757.1</v>
      </c>
      <c r="S25" s="18" t="n">
        <v>9924653.32</v>
      </c>
      <c r="T25" s="18" t="n">
        <v>10350506.49</v>
      </c>
      <c r="U25" s="37" t="n">
        <v>10350506.49</v>
      </c>
      <c r="V25" s="18" t="n">
        <v>10369621.66</v>
      </c>
      <c r="W25" s="18" t="n">
        <v>10414426.83</v>
      </c>
      <c r="X25" s="18" t="n">
        <v>10188853.72</v>
      </c>
      <c r="Y25" s="18" t="n">
        <v>11074708.93</v>
      </c>
      <c r="Z25" s="37" t="n">
        <v>11074708.93</v>
      </c>
      <c r="AA25" s="18" t="n">
        <v>10698134.47</v>
      </c>
      <c r="AB25" s="19" t="n">
        <v>9247942.17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단기차입금</t>
        </is>
      </c>
      <c r="E26" s="18" t="n">
        <v>1073379.89</v>
      </c>
      <c r="F26" s="37" t="n">
        <v>1073379.89</v>
      </c>
      <c r="G26" s="18" t="n">
        <v>1281417.65</v>
      </c>
      <c r="H26" s="18" t="n">
        <v>1356016.25</v>
      </c>
      <c r="I26" s="18" t="n">
        <v>1339627.51</v>
      </c>
      <c r="J26" s="18" t="n">
        <v>1218458.76</v>
      </c>
      <c r="K26" s="37" t="n">
        <v>1218458.76</v>
      </c>
      <c r="L26" s="18" t="n">
        <v>1639742.13</v>
      </c>
      <c r="M26" s="18" t="n">
        <v>647468.41</v>
      </c>
      <c r="N26" s="18" t="n">
        <v>544631.12</v>
      </c>
      <c r="O26" s="18" t="n">
        <v>494162.6</v>
      </c>
      <c r="P26" s="37" t="n">
        <v>494162.6</v>
      </c>
      <c r="Q26" s="18" t="n">
        <v>1679649.27</v>
      </c>
      <c r="R26" s="18" t="n">
        <v>2485199.05</v>
      </c>
      <c r="S26" s="18" t="n">
        <v>3145042.2</v>
      </c>
      <c r="T26" s="18" t="n">
        <v>3201449.85</v>
      </c>
      <c r="U26" s="37" t="n">
        <v>3201449.85</v>
      </c>
      <c r="V26" s="18" t="n">
        <v>3335499.92</v>
      </c>
      <c r="W26" s="18" t="n">
        <v>2983414.4</v>
      </c>
      <c r="X26" s="18" t="n">
        <v>2978045.82</v>
      </c>
      <c r="Y26" s="18" t="n">
        <v>3220177.27</v>
      </c>
      <c r="Z26" s="37" t="n">
        <v>3220177.27</v>
      </c>
      <c r="AA26" s="18" t="n">
        <v>3443704.22</v>
      </c>
      <c r="AB26" s="19" t="n">
        <v>3292402.72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매입채무및기타채무</t>
        </is>
      </c>
      <c r="E27" s="18" t="n">
        <v>651183.86</v>
      </c>
      <c r="F27" s="37" t="n">
        <v>651183.86</v>
      </c>
      <c r="G27" s="18" t="n">
        <v>636868.02</v>
      </c>
      <c r="H27" s="18" t="n">
        <v>668798.62</v>
      </c>
      <c r="I27" s="18" t="n">
        <v>687454.28</v>
      </c>
      <c r="J27" s="18" t="n">
        <v>903964.73</v>
      </c>
      <c r="K27" s="37" t="n">
        <v>903964.73</v>
      </c>
      <c r="L27" s="18" t="n">
        <v>895991.4399999999</v>
      </c>
      <c r="M27" s="18" t="n">
        <v>968038.14</v>
      </c>
      <c r="N27" s="18" t="n">
        <v>923584.96</v>
      </c>
      <c r="O27" s="18" t="n">
        <v>1150433.89</v>
      </c>
      <c r="P27" s="37" t="n">
        <v>1150433.89</v>
      </c>
      <c r="Q27" s="18" t="n">
        <v>1121404.29</v>
      </c>
      <c r="R27" s="18" t="n">
        <v>1251719.68</v>
      </c>
      <c r="S27" s="18" t="n">
        <v>1223413.32</v>
      </c>
      <c r="T27" s="18" t="n">
        <v>1630444.26</v>
      </c>
      <c r="U27" s="37" t="n">
        <v>1630444.26</v>
      </c>
      <c r="V27" s="18" t="n">
        <v>1324943.1</v>
      </c>
      <c r="W27" s="18" t="n">
        <v>1491765.49</v>
      </c>
      <c r="X27" s="18" t="n">
        <v>1574282.16</v>
      </c>
      <c r="Y27" s="18" t="n">
        <v>1804696.06</v>
      </c>
      <c r="Z27" s="37" t="n">
        <v>1804696.06</v>
      </c>
      <c r="AA27" s="18" t="n">
        <v>1643941.22</v>
      </c>
      <c r="AB27" s="19" t="n">
        <v>1555708.39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당기법인세부채(미지급법인세)</t>
        </is>
      </c>
      <c r="E28" s="18" t="n">
        <v>982.5599999999999</v>
      </c>
      <c r="F28" s="37" t="n">
        <v>982.5599999999999</v>
      </c>
      <c r="G28" s="18" t="n">
        <v>982.5599999999999</v>
      </c>
      <c r="K28" s="9" t="n"/>
      <c r="P28" s="9" t="n"/>
      <c r="U28" s="9" t="n"/>
      <c r="Y28" s="18" t="n">
        <v>3408.6</v>
      </c>
      <c r="Z28" s="37" t="n">
        <v>3408.6</v>
      </c>
      <c r="AA28" s="18" t="n">
        <v>3408.6</v>
      </c>
      <c r="AB28" s="5" t="n"/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유동성장기부채</t>
        </is>
      </c>
      <c r="E29" s="18" t="n">
        <v>1329495.23</v>
      </c>
      <c r="F29" s="37" t="n">
        <v>1329495.23</v>
      </c>
      <c r="G29" s="18" t="n">
        <v>1360748.21</v>
      </c>
      <c r="H29" s="18" t="n">
        <v>1443944.34</v>
      </c>
      <c r="I29" s="18" t="n">
        <v>1506873.97</v>
      </c>
      <c r="J29" s="18" t="n">
        <v>1304098.27</v>
      </c>
      <c r="K29" s="37" t="n">
        <v>1304098.27</v>
      </c>
      <c r="L29" s="18" t="n">
        <v>1276920.8</v>
      </c>
      <c r="P29" s="9" t="n"/>
      <c r="U29" s="9" t="n"/>
      <c r="Z29" s="9" t="n"/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계약부채</t>
        </is>
      </c>
      <c r="E30" s="18" t="n">
        <v>2094094.48</v>
      </c>
      <c r="F30" s="37" t="n">
        <v>2094094.48</v>
      </c>
      <c r="G30" s="18" t="n">
        <v>2277142.84</v>
      </c>
      <c r="H30" s="18" t="n">
        <v>3169024.53</v>
      </c>
      <c r="I30" s="18" t="n">
        <v>3540061.16</v>
      </c>
      <c r="J30" s="18" t="n">
        <v>4682119.52</v>
      </c>
      <c r="K30" s="37" t="n">
        <v>4682119.52</v>
      </c>
      <c r="L30" s="18" t="n">
        <v>4662523.16</v>
      </c>
      <c r="M30" s="18" t="n">
        <v>5037881.57</v>
      </c>
      <c r="N30" s="18" t="n">
        <v>4604437.14</v>
      </c>
      <c r="O30" s="18" t="n">
        <v>4365449.72</v>
      </c>
      <c r="P30" s="37" t="n">
        <v>4365449.72</v>
      </c>
      <c r="Q30" s="18" t="n">
        <v>4101018.22</v>
      </c>
      <c r="R30" s="18" t="n">
        <v>4657647.37</v>
      </c>
      <c r="S30" s="18" t="n">
        <v>4605264.59</v>
      </c>
      <c r="T30" s="18" t="n">
        <v>4422479.87</v>
      </c>
      <c r="U30" s="37" t="n">
        <v>4422479.87</v>
      </c>
      <c r="V30" s="18" t="n">
        <v>4788895.06</v>
      </c>
      <c r="W30" s="18" t="n">
        <v>5269693.26</v>
      </c>
      <c r="X30" s="18" t="n">
        <v>4974156.53</v>
      </c>
      <c r="Y30" s="18" t="n">
        <v>5254126.4</v>
      </c>
      <c r="Z30" s="37" t="n">
        <v>5254126.4</v>
      </c>
      <c r="AA30" s="18" t="n">
        <v>5069368.64</v>
      </c>
      <c r="AB30" s="19" t="n">
        <v>3822369.29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단기충당부채</t>
        </is>
      </c>
      <c r="E31" s="18" t="n">
        <v>1755561.02</v>
      </c>
      <c r="F31" s="37" t="n">
        <v>1755561.02</v>
      </c>
      <c r="G31" s="18" t="n">
        <v>1943149.93</v>
      </c>
      <c r="H31" s="18" t="n">
        <v>1638583.24</v>
      </c>
      <c r="I31" s="18" t="n">
        <v>1738772.52</v>
      </c>
      <c r="J31" s="18" t="n">
        <v>1569847.15</v>
      </c>
      <c r="K31" s="37" t="n">
        <v>1569847.15</v>
      </c>
      <c r="L31" s="18" t="n">
        <v>1295297.63</v>
      </c>
      <c r="M31" s="18" t="n">
        <v>1131374.11</v>
      </c>
      <c r="N31" s="18" t="n">
        <v>816777.92</v>
      </c>
      <c r="O31" s="18" t="n">
        <v>705053.76</v>
      </c>
      <c r="P31" s="37" t="n">
        <v>705053.76</v>
      </c>
      <c r="Q31" s="18" t="n">
        <v>468667.71</v>
      </c>
      <c r="R31" s="18" t="n">
        <v>356247.77</v>
      </c>
      <c r="S31" s="18" t="n">
        <v>303744.34</v>
      </c>
      <c r="T31" s="18" t="n">
        <v>349740.72</v>
      </c>
      <c r="U31" s="37" t="n">
        <v>349740.72</v>
      </c>
      <c r="V31" s="18" t="n">
        <v>237274.54</v>
      </c>
      <c r="W31" s="18" t="n">
        <v>214217.13</v>
      </c>
      <c r="X31" s="18" t="n">
        <v>208556.47</v>
      </c>
      <c r="Y31" s="18" t="n">
        <v>409292.06</v>
      </c>
      <c r="Z31" s="37" t="n">
        <v>409292.06</v>
      </c>
      <c r="AA31" s="18" t="n">
        <v>136711.52</v>
      </c>
      <c r="AB31" s="19" t="n">
        <v>132329.85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기타유동부채</t>
        </is>
      </c>
      <c r="E32" s="18" t="n">
        <v>400574.43</v>
      </c>
      <c r="F32" s="37" t="n">
        <v>400574.43</v>
      </c>
      <c r="G32" s="18" t="n">
        <v>425801.55</v>
      </c>
      <c r="H32" s="18" t="n">
        <v>598792.01</v>
      </c>
      <c r="I32" s="18" t="n">
        <v>547575.95</v>
      </c>
      <c r="J32" s="18" t="n">
        <v>563366.29</v>
      </c>
      <c r="K32" s="37" t="n">
        <v>563366.29</v>
      </c>
      <c r="L32" s="18" t="n">
        <v>575649.55</v>
      </c>
      <c r="M32" s="18" t="n">
        <v>580588.11</v>
      </c>
      <c r="N32" s="18" t="n">
        <v>588072.2</v>
      </c>
      <c r="O32" s="18" t="n">
        <v>418231.06</v>
      </c>
      <c r="P32" s="37" t="n">
        <v>418231.06</v>
      </c>
      <c r="Q32" s="18" t="n">
        <v>429188.77</v>
      </c>
      <c r="R32" s="18" t="n">
        <v>456027.45</v>
      </c>
      <c r="S32" s="18" t="n">
        <v>488216.65</v>
      </c>
      <c r="T32" s="18" t="n">
        <v>373077.27</v>
      </c>
      <c r="U32" s="37" t="n">
        <v>373077.27</v>
      </c>
      <c r="V32" s="18" t="n">
        <v>293049.35</v>
      </c>
      <c r="W32" s="18" t="n">
        <v>269478.75</v>
      </c>
      <c r="X32" s="18" t="n">
        <v>280364.57</v>
      </c>
      <c r="Y32" s="18" t="n">
        <v>283425.42</v>
      </c>
      <c r="Z32" s="37" t="n">
        <v>283425.42</v>
      </c>
      <c r="AA32" s="18" t="n">
        <v>298717.24</v>
      </c>
      <c r="AB32" s="19" t="n">
        <v>309857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비유동부채</t>
        </is>
      </c>
      <c r="E33" s="18" t="n">
        <v>937703.48</v>
      </c>
      <c r="F33" s="37" t="n">
        <v>937703.48</v>
      </c>
      <c r="G33" s="18" t="n">
        <v>881022.85</v>
      </c>
      <c r="H33" s="18" t="n">
        <v>1180996.44</v>
      </c>
      <c r="I33" s="18" t="n">
        <v>1566807.2</v>
      </c>
      <c r="J33" s="18" t="n">
        <v>816841.24</v>
      </c>
      <c r="K33" s="37" t="n">
        <v>816841.24</v>
      </c>
      <c r="L33" s="18" t="n">
        <v>851316.64</v>
      </c>
      <c r="M33" s="18" t="n">
        <v>2423628.52</v>
      </c>
      <c r="N33" s="18" t="n">
        <v>2398275.81</v>
      </c>
      <c r="O33" s="18" t="n">
        <v>2075932.67</v>
      </c>
      <c r="P33" s="37" t="n">
        <v>2075932.67</v>
      </c>
      <c r="Q33" s="18" t="n">
        <v>2192625.34</v>
      </c>
      <c r="R33" s="18" t="n">
        <v>2255314.08</v>
      </c>
      <c r="S33" s="18" t="n">
        <v>2189934.05</v>
      </c>
      <c r="T33" s="18" t="n">
        <v>2541510.17</v>
      </c>
      <c r="U33" s="37" t="n">
        <v>2541510.17</v>
      </c>
      <c r="V33" s="18" t="n">
        <v>2651736.64</v>
      </c>
      <c r="W33" s="18" t="n">
        <v>2529936.96</v>
      </c>
      <c r="X33" s="18" t="n">
        <v>2690677.36</v>
      </c>
      <c r="Y33" s="18" t="n">
        <v>2655619.5</v>
      </c>
      <c r="Z33" s="37" t="n">
        <v>2655619.5</v>
      </c>
      <c r="AA33" s="18" t="n">
        <v>3027660.11</v>
      </c>
      <c r="AB33" s="19" t="n">
        <v>3123003.82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사채</t>
        </is>
      </c>
      <c r="E34" s="18" t="n">
        <v>111743.39</v>
      </c>
      <c r="F34" s="37" t="n">
        <v>111743.39</v>
      </c>
      <c r="G34" s="18" t="n">
        <v>56393.11</v>
      </c>
      <c r="K34" s="9" t="n"/>
      <c r="P34" s="9" t="n"/>
      <c r="U34" s="9" t="n"/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장기차입금</t>
        </is>
      </c>
      <c r="E35" s="18" t="n">
        <v>122512.94</v>
      </c>
      <c r="F35" s="37" t="n">
        <v>122512.94</v>
      </c>
      <c r="G35" s="18" t="n">
        <v>116822.03</v>
      </c>
      <c r="H35" s="18" t="n">
        <v>111833.68</v>
      </c>
      <c r="I35" s="18" t="n">
        <v>116209.29</v>
      </c>
      <c r="J35" s="18" t="n">
        <v>99715.36</v>
      </c>
      <c r="K35" s="37" t="n">
        <v>99715.36</v>
      </c>
      <c r="L35" s="18" t="n">
        <v>93931.58</v>
      </c>
      <c r="M35" s="18" t="n">
        <v>1626788.68</v>
      </c>
      <c r="N35" s="18" t="n">
        <v>1662132.39</v>
      </c>
      <c r="O35" s="18" t="n">
        <v>1589951.42</v>
      </c>
      <c r="P35" s="37" t="n">
        <v>1589951.42</v>
      </c>
      <c r="Q35" s="18" t="n">
        <v>1642727.77</v>
      </c>
      <c r="R35" s="18" t="n">
        <v>1679814.49</v>
      </c>
      <c r="S35" s="18" t="n">
        <v>1641248.28</v>
      </c>
      <c r="T35" s="18" t="n">
        <v>1962264.69</v>
      </c>
      <c r="U35" s="37" t="n">
        <v>1962264.69</v>
      </c>
      <c r="V35" s="18" t="n">
        <v>2084982.04</v>
      </c>
      <c r="W35" s="18" t="n">
        <v>1939124.87</v>
      </c>
      <c r="X35" s="18" t="n">
        <v>2061122.02</v>
      </c>
      <c r="Y35" s="18" t="n">
        <v>2286006.35</v>
      </c>
      <c r="Z35" s="37" t="n">
        <v>2286006.35</v>
      </c>
      <c r="AA35" s="18" t="n">
        <v>2555723.58</v>
      </c>
      <c r="AB35" s="19" t="n">
        <v>2578512.42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장기매입채무및기타채무</t>
        </is>
      </c>
      <c r="E36" s="18" t="n">
        <v>6993.08</v>
      </c>
      <c r="F36" s="37" t="n">
        <v>6993.08</v>
      </c>
      <c r="G36" s="18" t="n">
        <v>7112.83</v>
      </c>
      <c r="H36" s="18" t="n">
        <v>4888.31</v>
      </c>
      <c r="I36" s="18" t="n">
        <v>5429.07</v>
      </c>
      <c r="J36" s="18" t="n">
        <v>4853.78</v>
      </c>
      <c r="K36" s="37" t="n">
        <v>4853.78</v>
      </c>
      <c r="L36" s="18" t="n">
        <v>5010.91</v>
      </c>
      <c r="M36" s="18" t="n">
        <v>5041.04</v>
      </c>
      <c r="N36" s="18" t="n">
        <v>5156.47</v>
      </c>
      <c r="O36" s="18" t="n">
        <v>4956.63</v>
      </c>
      <c r="P36" s="37" t="n">
        <v>4956.63</v>
      </c>
      <c r="Q36" s="18" t="n">
        <v>7207.96</v>
      </c>
      <c r="R36" s="18" t="n">
        <v>10850.1</v>
      </c>
      <c r="S36" s="18" t="n">
        <v>11861.16</v>
      </c>
      <c r="T36" s="18" t="n">
        <v>15320.02</v>
      </c>
      <c r="U36" s="37" t="n">
        <v>15320.02</v>
      </c>
      <c r="V36" s="18" t="n">
        <v>45782.77</v>
      </c>
      <c r="W36" s="18" t="n">
        <v>48212.9</v>
      </c>
      <c r="X36" s="18" t="n">
        <v>68427</v>
      </c>
      <c r="Y36" s="18" t="n">
        <v>72279.87</v>
      </c>
      <c r="Z36" s="37" t="n">
        <v>72279.87</v>
      </c>
      <c r="AA36" s="18" t="n">
        <v>78307.42</v>
      </c>
      <c r="AB36" s="19" t="n">
        <v>68000.37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장기충당부채</t>
        </is>
      </c>
      <c r="E37" s="18" t="n">
        <v>334794.55</v>
      </c>
      <c r="F37" s="37" t="n">
        <v>334794.55</v>
      </c>
      <c r="G37" s="18" t="n">
        <v>322340.27</v>
      </c>
      <c r="H37" s="18" t="n">
        <v>360892.5</v>
      </c>
      <c r="I37" s="18" t="n">
        <v>362692.78</v>
      </c>
      <c r="J37" s="18" t="n">
        <v>328991.34</v>
      </c>
      <c r="K37" s="37" t="n">
        <v>328991.34</v>
      </c>
      <c r="L37" s="18" t="n">
        <v>305459.49</v>
      </c>
      <c r="M37" s="18" t="n">
        <v>288476.34</v>
      </c>
      <c r="N37" s="18" t="n">
        <v>244465.91</v>
      </c>
      <c r="O37" s="18" t="n">
        <v>229959.7</v>
      </c>
      <c r="P37" s="37" t="n">
        <v>229959.7</v>
      </c>
      <c r="Q37" s="18" t="n">
        <v>230121.95</v>
      </c>
      <c r="R37" s="18" t="n">
        <v>234804.46</v>
      </c>
      <c r="S37" s="18" t="n">
        <v>232901.09</v>
      </c>
      <c r="T37" s="18" t="n">
        <v>187901.66</v>
      </c>
      <c r="U37" s="37" t="n">
        <v>187901.66</v>
      </c>
      <c r="V37" s="18" t="n">
        <v>188013.52</v>
      </c>
      <c r="W37" s="18" t="n">
        <v>190682.12</v>
      </c>
      <c r="X37" s="18" t="n">
        <v>195341.35</v>
      </c>
      <c r="Y37" s="18" t="n">
        <v>80308.64999999999</v>
      </c>
      <c r="Z37" s="37" t="n">
        <v>80308.64999999999</v>
      </c>
      <c r="AA37" s="18" t="n">
        <v>80927.94</v>
      </c>
      <c r="AB37" s="19" t="n">
        <v>84805.87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비유동리스부채</t>
        </is>
      </c>
      <c r="E38" s="18" t="n">
        <v>61166.93</v>
      </c>
      <c r="F38" s="37" t="n">
        <v>61166.93</v>
      </c>
      <c r="G38" s="18" t="n">
        <v>61499.05</v>
      </c>
      <c r="H38" s="18" t="n">
        <v>56743.12</v>
      </c>
      <c r="I38" s="18" t="n">
        <v>53365.03</v>
      </c>
      <c r="J38" s="18" t="n">
        <v>48605.25</v>
      </c>
      <c r="K38" s="37" t="n">
        <v>48605.25</v>
      </c>
      <c r="L38" s="18" t="n">
        <v>44450.98</v>
      </c>
      <c r="M38" s="18" t="n">
        <v>55851.5</v>
      </c>
      <c r="N38" s="18" t="n">
        <v>52719</v>
      </c>
      <c r="O38" s="18" t="n">
        <v>49361.21</v>
      </c>
      <c r="P38" s="37" t="n">
        <v>49361.21</v>
      </c>
      <c r="Q38" s="18" t="n">
        <v>45868.28</v>
      </c>
      <c r="R38" s="18" t="n">
        <v>38284.48</v>
      </c>
      <c r="S38" s="18" t="n">
        <v>33941.18</v>
      </c>
      <c r="T38" s="18" t="n">
        <v>95156.12</v>
      </c>
      <c r="U38" s="37" t="n">
        <v>95156.12</v>
      </c>
      <c r="V38" s="18" t="n">
        <v>91238.03999999999</v>
      </c>
      <c r="W38" s="18" t="n">
        <v>89698.49000000001</v>
      </c>
      <c r="X38" s="18" t="n">
        <v>87190.03</v>
      </c>
      <c r="Y38" s="18" t="n">
        <v>80584.42</v>
      </c>
      <c r="Z38" s="37" t="n">
        <v>80584.42</v>
      </c>
      <c r="AA38" s="18" t="n">
        <v>75718.56</v>
      </c>
      <c r="AB38" s="19" t="n">
        <v>95057.7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리스부채</t>
        </is>
      </c>
      <c r="E39" s="18" t="n">
        <v>61166.93</v>
      </c>
      <c r="F39" s="37" t="n">
        <v>61166.93</v>
      </c>
      <c r="G39" s="18" t="n">
        <v>61499.05</v>
      </c>
      <c r="H39" s="18" t="n">
        <v>56743.12</v>
      </c>
      <c r="I39" s="18" t="n">
        <v>53365.03</v>
      </c>
      <c r="J39" s="18" t="n">
        <v>48605.25</v>
      </c>
      <c r="K39" s="37" t="n">
        <v>48605.25</v>
      </c>
      <c r="L39" s="18" t="n">
        <v>44450.98</v>
      </c>
      <c r="M39" s="18" t="n">
        <v>55851.5</v>
      </c>
      <c r="N39" s="18" t="n">
        <v>52719</v>
      </c>
      <c r="O39" s="18" t="n">
        <v>49361.21</v>
      </c>
      <c r="P39" s="37" t="n">
        <v>49361.21</v>
      </c>
      <c r="Q39" s="18" t="n">
        <v>45868.28</v>
      </c>
      <c r="R39" s="18" t="n">
        <v>38284.48</v>
      </c>
      <c r="S39" s="18" t="n">
        <v>33941.18</v>
      </c>
      <c r="T39" s="18" t="n">
        <v>95156.12</v>
      </c>
      <c r="U39" s="37" t="n">
        <v>95156.12</v>
      </c>
      <c r="V39" s="18" t="n">
        <v>91238.03999999999</v>
      </c>
      <c r="W39" s="18" t="n">
        <v>89698.49000000001</v>
      </c>
      <c r="X39" s="18" t="n">
        <v>87190.03</v>
      </c>
      <c r="Y39" s="18" t="n">
        <v>110804.24</v>
      </c>
      <c r="Z39" s="37" t="n">
        <v>110804.24</v>
      </c>
      <c r="AA39" s="18" t="n">
        <v>75718.56</v>
      </c>
      <c r="AB39" s="19" t="n">
        <v>126350.75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장기금융부채</t>
        </is>
      </c>
      <c r="E40" s="18" t="n">
        <v>62229.92</v>
      </c>
      <c r="F40" s="37" t="n">
        <v>62229.92</v>
      </c>
      <c r="G40" s="18" t="n">
        <v>61892.28</v>
      </c>
      <c r="H40" s="18" t="n">
        <v>57027.47</v>
      </c>
      <c r="I40" s="18" t="n">
        <v>53365.03</v>
      </c>
      <c r="J40" s="18" t="n">
        <v>48674.54</v>
      </c>
      <c r="K40" s="37" t="n">
        <v>48674.54</v>
      </c>
      <c r="L40" s="18" t="n">
        <v>44602.83</v>
      </c>
      <c r="M40" s="18" t="n">
        <v>55851.5</v>
      </c>
      <c r="N40" s="18" t="n">
        <v>52719</v>
      </c>
      <c r="O40" s="18" t="n">
        <v>49361.21</v>
      </c>
      <c r="P40" s="37" t="n">
        <v>49361.21</v>
      </c>
      <c r="Q40" s="18" t="n">
        <v>45868.28</v>
      </c>
      <c r="R40" s="18" t="n">
        <v>38284.48</v>
      </c>
      <c r="S40" s="18" t="n">
        <v>36227.02</v>
      </c>
      <c r="T40" s="18" t="n">
        <v>95156.12</v>
      </c>
      <c r="U40" s="37" t="n">
        <v>95156.12</v>
      </c>
      <c r="V40" s="18" t="n">
        <v>91238.03999999999</v>
      </c>
      <c r="W40" s="18" t="n">
        <v>89698.49000000001</v>
      </c>
      <c r="X40" s="18" t="n">
        <v>87190.03</v>
      </c>
      <c r="Y40" s="18" t="n">
        <v>85462.45</v>
      </c>
      <c r="Z40" s="37" t="n">
        <v>85462.45</v>
      </c>
      <c r="AA40" s="18" t="n">
        <v>149494.21</v>
      </c>
      <c r="AB40" s="19" t="n">
        <v>207821.55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장기파생상품부채</t>
        </is>
      </c>
      <c r="E41" s="18" t="n">
        <v>1062.99</v>
      </c>
      <c r="F41" s="37" t="n">
        <v>1062.99</v>
      </c>
      <c r="G41" s="18" t="n">
        <v>393.23</v>
      </c>
      <c r="H41" s="18" t="n">
        <v>284.35</v>
      </c>
      <c r="J41" s="18" t="n">
        <v>69.29000000000001</v>
      </c>
      <c r="K41" s="37" t="n">
        <v>69.29000000000001</v>
      </c>
      <c r="L41" s="18" t="n">
        <v>151.85</v>
      </c>
      <c r="P41" s="9" t="n"/>
      <c r="S41" s="18" t="n">
        <v>2285.84</v>
      </c>
      <c r="U41" s="9" t="n"/>
      <c r="Y41" s="18" t="n">
        <v>4878.03</v>
      </c>
      <c r="Z41" s="37" t="n">
        <v>4878.03</v>
      </c>
      <c r="AA41" s="18" t="n">
        <v>73775.64999999999</v>
      </c>
      <c r="AB41" s="19" t="n">
        <v>112763.85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이연법인세부채</t>
        </is>
      </c>
      <c r="E42" s="18" t="n">
        <v>60437.62</v>
      </c>
      <c r="F42" s="37" t="n">
        <v>60437.62</v>
      </c>
      <c r="G42" s="18" t="n">
        <v>60437.62</v>
      </c>
      <c r="H42" s="18" t="n">
        <v>73172.12</v>
      </c>
      <c r="I42" s="18" t="n">
        <v>36901.12</v>
      </c>
      <c r="J42" s="18" t="n">
        <v>118380.57</v>
      </c>
      <c r="K42" s="37" t="n">
        <v>118380.57</v>
      </c>
      <c r="L42" s="18" t="n">
        <v>118364.76</v>
      </c>
      <c r="M42" s="18" t="n">
        <v>127453.62</v>
      </c>
      <c r="N42" s="18" t="n">
        <v>127720.83</v>
      </c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부채총계</t>
        </is>
      </c>
      <c r="E43" s="18" t="n">
        <v>8313147.25</v>
      </c>
      <c r="F43" s="37" t="n">
        <v>8313147.25</v>
      </c>
      <c r="G43" s="18" t="n">
        <v>8942455.539999999</v>
      </c>
      <c r="H43" s="18" t="n">
        <v>10375971.54</v>
      </c>
      <c r="I43" s="18" t="n">
        <v>11486431.4</v>
      </c>
      <c r="J43" s="18" t="n">
        <v>11402970.67</v>
      </c>
      <c r="K43" s="37" t="n">
        <v>11402970.67</v>
      </c>
      <c r="L43" s="18" t="n">
        <v>11590802.07</v>
      </c>
      <c r="M43" s="18" t="n">
        <v>11217394.67</v>
      </c>
      <c r="N43" s="18" t="n">
        <v>10404833.09</v>
      </c>
      <c r="O43" s="18" t="n">
        <v>9458216.800000001</v>
      </c>
      <c r="P43" s="37" t="n">
        <v>9458216.800000001</v>
      </c>
      <c r="Q43" s="18" t="n">
        <v>10349000.78</v>
      </c>
      <c r="R43" s="18" t="n">
        <v>11809071.18</v>
      </c>
      <c r="S43" s="18" t="n">
        <v>12114587.37</v>
      </c>
      <c r="T43" s="18" t="n">
        <v>12892016.67</v>
      </c>
      <c r="U43" s="37" t="n">
        <v>12892016.67</v>
      </c>
      <c r="V43" s="18" t="n">
        <v>13021358.3</v>
      </c>
      <c r="W43" s="18" t="n">
        <v>12944363.79</v>
      </c>
      <c r="X43" s="18" t="n">
        <v>12879531.07</v>
      </c>
      <c r="Y43" s="18" t="n">
        <v>13730328.43</v>
      </c>
      <c r="Z43" s="37" t="n">
        <v>13730328.43</v>
      </c>
      <c r="AA43" s="18" t="n">
        <v>13725794.58</v>
      </c>
      <c r="AB43" s="19" t="n">
        <v>12370945.99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자본금</t>
        </is>
      </c>
      <c r="E44" s="18" t="n">
        <v>541453.34</v>
      </c>
      <c r="F44" s="37" t="n">
        <v>541453.34</v>
      </c>
      <c r="G44" s="18" t="n">
        <v>541453.34</v>
      </c>
      <c r="H44" s="18" t="n">
        <v>541453.34</v>
      </c>
      <c r="I44" s="18" t="n">
        <v>541453.34</v>
      </c>
      <c r="J44" s="18" t="n">
        <v>541453.34</v>
      </c>
      <c r="K44" s="37" t="n">
        <v>541453.34</v>
      </c>
      <c r="L44" s="18" t="n">
        <v>541453.34</v>
      </c>
      <c r="M44" s="18" t="n">
        <v>1089366.99</v>
      </c>
      <c r="N44" s="18" t="n">
        <v>1089366.99</v>
      </c>
      <c r="O44" s="18" t="n">
        <v>1536794.49</v>
      </c>
      <c r="P44" s="37" t="n">
        <v>1536794.49</v>
      </c>
      <c r="Q44" s="18" t="n">
        <v>1536794.49</v>
      </c>
      <c r="R44" s="18" t="n">
        <v>1536794.49</v>
      </c>
      <c r="S44" s="18" t="n">
        <v>1537066.97</v>
      </c>
      <c r="T44" s="18" t="n">
        <v>1537066.97</v>
      </c>
      <c r="U44" s="37" t="n">
        <v>1537066.97</v>
      </c>
      <c r="V44" s="18" t="n">
        <v>1537066.97</v>
      </c>
      <c r="W44" s="18" t="n">
        <v>1537066.97</v>
      </c>
      <c r="X44" s="18" t="n">
        <v>1537066.97</v>
      </c>
      <c r="Y44" s="18" t="n">
        <v>1537066.97</v>
      </c>
      <c r="Z44" s="37" t="n">
        <v>1537066.97</v>
      </c>
      <c r="AA44" s="18" t="n">
        <v>1537066.97</v>
      </c>
      <c r="AB44" s="19" t="n">
        <v>1537066.97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자본잉여금</t>
        </is>
      </c>
      <c r="E45" s="18" t="n">
        <v>-714.45</v>
      </c>
      <c r="F45" s="37" t="n">
        <v>-714.45</v>
      </c>
      <c r="G45" s="18" t="n">
        <v>-714.45</v>
      </c>
      <c r="H45" s="18" t="n">
        <v>-714.45</v>
      </c>
      <c r="I45" s="18" t="n">
        <v>-714.45</v>
      </c>
      <c r="J45" s="18" t="n">
        <v>-714.45</v>
      </c>
      <c r="K45" s="37" t="n">
        <v>-714.45</v>
      </c>
      <c r="L45" s="18" t="n">
        <v>-714.45</v>
      </c>
      <c r="M45" s="18" t="n">
        <v>1594965.47</v>
      </c>
      <c r="N45" s="18" t="n">
        <v>1594964.97</v>
      </c>
      <c r="O45" s="18" t="n">
        <v>2628374.16</v>
      </c>
      <c r="P45" s="37" t="n">
        <v>2628374.16</v>
      </c>
      <c r="Q45" s="18" t="n">
        <v>0</v>
      </c>
      <c r="R45" s="18" t="n">
        <v>0</v>
      </c>
      <c r="S45" s="18" t="n">
        <v>5839.6</v>
      </c>
      <c r="T45" s="18" t="n">
        <v>23477.33</v>
      </c>
      <c r="U45" s="37" t="n">
        <v>23477.33</v>
      </c>
      <c r="V45" s="18" t="n">
        <v>36431.91</v>
      </c>
      <c r="W45" s="18" t="n">
        <v>54678.7</v>
      </c>
      <c r="X45" s="18" t="n">
        <v>58222.95</v>
      </c>
      <c r="Y45" s="18" t="n">
        <v>86656.92999999999</v>
      </c>
      <c r="Z45" s="37" t="n">
        <v>86656.92999999999</v>
      </c>
      <c r="AA45" s="18" t="n">
        <v>111709.32</v>
      </c>
      <c r="AB45" s="19" t="n">
        <v>113743.9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기타자본</t>
        </is>
      </c>
      <c r="E46" s="18" t="n">
        <v>2649143.02</v>
      </c>
      <c r="F46" s="37" t="n">
        <v>2649143.02</v>
      </c>
      <c r="G46" s="18" t="n">
        <v>2649129.53</v>
      </c>
      <c r="H46" s="18" t="n">
        <v>2650568.57</v>
      </c>
      <c r="I46" s="18" t="n">
        <v>2605756.89</v>
      </c>
      <c r="J46" s="18" t="n">
        <v>2887329.3</v>
      </c>
      <c r="K46" s="37" t="n">
        <v>2887329.3</v>
      </c>
      <c r="L46" s="18" t="n">
        <v>2886938.06</v>
      </c>
      <c r="M46" s="18" t="n">
        <v>2327785.08</v>
      </c>
      <c r="N46" s="18" t="n">
        <v>2327785.08</v>
      </c>
      <c r="O46" s="18" t="n">
        <v>2327785.08</v>
      </c>
      <c r="P46" s="37" t="n">
        <v>2327785.08</v>
      </c>
      <c r="Q46" s="18" t="n">
        <v>2329460.92</v>
      </c>
      <c r="R46" s="18" t="n">
        <v>2332291.43</v>
      </c>
      <c r="S46" s="18" t="n">
        <v>2327441.31</v>
      </c>
      <c r="T46" s="18" t="n">
        <v>2327441.31</v>
      </c>
      <c r="U46" s="37" t="n">
        <v>2327441.31</v>
      </c>
      <c r="V46" s="18" t="n">
        <v>2327441.31</v>
      </c>
      <c r="W46" s="18" t="n">
        <v>2327441.31</v>
      </c>
      <c r="X46" s="18" t="n">
        <v>2327441.31</v>
      </c>
      <c r="Y46" s="18" t="n">
        <v>2327441.31</v>
      </c>
      <c r="Z46" s="37" t="n">
        <v>2327441.31</v>
      </c>
      <c r="AA46" s="18" t="n">
        <v>2322532.67</v>
      </c>
      <c r="AB46" s="19" t="n">
        <v>2322328.81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이익잉여금</t>
        </is>
      </c>
      <c r="E47" s="18" t="n">
        <v>-1062232.18</v>
      </c>
      <c r="F47" s="37" t="n">
        <v>-1062232.18</v>
      </c>
      <c r="G47" s="18" t="n">
        <v>-1553880.9</v>
      </c>
      <c r="H47" s="18" t="n">
        <v>-1736810.44</v>
      </c>
      <c r="I47" s="18" t="n">
        <v>-2345249.84</v>
      </c>
      <c r="J47" s="18" t="n">
        <v>-2784208.46</v>
      </c>
      <c r="K47" s="37" t="n">
        <v>-2784208.46</v>
      </c>
      <c r="L47" s="18" t="n">
        <v>-2906552.12</v>
      </c>
      <c r="M47" s="18" t="n">
        <v>-3354914.56</v>
      </c>
      <c r="N47" s="18" t="n">
        <v>-3138940.8</v>
      </c>
      <c r="O47" s="18" t="n">
        <v>-3001572.42</v>
      </c>
      <c r="P47" s="37" t="n">
        <v>-3001572.42</v>
      </c>
      <c r="Q47" s="18" t="n">
        <v>-334450.25</v>
      </c>
      <c r="R47" s="18" t="n">
        <v>-384877.35</v>
      </c>
      <c r="S47" s="18" t="n">
        <v>-479215.28</v>
      </c>
      <c r="T47" s="18" t="n">
        <v>73450.78999999999</v>
      </c>
      <c r="U47" s="37" t="n">
        <v>73450.78999999999</v>
      </c>
      <c r="V47" s="18" t="n">
        <v>280083.97</v>
      </c>
      <c r="W47" s="18" t="n">
        <v>455059.88</v>
      </c>
      <c r="X47" s="18" t="n">
        <v>731159.55</v>
      </c>
      <c r="Y47" s="18" t="n">
        <v>1488301.84</v>
      </c>
      <c r="Z47" s="37" t="n">
        <v>1488301.84</v>
      </c>
      <c r="AA47" s="18" t="n">
        <v>1989235.35</v>
      </c>
      <c r="AB47" s="19" t="n">
        <v>2666816.9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자본총계</t>
        </is>
      </c>
      <c r="E48" s="18" t="n">
        <v>2127649.73</v>
      </c>
      <c r="F48" s="37" t="n">
        <v>2127649.73</v>
      </c>
      <c r="G48" s="18" t="n">
        <v>1635987.52</v>
      </c>
      <c r="H48" s="18" t="n">
        <v>1454497.02</v>
      </c>
      <c r="I48" s="18" t="n">
        <v>801245.9399999999</v>
      </c>
      <c r="J48" s="18" t="n">
        <v>643859.73</v>
      </c>
      <c r="K48" s="37" t="n">
        <v>643859.73</v>
      </c>
      <c r="L48" s="18" t="n">
        <v>521124.82</v>
      </c>
      <c r="M48" s="18" t="n">
        <v>2210544.28</v>
      </c>
      <c r="N48" s="18" t="n">
        <v>2427893.63</v>
      </c>
      <c r="O48" s="18" t="n">
        <v>4044940.34</v>
      </c>
      <c r="P48" s="37" t="n">
        <v>4044940.34</v>
      </c>
      <c r="Q48" s="18" t="n">
        <v>4085449.25</v>
      </c>
      <c r="R48" s="18" t="n">
        <v>4037600.33</v>
      </c>
      <c r="S48" s="18" t="n">
        <v>3945116.15</v>
      </c>
      <c r="T48" s="18" t="n">
        <v>4515193.28</v>
      </c>
      <c r="U48" s="37" t="n">
        <v>4515193.28</v>
      </c>
      <c r="V48" s="18" t="n">
        <v>4734670.41</v>
      </c>
      <c r="W48" s="18" t="n">
        <v>4938122.38</v>
      </c>
      <c r="X48" s="18" t="n">
        <v>5217711.92</v>
      </c>
      <c r="Y48" s="18" t="n">
        <v>5994317.61</v>
      </c>
      <c r="Z48" s="37" t="n">
        <v>5994317.61</v>
      </c>
      <c r="AA48" s="18" t="n">
        <v>6514137.13</v>
      </c>
      <c r="AB48" s="19" t="n">
        <v>7193208.51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부채와자본총계</t>
        </is>
      </c>
      <c r="E49" s="18" t="n">
        <v>10440796.98</v>
      </c>
      <c r="F49" s="37" t="n">
        <v>10440796.98</v>
      </c>
      <c r="G49" s="18" t="n">
        <v>10578443.06</v>
      </c>
      <c r="H49" s="18" t="n">
        <v>11830468.56</v>
      </c>
      <c r="I49" s="18" t="n">
        <v>12287677.34</v>
      </c>
      <c r="J49" s="18" t="n">
        <v>12046830.4</v>
      </c>
      <c r="K49" s="37" t="n">
        <v>12046830.4</v>
      </c>
      <c r="L49" s="18" t="n">
        <v>12111926.89</v>
      </c>
      <c r="M49" s="18" t="n">
        <v>13427938.96</v>
      </c>
      <c r="N49" s="18" t="n">
        <v>12832726.72</v>
      </c>
      <c r="O49" s="18" t="n">
        <v>13503157.15</v>
      </c>
      <c r="P49" s="37" t="n">
        <v>13503157.15</v>
      </c>
      <c r="Q49" s="18" t="n">
        <v>14434450.02</v>
      </c>
      <c r="R49" s="18" t="n">
        <v>15846671.5</v>
      </c>
      <c r="S49" s="18" t="n">
        <v>16059703.52</v>
      </c>
      <c r="T49" s="18" t="n">
        <v>17407209.94</v>
      </c>
      <c r="U49" s="37" t="n">
        <v>17407209.94</v>
      </c>
      <c r="V49" s="18" t="n">
        <v>17756028.72</v>
      </c>
      <c r="W49" s="18" t="n">
        <v>17882486.17</v>
      </c>
      <c r="X49" s="18" t="n">
        <v>18097243</v>
      </c>
      <c r="Y49" s="18" t="n">
        <v>19724646.03</v>
      </c>
      <c r="Z49" s="37" t="n">
        <v>19724646.03</v>
      </c>
      <c r="AA49" s="18" t="n">
        <v>20239931.7</v>
      </c>
      <c r="AB49" s="19" t="n">
        <v>19564154.5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지배주주지분</t>
        </is>
      </c>
      <c r="E50" s="18" t="n">
        <v>2127649.73</v>
      </c>
      <c r="F50" s="37" t="n">
        <v>2127649.73</v>
      </c>
      <c r="G50" s="18" t="n">
        <v>1635987.52</v>
      </c>
      <c r="H50" s="18" t="n">
        <v>1454497.02</v>
      </c>
      <c r="I50" s="18" t="n">
        <v>801245.9399999999</v>
      </c>
      <c r="J50" s="18" t="n">
        <v>643859.73</v>
      </c>
      <c r="K50" s="37" t="n">
        <v>643859.73</v>
      </c>
      <c r="L50" s="18" t="n">
        <v>521124.82</v>
      </c>
      <c r="M50" s="18" t="n">
        <v>2210544.28</v>
      </c>
      <c r="N50" s="18" t="n">
        <v>2427893.63</v>
      </c>
      <c r="O50" s="18" t="n">
        <v>4044940.34</v>
      </c>
      <c r="P50" s="37" t="n">
        <v>4044940.34</v>
      </c>
      <c r="Q50" s="18" t="n">
        <v>4085449.25</v>
      </c>
      <c r="R50" s="18" t="n">
        <v>4037600.33</v>
      </c>
      <c r="S50" s="18" t="n">
        <v>3945116.15</v>
      </c>
      <c r="T50" s="18" t="n">
        <v>4515193.28</v>
      </c>
      <c r="U50" s="37" t="n">
        <v>4515193.28</v>
      </c>
      <c r="V50" s="18" t="n">
        <v>4734670.41</v>
      </c>
      <c r="W50" s="18" t="n">
        <v>4938122.38</v>
      </c>
      <c r="X50" s="18" t="n">
        <v>5217711.92</v>
      </c>
      <c r="Y50" s="18" t="n">
        <v>5994317.61</v>
      </c>
      <c r="Z50" s="37" t="n">
        <v>5994317.61</v>
      </c>
      <c r="AA50" s="18" t="n">
        <v>6514137.13</v>
      </c>
      <c r="AB50" s="19" t="n">
        <v>7193208.51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총차입금</t>
        </is>
      </c>
      <c r="E51" s="18" t="n">
        <v>2637131.45</v>
      </c>
      <c r="F51" s="37" t="n">
        <v>2637131.45</v>
      </c>
      <c r="G51" s="18" t="n">
        <v>2815381</v>
      </c>
      <c r="H51" s="18" t="n">
        <v>2911794.27</v>
      </c>
      <c r="I51" s="18" t="n">
        <v>2962710.77</v>
      </c>
      <c r="J51" s="18" t="n">
        <v>2622272.39</v>
      </c>
      <c r="K51" s="37" t="n">
        <v>2622272.39</v>
      </c>
      <c r="L51" s="18" t="n">
        <v>3010594.51</v>
      </c>
      <c r="M51" s="18" t="n">
        <v>2274257.09</v>
      </c>
      <c r="N51" s="18" t="n">
        <v>2206763.51</v>
      </c>
      <c r="O51" s="18" t="n">
        <v>2084114.02</v>
      </c>
      <c r="P51" s="37" t="n">
        <v>2084114.02</v>
      </c>
      <c r="Q51" s="18" t="n">
        <v>3322377.04</v>
      </c>
      <c r="R51" s="18" t="n">
        <v>4165013.54</v>
      </c>
      <c r="S51" s="18" t="n">
        <v>4786290.48</v>
      </c>
      <c r="T51" s="18" t="n">
        <v>5163714.54</v>
      </c>
      <c r="U51" s="37" t="n">
        <v>5163714.54</v>
      </c>
      <c r="V51" s="18" t="n">
        <v>5420481.96</v>
      </c>
      <c r="W51" s="18" t="n">
        <v>4922539.27</v>
      </c>
      <c r="X51" s="18" t="n">
        <v>5039167.84</v>
      </c>
      <c r="Y51" s="18" t="n">
        <v>5506183.62</v>
      </c>
      <c r="Z51" s="37" t="n">
        <v>5506183.62</v>
      </c>
      <c r="AA51" s="18" t="n">
        <v>5999427.8</v>
      </c>
      <c r="AB51" s="19" t="n">
        <v>5870915.14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순차입금</t>
        </is>
      </c>
      <c r="E52" s="18" t="n">
        <v>597133.5</v>
      </c>
      <c r="F52" s="37" t="n">
        <v>597133.5</v>
      </c>
      <c r="G52" s="18" t="n">
        <v>1416803.7</v>
      </c>
      <c r="H52" s="18" t="n">
        <v>1672286</v>
      </c>
      <c r="I52" s="18" t="n">
        <v>1854260.15</v>
      </c>
      <c r="J52" s="18" t="n">
        <v>1509598.26</v>
      </c>
      <c r="K52" s="37" t="n">
        <v>1509598.26</v>
      </c>
      <c r="L52" s="18" t="n">
        <v>2773587.23</v>
      </c>
      <c r="M52" s="18" t="n">
        <v>739774.79</v>
      </c>
      <c r="N52" s="18" t="n">
        <v>1251788.42</v>
      </c>
      <c r="O52" s="18" t="n">
        <v>313617.03</v>
      </c>
      <c r="P52" s="37" t="n">
        <v>313617.03</v>
      </c>
      <c r="Q52" s="18" t="n">
        <v>1733555.3</v>
      </c>
      <c r="R52" s="18" t="n">
        <v>2439859.78</v>
      </c>
      <c r="S52" s="18" t="n">
        <v>3898297.43</v>
      </c>
      <c r="T52" s="18" t="n">
        <v>4749380.08</v>
      </c>
      <c r="U52" s="37" t="n">
        <v>4749380.08</v>
      </c>
      <c r="V52" s="18" t="n">
        <v>4657769.36</v>
      </c>
      <c r="W52" s="18" t="n">
        <v>4103785.61</v>
      </c>
      <c r="X52" s="18" t="n">
        <v>4820025.42</v>
      </c>
      <c r="Y52" s="18" t="n">
        <v>4904159.23</v>
      </c>
      <c r="Z52" s="37" t="n">
        <v>4904159.23</v>
      </c>
      <c r="AA52" s="18" t="n">
        <v>5102679.93</v>
      </c>
      <c r="AB52" s="19" t="n">
        <v>4624949.6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이자발생자산</t>
        </is>
      </c>
      <c r="E53" s="18" t="n">
        <v>2273162.65</v>
      </c>
      <c r="F53" s="37" t="n">
        <v>2273162.65</v>
      </c>
      <c r="G53" s="18" t="n">
        <v>1626919.5</v>
      </c>
      <c r="H53" s="18" t="n">
        <v>1317531.68</v>
      </c>
      <c r="I53" s="18" t="n">
        <v>1148673.61</v>
      </c>
      <c r="J53" s="18" t="n">
        <v>1152920.19</v>
      </c>
      <c r="K53" s="37" t="n">
        <v>1152920.19</v>
      </c>
      <c r="L53" s="18" t="n">
        <v>237007.28</v>
      </c>
      <c r="M53" s="18" t="n">
        <v>1573754.55</v>
      </c>
      <c r="N53" s="18" t="n">
        <v>995628.72</v>
      </c>
      <c r="O53" s="18" t="n">
        <v>1809935.83</v>
      </c>
      <c r="P53" s="37" t="n">
        <v>1809935.83</v>
      </c>
      <c r="Q53" s="18" t="n">
        <v>1629313.87</v>
      </c>
      <c r="R53" s="18" t="n">
        <v>1776245.9</v>
      </c>
      <c r="S53" s="18" t="n">
        <v>939677.46</v>
      </c>
      <c r="T53" s="18" t="n">
        <v>469489.28</v>
      </c>
      <c r="U53" s="37" t="n">
        <v>469489.28</v>
      </c>
      <c r="V53" s="18" t="n">
        <v>816129.03</v>
      </c>
      <c r="W53" s="18" t="n">
        <v>872148.5600000001</v>
      </c>
      <c r="X53" s="18" t="n">
        <v>273635.68</v>
      </c>
      <c r="Y53" s="18" t="n">
        <v>656821.83</v>
      </c>
      <c r="Z53" s="37" t="n">
        <v>656821.83</v>
      </c>
      <c r="AA53" s="18" t="n">
        <v>951745.37</v>
      </c>
      <c r="AB53" s="19" t="n">
        <v>1300773.61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당기법인세자산(선급법인세)</t>
        </is>
      </c>
      <c r="F54" s="9" t="n"/>
      <c r="G54" s="18" t="n">
        <v>948.34</v>
      </c>
      <c r="H54" s="18" t="n">
        <v>3795.75</v>
      </c>
      <c r="I54" s="18" t="n">
        <v>4818.44</v>
      </c>
      <c r="J54" s="18" t="n">
        <v>5751.49</v>
      </c>
      <c r="K54" s="37" t="n">
        <v>5751.49</v>
      </c>
      <c r="L54" s="18" t="n">
        <v>6576.28</v>
      </c>
      <c r="M54" s="18" t="n">
        <v>2389.52</v>
      </c>
      <c r="N54" s="18" t="n">
        <v>3792.54</v>
      </c>
      <c r="O54" s="18" t="n">
        <v>5328.55</v>
      </c>
      <c r="P54" s="37" t="n">
        <v>5328.55</v>
      </c>
      <c r="Q54" s="18" t="n">
        <v>7961.76</v>
      </c>
      <c r="R54" s="18" t="n">
        <v>5622.7</v>
      </c>
      <c r="S54" s="18" t="n">
        <v>7125.81</v>
      </c>
      <c r="T54" s="18" t="n">
        <v>8150.98</v>
      </c>
      <c r="U54" s="37" t="n">
        <v>8150.98</v>
      </c>
      <c r="V54" s="18" t="n">
        <v>8948.76</v>
      </c>
      <c r="W54" s="18" t="n">
        <v>1897.41</v>
      </c>
      <c r="X54" s="18" t="n">
        <v>2481.71</v>
      </c>
      <c r="Z54" s="9" t="n"/>
      <c r="AB54" s="19" t="n">
        <v>1835.03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기타유동금융부채</t>
        </is>
      </c>
      <c r="F55" s="9" t="n"/>
      <c r="H55" s="18" t="n">
        <v>25751.28</v>
      </c>
      <c r="I55" s="18" t="n">
        <v>50921.84</v>
      </c>
      <c r="J55" s="18" t="n">
        <v>31440.48</v>
      </c>
      <c r="K55" s="37" t="n">
        <v>31440.48</v>
      </c>
      <c r="L55" s="18" t="n">
        <v>28739.37</v>
      </c>
      <c r="M55" s="18" t="n">
        <v>16702.79</v>
      </c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단기금융부채</t>
        </is>
      </c>
      <c r="F56" s="9" t="n"/>
      <c r="H56" s="18" t="n">
        <v>25751.28</v>
      </c>
      <c r="I56" s="18" t="n">
        <v>50921.84</v>
      </c>
      <c r="J56" s="18" t="n">
        <v>31440.48</v>
      </c>
      <c r="K56" s="37" t="n">
        <v>31440.48</v>
      </c>
      <c r="L56" s="18" t="n">
        <v>28739.37</v>
      </c>
      <c r="M56" s="18" t="n">
        <v>16702.79</v>
      </c>
      <c r="P56" s="9" t="n"/>
      <c r="U56" s="9" t="n"/>
      <c r="W56" s="18" t="n">
        <v>155113.83</v>
      </c>
      <c r="X56" s="18" t="n">
        <v>142423.97</v>
      </c>
      <c r="Y56" s="18" t="n">
        <v>99176.92</v>
      </c>
      <c r="Z56" s="37" t="n">
        <v>99176.92</v>
      </c>
      <c r="AA56" s="18" t="n">
        <v>74104.37</v>
      </c>
      <c r="AB56" s="19" t="n">
        <v>135025.87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기타유동금융자산</t>
        </is>
      </c>
      <c r="F57" s="9" t="n"/>
      <c r="K57" s="9" t="n"/>
      <c r="L57" s="18" t="n">
        <v>414700.74</v>
      </c>
      <c r="M57" s="18" t="n">
        <v>429609.86</v>
      </c>
      <c r="N57" s="18" t="n">
        <v>91734.81</v>
      </c>
      <c r="O57" s="18" t="n">
        <v>108239.3</v>
      </c>
      <c r="P57" s="37" t="n">
        <v>108239.3</v>
      </c>
      <c r="Q57" s="18" t="n">
        <v>109262.09</v>
      </c>
      <c r="R57" s="18" t="n">
        <v>10780.51</v>
      </c>
      <c r="S57" s="18" t="n">
        <v>10991.31</v>
      </c>
      <c r="T57" s="18" t="n">
        <v>11454.87</v>
      </c>
      <c r="U57" s="37" t="n">
        <v>11454.87</v>
      </c>
      <c r="V57" s="18" t="n">
        <v>11462.79</v>
      </c>
      <c r="W57" s="18" t="n">
        <v>4752.2</v>
      </c>
      <c r="X57" s="18" t="n">
        <v>4834.52</v>
      </c>
      <c r="Y57" s="18" t="n">
        <v>4404</v>
      </c>
      <c r="Z57" s="37" t="n">
        <v>4404</v>
      </c>
      <c r="AA57" s="18" t="n">
        <v>4485</v>
      </c>
      <c r="AB57" s="19" t="n">
        <v>14512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확정급여부채</t>
        </is>
      </c>
      <c r="F58" s="9" t="n"/>
      <c r="K58" s="9" t="n"/>
      <c r="L58" s="18" t="n">
        <v>21558.39</v>
      </c>
      <c r="P58" s="9" t="n"/>
      <c r="U58" s="9" t="n"/>
      <c r="V58" s="18" t="n">
        <v>157130.47</v>
      </c>
      <c r="W58" s="18" t="n">
        <v>175991.71</v>
      </c>
      <c r="X58" s="18" t="n">
        <v>190644.95</v>
      </c>
      <c r="Y58" s="18" t="n">
        <v>129805.8</v>
      </c>
      <c r="Z58" s="37" t="n">
        <v>129805.8</v>
      </c>
      <c r="AA58" s="18" t="n">
        <v>41662.76</v>
      </c>
      <c r="AB58" s="19" t="n">
        <v>182381.4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단기금융부채(face)</t>
        </is>
      </c>
      <c r="F59" s="9" t="n"/>
      <c r="K59" s="9" t="n"/>
      <c r="M59" s="18" t="n">
        <v>647468.41</v>
      </c>
      <c r="N59" s="18" t="n">
        <v>544631.12</v>
      </c>
      <c r="O59" s="18" t="n">
        <v>494162.6</v>
      </c>
      <c r="P59" s="37" t="n">
        <v>494162.6</v>
      </c>
      <c r="Q59" s="18" t="n">
        <v>1679649.27</v>
      </c>
      <c r="R59" s="18" t="n">
        <v>2485199.05</v>
      </c>
      <c r="S59" s="18" t="n">
        <v>3145042.2</v>
      </c>
      <c r="T59" s="18" t="n">
        <v>3201449.85</v>
      </c>
      <c r="U59" s="37" t="n">
        <v>3201449.85</v>
      </c>
      <c r="V59" s="18" t="n">
        <v>3335499.92</v>
      </c>
      <c r="W59" s="18" t="n">
        <v>2983414.4</v>
      </c>
      <c r="X59" s="18" t="n">
        <v>2978045.82</v>
      </c>
      <c r="Y59" s="18" t="n">
        <v>3220177.27</v>
      </c>
      <c r="Z59" s="37" t="n">
        <v>3220177.27</v>
      </c>
      <c r="AA59" s="18" t="n">
        <v>3443704.22</v>
      </c>
      <c r="AB59" s="19" t="n">
        <v>3292402.72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장기금융부채(face)</t>
        </is>
      </c>
      <c r="F60" s="9" t="n"/>
      <c r="K60" s="9" t="n"/>
      <c r="M60" s="18" t="n">
        <v>1626788.68</v>
      </c>
      <c r="N60" s="18" t="n">
        <v>1662132.39</v>
      </c>
      <c r="P60" s="9" t="n"/>
      <c r="T60" s="18" t="n">
        <v>1962264.69</v>
      </c>
      <c r="U60" s="37" t="n">
        <v>1962264.69</v>
      </c>
      <c r="V60" s="18" t="n">
        <v>2084982.04</v>
      </c>
      <c r="W60" s="18" t="n">
        <v>1939124.87</v>
      </c>
      <c r="X60" s="18" t="n">
        <v>2061122.02</v>
      </c>
      <c r="Y60" s="18" t="n">
        <v>2286006.35</v>
      </c>
      <c r="Z60" s="37" t="n">
        <v>2286006.35</v>
      </c>
      <c r="AA60" s="18" t="n">
        <v>2555723.58</v>
      </c>
      <c r="AB60" s="19" t="n">
        <v>2578512.42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기타포괄이익누계액</t>
        </is>
      </c>
      <c r="F61" s="9" t="n"/>
      <c r="K61" s="9" t="n"/>
      <c r="M61" s="18" t="n">
        <v>553341.3100000001</v>
      </c>
      <c r="N61" s="18" t="n">
        <v>554717.39</v>
      </c>
      <c r="O61" s="18" t="n">
        <v>553559.04</v>
      </c>
      <c r="P61" s="37" t="n">
        <v>553559.04</v>
      </c>
      <c r="Q61" s="18" t="n">
        <v>553644.09</v>
      </c>
      <c r="R61" s="18" t="n">
        <v>553391.75</v>
      </c>
      <c r="S61" s="18" t="n">
        <v>553983.5600000001</v>
      </c>
      <c r="T61" s="18" t="n">
        <v>553756.89</v>
      </c>
      <c r="U61" s="37" t="n">
        <v>553756.89</v>
      </c>
      <c r="V61" s="18" t="n">
        <v>553646.26</v>
      </c>
      <c r="W61" s="18" t="n">
        <v>563875.53</v>
      </c>
      <c r="X61" s="18" t="n">
        <v>563821.14</v>
      </c>
      <c r="Y61" s="18" t="n">
        <v>554850.5600000001</v>
      </c>
      <c r="Z61" s="37" t="n">
        <v>554850.5600000001</v>
      </c>
      <c r="AA61" s="18" t="n">
        <v>553592.8199999999</v>
      </c>
      <c r="AB61" s="19" t="n">
        <v>553251.9300000001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이연법인세자산</t>
        </is>
      </c>
      <c r="F62" s="9" t="n"/>
      <c r="K62" s="9" t="n"/>
      <c r="O62" s="18" t="n">
        <v>163892.42</v>
      </c>
      <c r="P62" s="37" t="n">
        <v>163892.42</v>
      </c>
      <c r="Q62" s="18" t="n">
        <v>163892.42</v>
      </c>
      <c r="R62" s="18" t="n">
        <v>154090.12</v>
      </c>
      <c r="S62" s="18" t="n">
        <v>154090.12</v>
      </c>
      <c r="T62" s="18" t="n">
        <v>506573.93</v>
      </c>
      <c r="U62" s="37" t="n">
        <v>506573.93</v>
      </c>
      <c r="V62" s="18" t="n">
        <v>506573.93</v>
      </c>
      <c r="W62" s="18" t="n">
        <v>498512.13</v>
      </c>
      <c r="X62" s="18" t="n">
        <v>498484.85</v>
      </c>
      <c r="Y62" s="18" t="n">
        <v>950308.59</v>
      </c>
      <c r="Z62" s="37" t="n">
        <v>950308.59</v>
      </c>
      <c r="AA62" s="18" t="n">
        <v>950335.73</v>
      </c>
      <c r="AB62" s="19" t="n">
        <v>950335.73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비유동파생상품자산</t>
        </is>
      </c>
      <c r="F63" s="9" t="n"/>
      <c r="K63" s="9" t="n"/>
      <c r="P63" s="9" t="n"/>
      <c r="U63" s="9" t="n"/>
      <c r="W63" s="18" t="n">
        <v>12.81</v>
      </c>
      <c r="X63" s="18" t="n">
        <v>1418.5</v>
      </c>
      <c r="Y63" s="18" t="n">
        <v>4864.26</v>
      </c>
      <c r="Z63" s="37" t="n">
        <v>4864.26</v>
      </c>
      <c r="AB63" s="5" t="n"/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단기파생상품부채</t>
        </is>
      </c>
      <c r="F64" s="9" t="n"/>
      <c r="K64" s="9" t="n"/>
      <c r="P64" s="9" t="n"/>
      <c r="U64" s="9" t="n"/>
      <c r="W64" s="18" t="n">
        <v>155113.83</v>
      </c>
      <c r="X64" s="18" t="n">
        <v>142423.97</v>
      </c>
      <c r="Y64" s="18" t="n">
        <v>68957.10000000001</v>
      </c>
      <c r="Z64" s="37" t="n">
        <v>68957.10000000001</v>
      </c>
      <c r="AA64" s="18" t="n">
        <v>74104.37</v>
      </c>
      <c r="AB64" s="19" t="n">
        <v>103732.82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유동리스부채</t>
        </is>
      </c>
      <c r="F65" s="9" t="n"/>
      <c r="K65" s="9" t="n"/>
      <c r="P65" s="9" t="n"/>
      <c r="U65" s="9" t="n"/>
      <c r="Y65" s="18" t="n">
        <v>30219.82</v>
      </c>
      <c r="Z65" s="37" t="n">
        <v>30219.82</v>
      </c>
      <c r="AB65" s="19" t="n">
        <v>31293.05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유동파생상품자산</t>
        </is>
      </c>
      <c r="F66" s="9" t="n"/>
      <c r="K66" s="9" t="n"/>
      <c r="P66" s="9" t="n"/>
      <c r="U66" s="9" t="n"/>
      <c r="Z66" s="9" t="n"/>
      <c r="AA66" s="18" t="n">
        <v>11835.59</v>
      </c>
      <c r="AB66" s="19" t="n">
        <v>14682.83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매출액(수익)</t>
        </is>
      </c>
      <c r="E67" s="18" t="n">
        <v>1345672.48</v>
      </c>
      <c r="F67" s="9" t="n"/>
      <c r="G67" s="18" t="n">
        <v>1235139.56</v>
      </c>
      <c r="H67" s="18" t="n">
        <v>1173752.07</v>
      </c>
      <c r="I67" s="18" t="n">
        <v>972632.91</v>
      </c>
      <c r="J67" s="18" t="n">
        <v>1436137.71</v>
      </c>
      <c r="K67" s="37" t="n">
        <v>4817662.25</v>
      </c>
      <c r="L67" s="18" t="n">
        <v>1439385.45</v>
      </c>
      <c r="M67" s="18" t="n">
        <v>1820370.98</v>
      </c>
      <c r="N67" s="18" t="n">
        <v>1951555.97</v>
      </c>
      <c r="O67" s="18" t="n">
        <v>2214666.4</v>
      </c>
      <c r="P67" s="37" t="n">
        <v>7425978.8</v>
      </c>
      <c r="Q67" s="18" t="n">
        <v>2252955.06</v>
      </c>
      <c r="R67" s="18" t="n">
        <v>2542676.8</v>
      </c>
      <c r="S67" s="18" t="n">
        <v>2707050.64</v>
      </c>
      <c r="T67" s="18" t="n">
        <v>3262074.49</v>
      </c>
      <c r="U67" s="37" t="n">
        <v>10764756.99</v>
      </c>
      <c r="V67" s="18" t="n">
        <v>3167008.3</v>
      </c>
      <c r="W67" s="18" t="n">
        <v>3415079.71</v>
      </c>
      <c r="X67" s="18" t="n">
        <v>2993620.97</v>
      </c>
      <c r="Y67" s="18" t="n">
        <v>3327885.37</v>
      </c>
      <c r="Z67" s="37" t="n">
        <v>12903594.35</v>
      </c>
      <c r="AA67" s="18" t="n">
        <v>3165781.37</v>
      </c>
      <c r="AB67" s="19" t="n">
        <v>5443697.05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매출원가</t>
        </is>
      </c>
      <c r="E68" s="18" t="n">
        <v>1790458.91</v>
      </c>
      <c r="F68" s="9" t="n"/>
      <c r="G68" s="18" t="n">
        <v>1647325.99</v>
      </c>
      <c r="H68" s="18" t="n">
        <v>1219866.27</v>
      </c>
      <c r="I68" s="18" t="n">
        <v>1549039.63</v>
      </c>
      <c r="J68" s="18" t="n">
        <v>1783315.42</v>
      </c>
      <c r="K68" s="37" t="n">
        <v>6199547.31</v>
      </c>
      <c r="L68" s="18" t="n">
        <v>1447233.92</v>
      </c>
      <c r="M68" s="18" t="n">
        <v>1909569.92</v>
      </c>
      <c r="N68" s="18" t="n">
        <v>1821678.7</v>
      </c>
      <c r="O68" s="18" t="n">
        <v>2201010.05</v>
      </c>
      <c r="P68" s="37" t="n">
        <v>7379492.59</v>
      </c>
      <c r="Q68" s="18" t="n">
        <v>2127454.53</v>
      </c>
      <c r="R68" s="18" t="n">
        <v>2484848.32</v>
      </c>
      <c r="S68" s="18" t="n">
        <v>2584347.86</v>
      </c>
      <c r="T68" s="18" t="n">
        <v>2927071.29</v>
      </c>
      <c r="U68" s="37" t="n">
        <v>10123722</v>
      </c>
      <c r="V68" s="18" t="n">
        <v>2756743.53</v>
      </c>
      <c r="W68" s="18" t="n">
        <v>2882951.85</v>
      </c>
      <c r="X68" s="18" t="n">
        <v>2561383</v>
      </c>
      <c r="Y68" s="18" t="n">
        <v>2884430.85</v>
      </c>
      <c r="Z68" s="37" t="n">
        <v>11085509.23</v>
      </c>
      <c r="AA68" s="18" t="n">
        <v>2581263.65</v>
      </c>
      <c r="AB68" s="19" t="n">
        <v>4515716.77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매출총이익</t>
        </is>
      </c>
      <c r="E69" s="18" t="n">
        <v>-444786.43</v>
      </c>
      <c r="F69" s="9" t="n"/>
      <c r="G69" s="18" t="n">
        <v>-412186.43</v>
      </c>
      <c r="H69" s="18" t="n">
        <v>-46114.2</v>
      </c>
      <c r="I69" s="18" t="n">
        <v>-576406.72</v>
      </c>
      <c r="J69" s="18" t="n">
        <v>-347177.71</v>
      </c>
      <c r="K69" s="37" t="n">
        <v>-1381885.06</v>
      </c>
      <c r="L69" s="18" t="n">
        <v>-7848.46</v>
      </c>
      <c r="M69" s="18" t="n">
        <v>-89198.94</v>
      </c>
      <c r="N69" s="18" t="n">
        <v>129877.27</v>
      </c>
      <c r="O69" s="18" t="n">
        <v>13656.35</v>
      </c>
      <c r="P69" s="37" t="n">
        <v>46486.22</v>
      </c>
      <c r="Q69" s="18" t="n">
        <v>125500.53</v>
      </c>
      <c r="R69" s="18" t="n">
        <v>57828.48</v>
      </c>
      <c r="S69" s="18" t="n">
        <v>122702.78</v>
      </c>
      <c r="T69" s="18" t="n">
        <v>335003.2</v>
      </c>
      <c r="U69" s="37" t="n">
        <v>641034.99</v>
      </c>
      <c r="V69" s="18" t="n">
        <v>410264.77</v>
      </c>
      <c r="W69" s="18" t="n">
        <v>532127.87</v>
      </c>
      <c r="X69" s="18" t="n">
        <v>432237.97</v>
      </c>
      <c r="Y69" s="18" t="n">
        <v>443454.52</v>
      </c>
      <c r="Z69" s="37" t="n">
        <v>1818085.13</v>
      </c>
      <c r="AA69" s="18" t="n">
        <v>584517.71</v>
      </c>
      <c r="AB69" s="19" t="n">
        <v>927980.27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판관비</t>
        </is>
      </c>
      <c r="E70" s="18" t="n">
        <v>65764.67999999999</v>
      </c>
      <c r="F70" s="9" t="n"/>
      <c r="G70" s="18" t="n">
        <v>58100.42</v>
      </c>
      <c r="H70" s="18" t="n">
        <v>60675.98</v>
      </c>
      <c r="I70" s="18" t="n">
        <v>59045.06</v>
      </c>
      <c r="J70" s="18" t="n">
        <v>83594.53999999999</v>
      </c>
      <c r="K70" s="37" t="n">
        <v>261416</v>
      </c>
      <c r="L70" s="18" t="n">
        <v>58190.82</v>
      </c>
      <c r="M70" s="18" t="n">
        <v>81670.74000000001</v>
      </c>
      <c r="N70" s="18" t="n">
        <v>66478.82000000001</v>
      </c>
      <c r="O70" s="18" t="n">
        <v>78650.73</v>
      </c>
      <c r="P70" s="37" t="n">
        <v>284991.11</v>
      </c>
      <c r="Q70" s="18" t="n">
        <v>80111.91</v>
      </c>
      <c r="R70" s="18" t="n">
        <v>83963.42</v>
      </c>
      <c r="S70" s="18" t="n">
        <v>102803.52</v>
      </c>
      <c r="T70" s="18" t="n">
        <v>163381.99</v>
      </c>
      <c r="U70" s="37" t="n">
        <v>430260.84</v>
      </c>
      <c r="V70" s="18" t="n">
        <v>151541.7</v>
      </c>
      <c r="W70" s="18" t="n">
        <v>142583.85</v>
      </c>
      <c r="X70" s="18" t="n">
        <v>154268.67</v>
      </c>
      <c r="Y70" s="18" t="n">
        <v>215688.06</v>
      </c>
      <c r="Z70" s="37" t="n">
        <v>664082.28</v>
      </c>
      <c r="AA70" s="18" t="n">
        <v>183642.8</v>
      </c>
      <c r="AB70" s="19" t="n">
        <v>212163.11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영업이익</t>
        </is>
      </c>
      <c r="E71" s="18" t="n">
        <v>-510551.11</v>
      </c>
      <c r="F71" s="9" t="n"/>
      <c r="G71" s="18" t="n">
        <v>-470286.86</v>
      </c>
      <c r="H71" s="18" t="n">
        <v>-106790.18</v>
      </c>
      <c r="I71" s="18" t="n">
        <v>-635451.78</v>
      </c>
      <c r="J71" s="18" t="n">
        <v>-430772.25</v>
      </c>
      <c r="K71" s="37" t="n">
        <v>-1643301.07</v>
      </c>
      <c r="L71" s="18" t="n">
        <v>-66039.28</v>
      </c>
      <c r="M71" s="18" t="n">
        <v>-170869.68</v>
      </c>
      <c r="N71" s="18" t="n">
        <v>63398.45</v>
      </c>
      <c r="P71" s="9" t="n"/>
      <c r="Q71" s="18" t="n">
        <v>45388.62</v>
      </c>
      <c r="R71" s="18" t="n">
        <v>-26134.94</v>
      </c>
      <c r="S71" s="18" t="n">
        <v>19899.26</v>
      </c>
      <c r="T71" s="18" t="n">
        <v>171621.21</v>
      </c>
      <c r="U71" s="37" t="n">
        <v>210774.15</v>
      </c>
      <c r="V71" s="18" t="n">
        <v>258723.08</v>
      </c>
      <c r="W71" s="18" t="n">
        <v>389544.02</v>
      </c>
      <c r="X71" s="18" t="n">
        <v>277969.3</v>
      </c>
      <c r="Y71" s="18" t="n">
        <v>227766.46</v>
      </c>
      <c r="Z71" s="37" t="n">
        <v>1154002.86</v>
      </c>
      <c r="AA71" s="18" t="n">
        <v>400874.92</v>
      </c>
      <c r="AB71" s="19" t="n">
        <v>715817.16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금융수익</t>
        </is>
      </c>
      <c r="E72" s="18" t="n">
        <v>31007.76</v>
      </c>
      <c r="F72" s="9" t="n"/>
      <c r="G72" s="18" t="n">
        <v>84781.61</v>
      </c>
      <c r="H72" s="18" t="n">
        <v>176651.16</v>
      </c>
      <c r="I72" s="18" t="n">
        <v>279295.79</v>
      </c>
      <c r="J72" s="18" t="n">
        <v>-13707.45</v>
      </c>
      <c r="K72" s="37" t="n">
        <v>527021.11</v>
      </c>
      <c r="L72" s="18" t="n">
        <v>193374.05</v>
      </c>
      <c r="M72" s="18" t="n">
        <v>88877.88</v>
      </c>
      <c r="N72" s="18" t="n">
        <v>186761.51</v>
      </c>
      <c r="O72" s="18" t="n">
        <v>79695.92</v>
      </c>
      <c r="P72" s="37" t="n">
        <v>548709.36</v>
      </c>
      <c r="Q72" s="18" t="n">
        <v>302656.15</v>
      </c>
      <c r="R72" s="18" t="n">
        <v>39297.12</v>
      </c>
      <c r="S72" s="18" t="n">
        <v>-13116.52</v>
      </c>
      <c r="T72" s="18" t="n">
        <v>358271.97</v>
      </c>
      <c r="U72" s="37" t="n">
        <v>687108.72</v>
      </c>
      <c r="V72" s="18" t="n">
        <v>133400.33</v>
      </c>
      <c r="W72" s="18" t="n">
        <v>400166.71</v>
      </c>
      <c r="X72" s="18" t="n">
        <v>-35659.11</v>
      </c>
      <c r="Y72" s="18" t="n">
        <v>151224.05</v>
      </c>
      <c r="Z72" s="37" t="n">
        <v>649131.98</v>
      </c>
      <c r="AA72" s="18" t="n">
        <v>435412.42</v>
      </c>
      <c r="AB72" s="19" t="n">
        <v>190399.76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금융비용</t>
        </is>
      </c>
      <c r="E73" s="18" t="n">
        <v>81573.28</v>
      </c>
      <c r="F73" s="9" t="n"/>
      <c r="G73" s="18" t="n">
        <v>158494.24</v>
      </c>
      <c r="H73" s="18" t="n">
        <v>750343.84</v>
      </c>
      <c r="I73" s="18" t="n">
        <v>1161436.4</v>
      </c>
      <c r="J73" s="18" t="n">
        <v>-950766.47</v>
      </c>
      <c r="K73" s="37" t="n">
        <v>1119508.01</v>
      </c>
      <c r="L73" s="18" t="n">
        <v>433246.62</v>
      </c>
      <c r="M73" s="18" t="n">
        <v>241869.88</v>
      </c>
      <c r="N73" s="18" t="n">
        <v>323054.75</v>
      </c>
      <c r="O73" s="18" t="n">
        <v>-110999.29</v>
      </c>
      <c r="P73" s="37" t="n">
        <v>887171.96</v>
      </c>
      <c r="Q73" s="18" t="n">
        <v>476428.69</v>
      </c>
      <c r="R73" s="18" t="n">
        <v>144687.61</v>
      </c>
      <c r="S73" s="18" t="n">
        <v>-24945.68</v>
      </c>
      <c r="T73" s="18" t="n">
        <v>569161.64</v>
      </c>
      <c r="U73" s="37" t="n">
        <v>1165332.26</v>
      </c>
      <c r="V73" s="18" t="n">
        <v>177489.57</v>
      </c>
      <c r="W73" s="18" t="n">
        <v>528838.62</v>
      </c>
      <c r="X73" s="18" t="n">
        <v>-44353.36</v>
      </c>
      <c r="Y73" s="18" t="n">
        <v>95794.41</v>
      </c>
      <c r="Z73" s="37" t="n">
        <v>757769.24</v>
      </c>
      <c r="AA73" s="18" t="n">
        <v>455691.26</v>
      </c>
      <c r="AB73" s="19" t="n">
        <v>266102.31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기타영업외수익</t>
        </is>
      </c>
      <c r="E74" s="18" t="n">
        <v>180395.98</v>
      </c>
      <c r="F74" s="9" t="n"/>
      <c r="G74" s="18" t="n">
        <v>71854.3</v>
      </c>
      <c r="H74" s="18" t="n">
        <v>512190.41</v>
      </c>
      <c r="I74" s="18" t="n">
        <v>834529.09</v>
      </c>
      <c r="J74" s="18" t="n">
        <v>-908600.17</v>
      </c>
      <c r="K74" s="37" t="n">
        <v>509973.63</v>
      </c>
      <c r="L74" s="18" t="n">
        <v>193557.18</v>
      </c>
      <c r="M74" s="18" t="n">
        <v>78763.03</v>
      </c>
      <c r="N74" s="18" t="n">
        <v>306726.68</v>
      </c>
      <c r="O74" s="18" t="n">
        <v>-141946.96</v>
      </c>
      <c r="P74" s="37" t="n">
        <v>437099.93</v>
      </c>
      <c r="Q74" s="18" t="n">
        <v>178055.51</v>
      </c>
      <c r="R74" s="18" t="n">
        <v>91530.28999999999</v>
      </c>
      <c r="S74" s="18" t="n">
        <v>-109766.49</v>
      </c>
      <c r="T74" s="18" t="n">
        <v>346932.22</v>
      </c>
      <c r="U74" s="37" t="n">
        <v>506751.53</v>
      </c>
      <c r="V74" s="18" t="n">
        <v>28113.62</v>
      </c>
      <c r="W74" s="18" t="n">
        <v>2048.05</v>
      </c>
      <c r="X74" s="18" t="n">
        <v>9407.52</v>
      </c>
      <c r="Y74" s="18" t="n">
        <v>19671.85</v>
      </c>
      <c r="Z74" s="37" t="n">
        <v>59241.04</v>
      </c>
      <c r="AA74" s="18" t="n">
        <v>160700.58</v>
      </c>
      <c r="AB74" s="19" t="n">
        <v>59962.75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기타영업외비용</t>
        </is>
      </c>
      <c r="E75" s="18" t="n">
        <v>21840.57</v>
      </c>
      <c r="F75" s="9" t="n"/>
      <c r="G75" s="18" t="n">
        <v>18282.73</v>
      </c>
      <c r="H75" s="18" t="n">
        <v>13870.93</v>
      </c>
      <c r="I75" s="18" t="n">
        <v>5887.32</v>
      </c>
      <c r="J75" s="18" t="n">
        <v>50902.28</v>
      </c>
      <c r="K75" s="37" t="n">
        <v>88943.25999999999</v>
      </c>
      <c r="L75" s="18" t="n">
        <v>8909.52</v>
      </c>
      <c r="M75" s="18" t="n">
        <v>6004.78</v>
      </c>
      <c r="N75" s="18" t="n">
        <v>12313.18</v>
      </c>
      <c r="O75" s="18" t="n">
        <v>10836.07</v>
      </c>
      <c r="P75" s="37" t="n">
        <v>38063.55</v>
      </c>
      <c r="Q75" s="18" t="n">
        <v>2506.79</v>
      </c>
      <c r="R75" s="18" t="n">
        <v>3278.46</v>
      </c>
      <c r="S75" s="18" t="n">
        <v>6787.68</v>
      </c>
      <c r="T75" s="18" t="n">
        <v>85559.64999999999</v>
      </c>
      <c r="U75" s="37" t="n">
        <v>98132.58</v>
      </c>
      <c r="V75" s="18" t="n">
        <v>28394.54</v>
      </c>
      <c r="W75" s="18" t="n">
        <v>80238.42999999999</v>
      </c>
      <c r="X75" s="18" t="n">
        <v>10833.9</v>
      </c>
      <c r="Y75" s="18" t="n">
        <v>62462.31</v>
      </c>
      <c r="Z75" s="37" t="n">
        <v>181929.18</v>
      </c>
      <c r="AA75" s="18" t="n">
        <v>19350.72</v>
      </c>
      <c r="AB75" s="19" t="n">
        <v>2974.32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법인세비용차감전계속사업이익</t>
        </is>
      </c>
      <c r="E76" s="18" t="n">
        <v>-402561.21</v>
      </c>
      <c r="F76" s="9" t="n"/>
      <c r="G76" s="18" t="n">
        <v>-490427.92</v>
      </c>
      <c r="H76" s="18" t="n">
        <v>-182163.38</v>
      </c>
      <c r="I76" s="18" t="n">
        <v>-688950.62</v>
      </c>
      <c r="J76" s="18" t="n">
        <v>-453215.69</v>
      </c>
      <c r="K76" s="37" t="n">
        <v>-1814757.61</v>
      </c>
      <c r="L76" s="18" t="n">
        <v>-121264.19</v>
      </c>
      <c r="M76" s="18" t="n">
        <v>-251103.43</v>
      </c>
      <c r="N76" s="18" t="n">
        <v>221518.71</v>
      </c>
      <c r="O76" s="18" t="n">
        <v>-27082.2</v>
      </c>
      <c r="P76" s="37" t="n">
        <v>-177931.11</v>
      </c>
      <c r="Q76" s="18" t="n">
        <v>47164.81</v>
      </c>
      <c r="R76" s="18" t="n">
        <v>-43273.6</v>
      </c>
      <c r="S76" s="18" t="n">
        <v>-84825.75</v>
      </c>
      <c r="T76" s="18" t="n">
        <v>222104.1</v>
      </c>
      <c r="U76" s="37" t="n">
        <v>141169.56</v>
      </c>
      <c r="V76" s="18" t="n">
        <v>214352.92</v>
      </c>
      <c r="W76" s="18" t="n">
        <v>182681.74</v>
      </c>
      <c r="X76" s="18" t="n">
        <v>285237.18</v>
      </c>
      <c r="Y76" s="18" t="n">
        <v>240405.65</v>
      </c>
      <c r="Z76" s="37" t="n">
        <v>922677.49</v>
      </c>
      <c r="AA76" s="18" t="n">
        <v>521945.94</v>
      </c>
      <c r="AB76" s="19" t="n">
        <v>697103.04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법인세비용</t>
        </is>
      </c>
      <c r="E77" s="18" t="n">
        <v>-12723.4</v>
      </c>
      <c r="F77" s="9" t="n"/>
      <c r="I77" s="18" t="n">
        <v>-36271</v>
      </c>
      <c r="J77" s="18" t="n">
        <v>-11166.73</v>
      </c>
      <c r="K77" s="9" t="n"/>
      <c r="L77" s="18" t="n">
        <v>-15.81</v>
      </c>
      <c r="O77" s="18" t="n">
        <v>-287747.22</v>
      </c>
      <c r="P77" s="9" t="n"/>
      <c r="Q77" s="18" t="n">
        <v>827.6</v>
      </c>
      <c r="R77" s="18" t="n">
        <v>467.5</v>
      </c>
      <c r="S77" s="18" t="n">
        <v>2988.86</v>
      </c>
      <c r="T77" s="18" t="n">
        <v>-360664.67</v>
      </c>
      <c r="U77" s="37" t="n">
        <v>-356380.71</v>
      </c>
      <c r="V77" s="18" t="n">
        <v>201.11</v>
      </c>
      <c r="W77" s="18" t="n">
        <v>179.74</v>
      </c>
      <c r="X77" s="18" t="n">
        <v>434.12</v>
      </c>
      <c r="Y77" s="18" t="n">
        <v>-422336.13</v>
      </c>
      <c r="Z77" s="37" t="n">
        <v>-421521.16</v>
      </c>
      <c r="AA77" s="18" t="n">
        <v>87.11</v>
      </c>
      <c r="AB77" s="19" t="n">
        <v>-387.78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당기순이익</t>
        </is>
      </c>
      <c r="E78" s="18" t="n">
        <v>-389837.81</v>
      </c>
      <c r="F78" s="9" t="n"/>
      <c r="G78" s="18" t="n">
        <v>-490427.92</v>
      </c>
      <c r="H78" s="18" t="n">
        <v>-182163.38</v>
      </c>
      <c r="I78" s="18" t="n">
        <v>-652679.62</v>
      </c>
      <c r="J78" s="18" t="n">
        <v>-442048.96</v>
      </c>
      <c r="K78" s="37" t="n">
        <v>-1767319.88</v>
      </c>
      <c r="L78" s="18" t="n">
        <v>-121248.38</v>
      </c>
      <c r="M78" s="18" t="n">
        <v>-251103.43</v>
      </c>
      <c r="N78" s="18" t="n">
        <v>221518.71</v>
      </c>
      <c r="O78" s="18" t="n">
        <v>260665.03</v>
      </c>
      <c r="P78" s="37" t="n">
        <v>109831.93</v>
      </c>
      <c r="Q78" s="18" t="n">
        <v>46337.21</v>
      </c>
      <c r="R78" s="18" t="n">
        <v>-43741.1</v>
      </c>
      <c r="S78" s="18" t="n">
        <v>-87814.62</v>
      </c>
      <c r="T78" s="18" t="n">
        <v>582768.78</v>
      </c>
      <c r="U78" s="37" t="n">
        <v>497550.27</v>
      </c>
      <c r="V78" s="18" t="n">
        <v>214151.81</v>
      </c>
      <c r="W78" s="18" t="n">
        <v>182502</v>
      </c>
      <c r="X78" s="18" t="n">
        <v>284803.06</v>
      </c>
      <c r="Y78" s="18" t="n">
        <v>662741.77</v>
      </c>
      <c r="Z78" s="37" t="n">
        <v>1344198.64</v>
      </c>
      <c r="AA78" s="18" t="n">
        <v>521858.83</v>
      </c>
      <c r="AB78" s="19" t="n">
        <v>697490.8199999999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금융손익</t>
        </is>
      </c>
      <c r="E79" s="18" t="n">
        <v>-50565.52</v>
      </c>
      <c r="F79" s="9" t="n"/>
      <c r="G79" s="18" t="n">
        <v>-73712.63</v>
      </c>
      <c r="H79" s="18" t="n">
        <v>-573692.6800000001</v>
      </c>
      <c r="I79" s="18" t="n">
        <v>-882140.61</v>
      </c>
      <c r="J79" s="18" t="n">
        <v>937059.02</v>
      </c>
      <c r="K79" s="37" t="n">
        <v>-592486.9</v>
      </c>
      <c r="L79" s="18" t="n">
        <v>-239872.57</v>
      </c>
      <c r="M79" s="18" t="n">
        <v>-152992</v>
      </c>
      <c r="N79" s="18" t="n">
        <v>-136293.24</v>
      </c>
      <c r="O79" s="18" t="n">
        <v>190695.21</v>
      </c>
      <c r="P79" s="37" t="n">
        <v>-338462.6</v>
      </c>
      <c r="Q79" s="18" t="n">
        <v>-173772.54</v>
      </c>
      <c r="R79" s="18" t="n">
        <v>-105390.49</v>
      </c>
      <c r="S79" s="18" t="n">
        <v>11829.16</v>
      </c>
      <c r="T79" s="18" t="n">
        <v>-210889.67</v>
      </c>
      <c r="U79" s="37" t="n">
        <v>-478223.54</v>
      </c>
      <c r="V79" s="18" t="n">
        <v>-44089.24</v>
      </c>
      <c r="W79" s="18" t="n">
        <v>-128671.91</v>
      </c>
      <c r="X79" s="18" t="n">
        <v>8694.25</v>
      </c>
      <c r="Y79" s="18" t="n">
        <v>55429.64</v>
      </c>
      <c r="Z79" s="37" t="n">
        <v>-108637.26</v>
      </c>
      <c r="AA79" s="18" t="n">
        <v>-20278.84</v>
      </c>
      <c r="AB79" s="19" t="n">
        <v>-75702.55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기타영업외손익</t>
        </is>
      </c>
      <c r="E80" s="18" t="n">
        <v>158555.41</v>
      </c>
      <c r="F80" s="9" t="n"/>
      <c r="G80" s="18" t="n">
        <v>53571.57</v>
      </c>
      <c r="H80" s="18" t="n">
        <v>498319.48</v>
      </c>
      <c r="I80" s="18" t="n">
        <v>828641.77</v>
      </c>
      <c r="J80" s="18" t="n">
        <v>-959502.45</v>
      </c>
      <c r="K80" s="37" t="n">
        <v>421030.37</v>
      </c>
      <c r="L80" s="18" t="n">
        <v>184647.66</v>
      </c>
      <c r="M80" s="18" t="n">
        <v>72758.25</v>
      </c>
      <c r="N80" s="18" t="n">
        <v>294413.5</v>
      </c>
      <c r="O80" s="18" t="n">
        <v>-152783.03</v>
      </c>
      <c r="P80" s="37" t="n">
        <v>399036.38</v>
      </c>
      <c r="Q80" s="18" t="n">
        <v>175548.72</v>
      </c>
      <c r="R80" s="18" t="n">
        <v>88251.83</v>
      </c>
      <c r="S80" s="18" t="n">
        <v>-116554.17</v>
      </c>
      <c r="T80" s="18" t="n">
        <v>261372.57</v>
      </c>
      <c r="U80" s="37" t="n">
        <v>408618.95</v>
      </c>
      <c r="V80" s="18" t="n">
        <v>-280.92</v>
      </c>
      <c r="W80" s="18" t="n">
        <v>-78190.38</v>
      </c>
      <c r="X80" s="18" t="n">
        <v>-1426.38</v>
      </c>
      <c r="Y80" s="18" t="n">
        <v>-42790.46</v>
      </c>
      <c r="Z80" s="37" t="n">
        <v>-122688.14</v>
      </c>
      <c r="AA80" s="18" t="n">
        <v>141349.86</v>
      </c>
      <c r="AB80" s="19" t="n">
        <v>56988.43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(지배주주지분)당기순이익</t>
        </is>
      </c>
      <c r="E81" s="18" t="n">
        <v>-389837.81</v>
      </c>
      <c r="F81" s="9" t="n"/>
      <c r="G81" s="18" t="n">
        <v>-490427.92</v>
      </c>
      <c r="H81" s="18" t="n">
        <v>-182163.38</v>
      </c>
      <c r="I81" s="18" t="n">
        <v>-652679.62</v>
      </c>
      <c r="J81" s="18" t="n">
        <v>-442048.96</v>
      </c>
      <c r="K81" s="37" t="n">
        <v>-1767319.88</v>
      </c>
      <c r="L81" s="18" t="n">
        <v>-121248.38</v>
      </c>
      <c r="M81" s="18" t="n">
        <v>-251103.43</v>
      </c>
      <c r="N81" s="18" t="n">
        <v>221518.71</v>
      </c>
      <c r="O81" s="18" t="n">
        <v>260665.03</v>
      </c>
      <c r="P81" s="37" t="n">
        <v>109831.93</v>
      </c>
      <c r="Q81" s="18" t="n">
        <v>46337.21</v>
      </c>
      <c r="R81" s="18" t="n">
        <v>-43741.1</v>
      </c>
      <c r="S81" s="18" t="n">
        <v>-87814.62</v>
      </c>
      <c r="T81" s="18" t="n">
        <v>582768.78</v>
      </c>
      <c r="U81" s="37" t="n">
        <v>497550.27</v>
      </c>
      <c r="V81" s="18" t="n">
        <v>214151.81</v>
      </c>
      <c r="W81" s="18" t="n">
        <v>182502</v>
      </c>
      <c r="X81" s="18" t="n">
        <v>284803.06</v>
      </c>
      <c r="Y81" s="18" t="n">
        <v>662741.77</v>
      </c>
      <c r="Z81" s="37" t="n">
        <v>1344198.64</v>
      </c>
      <c r="AA81" s="18" t="n">
        <v>521858.83</v>
      </c>
      <c r="AB81" s="19" t="n">
        <v>697490.8199999999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계속사업이익</t>
        </is>
      </c>
      <c r="E82" s="18" t="n">
        <v>-389837.81</v>
      </c>
      <c r="F82" s="9" t="n"/>
      <c r="G82" s="18" t="n">
        <v>-490427.92</v>
      </c>
      <c r="H82" s="18" t="n">
        <v>-182163.38</v>
      </c>
      <c r="I82" s="18" t="n">
        <v>-652679.62</v>
      </c>
      <c r="J82" s="18" t="n">
        <v>-442048.96</v>
      </c>
      <c r="K82" s="37" t="n">
        <v>-1767319.88</v>
      </c>
      <c r="L82" s="18" t="n">
        <v>-121248.38</v>
      </c>
      <c r="M82" s="18" t="n">
        <v>-251103.43</v>
      </c>
      <c r="N82" s="18" t="n">
        <v>221518.71</v>
      </c>
      <c r="O82" s="18" t="n">
        <v>260665.03</v>
      </c>
      <c r="P82" s="37" t="n">
        <v>109831.93</v>
      </c>
      <c r="Q82" s="18" t="n">
        <v>46337.21</v>
      </c>
      <c r="R82" s="18" t="n">
        <v>-43741.1</v>
      </c>
      <c r="S82" s="18" t="n">
        <v>-87814.62</v>
      </c>
      <c r="T82" s="18" t="n">
        <v>582768.78</v>
      </c>
      <c r="U82" s="37" t="n">
        <v>497550.27</v>
      </c>
      <c r="V82" s="18" t="n">
        <v>214151.81</v>
      </c>
      <c r="W82" s="18" t="n">
        <v>182502</v>
      </c>
      <c r="X82" s="18" t="n">
        <v>284803.06</v>
      </c>
      <c r="Y82" s="18" t="n">
        <v>662741.77</v>
      </c>
      <c r="Z82" s="37" t="n">
        <v>1344198.64</v>
      </c>
      <c r="AA82" s="18" t="n">
        <v>521858.83</v>
      </c>
      <c r="AB82" s="19" t="n">
        <v>697490.8199999999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총포괄손익</t>
        </is>
      </c>
      <c r="E83" s="18" t="n">
        <v>-354793.95</v>
      </c>
      <c r="F83" s="9" t="n"/>
      <c r="G83" s="18" t="n">
        <v>-491662.21</v>
      </c>
      <c r="H83" s="18" t="n">
        <v>-181490.5</v>
      </c>
      <c r="I83" s="18" t="n">
        <v>-653251.08</v>
      </c>
      <c r="J83" s="18" t="n">
        <v>-157386.21</v>
      </c>
      <c r="K83" s="37" t="n">
        <v>-1483790</v>
      </c>
      <c r="L83" s="18" t="n">
        <v>-122734.9</v>
      </c>
      <c r="M83" s="18" t="n">
        <v>-307834.27</v>
      </c>
      <c r="N83" s="18" t="n">
        <v>223181.92</v>
      </c>
      <c r="P83" s="9" t="n"/>
      <c r="Q83" s="18" t="n">
        <v>44665.14</v>
      </c>
      <c r="R83" s="18" t="n">
        <v>-44847.35</v>
      </c>
      <c r="S83" s="18" t="n">
        <v>-87914.05</v>
      </c>
      <c r="T83" s="18" t="n">
        <v>558271.48</v>
      </c>
      <c r="U83" s="37" t="n">
        <v>470175.22</v>
      </c>
      <c r="V83" s="18" t="n">
        <v>212354.63</v>
      </c>
      <c r="W83" s="18" t="n">
        <v>191037.26</v>
      </c>
      <c r="X83" s="18" t="n">
        <v>281877.37</v>
      </c>
      <c r="Y83" s="18" t="n">
        <v>748693.08</v>
      </c>
      <c r="Z83" s="37" t="n">
        <v>1433962.34</v>
      </c>
      <c r="AA83" s="18" t="n">
        <v>505507.85</v>
      </c>
      <c r="AB83" s="19" t="n">
        <v>683072.74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영업활동으로인한현금흐름</t>
        </is>
      </c>
      <c r="E84" s="18" t="n">
        <v>15595</v>
      </c>
      <c r="F84" s="9" t="n"/>
      <c r="G84" s="18" t="n">
        <v>-718763.51</v>
      </c>
      <c r="H84" s="18" t="n">
        <v>-271683.55</v>
      </c>
      <c r="I84" s="18" t="n">
        <v>-183310.16</v>
      </c>
      <c r="J84" s="18" t="n">
        <v>113658.75</v>
      </c>
      <c r="K84" s="37" t="n">
        <v>-1060098.47</v>
      </c>
      <c r="L84" s="18" t="n">
        <v>-781625.04</v>
      </c>
      <c r="M84" s="18" t="n">
        <v>18079.37</v>
      </c>
      <c r="N84" s="18" t="n">
        <v>-749837.96</v>
      </c>
      <c r="O84" s="18" t="n">
        <v>-464874.69</v>
      </c>
      <c r="P84" s="37" t="n">
        <v>-1978258.32</v>
      </c>
      <c r="Q84" s="18" t="n">
        <v>-1159238.04</v>
      </c>
      <c r="R84" s="18" t="n">
        <v>-540495.3199999999</v>
      </c>
      <c r="S84" s="18" t="n">
        <v>-884188.37</v>
      </c>
      <c r="T84" s="18" t="n">
        <v>-269876.99</v>
      </c>
      <c r="U84" s="37" t="n">
        <v>-2853798.72</v>
      </c>
      <c r="V84" s="18" t="n">
        <v>184821.86</v>
      </c>
      <c r="W84" s="18" t="n">
        <v>688047.04</v>
      </c>
      <c r="X84" s="18" t="n">
        <v>-418553.55</v>
      </c>
      <c r="Y84" s="18" t="n">
        <v>713837.59</v>
      </c>
      <c r="Z84" s="37" t="n">
        <v>1168152.94</v>
      </c>
      <c r="AA84" s="18" t="n">
        <v>187700.08</v>
      </c>
      <c r="AB84" s="19" t="n">
        <v>714530.78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배당금수취(CF)</t>
        </is>
      </c>
      <c r="E85" s="18" t="n">
        <v>682.1799999999999</v>
      </c>
      <c r="F85" s="9" t="n"/>
      <c r="G85" s="18" t="n">
        <v>570.89</v>
      </c>
      <c r="H85" s="18" t="n">
        <v>14.85</v>
      </c>
      <c r="I85" s="18" t="n">
        <v>0</v>
      </c>
      <c r="J85" s="18" t="n">
        <v>0</v>
      </c>
      <c r="K85" s="37" t="n">
        <v>585.74</v>
      </c>
      <c r="L85" s="18" t="n">
        <v>950</v>
      </c>
      <c r="M85" s="18" t="n">
        <v>73.25</v>
      </c>
      <c r="N85" s="18" t="n">
        <v>0</v>
      </c>
      <c r="O85" s="18" t="n">
        <v>0</v>
      </c>
      <c r="P85" s="37" t="n">
        <v>1023.25</v>
      </c>
      <c r="Q85" s="18" t="n">
        <v>874</v>
      </c>
      <c r="R85" s="18" t="n">
        <v>180.29</v>
      </c>
      <c r="S85" s="18" t="n">
        <v>0</v>
      </c>
      <c r="T85" s="18" t="n">
        <v>0</v>
      </c>
      <c r="U85" s="37" t="n">
        <v>1054.29</v>
      </c>
      <c r="X85" s="18" t="n">
        <v>0</v>
      </c>
      <c r="Y85" s="18" t="n">
        <v>6.75</v>
      </c>
      <c r="Z85" s="9" t="n"/>
      <c r="AA85" s="18" t="n">
        <v>121.28</v>
      </c>
      <c r="AB85" s="19" t="n">
        <v>50.57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이자수취(CF)</t>
        </is>
      </c>
      <c r="E86" s="18" t="n">
        <v>6977.89</v>
      </c>
      <c r="F86" s="9" t="n"/>
      <c r="G86" s="18" t="n">
        <v>8088.17</v>
      </c>
      <c r="H86" s="18" t="n">
        <v>20049.47</v>
      </c>
      <c r="I86" s="18" t="n">
        <v>8606.66</v>
      </c>
      <c r="J86" s="18" t="n">
        <v>10613.89</v>
      </c>
      <c r="K86" s="37" t="n">
        <v>47358.19</v>
      </c>
      <c r="L86" s="18" t="n">
        <v>11646.91</v>
      </c>
      <c r="M86" s="18" t="n">
        <v>1898.26</v>
      </c>
      <c r="N86" s="18" t="n">
        <v>15326.04</v>
      </c>
      <c r="O86" s="18" t="n">
        <v>23152.88</v>
      </c>
      <c r="P86" s="37" t="n">
        <v>52024.09</v>
      </c>
      <c r="Q86" s="18" t="n">
        <v>17065.29</v>
      </c>
      <c r="R86" s="18" t="n">
        <v>15872.19</v>
      </c>
      <c r="S86" s="18" t="n">
        <v>12949.64</v>
      </c>
      <c r="T86" s="18" t="n">
        <v>7553.63</v>
      </c>
      <c r="U86" s="37" t="n">
        <v>53440.75</v>
      </c>
      <c r="V86" s="18" t="n">
        <v>5676.73</v>
      </c>
      <c r="W86" s="18" t="n">
        <v>7218.37</v>
      </c>
      <c r="X86" s="18" t="n">
        <v>3450.51</v>
      </c>
      <c r="Y86" s="18" t="n">
        <v>6929.02</v>
      </c>
      <c r="Z86" s="37" t="n">
        <v>23274.63</v>
      </c>
      <c r="AA86" s="18" t="n">
        <v>21390.02</v>
      </c>
      <c r="AB86" s="19" t="n">
        <v>6844.3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이자지급(CF)</t>
        </is>
      </c>
      <c r="E87" s="18" t="n">
        <v>-16899.6</v>
      </c>
      <c r="F87" s="9" t="n"/>
      <c r="G87" s="18" t="n">
        <v>-11809.81</v>
      </c>
      <c r="H87" s="18" t="n">
        <v>-17110.57</v>
      </c>
      <c r="I87" s="18" t="n">
        <v>-21245.77</v>
      </c>
      <c r="J87" s="18" t="n">
        <v>-23380.8</v>
      </c>
      <c r="K87" s="37" t="n">
        <v>-73546.95</v>
      </c>
      <c r="L87" s="18" t="n">
        <v>-37176.56</v>
      </c>
      <c r="M87" s="18" t="n">
        <v>-41510.62</v>
      </c>
      <c r="N87" s="18" t="n">
        <v>-26266.07</v>
      </c>
      <c r="O87" s="18" t="n">
        <v>-30325.78</v>
      </c>
      <c r="P87" s="37" t="n">
        <v>-135279.03</v>
      </c>
      <c r="Q87" s="18" t="n">
        <v>-27541.88</v>
      </c>
      <c r="R87" s="18" t="n">
        <v>-39615.5</v>
      </c>
      <c r="S87" s="18" t="n">
        <v>-41565.66</v>
      </c>
      <c r="T87" s="18" t="n">
        <v>-44032.69</v>
      </c>
      <c r="U87" s="37" t="n">
        <v>-152755.73</v>
      </c>
      <c r="V87" s="18" t="n">
        <v>-44679.8</v>
      </c>
      <c r="W87" s="18" t="n">
        <v>-46869.41</v>
      </c>
      <c r="X87" s="18" t="n">
        <v>-43006.31</v>
      </c>
      <c r="Y87" s="18" t="n">
        <v>-31371.71</v>
      </c>
      <c r="Z87" s="37" t="n">
        <v>-165927.23</v>
      </c>
      <c r="AA87" s="18" t="n">
        <v>-48671.13</v>
      </c>
      <c r="AB87" s="19" t="n">
        <v>-55327.65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법인세납부(CF)</t>
        </is>
      </c>
      <c r="E88" s="18" t="n">
        <v>-757.86</v>
      </c>
      <c r="F88" s="9" t="n"/>
      <c r="G88" s="18" t="n">
        <v>-948.34</v>
      </c>
      <c r="H88" s="18" t="n">
        <v>8904.530000000001</v>
      </c>
      <c r="I88" s="18" t="n">
        <v>-1022.7</v>
      </c>
      <c r="J88" s="18" t="n">
        <v>-933.04</v>
      </c>
      <c r="K88" s="37" t="n">
        <v>6000.45</v>
      </c>
      <c r="L88" s="18" t="n">
        <v>-824.79</v>
      </c>
      <c r="M88" s="18" t="n">
        <v>13275.62</v>
      </c>
      <c r="N88" s="18" t="n">
        <v>-1135.81</v>
      </c>
      <c r="O88" s="18" t="n">
        <v>-5402.03</v>
      </c>
      <c r="P88" s="37" t="n">
        <v>5912.99</v>
      </c>
      <c r="Q88" s="18" t="n">
        <v>-3460.81</v>
      </c>
      <c r="R88" s="18" t="n">
        <v>-4752.24</v>
      </c>
      <c r="S88" s="18" t="n">
        <v>4491.97</v>
      </c>
      <c r="T88" s="18" t="n">
        <v>5616.15</v>
      </c>
      <c r="U88" s="37" t="n">
        <v>1895.07</v>
      </c>
      <c r="V88" s="18" t="n">
        <v>-998.88</v>
      </c>
      <c r="W88" s="18" t="n">
        <v>11157.43</v>
      </c>
      <c r="X88" s="18" t="n">
        <v>-1018.43</v>
      </c>
      <c r="Y88" s="18" t="n">
        <v>-16955.89</v>
      </c>
      <c r="Z88" s="37" t="n">
        <v>-7815.77</v>
      </c>
      <c r="AA88" s="18" t="n">
        <v>-87.11</v>
      </c>
      <c r="AB88" s="19" t="n">
        <v>5030.07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투자활동으로인한현금흐름</t>
        </is>
      </c>
      <c r="E89" s="18" t="n">
        <v>47749.54</v>
      </c>
      <c r="F89" s="9" t="n"/>
      <c r="G89" s="18" t="n">
        <v>-13359.35</v>
      </c>
      <c r="H89" s="18" t="n">
        <v>221158.27</v>
      </c>
      <c r="I89" s="18" t="n">
        <v>-127616.36</v>
      </c>
      <c r="J89" s="18" t="n">
        <v>5345.74</v>
      </c>
      <c r="K89" s="37" t="n">
        <v>85528.3</v>
      </c>
      <c r="L89" s="18" t="n">
        <v>59095.76</v>
      </c>
      <c r="M89" s="18" t="n">
        <v>-33072.35</v>
      </c>
      <c r="N89" s="18" t="n">
        <v>277765.62</v>
      </c>
      <c r="O89" s="18" t="n">
        <v>-116423.3</v>
      </c>
      <c r="P89" s="37" t="n">
        <v>187365.73</v>
      </c>
      <c r="Q89" s="18" t="n">
        <v>-186709.4</v>
      </c>
      <c r="R89" s="18" t="n">
        <v>-106732.27</v>
      </c>
      <c r="S89" s="18" t="n">
        <v>-629227.05</v>
      </c>
      <c r="T89" s="18" t="n">
        <v>-400226.34</v>
      </c>
      <c r="U89" s="37" t="n">
        <v>-1322895.06</v>
      </c>
      <c r="V89" s="18" t="n">
        <v>-79055.63</v>
      </c>
      <c r="W89" s="18" t="n">
        <v>-248842.07</v>
      </c>
      <c r="X89" s="18" t="n">
        <v>-220837.95</v>
      </c>
      <c r="Y89" s="18" t="n">
        <v>-732878.72</v>
      </c>
      <c r="Z89" s="37" t="n">
        <v>-1281614.37</v>
      </c>
      <c r="AA89" s="18" t="n">
        <v>-264152.58</v>
      </c>
      <c r="AB89" s="19" t="n">
        <v>-183344.38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재무활동으로인한현금흐름</t>
        </is>
      </c>
      <c r="E90" s="18" t="n">
        <v>43708.47</v>
      </c>
      <c r="F90" s="9" t="n"/>
      <c r="G90" s="18" t="n">
        <v>134627.27</v>
      </c>
      <c r="H90" s="18" t="n">
        <v>-13498.7</v>
      </c>
      <c r="I90" s="18" t="n">
        <v>-133723.18</v>
      </c>
      <c r="J90" s="18" t="n">
        <v>-117185.87</v>
      </c>
      <c r="K90" s="37" t="n">
        <v>-129780.48</v>
      </c>
      <c r="L90" s="18" t="n">
        <v>325443.03</v>
      </c>
      <c r="M90" s="18" t="n">
        <v>1314513.81</v>
      </c>
      <c r="N90" s="18" t="n">
        <v>-110984.72</v>
      </c>
      <c r="O90" s="18" t="n">
        <v>1401986.31</v>
      </c>
      <c r="P90" s="37" t="n">
        <v>2930958.43</v>
      </c>
      <c r="Q90" s="18" t="n">
        <v>1163977.18</v>
      </c>
      <c r="R90" s="18" t="n">
        <v>783556.0600000001</v>
      </c>
      <c r="S90" s="18" t="n">
        <v>676584.66</v>
      </c>
      <c r="T90" s="18" t="n">
        <v>195827.42</v>
      </c>
      <c r="U90" s="37" t="n">
        <v>2819945.32</v>
      </c>
      <c r="V90" s="18" t="n">
        <v>242586.4</v>
      </c>
      <c r="W90" s="18" t="n">
        <v>-381638.79</v>
      </c>
      <c r="X90" s="18" t="n">
        <v>38110.07</v>
      </c>
      <c r="Y90" s="18" t="n">
        <v>405316.36</v>
      </c>
      <c r="Z90" s="37" t="n">
        <v>304374.04</v>
      </c>
      <c r="AA90" s="18" t="n">
        <v>357380.15</v>
      </c>
      <c r="AB90" s="19" t="n">
        <v>-182875.2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단기차입금의증가</t>
        </is>
      </c>
      <c r="E91" s="18" t="n">
        <v>107250.23</v>
      </c>
      <c r="F91" s="9" t="n"/>
      <c r="G91" s="18" t="n">
        <v>201791.78</v>
      </c>
      <c r="H91" s="18" t="n">
        <v>53934.47</v>
      </c>
      <c r="K91" s="9" t="n"/>
      <c r="L91" s="18" t="n">
        <v>424426.52</v>
      </c>
      <c r="M91" s="18" t="n">
        <v>495573.48</v>
      </c>
      <c r="N91" s="18" t="n">
        <v>0</v>
      </c>
      <c r="O91" s="18" t="n">
        <v>0</v>
      </c>
      <c r="P91" s="37" t="n">
        <v>920000</v>
      </c>
      <c r="Q91" s="18" t="n">
        <v>1200000</v>
      </c>
      <c r="R91" s="18" t="n">
        <v>800000</v>
      </c>
      <c r="S91" s="18" t="n">
        <v>500000</v>
      </c>
      <c r="T91" s="18" t="n">
        <v>20000</v>
      </c>
      <c r="U91" s="37" t="n">
        <v>2520000</v>
      </c>
      <c r="V91" s="18" t="n">
        <v>146738.1</v>
      </c>
      <c r="W91" s="18" t="n">
        <v>0</v>
      </c>
      <c r="X91" s="18" t="n">
        <v>398648.12</v>
      </c>
      <c r="Y91" s="18" t="n">
        <v>93620</v>
      </c>
      <c r="Z91" s="37" t="n">
        <v>639006.22</v>
      </c>
      <c r="AA91" s="18" t="n">
        <v>272085.21</v>
      </c>
      <c r="AB91" s="19" t="n">
        <v>220000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유동성장기부채의감소</t>
        </is>
      </c>
      <c r="E92" s="18" t="n">
        <v>0</v>
      </c>
      <c r="F92" s="9" t="n"/>
      <c r="G92" s="18" t="n">
        <v>4.03</v>
      </c>
      <c r="H92" s="18" t="n">
        <v>0</v>
      </c>
      <c r="I92" s="18" t="n">
        <v>8348.75</v>
      </c>
      <c r="J92" s="18" t="n">
        <v>8348.74</v>
      </c>
      <c r="K92" s="37" t="n">
        <v>16701.52</v>
      </c>
      <c r="L92" s="18" t="n">
        <v>8418.639999999999</v>
      </c>
      <c r="M92" s="18" t="n">
        <v>8414.610000000001</v>
      </c>
      <c r="N92" s="18" t="n">
        <v>0</v>
      </c>
      <c r="O92" s="18" t="n">
        <v>16829.22</v>
      </c>
      <c r="P92" s="37" t="n">
        <v>33662.47</v>
      </c>
      <c r="Q92" s="18" t="n">
        <v>8436.440000000001</v>
      </c>
      <c r="R92" s="18" t="n">
        <v>8432.4</v>
      </c>
      <c r="S92" s="18" t="n">
        <v>8432.4</v>
      </c>
      <c r="T92" s="18" t="n">
        <v>8432.41</v>
      </c>
      <c r="U92" s="37" t="n">
        <v>33733.65</v>
      </c>
      <c r="V92" s="18" t="n">
        <v>8581.85</v>
      </c>
      <c r="W92" s="18" t="n">
        <v>8577.82</v>
      </c>
      <c r="X92" s="18" t="n">
        <v>8577.82</v>
      </c>
      <c r="Y92" s="18" t="n">
        <v>8577.82</v>
      </c>
      <c r="Z92" s="37" t="n">
        <v>34315.31</v>
      </c>
      <c r="AA92" s="18" t="n">
        <v>8553.59</v>
      </c>
      <c r="AB92" s="19" t="n">
        <v>8549.559999999999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리스부채의상환</t>
        </is>
      </c>
      <c r="E93" s="18" t="n">
        <v>4788.95</v>
      </c>
      <c r="F93" s="9" t="n"/>
      <c r="G93" s="18" t="n">
        <v>4815.98</v>
      </c>
      <c r="H93" s="18" t="n">
        <v>5794.73</v>
      </c>
      <c r="I93" s="18" t="n">
        <v>5954.99</v>
      </c>
      <c r="J93" s="18" t="n">
        <v>6019.43</v>
      </c>
      <c r="K93" s="37" t="n">
        <v>22585.13</v>
      </c>
      <c r="L93" s="18" t="n">
        <v>5415.34</v>
      </c>
      <c r="M93" s="18" t="n">
        <v>6394.35</v>
      </c>
      <c r="N93" s="18" t="n">
        <v>7134.4</v>
      </c>
      <c r="O93" s="18" t="n">
        <v>7280.03</v>
      </c>
      <c r="P93" s="37" t="n">
        <v>26224.12</v>
      </c>
      <c r="Q93" s="18" t="n">
        <v>6808.33</v>
      </c>
      <c r="R93" s="18" t="n">
        <v>7518.08</v>
      </c>
      <c r="S93" s="18" t="n">
        <v>8554.280000000001</v>
      </c>
      <c r="T93" s="18" t="n">
        <v>8404.360000000001</v>
      </c>
      <c r="U93" s="37" t="n">
        <v>31285.05</v>
      </c>
      <c r="V93" s="18" t="n">
        <v>7292.63</v>
      </c>
      <c r="W93" s="18" t="n">
        <v>8018.82</v>
      </c>
      <c r="X93" s="18" t="n">
        <v>7886.37</v>
      </c>
      <c r="Y93" s="18" t="n">
        <v>8844.84</v>
      </c>
      <c r="Z93" s="37" t="n">
        <v>32042.66</v>
      </c>
      <c r="AA93" s="18" t="n">
        <v>8211.17</v>
      </c>
      <c r="AB93" s="19" t="n">
        <v>8580.889999999999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현금및현금성자산의증감</t>
        </is>
      </c>
      <c r="E94" s="18" t="n">
        <v>107053.01</v>
      </c>
      <c r="F94" s="9" t="n"/>
      <c r="G94" s="18" t="n">
        <v>-597495.6</v>
      </c>
      <c r="H94" s="18" t="n">
        <v>-64023.98</v>
      </c>
      <c r="I94" s="18" t="n">
        <v>-444649.69</v>
      </c>
      <c r="J94" s="18" t="n">
        <v>1818.62</v>
      </c>
      <c r="K94" s="37" t="n">
        <v>-1104350.65</v>
      </c>
      <c r="L94" s="18" t="n">
        <v>-397086.26</v>
      </c>
      <c r="M94" s="18" t="n">
        <v>1299520.84</v>
      </c>
      <c r="N94" s="18" t="n">
        <v>-583057.0699999999</v>
      </c>
      <c r="O94" s="18" t="n">
        <v>820688.33</v>
      </c>
      <c r="P94" s="37" t="n">
        <v>1140065.84</v>
      </c>
      <c r="S94" s="18" t="n">
        <v>-836830.76</v>
      </c>
      <c r="T94" s="18" t="n">
        <v>-474275.91</v>
      </c>
      <c r="U94" s="9" t="n"/>
      <c r="V94" s="18" t="n">
        <v>348352.64</v>
      </c>
      <c r="W94" s="18" t="n">
        <v>57566.17</v>
      </c>
      <c r="X94" s="18" t="n">
        <v>-601281.4300000001</v>
      </c>
      <c r="Y94" s="18" t="n">
        <v>386275.23</v>
      </c>
      <c r="Z94" s="37" t="n">
        <v>190912.61</v>
      </c>
      <c r="AA94" s="18" t="n">
        <v>280927.65</v>
      </c>
      <c r="AB94" s="19" t="n">
        <v>348311.19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기말현금및현금성자산</t>
        </is>
      </c>
      <c r="E95" s="18" t="n">
        <v>105768.7</v>
      </c>
      <c r="F95" s="9" t="n"/>
      <c r="G95" s="18" t="n">
        <v>1151228.91</v>
      </c>
      <c r="H95" s="18" t="n">
        <v>-64227.24</v>
      </c>
      <c r="I95" s="18" t="n">
        <v>-429573.99</v>
      </c>
      <c r="J95" s="18" t="n">
        <v>-23963.75</v>
      </c>
      <c r="K95" s="37" t="n">
        <v>633463.9300000001</v>
      </c>
      <c r="L95" s="18" t="n">
        <v>237007.28</v>
      </c>
      <c r="M95" s="18" t="n">
        <v>1297475.02</v>
      </c>
      <c r="N95" s="18" t="n">
        <v>-579507.21</v>
      </c>
      <c r="O95" s="18" t="n">
        <v>815521.9</v>
      </c>
      <c r="P95" s="37" t="n">
        <v>1770496.99</v>
      </c>
      <c r="Q95" s="18" t="n">
        <v>1588821.74</v>
      </c>
      <c r="R95" s="18" t="n">
        <v>136332.02</v>
      </c>
      <c r="S95" s="18" t="n">
        <v>-837160.71</v>
      </c>
      <c r="T95" s="18" t="n">
        <v>-473658.59</v>
      </c>
      <c r="U95" s="37" t="n">
        <v>414334.46</v>
      </c>
      <c r="V95" s="18" t="n">
        <v>762712.6</v>
      </c>
      <c r="W95" s="18" t="n">
        <v>56041.06</v>
      </c>
      <c r="X95" s="18" t="n">
        <v>-599611.24</v>
      </c>
      <c r="Y95" s="18" t="n">
        <v>382881.97</v>
      </c>
      <c r="Z95" s="37" t="n">
        <v>602024.39</v>
      </c>
      <c r="AA95" s="18" t="n">
        <v>884912.28</v>
      </c>
      <c r="AB95" s="19" t="n">
        <v>346370.43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단기차입금의감소</t>
        </is>
      </c>
      <c r="F96" s="9" t="n"/>
      <c r="K96" s="9" t="n"/>
      <c r="L96" s="18" t="n">
        <v>23203.62</v>
      </c>
      <c r="M96" s="18" t="n">
        <v>1163614.22</v>
      </c>
      <c r="N96" s="18" t="n">
        <v>98017.74000000001</v>
      </c>
      <c r="O96" s="18" t="n">
        <v>48909.04</v>
      </c>
      <c r="P96" s="37" t="n">
        <v>1333744.62</v>
      </c>
      <c r="Q96" s="18" t="n">
        <v>14945.97</v>
      </c>
      <c r="S96" s="18" t="n">
        <v>6991.93</v>
      </c>
      <c r="U96" s="9" t="n"/>
      <c r="V96" s="18" t="n">
        <v>150000</v>
      </c>
      <c r="W96" s="18" t="n">
        <v>500000</v>
      </c>
      <c r="X96" s="18" t="n">
        <v>520000</v>
      </c>
      <c r="Y96" s="18" t="n">
        <v>100000</v>
      </c>
      <c r="Z96" s="37" t="n">
        <v>1270000</v>
      </c>
      <c r="AA96" s="18" t="n">
        <v>250000</v>
      </c>
      <c r="AB96" s="19" t="n">
        <v>310000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유형자산의감소</t>
        </is>
      </c>
      <c r="F97" s="9" t="n"/>
      <c r="K97" s="9" t="n"/>
      <c r="P97" s="9" t="n"/>
      <c r="Q97" s="18" t="n">
        <v>291.34</v>
      </c>
      <c r="R97" s="18" t="n">
        <v>170.11</v>
      </c>
      <c r="S97" s="18" t="n">
        <v>45.59</v>
      </c>
      <c r="T97" s="18" t="n">
        <v>166.79</v>
      </c>
      <c r="U97" s="37" t="n">
        <v>673.83</v>
      </c>
      <c r="V97" s="18" t="n">
        <v>460.74</v>
      </c>
      <c r="W97" s="18" t="n">
        <v>961.72</v>
      </c>
      <c r="X97" s="18" t="n">
        <v>457.23</v>
      </c>
      <c r="Y97" s="18" t="n">
        <v>718.51</v>
      </c>
      <c r="Z97" s="37" t="n">
        <v>2598.2</v>
      </c>
      <c r="AA97" s="18" t="n">
        <v>166.24</v>
      </c>
      <c r="AB97" s="19" t="n">
        <v>554.14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유형자산의증가</t>
        </is>
      </c>
      <c r="F98" s="9" t="n"/>
      <c r="K98" s="9" t="n"/>
      <c r="P98" s="9" t="n"/>
      <c r="Q98" s="18" t="n">
        <v>33035.34</v>
      </c>
      <c r="R98" s="18" t="n">
        <v>43266.84</v>
      </c>
      <c r="S98" s="18" t="n">
        <v>59706.39</v>
      </c>
      <c r="T98" s="18" t="n">
        <v>116445</v>
      </c>
      <c r="U98" s="37" t="n">
        <v>252453.57</v>
      </c>
      <c r="V98" s="18" t="n">
        <v>50688.68</v>
      </c>
      <c r="W98" s="18" t="n">
        <v>95321.86</v>
      </c>
      <c r="X98" s="18" t="n">
        <v>105843.1</v>
      </c>
      <c r="Y98" s="18" t="n">
        <v>198351.52</v>
      </c>
      <c r="Z98" s="37" t="n">
        <v>450205.16</v>
      </c>
      <c r="AA98" s="18" t="n">
        <v>61111.84</v>
      </c>
      <c r="AB98" s="19" t="n">
        <v>96363.99000000001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CAPEX</t>
        </is>
      </c>
      <c r="F99" s="9" t="n"/>
      <c r="K99" s="9" t="n"/>
      <c r="P99" s="9" t="n"/>
      <c r="Q99" s="18" t="n">
        <v>33731.89</v>
      </c>
      <c r="R99" s="18" t="n">
        <v>44095.39</v>
      </c>
      <c r="S99" s="18" t="n">
        <v>61591.66</v>
      </c>
      <c r="T99" s="18" t="n">
        <v>118451.24</v>
      </c>
      <c r="U99" s="37" t="n">
        <v>257870.18</v>
      </c>
      <c r="V99" s="18" t="n">
        <v>53293.89</v>
      </c>
      <c r="W99" s="18" t="n">
        <v>96315.84</v>
      </c>
      <c r="X99" s="18" t="n">
        <v>106305.85</v>
      </c>
      <c r="Y99" s="18" t="n">
        <v>199535.49</v>
      </c>
      <c r="Z99" s="37" t="n">
        <v>455451.07</v>
      </c>
      <c r="AA99" s="18" t="n">
        <v>61722.83</v>
      </c>
      <c r="AB99" s="19" t="n">
        <v>96767.19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무형자산의증가</t>
        </is>
      </c>
      <c r="F100" s="9" t="n"/>
      <c r="K100" s="9" t="n"/>
      <c r="P100" s="9" t="n"/>
      <c r="Q100" s="18" t="n">
        <v>696.55</v>
      </c>
      <c r="R100" s="18" t="n">
        <v>828.55</v>
      </c>
      <c r="S100" s="18" t="n">
        <v>1885.27</v>
      </c>
      <c r="T100" s="18" t="n">
        <v>2006.24</v>
      </c>
      <c r="U100" s="37" t="n">
        <v>5416.61</v>
      </c>
      <c r="V100" s="18" t="n">
        <v>2605.21</v>
      </c>
      <c r="W100" s="18" t="n">
        <v>993.98</v>
      </c>
      <c r="X100" s="18" t="n">
        <v>462.75</v>
      </c>
      <c r="Y100" s="18" t="n">
        <v>1183.97</v>
      </c>
      <c r="Z100" s="37" t="n">
        <v>5245.91</v>
      </c>
      <c r="AA100" s="18" t="n">
        <v>610.99</v>
      </c>
      <c r="AB100" s="19" t="n">
        <v>403.2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무형자산의감소</t>
        </is>
      </c>
      <c r="F101" s="9" t="n"/>
      <c r="K101" s="9" t="n"/>
      <c r="P101" s="9" t="n"/>
      <c r="T101" s="18" t="n">
        <v>654.55</v>
      </c>
      <c r="U101" s="9" t="n"/>
      <c r="V101" s="18" t="n">
        <v>13.09</v>
      </c>
      <c r="W101" s="18" t="n">
        <v>0</v>
      </c>
      <c r="X101" s="18" t="n">
        <v>0</v>
      </c>
      <c r="Y101" s="18" t="n">
        <v>19810.38</v>
      </c>
      <c r="Z101" s="37" t="n">
        <v>19823.47</v>
      </c>
      <c r="AB101" s="5" t="n"/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장기차입금의증가</t>
        </is>
      </c>
      <c r="F102" s="9" t="n"/>
      <c r="K102" s="9" t="n"/>
      <c r="P102" s="9" t="n"/>
      <c r="T102" s="18" t="n">
        <v>68020</v>
      </c>
      <c r="U102" s="9" t="n"/>
      <c r="Z102" s="9" t="n"/>
      <c r="AB102" s="5" t="n"/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자기주식의취득</t>
        </is>
      </c>
      <c r="F103" s="9" t="n"/>
      <c r="K103" s="9" t="n"/>
      <c r="P103" s="9" t="n"/>
      <c r="U103" s="9" t="n"/>
      <c r="Z103" s="9" t="n"/>
      <c r="AA103" s="18" t="n">
        <v>4908.63</v>
      </c>
      <c r="AB103" s="19" t="n">
        <v>203.86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IFERROR(AC38+AC42,"")</f>
        <v/>
      </c>
      <c r="AD5" s="20">
        <f>IFERROR(AD38+AD42,"")</f>
        <v/>
      </c>
      <c r="AE5" s="38">
        <f>SUM(AA5:AD5)</f>
        <v/>
      </c>
      <c r="AF5" s="20">
        <f>IFERROR(AF38+AF42,"")</f>
        <v/>
      </c>
      <c r="AG5" s="20">
        <f>IFERROR(AG38+AG42,"")</f>
        <v/>
      </c>
      <c r="AH5" s="20">
        <f>IFERROR(AH38+AH42,"")</f>
        <v/>
      </c>
      <c r="AI5" s="20">
        <f>IFERROR(AI38+AI42,"")</f>
        <v/>
      </c>
      <c r="AJ5" s="38">
        <f>SUM(AF5:AI5)</f>
        <v/>
      </c>
      <c r="AK5" s="20">
        <f>IFERROR(AK38+AK42,"")</f>
        <v/>
      </c>
      <c r="AL5" s="20">
        <f>IFERROR(AL38+AL42,"")</f>
        <v/>
      </c>
      <c r="AM5" s="20">
        <f>IFERROR(AM38+AM42,"")</f>
        <v/>
      </c>
      <c r="AN5" s="20">
        <f>IFERROR(AN38+AN42,"")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IFERROR(AC5*변수!AC21,"")</f>
        <v/>
      </c>
      <c r="AD8" s="20">
        <f>IFERROR(AD5*변수!AD21,"")</f>
        <v/>
      </c>
      <c r="AE8" s="38">
        <f>SUM(AA8:AD8)</f>
        <v/>
      </c>
      <c r="AF8" s="20">
        <f>IFERROR(AF5*변수!AF21,"")</f>
        <v/>
      </c>
      <c r="AG8" s="20">
        <f>IFERROR(AG5*변수!AG21,"")</f>
        <v/>
      </c>
      <c r="AH8" s="20">
        <f>IFERROR(AH5*변수!AH21,"")</f>
        <v/>
      </c>
      <c r="AI8" s="20">
        <f>IFERROR(AI5*변수!AI21,"")</f>
        <v/>
      </c>
      <c r="AJ8" s="38">
        <f>SUM(AF8:AI8)</f>
        <v/>
      </c>
      <c r="AK8" s="20">
        <f>IFERROR(AK5*변수!AK21,"")</f>
        <v/>
      </c>
      <c r="AL8" s="20">
        <f>IFERROR(AL5*변수!AL21,"")</f>
        <v/>
      </c>
      <c r="AM8" s="20">
        <f>IFERROR(AM5*변수!AM21,"")</f>
        <v/>
      </c>
      <c r="AN8" s="20">
        <f>IFERROR(AN5*변수!AN21,"")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 t="n"/>
      <c r="P9" s="37">
        <f>SUM(L9:O9)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IFERROR(AC40+AC43,"")</f>
        <v/>
      </c>
      <c r="AD9" s="20">
        <f>IFERROR(AD40+AD43,"")</f>
        <v/>
      </c>
      <c r="AE9" s="38">
        <f>SUM(AA9:AD9)</f>
        <v/>
      </c>
      <c r="AF9" s="20">
        <f>IFERROR(AF40+AF43,"")</f>
        <v/>
      </c>
      <c r="AG9" s="20">
        <f>IFERROR(AG40+AG43,"")</f>
        <v/>
      </c>
      <c r="AH9" s="20">
        <f>IFERROR(AH40+AH43,"")</f>
        <v/>
      </c>
      <c r="AI9" s="20">
        <f>IFERROR(AI40+AI43,"")</f>
        <v/>
      </c>
      <c r="AJ9" s="38">
        <f>SUM(AF9:AI9)</f>
        <v/>
      </c>
      <c r="AK9" s="20">
        <f>IFERROR(AK40+AK43,"")</f>
        <v/>
      </c>
      <c r="AL9" s="20">
        <f>IFERROR(AL40+AL43,"")</f>
        <v/>
      </c>
      <c r="AM9" s="20">
        <f>IFERROR(AM40+AM43,"")</f>
        <v/>
      </c>
      <c r="AN9" s="20">
        <f>IFERROR(AN40+AN43,"")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 t="n"/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IFERROR((AB28*변수!$D$57-AB26*변수!$D$58)/4,"")</f>
        <v/>
      </c>
      <c r="AD12" s="20">
        <f>IFERROR((AC28*변수!$D$57-AC26*변수!$D$58)/4,"")</f>
        <v/>
      </c>
      <c r="AE12" s="38">
        <f>SUM(AA12:AD12)</f>
        <v/>
      </c>
      <c r="AF12" s="20">
        <f>IFERROR((AD28*변수!$D$57-AD26*변수!$D$58)/4,"")</f>
        <v/>
      </c>
      <c r="AG12" s="20">
        <f>IFERROR((AF28*변수!$D$57-AF26*변수!$D$58)/4,"")</f>
        <v/>
      </c>
      <c r="AH12" s="20">
        <f>IFERROR((AG28*변수!$D$57-AG26*변수!$D$58)/4,"")</f>
        <v/>
      </c>
      <c r="AI12" s="20">
        <f>IFERROR((AH28*변수!$D$57-AH26*변수!$D$58)/4,"")</f>
        <v/>
      </c>
      <c r="AJ12" s="38">
        <f>SUM(AF12:AI12)</f>
        <v/>
      </c>
      <c r="AK12" s="20">
        <f>IFERROR((AI28*변수!$D$57-AI26*변수!$D$58)/4,"")</f>
        <v/>
      </c>
      <c r="AL12" s="20">
        <f>IFERROR((AK28*변수!$D$57-AK26*변수!$D$58)/4,"")</f>
        <v/>
      </c>
      <c r="AM12" s="20">
        <f>IFERROR((AL28*변수!$D$57-AL26*변수!$D$58)/4,"")</f>
        <v/>
      </c>
      <c r="AN12" s="20">
        <f>IFERROR((AM28*변수!$D$57-AM26*변수!$D$58)/4,"")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>
        <f>IFERROR((VLOOKUP("외환차익",BS연결,MATCH(G$1,BS연결H,0),0)-VLOOKUP("외환차손",BS연결,MATCH(G$1,BS연결H,0),0)+VLOOKUP("외화환산이익",BS연결,MATCH(G$1,BS연결H,0),0)-VLOOKUP("외화환산손실",BS연결,MATCH(G$1,BS연결H,0),0))/100,"")</f>
        <v/>
      </c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>
        <f>IFERROR((VLOOKUP("외환차익",BS연결,MATCH(I$1,BS연결H,0),0)-VLOOKUP("외환차손",BS연결,MATCH(I$1,BS연결H,0),0)+VLOOKUP("외화환산이익",BS연결,MATCH(I$1,BS연결H,0),0)-VLOOKUP("외화환산손실",BS연결,MATCH(I$1,BS연결H,0),0))/100,"")</f>
        <v/>
      </c>
      <c r="J13" s="18">
        <f>IFERROR((VLOOKUP("외환차익",BS연결,MATCH(J$1,BS연결H,0),0)-VLOOKUP("외환차손",BS연결,MATCH(J$1,BS연결H,0),0)+VLOOKUP("외화환산이익",BS연결,MATCH(J$1,BS연결H,0),0)-VLOOKUP("외화환산손실",BS연결,MATCH(J$1,BS연결H,0),0))/100,"")</f>
        <v/>
      </c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변수!AC22</f>
        <v/>
      </c>
      <c r="AD13" s="20">
        <f>변수!AD22</f>
        <v/>
      </c>
      <c r="AE13" s="38">
        <f>SUM(AA13:AD13)</f>
        <v/>
      </c>
      <c r="AF13" s="20">
        <f>변수!AF22</f>
        <v/>
      </c>
      <c r="AG13" s="20">
        <f>변수!AG22</f>
        <v/>
      </c>
      <c r="AH13" s="20">
        <f>변수!AH22</f>
        <v/>
      </c>
      <c r="AI13" s="20">
        <f>변수!AI22</f>
        <v/>
      </c>
      <c r="AJ13" s="38">
        <f>SUM(AF13:AI13)</f>
        <v/>
      </c>
      <c r="AK13" s="20">
        <f>변수!AK22</f>
        <v/>
      </c>
      <c r="AL13" s="20">
        <f>변수!AL22</f>
        <v/>
      </c>
      <c r="AM13" s="20">
        <f>변수!AM22</f>
        <v/>
      </c>
      <c r="AN13" s="20">
        <f>변수!AN22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 t="n"/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변수!AC23</f>
        <v/>
      </c>
      <c r="AD14" s="20">
        <f>변수!AD23</f>
        <v/>
      </c>
      <c r="AE14" s="38">
        <f>SUM(AA14:AD14)</f>
        <v/>
      </c>
      <c r="AF14" s="20">
        <f>변수!AF23</f>
        <v/>
      </c>
      <c r="AG14" s="20">
        <f>변수!AG23</f>
        <v/>
      </c>
      <c r="AH14" s="20">
        <f>변수!AH23</f>
        <v/>
      </c>
      <c r="AI14" s="20">
        <f>변수!AI23</f>
        <v/>
      </c>
      <c r="AJ14" s="38">
        <f>SUM(AF14:AI14)</f>
        <v/>
      </c>
      <c r="AK14" s="20">
        <f>변수!AK23</f>
        <v/>
      </c>
      <c r="AL14" s="20">
        <f>변수!AL23</f>
        <v/>
      </c>
      <c r="AM14" s="20">
        <f>변수!AM23</f>
        <v/>
      </c>
      <c r="AN14" s="20">
        <f>변수!AN23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변수!AC24</f>
        <v/>
      </c>
      <c r="AD15" s="20">
        <f>변수!AD24</f>
        <v/>
      </c>
      <c r="AE15" s="38">
        <f>SUM(AA15:AD15)</f>
        <v/>
      </c>
      <c r="AF15" s="20">
        <f>변수!AF24</f>
        <v/>
      </c>
      <c r="AG15" s="20">
        <f>변수!AG24</f>
        <v/>
      </c>
      <c r="AH15" s="20">
        <f>변수!AH24</f>
        <v/>
      </c>
      <c r="AI15" s="20">
        <f>변수!AI24</f>
        <v/>
      </c>
      <c r="AJ15" s="38">
        <f>SUM(AF15:AI15)</f>
        <v/>
      </c>
      <c r="AK15" s="20">
        <f>변수!AK24</f>
        <v/>
      </c>
      <c r="AL15" s="20">
        <f>변수!AL24</f>
        <v/>
      </c>
      <c r="AM15" s="20">
        <f>변수!AM24</f>
        <v/>
      </c>
      <c r="AN15" s="20">
        <f>변수!AN24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변수!AC25</f>
        <v/>
      </c>
      <c r="AD16" s="20">
        <f>변수!AD25</f>
        <v/>
      </c>
      <c r="AE16" s="38">
        <f>SUM(AA16:AD16)</f>
        <v/>
      </c>
      <c r="AF16" s="20">
        <f>변수!AF25</f>
        <v/>
      </c>
      <c r="AG16" s="20">
        <f>변수!AG25</f>
        <v/>
      </c>
      <c r="AH16" s="20">
        <f>변수!AH25</f>
        <v/>
      </c>
      <c r="AI16" s="20">
        <f>변수!AI25</f>
        <v/>
      </c>
      <c r="AJ16" s="38">
        <f>SUM(AF16:AI16)</f>
        <v/>
      </c>
      <c r="AK16" s="20">
        <f>변수!AK25</f>
        <v/>
      </c>
      <c r="AL16" s="20">
        <f>변수!AL25</f>
        <v/>
      </c>
      <c r="AM16" s="20">
        <f>변수!AM25</f>
        <v/>
      </c>
      <c r="AN16" s="20">
        <f>변수!AN25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변수!AC26</f>
        <v/>
      </c>
      <c r="AD17" s="20">
        <f>변수!AD26</f>
        <v/>
      </c>
      <c r="AE17" s="38">
        <f>SUM(AA17:AD17)</f>
        <v/>
      </c>
      <c r="AF17" s="20">
        <f>변수!AF26</f>
        <v/>
      </c>
      <c r="AG17" s="20">
        <f>변수!AG26</f>
        <v/>
      </c>
      <c r="AH17" s="20">
        <f>변수!AH26</f>
        <v/>
      </c>
      <c r="AI17" s="20">
        <f>변수!AI26</f>
        <v/>
      </c>
      <c r="AJ17" s="38">
        <f>SUM(AF17:AI17)</f>
        <v/>
      </c>
      <c r="AK17" s="20">
        <f>변수!AK26</f>
        <v/>
      </c>
      <c r="AL17" s="20">
        <f>변수!AL26</f>
        <v/>
      </c>
      <c r="AM17" s="20">
        <f>변수!AM26</f>
        <v/>
      </c>
      <c r="AN17" s="20">
        <f>변수!AN26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IFERROR(MAX(AC18,0)*변수!AC27,"")</f>
        <v/>
      </c>
      <c r="AD19" s="20">
        <f>IFERROR(MAX(AD18,0)*변수!AD27,"")</f>
        <v/>
      </c>
      <c r="AE19" s="38">
        <f>SUM(AA19:AD19)</f>
        <v/>
      </c>
      <c r="AF19" s="20">
        <f>IFERROR(MAX(AF18,0)*변수!AF27,"")</f>
        <v/>
      </c>
      <c r="AG19" s="20">
        <f>IFERROR(MAX(AG18,0)*변수!AG27,"")</f>
        <v/>
      </c>
      <c r="AH19" s="20">
        <f>IFERROR(MAX(AH18,0)*변수!AH27,"")</f>
        <v/>
      </c>
      <c r="AI19" s="20">
        <f>IFERROR(MAX(AI18,0)*변수!AI27,"")</f>
        <v/>
      </c>
      <c r="AJ19" s="38">
        <f>SUM(AF19:AI19)</f>
        <v/>
      </c>
      <c r="AK19" s="20">
        <f>IFERROR(MAX(AK18,0)*변수!AK27,"")</f>
        <v/>
      </c>
      <c r="AL19" s="20">
        <f>IFERROR(MAX(AL18,0)*변수!AL27,"")</f>
        <v/>
      </c>
      <c r="AM19" s="20">
        <f>IFERROR(MAX(AM18,0)*변수!AM27,"")</f>
        <v/>
      </c>
      <c r="AN19" s="20">
        <f>IFERROR(MAX(AN18,0)*변수!AN27,"")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IFERROR(AC20*변수!AC28,"")</f>
        <v/>
      </c>
      <c r="AD21" s="20">
        <f>IFERROR(AD20*변수!AD28,"")</f>
        <v/>
      </c>
      <c r="AE21" s="38">
        <f>SUM(AA21:AD21)</f>
        <v/>
      </c>
      <c r="AF21" s="20">
        <f>IFERROR(AF20*변수!AF28,"")</f>
        <v/>
      </c>
      <c r="AG21" s="20">
        <f>IFERROR(AG20*변수!AG28,"")</f>
        <v/>
      </c>
      <c r="AH21" s="20">
        <f>IFERROR(AH20*변수!AH28,"")</f>
        <v/>
      </c>
      <c r="AI21" s="20">
        <f>IFERROR(AI20*변수!AI28,"")</f>
        <v/>
      </c>
      <c r="AJ21" s="38">
        <f>SUM(AF21:AI21)</f>
        <v/>
      </c>
      <c r="AK21" s="20">
        <f>IFERROR(AK20*변수!AK28,"")</f>
        <v/>
      </c>
      <c r="AL21" s="20">
        <f>IFERROR(AL20*변수!AL28,"")</f>
        <v/>
      </c>
      <c r="AM21" s="20">
        <f>IFERROR(AM20*변수!AM28,"")</f>
        <v/>
      </c>
      <c r="AN21" s="20">
        <f>IFERROR(AN20*변수!AN28,"")</f>
        <v/>
      </c>
      <c r="AO21" s="38">
        <f>SUM(AK21:AN21)</f>
        <v/>
      </c>
    </row>
    <row r="22">
      <c r="A22" s="12" t="inlineStr">
        <is>
          <t>자산총계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자산총계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IFERROR(AC23+AC24,"")</f>
        <v/>
      </c>
      <c r="AD22" s="20">
        <f>IFERROR(AD23+AD24,"")</f>
        <v/>
      </c>
      <c r="AE22" s="38">
        <f>AD22</f>
        <v/>
      </c>
      <c r="AF22" s="20">
        <f>IFERROR(AF23+AF24,"")</f>
        <v/>
      </c>
      <c r="AG22" s="20">
        <f>IFERROR(AG23+AG24,"")</f>
        <v/>
      </c>
      <c r="AH22" s="20">
        <f>IFERROR(AH23+AH24,"")</f>
        <v/>
      </c>
      <c r="AI22" s="20">
        <f>IFERROR(AI23+AI24,"")</f>
        <v/>
      </c>
      <c r="AJ22" s="38">
        <f>AI22</f>
        <v/>
      </c>
      <c r="AK22" s="20">
        <f>IFERROR(AK23+AK24,"")</f>
        <v/>
      </c>
      <c r="AL22" s="20">
        <f>IFERROR(AL23+AL24,"")</f>
        <v/>
      </c>
      <c r="AM22" s="20">
        <f>IFERROR(AM23+AM24,"")</f>
        <v/>
      </c>
      <c r="AN22" s="20">
        <f>IFERROR(AN23+AN24,"")</f>
        <v/>
      </c>
      <c r="AO22" s="38">
        <f>AN22</f>
        <v/>
      </c>
    </row>
    <row r="23">
      <c r="A23" s="12" t="inlineStr">
        <is>
          <t>부채총계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부채총계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IFERROR(AB23*(1+변수!AC29),"")</f>
        <v/>
      </c>
      <c r="AD23" s="20">
        <f>IFERROR(AC23*(1+변수!AD29),"")</f>
        <v/>
      </c>
      <c r="AE23" s="38">
        <f>AD23</f>
        <v/>
      </c>
      <c r="AF23" s="20">
        <f>IFERROR(AD23*(1+변수!AF29),"")</f>
        <v/>
      </c>
      <c r="AG23" s="20">
        <f>IFERROR(AF23*(1+변수!AG29),"")</f>
        <v/>
      </c>
      <c r="AH23" s="20">
        <f>IFERROR(AG23*(1+변수!AH29),"")</f>
        <v/>
      </c>
      <c r="AI23" s="20">
        <f>IFERROR(AH23*(1+변수!AI29),"")</f>
        <v/>
      </c>
      <c r="AJ23" s="38">
        <f>AI23</f>
        <v/>
      </c>
      <c r="AK23" s="20">
        <f>IFERROR(AI23*(1+변수!AK29),"")</f>
        <v/>
      </c>
      <c r="AL23" s="20">
        <f>IFERROR(AK23*(1+변수!AL29),"")</f>
        <v/>
      </c>
      <c r="AM23" s="20">
        <f>IFERROR(AL23*(1+변수!AM29),"")</f>
        <v/>
      </c>
      <c r="AN23" s="20">
        <f>IFERROR(AM23*(1+변수!AN29),"")</f>
        <v/>
      </c>
      <c r="AO23" s="38">
        <f>AN23</f>
        <v/>
      </c>
    </row>
    <row r="24">
      <c r="A24" s="12" t="inlineStr">
        <is>
          <t>자본총계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자본총계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IFERROR(AB24+AC20-변수!AC30,"")</f>
        <v/>
      </c>
      <c r="AD24" s="20">
        <f>IFERROR(AC24+AD20-변수!AD30,"")</f>
        <v/>
      </c>
      <c r="AE24" s="38">
        <f>AD24</f>
        <v/>
      </c>
      <c r="AF24" s="20">
        <f>IFERROR(AD24+AF20-변수!AF30,"")</f>
        <v/>
      </c>
      <c r="AG24" s="20">
        <f>IFERROR(AF24+AG20-변수!AG30,"")</f>
        <v/>
      </c>
      <c r="AH24" s="20">
        <f>IFERROR(AG24+AH20-변수!AH30,"")</f>
        <v/>
      </c>
      <c r="AI24" s="20">
        <f>IFERROR(AH24+AI20-변수!AI30,"")</f>
        <v/>
      </c>
      <c r="AJ24" s="38">
        <f>AI24</f>
        <v/>
      </c>
      <c r="AK24" s="20">
        <f>IFERROR(AI24+AK20-변수!AK30,"")</f>
        <v/>
      </c>
      <c r="AL24" s="20">
        <f>IFERROR(AK24+AL20-변수!AL30,"")</f>
        <v/>
      </c>
      <c r="AM24" s="20">
        <f>IFERROR(AL24+AM20-변수!AM30,"")</f>
        <v/>
      </c>
      <c r="AN24" s="20">
        <f>IFERROR(AM24+AN20-변수!AN30,"")</f>
        <v/>
      </c>
      <c r="AO24" s="38">
        <f>AN24</f>
        <v/>
      </c>
    </row>
    <row r="25">
      <c r="A25" s="12" t="inlineStr">
        <is>
          <t>지배주주지분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지배주주지분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IFERROR(AB25+AC21-변수!AC31,"")</f>
        <v/>
      </c>
      <c r="AD25" s="20">
        <f>IFERROR(AC25+AD21-변수!AD31,"")</f>
        <v/>
      </c>
      <c r="AE25" s="38">
        <f>AD25</f>
        <v/>
      </c>
      <c r="AF25" s="20">
        <f>IFERROR(AD25+AF21-변수!AF31,"")</f>
        <v/>
      </c>
      <c r="AG25" s="20">
        <f>IFERROR(AF25+AG21-변수!AG31,"")</f>
        <v/>
      </c>
      <c r="AH25" s="20">
        <f>IFERROR(AG25+AH21-변수!AH31,"")</f>
        <v/>
      </c>
      <c r="AI25" s="20">
        <f>IFERROR(AH25+AI21-변수!AI31,"")</f>
        <v/>
      </c>
      <c r="AJ25" s="38">
        <f>AI25</f>
        <v/>
      </c>
      <c r="AK25" s="20">
        <f>IFERROR(AI25+AK21-변수!AK31,"")</f>
        <v/>
      </c>
      <c r="AL25" s="20">
        <f>IFERROR(AK25+AL21-변수!AL31,"")</f>
        <v/>
      </c>
      <c r="AM25" s="20">
        <f>IFERROR(AL25+AM21-변수!AM31,"")</f>
        <v/>
      </c>
      <c r="AN25" s="20">
        <f>IFERROR(AM25+AN21-변수!AN31,"")</f>
        <v/>
      </c>
      <c r="AO25" s="38">
        <f>AN25</f>
        <v/>
      </c>
    </row>
    <row r="26">
      <c r="A26" s="12" t="inlineStr">
        <is>
          <t>총차입금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총차입금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IFERROR(AB26*(1+변수!AC32),"")</f>
        <v/>
      </c>
      <c r="AD26" s="20">
        <f>IFERROR(AC26*(1+변수!AD32),"")</f>
        <v/>
      </c>
      <c r="AE26" s="38">
        <f>AD26</f>
        <v/>
      </c>
      <c r="AF26" s="20">
        <f>IFERROR(AD26*(1+변수!AF32),"")</f>
        <v/>
      </c>
      <c r="AG26" s="20">
        <f>IFERROR(AF26*(1+변수!AG32),"")</f>
        <v/>
      </c>
      <c r="AH26" s="20">
        <f>IFERROR(AG26*(1+변수!AH32),"")</f>
        <v/>
      </c>
      <c r="AI26" s="20">
        <f>IFERROR(AH26*(1+변수!AI32),"")</f>
        <v/>
      </c>
      <c r="AJ26" s="38">
        <f>AI26</f>
        <v/>
      </c>
      <c r="AK26" s="20">
        <f>IFERROR(AI26*(1+변수!AK32),"")</f>
        <v/>
      </c>
      <c r="AL26" s="20">
        <f>IFERROR(AK26*(1+변수!AL32),"")</f>
        <v/>
      </c>
      <c r="AM26" s="20">
        <f>IFERROR(AL26*(1+변수!AM32),"")</f>
        <v/>
      </c>
      <c r="AN26" s="20">
        <f>IFERROR(AM26*(1+변수!AN32),"")</f>
        <v/>
      </c>
      <c r="AO26" s="38">
        <f>AN26</f>
        <v/>
      </c>
    </row>
    <row r="27">
      <c r="A27" s="12" t="inlineStr">
        <is>
          <t>순차입금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순차입금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IFERROR(AB27*(1+변수!AC33),"")</f>
        <v/>
      </c>
      <c r="AD27" s="20">
        <f>IFERROR(AC27*(1+변수!AD33),"")</f>
        <v/>
      </c>
      <c r="AE27" s="38">
        <f>AD27</f>
        <v/>
      </c>
      <c r="AF27" s="20">
        <f>IFERROR(AD27*(1+변수!AF33),"")</f>
        <v/>
      </c>
      <c r="AG27" s="20">
        <f>IFERROR(AF27*(1+변수!AG33),"")</f>
        <v/>
      </c>
      <c r="AH27" s="20">
        <f>IFERROR(AG27*(1+변수!AH33),"")</f>
        <v/>
      </c>
      <c r="AI27" s="20">
        <f>IFERROR(AH27*(1+변수!AI33),"")</f>
        <v/>
      </c>
      <c r="AJ27" s="38">
        <f>AI27</f>
        <v/>
      </c>
      <c r="AK27" s="20">
        <f>IFERROR(AI27*(1+변수!AK33),"")</f>
        <v/>
      </c>
      <c r="AL27" s="20">
        <f>IFERROR(AK27*(1+변수!AL33),"")</f>
        <v/>
      </c>
      <c r="AM27" s="20">
        <f>IFERROR(AL27*(1+변수!AM33),"")</f>
        <v/>
      </c>
      <c r="AN27" s="20">
        <f>IFERROR(AM27*(1+변수!AN33),"")</f>
        <v/>
      </c>
      <c r="AO27" s="38">
        <f>AN27</f>
        <v/>
      </c>
    </row>
    <row r="28">
      <c r="A28" s="12" t="inlineStr">
        <is>
          <t>이자발생자산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이자발생자산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IFERROR(AB28*(1+변수!AC34),"")</f>
        <v/>
      </c>
      <c r="AD28" s="20">
        <f>IFERROR(AC28*(1+변수!AD34),"")</f>
        <v/>
      </c>
      <c r="AE28" s="38">
        <f>AD28</f>
        <v/>
      </c>
      <c r="AF28" s="20">
        <f>IFERROR(AD28*(1+변수!AF34),"")</f>
        <v/>
      </c>
      <c r="AG28" s="20">
        <f>IFERROR(AF28*(1+변수!AG34),"")</f>
        <v/>
      </c>
      <c r="AH28" s="20">
        <f>IFERROR(AG28*(1+변수!AH34),"")</f>
        <v/>
      </c>
      <c r="AI28" s="20">
        <f>IFERROR(AH28*(1+변수!AI34),"")</f>
        <v/>
      </c>
      <c r="AJ28" s="38">
        <f>AI28</f>
        <v/>
      </c>
      <c r="AK28" s="20">
        <f>IFERROR(AI28*(1+변수!AK34),"")</f>
        <v/>
      </c>
      <c r="AL28" s="20">
        <f>IFERROR(AK28*(1+변수!AL34),"")</f>
        <v/>
      </c>
      <c r="AM28" s="20">
        <f>IFERROR(AL28*(1+변수!AM34),"")</f>
        <v/>
      </c>
      <c r="AN28" s="20">
        <f>IFERROR(AM28*(1+변수!AN34),"")</f>
        <v/>
      </c>
      <c r="AO28" s="38">
        <f>AN28</f>
        <v/>
      </c>
    </row>
    <row r="29">
      <c r="A29" s="12" t="inlineStr">
        <is>
          <t>현금및현금성자산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현금및현금성자산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 t="n"/>
      <c r="AD29" s="20" t="n"/>
      <c r="AE29" s="38">
        <f>AD29</f>
        <v/>
      </c>
      <c r="AF29" s="20" t="n"/>
      <c r="AG29" s="20" t="n"/>
      <c r="AH29" s="20" t="n"/>
      <c r="AI29" s="20" t="n"/>
      <c r="AJ29" s="38">
        <f>AI29</f>
        <v/>
      </c>
      <c r="AK29" s="20" t="n"/>
      <c r="AL29" s="20" t="n"/>
      <c r="AM29" s="20" t="n"/>
      <c r="AN29" s="20" t="n"/>
      <c r="AO29" s="38">
        <f>AN29</f>
        <v/>
      </c>
    </row>
    <row r="30">
      <c r="A30" s="12" t="inlineStr">
        <is>
          <t>CAPEX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CAPEX</t>
        </is>
      </c>
      <c r="E30" s="18" t="n"/>
      <c r="F30" s="37" t="n"/>
      <c r="G30" s="18" t="n"/>
      <c r="H30" s="18" t="n"/>
      <c r="I30" s="18" t="n"/>
      <c r="J30" s="18" t="n"/>
      <c r="K30" s="37">
        <f>SUM(G30:J30)</f>
        <v/>
      </c>
      <c r="L30" s="18" t="n"/>
      <c r="M30" s="18" t="n"/>
      <c r="N30" s="18" t="n"/>
      <c r="O30" s="18" t="n"/>
      <c r="P30" s="37">
        <f>SUM(L30:O30)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>
        <f>IFERROR(X30*(1+변수!AC36),"")</f>
        <v/>
      </c>
      <c r="AD30" s="20">
        <f>IFERROR(Y30*(1+변수!AD36),"")</f>
        <v/>
      </c>
      <c r="AE30" s="38">
        <f>SUM(AA30:AD30)</f>
        <v/>
      </c>
      <c r="AF30" s="20">
        <f>IFERROR(AA30*(1+변수!AF36),"")</f>
        <v/>
      </c>
      <c r="AG30" s="20">
        <f>IFERROR(AB30*(1+변수!AG36),"")</f>
        <v/>
      </c>
      <c r="AH30" s="20">
        <f>IFERROR(AC30*(1+변수!AH36),"")</f>
        <v/>
      </c>
      <c r="AI30" s="20">
        <f>IFERROR(AD30*(1+변수!AI36),"")</f>
        <v/>
      </c>
      <c r="AJ30" s="38">
        <f>SUM(AF30:AI30)</f>
        <v/>
      </c>
      <c r="AK30" s="20">
        <f>IFERROR(AF30*(1+변수!AK36),"")</f>
        <v/>
      </c>
      <c r="AL30" s="20">
        <f>IFERROR(AG30*(1+변수!AL36),"")</f>
        <v/>
      </c>
      <c r="AM30" s="20">
        <f>IFERROR(AH30*(1+변수!AM36),"")</f>
        <v/>
      </c>
      <c r="AN30" s="20">
        <f>IFERROR(AI30*(1+변수!AN36),"")</f>
        <v/>
      </c>
      <c r="AO30" s="38">
        <f>SUM(AK30:AN30)</f>
        <v/>
      </c>
    </row>
    <row r="31">
      <c r="A31" s="12" t="inlineStr">
        <is>
          <t>영업활동현금흐름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영업활동으로인한현금흐름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 t="n"/>
      <c r="AD31" s="20" t="n"/>
      <c r="AE31" s="38">
        <f>SUM(AA31:AD31)</f>
        <v/>
      </c>
      <c r="AF31" s="20" t="n"/>
      <c r="AG31" s="20" t="n"/>
      <c r="AH31" s="20" t="n"/>
      <c r="AI31" s="20" t="n"/>
      <c r="AJ31" s="38">
        <f>SUM(AF31:AI31)</f>
        <v/>
      </c>
      <c r="AK31" s="20" t="n"/>
      <c r="AL31" s="20" t="n"/>
      <c r="AM31" s="20" t="n"/>
      <c r="AN31" s="20" t="n"/>
      <c r="AO31" s="38">
        <f>SUM(AK31:AN31)</f>
        <v/>
      </c>
    </row>
    <row r="32">
      <c r="A32" s="12" t="inlineStr">
        <is>
          <t>주식수</t>
        </is>
      </c>
      <c r="B32" t="inlineStr">
        <is>
          <t>주당</t>
        </is>
      </c>
      <c r="C32" t="inlineStr">
        <is>
          <t>백만주</t>
        </is>
      </c>
      <c r="D32" t="inlineStr">
        <is>
          <t>유통주식수</t>
        </is>
      </c>
      <c r="E32" s="26" t="n">
        <v>107.274</v>
      </c>
      <c r="F32" s="27">
        <f>E32</f>
        <v/>
      </c>
      <c r="G32" s="26" t="n">
        <v>107.274</v>
      </c>
      <c r="H32" s="26" t="n">
        <v>107.274</v>
      </c>
      <c r="I32" s="26" t="n">
        <v>107.274</v>
      </c>
      <c r="J32" s="26" t="n">
        <v>107.274</v>
      </c>
      <c r="K32" s="27">
        <f>J32</f>
        <v/>
      </c>
      <c r="L32" s="26" t="n">
        <v>107.274</v>
      </c>
      <c r="M32" s="26" t="n">
        <v>216.857</v>
      </c>
      <c r="N32" s="26" t="n">
        <v>216.857</v>
      </c>
      <c r="O32" s="26" t="n">
        <v>306.343</v>
      </c>
      <c r="P32" s="27">
        <f>O32</f>
        <v/>
      </c>
      <c r="Q32" s="26" t="n">
        <v>306.343</v>
      </c>
      <c r="R32" s="26" t="n">
        <v>306.343</v>
      </c>
      <c r="S32" s="26" t="n">
        <v>306.343</v>
      </c>
      <c r="T32" s="26" t="n">
        <v>306.397</v>
      </c>
      <c r="U32" s="27">
        <f>T32</f>
        <v/>
      </c>
      <c r="V32" s="26" t="n">
        <v>306.397</v>
      </c>
      <c r="W32" s="26" t="n">
        <v>306.397</v>
      </c>
      <c r="X32" s="26" t="n">
        <v>306.397</v>
      </c>
      <c r="Y32" s="26" t="n">
        <v>306.397</v>
      </c>
      <c r="Z32" s="27">
        <f>Y32</f>
        <v/>
      </c>
      <c r="AA32" s="26" t="n">
        <v>306.397</v>
      </c>
      <c r="AB32" s="28" t="n">
        <v>306.358</v>
      </c>
      <c r="AC32" s="33">
        <f>IFERROR(AB32*(1+변수!AC38),"")</f>
        <v/>
      </c>
      <c r="AD32" s="33">
        <f>IFERROR(AC32*(1+변수!AD38),"")</f>
        <v/>
      </c>
      <c r="AE32" s="30">
        <f>AD32</f>
        <v/>
      </c>
      <c r="AF32" s="33">
        <f>IFERROR(AD32*(1+변수!AF38),"")</f>
        <v/>
      </c>
      <c r="AG32" s="33">
        <f>IFERROR(AF32*(1+변수!AG38),"")</f>
        <v/>
      </c>
      <c r="AH32" s="33">
        <f>IFERROR(AG32*(1+변수!AH38),"")</f>
        <v/>
      </c>
      <c r="AI32" s="33">
        <f>IFERROR(AH32*(1+변수!AI38),"")</f>
        <v/>
      </c>
      <c r="AJ32" s="30">
        <f>AI32</f>
        <v/>
      </c>
      <c r="AK32" s="33">
        <f>IFERROR(AI32*(1+변수!AK38),"")</f>
        <v/>
      </c>
      <c r="AL32" s="33">
        <f>IFERROR(AK32*(1+변수!AL38),"")</f>
        <v/>
      </c>
      <c r="AM32" s="33">
        <f>IFERROR(AL32*(1+변수!AM38),"")</f>
        <v/>
      </c>
      <c r="AN32" s="33">
        <f>IFERROR(AM32*(1+변수!AN38),"")</f>
        <v/>
      </c>
      <c r="AO32" s="30">
        <f>AN32</f>
        <v/>
      </c>
    </row>
    <row r="33">
      <c r="A33" s="12" t="inlineStr">
        <is>
          <t>EPS</t>
        </is>
      </c>
      <c r="B33" t="inlineStr">
        <is>
          <t>주당</t>
        </is>
      </c>
      <c r="C33" t="inlineStr">
        <is>
          <t>원</t>
        </is>
      </c>
      <c r="D33" t="inlineStr">
        <is>
          <t>EPS</t>
        </is>
      </c>
      <c r="E33" s="18">
        <f>IFERROR(E21*100/E32,"")</f>
        <v/>
      </c>
      <c r="F33" s="37" t="n"/>
      <c r="G33" s="18">
        <f>IFERROR(G21*100/G32,"")</f>
        <v/>
      </c>
      <c r="H33" s="18">
        <f>IFERROR(H21*100/H32,"")</f>
        <v/>
      </c>
      <c r="I33" s="18">
        <f>IFERROR(I21*100/I32,"")</f>
        <v/>
      </c>
      <c r="J33" s="18">
        <f>IFERROR(J21*100/J32,"")</f>
        <v/>
      </c>
      <c r="K33" s="37">
        <f>SUM(G33:J33)</f>
        <v/>
      </c>
      <c r="L33" s="18">
        <f>IFERROR(L21*100/L32,"")</f>
        <v/>
      </c>
      <c r="M33" s="18">
        <f>IFERROR(M21*100/M32,"")</f>
        <v/>
      </c>
      <c r="N33" s="18">
        <f>IFERROR(N21*100/N32,"")</f>
        <v/>
      </c>
      <c r="O33" s="18">
        <f>IFERROR(O21*100/O32,"")</f>
        <v/>
      </c>
      <c r="P33" s="37">
        <f>SUM(L33:O33)</f>
        <v/>
      </c>
      <c r="Q33" s="18">
        <f>IFERROR(Q21*100/Q32,"")</f>
        <v/>
      </c>
      <c r="R33" s="18">
        <f>IFERROR(R21*100/R32,"")</f>
        <v/>
      </c>
      <c r="S33" s="18">
        <f>IFERROR(S21*100/S32,"")</f>
        <v/>
      </c>
      <c r="T33" s="18">
        <f>IFERROR(T21*100/T32,"")</f>
        <v/>
      </c>
      <c r="U33" s="37">
        <f>SUM(Q33:T33)</f>
        <v/>
      </c>
      <c r="V33" s="18">
        <f>IFERROR(V21*100/V32,"")</f>
        <v/>
      </c>
      <c r="W33" s="18">
        <f>IFERROR(W21*100/W32,"")</f>
        <v/>
      </c>
      <c r="X33" s="18">
        <f>IFERROR(X21*100/X32,"")</f>
        <v/>
      </c>
      <c r="Y33" s="18">
        <f>IFERROR(Y21*100/Y32,"")</f>
        <v/>
      </c>
      <c r="Z33" s="37">
        <f>SUM(V33:Y33)</f>
        <v/>
      </c>
      <c r="AA33" s="18">
        <f>IFERROR(AA21*100/AA32,"")</f>
        <v/>
      </c>
      <c r="AB33" s="19">
        <f>IFERROR(AB21*100/AB32,"")</f>
        <v/>
      </c>
      <c r="AC33" s="20">
        <f>IFERROR(AC21*100/AC32,"")</f>
        <v/>
      </c>
      <c r="AD33" s="20">
        <f>IFERROR(AD21*100/AD32,"")</f>
        <v/>
      </c>
      <c r="AE33" s="38">
        <f>SUM(AA33:AD33)</f>
        <v/>
      </c>
      <c r="AF33" s="20">
        <f>IFERROR(AF21*100/AF32,"")</f>
        <v/>
      </c>
      <c r="AG33" s="20">
        <f>IFERROR(AG21*100/AG32,"")</f>
        <v/>
      </c>
      <c r="AH33" s="20">
        <f>IFERROR(AH21*100/AH32,"")</f>
        <v/>
      </c>
      <c r="AI33" s="20">
        <f>IFERROR(AI21*100/AI32,"")</f>
        <v/>
      </c>
      <c r="AJ33" s="38">
        <f>SUM(AF33:AI33)</f>
        <v/>
      </c>
      <c r="AK33" s="20">
        <f>IFERROR(AK21*100/AK32,"")</f>
        <v/>
      </c>
      <c r="AL33" s="20">
        <f>IFERROR(AL21*100/AL32,"")</f>
        <v/>
      </c>
      <c r="AM33" s="20">
        <f>IFERROR(AM21*100/AM32,"")</f>
        <v/>
      </c>
      <c r="AN33" s="20">
        <f>IFERROR(AN21*100/AN32,"")</f>
        <v/>
      </c>
      <c r="AO33" s="38">
        <f>SUM(AK33:AN33)</f>
        <v/>
      </c>
    </row>
    <row r="34">
      <c r="A34" s="12" t="inlineStr">
        <is>
          <t>BPS</t>
        </is>
      </c>
      <c r="B34" t="inlineStr">
        <is>
          <t>주당</t>
        </is>
      </c>
      <c r="C34" t="inlineStr">
        <is>
          <t>원</t>
        </is>
      </c>
      <c r="D34" t="inlineStr">
        <is>
          <t>BPS</t>
        </is>
      </c>
      <c r="E34" s="18">
        <f>IFERROR(E25*100/E32,"")</f>
        <v/>
      </c>
      <c r="F34" s="37">
        <f>E34</f>
        <v/>
      </c>
      <c r="G34" s="18">
        <f>IFERROR(G25*100/G32,"")</f>
        <v/>
      </c>
      <c r="H34" s="18">
        <f>IFERROR(H25*100/H32,"")</f>
        <v/>
      </c>
      <c r="I34" s="18">
        <f>IFERROR(I25*100/I32,"")</f>
        <v/>
      </c>
      <c r="J34" s="18">
        <f>IFERROR(J25*100/J32,"")</f>
        <v/>
      </c>
      <c r="K34" s="37">
        <f>J34</f>
        <v/>
      </c>
      <c r="L34" s="18">
        <f>IFERROR(L25*100/L32,"")</f>
        <v/>
      </c>
      <c r="M34" s="18">
        <f>IFERROR(M25*100/M32,"")</f>
        <v/>
      </c>
      <c r="N34" s="18">
        <f>IFERROR(N25*100/N32,"")</f>
        <v/>
      </c>
      <c r="O34" s="18">
        <f>IFERROR(O25*100/O32,"")</f>
        <v/>
      </c>
      <c r="P34" s="37">
        <f>O34</f>
        <v/>
      </c>
      <c r="Q34" s="18">
        <f>IFERROR(Q25*100/Q32,"")</f>
        <v/>
      </c>
      <c r="R34" s="18">
        <f>IFERROR(R25*100/R32,"")</f>
        <v/>
      </c>
      <c r="S34" s="18">
        <f>IFERROR(S25*100/S32,"")</f>
        <v/>
      </c>
      <c r="T34" s="18">
        <f>IFERROR(T25*100/T32,"")</f>
        <v/>
      </c>
      <c r="U34" s="37">
        <f>T34</f>
        <v/>
      </c>
      <c r="V34" s="18">
        <f>IFERROR(V25*100/V32,"")</f>
        <v/>
      </c>
      <c r="W34" s="18">
        <f>IFERROR(W25*100/W32,"")</f>
        <v/>
      </c>
      <c r="X34" s="18">
        <f>IFERROR(X25*100/X32,"")</f>
        <v/>
      </c>
      <c r="Y34" s="18">
        <f>IFERROR(Y25*100/Y32,"")</f>
        <v/>
      </c>
      <c r="Z34" s="37">
        <f>Y34</f>
        <v/>
      </c>
      <c r="AA34" s="18">
        <f>IFERROR(AA25*100/AA32,"")</f>
        <v/>
      </c>
      <c r="AB34" s="19">
        <f>IFERROR(AB25*100/AB32,"")</f>
        <v/>
      </c>
      <c r="AC34" s="20">
        <f>IFERROR(AC25*100/AC32,"")</f>
        <v/>
      </c>
      <c r="AD34" s="20">
        <f>IFERROR(AD25*100/AD32,"")</f>
        <v/>
      </c>
      <c r="AE34" s="38">
        <f>AD34</f>
        <v/>
      </c>
      <c r="AF34" s="20">
        <f>IFERROR(AF25*100/AF32,"")</f>
        <v/>
      </c>
      <c r="AG34" s="20">
        <f>IFERROR(AG25*100/AG32,"")</f>
        <v/>
      </c>
      <c r="AH34" s="20">
        <f>IFERROR(AH25*100/AH32,"")</f>
        <v/>
      </c>
      <c r="AI34" s="20">
        <f>IFERROR(AI25*100/AI32,"")</f>
        <v/>
      </c>
      <c r="AJ34" s="38">
        <f>AI34</f>
        <v/>
      </c>
      <c r="AK34" s="20">
        <f>IFERROR(AK25*100/AK32,"")</f>
        <v/>
      </c>
      <c r="AL34" s="20">
        <f>IFERROR(AL25*100/AL32,"")</f>
        <v/>
      </c>
      <c r="AM34" s="20">
        <f>IFERROR(AM25*100/AM32,"")</f>
        <v/>
      </c>
      <c r="AN34" s="20">
        <f>IFERROR(AN25*100/AN32,"")</f>
        <v/>
      </c>
      <c r="AO34" s="38">
        <f>AN34</f>
        <v/>
      </c>
    </row>
    <row r="35">
      <c r="A35" s="12" t="inlineStr">
        <is>
          <t>DPS</t>
        </is>
      </c>
      <c r="B35" t="inlineStr">
        <is>
          <t>주당</t>
        </is>
      </c>
      <c r="C35" t="inlineStr">
        <is>
          <t>원</t>
        </is>
      </c>
      <c r="D35" t="inlineStr">
        <is>
          <t>DPS(보통주)</t>
        </is>
      </c>
      <c r="E35" s="18" t="n">
        <v>0</v>
      </c>
      <c r="F35" s="37" t="n">
        <v>0</v>
      </c>
      <c r="G35" s="18" t="n"/>
      <c r="H35" s="18" t="n"/>
      <c r="I35" s="18" t="n"/>
      <c r="J35" s="18" t="n">
        <v>0</v>
      </c>
      <c r="K35" s="37">
        <f>SUM(G35:J35)</f>
        <v/>
      </c>
      <c r="L35" s="18" t="n"/>
      <c r="M35" s="18" t="n"/>
      <c r="N35" s="18" t="n"/>
      <c r="O35" s="18" t="n">
        <v>0</v>
      </c>
      <c r="P35" s="37">
        <f>SUM(L35:O35)</f>
        <v/>
      </c>
      <c r="Q35" s="18" t="n"/>
      <c r="R35" s="18" t="n"/>
      <c r="S35" s="18" t="n"/>
      <c r="T35" s="18" t="n">
        <v>0</v>
      </c>
      <c r="U35" s="37">
        <f>SUM(Q35:T35)</f>
        <v/>
      </c>
      <c r="V35" s="18" t="n"/>
      <c r="W35" s="18" t="n"/>
      <c r="X35" s="18" t="n"/>
      <c r="Y35" s="18" t="n">
        <v>0</v>
      </c>
      <c r="Z35" s="37">
        <f>SUM(V35:Y35)</f>
        <v/>
      </c>
      <c r="AA35" s="18" t="n"/>
      <c r="AB35" s="19" t="n"/>
      <c r="AC35" s="20" t="n"/>
      <c r="AD35" s="20">
        <f>변수!AD39</f>
        <v/>
      </c>
      <c r="AE35" s="38">
        <f>SUM(AA35:AD35)</f>
        <v/>
      </c>
      <c r="AF35" s="20" t="n"/>
      <c r="AG35" s="20" t="n"/>
      <c r="AH35" s="20" t="n"/>
      <c r="AI35" s="20">
        <f>변수!AI39</f>
        <v/>
      </c>
      <c r="AJ35" s="38">
        <f>SUM(AF35:AI35)</f>
        <v/>
      </c>
      <c r="AK35" s="20" t="n"/>
      <c r="AL35" s="20" t="n"/>
      <c r="AM35" s="20" t="n"/>
      <c r="AN35" s="20">
        <f>변수!AN39</f>
        <v/>
      </c>
      <c r="AO35" s="38">
        <f>SUM(AK35:AN35)</f>
        <v/>
      </c>
    </row>
    <row r="36">
      <c r="A36" s="12" t="inlineStr">
        <is>
          <t>PER</t>
        </is>
      </c>
      <c r="B36" t="inlineStr">
        <is>
          <t>주당</t>
        </is>
      </c>
      <c r="C36" t="inlineStr">
        <is>
          <t>배</t>
        </is>
      </c>
      <c r="D36" t="inlineStr">
        <is>
          <t>PER</t>
        </is>
      </c>
      <c r="E36" s="13" t="n"/>
      <c r="F36" s="14">
        <f>E36</f>
        <v/>
      </c>
      <c r="G36" s="13" t="n"/>
      <c r="H36" s="13" t="n"/>
      <c r="I36" s="13" t="n"/>
      <c r="J36" s="13" t="n"/>
      <c r="K36" s="14">
        <f>J36</f>
        <v/>
      </c>
      <c r="L36" s="13" t="n"/>
      <c r="M36" s="13" t="n"/>
      <c r="N36" s="13" t="n"/>
      <c r="O36" s="13" t="n"/>
      <c r="P36" s="14">
        <f>O36</f>
        <v/>
      </c>
      <c r="Q36" s="13">
        <f>IFERROR(변수!Q18/(M33+N33+O33+Q33),"")</f>
        <v/>
      </c>
      <c r="R36" s="13">
        <f>IFERROR(변수!R18/(N33+O33+Q33+R33),"")</f>
        <v/>
      </c>
      <c r="S36" s="13">
        <f>IFERROR(변수!S18/(O33+Q33+R33+S33),"")</f>
        <v/>
      </c>
      <c r="T36" s="13">
        <f>IFERROR(변수!T18/(Q33+R33+S33+T33),"")</f>
        <v/>
      </c>
      <c r="U36" s="14">
        <f>T36</f>
        <v/>
      </c>
      <c r="V36" s="13">
        <f>IFERROR(변수!V18/(R33+S33+T33+V33),"")</f>
        <v/>
      </c>
      <c r="W36" s="13">
        <f>IFERROR(변수!W18/(S33+T33+V33+W33),"")</f>
        <v/>
      </c>
      <c r="X36" s="13">
        <f>IFERROR(변수!X18/(T33+V33+W33+X33),"")</f>
        <v/>
      </c>
      <c r="Y36" s="13">
        <f>IFERROR(변수!Y18/(V33+W33+X33+Y33),"")</f>
        <v/>
      </c>
      <c r="Z36" s="14">
        <f>Y36</f>
        <v/>
      </c>
      <c r="AA36" s="13">
        <f>IFERROR(변수!AA18/(W33+X33+Y33+AA33),"")</f>
        <v/>
      </c>
      <c r="AB36" s="15">
        <f>IFERROR(변수!AB18/(X33+Y33+AA33+AB33),"")</f>
        <v/>
      </c>
      <c r="AC36" s="39">
        <f>IFERROR(변수!$D$47/(Y33+AA33+AB33+AC33),"")</f>
        <v/>
      </c>
      <c r="AD36" s="39">
        <f>IFERROR(변수!$D$47/(AA33+AB33+AC33+AD33),"")</f>
        <v/>
      </c>
      <c r="AE36" s="40">
        <f>AD36</f>
        <v/>
      </c>
      <c r="AF36" s="39">
        <f>IFERROR(변수!$D$47/(AB33+AC33+AD33+AF33),"")</f>
        <v/>
      </c>
      <c r="AG36" s="39">
        <f>IFERROR(변수!$D$47/(AC33+AD33+AF33+AG33),"")</f>
        <v/>
      </c>
      <c r="AH36" s="39">
        <f>IFERROR(변수!$D$47/(AD33+AF33+AG33+AH33),"")</f>
        <v/>
      </c>
      <c r="AI36" s="39">
        <f>IFERROR(변수!$D$47/(AF33+AG33+AH33+AI33),"")</f>
        <v/>
      </c>
      <c r="AJ36" s="40">
        <f>AI36</f>
        <v/>
      </c>
      <c r="AK36" s="39">
        <f>IFERROR(변수!$D$47/(AG33+AH33+AI33+AK33),"")</f>
        <v/>
      </c>
      <c r="AL36" s="39">
        <f>IFERROR(변수!$D$47/(AH33+AI33+AK33+AL33),"")</f>
        <v/>
      </c>
      <c r="AM36" s="39">
        <f>IFERROR(변수!$D$47/(AI33+AK33+AL33+AM33),"")</f>
        <v/>
      </c>
      <c r="AN36" s="39">
        <f>IFERROR(변수!$D$47/(AK33+AL33+AM33+AN33),"")</f>
        <v/>
      </c>
      <c r="AO36" s="40">
        <f>AN36</f>
        <v/>
      </c>
    </row>
    <row r="37">
      <c r="A37" s="12" t="inlineStr">
        <is>
          <t>PBR</t>
        </is>
      </c>
      <c r="B37" t="inlineStr">
        <is>
          <t>주당</t>
        </is>
      </c>
      <c r="C37" t="inlineStr">
        <is>
          <t>배</t>
        </is>
      </c>
      <c r="D37" t="inlineStr">
        <is>
          <t>PBR</t>
        </is>
      </c>
      <c r="E37" s="13">
        <f>IFERROR(변수!E18/E34,"")</f>
        <v/>
      </c>
      <c r="F37" s="14">
        <f>E37</f>
        <v/>
      </c>
      <c r="G37" s="13">
        <f>IFERROR(변수!G18/G34,"")</f>
        <v/>
      </c>
      <c r="H37" s="13">
        <f>IFERROR(변수!H18/H34,"")</f>
        <v/>
      </c>
      <c r="I37" s="13">
        <f>IFERROR(변수!I18/I34,"")</f>
        <v/>
      </c>
      <c r="J37" s="13">
        <f>IFERROR(변수!J18/J34,"")</f>
        <v/>
      </c>
      <c r="K37" s="14">
        <f>J37</f>
        <v/>
      </c>
      <c r="L37" s="13">
        <f>IFERROR(변수!L18/L34,"")</f>
        <v/>
      </c>
      <c r="M37" s="13">
        <f>IFERROR(변수!M18/M34,"")</f>
        <v/>
      </c>
      <c r="N37" s="13">
        <f>IFERROR(변수!N18/N34,"")</f>
        <v/>
      </c>
      <c r="O37" s="13">
        <f>IFERROR(변수!O18/O34,"")</f>
        <v/>
      </c>
      <c r="P37" s="14">
        <f>O37</f>
        <v/>
      </c>
      <c r="Q37" s="13">
        <f>IFERROR(변수!Q18/Q34,"")</f>
        <v/>
      </c>
      <c r="R37" s="13">
        <f>IFERROR(변수!R18/R34,"")</f>
        <v/>
      </c>
      <c r="S37" s="13">
        <f>IFERROR(변수!S18/S34,"")</f>
        <v/>
      </c>
      <c r="T37" s="13">
        <f>IFERROR(변수!T18/T34,"")</f>
        <v/>
      </c>
      <c r="U37" s="14">
        <f>T37</f>
        <v/>
      </c>
      <c r="V37" s="13">
        <f>IFERROR(변수!V18/V34,"")</f>
        <v/>
      </c>
      <c r="W37" s="13">
        <f>IFERROR(변수!W18/W34,"")</f>
        <v/>
      </c>
      <c r="X37" s="13">
        <f>IFERROR(변수!X18/X34,"")</f>
        <v/>
      </c>
      <c r="Y37" s="13">
        <f>IFERROR(변수!Y18/Y34,"")</f>
        <v/>
      </c>
      <c r="Z37" s="14">
        <f>Y37</f>
        <v/>
      </c>
      <c r="AA37" s="13">
        <f>IFERROR(변수!AA18/AA34,"")</f>
        <v/>
      </c>
      <c r="AB37" s="15">
        <f>IFERROR(변수!AB18/AB34,"")</f>
        <v/>
      </c>
      <c r="AC37" s="39">
        <f>IFERROR(변수!$D$47/AC34,"")</f>
        <v/>
      </c>
      <c r="AD37" s="39">
        <f>IFERROR(변수!$D$47/AD34,"")</f>
        <v/>
      </c>
      <c r="AE37" s="40">
        <f>AD37</f>
        <v/>
      </c>
      <c r="AF37" s="39">
        <f>IFERROR(변수!$D$47/AF34,"")</f>
        <v/>
      </c>
      <c r="AG37" s="39">
        <f>IFERROR(변수!$D$47/AG34,"")</f>
        <v/>
      </c>
      <c r="AH37" s="39">
        <f>IFERROR(변수!$D$47/AH34,"")</f>
        <v/>
      </c>
      <c r="AI37" s="39">
        <f>IFERROR(변수!$D$47/AI34,"")</f>
        <v/>
      </c>
      <c r="AJ37" s="40">
        <f>AI37</f>
        <v/>
      </c>
      <c r="AK37" s="39">
        <f>IFERROR(변수!$D$47/AK34,"")</f>
        <v/>
      </c>
      <c r="AL37" s="39">
        <f>IFERROR(변수!$D$47/AL34,"")</f>
        <v/>
      </c>
      <c r="AM37" s="39">
        <f>IFERROR(변수!$D$47/AM34,"")</f>
        <v/>
      </c>
      <c r="AN37" s="39">
        <f>IFERROR(변수!$D$47/AN34,"")</f>
        <v/>
      </c>
      <c r="AO37" s="40">
        <f>AN37</f>
        <v/>
      </c>
    </row>
    <row r="38">
      <c r="A38" s="12" t="inlineStr">
        <is>
          <t>매출조선</t>
        </is>
      </c>
      <c r="B38" t="inlineStr">
        <is>
          <t>사업부</t>
        </is>
      </c>
      <c r="C38" t="inlineStr">
        <is>
          <t>억원</t>
        </is>
      </c>
      <c r="D38" t="inlineStr">
        <is>
          <t>매출 조선·해양(상선·해양및특수선·EP및특수선)</t>
        </is>
      </c>
      <c r="E38" s="18" t="n"/>
      <c r="F38" s="37" t="n"/>
      <c r="G38" s="18" t="n">
        <v>12481.38</v>
      </c>
      <c r="H38" s="18" t="n">
        <v>11968.94</v>
      </c>
      <c r="I38" s="18" t="n">
        <v>10004.17</v>
      </c>
      <c r="J38" s="18" t="n">
        <v>14764.33</v>
      </c>
      <c r="K38" s="37">
        <f>SUM(G38:J38)</f>
        <v/>
      </c>
      <c r="L38" s="18" t="n">
        <v>14705.8</v>
      </c>
      <c r="M38" s="18" t="n">
        <v>18569.45</v>
      </c>
      <c r="N38" s="18" t="n">
        <v>20122.5</v>
      </c>
      <c r="O38" s="18" t="n">
        <v>23387.72</v>
      </c>
      <c r="P38" s="37">
        <f>SUM(L38:O38)</f>
        <v/>
      </c>
      <c r="Q38" s="18" t="n">
        <v>23615.5</v>
      </c>
      <c r="R38" s="18" t="n">
        <v>26384.44</v>
      </c>
      <c r="S38" s="18" t="n">
        <v>26576.3</v>
      </c>
      <c r="T38" s="18" t="n">
        <v>31615.57</v>
      </c>
      <c r="U38" s="37">
        <f>SUM(Q38:T38)</f>
        <v/>
      </c>
      <c r="V38" s="18" t="n">
        <v>31027.59</v>
      </c>
      <c r="W38" s="18" t="n">
        <v>33310.22</v>
      </c>
      <c r="X38" s="18" t="n">
        <v>29385.93</v>
      </c>
      <c r="Y38" s="18" t="n">
        <v>31818.98</v>
      </c>
      <c r="Z38" s="37">
        <f>SUM(V38:Y38)</f>
        <v/>
      </c>
      <c r="AA38" s="18" t="n">
        <v>33219.6</v>
      </c>
      <c r="AB38" s="19" t="n">
        <v>56347.33</v>
      </c>
      <c r="AC38" s="20">
        <f>IFERROR(SLS!AH107/100+변수!AC40+AC39,"")</f>
        <v/>
      </c>
      <c r="AD38" s="20">
        <f>IFERROR(SLS!AI107/100+변수!AD40+AD39,"")</f>
        <v/>
      </c>
      <c r="AE38" s="38">
        <f>SUM(AA38:AD38)</f>
        <v/>
      </c>
      <c r="AF38" s="20">
        <f>IFERROR(SLS!AJ107/100+변수!AF40+AF39,"")</f>
        <v/>
      </c>
      <c r="AG38" s="20">
        <f>IFERROR(SLS!AK107/100+변수!AG40+AG39,"")</f>
        <v/>
      </c>
      <c r="AH38" s="20">
        <f>IFERROR(SLS!AL107/100+변수!AH40+AH39,"")</f>
        <v/>
      </c>
      <c r="AI38" s="20">
        <f>IFERROR(SLS!AM107/100+변수!AI40+AI39,"")</f>
        <v/>
      </c>
      <c r="AJ38" s="38">
        <f>SUM(AF38:AI38)</f>
        <v/>
      </c>
      <c r="AK38" s="20">
        <f>IFERROR(SLS!AN107/100+변수!AK40+AK39,"")</f>
        <v/>
      </c>
      <c r="AL38" s="20">
        <f>IFERROR(SLS!AO107/100+변수!AL40+AL39,"")</f>
        <v/>
      </c>
      <c r="AM38" s="20">
        <f>IFERROR(SLS!AP107/100+변수!AM40+AM39,"")</f>
        <v/>
      </c>
      <c r="AN38" s="20">
        <f>IFERROR(SLS!AQ107/100+변수!AN40+AN39,"")</f>
        <v/>
      </c>
      <c r="AO38" s="38">
        <f>SUM(AK38:AN38)</f>
        <v/>
      </c>
    </row>
    <row r="39">
      <c r="A39" s="12" t="inlineStr">
        <is>
          <t>매출조선신규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조선·해양(상선·해양및특수선·EP및특수선) 신규수주(forecast_panel base(공시 상계) — 매출조선에 포함)</t>
        </is>
      </c>
      <c r="E39" s="18" t="n"/>
      <c r="F39" s="37" t="n"/>
      <c r="G39" s="18" t="n"/>
      <c r="H39" s="18" t="n"/>
      <c r="I39" s="18" t="n"/>
      <c r="J39" s="18" t="n"/>
      <c r="K39" s="37">
        <f>SUM(G39:J39)</f>
        <v/>
      </c>
      <c r="L39" s="18" t="n"/>
      <c r="M39" s="18" t="n"/>
      <c r="N39" s="18" t="n"/>
      <c r="O39" s="18" t="n"/>
      <c r="P39" s="37">
        <f>SUM(L39:O39)</f>
        <v/>
      </c>
      <c r="Q39" s="18" t="n"/>
      <c r="R39" s="18" t="n"/>
      <c r="S39" s="18" t="n"/>
      <c r="T39" s="18" t="n"/>
      <c r="U39" s="37">
        <f>SUM(Q39:T39)</f>
        <v/>
      </c>
      <c r="V39" s="18" t="n"/>
      <c r="W39" s="18" t="n"/>
      <c r="X39" s="18" t="n"/>
      <c r="Y39" s="18" t="n"/>
      <c r="Z39" s="37">
        <f>SUM(V39:Y39)</f>
        <v/>
      </c>
      <c r="AA39" s="20" t="n">
        <v>0</v>
      </c>
      <c r="AB39" s="41" t="n">
        <v>0</v>
      </c>
      <c r="AC39" s="20">
        <f>변수!AC41</f>
        <v/>
      </c>
      <c r="AD39" s="20">
        <f>변수!AD41</f>
        <v/>
      </c>
      <c r="AE39" s="38">
        <f>SUM(AA39:AD39)</f>
        <v/>
      </c>
      <c r="AF39" s="20">
        <f>변수!AF41</f>
        <v/>
      </c>
      <c r="AG39" s="20">
        <f>변수!AG41</f>
        <v/>
      </c>
      <c r="AH39" s="20">
        <f>변수!AH41</f>
        <v/>
      </c>
      <c r="AI39" s="20">
        <f>변수!AI41</f>
        <v/>
      </c>
      <c r="AJ39" s="38">
        <f>SUM(AF39:AI39)</f>
        <v/>
      </c>
      <c r="AK39" s="20">
        <f>변수!AK41</f>
        <v/>
      </c>
      <c r="AL39" s="20">
        <f>변수!AL41</f>
        <v/>
      </c>
      <c r="AM39" s="20">
        <f>변수!AM41</f>
        <v/>
      </c>
      <c r="AN39" s="20">
        <f>변수!AN41</f>
        <v/>
      </c>
      <c r="AO39" s="38">
        <f>SUM(AK39:AN39)</f>
        <v/>
      </c>
    </row>
    <row r="40">
      <c r="A40" s="12" t="inlineStr">
        <is>
          <t>OP조선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조선·해양(상선·해양및특수선·EP및특수선)</t>
        </is>
      </c>
      <c r="E40" s="18" t="n"/>
      <c r="F40" s="37" t="n"/>
      <c r="G40" s="18" t="n"/>
      <c r="H40" s="18" t="n"/>
      <c r="I40" s="18" t="n"/>
      <c r="J40" s="18" t="n"/>
      <c r="K40" s="37">
        <f>SUM(G40:J40)</f>
        <v/>
      </c>
      <c r="L40" s="18" t="n"/>
      <c r="M40" s="18" t="n"/>
      <c r="N40" s="18" t="n"/>
      <c r="O40" s="18" t="n"/>
      <c r="P40" s="37">
        <f>SUM(L40:O40)</f>
        <v/>
      </c>
      <c r="Q40" s="18" t="n"/>
      <c r="R40" s="18" t="n"/>
      <c r="S40" s="18" t="n"/>
      <c r="T40" s="18" t="n"/>
      <c r="U40" s="37">
        <f>SUM(Q40:T40)</f>
        <v/>
      </c>
      <c r="V40" s="18" t="n"/>
      <c r="W40" s="18" t="n"/>
      <c r="X40" s="18" t="n"/>
      <c r="Y40" s="18" t="n"/>
      <c r="Z40" s="37">
        <f>SUM(V40:Y40)</f>
        <v/>
      </c>
      <c r="AA40" s="18" t="n"/>
      <c r="AB40" s="19" t="n"/>
      <c r="AC40" s="20">
        <f>IFERROR(AC38*변수!AC42,"")</f>
        <v/>
      </c>
      <c r="AD40" s="20">
        <f>IFERROR(AD38*변수!AD42,"")</f>
        <v/>
      </c>
      <c r="AE40" s="38">
        <f>SUM(AA40:AD40)</f>
        <v/>
      </c>
      <c r="AF40" s="20">
        <f>IFERROR(AF38*변수!AF42,"")</f>
        <v/>
      </c>
      <c r="AG40" s="20">
        <f>IFERROR(AG38*변수!AG42,"")</f>
        <v/>
      </c>
      <c r="AH40" s="20">
        <f>IFERROR(AH38*변수!AH42,"")</f>
        <v/>
      </c>
      <c r="AI40" s="20">
        <f>IFERROR(AI38*변수!AI42,"")</f>
        <v/>
      </c>
      <c r="AJ40" s="38">
        <f>SUM(AF40:AI40)</f>
        <v/>
      </c>
      <c r="AK40" s="20">
        <f>IFERROR(AK38*변수!AK42,"")</f>
        <v/>
      </c>
      <c r="AL40" s="20">
        <f>IFERROR(AL38*변수!AL42,"")</f>
        <v/>
      </c>
      <c r="AM40" s="20">
        <f>IFERROR(AM38*변수!AM42,"")</f>
        <v/>
      </c>
      <c r="AN40" s="20">
        <f>IFERROR(AN38*변수!AN42,"")</f>
        <v/>
      </c>
      <c r="AO40" s="38">
        <f>SUM(AK40:AN40)</f>
        <v/>
      </c>
    </row>
    <row r="41">
      <c r="A41" s="12" t="inlineStr">
        <is>
          <t>OP조선신규</t>
        </is>
      </c>
      <c r="B41" t="inlineStr">
        <is>
          <t>사업부</t>
        </is>
      </c>
      <c r="C41" t="inlineStr">
        <is>
          <t>억원</t>
        </is>
      </c>
      <c r="D41" t="inlineStr">
        <is>
          <t>OP 조선·해양(상선·해양및특수선·EP및특수선) 신규수주(매출조선신규 × OPM — OP조선에 포함)</t>
        </is>
      </c>
      <c r="E41" s="18" t="n"/>
      <c r="F41" s="37" t="n"/>
      <c r="G41" s="18" t="n"/>
      <c r="H41" s="18" t="n"/>
      <c r="I41" s="18" t="n"/>
      <c r="J41" s="18" t="n"/>
      <c r="K41" s="37">
        <f>SUM(G41:J41)</f>
        <v/>
      </c>
      <c r="L41" s="18" t="n"/>
      <c r="M41" s="18" t="n"/>
      <c r="N41" s="18" t="n"/>
      <c r="O41" s="18" t="n"/>
      <c r="P41" s="37">
        <f>SUM(L41:O41)</f>
        <v/>
      </c>
      <c r="Q41" s="18" t="n"/>
      <c r="R41" s="18" t="n"/>
      <c r="S41" s="18" t="n"/>
      <c r="T41" s="18" t="n"/>
      <c r="U41" s="37">
        <f>SUM(Q41:T41)</f>
        <v/>
      </c>
      <c r="V41" s="18" t="n"/>
      <c r="W41" s="18" t="n"/>
      <c r="X41" s="18" t="n"/>
      <c r="Y41" s="18" t="n"/>
      <c r="Z41" s="37">
        <f>SUM(V41:Y41)</f>
        <v/>
      </c>
      <c r="AA41" s="20" t="n">
        <v>0</v>
      </c>
      <c r="AB41" s="41" t="n">
        <v>0</v>
      </c>
      <c r="AC41" s="20">
        <f>IFERROR(AC39*변수!AC42,"")</f>
        <v/>
      </c>
      <c r="AD41" s="20">
        <f>IFERROR(AD39*변수!AD42,"")</f>
        <v/>
      </c>
      <c r="AE41" s="38">
        <f>SUM(AA41:AD41)</f>
        <v/>
      </c>
      <c r="AF41" s="20">
        <f>IFERROR(AF39*변수!AF42,"")</f>
        <v/>
      </c>
      <c r="AG41" s="20">
        <f>IFERROR(AG39*변수!AG42,"")</f>
        <v/>
      </c>
      <c r="AH41" s="20">
        <f>IFERROR(AH39*변수!AH42,"")</f>
        <v/>
      </c>
      <c r="AI41" s="20">
        <f>IFERROR(AI39*변수!AI42,"")</f>
        <v/>
      </c>
      <c r="AJ41" s="38">
        <f>SUM(AF41:AI41)</f>
        <v/>
      </c>
      <c r="AK41" s="20">
        <f>IFERROR(AK39*변수!AK42,"")</f>
        <v/>
      </c>
      <c r="AL41" s="20">
        <f>IFERROR(AL39*변수!AL42,"")</f>
        <v/>
      </c>
      <c r="AM41" s="20">
        <f>IFERROR(AM39*변수!AM42,"")</f>
        <v/>
      </c>
      <c r="AN41" s="20">
        <f>IFERROR(AN39*변수!AN42,"")</f>
        <v/>
      </c>
      <c r="AO41" s="38">
        <f>SUM(AK41:AN41)</f>
        <v/>
      </c>
    </row>
    <row r="42">
      <c r="A42" s="12" t="inlineStr">
        <is>
          <t>매출기타</t>
        </is>
      </c>
      <c r="B42" t="inlineStr">
        <is>
          <t>사업부</t>
        </is>
      </c>
      <c r="C42" t="inlineStr">
        <is>
          <t>억원</t>
        </is>
      </c>
      <c r="D42" t="inlineStr">
        <is>
          <t>매출 기타 부문(총매출 − 조선)</t>
        </is>
      </c>
      <c r="E42" s="18" t="n"/>
      <c r="F42" s="37" t="n"/>
      <c r="G42" s="18" t="n">
        <v>0</v>
      </c>
      <c r="H42" s="18" t="n">
        <v>0</v>
      </c>
      <c r="I42" s="18" t="n">
        <v>0</v>
      </c>
      <c r="J42" s="18" t="n">
        <v>0</v>
      </c>
      <c r="K42" s="37">
        <f>SUM(G42:J42)</f>
        <v/>
      </c>
      <c r="L42" s="18" t="n">
        <v>0</v>
      </c>
      <c r="M42" s="18" t="n">
        <v>0</v>
      </c>
      <c r="N42" s="18" t="n">
        <v>0</v>
      </c>
      <c r="O42" s="18" t="n">
        <v>0</v>
      </c>
      <c r="P42" s="37">
        <f>SUM(L42:O42)</f>
        <v/>
      </c>
      <c r="Q42" s="18" t="n">
        <v>0</v>
      </c>
      <c r="R42" s="18" t="n">
        <v>0</v>
      </c>
      <c r="S42" s="18" t="n">
        <v>454.79</v>
      </c>
      <c r="T42" s="18" t="n">
        <v>916.21</v>
      </c>
      <c r="U42" s="37">
        <f>SUM(Q42:T42)</f>
        <v/>
      </c>
      <c r="V42" s="18" t="n">
        <v>403.31</v>
      </c>
      <c r="W42" s="18" t="n">
        <v>0</v>
      </c>
      <c r="X42" s="18" t="n">
        <v>847.65</v>
      </c>
      <c r="Y42" s="18" t="n">
        <v>1410.53</v>
      </c>
      <c r="Z42" s="37">
        <f>SUM(V42:Y42)</f>
        <v/>
      </c>
      <c r="AA42" s="18" t="n">
        <v>0</v>
      </c>
      <c r="AB42" s="19" t="n">
        <v>0</v>
      </c>
      <c r="AC42" s="20">
        <f>IFERROR(X42*(1+변수!AC43),"")</f>
        <v/>
      </c>
      <c r="AD42" s="20">
        <f>IFERROR(Y42*(1+변수!AD43),"")</f>
        <v/>
      </c>
      <c r="AE42" s="38">
        <f>SUM(AA42:AD42)</f>
        <v/>
      </c>
      <c r="AF42" s="20">
        <f>IFERROR(AD42*(1+변수!AF43),"")</f>
        <v/>
      </c>
      <c r="AG42" s="20">
        <f>IFERROR(AF42*(1+변수!AG43),"")</f>
        <v/>
      </c>
      <c r="AH42" s="20">
        <f>IFERROR(AC42*(1+변수!AH43),"")</f>
        <v/>
      </c>
      <c r="AI42" s="20">
        <f>IFERROR(AD42*(1+변수!AI43),"")</f>
        <v/>
      </c>
      <c r="AJ42" s="38">
        <f>SUM(AF42:AI42)</f>
        <v/>
      </c>
      <c r="AK42" s="20">
        <f>IFERROR(AF42*(1+변수!AK43),"")</f>
        <v/>
      </c>
      <c r="AL42" s="20">
        <f>IFERROR(AG42*(1+변수!AL43),"")</f>
        <v/>
      </c>
      <c r="AM42" s="20">
        <f>IFERROR(AH42*(1+변수!AM43),"")</f>
        <v/>
      </c>
      <c r="AN42" s="20">
        <f>IFERROR(AI42*(1+변수!AN43),"")</f>
        <v/>
      </c>
      <c r="AO42" s="38">
        <f>SUM(AK42:AN42)</f>
        <v/>
      </c>
    </row>
    <row r="43">
      <c r="A43" s="12" t="inlineStr">
        <is>
          <t>OP기타</t>
        </is>
      </c>
      <c r="B43" t="inlineStr">
        <is>
          <t>사업부</t>
        </is>
      </c>
      <c r="C43" t="inlineStr">
        <is>
          <t>억원</t>
        </is>
      </c>
      <c r="D43" t="inlineStr">
        <is>
          <t>OP 기타 부문(총매출 − 조선)</t>
        </is>
      </c>
      <c r="E43" s="18" t="n"/>
      <c r="F43" s="37" t="n"/>
      <c r="G43" s="18" t="n"/>
      <c r="H43" s="18" t="n"/>
      <c r="I43" s="18" t="n"/>
      <c r="J43" s="18" t="n"/>
      <c r="K43" s="37">
        <f>SUM(G43:J43)</f>
        <v/>
      </c>
      <c r="L43" s="18" t="n"/>
      <c r="M43" s="18" t="n"/>
      <c r="N43" s="18" t="n"/>
      <c r="O43" s="18" t="n"/>
      <c r="P43" s="37">
        <f>SUM(L43:O43)</f>
        <v/>
      </c>
      <c r="Q43" s="18" t="n"/>
      <c r="R43" s="18" t="n"/>
      <c r="S43" s="18" t="n"/>
      <c r="T43" s="18" t="n"/>
      <c r="U43" s="37">
        <f>SUM(Q43:T43)</f>
        <v/>
      </c>
      <c r="V43" s="18" t="n"/>
      <c r="W43" s="18" t="n"/>
      <c r="X43" s="18" t="n"/>
      <c r="Y43" s="18" t="n"/>
      <c r="Z43" s="37">
        <f>SUM(V43:Y43)</f>
        <v/>
      </c>
      <c r="AA43" s="18" t="n"/>
      <c r="AB43" s="19" t="n"/>
      <c r="AC43" s="20">
        <f>IFERROR(AC42*변수!AC44,"")</f>
        <v/>
      </c>
      <c r="AD43" s="20">
        <f>IFERROR(AD42*변수!AD44,"")</f>
        <v/>
      </c>
      <c r="AE43" s="38">
        <f>SUM(AA43:AD43)</f>
        <v/>
      </c>
      <c r="AF43" s="20">
        <f>IFERROR(AF42*변수!AF44,"")</f>
        <v/>
      </c>
      <c r="AG43" s="20">
        <f>IFERROR(AG42*변수!AG44,"")</f>
        <v/>
      </c>
      <c r="AH43" s="20">
        <f>IFERROR(AH42*변수!AH44,"")</f>
        <v/>
      </c>
      <c r="AI43" s="20">
        <f>IFERROR(AI42*변수!AI44,"")</f>
        <v/>
      </c>
      <c r="AJ43" s="38">
        <f>SUM(AF43:AI43)</f>
        <v/>
      </c>
      <c r="AK43" s="20">
        <f>IFERROR(AK42*변수!AK44,"")</f>
        <v/>
      </c>
      <c r="AL43" s="20">
        <f>IFERROR(AL42*변수!AL44,"")</f>
        <v/>
      </c>
      <c r="AM43" s="20">
        <f>IFERROR(AM42*변수!AM44,"")</f>
        <v/>
      </c>
      <c r="AN43" s="20">
        <f>IFERROR(AN42*변수!AN44,"")</f>
        <v/>
      </c>
      <c r="AO43" s="38">
        <f>SUM(AK43:AN43)</f>
        <v/>
      </c>
    </row>
    <row r="44">
      <c r="B44" s="2" t="inlineStr">
        <is>
          <t>비율(참고)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NPM</t>
        </is>
      </c>
      <c r="C45" t="inlineStr">
        <is>
          <t>%</t>
        </is>
      </c>
      <c r="D45" t="inlineStr">
        <is>
          <t>지배주주순이익 / 매출액</t>
        </is>
      </c>
      <c r="E45" s="21">
        <f>IFERROR(E21/E5,"")</f>
        <v/>
      </c>
      <c r="F45" s="22">
        <f>IFERROR(F21/F5,"")</f>
        <v/>
      </c>
      <c r="G45" s="21">
        <f>IFERROR(G21/G5,"")</f>
        <v/>
      </c>
      <c r="H45" s="21">
        <f>IFERROR(H21/H5,"")</f>
        <v/>
      </c>
      <c r="I45" s="21">
        <f>IFERROR(I21/I5,"")</f>
        <v/>
      </c>
      <c r="J45" s="21">
        <f>IFERROR(J21/J5,"")</f>
        <v/>
      </c>
      <c r="K45" s="22">
        <f>IFERROR(K21/K5,"")</f>
        <v/>
      </c>
      <c r="L45" s="21">
        <f>IFERROR(L21/L5,"")</f>
        <v/>
      </c>
      <c r="M45" s="21">
        <f>IFERROR(M21/M5,"")</f>
        <v/>
      </c>
      <c r="N45" s="21">
        <f>IFERROR(N21/N5,"")</f>
        <v/>
      </c>
      <c r="O45" s="21">
        <f>IFERROR(O21/O5,"")</f>
        <v/>
      </c>
      <c r="P45" s="22">
        <f>IFERROR(P21/P5,"")</f>
        <v/>
      </c>
      <c r="Q45" s="21">
        <f>IFERROR(Q21/Q5,"")</f>
        <v/>
      </c>
      <c r="R45" s="21">
        <f>IFERROR(R21/R5,"")</f>
        <v/>
      </c>
      <c r="S45" s="21">
        <f>IFERROR(S21/S5,"")</f>
        <v/>
      </c>
      <c r="T45" s="21">
        <f>IFERROR(T21/T5,"")</f>
        <v/>
      </c>
      <c r="U45" s="22">
        <f>IFERROR(U21/U5,"")</f>
        <v/>
      </c>
      <c r="V45" s="21">
        <f>IFERROR(V21/V5,"")</f>
        <v/>
      </c>
      <c r="W45" s="21">
        <f>IFERROR(W21/W5,"")</f>
        <v/>
      </c>
      <c r="X45" s="21">
        <f>IFERROR(X21/X5,"")</f>
        <v/>
      </c>
      <c r="Y45" s="21">
        <f>IFERROR(Y21/Y5,"")</f>
        <v/>
      </c>
      <c r="Z45" s="22">
        <f>IFERROR(Z21/Z5,"")</f>
        <v/>
      </c>
      <c r="AA45" s="21">
        <f>IFERROR(AA21/AA5,"")</f>
        <v/>
      </c>
      <c r="AB45" s="23">
        <f>IFERROR(AB21/AB5,"")</f>
        <v/>
      </c>
      <c r="AC45" s="32">
        <f>IFERROR(AC21/AC5,"")</f>
        <v/>
      </c>
      <c r="AD45" s="32">
        <f>IFERROR(AD21/AD5,"")</f>
        <v/>
      </c>
      <c r="AE45" s="25">
        <f>IFERROR(AE21/AE5,"")</f>
        <v/>
      </c>
      <c r="AF45" s="32">
        <f>IFERROR(AF21/AF5,"")</f>
        <v/>
      </c>
      <c r="AG45" s="32">
        <f>IFERROR(AG21/AG5,"")</f>
        <v/>
      </c>
      <c r="AH45" s="32">
        <f>IFERROR(AH21/AH5,"")</f>
        <v/>
      </c>
      <c r="AI45" s="32">
        <f>IFERROR(AI21/AI5,"")</f>
        <v/>
      </c>
      <c r="AJ45" s="25">
        <f>IFERROR(AJ21/AJ5,"")</f>
        <v/>
      </c>
      <c r="AK45" s="32">
        <f>IFERROR(AK21/AK5,"")</f>
        <v/>
      </c>
      <c r="AL45" s="32">
        <f>IFERROR(AL21/AL5,"")</f>
        <v/>
      </c>
      <c r="AM45" s="32">
        <f>IFERROR(AM21/AM5,"")</f>
        <v/>
      </c>
      <c r="AN45" s="32">
        <f>IFERROR(AN21/AN5,"")</f>
        <v/>
      </c>
      <c r="AO45" s="25">
        <f>IFERROR(AO21/AO5,"")</f>
        <v/>
      </c>
    </row>
    <row r="46">
      <c r="A46" s="12" t="inlineStr">
        <is>
          <t>매출원가율</t>
        </is>
      </c>
      <c r="C46" t="inlineStr">
        <is>
          <t>%</t>
        </is>
      </c>
      <c r="D46" t="inlineStr">
        <is>
          <t>매출원가 / 매출액</t>
        </is>
      </c>
      <c r="E46" s="21">
        <f>IFERROR(E6/E5,"")</f>
        <v/>
      </c>
      <c r="F46" s="22">
        <f>IFERROR(F6/F5,"")</f>
        <v/>
      </c>
      <c r="G46" s="21">
        <f>IFERROR(G6/G5,"")</f>
        <v/>
      </c>
      <c r="H46" s="21">
        <f>IFERROR(H6/H5,"")</f>
        <v/>
      </c>
      <c r="I46" s="21">
        <f>IFERROR(I6/I5,"")</f>
        <v/>
      </c>
      <c r="J46" s="21">
        <f>IFERROR(J6/J5,"")</f>
        <v/>
      </c>
      <c r="K46" s="22">
        <f>IFERROR(K6/K5,"")</f>
        <v/>
      </c>
      <c r="L46" s="21">
        <f>IFERROR(L6/L5,"")</f>
        <v/>
      </c>
      <c r="M46" s="21">
        <f>IFERROR(M6/M5,"")</f>
        <v/>
      </c>
      <c r="N46" s="21">
        <f>IFERROR(N6/N5,"")</f>
        <v/>
      </c>
      <c r="O46" s="21">
        <f>IFERROR(O6/O5,"")</f>
        <v/>
      </c>
      <c r="P46" s="22">
        <f>IFERROR(P6/P5,"")</f>
        <v/>
      </c>
      <c r="Q46" s="21">
        <f>IFERROR(Q6/Q5,"")</f>
        <v/>
      </c>
      <c r="R46" s="21">
        <f>IFERROR(R6/R5,"")</f>
        <v/>
      </c>
      <c r="S46" s="21">
        <f>IFERROR(S6/S5,"")</f>
        <v/>
      </c>
      <c r="T46" s="21">
        <f>IFERROR(T6/T5,"")</f>
        <v/>
      </c>
      <c r="U46" s="22">
        <f>IFERROR(U6/U5,"")</f>
        <v/>
      </c>
      <c r="V46" s="21">
        <f>IFERROR(V6/V5,"")</f>
        <v/>
      </c>
      <c r="W46" s="21">
        <f>IFERROR(W6/W5,"")</f>
        <v/>
      </c>
      <c r="X46" s="21">
        <f>IFERROR(X6/X5,"")</f>
        <v/>
      </c>
      <c r="Y46" s="21">
        <f>IFERROR(Y6/Y5,"")</f>
        <v/>
      </c>
      <c r="Z46" s="22">
        <f>IFERROR(Z6/Z5,"")</f>
        <v/>
      </c>
      <c r="AA46" s="21">
        <f>IFERROR(AA6/AA5,"")</f>
        <v/>
      </c>
      <c r="AB46" s="23">
        <f>IFERROR(AB6/AB5,"")</f>
        <v/>
      </c>
      <c r="AC46" s="32">
        <f>IFERROR(AC6/AC5,"")</f>
        <v/>
      </c>
      <c r="AD46" s="32">
        <f>IFERROR(AD6/AD5,"")</f>
        <v/>
      </c>
      <c r="AE46" s="25">
        <f>IFERROR(AE6/AE5,"")</f>
        <v/>
      </c>
      <c r="AF46" s="32">
        <f>IFERROR(AF6/AF5,"")</f>
        <v/>
      </c>
      <c r="AG46" s="32">
        <f>IFERROR(AG6/AG5,"")</f>
        <v/>
      </c>
      <c r="AH46" s="32">
        <f>IFERROR(AH6/AH5,"")</f>
        <v/>
      </c>
      <c r="AI46" s="32">
        <f>IFERROR(AI6/AI5,"")</f>
        <v/>
      </c>
      <c r="AJ46" s="25">
        <f>IFERROR(AJ6/AJ5,"")</f>
        <v/>
      </c>
      <c r="AK46" s="32">
        <f>IFERROR(AK6/AK5,"")</f>
        <v/>
      </c>
      <c r="AL46" s="32">
        <f>IFERROR(AL6/AL5,"")</f>
        <v/>
      </c>
      <c r="AM46" s="32">
        <f>IFERROR(AM6/AM5,"")</f>
        <v/>
      </c>
      <c r="AN46" s="32">
        <f>IFERROR(AN6/AN5,"")</f>
        <v/>
      </c>
      <c r="AO46" s="25">
        <f>IFERROR(AO6/AO5,"")</f>
        <v/>
      </c>
    </row>
    <row r="47">
      <c r="A47" s="12" t="inlineStr">
        <is>
          <t>판관비율</t>
        </is>
      </c>
      <c r="C47" t="inlineStr">
        <is>
          <t>%</t>
        </is>
      </c>
      <c r="D47" t="inlineStr">
        <is>
          <t>판관비 / 매출액</t>
        </is>
      </c>
      <c r="E47" s="21">
        <f>IFERROR(E8/E5,"")</f>
        <v/>
      </c>
      <c r="F47" s="22">
        <f>IFERROR(F8/F5,"")</f>
        <v/>
      </c>
      <c r="G47" s="21">
        <f>IFERROR(G8/G5,"")</f>
        <v/>
      </c>
      <c r="H47" s="21">
        <f>IFERROR(H8/H5,"")</f>
        <v/>
      </c>
      <c r="I47" s="21">
        <f>IFERROR(I8/I5,"")</f>
        <v/>
      </c>
      <c r="J47" s="21">
        <f>IFERROR(J8/J5,"")</f>
        <v/>
      </c>
      <c r="K47" s="22">
        <f>IFERROR(K8/K5,"")</f>
        <v/>
      </c>
      <c r="L47" s="21">
        <f>IFERROR(L8/L5,"")</f>
        <v/>
      </c>
      <c r="M47" s="21">
        <f>IFERROR(M8/M5,"")</f>
        <v/>
      </c>
      <c r="N47" s="21">
        <f>IFERROR(N8/N5,"")</f>
        <v/>
      </c>
      <c r="O47" s="21">
        <f>IFERROR(O8/O5,"")</f>
        <v/>
      </c>
      <c r="P47" s="22">
        <f>IFERROR(P8/P5,"")</f>
        <v/>
      </c>
      <c r="Q47" s="21">
        <f>IFERROR(Q8/Q5,"")</f>
        <v/>
      </c>
      <c r="R47" s="21">
        <f>IFERROR(R8/R5,"")</f>
        <v/>
      </c>
      <c r="S47" s="21">
        <f>IFERROR(S8/S5,"")</f>
        <v/>
      </c>
      <c r="T47" s="21">
        <f>IFERROR(T8/T5,"")</f>
        <v/>
      </c>
      <c r="U47" s="22">
        <f>IFERROR(U8/U5,"")</f>
        <v/>
      </c>
      <c r="V47" s="21">
        <f>IFERROR(V8/V5,"")</f>
        <v/>
      </c>
      <c r="W47" s="21">
        <f>IFERROR(W8/W5,"")</f>
        <v/>
      </c>
      <c r="X47" s="21">
        <f>IFERROR(X8/X5,"")</f>
        <v/>
      </c>
      <c r="Y47" s="21">
        <f>IFERROR(Y8/Y5,"")</f>
        <v/>
      </c>
      <c r="Z47" s="22">
        <f>IFERROR(Z8/Z5,"")</f>
        <v/>
      </c>
      <c r="AA47" s="21">
        <f>IFERROR(AA8/AA5,"")</f>
        <v/>
      </c>
      <c r="AB47" s="23">
        <f>IFERROR(AB8/AB5,"")</f>
        <v/>
      </c>
      <c r="AC47" s="32">
        <f>IFERROR(AC8/AC5,"")</f>
        <v/>
      </c>
      <c r="AD47" s="32">
        <f>IFERROR(AD8/AD5,"")</f>
        <v/>
      </c>
      <c r="AE47" s="25">
        <f>IFERROR(AE8/AE5,"")</f>
        <v/>
      </c>
      <c r="AF47" s="32">
        <f>IFERROR(AF8/AF5,"")</f>
        <v/>
      </c>
      <c r="AG47" s="32">
        <f>IFERROR(AG8/AG5,"")</f>
        <v/>
      </c>
      <c r="AH47" s="32">
        <f>IFERROR(AH8/AH5,"")</f>
        <v/>
      </c>
      <c r="AI47" s="32">
        <f>IFERROR(AI8/AI5,"")</f>
        <v/>
      </c>
      <c r="AJ47" s="25">
        <f>IFERROR(AJ8/AJ5,"")</f>
        <v/>
      </c>
      <c r="AK47" s="32">
        <f>IFERROR(AK8/AK5,"")</f>
        <v/>
      </c>
      <c r="AL47" s="32">
        <f>IFERROR(AL8/AL5,"")</f>
        <v/>
      </c>
      <c r="AM47" s="32">
        <f>IFERROR(AM8/AM5,"")</f>
        <v/>
      </c>
      <c r="AN47" s="32">
        <f>IFERROR(AN8/AN5,"")</f>
        <v/>
      </c>
      <c r="AO47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14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</cols>
  <sheetData>
    <row r="1">
      <c r="C1" s="2" t="inlineStr">
        <is>
          <t>이름: SLS_H · 선표 매출인식(백만$) — sls json origin 2026Q2</t>
        </is>
      </c>
      <c r="E1" s="3" t="inlineStr">
        <is>
          <t>2Q19</t>
        </is>
      </c>
      <c r="F1" s="3" t="inlineStr">
        <is>
          <t>3Q19</t>
        </is>
      </c>
      <c r="G1" s="3" t="inlineStr">
        <is>
          <t>4Q19</t>
        </is>
      </c>
      <c r="H1" s="3" t="inlineStr">
        <is>
          <t>1Q20</t>
        </is>
      </c>
      <c r="I1" s="3" t="inlineStr">
        <is>
          <t>2Q20</t>
        </is>
      </c>
      <c r="J1" s="3" t="inlineStr">
        <is>
          <t>3Q20</t>
        </is>
      </c>
      <c r="K1" s="3" t="inlineStr">
        <is>
          <t>4Q20</t>
        </is>
      </c>
      <c r="L1" s="3" t="inlineStr">
        <is>
          <t>1Q21</t>
        </is>
      </c>
      <c r="M1" s="3" t="inlineStr">
        <is>
          <t>2Q21</t>
        </is>
      </c>
      <c r="N1" s="3" t="inlineStr">
        <is>
          <t>3Q21</t>
        </is>
      </c>
      <c r="O1" s="3" t="inlineStr">
        <is>
          <t>4Q21</t>
        </is>
      </c>
      <c r="P1" s="3" t="inlineStr">
        <is>
          <t>1Q22</t>
        </is>
      </c>
      <c r="Q1" s="3" t="inlineStr">
        <is>
          <t>2Q22</t>
        </is>
      </c>
      <c r="R1" s="3" t="inlineStr">
        <is>
          <t>3Q22</t>
        </is>
      </c>
      <c r="S1" s="3" t="inlineStr">
        <is>
          <t>4Q22</t>
        </is>
      </c>
      <c r="T1" s="3" t="inlineStr">
        <is>
          <t>1Q23</t>
        </is>
      </c>
      <c r="U1" s="3" t="inlineStr">
        <is>
          <t>2Q23</t>
        </is>
      </c>
      <c r="V1" s="3" t="inlineStr">
        <is>
          <t>3Q23</t>
        </is>
      </c>
      <c r="W1" s="3" t="inlineStr">
        <is>
          <t>4Q23</t>
        </is>
      </c>
      <c r="X1" s="3" t="inlineStr">
        <is>
          <t>1Q24</t>
        </is>
      </c>
      <c r="Y1" s="3" t="inlineStr">
        <is>
          <t>2Q24</t>
        </is>
      </c>
      <c r="Z1" s="3" t="inlineStr">
        <is>
          <t>3Q24</t>
        </is>
      </c>
      <c r="AA1" s="3" t="inlineStr">
        <is>
          <t>4Q24</t>
        </is>
      </c>
      <c r="AB1" s="3" t="inlineStr">
        <is>
          <t>1Q25</t>
        </is>
      </c>
      <c r="AC1" s="3" t="inlineStr">
        <is>
          <t>2Q25</t>
        </is>
      </c>
      <c r="AD1" s="3" t="inlineStr">
        <is>
          <t>3Q25</t>
        </is>
      </c>
      <c r="AE1" s="3" t="inlineStr">
        <is>
          <t>4Q25</t>
        </is>
      </c>
      <c r="AF1" s="3" t="inlineStr">
        <is>
          <t>1Q26</t>
        </is>
      </c>
      <c r="AG1" s="3" t="inlineStr">
        <is>
          <t>2Q26</t>
        </is>
      </c>
      <c r="AH1" s="3" t="inlineStr">
        <is>
          <t>3Q26</t>
        </is>
      </c>
      <c r="AI1" s="3" t="inlineStr">
        <is>
          <t>4Q26</t>
        </is>
      </c>
      <c r="AJ1" s="3" t="inlineStr">
        <is>
          <t>1Q27</t>
        </is>
      </c>
      <c r="AK1" s="3" t="inlineStr">
        <is>
          <t>2Q27</t>
        </is>
      </c>
      <c r="AL1" s="3" t="inlineStr">
        <is>
          <t>3Q27</t>
        </is>
      </c>
      <c r="AM1" s="3" t="inlineStr">
        <is>
          <t>4Q27</t>
        </is>
      </c>
      <c r="AN1" s="3" t="inlineStr">
        <is>
          <t>1Q28</t>
        </is>
      </c>
      <c r="AO1" s="3" t="inlineStr">
        <is>
          <t>2Q28</t>
        </is>
      </c>
      <c r="AP1" s="3" t="inlineStr">
        <is>
          <t>3Q28</t>
        </is>
      </c>
      <c r="AQ1" s="3" t="inlineStr">
        <is>
          <t>4Q28</t>
        </is>
      </c>
      <c r="AR1" s="3" t="inlineStr">
        <is>
          <t>1Q29</t>
        </is>
      </c>
      <c r="AS1" s="3" t="inlineStr">
        <is>
          <t>2Q29</t>
        </is>
      </c>
      <c r="AT1" s="3" t="inlineStr">
        <is>
          <t>3Q29</t>
        </is>
      </c>
      <c r="AU1" s="3" t="inlineStr">
        <is>
          <t>4Q29</t>
        </is>
      </c>
      <c r="AV1" s="3" t="inlineStr">
        <is>
          <t>1Q30</t>
        </is>
      </c>
      <c r="AW1" s="3" t="inlineStr">
        <is>
          <t>2Q30</t>
        </is>
      </c>
      <c r="AX1" s="3" t="inlineStr">
        <is>
          <t>3Q30</t>
        </is>
      </c>
      <c r="AY1" s="3" t="inlineStr">
        <is>
          <t>4Q30</t>
        </is>
      </c>
      <c r="AZ1" s="3" t="inlineStr">
        <is>
          <t>1Q31</t>
        </is>
      </c>
      <c r="BA1" s="3" t="inlineStr">
        <is>
          <t>2Q31</t>
        </is>
      </c>
      <c r="BB1" s="3" t="inlineStr">
        <is>
          <t>3Q31</t>
        </is>
      </c>
      <c r="BC1" s="3" t="inlineStr">
        <is>
          <t>4Q31</t>
        </is>
      </c>
      <c r="BD1" s="3" t="inlineStr">
        <is>
          <t>1Q32</t>
        </is>
      </c>
      <c r="BE1" s="3" t="inlineStr">
        <is>
          <t>2Q32</t>
        </is>
      </c>
      <c r="BF1" s="3" t="n">
        <v>2019</v>
      </c>
      <c r="BG1" s="3" t="n">
        <v>2020</v>
      </c>
      <c r="BH1" s="3" t="n">
        <v>2021</v>
      </c>
      <c r="BI1" s="3" t="n">
        <v>2022</v>
      </c>
      <c r="BJ1" s="3" t="n">
        <v>2023</v>
      </c>
      <c r="BK1" s="3" t="n">
        <v>2024</v>
      </c>
      <c r="BL1" s="3" t="n">
        <v>2025</v>
      </c>
      <c r="BM1" s="3" t="n">
        <v>2026</v>
      </c>
      <c r="BN1" s="3" t="n">
        <v>2027</v>
      </c>
      <c r="BO1" s="3" t="n">
        <v>2028</v>
      </c>
      <c r="BP1" s="3" t="n">
        <v>2029</v>
      </c>
      <c r="BQ1" s="3" t="n">
        <v>2030</v>
      </c>
      <c r="BR1" s="3" t="n">
        <v>2031</v>
      </c>
      <c r="BS1" s="3" t="n">
        <v>2032</v>
      </c>
    </row>
    <row r="2">
      <c r="A2" s="2" t="inlineStr">
        <is>
          <t>코호트 표(레퍼런스 실측 캘리브레이션): ①적자 −1.1% ②BEP 1% ③중마진 4.3% ④호황 5.4% ⑤초호황 10.8% — 회사별 캘리브레이션은 target_opm.basis 참조 · 코호트 모드 reference_anchor(대안 ledger_relative) · 잔고 캡 미적용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  <c r="AP3" s="2" t="n">
        <v>38</v>
      </c>
      <c r="AQ3" s="2" t="n">
        <v>39</v>
      </c>
      <c r="AR3" s="2" t="n">
        <v>40</v>
      </c>
      <c r="AS3" s="2" t="n">
        <v>41</v>
      </c>
      <c r="AT3" s="2" t="n">
        <v>42</v>
      </c>
      <c r="AU3" s="2" t="n">
        <v>43</v>
      </c>
      <c r="AV3" s="2" t="n">
        <v>44</v>
      </c>
      <c r="AW3" s="2" t="n">
        <v>45</v>
      </c>
      <c r="AX3" s="2" t="n">
        <v>46</v>
      </c>
      <c r="AY3" s="2" t="n">
        <v>47</v>
      </c>
      <c r="AZ3" s="2" t="n">
        <v>48</v>
      </c>
      <c r="BA3" s="2" t="n">
        <v>49</v>
      </c>
      <c r="BB3" s="2" t="n">
        <v>50</v>
      </c>
      <c r="BC3" s="2" t="n">
        <v>51</v>
      </c>
      <c r="BD3" s="2" t="n">
        <v>52</v>
      </c>
      <c r="BE3" s="2" t="n">
        <v>53</v>
      </c>
      <c r="BF3" s="2" t="n">
        <v>54</v>
      </c>
      <c r="BG3" s="2" t="n">
        <v>55</v>
      </c>
      <c r="BH3" s="2" t="n">
        <v>56</v>
      </c>
      <c r="BI3" s="2" t="n">
        <v>57</v>
      </c>
      <c r="BJ3" s="2" t="n">
        <v>58</v>
      </c>
      <c r="BK3" s="2" t="n">
        <v>59</v>
      </c>
      <c r="BL3" s="2" t="n">
        <v>60</v>
      </c>
      <c r="BM3" s="2" t="n">
        <v>61</v>
      </c>
      <c r="BN3" s="2" t="n">
        <v>62</v>
      </c>
      <c r="BO3" s="2" t="n">
        <v>63</v>
      </c>
      <c r="BP3" s="2" t="n">
        <v>64</v>
      </c>
      <c r="BQ3" s="2" t="n">
        <v>65</v>
      </c>
      <c r="BR3" s="2" t="n">
        <v>66</v>
      </c>
      <c r="BS3" s="2" t="n">
        <v>67</v>
      </c>
    </row>
    <row r="4">
      <c r="E4" s="7" t="inlineStr">
        <is>
          <t>2019.06</t>
        </is>
      </c>
      <c r="F4" s="7" t="inlineStr">
        <is>
          <t>2019.09</t>
        </is>
      </c>
      <c r="G4" s="7" t="inlineStr">
        <is>
          <t>2019.12</t>
        </is>
      </c>
      <c r="H4" s="7" t="inlineStr">
        <is>
          <t>2020.03</t>
        </is>
      </c>
      <c r="I4" s="7" t="inlineStr">
        <is>
          <t>2020.06</t>
        </is>
      </c>
      <c r="J4" s="7" t="inlineStr">
        <is>
          <t>2020.09</t>
        </is>
      </c>
      <c r="K4" s="7" t="inlineStr">
        <is>
          <t>2020.12</t>
        </is>
      </c>
      <c r="L4" s="7" t="inlineStr">
        <is>
          <t>2021.03</t>
        </is>
      </c>
      <c r="M4" s="7" t="inlineStr">
        <is>
          <t>2021.06</t>
        </is>
      </c>
      <c r="N4" s="7" t="inlineStr">
        <is>
          <t>2021.09</t>
        </is>
      </c>
      <c r="O4" s="7" t="inlineStr">
        <is>
          <t>2021.12</t>
        </is>
      </c>
      <c r="P4" s="7" t="inlineStr">
        <is>
          <t>2022.03</t>
        </is>
      </c>
      <c r="Q4" s="7" t="inlineStr">
        <is>
          <t>2022.06</t>
        </is>
      </c>
      <c r="R4" s="7" t="inlineStr">
        <is>
          <t>2022.09</t>
        </is>
      </c>
      <c r="S4" s="7" t="inlineStr">
        <is>
          <t>2022.12</t>
        </is>
      </c>
      <c r="T4" s="7" t="inlineStr">
        <is>
          <t>2023.03</t>
        </is>
      </c>
      <c r="U4" s="7" t="inlineStr">
        <is>
          <t>2023.06</t>
        </is>
      </c>
      <c r="V4" s="7" t="inlineStr">
        <is>
          <t>2023.09</t>
        </is>
      </c>
      <c r="W4" s="7" t="inlineStr">
        <is>
          <t>2023.12</t>
        </is>
      </c>
      <c r="X4" s="7" t="inlineStr">
        <is>
          <t>2024.03</t>
        </is>
      </c>
      <c r="Y4" s="7" t="inlineStr">
        <is>
          <t>2024.06</t>
        </is>
      </c>
      <c r="Z4" s="7" t="inlineStr">
        <is>
          <t>2024.09</t>
        </is>
      </c>
      <c r="AA4" s="7" t="inlineStr">
        <is>
          <t>2024.12</t>
        </is>
      </c>
      <c r="AB4" s="7" t="inlineStr">
        <is>
          <t>2025.03</t>
        </is>
      </c>
      <c r="AC4" s="7" t="inlineStr">
        <is>
          <t>2025.06</t>
        </is>
      </c>
      <c r="AD4" s="7" t="inlineStr">
        <is>
          <t>2025.09</t>
        </is>
      </c>
      <c r="AE4" s="7" t="inlineStr">
        <is>
          <t>2025.12</t>
        </is>
      </c>
      <c r="AF4" s="7" t="inlineStr">
        <is>
          <t>2026.03</t>
        </is>
      </c>
      <c r="AG4" s="7" t="inlineStr">
        <is>
          <t>2026.06</t>
        </is>
      </c>
      <c r="AH4" s="7" t="inlineStr">
        <is>
          <t>2026.09</t>
        </is>
      </c>
      <c r="AI4" s="7" t="inlineStr">
        <is>
          <t>2026.12</t>
        </is>
      </c>
      <c r="AJ4" s="7" t="inlineStr">
        <is>
          <t>2027.03</t>
        </is>
      </c>
      <c r="AK4" s="7" t="inlineStr">
        <is>
          <t>2027.06</t>
        </is>
      </c>
      <c r="AL4" s="7" t="inlineStr">
        <is>
          <t>2027.09</t>
        </is>
      </c>
      <c r="AM4" s="7" t="inlineStr">
        <is>
          <t>2027.12</t>
        </is>
      </c>
      <c r="AN4" s="7" t="inlineStr">
        <is>
          <t>2028.03</t>
        </is>
      </c>
      <c r="AO4" s="7" t="inlineStr">
        <is>
          <t>2028.06</t>
        </is>
      </c>
      <c r="AP4" s="7" t="inlineStr">
        <is>
          <t>2028.09</t>
        </is>
      </c>
      <c r="AQ4" s="7" t="inlineStr">
        <is>
          <t>2028.12</t>
        </is>
      </c>
      <c r="AR4" s="7" t="inlineStr">
        <is>
          <t>2029.03</t>
        </is>
      </c>
      <c r="AS4" s="7" t="inlineStr">
        <is>
          <t>2029.06</t>
        </is>
      </c>
      <c r="AT4" s="7" t="inlineStr">
        <is>
          <t>2029.09</t>
        </is>
      </c>
      <c r="AU4" s="7" t="inlineStr">
        <is>
          <t>2029.12</t>
        </is>
      </c>
      <c r="AV4" s="7" t="inlineStr">
        <is>
          <t>2030.03</t>
        </is>
      </c>
      <c r="AW4" s="7" t="inlineStr">
        <is>
          <t>2030.06</t>
        </is>
      </c>
      <c r="AX4" s="7" t="inlineStr">
        <is>
          <t>2030.09</t>
        </is>
      </c>
      <c r="AY4" s="7" t="inlineStr">
        <is>
          <t>2030.12</t>
        </is>
      </c>
      <c r="AZ4" s="7" t="inlineStr">
        <is>
          <t>2031.03</t>
        </is>
      </c>
      <c r="BA4" s="7" t="inlineStr">
        <is>
          <t>2031.06</t>
        </is>
      </c>
      <c r="BB4" s="7" t="inlineStr">
        <is>
          <t>2031.09</t>
        </is>
      </c>
      <c r="BC4" s="7" t="inlineStr">
        <is>
          <t>2031.12</t>
        </is>
      </c>
      <c r="BD4" s="7" t="inlineStr">
        <is>
          <t>2032.03</t>
        </is>
      </c>
      <c r="BE4" s="7" t="inlineStr">
        <is>
          <t>2032.06</t>
        </is>
      </c>
      <c r="BF4" s="7" t="inlineStr">
        <is>
          <t>2019.12A</t>
        </is>
      </c>
      <c r="BG4" s="7" t="inlineStr">
        <is>
          <t>2020.12A</t>
        </is>
      </c>
      <c r="BH4" s="7" t="inlineStr">
        <is>
          <t>2021.12A</t>
        </is>
      </c>
      <c r="BI4" s="7" t="inlineStr">
        <is>
          <t>2022.12A</t>
        </is>
      </c>
      <c r="BJ4" s="7" t="inlineStr">
        <is>
          <t>2023.12A</t>
        </is>
      </c>
      <c r="BK4" s="7" t="inlineStr">
        <is>
          <t>2024.12A</t>
        </is>
      </c>
      <c r="BL4" s="7" t="inlineStr">
        <is>
          <t>2025.12A</t>
        </is>
      </c>
      <c r="BM4" s="7" t="inlineStr">
        <is>
          <t>2026.12A</t>
        </is>
      </c>
      <c r="BN4" s="7" t="inlineStr">
        <is>
          <t>2027.12A</t>
        </is>
      </c>
      <c r="BO4" s="7" t="inlineStr">
        <is>
          <t>2028.12A</t>
        </is>
      </c>
      <c r="BP4" s="7" t="inlineStr">
        <is>
          <t>2029.12A</t>
        </is>
      </c>
      <c r="BQ4" s="7" t="inlineStr">
        <is>
          <t>2030.12A</t>
        </is>
      </c>
      <c r="BR4" s="7" t="inlineStr">
        <is>
          <t>2031.12A</t>
        </is>
      </c>
      <c r="BS4" s="7" t="inlineStr">
        <is>
          <t>2032.12A</t>
        </is>
      </c>
    </row>
    <row r="5">
      <c r="A5" s="12" t="inlineStr">
        <is>
          <t>usd_m</t>
        </is>
      </c>
      <c r="D5" t="inlineStr">
        <is>
          <t>매출인식 합계(백만$)</t>
        </is>
      </c>
      <c r="E5" s="26" t="n">
        <v>54.677</v>
      </c>
      <c r="F5" s="26" t="n">
        <v>62.879</v>
      </c>
      <c r="G5" s="26" t="n">
        <v>62.879</v>
      </c>
      <c r="H5" s="26" t="n">
        <v>62.195</v>
      </c>
      <c r="I5" s="26" t="n">
        <v>62.195</v>
      </c>
      <c r="J5" s="26" t="n">
        <v>62.879</v>
      </c>
      <c r="K5" s="26" t="n">
        <v>62.879</v>
      </c>
      <c r="L5" s="26" t="n">
        <v>61.512</v>
      </c>
      <c r="M5" s="26" t="n">
        <v>71.649</v>
      </c>
      <c r="N5" s="26" t="n">
        <v>106.364</v>
      </c>
      <c r="O5" s="26" t="n">
        <v>106.364</v>
      </c>
      <c r="P5" s="26" t="n">
        <v>127.452</v>
      </c>
      <c r="Q5" s="26" t="n">
        <v>141.299</v>
      </c>
      <c r="R5" s="26" t="n">
        <v>142.852</v>
      </c>
      <c r="S5" s="26" t="n">
        <v>142.852</v>
      </c>
      <c r="T5" s="26" t="n">
        <v>147.897</v>
      </c>
      <c r="U5" s="26" t="n">
        <v>111.682</v>
      </c>
      <c r="V5" s="26" t="n">
        <v>109.737</v>
      </c>
      <c r="W5" s="26" t="n">
        <v>114.931</v>
      </c>
      <c r="X5" s="26" t="n">
        <v>134.461</v>
      </c>
      <c r="Y5" s="26" t="n">
        <v>162.704</v>
      </c>
      <c r="Z5" s="26" t="n">
        <v>223.455</v>
      </c>
      <c r="AA5" s="26" t="n">
        <v>223.455</v>
      </c>
      <c r="AB5" s="26" t="n">
        <v>228.15</v>
      </c>
      <c r="AC5" s="26" t="n">
        <v>245.862</v>
      </c>
      <c r="AD5" s="26" t="n">
        <v>271.543</v>
      </c>
      <c r="AE5" s="26" t="n">
        <v>470.389</v>
      </c>
      <c r="AF5" s="26" t="n">
        <v>804.147</v>
      </c>
      <c r="AG5" s="26" t="n">
        <v>923.066</v>
      </c>
      <c r="AH5" s="26" t="n">
        <v>1092.713</v>
      </c>
      <c r="AI5" s="26" t="n">
        <v>1191.468</v>
      </c>
      <c r="AJ5" s="26" t="n">
        <v>1110.708</v>
      </c>
      <c r="AK5" s="26" t="n">
        <v>1056.11</v>
      </c>
      <c r="AL5" s="26" t="n">
        <v>1061.697</v>
      </c>
      <c r="AM5" s="26" t="n">
        <v>1051.744</v>
      </c>
      <c r="AN5" s="26" t="n">
        <v>1023.937</v>
      </c>
      <c r="AO5" s="26" t="n">
        <v>964.53</v>
      </c>
      <c r="AP5" s="26" t="n">
        <v>920.793</v>
      </c>
      <c r="AQ5" s="26" t="n">
        <v>906.138</v>
      </c>
      <c r="AR5" s="26" t="n">
        <v>818.302</v>
      </c>
      <c r="AS5" s="26" t="n">
        <v>702.384</v>
      </c>
      <c r="AT5" s="26" t="n">
        <v>308.065</v>
      </c>
      <c r="AU5" s="26" t="n">
        <v>154.724</v>
      </c>
      <c r="AV5" s="26" t="n">
        <v>87.95699999999999</v>
      </c>
      <c r="AW5" s="26" t="n">
        <v>44.519</v>
      </c>
      <c r="AX5" s="26" t="n">
        <v>45.008</v>
      </c>
      <c r="AY5" s="26" t="n">
        <v>39.608</v>
      </c>
      <c r="AZ5" s="26" t="n">
        <v>24.588</v>
      </c>
      <c r="BA5" s="26" t="n">
        <v>24.861</v>
      </c>
      <c r="BB5" s="26" t="n">
        <v>25.135</v>
      </c>
      <c r="BC5" s="26" t="n">
        <v>25.135</v>
      </c>
      <c r="BD5" s="26" t="n">
        <v>24.861</v>
      </c>
      <c r="BE5" s="26" t="n">
        <v>24.861</v>
      </c>
      <c r="BF5" s="26" t="n">
        <v>180.435</v>
      </c>
      <c r="BG5" s="26" t="n">
        <v>250.148</v>
      </c>
      <c r="BH5" s="26" t="n">
        <v>345.889</v>
      </c>
      <c r="BI5" s="26" t="n">
        <v>554.455</v>
      </c>
      <c r="BJ5" s="26" t="n">
        <v>484.247</v>
      </c>
      <c r="BK5" s="26" t="n">
        <v>744.075</v>
      </c>
      <c r="BL5" s="26" t="n">
        <v>1215.944</v>
      </c>
      <c r="BM5" s="26" t="n">
        <v>4011.394</v>
      </c>
      <c r="BN5" s="26" t="n">
        <v>4280.259</v>
      </c>
      <c r="BO5" s="26" t="n">
        <v>3815.398</v>
      </c>
      <c r="BP5" s="26" t="n">
        <v>1983.475</v>
      </c>
      <c r="BQ5" s="26" t="n">
        <v>217.092</v>
      </c>
      <c r="BR5" s="26" t="n">
        <v>99.71899999999999</v>
      </c>
      <c r="BS5" s="26" t="n">
        <v>49.722</v>
      </c>
    </row>
    <row r="6">
      <c r="A6" s="12" t="inlineStr">
        <is>
          <t>marine_usd_m</t>
        </is>
      </c>
      <c r="D6" t="inlineStr">
        <is>
          <t>해양(type≠OTHER) 합계(백만$)</t>
        </is>
      </c>
      <c r="E6" s="26" t="n">
        <v>54.677</v>
      </c>
      <c r="F6" s="26" t="n">
        <v>62.879</v>
      </c>
      <c r="G6" s="26" t="n">
        <v>62.879</v>
      </c>
      <c r="H6" s="26" t="n">
        <v>62.195</v>
      </c>
      <c r="I6" s="26" t="n">
        <v>62.195</v>
      </c>
      <c r="J6" s="26" t="n">
        <v>62.879</v>
      </c>
      <c r="K6" s="26" t="n">
        <v>62.879</v>
      </c>
      <c r="L6" s="26" t="n">
        <v>61.512</v>
      </c>
      <c r="M6" s="26" t="n">
        <v>71.649</v>
      </c>
      <c r="N6" s="26" t="n">
        <v>106.364</v>
      </c>
      <c r="O6" s="26" t="n">
        <v>106.364</v>
      </c>
      <c r="P6" s="26" t="n">
        <v>104.051</v>
      </c>
      <c r="Q6" s="26" t="n">
        <v>105.207</v>
      </c>
      <c r="R6" s="26" t="n">
        <v>106.364</v>
      </c>
      <c r="S6" s="26" t="n">
        <v>106.364</v>
      </c>
      <c r="T6" s="26" t="n">
        <v>112.201</v>
      </c>
      <c r="U6" s="26" t="n">
        <v>75.59</v>
      </c>
      <c r="V6" s="26" t="n">
        <v>73.248</v>
      </c>
      <c r="W6" s="26" t="n">
        <v>78.443</v>
      </c>
      <c r="X6" s="26" t="n">
        <v>98.369</v>
      </c>
      <c r="Y6" s="26" t="n">
        <v>126.612</v>
      </c>
      <c r="Z6" s="26" t="n">
        <v>186.967</v>
      </c>
      <c r="AA6" s="26" t="n">
        <v>186.967</v>
      </c>
      <c r="AB6" s="26" t="n">
        <v>182.902</v>
      </c>
      <c r="AC6" s="26" t="n">
        <v>184.934</v>
      </c>
      <c r="AD6" s="26" t="n">
        <v>209.946</v>
      </c>
      <c r="AE6" s="26" t="n">
        <v>408.792</v>
      </c>
      <c r="AF6" s="26" t="n">
        <v>743.889</v>
      </c>
      <c r="AG6" s="26" t="n">
        <v>862.138</v>
      </c>
      <c r="AH6" s="26" t="n">
        <v>1031.115</v>
      </c>
      <c r="AI6" s="26" t="n">
        <v>1129.871</v>
      </c>
      <c r="AJ6" s="26" t="n">
        <v>1050.45</v>
      </c>
      <c r="AK6" s="26" t="n">
        <v>1030.084</v>
      </c>
      <c r="AL6" s="26" t="n">
        <v>1036.588</v>
      </c>
      <c r="AM6" s="26" t="n">
        <v>1026.636</v>
      </c>
      <c r="AN6" s="26" t="n">
        <v>1015.477</v>
      </c>
      <c r="AO6" s="26" t="n">
        <v>964.53</v>
      </c>
      <c r="AP6" s="26" t="n">
        <v>920.793</v>
      </c>
      <c r="AQ6" s="26" t="n">
        <v>906.138</v>
      </c>
      <c r="AR6" s="26" t="n">
        <v>818.302</v>
      </c>
      <c r="AS6" s="26" t="n">
        <v>702.384</v>
      </c>
      <c r="AT6" s="26" t="n">
        <v>308.065</v>
      </c>
      <c r="AU6" s="26" t="n">
        <v>154.724</v>
      </c>
      <c r="AV6" s="26" t="n">
        <v>87.95699999999999</v>
      </c>
      <c r="AW6" s="26" t="n">
        <v>44.519</v>
      </c>
      <c r="AX6" s="26" t="n">
        <v>45.008</v>
      </c>
      <c r="AY6" s="26" t="n">
        <v>39.608</v>
      </c>
      <c r="AZ6" s="26" t="n">
        <v>24.588</v>
      </c>
      <c r="BA6" s="26" t="n">
        <v>24.861</v>
      </c>
      <c r="BB6" s="26" t="n">
        <v>25.135</v>
      </c>
      <c r="BC6" s="26" t="n">
        <v>25.135</v>
      </c>
      <c r="BD6" s="26" t="n">
        <v>24.861</v>
      </c>
      <c r="BE6" s="26" t="n">
        <v>24.861</v>
      </c>
      <c r="BF6" s="26" t="n">
        <v>180.435</v>
      </c>
      <c r="BG6" s="26" t="n">
        <v>250.148</v>
      </c>
      <c r="BH6" s="26" t="n">
        <v>345.889</v>
      </c>
      <c r="BI6" s="26" t="n">
        <v>421.986</v>
      </c>
      <c r="BJ6" s="26" t="n">
        <v>339.482</v>
      </c>
      <c r="BK6" s="26" t="n">
        <v>598.915</v>
      </c>
      <c r="BL6" s="26" t="n">
        <v>986.574</v>
      </c>
      <c r="BM6" s="26" t="n">
        <v>3767.013</v>
      </c>
      <c r="BN6" s="26" t="n">
        <v>4143.758</v>
      </c>
      <c r="BO6" s="26" t="n">
        <v>3806.938</v>
      </c>
      <c r="BP6" s="26" t="n">
        <v>1983.475</v>
      </c>
      <c r="BQ6" s="26" t="n">
        <v>217.092</v>
      </c>
      <c r="BR6" s="26" t="n">
        <v>99.71899999999999</v>
      </c>
      <c r="BS6" s="26" t="n">
        <v>49.722</v>
      </c>
    </row>
    <row r="7">
      <c r="A7" s="12" t="inlineStr">
        <is>
          <t>type:NAVAL</t>
        </is>
      </c>
      <c r="D7" t="inlineStr">
        <is>
          <t>선종 NAVAL</t>
        </is>
      </c>
      <c r="E7" s="26" t="n">
        <v>54.677</v>
      </c>
      <c r="F7" s="26" t="n">
        <v>62.879</v>
      </c>
      <c r="G7" s="26" t="n">
        <v>62.879</v>
      </c>
      <c r="H7" s="26" t="n">
        <v>62.195</v>
      </c>
      <c r="I7" s="26" t="n">
        <v>62.195</v>
      </c>
      <c r="J7" s="26" t="n">
        <v>62.879</v>
      </c>
      <c r="K7" s="26" t="n">
        <v>62.879</v>
      </c>
      <c r="L7" s="26" t="n">
        <v>61.512</v>
      </c>
      <c r="M7" s="26" t="n">
        <v>62.195</v>
      </c>
      <c r="N7" s="26" t="n">
        <v>62.879</v>
      </c>
      <c r="O7" s="26" t="n">
        <v>62.879</v>
      </c>
      <c r="P7" s="26" t="n">
        <v>61.512</v>
      </c>
      <c r="Q7" s="26" t="n">
        <v>62.195</v>
      </c>
      <c r="R7" s="26" t="n">
        <v>62.879</v>
      </c>
      <c r="S7" s="26" t="n">
        <v>62.879</v>
      </c>
      <c r="T7" s="26" t="n">
        <v>61.512</v>
      </c>
      <c r="U7" s="26" t="n">
        <v>4.101</v>
      </c>
      <c r="AH7" s="26" t="n">
        <v>16.938</v>
      </c>
      <c r="AI7" s="26" t="n">
        <v>25.135</v>
      </c>
      <c r="AJ7" s="26" t="n">
        <v>24.588</v>
      </c>
      <c r="AK7" s="26" t="n">
        <v>24.861</v>
      </c>
      <c r="AL7" s="26" t="n">
        <v>25.135</v>
      </c>
      <c r="AM7" s="26" t="n">
        <v>25.135</v>
      </c>
      <c r="AN7" s="26" t="n">
        <v>24.861</v>
      </c>
      <c r="AO7" s="26" t="n">
        <v>24.861</v>
      </c>
      <c r="AP7" s="26" t="n">
        <v>25.135</v>
      </c>
      <c r="AQ7" s="26" t="n">
        <v>25.135</v>
      </c>
      <c r="AR7" s="26" t="n">
        <v>24.588</v>
      </c>
      <c r="AS7" s="26" t="n">
        <v>24.861</v>
      </c>
      <c r="AT7" s="26" t="n">
        <v>25.135</v>
      </c>
      <c r="AU7" s="26" t="n">
        <v>25.135</v>
      </c>
      <c r="AV7" s="26" t="n">
        <v>24.588</v>
      </c>
      <c r="AW7" s="26" t="n">
        <v>24.861</v>
      </c>
      <c r="AX7" s="26" t="n">
        <v>25.135</v>
      </c>
      <c r="AY7" s="26" t="n">
        <v>25.135</v>
      </c>
      <c r="AZ7" s="26" t="n">
        <v>24.588</v>
      </c>
      <c r="BA7" s="26" t="n">
        <v>24.861</v>
      </c>
      <c r="BB7" s="26" t="n">
        <v>25.135</v>
      </c>
      <c r="BC7" s="26" t="n">
        <v>25.135</v>
      </c>
      <c r="BD7" s="26" t="n">
        <v>24.861</v>
      </c>
      <c r="BE7" s="26" t="n">
        <v>24.861</v>
      </c>
      <c r="BF7" s="26" t="n">
        <v>180.435</v>
      </c>
      <c r="BG7" s="26" t="n">
        <v>250.148</v>
      </c>
      <c r="BH7" s="26" t="n">
        <v>249.465</v>
      </c>
      <c r="BI7" s="26" t="n">
        <v>249.465</v>
      </c>
      <c r="BJ7" s="26" t="n">
        <v>65.613</v>
      </c>
      <c r="BM7" s="26" t="n">
        <v>42.073</v>
      </c>
      <c r="BN7" s="26" t="n">
        <v>99.71899999999999</v>
      </c>
      <c r="BO7" s="26" t="n">
        <v>99.992</v>
      </c>
      <c r="BP7" s="26" t="n">
        <v>99.71899999999999</v>
      </c>
      <c r="BQ7" s="26" t="n">
        <v>99.71899999999999</v>
      </c>
      <c r="BR7" s="26" t="n">
        <v>99.71899999999999</v>
      </c>
      <c r="BS7" s="26" t="n">
        <v>49.722</v>
      </c>
    </row>
    <row r="8">
      <c r="A8" s="12" t="inlineStr">
        <is>
          <t>type:OFFSH</t>
        </is>
      </c>
      <c r="D8" t="inlineStr">
        <is>
          <t>선종 OFFSH</t>
        </is>
      </c>
      <c r="M8" s="26" t="n">
        <v>9.452999999999999</v>
      </c>
      <c r="N8" s="26" t="n">
        <v>43.485</v>
      </c>
      <c r="O8" s="26" t="n">
        <v>43.485</v>
      </c>
      <c r="P8" s="26" t="n">
        <v>42.539</v>
      </c>
      <c r="Q8" s="26" t="n">
        <v>43.012</v>
      </c>
      <c r="R8" s="26" t="n">
        <v>43.485</v>
      </c>
      <c r="S8" s="26" t="n">
        <v>43.485</v>
      </c>
      <c r="T8" s="26" t="n">
        <v>42.539</v>
      </c>
      <c r="U8" s="26" t="n">
        <v>43.012</v>
      </c>
      <c r="V8" s="26" t="n">
        <v>43.485</v>
      </c>
      <c r="W8" s="26" t="n">
        <v>43.485</v>
      </c>
      <c r="X8" s="26" t="n">
        <v>43.012</v>
      </c>
      <c r="Y8" s="26" t="n">
        <v>43.012</v>
      </c>
      <c r="Z8" s="26" t="n">
        <v>43.485</v>
      </c>
      <c r="AA8" s="26" t="n">
        <v>43.485</v>
      </c>
      <c r="AB8" s="26" t="n">
        <v>42.539</v>
      </c>
      <c r="AC8" s="26" t="n">
        <v>43.012</v>
      </c>
      <c r="AD8" s="26" t="n">
        <v>43.485</v>
      </c>
      <c r="AE8" s="26" t="n">
        <v>54.147</v>
      </c>
      <c r="AF8" s="26" t="n">
        <v>171.965</v>
      </c>
      <c r="AG8" s="26" t="n">
        <v>196.434</v>
      </c>
      <c r="AH8" s="26" t="n">
        <v>198.593</v>
      </c>
      <c r="AI8" s="26" t="n">
        <v>198.593</v>
      </c>
      <c r="AJ8" s="26" t="n">
        <v>168.752</v>
      </c>
      <c r="AK8" s="26" t="n">
        <v>153.422</v>
      </c>
      <c r="AL8" s="26" t="n">
        <v>155.108</v>
      </c>
      <c r="AM8" s="26" t="n">
        <v>155.108</v>
      </c>
      <c r="AN8" s="26" t="n">
        <v>153.422</v>
      </c>
      <c r="AO8" s="26" t="n">
        <v>134.83</v>
      </c>
      <c r="AP8" s="26" t="n">
        <v>98.09099999999999</v>
      </c>
      <c r="AQ8" s="26" t="n">
        <v>98.09099999999999</v>
      </c>
      <c r="AR8" s="26" t="n">
        <v>95.959</v>
      </c>
      <c r="AS8" s="26" t="n">
        <v>85.297</v>
      </c>
      <c r="BH8" s="26" t="n">
        <v>96.423</v>
      </c>
      <c r="BI8" s="26" t="n">
        <v>172.521</v>
      </c>
      <c r="BJ8" s="26" t="n">
        <v>172.521</v>
      </c>
      <c r="BK8" s="26" t="n">
        <v>172.994</v>
      </c>
      <c r="BL8" s="26" t="n">
        <v>183.183</v>
      </c>
      <c r="BM8" s="26" t="n">
        <v>765.585</v>
      </c>
      <c r="BN8" s="26" t="n">
        <v>632.39</v>
      </c>
      <c r="BO8" s="26" t="n">
        <v>484.434</v>
      </c>
      <c r="BP8" s="26" t="n">
        <v>181.256</v>
      </c>
    </row>
    <row r="9">
      <c r="A9" s="12" t="inlineStr">
        <is>
          <t>type:OTHER</t>
        </is>
      </c>
      <c r="D9" t="inlineStr">
        <is>
          <t>선종 OTHER</t>
        </is>
      </c>
      <c r="P9" s="26" t="n">
        <v>23.4</v>
      </c>
      <c r="Q9" s="26" t="n">
        <v>36.092</v>
      </c>
      <c r="R9" s="26" t="n">
        <v>36.489</v>
      </c>
      <c r="S9" s="26" t="n">
        <v>36.489</v>
      </c>
      <c r="T9" s="26" t="n">
        <v>35.695</v>
      </c>
      <c r="U9" s="26" t="n">
        <v>36.092</v>
      </c>
      <c r="V9" s="26" t="n">
        <v>36.489</v>
      </c>
      <c r="W9" s="26" t="n">
        <v>36.489</v>
      </c>
      <c r="X9" s="26" t="n">
        <v>36.092</v>
      </c>
      <c r="Y9" s="26" t="n">
        <v>36.092</v>
      </c>
      <c r="Z9" s="26" t="n">
        <v>36.489</v>
      </c>
      <c r="AA9" s="26" t="n">
        <v>36.489</v>
      </c>
      <c r="AB9" s="26" t="n">
        <v>45.248</v>
      </c>
      <c r="AC9" s="26" t="n">
        <v>60.928</v>
      </c>
      <c r="AD9" s="26" t="n">
        <v>61.597</v>
      </c>
      <c r="AE9" s="26" t="n">
        <v>61.597</v>
      </c>
      <c r="AF9" s="26" t="n">
        <v>60.258</v>
      </c>
      <c r="AG9" s="26" t="n">
        <v>60.928</v>
      </c>
      <c r="AH9" s="26" t="n">
        <v>61.597</v>
      </c>
      <c r="AI9" s="26" t="n">
        <v>61.597</v>
      </c>
      <c r="AJ9" s="26" t="n">
        <v>60.258</v>
      </c>
      <c r="AK9" s="26" t="n">
        <v>26.026</v>
      </c>
      <c r="AL9" s="26" t="n">
        <v>25.109</v>
      </c>
      <c r="AM9" s="26" t="n">
        <v>25.109</v>
      </c>
      <c r="AN9" s="26" t="n">
        <v>8.461</v>
      </c>
      <c r="BI9" s="26" t="n">
        <v>132.47</v>
      </c>
      <c r="BJ9" s="26" t="n">
        <v>144.765</v>
      </c>
      <c r="BK9" s="26" t="n">
        <v>145.162</v>
      </c>
      <c r="BL9" s="26" t="n">
        <v>229.37</v>
      </c>
      <c r="BM9" s="26" t="n">
        <v>244.38</v>
      </c>
      <c r="BN9" s="26" t="n">
        <v>136.502</v>
      </c>
      <c r="BO9" s="26" t="n">
        <v>8.461</v>
      </c>
    </row>
    <row r="10">
      <c r="A10" s="12" t="inlineStr">
        <is>
          <t>type:LNGC</t>
        </is>
      </c>
      <c r="D10" t="inlineStr">
        <is>
          <t>선종 LNGC</t>
        </is>
      </c>
      <c r="T10" s="26" t="n">
        <v>8.15</v>
      </c>
      <c r="U10" s="26" t="n">
        <v>28.477</v>
      </c>
      <c r="V10" s="26" t="n">
        <v>29.764</v>
      </c>
      <c r="W10" s="26" t="n">
        <v>29.764</v>
      </c>
      <c r="X10" s="26" t="n">
        <v>29.44</v>
      </c>
      <c r="Y10" s="26" t="n">
        <v>29.44</v>
      </c>
      <c r="Z10" s="26" t="n">
        <v>29.764</v>
      </c>
      <c r="AA10" s="26" t="n">
        <v>29.764</v>
      </c>
      <c r="AB10" s="26" t="n">
        <v>29.117</v>
      </c>
      <c r="AC10" s="26" t="n">
        <v>29.44</v>
      </c>
      <c r="AD10" s="26" t="n">
        <v>37.298</v>
      </c>
      <c r="AE10" s="26" t="n">
        <v>97.964</v>
      </c>
      <c r="AF10" s="26" t="n">
        <v>229.874</v>
      </c>
      <c r="AG10" s="26" t="n">
        <v>280.708</v>
      </c>
      <c r="AH10" s="26" t="n">
        <v>327.877</v>
      </c>
      <c r="AI10" s="26" t="n">
        <v>363.286</v>
      </c>
      <c r="AJ10" s="26" t="n">
        <v>355.389</v>
      </c>
      <c r="AK10" s="26" t="n">
        <v>344.505</v>
      </c>
      <c r="AL10" s="26" t="n">
        <v>343.475</v>
      </c>
      <c r="AM10" s="26" t="n">
        <v>333.523</v>
      </c>
      <c r="AN10" s="26" t="n">
        <v>329.897</v>
      </c>
      <c r="AO10" s="26" t="n">
        <v>297.544</v>
      </c>
      <c r="AP10" s="26" t="n">
        <v>284.697</v>
      </c>
      <c r="AQ10" s="26" t="n">
        <v>284.697</v>
      </c>
      <c r="AR10" s="26" t="n">
        <v>278.508</v>
      </c>
      <c r="AS10" s="26" t="n">
        <v>256.374</v>
      </c>
      <c r="AT10" s="26" t="n">
        <v>57.247</v>
      </c>
      <c r="AU10" s="26" t="n">
        <v>13.911</v>
      </c>
      <c r="BJ10" s="26" t="n">
        <v>96.155</v>
      </c>
      <c r="BK10" s="26" t="n">
        <v>118.408</v>
      </c>
      <c r="BL10" s="26" t="n">
        <v>193.819</v>
      </c>
      <c r="BM10" s="26" t="n">
        <v>1201.745</v>
      </c>
      <c r="BN10" s="26" t="n">
        <v>1376.892</v>
      </c>
      <c r="BO10" s="26" t="n">
        <v>1196.835</v>
      </c>
      <c r="BP10" s="26" t="n">
        <v>606.04</v>
      </c>
    </row>
    <row r="11">
      <c r="A11" s="12" t="inlineStr">
        <is>
          <t>type:VLGC</t>
        </is>
      </c>
      <c r="D11" t="inlineStr">
        <is>
          <t>선종 VLGC</t>
        </is>
      </c>
      <c r="W11" s="26" t="n">
        <v>5.194</v>
      </c>
      <c r="X11" s="26" t="n">
        <v>12.439</v>
      </c>
      <c r="Y11" s="26" t="n">
        <v>20.912</v>
      </c>
      <c r="Z11" s="26" t="n">
        <v>26.749</v>
      </c>
      <c r="AA11" s="26" t="n">
        <v>26.749</v>
      </c>
      <c r="AB11" s="26" t="n">
        <v>26.168</v>
      </c>
      <c r="AC11" s="26" t="n">
        <v>26.458</v>
      </c>
      <c r="AD11" s="26" t="n">
        <v>26.749</v>
      </c>
      <c r="AE11" s="26" t="n">
        <v>26.749</v>
      </c>
      <c r="AF11" s="26" t="n">
        <v>26.168</v>
      </c>
      <c r="AG11" s="26" t="n">
        <v>35.334</v>
      </c>
      <c r="AH11" s="26" t="n">
        <v>37.306</v>
      </c>
      <c r="AI11" s="26" t="n">
        <v>42.78</v>
      </c>
      <c r="AJ11" s="26" t="n">
        <v>41.85</v>
      </c>
      <c r="AK11" s="26" t="n">
        <v>42.315</v>
      </c>
      <c r="AL11" s="26" t="n">
        <v>42.78</v>
      </c>
      <c r="AM11" s="26" t="n">
        <v>42.78</v>
      </c>
      <c r="AN11" s="26" t="n">
        <v>42.315</v>
      </c>
      <c r="AO11" s="26" t="n">
        <v>42.315</v>
      </c>
      <c r="AP11" s="26" t="n">
        <v>42.78</v>
      </c>
      <c r="AQ11" s="26" t="n">
        <v>42.78</v>
      </c>
      <c r="AR11" s="26" t="n">
        <v>41.85</v>
      </c>
      <c r="AS11" s="26" t="n">
        <v>42.315</v>
      </c>
      <c r="AT11" s="26" t="n">
        <v>42.78</v>
      </c>
      <c r="AU11" s="26" t="n">
        <v>42.78</v>
      </c>
      <c r="AV11" s="26" t="n">
        <v>23.177</v>
      </c>
      <c r="AW11" s="26" t="n">
        <v>19.658</v>
      </c>
      <c r="AX11" s="26" t="n">
        <v>19.874</v>
      </c>
      <c r="AY11" s="26" t="n">
        <v>14.473</v>
      </c>
      <c r="BJ11" s="26" t="n">
        <v>5.194</v>
      </c>
      <c r="BK11" s="26" t="n">
        <v>86.849</v>
      </c>
      <c r="BL11" s="26" t="n">
        <v>106.124</v>
      </c>
      <c r="BM11" s="26" t="n">
        <v>141.588</v>
      </c>
      <c r="BN11" s="26" t="n">
        <v>169.725</v>
      </c>
      <c r="BO11" s="26" t="n">
        <v>170.19</v>
      </c>
      <c r="BP11" s="26" t="n">
        <v>169.725</v>
      </c>
      <c r="BQ11" s="26" t="n">
        <v>77.182</v>
      </c>
    </row>
    <row r="12">
      <c r="A12" s="12" t="inlineStr">
        <is>
          <t>type:VLCC</t>
        </is>
      </c>
      <c r="D12" t="inlineStr">
        <is>
          <t>선종 VLCC</t>
        </is>
      </c>
      <c r="X12" s="26" t="n">
        <v>13.478</v>
      </c>
      <c r="Y12" s="26" t="n">
        <v>33.248</v>
      </c>
      <c r="Z12" s="26" t="n">
        <v>86.96899999999999</v>
      </c>
      <c r="AA12" s="26" t="n">
        <v>86.96899999999999</v>
      </c>
      <c r="AB12" s="26" t="n">
        <v>85.07899999999999</v>
      </c>
      <c r="AC12" s="26" t="n">
        <v>86.024</v>
      </c>
      <c r="AD12" s="26" t="n">
        <v>86.96899999999999</v>
      </c>
      <c r="AE12" s="26" t="n">
        <v>113.475</v>
      </c>
      <c r="AF12" s="26" t="n">
        <v>167.337</v>
      </c>
      <c r="AG12" s="26" t="n">
        <v>199.465</v>
      </c>
      <c r="AH12" s="26" t="n">
        <v>250.829</v>
      </c>
      <c r="AI12" s="26" t="n">
        <v>228.302</v>
      </c>
      <c r="AJ12" s="26" t="n">
        <v>194.005</v>
      </c>
      <c r="AK12" s="26" t="n">
        <v>196.16</v>
      </c>
      <c r="AL12" s="26" t="n">
        <v>198.316</v>
      </c>
      <c r="AM12" s="26" t="n">
        <v>198.316</v>
      </c>
      <c r="AN12" s="26" t="n">
        <v>196.16</v>
      </c>
      <c r="AO12" s="26" t="n">
        <v>196.16</v>
      </c>
      <c r="AP12" s="26" t="n">
        <v>198.316</v>
      </c>
      <c r="AQ12" s="26" t="n">
        <v>183.661</v>
      </c>
      <c r="AR12" s="26" t="n">
        <v>130.778</v>
      </c>
      <c r="AS12" s="26" t="n">
        <v>112.105</v>
      </c>
      <c r="AT12" s="26" t="n">
        <v>72.898</v>
      </c>
      <c r="AU12" s="26" t="n">
        <v>72.898</v>
      </c>
      <c r="AV12" s="26" t="n">
        <v>40.192</v>
      </c>
      <c r="BK12" s="26" t="n">
        <v>220.664</v>
      </c>
      <c r="BL12" s="26" t="n">
        <v>371.547</v>
      </c>
      <c r="BM12" s="26" t="n">
        <v>845.933</v>
      </c>
      <c r="BN12" s="26" t="n">
        <v>786.797</v>
      </c>
      <c r="BO12" s="26" t="n">
        <v>774.297</v>
      </c>
      <c r="BP12" s="26" t="n">
        <v>388.679</v>
      </c>
      <c r="BQ12" s="26" t="n">
        <v>40.192</v>
      </c>
    </row>
    <row r="13">
      <c r="A13" s="12" t="inlineStr">
        <is>
          <t>type:CONT</t>
        </is>
      </c>
      <c r="D13" t="inlineStr">
        <is>
          <t>선종 CONT</t>
        </is>
      </c>
      <c r="AD13" s="26" t="n">
        <v>15.445</v>
      </c>
      <c r="AE13" s="26" t="n">
        <v>116.457</v>
      </c>
      <c r="AF13" s="26" t="n">
        <v>148.546</v>
      </c>
      <c r="AG13" s="26" t="n">
        <v>150.196</v>
      </c>
      <c r="AH13" s="26" t="n">
        <v>180.058</v>
      </c>
      <c r="AI13" s="26" t="n">
        <v>241.345</v>
      </c>
      <c r="AJ13" s="26" t="n">
        <v>236.099</v>
      </c>
      <c r="AK13" s="26" t="n">
        <v>238.722</v>
      </c>
      <c r="AL13" s="26" t="n">
        <v>241.345</v>
      </c>
      <c r="AM13" s="26" t="n">
        <v>241.345</v>
      </c>
      <c r="AN13" s="26" t="n">
        <v>238.722</v>
      </c>
      <c r="AO13" s="26" t="n">
        <v>238.722</v>
      </c>
      <c r="AP13" s="26" t="n">
        <v>241.345</v>
      </c>
      <c r="AQ13" s="26" t="n">
        <v>241.345</v>
      </c>
      <c r="AR13" s="26" t="n">
        <v>216.852</v>
      </c>
      <c r="AS13" s="26" t="n">
        <v>151.334</v>
      </c>
      <c r="AT13" s="26" t="n">
        <v>89.499</v>
      </c>
      <c r="BL13" s="26" t="n">
        <v>131.902</v>
      </c>
      <c r="BM13" s="26" t="n">
        <v>720.145</v>
      </c>
      <c r="BN13" s="26" t="n">
        <v>957.511</v>
      </c>
      <c r="BO13" s="26" t="n">
        <v>960.134</v>
      </c>
      <c r="BP13" s="26" t="n">
        <v>457.685</v>
      </c>
    </row>
    <row r="14">
      <c r="A14" s="12" t="inlineStr">
        <is>
          <t>type:PC</t>
        </is>
      </c>
      <c r="D14" t="inlineStr">
        <is>
          <t>선종 PC</t>
        </is>
      </c>
      <c r="AH14" s="26" t="n">
        <v>19.514</v>
      </c>
      <c r="AI14" s="26" t="n">
        <v>30.429</v>
      </c>
      <c r="AJ14" s="26" t="n">
        <v>29.767</v>
      </c>
      <c r="AK14" s="26" t="n">
        <v>30.098</v>
      </c>
      <c r="AL14" s="26" t="n">
        <v>30.429</v>
      </c>
      <c r="AM14" s="26" t="n">
        <v>30.429</v>
      </c>
      <c r="AN14" s="26" t="n">
        <v>30.098</v>
      </c>
      <c r="AO14" s="26" t="n">
        <v>30.098</v>
      </c>
      <c r="AP14" s="26" t="n">
        <v>30.429</v>
      </c>
      <c r="AQ14" s="26" t="n">
        <v>30.429</v>
      </c>
      <c r="AR14" s="26" t="n">
        <v>29.767</v>
      </c>
      <c r="AS14" s="26" t="n">
        <v>30.098</v>
      </c>
      <c r="AT14" s="26" t="n">
        <v>20.506</v>
      </c>
      <c r="BM14" s="26" t="n">
        <v>49.943</v>
      </c>
      <c r="BN14" s="26" t="n">
        <v>120.723</v>
      </c>
      <c r="BO14" s="26" t="n">
        <v>121.054</v>
      </c>
      <c r="BP14" s="26" t="n">
        <v>80.371</v>
      </c>
    </row>
    <row r="15">
      <c r="A15" s="12" t="inlineStr">
        <is>
          <t>cohort:③중마진</t>
        </is>
      </c>
      <c r="D15" t="inlineStr">
        <is>
          <t>코호트 ③중마진</t>
        </is>
      </c>
      <c r="E15" s="26" t="n">
        <v>54.677</v>
      </c>
      <c r="F15" s="26" t="n">
        <v>62.879</v>
      </c>
      <c r="G15" s="26" t="n">
        <v>62.879</v>
      </c>
      <c r="H15" s="26" t="n">
        <v>62.195</v>
      </c>
      <c r="I15" s="26" t="n">
        <v>62.195</v>
      </c>
      <c r="J15" s="26" t="n">
        <v>62.879</v>
      </c>
      <c r="K15" s="26" t="n">
        <v>62.879</v>
      </c>
      <c r="L15" s="26" t="n">
        <v>61.512</v>
      </c>
      <c r="M15" s="26" t="n">
        <v>62.195</v>
      </c>
      <c r="N15" s="26" t="n">
        <v>62.879</v>
      </c>
      <c r="O15" s="26" t="n">
        <v>62.879</v>
      </c>
      <c r="P15" s="26" t="n">
        <v>61.512</v>
      </c>
      <c r="Q15" s="26" t="n">
        <v>62.195</v>
      </c>
      <c r="R15" s="26" t="n">
        <v>62.879</v>
      </c>
      <c r="S15" s="26" t="n">
        <v>62.879</v>
      </c>
      <c r="T15" s="26" t="n">
        <v>61.512</v>
      </c>
      <c r="U15" s="26" t="n">
        <v>4.101</v>
      </c>
      <c r="BF15" s="26" t="n">
        <v>180.435</v>
      </c>
      <c r="BG15" s="26" t="n">
        <v>250.148</v>
      </c>
      <c r="BH15" s="26" t="n">
        <v>249.465</v>
      </c>
      <c r="BI15" s="26" t="n">
        <v>249.465</v>
      </c>
      <c r="BJ15" s="26" t="n">
        <v>65.613</v>
      </c>
    </row>
    <row r="16">
      <c r="A16" s="12" t="inlineStr">
        <is>
          <t>cohort:④호황</t>
        </is>
      </c>
      <c r="D16" t="inlineStr">
        <is>
          <t>코호트 ④호황</t>
        </is>
      </c>
      <c r="M16" s="26" t="n">
        <v>9.452999999999999</v>
      </c>
      <c r="N16" s="26" t="n">
        <v>43.485</v>
      </c>
      <c r="O16" s="26" t="n">
        <v>43.485</v>
      </c>
      <c r="P16" s="26" t="n">
        <v>42.539</v>
      </c>
      <c r="Q16" s="26" t="n">
        <v>43.012</v>
      </c>
      <c r="R16" s="26" t="n">
        <v>43.485</v>
      </c>
      <c r="S16" s="26" t="n">
        <v>43.485</v>
      </c>
      <c r="T16" s="26" t="n">
        <v>42.539</v>
      </c>
      <c r="U16" s="26" t="n">
        <v>43.012</v>
      </c>
      <c r="V16" s="26" t="n">
        <v>43.485</v>
      </c>
      <c r="W16" s="26" t="n">
        <v>43.485</v>
      </c>
      <c r="X16" s="26" t="n">
        <v>43.012</v>
      </c>
      <c r="Y16" s="26" t="n">
        <v>43.012</v>
      </c>
      <c r="Z16" s="26" t="n">
        <v>43.485</v>
      </c>
      <c r="AA16" s="26" t="n">
        <v>43.485</v>
      </c>
      <c r="AB16" s="26" t="n">
        <v>42.539</v>
      </c>
      <c r="AC16" s="26" t="n">
        <v>43.012</v>
      </c>
      <c r="AD16" s="26" t="n">
        <v>43.485</v>
      </c>
      <c r="AE16" s="26" t="n">
        <v>43.485</v>
      </c>
      <c r="AF16" s="26" t="n">
        <v>42.539</v>
      </c>
      <c r="AG16" s="26" t="n">
        <v>43.012</v>
      </c>
      <c r="AH16" s="26" t="n">
        <v>43.485</v>
      </c>
      <c r="AI16" s="26" t="n">
        <v>43.485</v>
      </c>
      <c r="AJ16" s="26" t="n">
        <v>17.016</v>
      </c>
      <c r="BH16" s="26" t="n">
        <v>96.423</v>
      </c>
      <c r="BI16" s="26" t="n">
        <v>172.521</v>
      </c>
      <c r="BJ16" s="26" t="n">
        <v>172.521</v>
      </c>
      <c r="BK16" s="26" t="n">
        <v>172.994</v>
      </c>
      <c r="BL16" s="26" t="n">
        <v>172.521</v>
      </c>
      <c r="BM16" s="26" t="n">
        <v>172.521</v>
      </c>
      <c r="BN16" s="26" t="n">
        <v>17.016</v>
      </c>
    </row>
    <row r="17">
      <c r="A17" s="12" t="inlineStr">
        <is>
          <t>cohort:등급없음</t>
        </is>
      </c>
      <c r="D17" t="inlineStr">
        <is>
          <t>코호트 등급없음</t>
        </is>
      </c>
      <c r="P17" s="26" t="n">
        <v>23.4</v>
      </c>
      <c r="Q17" s="26" t="n">
        <v>36.092</v>
      </c>
      <c r="R17" s="26" t="n">
        <v>36.489</v>
      </c>
      <c r="S17" s="26" t="n">
        <v>36.489</v>
      </c>
      <c r="T17" s="26" t="n">
        <v>35.695</v>
      </c>
      <c r="U17" s="26" t="n">
        <v>36.092</v>
      </c>
      <c r="V17" s="26" t="n">
        <v>36.489</v>
      </c>
      <c r="W17" s="26" t="n">
        <v>36.489</v>
      </c>
      <c r="X17" s="26" t="n">
        <v>36.092</v>
      </c>
      <c r="Y17" s="26" t="n">
        <v>36.092</v>
      </c>
      <c r="Z17" s="26" t="n">
        <v>36.489</v>
      </c>
      <c r="AA17" s="26" t="n">
        <v>36.489</v>
      </c>
      <c r="AB17" s="26" t="n">
        <v>45.248</v>
      </c>
      <c r="AC17" s="26" t="n">
        <v>60.928</v>
      </c>
      <c r="AD17" s="26" t="n">
        <v>61.597</v>
      </c>
      <c r="AE17" s="26" t="n">
        <v>72.26000000000001</v>
      </c>
      <c r="AF17" s="26" t="n">
        <v>156.217</v>
      </c>
      <c r="AG17" s="26" t="n">
        <v>157.953</v>
      </c>
      <c r="AH17" s="26" t="n">
        <v>196.141</v>
      </c>
      <c r="AI17" s="26" t="n">
        <v>215.252</v>
      </c>
      <c r="AJ17" s="26" t="n">
        <v>210.572</v>
      </c>
      <c r="AK17" s="26" t="n">
        <v>178.01</v>
      </c>
      <c r="AL17" s="26" t="n">
        <v>178.763</v>
      </c>
      <c r="AM17" s="26" t="n">
        <v>178.763</v>
      </c>
      <c r="AN17" s="26" t="n">
        <v>160.445</v>
      </c>
      <c r="AO17" s="26" t="n">
        <v>151.984</v>
      </c>
      <c r="AP17" s="26" t="n">
        <v>153.654</v>
      </c>
      <c r="AQ17" s="26" t="n">
        <v>153.654</v>
      </c>
      <c r="AR17" s="26" t="n">
        <v>150.314</v>
      </c>
      <c r="AS17" s="26" t="n">
        <v>140.256</v>
      </c>
      <c r="AT17" s="26" t="n">
        <v>45.641</v>
      </c>
      <c r="AU17" s="26" t="n">
        <v>25.135</v>
      </c>
      <c r="AV17" s="26" t="n">
        <v>24.588</v>
      </c>
      <c r="AW17" s="26" t="n">
        <v>24.861</v>
      </c>
      <c r="AX17" s="26" t="n">
        <v>25.135</v>
      </c>
      <c r="AY17" s="26" t="n">
        <v>25.135</v>
      </c>
      <c r="AZ17" s="26" t="n">
        <v>24.588</v>
      </c>
      <c r="BA17" s="26" t="n">
        <v>24.861</v>
      </c>
      <c r="BB17" s="26" t="n">
        <v>25.135</v>
      </c>
      <c r="BC17" s="26" t="n">
        <v>25.135</v>
      </c>
      <c r="BD17" s="26" t="n">
        <v>24.861</v>
      </c>
      <c r="BE17" s="26" t="n">
        <v>24.861</v>
      </c>
      <c r="BI17" s="26" t="n">
        <v>132.47</v>
      </c>
      <c r="BJ17" s="26" t="n">
        <v>144.765</v>
      </c>
      <c r="BK17" s="26" t="n">
        <v>145.162</v>
      </c>
      <c r="BL17" s="26" t="n">
        <v>240.033</v>
      </c>
      <c r="BM17" s="26" t="n">
        <v>725.563</v>
      </c>
      <c r="BN17" s="26" t="n">
        <v>746.1079999999999</v>
      </c>
      <c r="BO17" s="26" t="n">
        <v>619.737</v>
      </c>
      <c r="BP17" s="26" t="n">
        <v>361.346</v>
      </c>
      <c r="BQ17" s="26" t="n">
        <v>99.71899999999999</v>
      </c>
      <c r="BR17" s="26" t="n">
        <v>99.71899999999999</v>
      </c>
      <c r="BS17" s="26" t="n">
        <v>49.722</v>
      </c>
    </row>
    <row r="18">
      <c r="A18" s="12" t="inlineStr">
        <is>
          <t>cohort:⑤초호황</t>
        </is>
      </c>
      <c r="D18" t="inlineStr">
        <is>
          <t>코호트 ⑤초호황</t>
        </is>
      </c>
      <c r="T18" s="26" t="n">
        <v>8.15</v>
      </c>
      <c r="U18" s="26" t="n">
        <v>28.477</v>
      </c>
      <c r="V18" s="26" t="n">
        <v>29.764</v>
      </c>
      <c r="W18" s="26" t="n">
        <v>34.958</v>
      </c>
      <c r="X18" s="26" t="n">
        <v>55.357</v>
      </c>
      <c r="Y18" s="26" t="n">
        <v>83.59999999999999</v>
      </c>
      <c r="Z18" s="26" t="n">
        <v>143.482</v>
      </c>
      <c r="AA18" s="26" t="n">
        <v>143.482</v>
      </c>
      <c r="AB18" s="26" t="n">
        <v>140.363</v>
      </c>
      <c r="AC18" s="26" t="n">
        <v>141.922</v>
      </c>
      <c r="AD18" s="26" t="n">
        <v>166.461</v>
      </c>
      <c r="AE18" s="26" t="n">
        <v>354.645</v>
      </c>
      <c r="AF18" s="26" t="n">
        <v>605.391</v>
      </c>
      <c r="AG18" s="26" t="n">
        <v>722.1</v>
      </c>
      <c r="AH18" s="26" t="n">
        <v>853.087</v>
      </c>
      <c r="AI18" s="26" t="n">
        <v>932.732</v>
      </c>
      <c r="AJ18" s="26" t="n">
        <v>883.12</v>
      </c>
      <c r="AK18" s="26" t="n">
        <v>878.1</v>
      </c>
      <c r="AL18" s="26" t="n">
        <v>882.934</v>
      </c>
      <c r="AM18" s="26" t="n">
        <v>872.981</v>
      </c>
      <c r="AN18" s="26" t="n">
        <v>863.492</v>
      </c>
      <c r="AO18" s="26" t="n">
        <v>812.546</v>
      </c>
      <c r="AP18" s="26" t="n">
        <v>767.138</v>
      </c>
      <c r="AQ18" s="26" t="n">
        <v>752.484</v>
      </c>
      <c r="AR18" s="26" t="n">
        <v>667.9880000000001</v>
      </c>
      <c r="AS18" s="26" t="n">
        <v>562.128</v>
      </c>
      <c r="AT18" s="26" t="n">
        <v>262.424</v>
      </c>
      <c r="AU18" s="26" t="n">
        <v>129.589</v>
      </c>
      <c r="AV18" s="26" t="n">
        <v>63.369</v>
      </c>
      <c r="AW18" s="26" t="n">
        <v>19.658</v>
      </c>
      <c r="AX18" s="26" t="n">
        <v>19.874</v>
      </c>
      <c r="AY18" s="26" t="n">
        <v>14.473</v>
      </c>
      <c r="BJ18" s="26" t="n">
        <v>101.349</v>
      </c>
      <c r="BK18" s="26" t="n">
        <v>425.921</v>
      </c>
      <c r="BL18" s="26" t="n">
        <v>803.391</v>
      </c>
      <c r="BM18" s="26" t="n">
        <v>3113.31</v>
      </c>
      <c r="BN18" s="26" t="n">
        <v>3517.135</v>
      </c>
      <c r="BO18" s="26" t="n">
        <v>3195.66</v>
      </c>
      <c r="BP18" s="26" t="n">
        <v>1622.129</v>
      </c>
      <c r="BQ18" s="26" t="n">
        <v>117.374</v>
      </c>
    </row>
    <row r="19">
      <c r="A19" s="12" t="inlineStr">
        <is>
          <t>hedge_ratio</t>
        </is>
      </c>
      <c r="D19" t="inlineStr">
        <is>
          <t>헤지비율</t>
        </is>
      </c>
      <c r="E19" s="21" t="n">
        <v>0.1717</v>
      </c>
      <c r="F19" s="21" t="n">
        <v>0.1717</v>
      </c>
      <c r="G19" s="21" t="n">
        <v>0.1717</v>
      </c>
      <c r="H19" s="21" t="n">
        <v>0.1717</v>
      </c>
      <c r="I19" s="21" t="n">
        <v>0.1717</v>
      </c>
      <c r="J19" s="21" t="n">
        <v>0.1717</v>
      </c>
      <c r="K19" s="21" t="n">
        <v>0.1717</v>
      </c>
      <c r="L19" s="21" t="n">
        <v>0.1717</v>
      </c>
      <c r="M19" s="21" t="n">
        <v>0.1717</v>
      </c>
      <c r="N19" s="21" t="n">
        <v>0.1717</v>
      </c>
      <c r="O19" s="21" t="n">
        <v>0.1717</v>
      </c>
      <c r="P19" s="21" t="n">
        <v>0.1717</v>
      </c>
      <c r="Q19" s="21" t="n">
        <v>0.1717</v>
      </c>
      <c r="R19" s="21" t="n">
        <v>0.1717</v>
      </c>
      <c r="S19" s="21" t="n">
        <v>0.1717</v>
      </c>
      <c r="T19" s="21" t="n">
        <v>0.1717</v>
      </c>
      <c r="U19" s="21" t="n">
        <v>0.1717</v>
      </c>
      <c r="V19" s="21" t="n">
        <v>0.1717</v>
      </c>
      <c r="W19" s="21" t="n">
        <v>0.1717</v>
      </c>
      <c r="X19" s="21" t="n">
        <v>0.1717</v>
      </c>
      <c r="Y19" s="21" t="n">
        <v>0.1717</v>
      </c>
      <c r="Z19" s="21" t="n">
        <v>0.1717</v>
      </c>
      <c r="AA19" s="21" t="n">
        <v>0.1717</v>
      </c>
      <c r="AB19" s="21" t="n">
        <v>0.1717</v>
      </c>
      <c r="AC19" s="21" t="n">
        <v>0.1717</v>
      </c>
      <c r="AD19" s="21" t="n">
        <v>0.1717</v>
      </c>
      <c r="AE19" s="21" t="n">
        <v>0.1717</v>
      </c>
      <c r="AF19" s="21" t="n">
        <v>0.1717</v>
      </c>
      <c r="AG19" s="21" t="n">
        <v>0.1717</v>
      </c>
      <c r="AH19" s="21" t="n">
        <v>0.1717</v>
      </c>
      <c r="AI19" s="21" t="n">
        <v>0.1717</v>
      </c>
      <c r="AJ19" s="21" t="n">
        <v>0.1717</v>
      </c>
      <c r="AK19" s="21" t="n">
        <v>0.1717</v>
      </c>
      <c r="AL19" s="21" t="n">
        <v>0.1717</v>
      </c>
      <c r="AM19" s="21" t="n">
        <v>0.1717</v>
      </c>
      <c r="AN19" s="21" t="n">
        <v>0.1717</v>
      </c>
      <c r="AO19" s="21" t="n">
        <v>0.1717</v>
      </c>
      <c r="AP19" s="21" t="n">
        <v>0.1717</v>
      </c>
      <c r="AQ19" s="21" t="n">
        <v>0.1717</v>
      </c>
      <c r="AR19" s="21" t="n">
        <v>0.1717</v>
      </c>
      <c r="AS19" s="21" t="n">
        <v>0.1717</v>
      </c>
      <c r="AT19" s="21" t="n">
        <v>0.1717</v>
      </c>
      <c r="AU19" s="21" t="n">
        <v>0.1717</v>
      </c>
      <c r="AV19" s="21" t="n">
        <v>0.1717</v>
      </c>
      <c r="AW19" s="21" t="n">
        <v>0.1717</v>
      </c>
      <c r="AX19" s="21" t="n">
        <v>0.1717</v>
      </c>
      <c r="AY19" s="21" t="n">
        <v>0.1717</v>
      </c>
      <c r="AZ19" s="21" t="n">
        <v>0.1717</v>
      </c>
      <c r="BA19" s="21" t="n">
        <v>0.1717</v>
      </c>
      <c r="BB19" s="21" t="n">
        <v>0.1717</v>
      </c>
      <c r="BC19" s="21" t="n">
        <v>0.1717</v>
      </c>
      <c r="BD19" s="21" t="n">
        <v>0.1717</v>
      </c>
      <c r="BE19" s="21" t="n">
        <v>0.1717</v>
      </c>
    </row>
    <row r="20">
      <c r="A20" s="12" t="inlineStr">
        <is>
          <t>hedge_rate</t>
        </is>
      </c>
      <c r="D20" t="inlineStr">
        <is>
          <t>헤지환율(가중)</t>
        </is>
      </c>
      <c r="E20" s="13" t="n">
        <v>1472.04</v>
      </c>
      <c r="F20" s="13" t="n">
        <v>1472.04</v>
      </c>
      <c r="G20" s="13" t="n">
        <v>1472.04</v>
      </c>
      <c r="H20" s="13" t="n">
        <v>1472.04</v>
      </c>
      <c r="I20" s="13" t="n">
        <v>1472.04</v>
      </c>
      <c r="J20" s="13" t="n">
        <v>1472.04</v>
      </c>
      <c r="K20" s="13" t="n">
        <v>1472.04</v>
      </c>
      <c r="L20" s="13" t="n">
        <v>1472.04</v>
      </c>
      <c r="M20" s="13" t="n">
        <v>1472.04</v>
      </c>
      <c r="N20" s="13" t="n">
        <v>1472.04</v>
      </c>
      <c r="O20" s="13" t="n">
        <v>1472.04</v>
      </c>
      <c r="P20" s="13" t="n">
        <v>1472.04</v>
      </c>
      <c r="Q20" s="13" t="n">
        <v>1472.04</v>
      </c>
      <c r="R20" s="13" t="n">
        <v>1472.04</v>
      </c>
      <c r="S20" s="13" t="n">
        <v>1472.04</v>
      </c>
      <c r="T20" s="13" t="n">
        <v>1472.04</v>
      </c>
      <c r="U20" s="13" t="n">
        <v>1472.04</v>
      </c>
      <c r="V20" s="13" t="n">
        <v>1472.04</v>
      </c>
      <c r="W20" s="13" t="n">
        <v>1472.04</v>
      </c>
      <c r="X20" s="13" t="n">
        <v>1472.04</v>
      </c>
      <c r="Y20" s="13" t="n">
        <v>1472.04</v>
      </c>
      <c r="Z20" s="13" t="n">
        <v>1472.04</v>
      </c>
      <c r="AA20" s="13" t="n">
        <v>1472.04</v>
      </c>
      <c r="AB20" s="13" t="n">
        <v>1472.04</v>
      </c>
      <c r="AC20" s="13" t="n">
        <v>1472.04</v>
      </c>
      <c r="AD20" s="13" t="n">
        <v>1472.04</v>
      </c>
      <c r="AE20" s="13" t="n">
        <v>1472.04</v>
      </c>
      <c r="AF20" s="13" t="n">
        <v>1472.04</v>
      </c>
      <c r="AG20" s="13" t="n">
        <v>1472.04</v>
      </c>
      <c r="AH20" s="13" t="n">
        <v>1472.04</v>
      </c>
      <c r="AI20" s="13" t="n">
        <v>1472.04</v>
      </c>
      <c r="AJ20" s="13" t="n">
        <v>1472.04</v>
      </c>
      <c r="AK20" s="13" t="n">
        <v>1472.04</v>
      </c>
      <c r="AL20" s="13" t="n">
        <v>1472.04</v>
      </c>
      <c r="AM20" s="13" t="n">
        <v>1472.04</v>
      </c>
      <c r="AN20" s="13" t="n">
        <v>1472.04</v>
      </c>
      <c r="AO20" s="13" t="n">
        <v>1472.04</v>
      </c>
      <c r="AP20" s="13" t="n">
        <v>1472.04</v>
      </c>
      <c r="AQ20" s="13" t="n">
        <v>1472.04</v>
      </c>
      <c r="AR20" s="13" t="n">
        <v>1472.04</v>
      </c>
      <c r="AS20" s="13" t="n">
        <v>1472.04</v>
      </c>
      <c r="AT20" s="13" t="n">
        <v>1472.04</v>
      </c>
      <c r="AU20" s="13" t="n">
        <v>1472.04</v>
      </c>
      <c r="AV20" s="13" t="n">
        <v>1472.04</v>
      </c>
      <c r="AW20" s="13" t="n">
        <v>1472.04</v>
      </c>
      <c r="AX20" s="13" t="n">
        <v>1472.04</v>
      </c>
      <c r="AY20" s="13" t="n">
        <v>1472.04</v>
      </c>
      <c r="AZ20" s="13" t="n">
        <v>1472.04</v>
      </c>
      <c r="BA20" s="13" t="n">
        <v>1472.04</v>
      </c>
      <c r="BB20" s="13" t="n">
        <v>1472.04</v>
      </c>
      <c r="BC20" s="13" t="n">
        <v>1472.04</v>
      </c>
      <c r="BD20" s="13" t="n">
        <v>1472.04</v>
      </c>
      <c r="BE20" s="13" t="n">
        <v>1472.04</v>
      </c>
    </row>
    <row r="21">
      <c r="A21" s="12" t="inlineStr">
        <is>
          <t>spot_assumed</t>
        </is>
      </c>
      <c r="D21" t="inlineStr">
        <is>
          <t>건조시점 환율(sls 가정)</t>
        </is>
      </c>
      <c r="E21" s="13" t="n">
        <v>1167.69</v>
      </c>
      <c r="F21" s="13" t="n">
        <v>1193.96</v>
      </c>
      <c r="G21" s="13" t="n">
        <v>1176.23</v>
      </c>
      <c r="H21" s="13" t="n">
        <v>1193.92</v>
      </c>
      <c r="I21" s="13" t="n">
        <v>1219.69</v>
      </c>
      <c r="J21" s="13" t="n">
        <v>1187.81</v>
      </c>
      <c r="K21" s="13" t="n">
        <v>1117.97</v>
      </c>
      <c r="L21" s="13" t="n">
        <v>1114.99</v>
      </c>
      <c r="M21" s="13" t="n">
        <v>1121.13</v>
      </c>
      <c r="N21" s="13" t="n">
        <v>1159.91</v>
      </c>
      <c r="O21" s="13" t="n">
        <v>1183.5</v>
      </c>
      <c r="P21" s="13" t="n">
        <v>1205.78</v>
      </c>
      <c r="Q21" s="13" t="n">
        <v>1262.09</v>
      </c>
      <c r="R21" s="13" t="n">
        <v>1341.93</v>
      </c>
      <c r="S21" s="13" t="n">
        <v>1360.12</v>
      </c>
      <c r="T21" s="13" t="n">
        <v>1276.95</v>
      </c>
      <c r="U21" s="13" t="n">
        <v>1315.69</v>
      </c>
      <c r="V21" s="13" t="n">
        <v>1313.62</v>
      </c>
      <c r="W21" s="13" t="n">
        <v>1322.01</v>
      </c>
      <c r="X21" s="13" t="n">
        <v>1330.14</v>
      </c>
      <c r="Y21" s="13" t="n">
        <v>1371.28</v>
      </c>
      <c r="Z21" s="13" t="n">
        <v>1356.22</v>
      </c>
      <c r="AA21" s="13" t="n">
        <v>1396.3</v>
      </c>
      <c r="AB21" s="13" t="n">
        <v>1452.28</v>
      </c>
      <c r="AC21" s="13" t="n">
        <v>1398.52</v>
      </c>
      <c r="AD21" s="13" t="n">
        <v>1386.95</v>
      </c>
      <c r="AE21" s="13" t="n">
        <v>1449.19</v>
      </c>
      <c r="AF21" s="13" t="n">
        <v>1466.12</v>
      </c>
      <c r="AG21" s="13" t="n">
        <v>1501.75</v>
      </c>
      <c r="AH21" s="13" t="n">
        <v>1418.75</v>
      </c>
      <c r="AI21" s="13" t="n">
        <v>1345.14</v>
      </c>
      <c r="AJ21" s="13" t="n">
        <v>1341.49</v>
      </c>
      <c r="AK21" s="13" t="n">
        <v>1341.49</v>
      </c>
      <c r="AL21" s="13" t="n">
        <v>1341.49</v>
      </c>
      <c r="AM21" s="13" t="n">
        <v>1341.49</v>
      </c>
      <c r="AN21" s="13" t="n">
        <v>1341.49</v>
      </c>
      <c r="AO21" s="13" t="n">
        <v>1341.49</v>
      </c>
      <c r="AP21" s="13" t="n">
        <v>1341.49</v>
      </c>
      <c r="AQ21" s="13" t="n">
        <v>1341.49</v>
      </c>
      <c r="AR21" s="13" t="n">
        <v>1341.49</v>
      </c>
      <c r="AS21" s="13" t="n">
        <v>1341.49</v>
      </c>
      <c r="AT21" s="13" t="n">
        <v>1341.49</v>
      </c>
      <c r="AU21" s="13" t="n">
        <v>1341.49</v>
      </c>
      <c r="AV21" s="13" t="n">
        <v>1341.49</v>
      </c>
      <c r="AW21" s="13" t="n">
        <v>1341.49</v>
      </c>
      <c r="AX21" s="13" t="n">
        <v>1341.49</v>
      </c>
      <c r="AY21" s="13" t="n">
        <v>1341.49</v>
      </c>
      <c r="AZ21" s="13" t="n">
        <v>1341.49</v>
      </c>
      <c r="BA21" s="13" t="n">
        <v>1341.49</v>
      </c>
      <c r="BB21" s="13" t="n">
        <v>1341.49</v>
      </c>
      <c r="BC21" s="13" t="n">
        <v>1341.49</v>
      </c>
      <c r="BD21" s="13" t="n">
        <v>1341.49</v>
      </c>
      <c r="BE21" s="13" t="n">
        <v>1341.49</v>
      </c>
    </row>
    <row r="22">
      <c r="A22" s="12" t="inlineStr">
        <is>
          <t>applied_rate</t>
        </is>
      </c>
      <c r="D22" t="inlineStr">
        <is>
          <t>적용환율</t>
        </is>
      </c>
      <c r="E22" s="13" t="n">
        <v>1219.95</v>
      </c>
      <c r="F22" s="13" t="n">
        <v>1241.71</v>
      </c>
      <c r="G22" s="13" t="n">
        <v>1227.02</v>
      </c>
      <c r="H22" s="13" t="n">
        <v>1241.67</v>
      </c>
      <c r="I22" s="13" t="n">
        <v>1263.02</v>
      </c>
      <c r="J22" s="13" t="n">
        <v>1236.61</v>
      </c>
      <c r="K22" s="13" t="n">
        <v>1178.76</v>
      </c>
      <c r="L22" s="13" t="n">
        <v>1176.3</v>
      </c>
      <c r="M22" s="13" t="n">
        <v>1181.38</v>
      </c>
      <c r="N22" s="13" t="n">
        <v>1213.5</v>
      </c>
      <c r="O22" s="13" t="n">
        <v>1233.04</v>
      </c>
      <c r="P22" s="13" t="n">
        <v>1251.5</v>
      </c>
      <c r="Q22" s="13" t="n">
        <v>1298.14</v>
      </c>
      <c r="R22" s="13" t="n">
        <v>1364.27</v>
      </c>
      <c r="S22" s="13" t="n">
        <v>1379.34</v>
      </c>
      <c r="T22" s="13" t="n">
        <v>1310.45</v>
      </c>
      <c r="U22" s="13" t="n">
        <v>1342.54</v>
      </c>
      <c r="V22" s="13" t="n">
        <v>1340.82</v>
      </c>
      <c r="W22" s="13" t="n">
        <v>1347.77</v>
      </c>
      <c r="X22" s="13" t="n">
        <v>1354.5</v>
      </c>
      <c r="Y22" s="13" t="n">
        <v>1388.58</v>
      </c>
      <c r="Z22" s="13" t="n">
        <v>1376.11</v>
      </c>
      <c r="AA22" s="13" t="n">
        <v>1409.3</v>
      </c>
      <c r="AB22" s="13" t="n">
        <v>1455.67</v>
      </c>
      <c r="AC22" s="13" t="n">
        <v>1411.14</v>
      </c>
      <c r="AD22" s="13" t="n">
        <v>1401.56</v>
      </c>
      <c r="AE22" s="13" t="n">
        <v>1453.11</v>
      </c>
      <c r="AF22" s="13" t="n">
        <v>1467.14</v>
      </c>
      <c r="AG22" s="13" t="n">
        <v>1496.65</v>
      </c>
      <c r="AH22" s="13" t="n">
        <v>1427.9</v>
      </c>
      <c r="AI22" s="13" t="n">
        <v>1366.93</v>
      </c>
      <c r="AJ22" s="13" t="n">
        <v>1363.91</v>
      </c>
      <c r="AK22" s="13" t="n">
        <v>1363.91</v>
      </c>
      <c r="AL22" s="13" t="n">
        <v>1363.91</v>
      </c>
      <c r="AM22" s="13" t="n">
        <v>1363.91</v>
      </c>
      <c r="AN22" s="13" t="n">
        <v>1363.91</v>
      </c>
      <c r="AO22" s="13" t="n">
        <v>1363.91</v>
      </c>
      <c r="AP22" s="13" t="n">
        <v>1363.91</v>
      </c>
      <c r="AQ22" s="13" t="n">
        <v>1363.91</v>
      </c>
      <c r="AR22" s="13" t="n">
        <v>1363.91</v>
      </c>
      <c r="AS22" s="13" t="n">
        <v>1363.91</v>
      </c>
      <c r="AT22" s="13" t="n">
        <v>1363.91</v>
      </c>
      <c r="AU22" s="13" t="n">
        <v>1363.91</v>
      </c>
      <c r="AV22" s="13" t="n">
        <v>1363.91</v>
      </c>
      <c r="AW22" s="13" t="n">
        <v>1363.91</v>
      </c>
      <c r="AX22" s="13" t="n">
        <v>1363.91</v>
      </c>
      <c r="AY22" s="13" t="n">
        <v>1363.91</v>
      </c>
      <c r="AZ22" s="13" t="n">
        <v>1363.91</v>
      </c>
      <c r="BA22" s="13" t="n">
        <v>1363.91</v>
      </c>
      <c r="BB22" s="13" t="n">
        <v>1363.91</v>
      </c>
      <c r="BC22" s="13" t="n">
        <v>1363.91</v>
      </c>
      <c r="BD22" s="13" t="n">
        <v>1363.91</v>
      </c>
      <c r="BE22" s="13" t="n">
        <v>1363.91</v>
      </c>
    </row>
    <row r="23">
      <c r="A23" s="12" t="inlineStr">
        <is>
          <t>hedged_krw_m</t>
        </is>
      </c>
      <c r="D23" t="inlineStr">
        <is>
          <t>헤지적용 원화매출(백만원)</t>
        </is>
      </c>
      <c r="E23" s="18" t="n">
        <v>66703.39999999999</v>
      </c>
      <c r="F23" s="18" t="n">
        <v>78077.10000000001</v>
      </c>
      <c r="G23" s="18" t="n">
        <v>77153.7</v>
      </c>
      <c r="H23" s="18" t="n">
        <v>77226.39999999999</v>
      </c>
      <c r="I23" s="18" t="n">
        <v>78554</v>
      </c>
      <c r="J23" s="18" t="n">
        <v>77756.8</v>
      </c>
      <c r="K23" s="18" t="n">
        <v>74119.39999999999</v>
      </c>
      <c r="L23" s="18" t="n">
        <v>72356.3</v>
      </c>
      <c r="M23" s="18" t="n">
        <v>84644.39999999999</v>
      </c>
      <c r="N23" s="18" t="n">
        <v>129072.5</v>
      </c>
      <c r="O23" s="18" t="n">
        <v>131150.8</v>
      </c>
      <c r="P23" s="18" t="n">
        <v>159505.3</v>
      </c>
      <c r="Q23" s="18" t="n">
        <v>183426.3</v>
      </c>
      <c r="R23" s="18" t="n">
        <v>194889</v>
      </c>
      <c r="S23" s="18" t="n">
        <v>197041.3</v>
      </c>
      <c r="T23" s="18" t="n">
        <v>193810.7</v>
      </c>
      <c r="U23" s="18" t="n">
        <v>149936.8</v>
      </c>
      <c r="V23" s="18" t="n">
        <v>147137.6</v>
      </c>
      <c r="W23" s="18" t="n">
        <v>154901</v>
      </c>
      <c r="X23" s="18" t="n">
        <v>182128.1</v>
      </c>
      <c r="Y23" s="18" t="n">
        <v>225927.6</v>
      </c>
      <c r="Z23" s="18" t="n">
        <v>307498.3</v>
      </c>
      <c r="AA23" s="18" t="n">
        <v>314916.6</v>
      </c>
      <c r="AB23" s="18" t="n">
        <v>332111.5</v>
      </c>
      <c r="AC23" s="18" t="n">
        <v>346947</v>
      </c>
      <c r="AD23" s="18" t="n">
        <v>380584.3</v>
      </c>
      <c r="AE23" s="18" t="n">
        <v>683529.2</v>
      </c>
      <c r="AF23" s="18" t="n">
        <v>1179793.6</v>
      </c>
      <c r="AG23" s="18" t="n">
        <v>1381504.9</v>
      </c>
      <c r="AH23" s="18" t="n">
        <v>1560284.1</v>
      </c>
      <c r="AI23" s="18" t="n">
        <v>1628651.9</v>
      </c>
      <c r="AJ23" s="18" t="n">
        <v>1514901</v>
      </c>
      <c r="AK23" s="18" t="n">
        <v>1440433.7</v>
      </c>
      <c r="AL23" s="18" t="n">
        <v>1448053.9</v>
      </c>
      <c r="AM23" s="18" t="n">
        <v>1434480</v>
      </c>
      <c r="AN23" s="18" t="n">
        <v>1396553.5</v>
      </c>
      <c r="AO23" s="18" t="n">
        <v>1315528.3</v>
      </c>
      <c r="AP23" s="18" t="n">
        <v>1255874.1</v>
      </c>
      <c r="AQ23" s="18" t="n">
        <v>1235886.4</v>
      </c>
      <c r="AR23" s="18" t="n">
        <v>1116086</v>
      </c>
      <c r="AS23" s="18" t="n">
        <v>957985.8</v>
      </c>
      <c r="AT23" s="18" t="n">
        <v>420171.3</v>
      </c>
      <c r="AU23" s="18" t="n">
        <v>211028.2</v>
      </c>
      <c r="AV23" s="18" t="n">
        <v>119965.2</v>
      </c>
      <c r="AW23" s="18" t="n">
        <v>60719.9</v>
      </c>
      <c r="AX23" s="18" t="n">
        <v>61387.1</v>
      </c>
      <c r="AY23" s="18" t="n">
        <v>54021.4</v>
      </c>
      <c r="AZ23" s="18" t="n">
        <v>33535.9</v>
      </c>
      <c r="BA23" s="18" t="n">
        <v>33908.5</v>
      </c>
      <c r="BB23" s="18" t="n">
        <v>34281.1</v>
      </c>
      <c r="BC23" s="18" t="n">
        <v>34281.1</v>
      </c>
      <c r="BD23" s="18" t="n">
        <v>33908.5</v>
      </c>
      <c r="BE23" s="18" t="n">
        <v>33908.5</v>
      </c>
      <c r="BF23" s="18" t="n">
        <v>221934.2</v>
      </c>
      <c r="BG23" s="18" t="n">
        <v>307656.6</v>
      </c>
      <c r="BH23" s="18" t="n">
        <v>417224</v>
      </c>
      <c r="BI23" s="18" t="n">
        <v>734861.9</v>
      </c>
      <c r="BJ23" s="18" t="n">
        <v>645786.1</v>
      </c>
      <c r="BK23" s="18" t="n">
        <v>1030470.6</v>
      </c>
      <c r="BL23" s="18" t="n">
        <v>1743172</v>
      </c>
      <c r="BM23" s="18" t="n">
        <v>5750234.5</v>
      </c>
      <c r="BN23" s="18" t="n">
        <v>5837868.6</v>
      </c>
      <c r="BO23" s="18" t="n">
        <v>5203842.3</v>
      </c>
      <c r="BP23" s="18" t="n">
        <v>2705271.3</v>
      </c>
      <c r="BQ23" s="18" t="n">
        <v>296093.6</v>
      </c>
      <c r="BR23" s="18" t="n">
        <v>136006.6</v>
      </c>
      <c r="BS23" s="18" t="n">
        <v>67817</v>
      </c>
    </row>
    <row r="24">
      <c r="A24" s="12" t="inlineStr">
        <is>
          <t>marine_hedged_krw_m</t>
        </is>
      </c>
      <c r="D24" t="inlineStr">
        <is>
          <t>해양 원화(백만원)</t>
        </is>
      </c>
      <c r="E24" s="18" t="n">
        <v>66703.39999999999</v>
      </c>
      <c r="F24" s="18" t="n">
        <v>78077.10000000001</v>
      </c>
      <c r="G24" s="18" t="n">
        <v>77153.7</v>
      </c>
      <c r="H24" s="18" t="n">
        <v>77226.39999999999</v>
      </c>
      <c r="I24" s="18" t="n">
        <v>78554</v>
      </c>
      <c r="J24" s="18" t="n">
        <v>77756.8</v>
      </c>
      <c r="K24" s="18" t="n">
        <v>74119.39999999999</v>
      </c>
      <c r="L24" s="18" t="n">
        <v>72356.3</v>
      </c>
      <c r="M24" s="18" t="n">
        <v>84644.39999999999</v>
      </c>
      <c r="N24" s="18" t="n">
        <v>129072.5</v>
      </c>
      <c r="O24" s="18" t="n">
        <v>131150.8</v>
      </c>
      <c r="P24" s="18" t="n">
        <v>130219.9</v>
      </c>
      <c r="Q24" s="18" t="n">
        <v>136573.9</v>
      </c>
      <c r="R24" s="18" t="n">
        <v>145108.7</v>
      </c>
      <c r="S24" s="18" t="n">
        <v>146711.2</v>
      </c>
      <c r="T24" s="18" t="n">
        <v>147033.8</v>
      </c>
      <c r="U24" s="18" t="n">
        <v>101482</v>
      </c>
      <c r="V24" s="18" t="n">
        <v>98212.89999999999</v>
      </c>
      <c r="W24" s="18" t="n">
        <v>105722.7</v>
      </c>
      <c r="X24" s="18" t="n">
        <v>133241.3</v>
      </c>
      <c r="Y24" s="18" t="n">
        <v>175810.9</v>
      </c>
      <c r="Z24" s="18" t="n">
        <v>257286</v>
      </c>
      <c r="AA24" s="18" t="n">
        <v>263493</v>
      </c>
      <c r="AB24" s="18" t="n">
        <v>266245.8</v>
      </c>
      <c r="AC24" s="18" t="n">
        <v>260969</v>
      </c>
      <c r="AD24" s="18" t="n">
        <v>294251.8</v>
      </c>
      <c r="AE24" s="18" t="n">
        <v>594021.2</v>
      </c>
      <c r="AF24" s="18" t="n">
        <v>1091386.4</v>
      </c>
      <c r="AG24" s="18" t="n">
        <v>1290317.3</v>
      </c>
      <c r="AH24" s="18" t="n">
        <v>1472329.2</v>
      </c>
      <c r="AI24" s="18" t="n">
        <v>1544452.6</v>
      </c>
      <c r="AJ24" s="18" t="n">
        <v>1432714.3</v>
      </c>
      <c r="AK24" s="18" t="n">
        <v>1404937.1</v>
      </c>
      <c r="AL24" s="18" t="n">
        <v>1413807.9</v>
      </c>
      <c r="AM24" s="18" t="n">
        <v>1400234</v>
      </c>
      <c r="AN24" s="18" t="n">
        <v>1385014.1</v>
      </c>
      <c r="AO24" s="18" t="n">
        <v>1315528.3</v>
      </c>
      <c r="AP24" s="18" t="n">
        <v>1255874.1</v>
      </c>
      <c r="AQ24" s="18" t="n">
        <v>1235886.4</v>
      </c>
      <c r="AR24" s="18" t="n">
        <v>1116086</v>
      </c>
      <c r="AS24" s="18" t="n">
        <v>957985.8</v>
      </c>
      <c r="AT24" s="18" t="n">
        <v>420171.3</v>
      </c>
      <c r="AU24" s="18" t="n">
        <v>211028.2</v>
      </c>
      <c r="AV24" s="18" t="n">
        <v>119965.2</v>
      </c>
      <c r="AW24" s="18" t="n">
        <v>60719.9</v>
      </c>
      <c r="AX24" s="18" t="n">
        <v>61387.1</v>
      </c>
      <c r="AY24" s="18" t="n">
        <v>54021.4</v>
      </c>
      <c r="AZ24" s="18" t="n">
        <v>33535.9</v>
      </c>
      <c r="BA24" s="18" t="n">
        <v>33908.5</v>
      </c>
      <c r="BB24" s="18" t="n">
        <v>34281.1</v>
      </c>
      <c r="BC24" s="18" t="n">
        <v>34281.1</v>
      </c>
      <c r="BD24" s="18" t="n">
        <v>33908.5</v>
      </c>
      <c r="BE24" s="18" t="n">
        <v>33908.5</v>
      </c>
      <c r="BF24" s="18" t="n">
        <v>221934.2</v>
      </c>
      <c r="BG24" s="18" t="n">
        <v>307656.6</v>
      </c>
      <c r="BH24" s="18" t="n">
        <v>417224</v>
      </c>
      <c r="BI24" s="18" t="n">
        <v>558613.7</v>
      </c>
      <c r="BJ24" s="18" t="n">
        <v>452451.4</v>
      </c>
      <c r="BK24" s="18" t="n">
        <v>829831.2</v>
      </c>
      <c r="BL24" s="18" t="n">
        <v>1415487.8</v>
      </c>
      <c r="BM24" s="18" t="n">
        <v>5398485.5</v>
      </c>
      <c r="BN24" s="18" t="n">
        <v>5651693.3</v>
      </c>
      <c r="BO24" s="18" t="n">
        <v>5192302.9</v>
      </c>
      <c r="BP24" s="18" t="n">
        <v>2705271.3</v>
      </c>
      <c r="BQ24" s="18" t="n">
        <v>296093.6</v>
      </c>
      <c r="BR24" s="18" t="n">
        <v>136006.6</v>
      </c>
      <c r="BS24" s="18" t="n">
        <v>67817</v>
      </c>
    </row>
    <row r="25">
      <c r="A25" s="12" t="inlineStr">
        <is>
          <t>marine_hedged_krw_m_signed_by_origin</t>
        </is>
      </c>
      <c r="D25" t="inlineStr">
        <is>
          <t>해양 원화 — origin 분기말까지 체결분(백만원)</t>
        </is>
      </c>
      <c r="E25" s="18" t="n">
        <v>66703.39999999999</v>
      </c>
      <c r="F25" s="18" t="n">
        <v>78077.10000000001</v>
      </c>
      <c r="G25" s="18" t="n">
        <v>77153.7</v>
      </c>
      <c r="H25" s="18" t="n">
        <v>77226.39999999999</v>
      </c>
      <c r="I25" s="18" t="n">
        <v>78554</v>
      </c>
      <c r="J25" s="18" t="n">
        <v>77756.8</v>
      </c>
      <c r="K25" s="18" t="n">
        <v>74119.39999999999</v>
      </c>
      <c r="L25" s="18" t="n">
        <v>72356.3</v>
      </c>
      <c r="M25" s="18" t="n">
        <v>84644.39999999999</v>
      </c>
      <c r="N25" s="18" t="n">
        <v>129072.5</v>
      </c>
      <c r="O25" s="18" t="n">
        <v>131150.8</v>
      </c>
      <c r="P25" s="18" t="n">
        <v>130219.9</v>
      </c>
      <c r="Q25" s="18" t="n">
        <v>136573.9</v>
      </c>
      <c r="R25" s="18" t="n">
        <v>145108.7</v>
      </c>
      <c r="S25" s="18" t="n">
        <v>146711.2</v>
      </c>
      <c r="T25" s="18" t="n">
        <v>147033.8</v>
      </c>
      <c r="U25" s="18" t="n">
        <v>101482</v>
      </c>
      <c r="V25" s="18" t="n">
        <v>98212.89999999999</v>
      </c>
      <c r="W25" s="18" t="n">
        <v>105722.7</v>
      </c>
      <c r="X25" s="18" t="n">
        <v>133241.3</v>
      </c>
      <c r="Y25" s="18" t="n">
        <v>175810.9</v>
      </c>
      <c r="Z25" s="18" t="n">
        <v>257286</v>
      </c>
      <c r="AA25" s="18" t="n">
        <v>263493</v>
      </c>
      <c r="AB25" s="18" t="n">
        <v>266245.8</v>
      </c>
      <c r="AC25" s="18" t="n">
        <v>260969</v>
      </c>
      <c r="AD25" s="18" t="n">
        <v>294251.8</v>
      </c>
      <c r="AE25" s="18" t="n">
        <v>594021.2</v>
      </c>
      <c r="AF25" s="18" t="n">
        <v>1091386.4</v>
      </c>
      <c r="AG25" s="18" t="n">
        <v>1290317.3</v>
      </c>
      <c r="AH25" s="18" t="n">
        <v>1342515.1</v>
      </c>
      <c r="AI25" s="18" t="n">
        <v>1240229.3</v>
      </c>
      <c r="AJ25" s="18" t="n">
        <v>1135762.8</v>
      </c>
      <c r="AK25" s="18" t="n">
        <v>1104686.1</v>
      </c>
      <c r="AL25" s="18" t="n">
        <v>1110257.5</v>
      </c>
      <c r="AM25" s="18" t="n">
        <v>1096683.6</v>
      </c>
      <c r="AN25" s="18" t="n">
        <v>1084763.1</v>
      </c>
      <c r="AO25" s="18" t="n">
        <v>1015277.3</v>
      </c>
      <c r="AP25" s="18" t="n">
        <v>952323.7</v>
      </c>
      <c r="AQ25" s="18" t="n">
        <v>932336</v>
      </c>
      <c r="AR25" s="18" t="n">
        <v>819134.5</v>
      </c>
      <c r="AS25" s="18" t="n">
        <v>657734.8</v>
      </c>
      <c r="AT25" s="18" t="n">
        <v>130154.1</v>
      </c>
      <c r="AU25" s="18" t="n">
        <v>104969.1</v>
      </c>
      <c r="AV25" s="18" t="n">
        <v>34772.4</v>
      </c>
      <c r="AW25" s="18" t="n">
        <v>0</v>
      </c>
      <c r="AX25" s="18" t="n">
        <v>0</v>
      </c>
      <c r="AY25" s="18" t="n">
        <v>0</v>
      </c>
      <c r="AZ25" s="18" t="n">
        <v>0</v>
      </c>
      <c r="BA25" s="18" t="n">
        <v>0</v>
      </c>
      <c r="BB25" s="18" t="n">
        <v>0</v>
      </c>
      <c r="BC25" s="18" t="n">
        <v>0</v>
      </c>
      <c r="BD25" s="18" t="n">
        <v>0</v>
      </c>
      <c r="BE25" s="18" t="n">
        <v>0</v>
      </c>
    </row>
    <row r="26">
      <c r="A26" s="12" t="inlineStr">
        <is>
          <t>marine_hedged_krw_m_post_origin</t>
        </is>
      </c>
      <c r="D26" t="inlineStr">
        <is>
          <t>해양 원화 — origin 이후 체결분(백만원)</t>
        </is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0</v>
      </c>
      <c r="V26" s="18" t="n">
        <v>0</v>
      </c>
      <c r="W26" s="18" t="n">
        <v>0</v>
      </c>
      <c r="X26" s="18" t="n">
        <v>0</v>
      </c>
      <c r="Y26" s="18" t="n">
        <v>0</v>
      </c>
      <c r="Z26" s="18" t="n">
        <v>0</v>
      </c>
      <c r="AA26" s="18" t="n">
        <v>0</v>
      </c>
      <c r="AB26" s="18" t="n">
        <v>0</v>
      </c>
      <c r="AC26" s="18" t="n">
        <v>0</v>
      </c>
      <c r="AD26" s="18" t="n">
        <v>0</v>
      </c>
      <c r="AE26" s="18" t="n">
        <v>0</v>
      </c>
      <c r="AF26" s="18" t="n">
        <v>0</v>
      </c>
      <c r="AG26" s="18" t="n">
        <v>0</v>
      </c>
      <c r="AH26" s="18" t="n">
        <v>129814.1</v>
      </c>
      <c r="AI26" s="18" t="n">
        <v>304223.3</v>
      </c>
      <c r="AJ26" s="18" t="n">
        <v>296951.5</v>
      </c>
      <c r="AK26" s="18" t="n">
        <v>300251</v>
      </c>
      <c r="AL26" s="18" t="n">
        <v>303550.4</v>
      </c>
      <c r="AM26" s="18" t="n">
        <v>303550.4</v>
      </c>
      <c r="AN26" s="18" t="n">
        <v>300251</v>
      </c>
      <c r="AO26" s="18" t="n">
        <v>300251</v>
      </c>
      <c r="AP26" s="18" t="n">
        <v>303550.4</v>
      </c>
      <c r="AQ26" s="18" t="n">
        <v>303550.4</v>
      </c>
      <c r="AR26" s="18" t="n">
        <v>296951.5</v>
      </c>
      <c r="AS26" s="18" t="n">
        <v>300251</v>
      </c>
      <c r="AT26" s="18" t="n">
        <v>290017.3</v>
      </c>
      <c r="AU26" s="18" t="n">
        <v>106059.2</v>
      </c>
      <c r="AV26" s="18" t="n">
        <v>85192.8</v>
      </c>
      <c r="AW26" s="18" t="n">
        <v>60719.9</v>
      </c>
      <c r="AX26" s="18" t="n">
        <v>61387.1</v>
      </c>
      <c r="AY26" s="18" t="n">
        <v>54021.4</v>
      </c>
      <c r="AZ26" s="18" t="n">
        <v>33535.9</v>
      </c>
      <c r="BA26" s="18" t="n">
        <v>33908.5</v>
      </c>
      <c r="BB26" s="18" t="n">
        <v>34281.1</v>
      </c>
      <c r="BC26" s="18" t="n">
        <v>34281.1</v>
      </c>
      <c r="BD26" s="18" t="n">
        <v>33908.5</v>
      </c>
      <c r="BE26" s="18" t="n">
        <v>33908.5</v>
      </c>
    </row>
    <row r="27">
      <c r="A27" s="12" t="inlineStr">
        <is>
          <t>target_opm</t>
        </is>
      </c>
      <c r="D27" t="inlineStr">
        <is>
          <t>타겟 OPM(코호트)</t>
        </is>
      </c>
      <c r="E27" s="21" t="n">
        <v>0.0426</v>
      </c>
      <c r="F27" s="21" t="n">
        <v>0.0426</v>
      </c>
      <c r="G27" s="21" t="n">
        <v>0.0426</v>
      </c>
      <c r="H27" s="21" t="n">
        <v>0.0426</v>
      </c>
      <c r="I27" s="21" t="n">
        <v>0.0426</v>
      </c>
      <c r="J27" s="21" t="n">
        <v>0.0426</v>
      </c>
      <c r="K27" s="21" t="n">
        <v>0.0426</v>
      </c>
      <c r="L27" s="21" t="n">
        <v>0.0426</v>
      </c>
      <c r="M27" s="21" t="n">
        <v>0.0441</v>
      </c>
      <c r="N27" s="21" t="n">
        <v>0.0473</v>
      </c>
      <c r="O27" s="21" t="n">
        <v>0.0473</v>
      </c>
      <c r="P27" s="21" t="n">
        <v>0.0473</v>
      </c>
      <c r="Q27" s="21" t="n">
        <v>0.0473</v>
      </c>
      <c r="R27" s="21" t="n">
        <v>0.0473</v>
      </c>
      <c r="S27" s="21" t="n">
        <v>0.0473</v>
      </c>
      <c r="T27" s="21" t="n">
        <v>0.0517</v>
      </c>
      <c r="U27" s="21" t="n">
        <v>0.0737</v>
      </c>
      <c r="V27" s="21" t="n">
        <v>0.0759</v>
      </c>
      <c r="W27" s="21" t="n">
        <v>0.0781</v>
      </c>
      <c r="X27" s="21" t="n">
        <v>0.0844</v>
      </c>
      <c r="Y27" s="21" t="n">
        <v>0.0897</v>
      </c>
      <c r="Z27" s="21" t="n">
        <v>0.0954</v>
      </c>
      <c r="AA27" s="21" t="n">
        <v>0.0954</v>
      </c>
      <c r="AB27" s="21" t="n">
        <v>0.0954</v>
      </c>
      <c r="AC27" s="21" t="n">
        <v>0.0954</v>
      </c>
      <c r="AD27" s="21" t="n">
        <v>0.0968</v>
      </c>
      <c r="AE27" s="21" t="n">
        <v>0.1021</v>
      </c>
      <c r="AF27" s="21" t="n">
        <v>0.1045</v>
      </c>
      <c r="AG27" s="21" t="n">
        <v>0.105</v>
      </c>
      <c r="AH27" s="21" t="n">
        <v>0.1054</v>
      </c>
      <c r="AI27" s="21" t="n">
        <v>0.1056</v>
      </c>
      <c r="AJ27" s="21" t="n">
        <v>0.107</v>
      </c>
      <c r="AK27" s="21" t="n">
        <v>0.108</v>
      </c>
      <c r="AL27" s="21" t="n">
        <v>0.108</v>
      </c>
      <c r="AM27" s="21" t="n">
        <v>0.108</v>
      </c>
      <c r="AN27" s="21" t="n">
        <v>0.108</v>
      </c>
      <c r="AO27" s="21" t="n">
        <v>0.108</v>
      </c>
      <c r="AP27" s="21" t="n">
        <v>0.108</v>
      </c>
      <c r="AQ27" s="21" t="n">
        <v>0.108</v>
      </c>
      <c r="AR27" s="21" t="n">
        <v>0.108</v>
      </c>
      <c r="AS27" s="21" t="n">
        <v>0.108</v>
      </c>
      <c r="AT27" s="21" t="n">
        <v>0.108</v>
      </c>
      <c r="AU27" s="21" t="n">
        <v>0.108</v>
      </c>
      <c r="AV27" s="21" t="n">
        <v>0.108</v>
      </c>
      <c r="AW27" s="21" t="n">
        <v>0.108</v>
      </c>
      <c r="AX27" s="21" t="n">
        <v>0.108</v>
      </c>
      <c r="AY27" s="21" t="n">
        <v>0.108</v>
      </c>
    </row>
    <row r="29">
      <c r="A29" s="1" t="inlineStr">
        <is>
          <t>선표 연결(수식) — 원화(백만원) = 스케줄(백만$) × 포함 × (1 + (캡배율 − 1) × origin 이후) × (헤지비율 × 헤지환율 + (1 − 헤지비율) × 건조시점 환율)</t>
        </is>
      </c>
      <c r="J29" s="2" t="inlineStr">
        <is>
          <t>subQ 매출조선 = 합계/100 + 변수 잔고 소진 + 매출조선신규</t>
        </is>
      </c>
    </row>
    <row r="30">
      <c r="A30" s="12" t="inlineStr">
        <is>
          <t>헤지비율</t>
        </is>
      </c>
      <c r="D30" s="21">
        <f>변수!$D$61</f>
        <v/>
      </c>
      <c r="E30" s="2" t="inlineStr">
        <is>
          <t>변수 3절 '헤지비율' 참조 — usd_sell_m ÷ (기말 수주잔고 원화 ÷ 평균약정환율), 2026Q2 정기보고서 위험관리 절 — kship_page.yard_summary 방식</t>
        </is>
      </c>
    </row>
    <row r="31">
      <c r="A31" s="12" t="inlineStr">
        <is>
          <t>헤지환율 방식</t>
        </is>
      </c>
      <c r="D31" t="inlineStr">
        <is>
          <t>정기보고서 평균 약정환율(measured) 1472.04 — 전 계약 공통</t>
        </is>
      </c>
    </row>
    <row r="32">
      <c r="A32" s="12" t="inlineStr">
        <is>
          <t>spot_krw</t>
        </is>
      </c>
      <c r="D32" t="inlineStr">
        <is>
          <t>건조시점 원/달러(평균) — 변수 환율 행 참조, 변수 범위 밖 분기는 sls spot_assumed</t>
        </is>
      </c>
      <c r="E32" s="13">
        <f>IFERROR(VLOOKUP(" 원/달러(평균)",환율,MATCH(E$1,변수H,0),0),1167.69)</f>
        <v/>
      </c>
      <c r="F32" s="13">
        <f>IFERROR(VLOOKUP(" 원/달러(평균)",환율,MATCH(F$1,변수H,0),0),1193.96)</f>
        <v/>
      </c>
      <c r="G32" s="13">
        <f>IFERROR(VLOOKUP(" 원/달러(평균)",환율,MATCH(G$1,변수H,0),0),1176.23)</f>
        <v/>
      </c>
      <c r="H32" s="13">
        <f>IFERROR(VLOOKUP(" 원/달러(평균)",환율,MATCH(H$1,변수H,0),0),1193.92)</f>
        <v/>
      </c>
      <c r="I32" s="13">
        <f>IFERROR(VLOOKUP(" 원/달러(평균)",환율,MATCH(I$1,변수H,0),0),1219.69)</f>
        <v/>
      </c>
      <c r="J32" s="13">
        <f>IFERROR(VLOOKUP(" 원/달러(평균)",환율,MATCH(J$1,변수H,0),0),1187.81)</f>
        <v/>
      </c>
      <c r="K32" s="13">
        <f>IFERROR(VLOOKUP(" 원/달러(평균)",환율,MATCH(K$1,변수H,0),0),1117.97)</f>
        <v/>
      </c>
      <c r="L32" s="13">
        <f>IFERROR(VLOOKUP(" 원/달러(평균)",환율,MATCH(L$1,변수H,0),0),1114.99)</f>
        <v/>
      </c>
      <c r="M32" s="13">
        <f>IFERROR(VLOOKUP(" 원/달러(평균)",환율,MATCH(M$1,변수H,0),0),1121.13)</f>
        <v/>
      </c>
      <c r="N32" s="13">
        <f>IFERROR(VLOOKUP(" 원/달러(평균)",환율,MATCH(N$1,변수H,0),0),1159.91)</f>
        <v/>
      </c>
      <c r="O32" s="13">
        <f>IFERROR(VLOOKUP(" 원/달러(평균)",환율,MATCH(O$1,변수H,0),0),1183.5)</f>
        <v/>
      </c>
      <c r="P32" s="13">
        <f>IFERROR(VLOOKUP(" 원/달러(평균)",환율,MATCH(P$1,변수H,0),0),1205.78)</f>
        <v/>
      </c>
      <c r="Q32" s="13">
        <f>IFERROR(VLOOKUP(" 원/달러(평균)",환율,MATCH(Q$1,변수H,0),0),1262.09)</f>
        <v/>
      </c>
      <c r="R32" s="13">
        <f>IFERROR(VLOOKUP(" 원/달러(평균)",환율,MATCH(R$1,변수H,0),0),1341.93)</f>
        <v/>
      </c>
      <c r="S32" s="13">
        <f>IFERROR(VLOOKUP(" 원/달러(평균)",환율,MATCH(S$1,변수H,0),0),1360.12)</f>
        <v/>
      </c>
      <c r="T32" s="13">
        <f>IFERROR(VLOOKUP(" 원/달러(평균)",환율,MATCH(T$1,변수H,0),0),1276.95)</f>
        <v/>
      </c>
      <c r="U32" s="13">
        <f>IFERROR(VLOOKUP(" 원/달러(평균)",환율,MATCH(U$1,변수H,0),0),1315.69)</f>
        <v/>
      </c>
      <c r="V32" s="13">
        <f>IFERROR(VLOOKUP(" 원/달러(평균)",환율,MATCH(V$1,변수H,0),0),1313.62)</f>
        <v/>
      </c>
      <c r="W32" s="13">
        <f>IFERROR(VLOOKUP(" 원/달러(평균)",환율,MATCH(W$1,변수H,0),0),1322.01)</f>
        <v/>
      </c>
      <c r="X32" s="13">
        <f>IFERROR(VLOOKUP(" 원/달러(평균)",환율,MATCH(X$1,변수H,0),0),1330.14)</f>
        <v/>
      </c>
      <c r="Y32" s="13">
        <f>IFERROR(VLOOKUP(" 원/달러(평균)",환율,MATCH(Y$1,변수H,0),0),1371.28)</f>
        <v/>
      </c>
      <c r="Z32" s="13">
        <f>IFERROR(VLOOKUP(" 원/달러(평균)",환율,MATCH(Z$1,변수H,0),0),1356.22)</f>
        <v/>
      </c>
      <c r="AA32" s="13">
        <f>IFERROR(VLOOKUP(" 원/달러(평균)",환율,MATCH(AA$1,변수H,0),0),1396.3)</f>
        <v/>
      </c>
      <c r="AB32" s="13">
        <f>IFERROR(VLOOKUP(" 원/달러(평균)",환율,MATCH(AB$1,변수H,0),0),1452.28)</f>
        <v/>
      </c>
      <c r="AC32" s="13">
        <f>IFERROR(VLOOKUP(" 원/달러(평균)",환율,MATCH(AC$1,변수H,0),0),1398.52)</f>
        <v/>
      </c>
      <c r="AD32" s="13">
        <f>IFERROR(VLOOKUP(" 원/달러(평균)",환율,MATCH(AD$1,변수H,0),0),1386.95)</f>
        <v/>
      </c>
      <c r="AE32" s="13">
        <f>IFERROR(VLOOKUP(" 원/달러(평균)",환율,MATCH(AE$1,변수H,0),0),1449.19)</f>
        <v/>
      </c>
      <c r="AF32" s="13">
        <f>IFERROR(VLOOKUP(" 원/달러(평균)",환율,MATCH(AF$1,변수H,0),0),1466.12)</f>
        <v/>
      </c>
      <c r="AG32" s="13">
        <f>IFERROR(VLOOKUP(" 원/달러(평균)",환율,MATCH(AG$1,변수H,0),0),1501.75)</f>
        <v/>
      </c>
      <c r="AH32" s="13">
        <f>IFERROR(VLOOKUP(" 원/달러(평균)",환율,MATCH(AH$1,변수H,0),0),1418.75)</f>
        <v/>
      </c>
      <c r="AI32" s="13">
        <f>IFERROR(VLOOKUP(" 원/달러(평균)",환율,MATCH(AI$1,변수H,0),0),1345.14)</f>
        <v/>
      </c>
      <c r="AJ32" s="13">
        <f>IFERROR(VLOOKUP(" 원/달러(평균)",환율,MATCH(AJ$1,변수H,0),0),1341.49)</f>
        <v/>
      </c>
      <c r="AK32" s="13">
        <f>IFERROR(VLOOKUP(" 원/달러(평균)",환율,MATCH(AK$1,변수H,0),0),1341.49)</f>
        <v/>
      </c>
      <c r="AL32" s="13">
        <f>IFERROR(VLOOKUP(" 원/달러(평균)",환율,MATCH(AL$1,변수H,0),0),1341.49)</f>
        <v/>
      </c>
      <c r="AM32" s="13">
        <f>IFERROR(VLOOKUP(" 원/달러(평균)",환율,MATCH(AM$1,변수H,0),0),1341.49)</f>
        <v/>
      </c>
      <c r="AN32" s="13">
        <f>IFERROR(VLOOKUP(" 원/달러(평균)",환율,MATCH(AN$1,변수H,0),0),1341.49)</f>
        <v/>
      </c>
      <c r="AO32" s="13">
        <f>IFERROR(VLOOKUP(" 원/달러(평균)",환율,MATCH(AO$1,변수H,0),0),1341.49)</f>
        <v/>
      </c>
      <c r="AP32" s="13">
        <f>IFERROR(VLOOKUP(" 원/달러(평균)",환율,MATCH(AP$1,변수H,0),0),1341.49)</f>
        <v/>
      </c>
      <c r="AQ32" s="13">
        <f>IFERROR(VLOOKUP(" 원/달러(평균)",환율,MATCH(AQ$1,변수H,0),0),1341.49)</f>
        <v/>
      </c>
      <c r="AR32" s="13">
        <f>IFERROR(VLOOKUP(" 원/달러(평균)",환율,MATCH(AR$1,변수H,0),0),1341.49)</f>
        <v/>
      </c>
      <c r="AS32" s="13">
        <f>IFERROR(VLOOKUP(" 원/달러(평균)",환율,MATCH(AS$1,변수H,0),0),1341.49)</f>
        <v/>
      </c>
      <c r="AT32" s="13">
        <f>IFERROR(VLOOKUP(" 원/달러(평균)",환율,MATCH(AT$1,변수H,0),0),1341.49)</f>
        <v/>
      </c>
      <c r="AU32" s="13">
        <f>IFERROR(VLOOKUP(" 원/달러(평균)",환율,MATCH(AU$1,변수H,0),0),1341.49)</f>
        <v/>
      </c>
      <c r="AV32" s="13">
        <f>IFERROR(VLOOKUP(" 원/달러(평균)",환율,MATCH(AV$1,변수H,0),0),1341.49)</f>
        <v/>
      </c>
      <c r="AW32" s="13">
        <f>IFERROR(VLOOKUP(" 원/달러(평균)",환율,MATCH(AW$1,변수H,0),0),1341.49)</f>
        <v/>
      </c>
      <c r="AX32" s="13">
        <f>IFERROR(VLOOKUP(" 원/달러(평균)",환율,MATCH(AX$1,변수H,0),0),1341.49)</f>
        <v/>
      </c>
      <c r="AY32" s="13">
        <f>IFERROR(VLOOKUP(" 원/달러(평균)",환율,MATCH(AY$1,변수H,0),0),1341.49)</f>
        <v/>
      </c>
      <c r="AZ32" s="13">
        <f>IFERROR(VLOOKUP(" 원/달러(평균)",환율,MATCH(AZ$1,변수H,0),0),1341.49)</f>
        <v/>
      </c>
      <c r="BA32" s="13">
        <f>IFERROR(VLOOKUP(" 원/달러(평균)",환율,MATCH(BA$1,변수H,0),0),1341.49)</f>
        <v/>
      </c>
      <c r="BB32" s="13">
        <f>IFERROR(VLOOKUP(" 원/달러(평균)",환율,MATCH(BB$1,변수H,0),0),1341.49)</f>
        <v/>
      </c>
      <c r="BC32" s="13">
        <f>IFERROR(VLOOKUP(" 원/달러(평균)",환율,MATCH(BC$1,변수H,0),0),1341.49)</f>
        <v/>
      </c>
      <c r="BD32" s="13">
        <f>IFERROR(VLOOKUP(" 원/달러(평균)",환율,MATCH(BD$1,변수H,0),0),1341.49)</f>
        <v/>
      </c>
      <c r="BE32" s="13">
        <f>IFERROR(VLOOKUP(" 원/달러(평균)",환율,MATCH(BE$1,변수H,0),0),1341.49)</f>
        <v/>
      </c>
    </row>
    <row r="33">
      <c r="A33" s="12" t="inlineStr">
        <is>
          <t>after_origin</t>
        </is>
      </c>
      <c r="D33" t="inlineStr">
        <is>
          <t>origin(2026Q2) 이후 분기 = 1 (잔고 캡 배율 적용 구간)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</row>
    <row r="35">
      <c r="A35" s="1" t="inlineStr">
        <is>
          <t>① 계약별 매출인식 스케줄(백만$, sls 저장값)</t>
        </is>
      </c>
      <c r="B35" s="1" t="inlineStr">
        <is>
          <t>type</t>
        </is>
      </c>
      <c r="C35" s="1" t="inlineStr">
        <is>
          <t>ships</t>
        </is>
      </c>
      <c r="D35" s="1" t="inlineStr">
        <is>
          <t>name</t>
        </is>
      </c>
      <c r="BU35" s="1" t="inlineStr">
        <is>
          <t>포함(1/0)</t>
        </is>
      </c>
      <c r="BV35" s="1" t="inlineStr">
        <is>
          <t>헤지환율</t>
        </is>
      </c>
      <c r="BW35" s="1" t="inlineStr">
        <is>
          <t>캡배율</t>
        </is>
      </c>
      <c r="BX35" s="1" t="inlineStr">
        <is>
          <t>체결일</t>
        </is>
      </c>
      <c r="BY35" s="1" t="inlineStr">
        <is>
          <t>origin이내</t>
        </is>
      </c>
      <c r="BZ35" s="1" t="inlineStr">
        <is>
          <t>코호트</t>
        </is>
      </c>
      <c r="CA35" s="1" t="inlineStr">
        <is>
          <t>계약액(백만$)</t>
        </is>
      </c>
      <c r="CB35" s="1" t="inlineStr">
        <is>
          <t>종료</t>
        </is>
      </c>
    </row>
    <row r="36">
      <c r="A36" t="inlineStr">
        <is>
          <t>20250905800030</t>
        </is>
      </c>
      <c r="B36" t="inlineStr">
        <is>
          <t>LNGC</t>
        </is>
      </c>
      <c r="C36" t="n">
        <v>1</v>
      </c>
      <c r="D36" t="inlineStr">
        <is>
          <t>LNGC 1척</t>
        </is>
      </c>
      <c r="AD36" s="26" t="n">
        <v>7.273</v>
      </c>
      <c r="AE36" s="26" t="n">
        <v>24.783</v>
      </c>
      <c r="AF36" s="26" t="n">
        <v>24.244</v>
      </c>
      <c r="AG36" s="26" t="n">
        <v>24.514</v>
      </c>
      <c r="AH36" s="26" t="n">
        <v>24.783</v>
      </c>
      <c r="AI36" s="26" t="n">
        <v>24.783</v>
      </c>
      <c r="AJ36" s="26" t="n">
        <v>24.244</v>
      </c>
      <c r="AK36" s="26" t="n">
        <v>24.514</v>
      </c>
      <c r="AL36" s="26" t="n">
        <v>24.783</v>
      </c>
      <c r="AM36" s="26" t="n">
        <v>24.783</v>
      </c>
      <c r="AN36" s="26" t="n">
        <v>24.513</v>
      </c>
      <c r="BU36" s="35" t="n">
        <v>1</v>
      </c>
      <c r="BV36" s="16" t="n">
        <v>1472.04</v>
      </c>
      <c r="BW36" s="42" t="n">
        <v>1</v>
      </c>
      <c r="BX36" t="inlineStr">
        <is>
          <t>2025-09-04</t>
        </is>
      </c>
      <c r="BY36" t="n">
        <v>1</v>
      </c>
      <c r="BZ36" t="inlineStr">
        <is>
          <t>⑤초호황</t>
        </is>
      </c>
      <c r="CA36" s="26" t="n">
        <v>253.217</v>
      </c>
      <c r="CB36" t="inlineStr">
        <is>
          <t>2028-03-31</t>
        </is>
      </c>
    </row>
    <row r="37">
      <c r="A37" t="inlineStr">
        <is>
          <t>20250915800507</t>
        </is>
      </c>
      <c r="B37" t="inlineStr">
        <is>
          <t>OFFSH</t>
        </is>
      </c>
      <c r="C37" t="n">
        <v>1</v>
      </c>
      <c r="D37" t="inlineStr">
        <is>
          <t>FPSO 1기</t>
        </is>
      </c>
      <c r="M37" s="26" t="n">
        <v>9.452999999999999</v>
      </c>
      <c r="N37" s="26" t="n">
        <v>43.485</v>
      </c>
      <c r="O37" s="26" t="n">
        <v>43.485</v>
      </c>
      <c r="P37" s="26" t="n">
        <v>42.539</v>
      </c>
      <c r="Q37" s="26" t="n">
        <v>43.012</v>
      </c>
      <c r="R37" s="26" t="n">
        <v>43.485</v>
      </c>
      <c r="S37" s="26" t="n">
        <v>43.485</v>
      </c>
      <c r="T37" s="26" t="n">
        <v>42.539</v>
      </c>
      <c r="U37" s="26" t="n">
        <v>43.012</v>
      </c>
      <c r="V37" s="26" t="n">
        <v>43.485</v>
      </c>
      <c r="W37" s="26" t="n">
        <v>43.485</v>
      </c>
      <c r="X37" s="26" t="n">
        <v>43.012</v>
      </c>
      <c r="Y37" s="26" t="n">
        <v>43.012</v>
      </c>
      <c r="Z37" s="26" t="n">
        <v>43.485</v>
      </c>
      <c r="AA37" s="26" t="n">
        <v>43.485</v>
      </c>
      <c r="AB37" s="26" t="n">
        <v>42.539</v>
      </c>
      <c r="AC37" s="26" t="n">
        <v>43.012</v>
      </c>
      <c r="AD37" s="26" t="n">
        <v>43.485</v>
      </c>
      <c r="AE37" s="26" t="n">
        <v>43.485</v>
      </c>
      <c r="AF37" s="26" t="n">
        <v>42.539</v>
      </c>
      <c r="AG37" s="26" t="n">
        <v>43.012</v>
      </c>
      <c r="AH37" s="26" t="n">
        <v>43.485</v>
      </c>
      <c r="AI37" s="26" t="n">
        <v>43.485</v>
      </c>
      <c r="AJ37" s="26" t="n">
        <v>17.014</v>
      </c>
      <c r="BU37" s="35" t="n">
        <v>1</v>
      </c>
      <c r="BV37" s="16" t="n">
        <v>1472.04</v>
      </c>
      <c r="BW37" s="42" t="n">
        <v>1</v>
      </c>
      <c r="BX37" t="inlineStr">
        <is>
          <t>2021-06-11</t>
        </is>
      </c>
      <c r="BY37" t="n">
        <v>1</v>
      </c>
      <c r="BZ37" t="inlineStr">
        <is>
          <t>④호황</t>
        </is>
      </c>
      <c r="CA37" s="26" t="n">
        <v>976.515</v>
      </c>
      <c r="CB37" t="inlineStr">
        <is>
          <t>2027-02-05</t>
        </is>
      </c>
    </row>
    <row r="38">
      <c r="A38" t="inlineStr">
        <is>
          <t>20250917800008</t>
        </is>
      </c>
      <c r="B38" t="inlineStr">
        <is>
          <t>CONT</t>
        </is>
      </c>
      <c r="C38" t="n">
        <v>7</v>
      </c>
      <c r="D38" t="inlineStr">
        <is>
          <t>컨테이너선 7척</t>
        </is>
      </c>
      <c r="AD38" s="26" t="n">
        <v>15.445</v>
      </c>
      <c r="AE38" s="26" t="n">
        <v>94.727</v>
      </c>
      <c r="AF38" s="26" t="n">
        <v>92.66800000000001</v>
      </c>
      <c r="AG38" s="26" t="n">
        <v>93.69799999999999</v>
      </c>
      <c r="AH38" s="26" t="n">
        <v>94.727</v>
      </c>
      <c r="AI38" s="26" t="n">
        <v>94.727</v>
      </c>
      <c r="AJ38" s="26" t="n">
        <v>92.66800000000001</v>
      </c>
      <c r="AK38" s="26" t="n">
        <v>93.69799999999999</v>
      </c>
      <c r="AL38" s="26" t="n">
        <v>94.727</v>
      </c>
      <c r="AM38" s="26" t="n">
        <v>94.727</v>
      </c>
      <c r="AN38" s="26" t="n">
        <v>93.69799999999999</v>
      </c>
      <c r="AO38" s="26" t="n">
        <v>93.69799999999999</v>
      </c>
      <c r="AP38" s="26" t="n">
        <v>94.727</v>
      </c>
      <c r="AQ38" s="26" t="n">
        <v>94.727</v>
      </c>
      <c r="AR38" s="26" t="n">
        <v>92.66800000000001</v>
      </c>
      <c r="AS38" s="26" t="n">
        <v>62.808</v>
      </c>
      <c r="BU38" s="35" t="n">
        <v>1</v>
      </c>
      <c r="BV38" s="16" t="n">
        <v>1472.04</v>
      </c>
      <c r="BW38" s="42" t="n">
        <v>1</v>
      </c>
      <c r="BX38" t="inlineStr">
        <is>
          <t>2025-09-16</t>
        </is>
      </c>
      <c r="BY38" t="n">
        <v>1</v>
      </c>
      <c r="BZ38" t="inlineStr">
        <is>
          <t>⑤초호황</t>
        </is>
      </c>
      <c r="CA38" s="26" t="n">
        <v>1394.138</v>
      </c>
      <c r="CB38" t="inlineStr">
        <is>
          <t>2029-05-31</t>
        </is>
      </c>
    </row>
    <row r="39">
      <c r="A39" t="inlineStr">
        <is>
          <t>20251001800067</t>
        </is>
      </c>
      <c r="B39" t="inlineStr">
        <is>
          <t>LNGC</t>
        </is>
      </c>
      <c r="C39" t="n">
        <v>1</v>
      </c>
      <c r="D39" t="inlineStr">
        <is>
          <t>LNGC 1척</t>
        </is>
      </c>
      <c r="AD39" s="26" t="n">
        <v>0.261</v>
      </c>
      <c r="AE39" s="26" t="n">
        <v>24.043</v>
      </c>
      <c r="AF39" s="26" t="n">
        <v>23.52</v>
      </c>
      <c r="AG39" s="26" t="n">
        <v>23.782</v>
      </c>
      <c r="AH39" s="26" t="n">
        <v>24.043</v>
      </c>
      <c r="AI39" s="26" t="n">
        <v>24.043</v>
      </c>
      <c r="AJ39" s="26" t="n">
        <v>23.52</v>
      </c>
      <c r="AK39" s="26" t="n">
        <v>23.782</v>
      </c>
      <c r="AL39" s="26" t="n">
        <v>24.043</v>
      </c>
      <c r="AM39" s="26" t="n">
        <v>24.043</v>
      </c>
      <c r="AN39" s="26" t="n">
        <v>23.782</v>
      </c>
      <c r="AO39" s="26" t="n">
        <v>15.942</v>
      </c>
      <c r="BU39" s="35" t="n">
        <v>1</v>
      </c>
      <c r="BV39" s="16" t="n">
        <v>1472.04</v>
      </c>
      <c r="BW39" s="42" t="n">
        <v>1</v>
      </c>
      <c r="BX39" t="inlineStr">
        <is>
          <t>2025-09-30</t>
        </is>
      </c>
      <c r="BY39" t="n">
        <v>1</v>
      </c>
      <c r="BZ39" t="inlineStr">
        <is>
          <t>⑤초호황</t>
        </is>
      </c>
      <c r="CA39" s="26" t="n">
        <v>254.804</v>
      </c>
      <c r="CB39" t="inlineStr">
        <is>
          <t>2028-05-31</t>
        </is>
      </c>
    </row>
    <row r="40">
      <c r="A40" t="inlineStr">
        <is>
          <t>20251010800428</t>
        </is>
      </c>
      <c r="B40" t="inlineStr">
        <is>
          <t>VLGC</t>
        </is>
      </c>
      <c r="C40" t="n">
        <v>1</v>
      </c>
      <c r="D40" t="inlineStr">
        <is>
          <t>초대형 LPG/AMMONIA 운반선 1척</t>
        </is>
      </c>
      <c r="W40" s="26" t="n">
        <v>5.194</v>
      </c>
      <c r="X40" s="26" t="n">
        <v>12.439</v>
      </c>
      <c r="Y40" s="26" t="n">
        <v>12.439</v>
      </c>
      <c r="Z40" s="26" t="n">
        <v>12.576</v>
      </c>
      <c r="AA40" s="26" t="n">
        <v>12.576</v>
      </c>
      <c r="AB40" s="26" t="n">
        <v>12.302</v>
      </c>
      <c r="AC40" s="26" t="n">
        <v>12.439</v>
      </c>
      <c r="AD40" s="26" t="n">
        <v>12.576</v>
      </c>
      <c r="AE40" s="26" t="n">
        <v>12.576</v>
      </c>
      <c r="AF40" s="26" t="n">
        <v>12.302</v>
      </c>
      <c r="AG40" s="26" t="n">
        <v>5.878</v>
      </c>
      <c r="BU40" s="35" t="n">
        <v>1</v>
      </c>
      <c r="BV40" s="16" t="n">
        <v>1472.04</v>
      </c>
      <c r="BW40" s="42" t="n">
        <v>1</v>
      </c>
      <c r="BX40" t="inlineStr">
        <is>
          <t>2023-11-24</t>
        </is>
      </c>
      <c r="BY40" t="n">
        <v>1</v>
      </c>
      <c r="BZ40" t="inlineStr">
        <is>
          <t>⑤초호황</t>
        </is>
      </c>
      <c r="CA40" s="26" t="n">
        <v>123.297</v>
      </c>
      <c r="CB40" t="inlineStr">
        <is>
          <t>2026-05-13</t>
        </is>
      </c>
    </row>
    <row r="41">
      <c r="A41" t="inlineStr">
        <is>
          <t>20251124800090</t>
        </is>
      </c>
      <c r="B41" t="inlineStr">
        <is>
          <t>VLCC</t>
        </is>
      </c>
      <c r="C41" t="n">
        <v>4</v>
      </c>
      <c r="D41" t="inlineStr">
        <is>
          <t>VLCC 4척</t>
        </is>
      </c>
      <c r="AE41" s="26" t="n">
        <v>19.382</v>
      </c>
      <c r="AF41" s="26" t="n">
        <v>42.546</v>
      </c>
      <c r="AG41" s="26" t="n">
        <v>43.019</v>
      </c>
      <c r="AH41" s="26" t="n">
        <v>43.492</v>
      </c>
      <c r="AI41" s="26" t="n">
        <v>43.492</v>
      </c>
      <c r="AJ41" s="26" t="n">
        <v>42.546</v>
      </c>
      <c r="AK41" s="26" t="n">
        <v>43.019</v>
      </c>
      <c r="AL41" s="26" t="n">
        <v>43.492</v>
      </c>
      <c r="AM41" s="26" t="n">
        <v>43.492</v>
      </c>
      <c r="AN41" s="26" t="n">
        <v>43.019</v>
      </c>
      <c r="AO41" s="26" t="n">
        <v>43.019</v>
      </c>
      <c r="AP41" s="26" t="n">
        <v>43.492</v>
      </c>
      <c r="AQ41" s="26" t="n">
        <v>28.834</v>
      </c>
      <c r="BU41" s="35" t="n">
        <v>1</v>
      </c>
      <c r="BV41" s="16" t="n">
        <v>1472.04</v>
      </c>
      <c r="BW41" s="42" t="n">
        <v>1</v>
      </c>
      <c r="BX41" t="inlineStr">
        <is>
          <t>2025-11-21</t>
        </is>
      </c>
      <c r="BY41" t="n">
        <v>1</v>
      </c>
      <c r="BZ41" t="inlineStr">
        <is>
          <t>⑤초호황</t>
        </is>
      </c>
      <c r="CA41" s="26" t="n">
        <v>522.8440000000001</v>
      </c>
      <c r="CB41" t="inlineStr">
        <is>
          <t>2028-11-30</t>
        </is>
      </c>
    </row>
    <row r="42">
      <c r="A42" t="inlineStr">
        <is>
          <t>20251127800598</t>
        </is>
      </c>
      <c r="B42" t="inlineStr">
        <is>
          <t>VLCC</t>
        </is>
      </c>
      <c r="C42" t="n">
        <v>2</v>
      </c>
      <c r="D42" t="inlineStr">
        <is>
          <t>초대형 원유운반선 2척</t>
        </is>
      </c>
      <c r="X42" s="26" t="n">
        <v>13.478</v>
      </c>
      <c r="Y42" s="26" t="n">
        <v>31.448</v>
      </c>
      <c r="Z42" s="26" t="n">
        <v>31.794</v>
      </c>
      <c r="AA42" s="26" t="n">
        <v>31.794</v>
      </c>
      <c r="AB42" s="26" t="n">
        <v>31.103</v>
      </c>
      <c r="AC42" s="26" t="n">
        <v>31.448</v>
      </c>
      <c r="AD42" s="26" t="n">
        <v>31.794</v>
      </c>
      <c r="AE42" s="26" t="n">
        <v>31.794</v>
      </c>
      <c r="AF42" s="26" t="n">
        <v>22.463</v>
      </c>
      <c r="BU42" s="35" t="n">
        <v>1</v>
      </c>
      <c r="BV42" s="16" t="n">
        <v>1472.04</v>
      </c>
      <c r="BW42" s="42" t="n">
        <v>1</v>
      </c>
      <c r="BX42" t="inlineStr">
        <is>
          <t>2024-02-22</t>
        </is>
      </c>
      <c r="BY42" t="n">
        <v>1</v>
      </c>
      <c r="BZ42" t="inlineStr">
        <is>
          <t>⑤초호황</t>
        </is>
      </c>
      <c r="CA42" s="26" t="n">
        <v>257.116</v>
      </c>
      <c r="CB42" t="inlineStr">
        <is>
          <t>2026-03-06</t>
        </is>
      </c>
    </row>
    <row r="43">
      <c r="A43" t="inlineStr">
        <is>
          <t>20251128800098</t>
        </is>
      </c>
      <c r="B43" t="inlineStr">
        <is>
          <t>CONT</t>
        </is>
      </c>
      <c r="C43" t="n">
        <v>4</v>
      </c>
      <c r="D43" t="inlineStr">
        <is>
          <t>컨테이너선 4척</t>
        </is>
      </c>
      <c r="AE43" s="26" t="n">
        <v>21.73</v>
      </c>
      <c r="AF43" s="26" t="n">
        <v>55.878</v>
      </c>
      <c r="AG43" s="26" t="n">
        <v>56.499</v>
      </c>
      <c r="AH43" s="26" t="n">
        <v>57.119</v>
      </c>
      <c r="AI43" s="26" t="n">
        <v>57.119</v>
      </c>
      <c r="AJ43" s="26" t="n">
        <v>55.878</v>
      </c>
      <c r="AK43" s="26" t="n">
        <v>56.499</v>
      </c>
      <c r="AL43" s="26" t="n">
        <v>57.119</v>
      </c>
      <c r="AM43" s="26" t="n">
        <v>57.119</v>
      </c>
      <c r="AN43" s="26" t="n">
        <v>56.499</v>
      </c>
      <c r="AO43" s="26" t="n">
        <v>56.499</v>
      </c>
      <c r="AP43" s="26" t="n">
        <v>57.119</v>
      </c>
      <c r="AQ43" s="26" t="n">
        <v>57.119</v>
      </c>
      <c r="AR43" s="26" t="n">
        <v>36.631</v>
      </c>
      <c r="BU43" s="35" t="n">
        <v>1</v>
      </c>
      <c r="BV43" s="16" t="n">
        <v>1472.04</v>
      </c>
      <c r="BW43" s="42" t="n">
        <v>1</v>
      </c>
      <c r="BX43" t="inlineStr">
        <is>
          <t>2025-11-27</t>
        </is>
      </c>
      <c r="BY43" t="n">
        <v>1</v>
      </c>
      <c r="BZ43" t="inlineStr">
        <is>
          <t>⑤초호황</t>
        </is>
      </c>
      <c r="CA43" s="26" t="n">
        <v>738.827</v>
      </c>
      <c r="CB43" t="inlineStr">
        <is>
          <t>2029-02-28</t>
        </is>
      </c>
    </row>
    <row r="44">
      <c r="A44" t="inlineStr">
        <is>
          <t>20251202800041</t>
        </is>
      </c>
      <c r="B44" t="inlineStr">
        <is>
          <t>VLCC</t>
        </is>
      </c>
      <c r="C44" t="n">
        <v>2</v>
      </c>
      <c r="D44" t="inlineStr">
        <is>
          <t>VLCC 2척</t>
        </is>
      </c>
      <c r="AE44" s="26" t="n">
        <v>7.123</v>
      </c>
      <c r="AF44" s="26" t="n">
        <v>20.681</v>
      </c>
      <c r="AG44" s="26" t="n">
        <v>20.911</v>
      </c>
      <c r="AH44" s="26" t="n">
        <v>21.141</v>
      </c>
      <c r="AI44" s="26" t="n">
        <v>21.141</v>
      </c>
      <c r="AJ44" s="26" t="n">
        <v>20.681</v>
      </c>
      <c r="AK44" s="26" t="n">
        <v>20.911</v>
      </c>
      <c r="AL44" s="26" t="n">
        <v>21.141</v>
      </c>
      <c r="AM44" s="26" t="n">
        <v>21.141</v>
      </c>
      <c r="AN44" s="26" t="n">
        <v>20.911</v>
      </c>
      <c r="AO44" s="26" t="n">
        <v>20.911</v>
      </c>
      <c r="AP44" s="26" t="n">
        <v>21.141</v>
      </c>
      <c r="AQ44" s="26" t="n">
        <v>21.138</v>
      </c>
      <c r="BU44" s="35" t="n">
        <v>1</v>
      </c>
      <c r="BV44" s="16" t="n">
        <v>1472.04</v>
      </c>
      <c r="BW44" s="42" t="n">
        <v>1</v>
      </c>
      <c r="BX44" t="inlineStr">
        <is>
          <t>2025-12-01</t>
        </is>
      </c>
      <c r="BY44" t="n">
        <v>1</v>
      </c>
      <c r="BZ44" t="inlineStr">
        <is>
          <t>⑤초호황</t>
        </is>
      </c>
      <c r="CA44" s="26" t="n">
        <v>258.972</v>
      </c>
      <c r="CB44" t="inlineStr">
        <is>
          <t>2028-12-31</t>
        </is>
      </c>
    </row>
    <row r="45">
      <c r="A45" t="inlineStr">
        <is>
          <t>20251219800049</t>
        </is>
      </c>
      <c r="B45" t="inlineStr">
        <is>
          <t>LNGC</t>
        </is>
      </c>
      <c r="C45" t="n">
        <v>7</v>
      </c>
      <c r="D45" t="inlineStr">
        <is>
          <t>LNGC 7척</t>
        </is>
      </c>
      <c r="AE45" s="26" t="n">
        <v>19.374</v>
      </c>
      <c r="AF45" s="26" t="n">
        <v>124.549</v>
      </c>
      <c r="AG45" s="26" t="n">
        <v>125.933</v>
      </c>
      <c r="AH45" s="26" t="n">
        <v>127.317</v>
      </c>
      <c r="AI45" s="26" t="n">
        <v>127.317</v>
      </c>
      <c r="AJ45" s="26" t="n">
        <v>124.549</v>
      </c>
      <c r="AK45" s="26" t="n">
        <v>125.933</v>
      </c>
      <c r="AL45" s="26" t="n">
        <v>127.317</v>
      </c>
      <c r="AM45" s="26" t="n">
        <v>127.317</v>
      </c>
      <c r="AN45" s="26" t="n">
        <v>125.933</v>
      </c>
      <c r="AO45" s="26" t="n">
        <v>125.933</v>
      </c>
      <c r="AP45" s="26" t="n">
        <v>127.317</v>
      </c>
      <c r="AQ45" s="26" t="n">
        <v>127.317</v>
      </c>
      <c r="AR45" s="26" t="n">
        <v>124.549</v>
      </c>
      <c r="AS45" s="26" t="n">
        <v>125.929</v>
      </c>
      <c r="BU45" s="35" t="n">
        <v>1</v>
      </c>
      <c r="BV45" s="16" t="n">
        <v>1472.04</v>
      </c>
      <c r="BW45" s="42" t="n">
        <v>1</v>
      </c>
      <c r="BX45" t="inlineStr">
        <is>
          <t>2025-12-18</t>
        </is>
      </c>
      <c r="BY45" t="n">
        <v>1</v>
      </c>
      <c r="BZ45" t="inlineStr">
        <is>
          <t>⑤초호황</t>
        </is>
      </c>
      <c r="CA45" s="26" t="n">
        <v>1786.584</v>
      </c>
      <c r="CB45" t="inlineStr">
        <is>
          <t>2029-06-30</t>
        </is>
      </c>
    </row>
    <row r="46">
      <c r="A46" t="inlineStr">
        <is>
          <t>20251223800047</t>
        </is>
      </c>
      <c r="B46" t="inlineStr">
        <is>
          <t>OFFSH</t>
        </is>
      </c>
      <c r="D46" t="inlineStr">
        <is>
          <t>신안우이해상풍력 발전소 설계·구매·시공(EPC) 계약</t>
        </is>
      </c>
      <c r="AE46" s="26" t="n">
        <v>10.662</v>
      </c>
      <c r="AF46" s="26" t="n">
        <v>95.959</v>
      </c>
      <c r="AG46" s="26" t="n">
        <v>97.02500000000001</v>
      </c>
      <c r="AH46" s="26" t="n">
        <v>98.09099999999999</v>
      </c>
      <c r="AI46" s="26" t="n">
        <v>98.09099999999999</v>
      </c>
      <c r="AJ46" s="26" t="n">
        <v>95.959</v>
      </c>
      <c r="AK46" s="26" t="n">
        <v>97.02500000000001</v>
      </c>
      <c r="AL46" s="26" t="n">
        <v>98.09099999999999</v>
      </c>
      <c r="AM46" s="26" t="n">
        <v>98.09099999999999</v>
      </c>
      <c r="AN46" s="26" t="n">
        <v>97.02500000000001</v>
      </c>
      <c r="AO46" s="26" t="n">
        <v>97.02500000000001</v>
      </c>
      <c r="AP46" s="26" t="n">
        <v>98.09099999999999</v>
      </c>
      <c r="AQ46" s="26" t="n">
        <v>98.09099999999999</v>
      </c>
      <c r="AR46" s="26" t="n">
        <v>95.959</v>
      </c>
      <c r="AS46" s="26" t="n">
        <v>85.29900000000001</v>
      </c>
      <c r="BU46" s="35" t="n">
        <v>1</v>
      </c>
      <c r="BV46" s="16" t="n">
        <v>1472.04</v>
      </c>
      <c r="BW46" s="42" t="n">
        <v>1</v>
      </c>
      <c r="BX46" t="inlineStr">
        <is>
          <t>2025-12-22</t>
        </is>
      </c>
      <c r="BY46" t="n">
        <v>1</v>
      </c>
      <c r="CA46" s="26" t="n">
        <v>1360.484</v>
      </c>
      <c r="CB46" t="inlineStr">
        <is>
          <t>2029-06-19</t>
        </is>
      </c>
    </row>
    <row r="47">
      <c r="A47" t="inlineStr">
        <is>
          <t>20260115800042</t>
        </is>
      </c>
      <c r="B47" t="inlineStr">
        <is>
          <t>VLCC</t>
        </is>
      </c>
      <c r="C47" t="n">
        <v>3</v>
      </c>
      <c r="D47" t="inlineStr">
        <is>
          <t>VLCC 3척</t>
        </is>
      </c>
      <c r="AF47" s="26" t="n">
        <v>24.981</v>
      </c>
      <c r="AG47" s="26" t="n">
        <v>29.523</v>
      </c>
      <c r="AH47" s="26" t="n">
        <v>29.847</v>
      </c>
      <c r="AI47" s="26" t="n">
        <v>29.847</v>
      </c>
      <c r="AJ47" s="26" t="n">
        <v>29.198</v>
      </c>
      <c r="AK47" s="26" t="n">
        <v>29.523</v>
      </c>
      <c r="AL47" s="26" t="n">
        <v>29.847</v>
      </c>
      <c r="AM47" s="26" t="n">
        <v>29.847</v>
      </c>
      <c r="AN47" s="26" t="n">
        <v>29.523</v>
      </c>
      <c r="AO47" s="26" t="n">
        <v>29.523</v>
      </c>
      <c r="AP47" s="26" t="n">
        <v>29.847</v>
      </c>
      <c r="AQ47" s="26" t="n">
        <v>29.847</v>
      </c>
      <c r="AR47" s="26" t="n">
        <v>29.198</v>
      </c>
      <c r="AS47" s="26" t="n">
        <v>9.731</v>
      </c>
      <c r="BU47" s="35" t="n">
        <v>1</v>
      </c>
      <c r="BV47" s="16" t="n">
        <v>1472.04</v>
      </c>
      <c r="BW47" s="42" t="n">
        <v>1</v>
      </c>
      <c r="BX47" t="inlineStr">
        <is>
          <t>2026-01-14</t>
        </is>
      </c>
      <c r="BY47" t="n">
        <v>1</v>
      </c>
      <c r="BZ47" t="inlineStr">
        <is>
          <t>⑤초호황</t>
        </is>
      </c>
      <c r="CA47" s="26" t="n">
        <v>390.282</v>
      </c>
      <c r="CB47" t="inlineStr">
        <is>
          <t>2029-04-30</t>
        </is>
      </c>
    </row>
    <row r="48">
      <c r="A48" t="inlineStr">
        <is>
          <t>20260121800115</t>
        </is>
      </c>
      <c r="B48" t="inlineStr">
        <is>
          <t>LNGC</t>
        </is>
      </c>
      <c r="C48" t="n">
        <v>2</v>
      </c>
      <c r="D48" t="inlineStr">
        <is>
          <t>LNGC 2척</t>
        </is>
      </c>
      <c r="AF48" s="26" t="n">
        <v>28.444</v>
      </c>
      <c r="AG48" s="26" t="n">
        <v>36.456</v>
      </c>
      <c r="AH48" s="26" t="n">
        <v>36.857</v>
      </c>
      <c r="AI48" s="26" t="n">
        <v>36.857</v>
      </c>
      <c r="AJ48" s="26" t="n">
        <v>36.055</v>
      </c>
      <c r="AK48" s="26" t="n">
        <v>36.456</v>
      </c>
      <c r="AL48" s="26" t="n">
        <v>36.857</v>
      </c>
      <c r="AM48" s="26" t="n">
        <v>36.857</v>
      </c>
      <c r="AN48" s="26" t="n">
        <v>36.456</v>
      </c>
      <c r="AO48" s="26" t="n">
        <v>36.456</v>
      </c>
      <c r="AP48" s="26" t="n">
        <v>36.857</v>
      </c>
      <c r="AQ48" s="26" t="n">
        <v>36.857</v>
      </c>
      <c r="AR48" s="26" t="n">
        <v>36.055</v>
      </c>
      <c r="AS48" s="26" t="n">
        <v>36.054</v>
      </c>
      <c r="BU48" s="35" t="n">
        <v>1</v>
      </c>
      <c r="BV48" s="16" t="n">
        <v>1472.04</v>
      </c>
      <c r="BW48" s="42" t="n">
        <v>1</v>
      </c>
      <c r="BX48" t="inlineStr">
        <is>
          <t>2026-01-20</t>
        </is>
      </c>
      <c r="BY48" t="n">
        <v>1</v>
      </c>
      <c r="BZ48" t="inlineStr">
        <is>
          <t>⑤초호황</t>
        </is>
      </c>
      <c r="CA48" s="26" t="n">
        <v>503.574</v>
      </c>
      <c r="CB48" t="inlineStr">
        <is>
          <t>2029-06-29</t>
        </is>
      </c>
    </row>
    <row r="49">
      <c r="A49" t="inlineStr">
        <is>
          <t>20260206800258</t>
        </is>
      </c>
      <c r="B49" t="inlineStr">
        <is>
          <t>OFFSH</t>
        </is>
      </c>
      <c r="C49" t="n">
        <v>1</v>
      </c>
      <c r="D49" t="inlineStr">
        <is>
          <t>해상풍력발전기 설치선 1척</t>
        </is>
      </c>
      <c r="AF49" s="26" t="n">
        <v>33.467</v>
      </c>
      <c r="AG49" s="26" t="n">
        <v>56.397</v>
      </c>
      <c r="AH49" s="26" t="n">
        <v>57.017</v>
      </c>
      <c r="AI49" s="26" t="n">
        <v>57.017</v>
      </c>
      <c r="AJ49" s="26" t="n">
        <v>55.778</v>
      </c>
      <c r="AK49" s="26" t="n">
        <v>56.397</v>
      </c>
      <c r="AL49" s="26" t="n">
        <v>57.017</v>
      </c>
      <c r="AM49" s="26" t="n">
        <v>57.017</v>
      </c>
      <c r="AN49" s="26" t="n">
        <v>56.397</v>
      </c>
      <c r="AO49" s="26" t="n">
        <v>37.805</v>
      </c>
      <c r="BU49" s="35" t="n">
        <v>1</v>
      </c>
      <c r="BV49" s="16" t="n">
        <v>1472.04</v>
      </c>
      <c r="BW49" s="42" t="n">
        <v>1</v>
      </c>
      <c r="BX49" t="inlineStr">
        <is>
          <t>2026-02-06</t>
        </is>
      </c>
      <c r="BY49" t="n">
        <v>1</v>
      </c>
      <c r="BZ49" t="inlineStr">
        <is>
          <t>⑤초호황</t>
        </is>
      </c>
      <c r="CA49" s="26" t="n">
        <v>524.309</v>
      </c>
      <c r="CB49" t="inlineStr">
        <is>
          <t>2028-05-31</t>
        </is>
      </c>
    </row>
    <row r="50">
      <c r="A50" t="inlineStr">
        <is>
          <t>20260220801130</t>
        </is>
      </c>
      <c r="B50" t="inlineStr">
        <is>
          <t>LNGC</t>
        </is>
      </c>
      <c r="C50" t="n">
        <v>1</v>
      </c>
      <c r="D50" t="inlineStr">
        <is>
          <t>LNG 운반선 1척</t>
        </is>
      </c>
      <c r="U50" s="26" t="n">
        <v>13.644</v>
      </c>
      <c r="V50" s="26" t="n">
        <v>14.768</v>
      </c>
      <c r="W50" s="26" t="n">
        <v>14.768</v>
      </c>
      <c r="X50" s="26" t="n">
        <v>14.607</v>
      </c>
      <c r="Y50" s="26" t="n">
        <v>14.607</v>
      </c>
      <c r="Z50" s="26" t="n">
        <v>14.768</v>
      </c>
      <c r="AA50" s="26" t="n">
        <v>14.768</v>
      </c>
      <c r="AB50" s="26" t="n">
        <v>14.447</v>
      </c>
      <c r="AC50" s="26" t="n">
        <v>14.607</v>
      </c>
      <c r="AD50" s="26" t="n">
        <v>14.768</v>
      </c>
      <c r="AE50" s="26" t="n">
        <v>14.768</v>
      </c>
      <c r="AF50" s="26" t="n">
        <v>14.447</v>
      </c>
      <c r="AG50" s="26" t="n">
        <v>14.607</v>
      </c>
      <c r="AH50" s="26" t="n">
        <v>14.768</v>
      </c>
      <c r="AI50" s="26" t="n">
        <v>14.768</v>
      </c>
      <c r="AJ50" s="26" t="n">
        <v>14.447</v>
      </c>
      <c r="AK50" s="26" t="n">
        <v>14.607</v>
      </c>
      <c r="AL50" s="26" t="n">
        <v>9.952</v>
      </c>
      <c r="BU50" s="35" t="n">
        <v>1</v>
      </c>
      <c r="BV50" s="16" t="n">
        <v>1472.04</v>
      </c>
      <c r="BW50" s="42" t="n">
        <v>1</v>
      </c>
      <c r="BX50" t="inlineStr">
        <is>
          <t>2023-04-07</t>
        </is>
      </c>
      <c r="BY50" t="n">
        <v>1</v>
      </c>
      <c r="BZ50" t="inlineStr">
        <is>
          <t>⑤초호황</t>
        </is>
      </c>
      <c r="CA50" s="26" t="n">
        <v>258.116</v>
      </c>
      <c r="CB50" t="inlineStr">
        <is>
          <t>2027-08-31</t>
        </is>
      </c>
    </row>
    <row r="51">
      <c r="A51" t="inlineStr">
        <is>
          <t>20260220801140</t>
        </is>
      </c>
      <c r="B51" t="inlineStr">
        <is>
          <t>LNGC</t>
        </is>
      </c>
      <c r="C51" t="n">
        <v>1</v>
      </c>
      <c r="D51" t="inlineStr">
        <is>
          <t>LNG 운반선 1척</t>
        </is>
      </c>
      <c r="T51" s="26" t="n">
        <v>8.15</v>
      </c>
      <c r="U51" s="26" t="n">
        <v>14.833</v>
      </c>
      <c r="V51" s="26" t="n">
        <v>14.996</v>
      </c>
      <c r="W51" s="26" t="n">
        <v>14.996</v>
      </c>
      <c r="X51" s="26" t="n">
        <v>14.833</v>
      </c>
      <c r="Y51" s="26" t="n">
        <v>14.833</v>
      </c>
      <c r="Z51" s="26" t="n">
        <v>14.996</v>
      </c>
      <c r="AA51" s="26" t="n">
        <v>14.996</v>
      </c>
      <c r="AB51" s="26" t="n">
        <v>14.67</v>
      </c>
      <c r="AC51" s="26" t="n">
        <v>14.833</v>
      </c>
      <c r="AD51" s="26" t="n">
        <v>14.996</v>
      </c>
      <c r="AE51" s="26" t="n">
        <v>14.996</v>
      </c>
      <c r="AF51" s="26" t="n">
        <v>14.67</v>
      </c>
      <c r="AG51" s="26" t="n">
        <v>14.833</v>
      </c>
      <c r="AH51" s="26" t="n">
        <v>14.996</v>
      </c>
      <c r="AI51" s="26" t="n">
        <v>14.996</v>
      </c>
      <c r="AJ51" s="26" t="n">
        <v>14.667</v>
      </c>
      <c r="BU51" s="35" t="n">
        <v>1</v>
      </c>
      <c r="BV51" s="16" t="n">
        <v>1472.04</v>
      </c>
      <c r="BW51" s="42" t="n">
        <v>1</v>
      </c>
      <c r="BX51" t="inlineStr">
        <is>
          <t>2023-02-10</t>
        </is>
      </c>
      <c r="BY51" t="n">
        <v>1</v>
      </c>
      <c r="BZ51" t="inlineStr">
        <is>
          <t>⑤초호황</t>
        </is>
      </c>
      <c r="CA51" s="26" t="n">
        <v>246.29</v>
      </c>
      <c r="CB51" t="inlineStr">
        <is>
          <t>2027-03-31</t>
        </is>
      </c>
    </row>
    <row r="52">
      <c r="A52" t="inlineStr">
        <is>
          <t>20260325800201</t>
        </is>
      </c>
      <c r="B52" t="inlineStr">
        <is>
          <t>VLCC</t>
        </is>
      </c>
      <c r="C52" t="n">
        <v>3</v>
      </c>
      <c r="D52" t="inlineStr">
        <is>
          <t>VLCC 3척</t>
        </is>
      </c>
      <c r="AF52" s="26" t="n">
        <v>2.69</v>
      </c>
      <c r="AG52" s="26" t="n">
        <v>30.603</v>
      </c>
      <c r="AH52" s="26" t="n">
        <v>30.939</v>
      </c>
      <c r="AI52" s="26" t="n">
        <v>30.939</v>
      </c>
      <c r="AJ52" s="26" t="n">
        <v>30.267</v>
      </c>
      <c r="AK52" s="26" t="n">
        <v>30.603</v>
      </c>
      <c r="AL52" s="26" t="n">
        <v>30.939</v>
      </c>
      <c r="AM52" s="26" t="n">
        <v>30.939</v>
      </c>
      <c r="AN52" s="26" t="n">
        <v>30.603</v>
      </c>
      <c r="AO52" s="26" t="n">
        <v>30.603</v>
      </c>
      <c r="AP52" s="26" t="n">
        <v>30.939</v>
      </c>
      <c r="AQ52" s="26" t="n">
        <v>30.939</v>
      </c>
      <c r="AR52" s="26" t="n">
        <v>30.267</v>
      </c>
      <c r="AS52" s="26" t="n">
        <v>30.266</v>
      </c>
      <c r="BU52" s="35" t="n">
        <v>1</v>
      </c>
      <c r="BV52" s="16" t="n">
        <v>1472.04</v>
      </c>
      <c r="BW52" s="42" t="n">
        <v>1</v>
      </c>
      <c r="BX52" t="inlineStr">
        <is>
          <t>2026-03-24</t>
        </is>
      </c>
      <c r="BY52" t="n">
        <v>1</v>
      </c>
      <c r="BZ52" t="inlineStr">
        <is>
          <t>⑤초호황</t>
        </is>
      </c>
      <c r="CA52" s="26" t="n">
        <v>401.536</v>
      </c>
      <c r="CB52" t="inlineStr">
        <is>
          <t>2029-06-29</t>
        </is>
      </c>
    </row>
    <row r="53">
      <c r="A53" t="inlineStr">
        <is>
          <t>20260331803529</t>
        </is>
      </c>
      <c r="B53" t="inlineStr">
        <is>
          <t>NAVAL</t>
        </is>
      </c>
      <c r="C53" t="n">
        <v>3</v>
      </c>
      <c r="D53" t="inlineStr">
        <is>
          <t>잠수함 3척</t>
        </is>
      </c>
      <c r="E53" s="26" t="n">
        <v>54.677</v>
      </c>
      <c r="F53" s="26" t="n">
        <v>62.879</v>
      </c>
      <c r="G53" s="26" t="n">
        <v>62.879</v>
      </c>
      <c r="H53" s="26" t="n">
        <v>62.195</v>
      </c>
      <c r="I53" s="26" t="n">
        <v>62.195</v>
      </c>
      <c r="J53" s="26" t="n">
        <v>62.879</v>
      </c>
      <c r="K53" s="26" t="n">
        <v>62.879</v>
      </c>
      <c r="L53" s="26" t="n">
        <v>61.512</v>
      </c>
      <c r="M53" s="26" t="n">
        <v>62.195</v>
      </c>
      <c r="N53" s="26" t="n">
        <v>62.879</v>
      </c>
      <c r="O53" s="26" t="n">
        <v>62.879</v>
      </c>
      <c r="P53" s="26" t="n">
        <v>61.512</v>
      </c>
      <c r="Q53" s="26" t="n">
        <v>62.195</v>
      </c>
      <c r="R53" s="26" t="n">
        <v>62.879</v>
      </c>
      <c r="S53" s="26" t="n">
        <v>62.879</v>
      </c>
      <c r="T53" s="26" t="n">
        <v>61.512</v>
      </c>
      <c r="U53" s="26" t="n">
        <v>4.102</v>
      </c>
      <c r="BU53" s="35" t="n">
        <v>1</v>
      </c>
      <c r="BV53" s="16" t="n">
        <v>1472.04</v>
      </c>
      <c r="BW53" s="42" t="n">
        <v>1</v>
      </c>
      <c r="BX53" t="inlineStr">
        <is>
          <t>2019-04-12</t>
        </is>
      </c>
      <c r="BY53" t="n">
        <v>1</v>
      </c>
      <c r="BZ53" t="inlineStr">
        <is>
          <t>③중마진</t>
        </is>
      </c>
      <c r="CA53" s="26" t="n">
        <v>995.127</v>
      </c>
      <c r="CB53" t="inlineStr">
        <is>
          <t>2023-04-06</t>
        </is>
      </c>
    </row>
    <row r="54">
      <c r="A54" t="inlineStr">
        <is>
          <t>20260408801023</t>
        </is>
      </c>
      <c r="B54" t="inlineStr">
        <is>
          <t>VLGC</t>
        </is>
      </c>
      <c r="C54" t="n">
        <v>1</v>
      </c>
      <c r="D54" t="inlineStr">
        <is>
          <t>LPG 운반선 1척</t>
        </is>
      </c>
      <c r="Y54" s="26" t="n">
        <v>8.473000000000001</v>
      </c>
      <c r="Z54" s="26" t="n">
        <v>14.173</v>
      </c>
      <c r="AA54" s="26" t="n">
        <v>14.173</v>
      </c>
      <c r="AB54" s="26" t="n">
        <v>13.865</v>
      </c>
      <c r="AC54" s="26" t="n">
        <v>14.019</v>
      </c>
      <c r="AD54" s="26" t="n">
        <v>14.173</v>
      </c>
      <c r="AE54" s="26" t="n">
        <v>14.173</v>
      </c>
      <c r="AF54" s="26" t="n">
        <v>13.865</v>
      </c>
      <c r="AG54" s="26" t="n">
        <v>14.019</v>
      </c>
      <c r="AH54" s="26" t="n">
        <v>7.706</v>
      </c>
      <c r="BU54" s="35" t="n">
        <v>1</v>
      </c>
      <c r="BV54" s="16" t="n">
        <v>1472.04</v>
      </c>
      <c r="BW54" s="42" t="n">
        <v>1</v>
      </c>
      <c r="BX54" t="inlineStr">
        <is>
          <t>2024-04-16</t>
        </is>
      </c>
      <c r="BY54" t="n">
        <v>1</v>
      </c>
      <c r="BZ54" t="inlineStr">
        <is>
          <t>⑤초호황</t>
        </is>
      </c>
      <c r="CA54" s="26" t="n">
        <v>128.639</v>
      </c>
      <c r="CB54" t="inlineStr">
        <is>
          <t>2026-08-19</t>
        </is>
      </c>
    </row>
    <row r="55">
      <c r="A55" t="inlineStr">
        <is>
          <t>20260409800345</t>
        </is>
      </c>
      <c r="B55" t="inlineStr">
        <is>
          <t>VLCC</t>
        </is>
      </c>
      <c r="C55" t="n">
        <v>2</v>
      </c>
      <c r="D55" t="inlineStr">
        <is>
          <t>VLCC 2척</t>
        </is>
      </c>
      <c r="AG55" s="26" t="n">
        <v>16.081</v>
      </c>
      <c r="AH55" s="26" t="n">
        <v>17.613</v>
      </c>
      <c r="AI55" s="26" t="n">
        <v>17.613</v>
      </c>
      <c r="AJ55" s="26" t="n">
        <v>17.23</v>
      </c>
      <c r="AK55" s="26" t="n">
        <v>17.421</v>
      </c>
      <c r="AL55" s="26" t="n">
        <v>17.613</v>
      </c>
      <c r="AM55" s="26" t="n">
        <v>17.613</v>
      </c>
      <c r="AN55" s="26" t="n">
        <v>17.421</v>
      </c>
      <c r="AO55" s="26" t="n">
        <v>17.421</v>
      </c>
      <c r="AP55" s="26" t="n">
        <v>17.613</v>
      </c>
      <c r="AQ55" s="26" t="n">
        <v>17.613</v>
      </c>
      <c r="AR55" s="26" t="n">
        <v>17.23</v>
      </c>
      <c r="AS55" s="26" t="n">
        <v>17.421</v>
      </c>
      <c r="AT55" s="26" t="n">
        <v>17.613</v>
      </c>
      <c r="AU55" s="26" t="n">
        <v>17.613</v>
      </c>
      <c r="AV55" s="26" t="n">
        <v>0.765</v>
      </c>
      <c r="BU55" s="35" t="n">
        <v>1</v>
      </c>
      <c r="BV55" s="16" t="n">
        <v>1472.04</v>
      </c>
      <c r="BW55" s="42" t="n">
        <v>1</v>
      </c>
      <c r="BX55" t="inlineStr">
        <is>
          <t>2026-04-08</t>
        </is>
      </c>
      <c r="BY55" t="n">
        <v>1</v>
      </c>
      <c r="BZ55" t="inlineStr">
        <is>
          <t>⑤초호황</t>
        </is>
      </c>
      <c r="CA55" s="26" t="n">
        <v>261.894</v>
      </c>
      <c r="CB55" t="inlineStr">
        <is>
          <t>2030-01-04</t>
        </is>
      </c>
    </row>
    <row r="56">
      <c r="A56" t="inlineStr">
        <is>
          <t>20260504800235</t>
        </is>
      </c>
      <c r="B56" t="inlineStr">
        <is>
          <t>VLGC</t>
        </is>
      </c>
      <c r="C56" t="n">
        <v>3</v>
      </c>
      <c r="D56" t="inlineStr">
        <is>
          <t>VLAC 3척</t>
        </is>
      </c>
      <c r="AG56" s="26" t="n">
        <v>15.437</v>
      </c>
      <c r="AH56" s="26" t="n">
        <v>22.907</v>
      </c>
      <c r="AI56" s="26" t="n">
        <v>22.907</v>
      </c>
      <c r="AJ56" s="26" t="n">
        <v>22.409</v>
      </c>
      <c r="AK56" s="26" t="n">
        <v>22.658</v>
      </c>
      <c r="AL56" s="26" t="n">
        <v>22.907</v>
      </c>
      <c r="AM56" s="26" t="n">
        <v>22.907</v>
      </c>
      <c r="AN56" s="26" t="n">
        <v>22.658</v>
      </c>
      <c r="AO56" s="26" t="n">
        <v>22.658</v>
      </c>
      <c r="AP56" s="26" t="n">
        <v>22.907</v>
      </c>
      <c r="AQ56" s="26" t="n">
        <v>22.907</v>
      </c>
      <c r="AR56" s="26" t="n">
        <v>22.409</v>
      </c>
      <c r="AS56" s="26" t="n">
        <v>22.658</v>
      </c>
      <c r="AT56" s="26" t="n">
        <v>22.907</v>
      </c>
      <c r="AU56" s="26" t="n">
        <v>22.907</v>
      </c>
      <c r="AV56" s="26" t="n">
        <v>3.729</v>
      </c>
      <c r="BU56" s="35" t="n">
        <v>1</v>
      </c>
      <c r="BV56" s="16" t="n">
        <v>1472.04</v>
      </c>
      <c r="BW56" s="42" t="n">
        <v>1</v>
      </c>
      <c r="BX56" t="inlineStr">
        <is>
          <t>2026-04-30</t>
        </is>
      </c>
      <c r="BY56" t="n">
        <v>1</v>
      </c>
      <c r="BZ56" t="inlineStr">
        <is>
          <t>⑤초호황</t>
        </is>
      </c>
      <c r="CA56" s="26" t="n">
        <v>337.872</v>
      </c>
      <c r="CB56" t="inlineStr">
        <is>
          <t>2030-01-15</t>
        </is>
      </c>
    </row>
    <row r="57">
      <c r="A57" t="inlineStr">
        <is>
          <t>20260511800175</t>
        </is>
      </c>
      <c r="B57" t="inlineStr">
        <is>
          <t>LNGC</t>
        </is>
      </c>
      <c r="C57" t="n">
        <v>1</v>
      </c>
      <c r="D57" t="inlineStr">
        <is>
          <t>LNGC 1척</t>
        </is>
      </c>
      <c r="AG57" s="26" t="n">
        <v>11.507</v>
      </c>
      <c r="AH57" s="26" t="n">
        <v>19.604</v>
      </c>
      <c r="AI57" s="26" t="n">
        <v>19.604</v>
      </c>
      <c r="AJ57" s="26" t="n">
        <v>19.178</v>
      </c>
      <c r="AK57" s="26" t="n">
        <v>19.391</v>
      </c>
      <c r="AL57" s="26" t="n">
        <v>19.604</v>
      </c>
      <c r="AM57" s="26" t="n">
        <v>19.604</v>
      </c>
      <c r="AN57" s="26" t="n">
        <v>19.391</v>
      </c>
      <c r="AO57" s="26" t="n">
        <v>19.391</v>
      </c>
      <c r="AP57" s="26" t="n">
        <v>19.604</v>
      </c>
      <c r="AQ57" s="26" t="n">
        <v>19.604</v>
      </c>
      <c r="AR57" s="26" t="n">
        <v>19.178</v>
      </c>
      <c r="AS57" s="26" t="n">
        <v>16.191</v>
      </c>
      <c r="BU57" s="35" t="n">
        <v>1</v>
      </c>
      <c r="BV57" s="16" t="n">
        <v>1472.04</v>
      </c>
      <c r="BW57" s="42" t="n">
        <v>1</v>
      </c>
      <c r="BX57" t="inlineStr">
        <is>
          <t>2026-05-08</t>
        </is>
      </c>
      <c r="BY57" t="n">
        <v>1</v>
      </c>
      <c r="BZ57" t="inlineStr">
        <is>
          <t>⑤초호황</t>
        </is>
      </c>
      <c r="CA57" s="26" t="n">
        <v>241.851</v>
      </c>
      <c r="CB57" t="inlineStr">
        <is>
          <t>2029-06-15</t>
        </is>
      </c>
    </row>
    <row r="58">
      <c r="A58" t="inlineStr">
        <is>
          <t>20260518800002</t>
        </is>
      </c>
      <c r="B58" t="inlineStr">
        <is>
          <t>LNGC</t>
        </is>
      </c>
      <c r="C58" t="n">
        <v>2</v>
      </c>
      <c r="D58" t="inlineStr">
        <is>
          <t>LNGC 2척</t>
        </is>
      </c>
      <c r="AG58" s="26" t="n">
        <v>22.101</v>
      </c>
      <c r="AH58" s="26" t="n">
        <v>43.262</v>
      </c>
      <c r="AI58" s="26" t="n">
        <v>43.262</v>
      </c>
      <c r="AJ58" s="26" t="n">
        <v>42.321</v>
      </c>
      <c r="AK58" s="26" t="n">
        <v>42.792</v>
      </c>
      <c r="AL58" s="26" t="n">
        <v>43.262</v>
      </c>
      <c r="AM58" s="26" t="n">
        <v>43.262</v>
      </c>
      <c r="AN58" s="26" t="n">
        <v>42.792</v>
      </c>
      <c r="AO58" s="26" t="n">
        <v>42.792</v>
      </c>
      <c r="AP58" s="26" t="n">
        <v>43.262</v>
      </c>
      <c r="AQ58" s="26" t="n">
        <v>43.262</v>
      </c>
      <c r="AR58" s="26" t="n">
        <v>42.321</v>
      </c>
      <c r="AS58" s="26" t="n">
        <v>21.16</v>
      </c>
      <c r="BU58" s="35" t="n">
        <v>1</v>
      </c>
      <c r="BV58" s="16" t="n">
        <v>1472.04</v>
      </c>
      <c r="BW58" s="42" t="n">
        <v>1</v>
      </c>
      <c r="BX58" t="inlineStr">
        <is>
          <t>2026-03-24</t>
        </is>
      </c>
      <c r="BY58" t="n">
        <v>1</v>
      </c>
      <c r="BZ58" t="inlineStr">
        <is>
          <t>⑤초호황</t>
        </is>
      </c>
      <c r="CA58" s="26" t="n">
        <v>515.851</v>
      </c>
      <c r="CB58" t="inlineStr">
        <is>
          <t>2029-05-15</t>
        </is>
      </c>
    </row>
    <row r="59">
      <c r="A59" t="inlineStr">
        <is>
          <t>20260528800927</t>
        </is>
      </c>
      <c r="B59" t="inlineStr">
        <is>
          <t>OTHER</t>
        </is>
      </c>
      <c r="D59" t="inlineStr">
        <is>
          <t>MCS Plant 구축 공사</t>
        </is>
      </c>
      <c r="AB59" s="26" t="n">
        <v>9.552</v>
      </c>
      <c r="AC59" s="26" t="n">
        <v>24.836</v>
      </c>
      <c r="AD59" s="26" t="n">
        <v>25.109</v>
      </c>
      <c r="AE59" s="26" t="n">
        <v>25.109</v>
      </c>
      <c r="AF59" s="26" t="n">
        <v>24.563</v>
      </c>
      <c r="AG59" s="26" t="n">
        <v>24.836</v>
      </c>
      <c r="AH59" s="26" t="n">
        <v>25.109</v>
      </c>
      <c r="AI59" s="26" t="n">
        <v>25.109</v>
      </c>
      <c r="AJ59" s="26" t="n">
        <v>24.563</v>
      </c>
      <c r="AK59" s="26" t="n">
        <v>24.836</v>
      </c>
      <c r="AL59" s="26" t="n">
        <v>25.109</v>
      </c>
      <c r="AM59" s="26" t="n">
        <v>25.109</v>
      </c>
      <c r="AN59" s="26" t="n">
        <v>8.459</v>
      </c>
      <c r="BU59" s="35" t="n">
        <v>0</v>
      </c>
      <c r="BV59" s="16" t="n">
        <v>1472.04</v>
      </c>
      <c r="BW59" s="42" t="n">
        <v>1</v>
      </c>
      <c r="BX59" t="inlineStr">
        <is>
          <t>2025-02-25</t>
        </is>
      </c>
      <c r="BY59" t="n">
        <v>1</v>
      </c>
      <c r="CA59" s="26" t="n">
        <v>292.299</v>
      </c>
      <c r="CB59" t="inlineStr">
        <is>
          <t>2028-01-31</t>
        </is>
      </c>
    </row>
    <row r="60">
      <c r="A60" t="inlineStr">
        <is>
          <t>20260529800152</t>
        </is>
      </c>
      <c r="B60" t="inlineStr">
        <is>
          <t>LNGC</t>
        </is>
      </c>
      <c r="C60" t="n">
        <v>1</v>
      </c>
      <c r="D60" t="inlineStr">
        <is>
          <t>LNGC 1척</t>
        </is>
      </c>
      <c r="AG60" s="26" t="n">
        <v>6.976</v>
      </c>
      <c r="AH60" s="26" t="n">
        <v>18.876</v>
      </c>
      <c r="AI60" s="26" t="n">
        <v>18.876</v>
      </c>
      <c r="AJ60" s="26" t="n">
        <v>18.465</v>
      </c>
      <c r="AK60" s="26" t="n">
        <v>18.671</v>
      </c>
      <c r="AL60" s="26" t="n">
        <v>18.876</v>
      </c>
      <c r="AM60" s="26" t="n">
        <v>18.876</v>
      </c>
      <c r="AN60" s="26" t="n">
        <v>18.671</v>
      </c>
      <c r="AO60" s="26" t="n">
        <v>18.671</v>
      </c>
      <c r="AP60" s="26" t="n">
        <v>18.876</v>
      </c>
      <c r="AQ60" s="26" t="n">
        <v>18.876</v>
      </c>
      <c r="AR60" s="26" t="n">
        <v>18.465</v>
      </c>
      <c r="AS60" s="26" t="n">
        <v>18.671</v>
      </c>
      <c r="AT60" s="26" t="n">
        <v>18.462</v>
      </c>
      <c r="BU60" s="35" t="n">
        <v>1</v>
      </c>
      <c r="BV60" s="16" t="n">
        <v>1472.04</v>
      </c>
      <c r="BW60" s="42" t="n">
        <v>1</v>
      </c>
      <c r="BX60" t="inlineStr">
        <is>
          <t>2026-05-28</t>
        </is>
      </c>
      <c r="BY60" t="n">
        <v>1</v>
      </c>
      <c r="BZ60" t="inlineStr">
        <is>
          <t>⑤초호황</t>
        </is>
      </c>
      <c r="CA60" s="26" t="n">
        <v>250.308</v>
      </c>
      <c r="CB60" t="inlineStr">
        <is>
          <t>2029-09-28</t>
        </is>
      </c>
    </row>
    <row r="61">
      <c r="A61" t="inlineStr">
        <is>
          <t>20260619800742</t>
        </is>
      </c>
      <c r="B61" t="inlineStr">
        <is>
          <t>VLCC</t>
        </is>
      </c>
      <c r="C61" t="n">
        <v>4</v>
      </c>
      <c r="D61" t="inlineStr">
        <is>
          <t>VLCC 4척</t>
        </is>
      </c>
      <c r="AG61" s="26" t="n">
        <v>4.753</v>
      </c>
      <c r="AH61" s="26" t="n">
        <v>36.443</v>
      </c>
      <c r="AI61" s="26" t="n">
        <v>36.443</v>
      </c>
      <c r="AJ61" s="26" t="n">
        <v>35.651</v>
      </c>
      <c r="AK61" s="26" t="n">
        <v>36.047</v>
      </c>
      <c r="AL61" s="26" t="n">
        <v>36.443</v>
      </c>
      <c r="AM61" s="26" t="n">
        <v>36.443</v>
      </c>
      <c r="AN61" s="26" t="n">
        <v>36.047</v>
      </c>
      <c r="AO61" s="26" t="n">
        <v>36.047</v>
      </c>
      <c r="AP61" s="26" t="n">
        <v>36.443</v>
      </c>
      <c r="AQ61" s="26" t="n">
        <v>36.443</v>
      </c>
      <c r="AR61" s="26" t="n">
        <v>35.651</v>
      </c>
      <c r="AS61" s="26" t="n">
        <v>36.047</v>
      </c>
      <c r="AT61" s="26" t="n">
        <v>36.443</v>
      </c>
      <c r="AU61" s="26" t="n">
        <v>36.443</v>
      </c>
      <c r="AV61" s="26" t="n">
        <v>20.991</v>
      </c>
      <c r="BU61" s="35" t="n">
        <v>1</v>
      </c>
      <c r="BV61" s="16" t="n">
        <v>1472.04</v>
      </c>
      <c r="BW61" s="42" t="n">
        <v>1</v>
      </c>
      <c r="BX61" t="inlineStr">
        <is>
          <t>2026-06-12</t>
        </is>
      </c>
      <c r="BY61" t="n">
        <v>1</v>
      </c>
      <c r="BZ61" t="inlineStr">
        <is>
          <t>⑤초호황</t>
        </is>
      </c>
      <c r="CA61" s="26" t="n">
        <v>532.778</v>
      </c>
      <c r="CB61" t="inlineStr">
        <is>
          <t>2030-02-22</t>
        </is>
      </c>
    </row>
    <row r="62">
      <c r="A62" t="inlineStr">
        <is>
          <t>20260715800071</t>
        </is>
      </c>
      <c r="B62" t="inlineStr">
        <is>
          <t>VLCC</t>
        </is>
      </c>
      <c r="C62" t="n">
        <v>2</v>
      </c>
      <c r="D62" t="inlineStr">
        <is>
          <t>VLCC 2척</t>
        </is>
      </c>
      <c r="AH62" s="26" t="n">
        <v>16.18</v>
      </c>
      <c r="AI62" s="26" t="n">
        <v>18.842</v>
      </c>
      <c r="AJ62" s="26" t="n">
        <v>18.432</v>
      </c>
      <c r="AK62" s="26" t="n">
        <v>18.637</v>
      </c>
      <c r="AL62" s="26" t="n">
        <v>18.842</v>
      </c>
      <c r="AM62" s="26" t="n">
        <v>18.842</v>
      </c>
      <c r="AN62" s="26" t="n">
        <v>18.637</v>
      </c>
      <c r="AO62" s="26" t="n">
        <v>18.637</v>
      </c>
      <c r="AP62" s="26" t="n">
        <v>18.842</v>
      </c>
      <c r="AQ62" s="26" t="n">
        <v>18.842</v>
      </c>
      <c r="AR62" s="26" t="n">
        <v>18.432</v>
      </c>
      <c r="AS62" s="26" t="n">
        <v>18.637</v>
      </c>
      <c r="AT62" s="26" t="n">
        <v>18.842</v>
      </c>
      <c r="AU62" s="26" t="n">
        <v>18.842</v>
      </c>
      <c r="AV62" s="26" t="n">
        <v>18.435</v>
      </c>
      <c r="BU62" s="35" t="n">
        <v>0</v>
      </c>
      <c r="BV62" s="16" t="n">
        <v>1472.04</v>
      </c>
      <c r="BW62" s="42" t="n">
        <v>1</v>
      </c>
      <c r="BX62" t="inlineStr">
        <is>
          <t>2026-07-14</t>
        </is>
      </c>
      <c r="BY62" t="n">
        <v>0</v>
      </c>
      <c r="BZ62" t="inlineStr">
        <is>
          <t>⑤초호황</t>
        </is>
      </c>
      <c r="CA62" s="26" t="n">
        <v>277.921</v>
      </c>
      <c r="CB62" t="inlineStr">
        <is>
          <t>2030-03-31</t>
        </is>
      </c>
    </row>
    <row r="63">
      <c r="A63" t="inlineStr">
        <is>
          <t>20260731800216</t>
        </is>
      </c>
      <c r="B63" t="inlineStr">
        <is>
          <t>NAVAL</t>
        </is>
      </c>
      <c r="D63" t="inlineStr">
        <is>
          <t>구축함(KDDX) 상세설계 및 선도함 건조 사업</t>
        </is>
      </c>
      <c r="AH63" s="26" t="n">
        <v>16.938</v>
      </c>
      <c r="AI63" s="26" t="n">
        <v>25.135</v>
      </c>
      <c r="AJ63" s="26" t="n">
        <v>24.588</v>
      </c>
      <c r="AK63" s="26" t="n">
        <v>24.861</v>
      </c>
      <c r="AL63" s="26" t="n">
        <v>25.135</v>
      </c>
      <c r="AM63" s="26" t="n">
        <v>25.135</v>
      </c>
      <c r="AN63" s="26" t="n">
        <v>24.861</v>
      </c>
      <c r="AO63" s="26" t="n">
        <v>24.861</v>
      </c>
      <c r="AP63" s="26" t="n">
        <v>25.135</v>
      </c>
      <c r="AQ63" s="26" t="n">
        <v>25.135</v>
      </c>
      <c r="AR63" s="26" t="n">
        <v>24.588</v>
      </c>
      <c r="AS63" s="26" t="n">
        <v>24.861</v>
      </c>
      <c r="AT63" s="26" t="n">
        <v>25.135</v>
      </c>
      <c r="AU63" s="26" t="n">
        <v>25.135</v>
      </c>
      <c r="AV63" s="26" t="n">
        <v>24.588</v>
      </c>
      <c r="AW63" s="26" t="n">
        <v>24.861</v>
      </c>
      <c r="AX63" s="26" t="n">
        <v>25.135</v>
      </c>
      <c r="AY63" s="26" t="n">
        <v>25.135</v>
      </c>
      <c r="AZ63" s="26" t="n">
        <v>24.588</v>
      </c>
      <c r="BA63" s="26" t="n">
        <v>24.861</v>
      </c>
      <c r="BB63" s="26" t="n">
        <v>25.135</v>
      </c>
      <c r="BC63" s="26" t="n">
        <v>25.135</v>
      </c>
      <c r="BD63" s="26" t="n">
        <v>24.861</v>
      </c>
      <c r="BE63" s="26" t="n">
        <v>24.859</v>
      </c>
      <c r="BU63" s="35" t="n">
        <v>0</v>
      </c>
      <c r="BV63" s="16" t="n">
        <v>1472.04</v>
      </c>
      <c r="BW63" s="42" t="n">
        <v>1</v>
      </c>
      <c r="BX63" t="inlineStr">
        <is>
          <t>2026-07-31</t>
        </is>
      </c>
      <c r="BY63" t="n">
        <v>0</v>
      </c>
      <c r="CA63" s="26" t="n">
        <v>590.6609999999999</v>
      </c>
      <c r="CB63" t="inlineStr">
        <is>
          <t>2032-06-30</t>
        </is>
      </c>
    </row>
    <row r="64">
      <c r="A64" t="inlineStr">
        <is>
          <t>20260803800706</t>
        </is>
      </c>
      <c r="B64" t="inlineStr">
        <is>
          <t>PC</t>
        </is>
      </c>
      <c r="D64" t="inlineStr">
        <is>
          <t>여수에코에너지 LNG 집단에너지 사업(490MW) EPC 계약</t>
        </is>
      </c>
      <c r="AH64" s="26" t="n">
        <v>19.514</v>
      </c>
      <c r="AI64" s="26" t="n">
        <v>30.429</v>
      </c>
      <c r="AJ64" s="26" t="n">
        <v>29.767</v>
      </c>
      <c r="AK64" s="26" t="n">
        <v>30.098</v>
      </c>
      <c r="AL64" s="26" t="n">
        <v>30.429</v>
      </c>
      <c r="AM64" s="26" t="n">
        <v>30.429</v>
      </c>
      <c r="AN64" s="26" t="n">
        <v>30.098</v>
      </c>
      <c r="AO64" s="26" t="n">
        <v>30.098</v>
      </c>
      <c r="AP64" s="26" t="n">
        <v>30.429</v>
      </c>
      <c r="AQ64" s="26" t="n">
        <v>30.429</v>
      </c>
      <c r="AR64" s="26" t="n">
        <v>29.767</v>
      </c>
      <c r="AS64" s="26" t="n">
        <v>30.098</v>
      </c>
      <c r="AT64" s="26" t="n">
        <v>20.503</v>
      </c>
      <c r="BU64" s="35" t="n">
        <v>0</v>
      </c>
      <c r="BV64" s="16" t="n">
        <v>1472.04</v>
      </c>
      <c r="BW64" s="42" t="n">
        <v>1</v>
      </c>
      <c r="BX64" t="inlineStr">
        <is>
          <t>2026-08-03</t>
        </is>
      </c>
      <c r="BY64" t="n">
        <v>0</v>
      </c>
      <c r="CA64" s="26" t="n">
        <v>372.088</v>
      </c>
      <c r="CB64" t="inlineStr">
        <is>
          <t>2029-08-31</t>
        </is>
      </c>
    </row>
    <row r="65">
      <c r="A65" t="inlineStr">
        <is>
          <t>20260825800541</t>
        </is>
      </c>
      <c r="B65" t="inlineStr">
        <is>
          <t>OTHER</t>
        </is>
      </c>
      <c r="C65" t="n">
        <v>1</v>
      </c>
      <c r="D65" t="inlineStr">
        <is>
          <t>FCS(필드제어설비) 1기</t>
        </is>
      </c>
      <c r="P65" s="26" t="n">
        <v>23.4</v>
      </c>
      <c r="Q65" s="26" t="n">
        <v>36.092</v>
      </c>
      <c r="R65" s="26" t="n">
        <v>36.489</v>
      </c>
      <c r="S65" s="26" t="n">
        <v>36.489</v>
      </c>
      <c r="T65" s="26" t="n">
        <v>35.695</v>
      </c>
      <c r="U65" s="26" t="n">
        <v>36.092</v>
      </c>
      <c r="V65" s="26" t="n">
        <v>36.489</v>
      </c>
      <c r="W65" s="26" t="n">
        <v>36.489</v>
      </c>
      <c r="X65" s="26" t="n">
        <v>36.092</v>
      </c>
      <c r="Y65" s="26" t="n">
        <v>36.092</v>
      </c>
      <c r="Z65" s="26" t="n">
        <v>36.489</v>
      </c>
      <c r="AA65" s="26" t="n">
        <v>36.489</v>
      </c>
      <c r="AB65" s="26" t="n">
        <v>35.695</v>
      </c>
      <c r="AC65" s="26" t="n">
        <v>36.092</v>
      </c>
      <c r="AD65" s="26" t="n">
        <v>36.489</v>
      </c>
      <c r="AE65" s="26" t="n">
        <v>36.489</v>
      </c>
      <c r="AF65" s="26" t="n">
        <v>35.695</v>
      </c>
      <c r="AG65" s="26" t="n">
        <v>36.092</v>
      </c>
      <c r="AH65" s="26" t="n">
        <v>36.489</v>
      </c>
      <c r="AI65" s="26" t="n">
        <v>36.489</v>
      </c>
      <c r="AJ65" s="26" t="n">
        <v>35.695</v>
      </c>
      <c r="AK65" s="26" t="n">
        <v>1.188</v>
      </c>
      <c r="BU65" s="35" t="n">
        <v>0</v>
      </c>
      <c r="BV65" s="16" t="n">
        <v>1472.04</v>
      </c>
      <c r="BW65" s="42" t="n">
        <v>1</v>
      </c>
      <c r="BX65" t="inlineStr">
        <is>
          <t>2022-01-10</t>
        </is>
      </c>
      <c r="BY65" t="n">
        <v>1</v>
      </c>
      <c r="CA65" s="26" t="n">
        <v>748.8099999999999</v>
      </c>
      <c r="CB65" t="inlineStr">
        <is>
          <t>2027-04-03</t>
        </is>
      </c>
    </row>
    <row r="66">
      <c r="A66" t="inlineStr">
        <is>
          <t>20260901800108</t>
        </is>
      </c>
      <c r="B66" t="inlineStr">
        <is>
          <t>VLGC</t>
        </is>
      </c>
      <c r="C66" t="n">
        <v>3</v>
      </c>
      <c r="D66" t="inlineStr">
        <is>
          <t>VLGC 3척</t>
        </is>
      </c>
      <c r="AH66" s="26" t="n">
        <v>6.697</v>
      </c>
      <c r="AI66" s="26" t="n">
        <v>19.874</v>
      </c>
      <c r="AJ66" s="26" t="n">
        <v>19.442</v>
      </c>
      <c r="AK66" s="26" t="n">
        <v>19.658</v>
      </c>
      <c r="AL66" s="26" t="n">
        <v>19.874</v>
      </c>
      <c r="AM66" s="26" t="n">
        <v>19.874</v>
      </c>
      <c r="AN66" s="26" t="n">
        <v>19.658</v>
      </c>
      <c r="AO66" s="26" t="n">
        <v>19.658</v>
      </c>
      <c r="AP66" s="26" t="n">
        <v>19.874</v>
      </c>
      <c r="AQ66" s="26" t="n">
        <v>19.874</v>
      </c>
      <c r="AR66" s="26" t="n">
        <v>19.442</v>
      </c>
      <c r="AS66" s="26" t="n">
        <v>19.658</v>
      </c>
      <c r="AT66" s="26" t="n">
        <v>19.874</v>
      </c>
      <c r="AU66" s="26" t="n">
        <v>19.874</v>
      </c>
      <c r="AV66" s="26" t="n">
        <v>19.442</v>
      </c>
      <c r="AW66" s="26" t="n">
        <v>19.658</v>
      </c>
      <c r="AX66" s="26" t="n">
        <v>19.874</v>
      </c>
      <c r="AY66" s="26" t="n">
        <v>14.47</v>
      </c>
      <c r="BU66" s="35" t="n">
        <v>0</v>
      </c>
      <c r="BV66" s="16" t="n">
        <v>1472.04</v>
      </c>
      <c r="BW66" s="42" t="n">
        <v>1</v>
      </c>
      <c r="BX66" t="inlineStr">
        <is>
          <t>2026-08-31</t>
        </is>
      </c>
      <c r="BY66" t="n">
        <v>0</v>
      </c>
      <c r="BZ66" t="inlineStr">
        <is>
          <t>⑤초호황</t>
        </is>
      </c>
      <c r="CA66" s="26" t="n">
        <v>336.775</v>
      </c>
      <c r="CB66" t="inlineStr">
        <is>
          <t>2030-12-06</t>
        </is>
      </c>
    </row>
    <row r="67">
      <c r="A67" t="inlineStr">
        <is>
          <t>20260903800002</t>
        </is>
      </c>
      <c r="B67" t="inlineStr">
        <is>
          <t>CONT</t>
        </is>
      </c>
      <c r="C67" t="n">
        <v>6</v>
      </c>
      <c r="D67" t="inlineStr">
        <is>
          <t>컨테이너선 6척</t>
        </is>
      </c>
      <c r="AH67" s="26" t="n">
        <v>28.212</v>
      </c>
      <c r="AI67" s="26" t="n">
        <v>89.499</v>
      </c>
      <c r="AJ67" s="26" t="n">
        <v>87.553</v>
      </c>
      <c r="AK67" s="26" t="n">
        <v>88.526</v>
      </c>
      <c r="AL67" s="26" t="n">
        <v>89.499</v>
      </c>
      <c r="AM67" s="26" t="n">
        <v>89.499</v>
      </c>
      <c r="AN67" s="26" t="n">
        <v>88.526</v>
      </c>
      <c r="AO67" s="26" t="n">
        <v>88.526</v>
      </c>
      <c r="AP67" s="26" t="n">
        <v>89.499</v>
      </c>
      <c r="AQ67" s="26" t="n">
        <v>89.499</v>
      </c>
      <c r="AR67" s="26" t="n">
        <v>87.553</v>
      </c>
      <c r="AS67" s="26" t="n">
        <v>88.526</v>
      </c>
      <c r="AT67" s="26" t="n">
        <v>89.497</v>
      </c>
      <c r="BU67" s="35" t="n">
        <v>0</v>
      </c>
      <c r="BV67" s="16" t="n">
        <v>1472.04</v>
      </c>
      <c r="BW67" s="42" t="n">
        <v>1</v>
      </c>
      <c r="BX67" t="inlineStr">
        <is>
          <t>2026-09-02</t>
        </is>
      </c>
      <c r="BY67" t="n">
        <v>0</v>
      </c>
      <c r="BZ67" t="inlineStr">
        <is>
          <t>⑤초호황</t>
        </is>
      </c>
      <c r="CA67" s="26" t="n">
        <v>1094.414</v>
      </c>
      <c r="CB67" t="inlineStr">
        <is>
          <t>2029-09-30</t>
        </is>
      </c>
    </row>
    <row r="68">
      <c r="A68" t="inlineStr">
        <is>
          <t>20260921800302</t>
        </is>
      </c>
      <c r="B68" t="inlineStr">
        <is>
          <t>VLCC</t>
        </is>
      </c>
      <c r="C68" t="n">
        <v>4</v>
      </c>
      <c r="D68" t="inlineStr">
        <is>
          <t>VLCC 4척</t>
        </is>
      </c>
      <c r="Y68" s="26" t="n">
        <v>1.799</v>
      </c>
      <c r="Z68" s="26" t="n">
        <v>55.175</v>
      </c>
      <c r="AA68" s="26" t="n">
        <v>55.175</v>
      </c>
      <c r="AB68" s="26" t="n">
        <v>53.976</v>
      </c>
      <c r="AC68" s="26" t="n">
        <v>54.576</v>
      </c>
      <c r="AD68" s="26" t="n">
        <v>55.175</v>
      </c>
      <c r="AE68" s="26" t="n">
        <v>55.175</v>
      </c>
      <c r="AF68" s="26" t="n">
        <v>53.976</v>
      </c>
      <c r="AG68" s="26" t="n">
        <v>54.576</v>
      </c>
      <c r="AH68" s="26" t="n">
        <v>55.175</v>
      </c>
      <c r="AI68" s="26" t="n">
        <v>29.987</v>
      </c>
      <c r="BU68" s="35" t="n">
        <v>1</v>
      </c>
      <c r="BV68" s="16" t="n">
        <v>1472.04</v>
      </c>
      <c r="BW68" s="42" t="n">
        <v>1</v>
      </c>
      <c r="BX68" t="inlineStr">
        <is>
          <t>2024-06-28</t>
        </is>
      </c>
      <c r="BY68" t="n">
        <v>1</v>
      </c>
      <c r="BZ68" t="inlineStr">
        <is>
          <t>⑤초호황</t>
        </is>
      </c>
      <c r="CA68" s="26" t="n">
        <v>524.765</v>
      </c>
      <c r="CB68" t="inlineStr">
        <is>
          <t>2026-11-19</t>
        </is>
      </c>
    </row>
    <row r="69">
      <c r="A69" t="inlineStr">
        <is>
          <t>20260928800496</t>
        </is>
      </c>
      <c r="B69" t="inlineStr">
        <is>
          <t>LNGC</t>
        </is>
      </c>
      <c r="C69" t="n">
        <v>2</v>
      </c>
      <c r="D69" t="inlineStr">
        <is>
          <t>LNGC 2척</t>
        </is>
      </c>
      <c r="AH69" s="26" t="n">
        <v>3.372</v>
      </c>
      <c r="AI69" s="26" t="n">
        <v>38.782</v>
      </c>
      <c r="AJ69" s="26" t="n">
        <v>37.939</v>
      </c>
      <c r="AK69" s="26" t="n">
        <v>38.36</v>
      </c>
      <c r="AL69" s="26" t="n">
        <v>38.782</v>
      </c>
      <c r="AM69" s="26" t="n">
        <v>38.782</v>
      </c>
      <c r="AN69" s="26" t="n">
        <v>38.36</v>
      </c>
      <c r="AO69" s="26" t="n">
        <v>38.36</v>
      </c>
      <c r="AP69" s="26" t="n">
        <v>38.782</v>
      </c>
      <c r="AQ69" s="26" t="n">
        <v>38.782</v>
      </c>
      <c r="AR69" s="26" t="n">
        <v>37.939</v>
      </c>
      <c r="AS69" s="26" t="n">
        <v>38.36</v>
      </c>
      <c r="AT69" s="26" t="n">
        <v>38.782</v>
      </c>
      <c r="AU69" s="26" t="n">
        <v>13.913</v>
      </c>
      <c r="BU69" s="35" t="n">
        <v>0</v>
      </c>
      <c r="BV69" s="16" t="n">
        <v>1472.04</v>
      </c>
      <c r="BW69" s="42" t="n">
        <v>1</v>
      </c>
      <c r="BX69" t="inlineStr">
        <is>
          <t>2026-09-23</t>
        </is>
      </c>
      <c r="BY69" t="n">
        <v>0</v>
      </c>
      <c r="BZ69" t="inlineStr">
        <is>
          <t>⑤초호황</t>
        </is>
      </c>
      <c r="CA69" s="26" t="n">
        <v>479.295</v>
      </c>
      <c r="CB69" t="inlineStr">
        <is>
          <t>2029-11-02</t>
        </is>
      </c>
    </row>
    <row r="71">
      <c r="A71" s="1" t="inlineStr">
        <is>
          <t>② 계약별 원화(백만원, 수식)</t>
        </is>
      </c>
      <c r="B71" s="1" t="inlineStr">
        <is>
          <t>type</t>
        </is>
      </c>
      <c r="C71" s="1" t="inlineStr">
        <is>
          <t>ships</t>
        </is>
      </c>
      <c r="D71" s="1" t="inlineStr">
        <is>
          <t>name</t>
        </is>
      </c>
    </row>
    <row r="72">
      <c r="A72" t="inlineStr">
        <is>
          <t>20250905800030</t>
        </is>
      </c>
      <c r="B72" t="inlineStr">
        <is>
          <t>LNGC</t>
        </is>
      </c>
      <c r="C72" t="n">
        <v>1</v>
      </c>
      <c r="D72" t="inlineStr">
        <is>
          <t>LNGC 1척</t>
        </is>
      </c>
      <c r="AD72" s="18">
        <f>IFERROR(AD36*$BU36*(1+($BW36-1)*AD$33)*($D$30*$BV36+(1-$D$30)*AD$32),"")</f>
        <v/>
      </c>
      <c r="AE72" s="18">
        <f>IFERROR(AE36*$BU36*(1+($BW36-1)*AE$33)*($D$30*$BV36+(1-$D$30)*AE$32),"")</f>
        <v/>
      </c>
      <c r="AF72" s="18">
        <f>IFERROR(AF36*$BU36*(1+($BW36-1)*AF$33)*($D$30*$BV36+(1-$D$30)*AF$32),"")</f>
        <v/>
      </c>
      <c r="AG72" s="18">
        <f>IFERROR(AG36*$BU36*(1+($BW36-1)*AG$33)*($D$30*$BV36+(1-$D$30)*AG$32),"")</f>
        <v/>
      </c>
      <c r="AH72" s="18">
        <f>IFERROR(AH36*$BU36*(1+($BW36-1)*AH$33)*($D$30*$BV36+(1-$D$30)*AH$32),"")</f>
        <v/>
      </c>
      <c r="AI72" s="18">
        <f>IFERROR(AI36*$BU36*(1+($BW36-1)*AI$33)*($D$30*$BV36+(1-$D$30)*AI$32),"")</f>
        <v/>
      </c>
      <c r="AJ72" s="18">
        <f>IFERROR(AJ36*$BU36*(1+($BW36-1)*AJ$33)*($D$30*$BV36+(1-$D$30)*AJ$32),"")</f>
        <v/>
      </c>
      <c r="AK72" s="18">
        <f>IFERROR(AK36*$BU36*(1+($BW36-1)*AK$33)*($D$30*$BV36+(1-$D$30)*AK$32),"")</f>
        <v/>
      </c>
      <c r="AL72" s="18">
        <f>IFERROR(AL36*$BU36*(1+($BW36-1)*AL$33)*($D$30*$BV36+(1-$D$30)*AL$32),"")</f>
        <v/>
      </c>
      <c r="AM72" s="18">
        <f>IFERROR(AM36*$BU36*(1+($BW36-1)*AM$33)*($D$30*$BV36+(1-$D$30)*AM$32),"")</f>
        <v/>
      </c>
      <c r="AN72" s="18">
        <f>IFERROR(AN36*$BU36*(1+($BW36-1)*AN$33)*($D$30*$BV36+(1-$D$30)*AN$32),"")</f>
        <v/>
      </c>
    </row>
    <row r="73">
      <c r="A73" t="inlineStr">
        <is>
          <t>20250915800507</t>
        </is>
      </c>
      <c r="B73" t="inlineStr">
        <is>
          <t>OFFSH</t>
        </is>
      </c>
      <c r="C73" t="n">
        <v>1</v>
      </c>
      <c r="D73" t="inlineStr">
        <is>
          <t>FPSO 1기</t>
        </is>
      </c>
      <c r="M73" s="18">
        <f>IFERROR(M37*$BU37*(1+($BW37-1)*M$33)*($D$30*$BV37+(1-$D$30)*M$32),"")</f>
        <v/>
      </c>
      <c r="N73" s="18">
        <f>IFERROR(N37*$BU37*(1+($BW37-1)*N$33)*($D$30*$BV37+(1-$D$30)*N$32),"")</f>
        <v/>
      </c>
      <c r="O73" s="18">
        <f>IFERROR(O37*$BU37*(1+($BW37-1)*O$33)*($D$30*$BV37+(1-$D$30)*O$32),"")</f>
        <v/>
      </c>
      <c r="P73" s="18">
        <f>IFERROR(P37*$BU37*(1+($BW37-1)*P$33)*($D$30*$BV37+(1-$D$30)*P$32),"")</f>
        <v/>
      </c>
      <c r="Q73" s="18">
        <f>IFERROR(Q37*$BU37*(1+($BW37-1)*Q$33)*($D$30*$BV37+(1-$D$30)*Q$32),"")</f>
        <v/>
      </c>
      <c r="R73" s="18">
        <f>IFERROR(R37*$BU37*(1+($BW37-1)*R$33)*($D$30*$BV37+(1-$D$30)*R$32),"")</f>
        <v/>
      </c>
      <c r="S73" s="18">
        <f>IFERROR(S37*$BU37*(1+($BW37-1)*S$33)*($D$30*$BV37+(1-$D$30)*S$32),"")</f>
        <v/>
      </c>
      <c r="T73" s="18">
        <f>IFERROR(T37*$BU37*(1+($BW37-1)*T$33)*($D$30*$BV37+(1-$D$30)*T$32),"")</f>
        <v/>
      </c>
      <c r="U73" s="18">
        <f>IFERROR(U37*$BU37*(1+($BW37-1)*U$33)*($D$30*$BV37+(1-$D$30)*U$32),"")</f>
        <v/>
      </c>
      <c r="V73" s="18">
        <f>IFERROR(V37*$BU37*(1+($BW37-1)*V$33)*($D$30*$BV37+(1-$D$30)*V$32),"")</f>
        <v/>
      </c>
      <c r="W73" s="18">
        <f>IFERROR(W37*$BU37*(1+($BW37-1)*W$33)*($D$30*$BV37+(1-$D$30)*W$32),"")</f>
        <v/>
      </c>
      <c r="X73" s="18">
        <f>IFERROR(X37*$BU37*(1+($BW37-1)*X$33)*($D$30*$BV37+(1-$D$30)*X$32),"")</f>
        <v/>
      </c>
      <c r="Y73" s="18">
        <f>IFERROR(Y37*$BU37*(1+($BW37-1)*Y$33)*($D$30*$BV37+(1-$D$30)*Y$32),"")</f>
        <v/>
      </c>
      <c r="Z73" s="18">
        <f>IFERROR(Z37*$BU37*(1+($BW37-1)*Z$33)*($D$30*$BV37+(1-$D$30)*Z$32),"")</f>
        <v/>
      </c>
      <c r="AA73" s="18">
        <f>IFERROR(AA37*$BU37*(1+($BW37-1)*AA$33)*($D$30*$BV37+(1-$D$30)*AA$32),"")</f>
        <v/>
      </c>
      <c r="AB73" s="18">
        <f>IFERROR(AB37*$BU37*(1+($BW37-1)*AB$33)*($D$30*$BV37+(1-$D$30)*AB$32),"")</f>
        <v/>
      </c>
      <c r="AC73" s="18">
        <f>IFERROR(AC37*$BU37*(1+($BW37-1)*AC$33)*($D$30*$BV37+(1-$D$30)*AC$32),"")</f>
        <v/>
      </c>
      <c r="AD73" s="18">
        <f>IFERROR(AD37*$BU37*(1+($BW37-1)*AD$33)*($D$30*$BV37+(1-$D$30)*AD$32),"")</f>
        <v/>
      </c>
      <c r="AE73" s="18">
        <f>IFERROR(AE37*$BU37*(1+($BW37-1)*AE$33)*($D$30*$BV37+(1-$D$30)*AE$32),"")</f>
        <v/>
      </c>
      <c r="AF73" s="18">
        <f>IFERROR(AF37*$BU37*(1+($BW37-1)*AF$33)*($D$30*$BV37+(1-$D$30)*AF$32),"")</f>
        <v/>
      </c>
      <c r="AG73" s="18">
        <f>IFERROR(AG37*$BU37*(1+($BW37-1)*AG$33)*($D$30*$BV37+(1-$D$30)*AG$32),"")</f>
        <v/>
      </c>
      <c r="AH73" s="18">
        <f>IFERROR(AH37*$BU37*(1+($BW37-1)*AH$33)*($D$30*$BV37+(1-$D$30)*AH$32),"")</f>
        <v/>
      </c>
      <c r="AI73" s="18">
        <f>IFERROR(AI37*$BU37*(1+($BW37-1)*AI$33)*($D$30*$BV37+(1-$D$30)*AI$32),"")</f>
        <v/>
      </c>
      <c r="AJ73" s="18">
        <f>IFERROR(AJ37*$BU37*(1+($BW37-1)*AJ$33)*($D$30*$BV37+(1-$D$30)*AJ$32),"")</f>
        <v/>
      </c>
    </row>
    <row r="74">
      <c r="A74" t="inlineStr">
        <is>
          <t>20250917800008</t>
        </is>
      </c>
      <c r="B74" t="inlineStr">
        <is>
          <t>CONT</t>
        </is>
      </c>
      <c r="C74" t="n">
        <v>7</v>
      </c>
      <c r="D74" t="inlineStr">
        <is>
          <t>컨테이너선 7척</t>
        </is>
      </c>
      <c r="AD74" s="18">
        <f>IFERROR(AD38*$BU38*(1+($BW38-1)*AD$33)*($D$30*$BV38+(1-$D$30)*AD$32),"")</f>
        <v/>
      </c>
      <c r="AE74" s="18">
        <f>IFERROR(AE38*$BU38*(1+($BW38-1)*AE$33)*($D$30*$BV38+(1-$D$30)*AE$32),"")</f>
        <v/>
      </c>
      <c r="AF74" s="18">
        <f>IFERROR(AF38*$BU38*(1+($BW38-1)*AF$33)*($D$30*$BV38+(1-$D$30)*AF$32),"")</f>
        <v/>
      </c>
      <c r="AG74" s="18">
        <f>IFERROR(AG38*$BU38*(1+($BW38-1)*AG$33)*($D$30*$BV38+(1-$D$30)*AG$32),"")</f>
        <v/>
      </c>
      <c r="AH74" s="18">
        <f>IFERROR(AH38*$BU38*(1+($BW38-1)*AH$33)*($D$30*$BV38+(1-$D$30)*AH$32),"")</f>
        <v/>
      </c>
      <c r="AI74" s="18">
        <f>IFERROR(AI38*$BU38*(1+($BW38-1)*AI$33)*($D$30*$BV38+(1-$D$30)*AI$32),"")</f>
        <v/>
      </c>
      <c r="AJ74" s="18">
        <f>IFERROR(AJ38*$BU38*(1+($BW38-1)*AJ$33)*($D$30*$BV38+(1-$D$30)*AJ$32),"")</f>
        <v/>
      </c>
      <c r="AK74" s="18">
        <f>IFERROR(AK38*$BU38*(1+($BW38-1)*AK$33)*($D$30*$BV38+(1-$D$30)*AK$32),"")</f>
        <v/>
      </c>
      <c r="AL74" s="18">
        <f>IFERROR(AL38*$BU38*(1+($BW38-1)*AL$33)*($D$30*$BV38+(1-$D$30)*AL$32),"")</f>
        <v/>
      </c>
      <c r="AM74" s="18">
        <f>IFERROR(AM38*$BU38*(1+($BW38-1)*AM$33)*($D$30*$BV38+(1-$D$30)*AM$32),"")</f>
        <v/>
      </c>
      <c r="AN74" s="18">
        <f>IFERROR(AN38*$BU38*(1+($BW38-1)*AN$33)*($D$30*$BV38+(1-$D$30)*AN$32),"")</f>
        <v/>
      </c>
      <c r="AO74" s="18">
        <f>IFERROR(AO38*$BU38*(1+($BW38-1)*AO$33)*($D$30*$BV38+(1-$D$30)*AO$32),"")</f>
        <v/>
      </c>
      <c r="AP74" s="18">
        <f>IFERROR(AP38*$BU38*(1+($BW38-1)*AP$33)*($D$30*$BV38+(1-$D$30)*AP$32),"")</f>
        <v/>
      </c>
      <c r="AQ74" s="18">
        <f>IFERROR(AQ38*$BU38*(1+($BW38-1)*AQ$33)*($D$30*$BV38+(1-$D$30)*AQ$32),"")</f>
        <v/>
      </c>
      <c r="AR74" s="18">
        <f>IFERROR(AR38*$BU38*(1+($BW38-1)*AR$33)*($D$30*$BV38+(1-$D$30)*AR$32),"")</f>
        <v/>
      </c>
      <c r="AS74" s="18">
        <f>IFERROR(AS38*$BU38*(1+($BW38-1)*AS$33)*($D$30*$BV38+(1-$D$30)*AS$32),"")</f>
        <v/>
      </c>
    </row>
    <row r="75">
      <c r="A75" t="inlineStr">
        <is>
          <t>20251001800067</t>
        </is>
      </c>
      <c r="B75" t="inlineStr">
        <is>
          <t>LNGC</t>
        </is>
      </c>
      <c r="C75" t="n">
        <v>1</v>
      </c>
      <c r="D75" t="inlineStr">
        <is>
          <t>LNGC 1척</t>
        </is>
      </c>
      <c r="AD75" s="18">
        <f>IFERROR(AD39*$BU39*(1+($BW39-1)*AD$33)*($D$30*$BV39+(1-$D$30)*AD$32),"")</f>
        <v/>
      </c>
      <c r="AE75" s="18">
        <f>IFERROR(AE39*$BU39*(1+($BW39-1)*AE$33)*($D$30*$BV39+(1-$D$30)*AE$32),"")</f>
        <v/>
      </c>
      <c r="AF75" s="18">
        <f>IFERROR(AF39*$BU39*(1+($BW39-1)*AF$33)*($D$30*$BV39+(1-$D$30)*AF$32),"")</f>
        <v/>
      </c>
      <c r="AG75" s="18">
        <f>IFERROR(AG39*$BU39*(1+($BW39-1)*AG$33)*($D$30*$BV39+(1-$D$30)*AG$32),"")</f>
        <v/>
      </c>
      <c r="AH75" s="18">
        <f>IFERROR(AH39*$BU39*(1+($BW39-1)*AH$33)*($D$30*$BV39+(1-$D$30)*AH$32),"")</f>
        <v/>
      </c>
      <c r="AI75" s="18">
        <f>IFERROR(AI39*$BU39*(1+($BW39-1)*AI$33)*($D$30*$BV39+(1-$D$30)*AI$32),"")</f>
        <v/>
      </c>
      <c r="AJ75" s="18">
        <f>IFERROR(AJ39*$BU39*(1+($BW39-1)*AJ$33)*($D$30*$BV39+(1-$D$30)*AJ$32),"")</f>
        <v/>
      </c>
      <c r="AK75" s="18">
        <f>IFERROR(AK39*$BU39*(1+($BW39-1)*AK$33)*($D$30*$BV39+(1-$D$30)*AK$32),"")</f>
        <v/>
      </c>
      <c r="AL75" s="18">
        <f>IFERROR(AL39*$BU39*(1+($BW39-1)*AL$33)*($D$30*$BV39+(1-$D$30)*AL$32),"")</f>
        <v/>
      </c>
      <c r="AM75" s="18">
        <f>IFERROR(AM39*$BU39*(1+($BW39-1)*AM$33)*($D$30*$BV39+(1-$D$30)*AM$32),"")</f>
        <v/>
      </c>
      <c r="AN75" s="18">
        <f>IFERROR(AN39*$BU39*(1+($BW39-1)*AN$33)*($D$30*$BV39+(1-$D$30)*AN$32),"")</f>
        <v/>
      </c>
      <c r="AO75" s="18">
        <f>IFERROR(AO39*$BU39*(1+($BW39-1)*AO$33)*($D$30*$BV39+(1-$D$30)*AO$32),"")</f>
        <v/>
      </c>
    </row>
    <row r="76">
      <c r="A76" t="inlineStr">
        <is>
          <t>20251010800428</t>
        </is>
      </c>
      <c r="B76" t="inlineStr">
        <is>
          <t>VLGC</t>
        </is>
      </c>
      <c r="C76" t="n">
        <v>1</v>
      </c>
      <c r="D76" t="inlineStr">
        <is>
          <t>초대형 LPG/AMMONIA 운반선 1척</t>
        </is>
      </c>
      <c r="W76" s="18">
        <f>IFERROR(W40*$BU40*(1+($BW40-1)*W$33)*($D$30*$BV40+(1-$D$30)*W$32),"")</f>
        <v/>
      </c>
      <c r="X76" s="18">
        <f>IFERROR(X40*$BU40*(1+($BW40-1)*X$33)*($D$30*$BV40+(1-$D$30)*X$32),"")</f>
        <v/>
      </c>
      <c r="Y76" s="18">
        <f>IFERROR(Y40*$BU40*(1+($BW40-1)*Y$33)*($D$30*$BV40+(1-$D$30)*Y$32),"")</f>
        <v/>
      </c>
      <c r="Z76" s="18">
        <f>IFERROR(Z40*$BU40*(1+($BW40-1)*Z$33)*($D$30*$BV40+(1-$D$30)*Z$32),"")</f>
        <v/>
      </c>
      <c r="AA76" s="18">
        <f>IFERROR(AA40*$BU40*(1+($BW40-1)*AA$33)*($D$30*$BV40+(1-$D$30)*AA$32),"")</f>
        <v/>
      </c>
      <c r="AB76" s="18">
        <f>IFERROR(AB40*$BU40*(1+($BW40-1)*AB$33)*($D$30*$BV40+(1-$D$30)*AB$32),"")</f>
        <v/>
      </c>
      <c r="AC76" s="18">
        <f>IFERROR(AC40*$BU40*(1+($BW40-1)*AC$33)*($D$30*$BV40+(1-$D$30)*AC$32),"")</f>
        <v/>
      </c>
      <c r="AD76" s="18">
        <f>IFERROR(AD40*$BU40*(1+($BW40-1)*AD$33)*($D$30*$BV40+(1-$D$30)*AD$32),"")</f>
        <v/>
      </c>
      <c r="AE76" s="18">
        <f>IFERROR(AE40*$BU40*(1+($BW40-1)*AE$33)*($D$30*$BV40+(1-$D$30)*AE$32),"")</f>
        <v/>
      </c>
      <c r="AF76" s="18">
        <f>IFERROR(AF40*$BU40*(1+($BW40-1)*AF$33)*($D$30*$BV40+(1-$D$30)*AF$32),"")</f>
        <v/>
      </c>
      <c r="AG76" s="18">
        <f>IFERROR(AG40*$BU40*(1+($BW40-1)*AG$33)*($D$30*$BV40+(1-$D$30)*AG$32),"")</f>
        <v/>
      </c>
    </row>
    <row r="77">
      <c r="A77" t="inlineStr">
        <is>
          <t>20251124800090</t>
        </is>
      </c>
      <c r="B77" t="inlineStr">
        <is>
          <t>VLCC</t>
        </is>
      </c>
      <c r="C77" t="n">
        <v>4</v>
      </c>
      <c r="D77" t="inlineStr">
        <is>
          <t>VLCC 4척</t>
        </is>
      </c>
      <c r="AE77" s="18">
        <f>IFERROR(AE41*$BU41*(1+($BW41-1)*AE$33)*($D$30*$BV41+(1-$D$30)*AE$32),"")</f>
        <v/>
      </c>
      <c r="AF77" s="18">
        <f>IFERROR(AF41*$BU41*(1+($BW41-1)*AF$33)*($D$30*$BV41+(1-$D$30)*AF$32),"")</f>
        <v/>
      </c>
      <c r="AG77" s="18">
        <f>IFERROR(AG41*$BU41*(1+($BW41-1)*AG$33)*($D$30*$BV41+(1-$D$30)*AG$32),"")</f>
        <v/>
      </c>
      <c r="AH77" s="18">
        <f>IFERROR(AH41*$BU41*(1+($BW41-1)*AH$33)*($D$30*$BV41+(1-$D$30)*AH$32),"")</f>
        <v/>
      </c>
      <c r="AI77" s="18">
        <f>IFERROR(AI41*$BU41*(1+($BW41-1)*AI$33)*($D$30*$BV41+(1-$D$30)*AI$32),"")</f>
        <v/>
      </c>
      <c r="AJ77" s="18">
        <f>IFERROR(AJ41*$BU41*(1+($BW41-1)*AJ$33)*($D$30*$BV41+(1-$D$30)*AJ$32),"")</f>
        <v/>
      </c>
      <c r="AK77" s="18">
        <f>IFERROR(AK41*$BU41*(1+($BW41-1)*AK$33)*($D$30*$BV41+(1-$D$30)*AK$32),"")</f>
        <v/>
      </c>
      <c r="AL77" s="18">
        <f>IFERROR(AL41*$BU41*(1+($BW41-1)*AL$33)*($D$30*$BV41+(1-$D$30)*AL$32),"")</f>
        <v/>
      </c>
      <c r="AM77" s="18">
        <f>IFERROR(AM41*$BU41*(1+($BW41-1)*AM$33)*($D$30*$BV41+(1-$D$30)*AM$32),"")</f>
        <v/>
      </c>
      <c r="AN77" s="18">
        <f>IFERROR(AN41*$BU41*(1+($BW41-1)*AN$33)*($D$30*$BV41+(1-$D$30)*AN$32),"")</f>
        <v/>
      </c>
      <c r="AO77" s="18">
        <f>IFERROR(AO41*$BU41*(1+($BW41-1)*AO$33)*($D$30*$BV41+(1-$D$30)*AO$32),"")</f>
        <v/>
      </c>
      <c r="AP77" s="18">
        <f>IFERROR(AP41*$BU41*(1+($BW41-1)*AP$33)*($D$30*$BV41+(1-$D$30)*AP$32),"")</f>
        <v/>
      </c>
      <c r="AQ77" s="18">
        <f>IFERROR(AQ41*$BU41*(1+($BW41-1)*AQ$33)*($D$30*$BV41+(1-$D$30)*AQ$32),"")</f>
        <v/>
      </c>
    </row>
    <row r="78">
      <c r="A78" t="inlineStr">
        <is>
          <t>20251127800598</t>
        </is>
      </c>
      <c r="B78" t="inlineStr">
        <is>
          <t>VLCC</t>
        </is>
      </c>
      <c r="C78" t="n">
        <v>2</v>
      </c>
      <c r="D78" t="inlineStr">
        <is>
          <t>초대형 원유운반선 2척</t>
        </is>
      </c>
      <c r="X78" s="18">
        <f>IFERROR(X42*$BU42*(1+($BW42-1)*X$33)*($D$30*$BV42+(1-$D$30)*X$32),"")</f>
        <v/>
      </c>
      <c r="Y78" s="18">
        <f>IFERROR(Y42*$BU42*(1+($BW42-1)*Y$33)*($D$30*$BV42+(1-$D$30)*Y$32),"")</f>
        <v/>
      </c>
      <c r="Z78" s="18">
        <f>IFERROR(Z42*$BU42*(1+($BW42-1)*Z$33)*($D$30*$BV42+(1-$D$30)*Z$32),"")</f>
        <v/>
      </c>
      <c r="AA78" s="18">
        <f>IFERROR(AA42*$BU42*(1+($BW42-1)*AA$33)*($D$30*$BV42+(1-$D$30)*AA$32),"")</f>
        <v/>
      </c>
      <c r="AB78" s="18">
        <f>IFERROR(AB42*$BU42*(1+($BW42-1)*AB$33)*($D$30*$BV42+(1-$D$30)*AB$32),"")</f>
        <v/>
      </c>
      <c r="AC78" s="18">
        <f>IFERROR(AC42*$BU42*(1+($BW42-1)*AC$33)*($D$30*$BV42+(1-$D$30)*AC$32),"")</f>
        <v/>
      </c>
      <c r="AD78" s="18">
        <f>IFERROR(AD42*$BU42*(1+($BW42-1)*AD$33)*($D$30*$BV42+(1-$D$30)*AD$32),"")</f>
        <v/>
      </c>
      <c r="AE78" s="18">
        <f>IFERROR(AE42*$BU42*(1+($BW42-1)*AE$33)*($D$30*$BV42+(1-$D$30)*AE$32),"")</f>
        <v/>
      </c>
      <c r="AF78" s="18">
        <f>IFERROR(AF42*$BU42*(1+($BW42-1)*AF$33)*($D$30*$BV42+(1-$D$30)*AF$32),"")</f>
        <v/>
      </c>
    </row>
    <row r="79">
      <c r="A79" t="inlineStr">
        <is>
          <t>20251128800098</t>
        </is>
      </c>
      <c r="B79" t="inlineStr">
        <is>
          <t>CONT</t>
        </is>
      </c>
      <c r="C79" t="n">
        <v>4</v>
      </c>
      <c r="D79" t="inlineStr">
        <is>
          <t>컨테이너선 4척</t>
        </is>
      </c>
      <c r="AE79" s="18">
        <f>IFERROR(AE43*$BU43*(1+($BW43-1)*AE$33)*($D$30*$BV43+(1-$D$30)*AE$32),"")</f>
        <v/>
      </c>
      <c r="AF79" s="18">
        <f>IFERROR(AF43*$BU43*(1+($BW43-1)*AF$33)*($D$30*$BV43+(1-$D$30)*AF$32),"")</f>
        <v/>
      </c>
      <c r="AG79" s="18">
        <f>IFERROR(AG43*$BU43*(1+($BW43-1)*AG$33)*($D$30*$BV43+(1-$D$30)*AG$32),"")</f>
        <v/>
      </c>
      <c r="AH79" s="18">
        <f>IFERROR(AH43*$BU43*(1+($BW43-1)*AH$33)*($D$30*$BV43+(1-$D$30)*AH$32),"")</f>
        <v/>
      </c>
      <c r="AI79" s="18">
        <f>IFERROR(AI43*$BU43*(1+($BW43-1)*AI$33)*($D$30*$BV43+(1-$D$30)*AI$32),"")</f>
        <v/>
      </c>
      <c r="AJ79" s="18">
        <f>IFERROR(AJ43*$BU43*(1+($BW43-1)*AJ$33)*($D$30*$BV43+(1-$D$30)*AJ$32),"")</f>
        <v/>
      </c>
      <c r="AK79" s="18">
        <f>IFERROR(AK43*$BU43*(1+($BW43-1)*AK$33)*($D$30*$BV43+(1-$D$30)*AK$32),"")</f>
        <v/>
      </c>
      <c r="AL79" s="18">
        <f>IFERROR(AL43*$BU43*(1+($BW43-1)*AL$33)*($D$30*$BV43+(1-$D$30)*AL$32),"")</f>
        <v/>
      </c>
      <c r="AM79" s="18">
        <f>IFERROR(AM43*$BU43*(1+($BW43-1)*AM$33)*($D$30*$BV43+(1-$D$30)*AM$32),"")</f>
        <v/>
      </c>
      <c r="AN79" s="18">
        <f>IFERROR(AN43*$BU43*(1+($BW43-1)*AN$33)*($D$30*$BV43+(1-$D$30)*AN$32),"")</f>
        <v/>
      </c>
      <c r="AO79" s="18">
        <f>IFERROR(AO43*$BU43*(1+($BW43-1)*AO$33)*($D$30*$BV43+(1-$D$30)*AO$32),"")</f>
        <v/>
      </c>
      <c r="AP79" s="18">
        <f>IFERROR(AP43*$BU43*(1+($BW43-1)*AP$33)*($D$30*$BV43+(1-$D$30)*AP$32),"")</f>
        <v/>
      </c>
      <c r="AQ79" s="18">
        <f>IFERROR(AQ43*$BU43*(1+($BW43-1)*AQ$33)*($D$30*$BV43+(1-$D$30)*AQ$32),"")</f>
        <v/>
      </c>
      <c r="AR79" s="18">
        <f>IFERROR(AR43*$BU43*(1+($BW43-1)*AR$33)*($D$30*$BV43+(1-$D$30)*AR$32),"")</f>
        <v/>
      </c>
    </row>
    <row r="80">
      <c r="A80" t="inlineStr">
        <is>
          <t>20251202800041</t>
        </is>
      </c>
      <c r="B80" t="inlineStr">
        <is>
          <t>VLCC</t>
        </is>
      </c>
      <c r="C80" t="n">
        <v>2</v>
      </c>
      <c r="D80" t="inlineStr">
        <is>
          <t>VLCC 2척</t>
        </is>
      </c>
      <c r="AE80" s="18">
        <f>IFERROR(AE44*$BU44*(1+($BW44-1)*AE$33)*($D$30*$BV44+(1-$D$30)*AE$32),"")</f>
        <v/>
      </c>
      <c r="AF80" s="18">
        <f>IFERROR(AF44*$BU44*(1+($BW44-1)*AF$33)*($D$30*$BV44+(1-$D$30)*AF$32),"")</f>
        <v/>
      </c>
      <c r="AG80" s="18">
        <f>IFERROR(AG44*$BU44*(1+($BW44-1)*AG$33)*($D$30*$BV44+(1-$D$30)*AG$32),"")</f>
        <v/>
      </c>
      <c r="AH80" s="18">
        <f>IFERROR(AH44*$BU44*(1+($BW44-1)*AH$33)*($D$30*$BV44+(1-$D$30)*AH$32),"")</f>
        <v/>
      </c>
      <c r="AI80" s="18">
        <f>IFERROR(AI44*$BU44*(1+($BW44-1)*AI$33)*($D$30*$BV44+(1-$D$30)*AI$32),"")</f>
        <v/>
      </c>
      <c r="AJ80" s="18">
        <f>IFERROR(AJ44*$BU44*(1+($BW44-1)*AJ$33)*($D$30*$BV44+(1-$D$30)*AJ$32),"")</f>
        <v/>
      </c>
      <c r="AK80" s="18">
        <f>IFERROR(AK44*$BU44*(1+($BW44-1)*AK$33)*($D$30*$BV44+(1-$D$30)*AK$32),"")</f>
        <v/>
      </c>
      <c r="AL80" s="18">
        <f>IFERROR(AL44*$BU44*(1+($BW44-1)*AL$33)*($D$30*$BV44+(1-$D$30)*AL$32),"")</f>
        <v/>
      </c>
      <c r="AM80" s="18">
        <f>IFERROR(AM44*$BU44*(1+($BW44-1)*AM$33)*($D$30*$BV44+(1-$D$30)*AM$32),"")</f>
        <v/>
      </c>
      <c r="AN80" s="18">
        <f>IFERROR(AN44*$BU44*(1+($BW44-1)*AN$33)*($D$30*$BV44+(1-$D$30)*AN$32),"")</f>
        <v/>
      </c>
      <c r="AO80" s="18">
        <f>IFERROR(AO44*$BU44*(1+($BW44-1)*AO$33)*($D$30*$BV44+(1-$D$30)*AO$32),"")</f>
        <v/>
      </c>
      <c r="AP80" s="18">
        <f>IFERROR(AP44*$BU44*(1+($BW44-1)*AP$33)*($D$30*$BV44+(1-$D$30)*AP$32),"")</f>
        <v/>
      </c>
      <c r="AQ80" s="18">
        <f>IFERROR(AQ44*$BU44*(1+($BW44-1)*AQ$33)*($D$30*$BV44+(1-$D$30)*AQ$32),"")</f>
        <v/>
      </c>
    </row>
    <row r="81">
      <c r="A81" t="inlineStr">
        <is>
          <t>20251219800049</t>
        </is>
      </c>
      <c r="B81" t="inlineStr">
        <is>
          <t>LNGC</t>
        </is>
      </c>
      <c r="C81" t="n">
        <v>7</v>
      </c>
      <c r="D81" t="inlineStr">
        <is>
          <t>LNGC 7척</t>
        </is>
      </c>
      <c r="AE81" s="18">
        <f>IFERROR(AE45*$BU45*(1+($BW45-1)*AE$33)*($D$30*$BV45+(1-$D$30)*AE$32),"")</f>
        <v/>
      </c>
      <c r="AF81" s="18">
        <f>IFERROR(AF45*$BU45*(1+($BW45-1)*AF$33)*($D$30*$BV45+(1-$D$30)*AF$32),"")</f>
        <v/>
      </c>
      <c r="AG81" s="18">
        <f>IFERROR(AG45*$BU45*(1+($BW45-1)*AG$33)*($D$30*$BV45+(1-$D$30)*AG$32),"")</f>
        <v/>
      </c>
      <c r="AH81" s="18">
        <f>IFERROR(AH45*$BU45*(1+($BW45-1)*AH$33)*($D$30*$BV45+(1-$D$30)*AH$32),"")</f>
        <v/>
      </c>
      <c r="AI81" s="18">
        <f>IFERROR(AI45*$BU45*(1+($BW45-1)*AI$33)*($D$30*$BV45+(1-$D$30)*AI$32),"")</f>
        <v/>
      </c>
      <c r="AJ81" s="18">
        <f>IFERROR(AJ45*$BU45*(1+($BW45-1)*AJ$33)*($D$30*$BV45+(1-$D$30)*AJ$32),"")</f>
        <v/>
      </c>
      <c r="AK81" s="18">
        <f>IFERROR(AK45*$BU45*(1+($BW45-1)*AK$33)*($D$30*$BV45+(1-$D$30)*AK$32),"")</f>
        <v/>
      </c>
      <c r="AL81" s="18">
        <f>IFERROR(AL45*$BU45*(1+($BW45-1)*AL$33)*($D$30*$BV45+(1-$D$30)*AL$32),"")</f>
        <v/>
      </c>
      <c r="AM81" s="18">
        <f>IFERROR(AM45*$BU45*(1+($BW45-1)*AM$33)*($D$30*$BV45+(1-$D$30)*AM$32),"")</f>
        <v/>
      </c>
      <c r="AN81" s="18">
        <f>IFERROR(AN45*$BU45*(1+($BW45-1)*AN$33)*($D$30*$BV45+(1-$D$30)*AN$32),"")</f>
        <v/>
      </c>
      <c r="AO81" s="18">
        <f>IFERROR(AO45*$BU45*(1+($BW45-1)*AO$33)*($D$30*$BV45+(1-$D$30)*AO$32),"")</f>
        <v/>
      </c>
      <c r="AP81" s="18">
        <f>IFERROR(AP45*$BU45*(1+($BW45-1)*AP$33)*($D$30*$BV45+(1-$D$30)*AP$32),"")</f>
        <v/>
      </c>
      <c r="AQ81" s="18">
        <f>IFERROR(AQ45*$BU45*(1+($BW45-1)*AQ$33)*($D$30*$BV45+(1-$D$30)*AQ$32),"")</f>
        <v/>
      </c>
      <c r="AR81" s="18">
        <f>IFERROR(AR45*$BU45*(1+($BW45-1)*AR$33)*($D$30*$BV45+(1-$D$30)*AR$32),"")</f>
        <v/>
      </c>
      <c r="AS81" s="18">
        <f>IFERROR(AS45*$BU45*(1+($BW45-1)*AS$33)*($D$30*$BV45+(1-$D$30)*AS$32),"")</f>
        <v/>
      </c>
    </row>
    <row r="82">
      <c r="A82" t="inlineStr">
        <is>
          <t>20251223800047</t>
        </is>
      </c>
      <c r="B82" t="inlineStr">
        <is>
          <t>OFFSH</t>
        </is>
      </c>
      <c r="D82" t="inlineStr">
        <is>
          <t>신안우이해상풍력 발전소 설계·구매·시공(EPC) 계약</t>
        </is>
      </c>
      <c r="AE82" s="18">
        <f>IFERROR(AE46*$BU46*(1+($BW46-1)*AE$33)*($D$30*$BV46+(1-$D$30)*AE$32),"")</f>
        <v/>
      </c>
      <c r="AF82" s="18">
        <f>IFERROR(AF46*$BU46*(1+($BW46-1)*AF$33)*($D$30*$BV46+(1-$D$30)*AF$32),"")</f>
        <v/>
      </c>
      <c r="AG82" s="18">
        <f>IFERROR(AG46*$BU46*(1+($BW46-1)*AG$33)*($D$30*$BV46+(1-$D$30)*AG$32),"")</f>
        <v/>
      </c>
      <c r="AH82" s="18">
        <f>IFERROR(AH46*$BU46*(1+($BW46-1)*AH$33)*($D$30*$BV46+(1-$D$30)*AH$32),"")</f>
        <v/>
      </c>
      <c r="AI82" s="18">
        <f>IFERROR(AI46*$BU46*(1+($BW46-1)*AI$33)*($D$30*$BV46+(1-$D$30)*AI$32),"")</f>
        <v/>
      </c>
      <c r="AJ82" s="18">
        <f>IFERROR(AJ46*$BU46*(1+($BW46-1)*AJ$33)*($D$30*$BV46+(1-$D$30)*AJ$32),"")</f>
        <v/>
      </c>
      <c r="AK82" s="18">
        <f>IFERROR(AK46*$BU46*(1+($BW46-1)*AK$33)*($D$30*$BV46+(1-$D$30)*AK$32),"")</f>
        <v/>
      </c>
      <c r="AL82" s="18">
        <f>IFERROR(AL46*$BU46*(1+($BW46-1)*AL$33)*($D$30*$BV46+(1-$D$30)*AL$32),"")</f>
        <v/>
      </c>
      <c r="AM82" s="18">
        <f>IFERROR(AM46*$BU46*(1+($BW46-1)*AM$33)*($D$30*$BV46+(1-$D$30)*AM$32),"")</f>
        <v/>
      </c>
      <c r="AN82" s="18">
        <f>IFERROR(AN46*$BU46*(1+($BW46-1)*AN$33)*($D$30*$BV46+(1-$D$30)*AN$32),"")</f>
        <v/>
      </c>
      <c r="AO82" s="18">
        <f>IFERROR(AO46*$BU46*(1+($BW46-1)*AO$33)*($D$30*$BV46+(1-$D$30)*AO$32),"")</f>
        <v/>
      </c>
      <c r="AP82" s="18">
        <f>IFERROR(AP46*$BU46*(1+($BW46-1)*AP$33)*($D$30*$BV46+(1-$D$30)*AP$32),"")</f>
        <v/>
      </c>
      <c r="AQ82" s="18">
        <f>IFERROR(AQ46*$BU46*(1+($BW46-1)*AQ$33)*($D$30*$BV46+(1-$D$30)*AQ$32),"")</f>
        <v/>
      </c>
      <c r="AR82" s="18">
        <f>IFERROR(AR46*$BU46*(1+($BW46-1)*AR$33)*($D$30*$BV46+(1-$D$30)*AR$32),"")</f>
        <v/>
      </c>
      <c r="AS82" s="18">
        <f>IFERROR(AS46*$BU46*(1+($BW46-1)*AS$33)*($D$30*$BV46+(1-$D$30)*AS$32),"")</f>
        <v/>
      </c>
    </row>
    <row r="83">
      <c r="A83" t="inlineStr">
        <is>
          <t>20260115800042</t>
        </is>
      </c>
      <c r="B83" t="inlineStr">
        <is>
          <t>VLCC</t>
        </is>
      </c>
      <c r="C83" t="n">
        <v>3</v>
      </c>
      <c r="D83" t="inlineStr">
        <is>
          <t>VLCC 3척</t>
        </is>
      </c>
      <c r="AF83" s="18">
        <f>IFERROR(AF47*$BU47*(1+($BW47-1)*AF$33)*($D$30*$BV47+(1-$D$30)*AF$32),"")</f>
        <v/>
      </c>
      <c r="AG83" s="18">
        <f>IFERROR(AG47*$BU47*(1+($BW47-1)*AG$33)*($D$30*$BV47+(1-$D$30)*AG$32),"")</f>
        <v/>
      </c>
      <c r="AH83" s="18">
        <f>IFERROR(AH47*$BU47*(1+($BW47-1)*AH$33)*($D$30*$BV47+(1-$D$30)*AH$32),"")</f>
        <v/>
      </c>
      <c r="AI83" s="18">
        <f>IFERROR(AI47*$BU47*(1+($BW47-1)*AI$33)*($D$30*$BV47+(1-$D$30)*AI$32),"")</f>
        <v/>
      </c>
      <c r="AJ83" s="18">
        <f>IFERROR(AJ47*$BU47*(1+($BW47-1)*AJ$33)*($D$30*$BV47+(1-$D$30)*AJ$32),"")</f>
        <v/>
      </c>
      <c r="AK83" s="18">
        <f>IFERROR(AK47*$BU47*(1+($BW47-1)*AK$33)*($D$30*$BV47+(1-$D$30)*AK$32),"")</f>
        <v/>
      </c>
      <c r="AL83" s="18">
        <f>IFERROR(AL47*$BU47*(1+($BW47-1)*AL$33)*($D$30*$BV47+(1-$D$30)*AL$32),"")</f>
        <v/>
      </c>
      <c r="AM83" s="18">
        <f>IFERROR(AM47*$BU47*(1+($BW47-1)*AM$33)*($D$30*$BV47+(1-$D$30)*AM$32),"")</f>
        <v/>
      </c>
      <c r="AN83" s="18">
        <f>IFERROR(AN47*$BU47*(1+($BW47-1)*AN$33)*($D$30*$BV47+(1-$D$30)*AN$32),"")</f>
        <v/>
      </c>
      <c r="AO83" s="18">
        <f>IFERROR(AO47*$BU47*(1+($BW47-1)*AO$33)*($D$30*$BV47+(1-$D$30)*AO$32),"")</f>
        <v/>
      </c>
      <c r="AP83" s="18">
        <f>IFERROR(AP47*$BU47*(1+($BW47-1)*AP$33)*($D$30*$BV47+(1-$D$30)*AP$32),"")</f>
        <v/>
      </c>
      <c r="AQ83" s="18">
        <f>IFERROR(AQ47*$BU47*(1+($BW47-1)*AQ$33)*($D$30*$BV47+(1-$D$30)*AQ$32),"")</f>
        <v/>
      </c>
      <c r="AR83" s="18">
        <f>IFERROR(AR47*$BU47*(1+($BW47-1)*AR$33)*($D$30*$BV47+(1-$D$30)*AR$32),"")</f>
        <v/>
      </c>
      <c r="AS83" s="18">
        <f>IFERROR(AS47*$BU47*(1+($BW47-1)*AS$33)*($D$30*$BV47+(1-$D$30)*AS$32),"")</f>
        <v/>
      </c>
    </row>
    <row r="84">
      <c r="A84" t="inlineStr">
        <is>
          <t>20260121800115</t>
        </is>
      </c>
      <c r="B84" t="inlineStr">
        <is>
          <t>LNGC</t>
        </is>
      </c>
      <c r="C84" t="n">
        <v>2</v>
      </c>
      <c r="D84" t="inlineStr">
        <is>
          <t>LNGC 2척</t>
        </is>
      </c>
      <c r="AF84" s="18">
        <f>IFERROR(AF48*$BU48*(1+($BW48-1)*AF$33)*($D$30*$BV48+(1-$D$30)*AF$32),"")</f>
        <v/>
      </c>
      <c r="AG84" s="18">
        <f>IFERROR(AG48*$BU48*(1+($BW48-1)*AG$33)*($D$30*$BV48+(1-$D$30)*AG$32),"")</f>
        <v/>
      </c>
      <c r="AH84" s="18">
        <f>IFERROR(AH48*$BU48*(1+($BW48-1)*AH$33)*($D$30*$BV48+(1-$D$30)*AH$32),"")</f>
        <v/>
      </c>
      <c r="AI84" s="18">
        <f>IFERROR(AI48*$BU48*(1+($BW48-1)*AI$33)*($D$30*$BV48+(1-$D$30)*AI$32),"")</f>
        <v/>
      </c>
      <c r="AJ84" s="18">
        <f>IFERROR(AJ48*$BU48*(1+($BW48-1)*AJ$33)*($D$30*$BV48+(1-$D$30)*AJ$32),"")</f>
        <v/>
      </c>
      <c r="AK84" s="18">
        <f>IFERROR(AK48*$BU48*(1+($BW48-1)*AK$33)*($D$30*$BV48+(1-$D$30)*AK$32),"")</f>
        <v/>
      </c>
      <c r="AL84" s="18">
        <f>IFERROR(AL48*$BU48*(1+($BW48-1)*AL$33)*($D$30*$BV48+(1-$D$30)*AL$32),"")</f>
        <v/>
      </c>
      <c r="AM84" s="18">
        <f>IFERROR(AM48*$BU48*(1+($BW48-1)*AM$33)*($D$30*$BV48+(1-$D$30)*AM$32),"")</f>
        <v/>
      </c>
      <c r="AN84" s="18">
        <f>IFERROR(AN48*$BU48*(1+($BW48-1)*AN$33)*($D$30*$BV48+(1-$D$30)*AN$32),"")</f>
        <v/>
      </c>
      <c r="AO84" s="18">
        <f>IFERROR(AO48*$BU48*(1+($BW48-1)*AO$33)*($D$30*$BV48+(1-$D$30)*AO$32),"")</f>
        <v/>
      </c>
      <c r="AP84" s="18">
        <f>IFERROR(AP48*$BU48*(1+($BW48-1)*AP$33)*($D$30*$BV48+(1-$D$30)*AP$32),"")</f>
        <v/>
      </c>
      <c r="AQ84" s="18">
        <f>IFERROR(AQ48*$BU48*(1+($BW48-1)*AQ$33)*($D$30*$BV48+(1-$D$30)*AQ$32),"")</f>
        <v/>
      </c>
      <c r="AR84" s="18">
        <f>IFERROR(AR48*$BU48*(1+($BW48-1)*AR$33)*($D$30*$BV48+(1-$D$30)*AR$32),"")</f>
        <v/>
      </c>
      <c r="AS84" s="18">
        <f>IFERROR(AS48*$BU48*(1+($BW48-1)*AS$33)*($D$30*$BV48+(1-$D$30)*AS$32),"")</f>
        <v/>
      </c>
    </row>
    <row r="85">
      <c r="A85" t="inlineStr">
        <is>
          <t>20260206800258</t>
        </is>
      </c>
      <c r="B85" t="inlineStr">
        <is>
          <t>OFFSH</t>
        </is>
      </c>
      <c r="C85" t="n">
        <v>1</v>
      </c>
      <c r="D85" t="inlineStr">
        <is>
          <t>해상풍력발전기 설치선 1척</t>
        </is>
      </c>
      <c r="AF85" s="18">
        <f>IFERROR(AF49*$BU49*(1+($BW49-1)*AF$33)*($D$30*$BV49+(1-$D$30)*AF$32),"")</f>
        <v/>
      </c>
      <c r="AG85" s="18">
        <f>IFERROR(AG49*$BU49*(1+($BW49-1)*AG$33)*($D$30*$BV49+(1-$D$30)*AG$32),"")</f>
        <v/>
      </c>
      <c r="AH85" s="18">
        <f>IFERROR(AH49*$BU49*(1+($BW49-1)*AH$33)*($D$30*$BV49+(1-$D$30)*AH$32),"")</f>
        <v/>
      </c>
      <c r="AI85" s="18">
        <f>IFERROR(AI49*$BU49*(1+($BW49-1)*AI$33)*($D$30*$BV49+(1-$D$30)*AI$32),"")</f>
        <v/>
      </c>
      <c r="AJ85" s="18">
        <f>IFERROR(AJ49*$BU49*(1+($BW49-1)*AJ$33)*($D$30*$BV49+(1-$D$30)*AJ$32),"")</f>
        <v/>
      </c>
      <c r="AK85" s="18">
        <f>IFERROR(AK49*$BU49*(1+($BW49-1)*AK$33)*($D$30*$BV49+(1-$D$30)*AK$32),"")</f>
        <v/>
      </c>
      <c r="AL85" s="18">
        <f>IFERROR(AL49*$BU49*(1+($BW49-1)*AL$33)*($D$30*$BV49+(1-$D$30)*AL$32),"")</f>
        <v/>
      </c>
      <c r="AM85" s="18">
        <f>IFERROR(AM49*$BU49*(1+($BW49-1)*AM$33)*($D$30*$BV49+(1-$D$30)*AM$32),"")</f>
        <v/>
      </c>
      <c r="AN85" s="18">
        <f>IFERROR(AN49*$BU49*(1+($BW49-1)*AN$33)*($D$30*$BV49+(1-$D$30)*AN$32),"")</f>
        <v/>
      </c>
      <c r="AO85" s="18">
        <f>IFERROR(AO49*$BU49*(1+($BW49-1)*AO$33)*($D$30*$BV49+(1-$D$30)*AO$32),"")</f>
        <v/>
      </c>
    </row>
    <row r="86">
      <c r="A86" t="inlineStr">
        <is>
          <t>20260220801130</t>
        </is>
      </c>
      <c r="B86" t="inlineStr">
        <is>
          <t>LNGC</t>
        </is>
      </c>
      <c r="C86" t="n">
        <v>1</v>
      </c>
      <c r="D86" t="inlineStr">
        <is>
          <t>LNG 운반선 1척</t>
        </is>
      </c>
      <c r="U86" s="18">
        <f>IFERROR(U50*$BU50*(1+($BW50-1)*U$33)*($D$30*$BV50+(1-$D$30)*U$32),"")</f>
        <v/>
      </c>
      <c r="V86" s="18">
        <f>IFERROR(V50*$BU50*(1+($BW50-1)*V$33)*($D$30*$BV50+(1-$D$30)*V$32),"")</f>
        <v/>
      </c>
      <c r="W86" s="18">
        <f>IFERROR(W50*$BU50*(1+($BW50-1)*W$33)*($D$30*$BV50+(1-$D$30)*W$32),"")</f>
        <v/>
      </c>
      <c r="X86" s="18">
        <f>IFERROR(X50*$BU50*(1+($BW50-1)*X$33)*($D$30*$BV50+(1-$D$30)*X$32),"")</f>
        <v/>
      </c>
      <c r="Y86" s="18">
        <f>IFERROR(Y50*$BU50*(1+($BW50-1)*Y$33)*($D$30*$BV50+(1-$D$30)*Y$32),"")</f>
        <v/>
      </c>
      <c r="Z86" s="18">
        <f>IFERROR(Z50*$BU50*(1+($BW50-1)*Z$33)*($D$30*$BV50+(1-$D$30)*Z$32),"")</f>
        <v/>
      </c>
      <c r="AA86" s="18">
        <f>IFERROR(AA50*$BU50*(1+($BW50-1)*AA$33)*($D$30*$BV50+(1-$D$30)*AA$32),"")</f>
        <v/>
      </c>
      <c r="AB86" s="18">
        <f>IFERROR(AB50*$BU50*(1+($BW50-1)*AB$33)*($D$30*$BV50+(1-$D$30)*AB$32),"")</f>
        <v/>
      </c>
      <c r="AC86" s="18">
        <f>IFERROR(AC50*$BU50*(1+($BW50-1)*AC$33)*($D$30*$BV50+(1-$D$30)*AC$32),"")</f>
        <v/>
      </c>
      <c r="AD86" s="18">
        <f>IFERROR(AD50*$BU50*(1+($BW50-1)*AD$33)*($D$30*$BV50+(1-$D$30)*AD$32),"")</f>
        <v/>
      </c>
      <c r="AE86" s="18">
        <f>IFERROR(AE50*$BU50*(1+($BW50-1)*AE$33)*($D$30*$BV50+(1-$D$30)*AE$32),"")</f>
        <v/>
      </c>
      <c r="AF86" s="18">
        <f>IFERROR(AF50*$BU50*(1+($BW50-1)*AF$33)*($D$30*$BV50+(1-$D$30)*AF$32),"")</f>
        <v/>
      </c>
      <c r="AG86" s="18">
        <f>IFERROR(AG50*$BU50*(1+($BW50-1)*AG$33)*($D$30*$BV50+(1-$D$30)*AG$32),"")</f>
        <v/>
      </c>
      <c r="AH86" s="18">
        <f>IFERROR(AH50*$BU50*(1+($BW50-1)*AH$33)*($D$30*$BV50+(1-$D$30)*AH$32),"")</f>
        <v/>
      </c>
      <c r="AI86" s="18">
        <f>IFERROR(AI50*$BU50*(1+($BW50-1)*AI$33)*($D$30*$BV50+(1-$D$30)*AI$32),"")</f>
        <v/>
      </c>
      <c r="AJ86" s="18">
        <f>IFERROR(AJ50*$BU50*(1+($BW50-1)*AJ$33)*($D$30*$BV50+(1-$D$30)*AJ$32),"")</f>
        <v/>
      </c>
      <c r="AK86" s="18">
        <f>IFERROR(AK50*$BU50*(1+($BW50-1)*AK$33)*($D$30*$BV50+(1-$D$30)*AK$32),"")</f>
        <v/>
      </c>
      <c r="AL86" s="18">
        <f>IFERROR(AL50*$BU50*(1+($BW50-1)*AL$33)*($D$30*$BV50+(1-$D$30)*AL$32),"")</f>
        <v/>
      </c>
    </row>
    <row r="87">
      <c r="A87" t="inlineStr">
        <is>
          <t>20260220801140</t>
        </is>
      </c>
      <c r="B87" t="inlineStr">
        <is>
          <t>LNGC</t>
        </is>
      </c>
      <c r="C87" t="n">
        <v>1</v>
      </c>
      <c r="D87" t="inlineStr">
        <is>
          <t>LNG 운반선 1척</t>
        </is>
      </c>
      <c r="T87" s="18">
        <f>IFERROR(T51*$BU51*(1+($BW51-1)*T$33)*($D$30*$BV51+(1-$D$30)*T$32),"")</f>
        <v/>
      </c>
      <c r="U87" s="18">
        <f>IFERROR(U51*$BU51*(1+($BW51-1)*U$33)*($D$30*$BV51+(1-$D$30)*U$32),"")</f>
        <v/>
      </c>
      <c r="V87" s="18">
        <f>IFERROR(V51*$BU51*(1+($BW51-1)*V$33)*($D$30*$BV51+(1-$D$30)*V$32),"")</f>
        <v/>
      </c>
      <c r="W87" s="18">
        <f>IFERROR(W51*$BU51*(1+($BW51-1)*W$33)*($D$30*$BV51+(1-$D$30)*W$32),"")</f>
        <v/>
      </c>
      <c r="X87" s="18">
        <f>IFERROR(X51*$BU51*(1+($BW51-1)*X$33)*($D$30*$BV51+(1-$D$30)*X$32),"")</f>
        <v/>
      </c>
      <c r="Y87" s="18">
        <f>IFERROR(Y51*$BU51*(1+($BW51-1)*Y$33)*($D$30*$BV51+(1-$D$30)*Y$32),"")</f>
        <v/>
      </c>
      <c r="Z87" s="18">
        <f>IFERROR(Z51*$BU51*(1+($BW51-1)*Z$33)*($D$30*$BV51+(1-$D$30)*Z$32),"")</f>
        <v/>
      </c>
      <c r="AA87" s="18">
        <f>IFERROR(AA51*$BU51*(1+($BW51-1)*AA$33)*($D$30*$BV51+(1-$D$30)*AA$32),"")</f>
        <v/>
      </c>
      <c r="AB87" s="18">
        <f>IFERROR(AB51*$BU51*(1+($BW51-1)*AB$33)*($D$30*$BV51+(1-$D$30)*AB$32),"")</f>
        <v/>
      </c>
      <c r="AC87" s="18">
        <f>IFERROR(AC51*$BU51*(1+($BW51-1)*AC$33)*($D$30*$BV51+(1-$D$30)*AC$32),"")</f>
        <v/>
      </c>
      <c r="AD87" s="18">
        <f>IFERROR(AD51*$BU51*(1+($BW51-1)*AD$33)*($D$30*$BV51+(1-$D$30)*AD$32),"")</f>
        <v/>
      </c>
      <c r="AE87" s="18">
        <f>IFERROR(AE51*$BU51*(1+($BW51-1)*AE$33)*($D$30*$BV51+(1-$D$30)*AE$32),"")</f>
        <v/>
      </c>
      <c r="AF87" s="18">
        <f>IFERROR(AF51*$BU51*(1+($BW51-1)*AF$33)*($D$30*$BV51+(1-$D$30)*AF$32),"")</f>
        <v/>
      </c>
      <c r="AG87" s="18">
        <f>IFERROR(AG51*$BU51*(1+($BW51-1)*AG$33)*($D$30*$BV51+(1-$D$30)*AG$32),"")</f>
        <v/>
      </c>
      <c r="AH87" s="18">
        <f>IFERROR(AH51*$BU51*(1+($BW51-1)*AH$33)*($D$30*$BV51+(1-$D$30)*AH$32),"")</f>
        <v/>
      </c>
      <c r="AI87" s="18">
        <f>IFERROR(AI51*$BU51*(1+($BW51-1)*AI$33)*($D$30*$BV51+(1-$D$30)*AI$32),"")</f>
        <v/>
      </c>
      <c r="AJ87" s="18">
        <f>IFERROR(AJ51*$BU51*(1+($BW51-1)*AJ$33)*($D$30*$BV51+(1-$D$30)*AJ$32),"")</f>
        <v/>
      </c>
    </row>
    <row r="88">
      <c r="A88" t="inlineStr">
        <is>
          <t>20260325800201</t>
        </is>
      </c>
      <c r="B88" t="inlineStr">
        <is>
          <t>VLCC</t>
        </is>
      </c>
      <c r="C88" t="n">
        <v>3</v>
      </c>
      <c r="D88" t="inlineStr">
        <is>
          <t>VLCC 3척</t>
        </is>
      </c>
      <c r="AF88" s="18">
        <f>IFERROR(AF52*$BU52*(1+($BW52-1)*AF$33)*($D$30*$BV52+(1-$D$30)*AF$32),"")</f>
        <v/>
      </c>
      <c r="AG88" s="18">
        <f>IFERROR(AG52*$BU52*(1+($BW52-1)*AG$33)*($D$30*$BV52+(1-$D$30)*AG$32),"")</f>
        <v/>
      </c>
      <c r="AH88" s="18">
        <f>IFERROR(AH52*$BU52*(1+($BW52-1)*AH$33)*($D$30*$BV52+(1-$D$30)*AH$32),"")</f>
        <v/>
      </c>
      <c r="AI88" s="18">
        <f>IFERROR(AI52*$BU52*(1+($BW52-1)*AI$33)*($D$30*$BV52+(1-$D$30)*AI$32),"")</f>
        <v/>
      </c>
      <c r="AJ88" s="18">
        <f>IFERROR(AJ52*$BU52*(1+($BW52-1)*AJ$33)*($D$30*$BV52+(1-$D$30)*AJ$32),"")</f>
        <v/>
      </c>
      <c r="AK88" s="18">
        <f>IFERROR(AK52*$BU52*(1+($BW52-1)*AK$33)*($D$30*$BV52+(1-$D$30)*AK$32),"")</f>
        <v/>
      </c>
      <c r="AL88" s="18">
        <f>IFERROR(AL52*$BU52*(1+($BW52-1)*AL$33)*($D$30*$BV52+(1-$D$30)*AL$32),"")</f>
        <v/>
      </c>
      <c r="AM88" s="18">
        <f>IFERROR(AM52*$BU52*(1+($BW52-1)*AM$33)*($D$30*$BV52+(1-$D$30)*AM$32),"")</f>
        <v/>
      </c>
      <c r="AN88" s="18">
        <f>IFERROR(AN52*$BU52*(1+($BW52-1)*AN$33)*($D$30*$BV52+(1-$D$30)*AN$32),"")</f>
        <v/>
      </c>
      <c r="AO88" s="18">
        <f>IFERROR(AO52*$BU52*(1+($BW52-1)*AO$33)*($D$30*$BV52+(1-$D$30)*AO$32),"")</f>
        <v/>
      </c>
      <c r="AP88" s="18">
        <f>IFERROR(AP52*$BU52*(1+($BW52-1)*AP$33)*($D$30*$BV52+(1-$D$30)*AP$32),"")</f>
        <v/>
      </c>
      <c r="AQ88" s="18">
        <f>IFERROR(AQ52*$BU52*(1+($BW52-1)*AQ$33)*($D$30*$BV52+(1-$D$30)*AQ$32),"")</f>
        <v/>
      </c>
      <c r="AR88" s="18">
        <f>IFERROR(AR52*$BU52*(1+($BW52-1)*AR$33)*($D$30*$BV52+(1-$D$30)*AR$32),"")</f>
        <v/>
      </c>
      <c r="AS88" s="18">
        <f>IFERROR(AS52*$BU52*(1+($BW52-1)*AS$33)*($D$30*$BV52+(1-$D$30)*AS$32),"")</f>
        <v/>
      </c>
    </row>
    <row r="89">
      <c r="A89" t="inlineStr">
        <is>
          <t>20260331803529</t>
        </is>
      </c>
      <c r="B89" t="inlineStr">
        <is>
          <t>NAVAL</t>
        </is>
      </c>
      <c r="C89" t="n">
        <v>3</v>
      </c>
      <c r="D89" t="inlineStr">
        <is>
          <t>잠수함 3척</t>
        </is>
      </c>
      <c r="E89" s="18">
        <f>IFERROR(E53*$BU53*(1+($BW53-1)*E$33)*($D$30*$BV53+(1-$D$30)*E$32),"")</f>
        <v/>
      </c>
      <c r="F89" s="18">
        <f>IFERROR(F53*$BU53*(1+($BW53-1)*F$33)*($D$30*$BV53+(1-$D$30)*F$32),"")</f>
        <v/>
      </c>
      <c r="G89" s="18">
        <f>IFERROR(G53*$BU53*(1+($BW53-1)*G$33)*($D$30*$BV53+(1-$D$30)*G$32),"")</f>
        <v/>
      </c>
      <c r="H89" s="18">
        <f>IFERROR(H53*$BU53*(1+($BW53-1)*H$33)*($D$30*$BV53+(1-$D$30)*H$32),"")</f>
        <v/>
      </c>
      <c r="I89" s="18">
        <f>IFERROR(I53*$BU53*(1+($BW53-1)*I$33)*($D$30*$BV53+(1-$D$30)*I$32),"")</f>
        <v/>
      </c>
      <c r="J89" s="18">
        <f>IFERROR(J53*$BU53*(1+($BW53-1)*J$33)*($D$30*$BV53+(1-$D$30)*J$32),"")</f>
        <v/>
      </c>
      <c r="K89" s="18">
        <f>IFERROR(K53*$BU53*(1+($BW53-1)*K$33)*($D$30*$BV53+(1-$D$30)*K$32),"")</f>
        <v/>
      </c>
      <c r="L89" s="18">
        <f>IFERROR(L53*$BU53*(1+($BW53-1)*L$33)*($D$30*$BV53+(1-$D$30)*L$32),"")</f>
        <v/>
      </c>
      <c r="M89" s="18">
        <f>IFERROR(M53*$BU53*(1+($BW53-1)*M$33)*($D$30*$BV53+(1-$D$30)*M$32),"")</f>
        <v/>
      </c>
      <c r="N89" s="18">
        <f>IFERROR(N53*$BU53*(1+($BW53-1)*N$33)*($D$30*$BV53+(1-$D$30)*N$32),"")</f>
        <v/>
      </c>
      <c r="O89" s="18">
        <f>IFERROR(O53*$BU53*(1+($BW53-1)*O$33)*($D$30*$BV53+(1-$D$30)*O$32),"")</f>
        <v/>
      </c>
      <c r="P89" s="18">
        <f>IFERROR(P53*$BU53*(1+($BW53-1)*P$33)*($D$30*$BV53+(1-$D$30)*P$32),"")</f>
        <v/>
      </c>
      <c r="Q89" s="18">
        <f>IFERROR(Q53*$BU53*(1+($BW53-1)*Q$33)*($D$30*$BV53+(1-$D$30)*Q$32),"")</f>
        <v/>
      </c>
      <c r="R89" s="18">
        <f>IFERROR(R53*$BU53*(1+($BW53-1)*R$33)*($D$30*$BV53+(1-$D$30)*R$32),"")</f>
        <v/>
      </c>
      <c r="S89" s="18">
        <f>IFERROR(S53*$BU53*(1+($BW53-1)*S$33)*($D$30*$BV53+(1-$D$30)*S$32),"")</f>
        <v/>
      </c>
      <c r="T89" s="18">
        <f>IFERROR(T53*$BU53*(1+($BW53-1)*T$33)*($D$30*$BV53+(1-$D$30)*T$32),"")</f>
        <v/>
      </c>
      <c r="U89" s="18">
        <f>IFERROR(U53*$BU53*(1+($BW53-1)*U$33)*($D$30*$BV53+(1-$D$30)*U$32),"")</f>
        <v/>
      </c>
    </row>
    <row r="90">
      <c r="A90" t="inlineStr">
        <is>
          <t>20260408801023</t>
        </is>
      </c>
      <c r="B90" t="inlineStr">
        <is>
          <t>VLGC</t>
        </is>
      </c>
      <c r="C90" t="n">
        <v>1</v>
      </c>
      <c r="D90" t="inlineStr">
        <is>
          <t>LPG 운반선 1척</t>
        </is>
      </c>
      <c r="Y90" s="18">
        <f>IFERROR(Y54*$BU54*(1+($BW54-1)*Y$33)*($D$30*$BV54+(1-$D$30)*Y$32),"")</f>
        <v/>
      </c>
      <c r="Z90" s="18">
        <f>IFERROR(Z54*$BU54*(1+($BW54-1)*Z$33)*($D$30*$BV54+(1-$D$30)*Z$32),"")</f>
        <v/>
      </c>
      <c r="AA90" s="18">
        <f>IFERROR(AA54*$BU54*(1+($BW54-1)*AA$33)*($D$30*$BV54+(1-$D$30)*AA$32),"")</f>
        <v/>
      </c>
      <c r="AB90" s="18">
        <f>IFERROR(AB54*$BU54*(1+($BW54-1)*AB$33)*($D$30*$BV54+(1-$D$30)*AB$32),"")</f>
        <v/>
      </c>
      <c r="AC90" s="18">
        <f>IFERROR(AC54*$BU54*(1+($BW54-1)*AC$33)*($D$30*$BV54+(1-$D$30)*AC$32),"")</f>
        <v/>
      </c>
      <c r="AD90" s="18">
        <f>IFERROR(AD54*$BU54*(1+($BW54-1)*AD$33)*($D$30*$BV54+(1-$D$30)*AD$32),"")</f>
        <v/>
      </c>
      <c r="AE90" s="18">
        <f>IFERROR(AE54*$BU54*(1+($BW54-1)*AE$33)*($D$30*$BV54+(1-$D$30)*AE$32),"")</f>
        <v/>
      </c>
      <c r="AF90" s="18">
        <f>IFERROR(AF54*$BU54*(1+($BW54-1)*AF$33)*($D$30*$BV54+(1-$D$30)*AF$32),"")</f>
        <v/>
      </c>
      <c r="AG90" s="18">
        <f>IFERROR(AG54*$BU54*(1+($BW54-1)*AG$33)*($D$30*$BV54+(1-$D$30)*AG$32),"")</f>
        <v/>
      </c>
      <c r="AH90" s="18">
        <f>IFERROR(AH54*$BU54*(1+($BW54-1)*AH$33)*($D$30*$BV54+(1-$D$30)*AH$32),"")</f>
        <v/>
      </c>
    </row>
    <row r="91">
      <c r="A91" t="inlineStr">
        <is>
          <t>20260409800345</t>
        </is>
      </c>
      <c r="B91" t="inlineStr">
        <is>
          <t>VLCC</t>
        </is>
      </c>
      <c r="C91" t="n">
        <v>2</v>
      </c>
      <c r="D91" t="inlineStr">
        <is>
          <t>VLCC 2척</t>
        </is>
      </c>
      <c r="AG91" s="18">
        <f>IFERROR(AG55*$BU55*(1+($BW55-1)*AG$33)*($D$30*$BV55+(1-$D$30)*AG$32),"")</f>
        <v/>
      </c>
      <c r="AH91" s="18">
        <f>IFERROR(AH55*$BU55*(1+($BW55-1)*AH$33)*($D$30*$BV55+(1-$D$30)*AH$32),"")</f>
        <v/>
      </c>
      <c r="AI91" s="18">
        <f>IFERROR(AI55*$BU55*(1+($BW55-1)*AI$33)*($D$30*$BV55+(1-$D$30)*AI$32),"")</f>
        <v/>
      </c>
      <c r="AJ91" s="18">
        <f>IFERROR(AJ55*$BU55*(1+($BW55-1)*AJ$33)*($D$30*$BV55+(1-$D$30)*AJ$32),"")</f>
        <v/>
      </c>
      <c r="AK91" s="18">
        <f>IFERROR(AK55*$BU55*(1+($BW55-1)*AK$33)*($D$30*$BV55+(1-$D$30)*AK$32),"")</f>
        <v/>
      </c>
      <c r="AL91" s="18">
        <f>IFERROR(AL55*$BU55*(1+($BW55-1)*AL$33)*($D$30*$BV55+(1-$D$30)*AL$32),"")</f>
        <v/>
      </c>
      <c r="AM91" s="18">
        <f>IFERROR(AM55*$BU55*(1+($BW55-1)*AM$33)*($D$30*$BV55+(1-$D$30)*AM$32),"")</f>
        <v/>
      </c>
      <c r="AN91" s="18">
        <f>IFERROR(AN55*$BU55*(1+($BW55-1)*AN$33)*($D$30*$BV55+(1-$D$30)*AN$32),"")</f>
        <v/>
      </c>
      <c r="AO91" s="18">
        <f>IFERROR(AO55*$BU55*(1+($BW55-1)*AO$33)*($D$30*$BV55+(1-$D$30)*AO$32),"")</f>
        <v/>
      </c>
      <c r="AP91" s="18">
        <f>IFERROR(AP55*$BU55*(1+($BW55-1)*AP$33)*($D$30*$BV55+(1-$D$30)*AP$32),"")</f>
        <v/>
      </c>
      <c r="AQ91" s="18">
        <f>IFERROR(AQ55*$BU55*(1+($BW55-1)*AQ$33)*($D$30*$BV55+(1-$D$30)*AQ$32),"")</f>
        <v/>
      </c>
      <c r="AR91" s="18">
        <f>IFERROR(AR55*$BU55*(1+($BW55-1)*AR$33)*($D$30*$BV55+(1-$D$30)*AR$32),"")</f>
        <v/>
      </c>
      <c r="AS91" s="18">
        <f>IFERROR(AS55*$BU55*(1+($BW55-1)*AS$33)*($D$30*$BV55+(1-$D$30)*AS$32),"")</f>
        <v/>
      </c>
      <c r="AT91" s="18">
        <f>IFERROR(AT55*$BU55*(1+($BW55-1)*AT$33)*($D$30*$BV55+(1-$D$30)*AT$32),"")</f>
        <v/>
      </c>
      <c r="AU91" s="18">
        <f>IFERROR(AU55*$BU55*(1+($BW55-1)*AU$33)*($D$30*$BV55+(1-$D$30)*AU$32),"")</f>
        <v/>
      </c>
      <c r="AV91" s="18">
        <f>IFERROR(AV55*$BU55*(1+($BW55-1)*AV$33)*($D$30*$BV55+(1-$D$30)*AV$32),"")</f>
        <v/>
      </c>
    </row>
    <row r="92">
      <c r="A92" t="inlineStr">
        <is>
          <t>20260504800235</t>
        </is>
      </c>
      <c r="B92" t="inlineStr">
        <is>
          <t>VLGC</t>
        </is>
      </c>
      <c r="C92" t="n">
        <v>3</v>
      </c>
      <c r="D92" t="inlineStr">
        <is>
          <t>VLAC 3척</t>
        </is>
      </c>
      <c r="AG92" s="18">
        <f>IFERROR(AG56*$BU56*(1+($BW56-1)*AG$33)*($D$30*$BV56+(1-$D$30)*AG$32),"")</f>
        <v/>
      </c>
      <c r="AH92" s="18">
        <f>IFERROR(AH56*$BU56*(1+($BW56-1)*AH$33)*($D$30*$BV56+(1-$D$30)*AH$32),"")</f>
        <v/>
      </c>
      <c r="AI92" s="18">
        <f>IFERROR(AI56*$BU56*(1+($BW56-1)*AI$33)*($D$30*$BV56+(1-$D$30)*AI$32),"")</f>
        <v/>
      </c>
      <c r="AJ92" s="18">
        <f>IFERROR(AJ56*$BU56*(1+($BW56-1)*AJ$33)*($D$30*$BV56+(1-$D$30)*AJ$32),"")</f>
        <v/>
      </c>
      <c r="AK92" s="18">
        <f>IFERROR(AK56*$BU56*(1+($BW56-1)*AK$33)*($D$30*$BV56+(1-$D$30)*AK$32),"")</f>
        <v/>
      </c>
      <c r="AL92" s="18">
        <f>IFERROR(AL56*$BU56*(1+($BW56-1)*AL$33)*($D$30*$BV56+(1-$D$30)*AL$32),"")</f>
        <v/>
      </c>
      <c r="AM92" s="18">
        <f>IFERROR(AM56*$BU56*(1+($BW56-1)*AM$33)*($D$30*$BV56+(1-$D$30)*AM$32),"")</f>
        <v/>
      </c>
      <c r="AN92" s="18">
        <f>IFERROR(AN56*$BU56*(1+($BW56-1)*AN$33)*($D$30*$BV56+(1-$D$30)*AN$32),"")</f>
        <v/>
      </c>
      <c r="AO92" s="18">
        <f>IFERROR(AO56*$BU56*(1+($BW56-1)*AO$33)*($D$30*$BV56+(1-$D$30)*AO$32),"")</f>
        <v/>
      </c>
      <c r="AP92" s="18">
        <f>IFERROR(AP56*$BU56*(1+($BW56-1)*AP$33)*($D$30*$BV56+(1-$D$30)*AP$32),"")</f>
        <v/>
      </c>
      <c r="AQ92" s="18">
        <f>IFERROR(AQ56*$BU56*(1+($BW56-1)*AQ$33)*($D$30*$BV56+(1-$D$30)*AQ$32),"")</f>
        <v/>
      </c>
      <c r="AR92" s="18">
        <f>IFERROR(AR56*$BU56*(1+($BW56-1)*AR$33)*($D$30*$BV56+(1-$D$30)*AR$32),"")</f>
        <v/>
      </c>
      <c r="AS92" s="18">
        <f>IFERROR(AS56*$BU56*(1+($BW56-1)*AS$33)*($D$30*$BV56+(1-$D$30)*AS$32),"")</f>
        <v/>
      </c>
      <c r="AT92" s="18">
        <f>IFERROR(AT56*$BU56*(1+($BW56-1)*AT$33)*($D$30*$BV56+(1-$D$30)*AT$32),"")</f>
        <v/>
      </c>
      <c r="AU92" s="18">
        <f>IFERROR(AU56*$BU56*(1+($BW56-1)*AU$33)*($D$30*$BV56+(1-$D$30)*AU$32),"")</f>
        <v/>
      </c>
      <c r="AV92" s="18">
        <f>IFERROR(AV56*$BU56*(1+($BW56-1)*AV$33)*($D$30*$BV56+(1-$D$30)*AV$32),"")</f>
        <v/>
      </c>
    </row>
    <row r="93">
      <c r="A93" t="inlineStr">
        <is>
          <t>20260511800175</t>
        </is>
      </c>
      <c r="B93" t="inlineStr">
        <is>
          <t>LNGC</t>
        </is>
      </c>
      <c r="C93" t="n">
        <v>1</v>
      </c>
      <c r="D93" t="inlineStr">
        <is>
          <t>LNGC 1척</t>
        </is>
      </c>
      <c r="AG93" s="18">
        <f>IFERROR(AG57*$BU57*(1+($BW57-1)*AG$33)*($D$30*$BV57+(1-$D$30)*AG$32),"")</f>
        <v/>
      </c>
      <c r="AH93" s="18">
        <f>IFERROR(AH57*$BU57*(1+($BW57-1)*AH$33)*($D$30*$BV57+(1-$D$30)*AH$32),"")</f>
        <v/>
      </c>
      <c r="AI93" s="18">
        <f>IFERROR(AI57*$BU57*(1+($BW57-1)*AI$33)*($D$30*$BV57+(1-$D$30)*AI$32),"")</f>
        <v/>
      </c>
      <c r="AJ93" s="18">
        <f>IFERROR(AJ57*$BU57*(1+($BW57-1)*AJ$33)*($D$30*$BV57+(1-$D$30)*AJ$32),"")</f>
        <v/>
      </c>
      <c r="AK93" s="18">
        <f>IFERROR(AK57*$BU57*(1+($BW57-1)*AK$33)*($D$30*$BV57+(1-$D$30)*AK$32),"")</f>
        <v/>
      </c>
      <c r="AL93" s="18">
        <f>IFERROR(AL57*$BU57*(1+($BW57-1)*AL$33)*($D$30*$BV57+(1-$D$30)*AL$32),"")</f>
        <v/>
      </c>
      <c r="AM93" s="18">
        <f>IFERROR(AM57*$BU57*(1+($BW57-1)*AM$33)*($D$30*$BV57+(1-$D$30)*AM$32),"")</f>
        <v/>
      </c>
      <c r="AN93" s="18">
        <f>IFERROR(AN57*$BU57*(1+($BW57-1)*AN$33)*($D$30*$BV57+(1-$D$30)*AN$32),"")</f>
        <v/>
      </c>
      <c r="AO93" s="18">
        <f>IFERROR(AO57*$BU57*(1+($BW57-1)*AO$33)*($D$30*$BV57+(1-$D$30)*AO$32),"")</f>
        <v/>
      </c>
      <c r="AP93" s="18">
        <f>IFERROR(AP57*$BU57*(1+($BW57-1)*AP$33)*($D$30*$BV57+(1-$D$30)*AP$32),"")</f>
        <v/>
      </c>
      <c r="AQ93" s="18">
        <f>IFERROR(AQ57*$BU57*(1+($BW57-1)*AQ$33)*($D$30*$BV57+(1-$D$30)*AQ$32),"")</f>
        <v/>
      </c>
      <c r="AR93" s="18">
        <f>IFERROR(AR57*$BU57*(1+($BW57-1)*AR$33)*($D$30*$BV57+(1-$D$30)*AR$32),"")</f>
        <v/>
      </c>
      <c r="AS93" s="18">
        <f>IFERROR(AS57*$BU57*(1+($BW57-1)*AS$33)*($D$30*$BV57+(1-$D$30)*AS$32),"")</f>
        <v/>
      </c>
    </row>
    <row r="94">
      <c r="A94" t="inlineStr">
        <is>
          <t>20260518800002</t>
        </is>
      </c>
      <c r="B94" t="inlineStr">
        <is>
          <t>LNGC</t>
        </is>
      </c>
      <c r="C94" t="n">
        <v>2</v>
      </c>
      <c r="D94" t="inlineStr">
        <is>
          <t>LNGC 2척</t>
        </is>
      </c>
      <c r="AG94" s="18">
        <f>IFERROR(AG58*$BU58*(1+($BW58-1)*AG$33)*($D$30*$BV58+(1-$D$30)*AG$32),"")</f>
        <v/>
      </c>
      <c r="AH94" s="18">
        <f>IFERROR(AH58*$BU58*(1+($BW58-1)*AH$33)*($D$30*$BV58+(1-$D$30)*AH$32),"")</f>
        <v/>
      </c>
      <c r="AI94" s="18">
        <f>IFERROR(AI58*$BU58*(1+($BW58-1)*AI$33)*($D$30*$BV58+(1-$D$30)*AI$32),"")</f>
        <v/>
      </c>
      <c r="AJ94" s="18">
        <f>IFERROR(AJ58*$BU58*(1+($BW58-1)*AJ$33)*($D$30*$BV58+(1-$D$30)*AJ$32),"")</f>
        <v/>
      </c>
      <c r="AK94" s="18">
        <f>IFERROR(AK58*$BU58*(1+($BW58-1)*AK$33)*($D$30*$BV58+(1-$D$30)*AK$32),"")</f>
        <v/>
      </c>
      <c r="AL94" s="18">
        <f>IFERROR(AL58*$BU58*(1+($BW58-1)*AL$33)*($D$30*$BV58+(1-$D$30)*AL$32),"")</f>
        <v/>
      </c>
      <c r="AM94" s="18">
        <f>IFERROR(AM58*$BU58*(1+($BW58-1)*AM$33)*($D$30*$BV58+(1-$D$30)*AM$32),"")</f>
        <v/>
      </c>
      <c r="AN94" s="18">
        <f>IFERROR(AN58*$BU58*(1+($BW58-1)*AN$33)*($D$30*$BV58+(1-$D$30)*AN$32),"")</f>
        <v/>
      </c>
      <c r="AO94" s="18">
        <f>IFERROR(AO58*$BU58*(1+($BW58-1)*AO$33)*($D$30*$BV58+(1-$D$30)*AO$32),"")</f>
        <v/>
      </c>
      <c r="AP94" s="18">
        <f>IFERROR(AP58*$BU58*(1+($BW58-1)*AP$33)*($D$30*$BV58+(1-$D$30)*AP$32),"")</f>
        <v/>
      </c>
      <c r="AQ94" s="18">
        <f>IFERROR(AQ58*$BU58*(1+($BW58-1)*AQ$33)*($D$30*$BV58+(1-$D$30)*AQ$32),"")</f>
        <v/>
      </c>
      <c r="AR94" s="18">
        <f>IFERROR(AR58*$BU58*(1+($BW58-1)*AR$33)*($D$30*$BV58+(1-$D$30)*AR$32),"")</f>
        <v/>
      </c>
      <c r="AS94" s="18">
        <f>IFERROR(AS58*$BU58*(1+($BW58-1)*AS$33)*($D$30*$BV58+(1-$D$30)*AS$32),"")</f>
        <v/>
      </c>
    </row>
    <row r="95">
      <c r="A95" t="inlineStr">
        <is>
          <t>20260528800927</t>
        </is>
      </c>
      <c r="B95" t="inlineStr">
        <is>
          <t>OTHER</t>
        </is>
      </c>
      <c r="D95" t="inlineStr">
        <is>
          <t>MCS Plant 구축 공사</t>
        </is>
      </c>
      <c r="AB95" s="18">
        <f>IFERROR(AB59*$BU59*(1+($BW59-1)*AB$33)*($D$30*$BV59+(1-$D$30)*AB$32),"")</f>
        <v/>
      </c>
      <c r="AC95" s="18">
        <f>IFERROR(AC59*$BU59*(1+($BW59-1)*AC$33)*($D$30*$BV59+(1-$D$30)*AC$32),"")</f>
        <v/>
      </c>
      <c r="AD95" s="18">
        <f>IFERROR(AD59*$BU59*(1+($BW59-1)*AD$33)*($D$30*$BV59+(1-$D$30)*AD$32),"")</f>
        <v/>
      </c>
      <c r="AE95" s="18">
        <f>IFERROR(AE59*$BU59*(1+($BW59-1)*AE$33)*($D$30*$BV59+(1-$D$30)*AE$32),"")</f>
        <v/>
      </c>
      <c r="AF95" s="18">
        <f>IFERROR(AF59*$BU59*(1+($BW59-1)*AF$33)*($D$30*$BV59+(1-$D$30)*AF$32),"")</f>
        <v/>
      </c>
      <c r="AG95" s="18">
        <f>IFERROR(AG59*$BU59*(1+($BW59-1)*AG$33)*($D$30*$BV59+(1-$D$30)*AG$32),"")</f>
        <v/>
      </c>
      <c r="AH95" s="18">
        <f>IFERROR(AH59*$BU59*(1+($BW59-1)*AH$33)*($D$30*$BV59+(1-$D$30)*AH$32),"")</f>
        <v/>
      </c>
      <c r="AI95" s="18">
        <f>IFERROR(AI59*$BU59*(1+($BW59-1)*AI$33)*($D$30*$BV59+(1-$D$30)*AI$32),"")</f>
        <v/>
      </c>
      <c r="AJ95" s="18">
        <f>IFERROR(AJ59*$BU59*(1+($BW59-1)*AJ$33)*($D$30*$BV59+(1-$D$30)*AJ$32),"")</f>
        <v/>
      </c>
      <c r="AK95" s="18">
        <f>IFERROR(AK59*$BU59*(1+($BW59-1)*AK$33)*($D$30*$BV59+(1-$D$30)*AK$32),"")</f>
        <v/>
      </c>
      <c r="AL95" s="18">
        <f>IFERROR(AL59*$BU59*(1+($BW59-1)*AL$33)*($D$30*$BV59+(1-$D$30)*AL$32),"")</f>
        <v/>
      </c>
      <c r="AM95" s="18">
        <f>IFERROR(AM59*$BU59*(1+($BW59-1)*AM$33)*($D$30*$BV59+(1-$D$30)*AM$32),"")</f>
        <v/>
      </c>
      <c r="AN95" s="18">
        <f>IFERROR(AN59*$BU59*(1+($BW59-1)*AN$33)*($D$30*$BV59+(1-$D$30)*AN$32),"")</f>
        <v/>
      </c>
    </row>
    <row r="96">
      <c r="A96" t="inlineStr">
        <is>
          <t>20260529800152</t>
        </is>
      </c>
      <c r="B96" t="inlineStr">
        <is>
          <t>LNGC</t>
        </is>
      </c>
      <c r="C96" t="n">
        <v>1</v>
      </c>
      <c r="D96" t="inlineStr">
        <is>
          <t>LNGC 1척</t>
        </is>
      </c>
      <c r="AG96" s="18">
        <f>IFERROR(AG60*$BU60*(1+($BW60-1)*AG$33)*($D$30*$BV60+(1-$D$30)*AG$32),"")</f>
        <v/>
      </c>
      <c r="AH96" s="18">
        <f>IFERROR(AH60*$BU60*(1+($BW60-1)*AH$33)*($D$30*$BV60+(1-$D$30)*AH$32),"")</f>
        <v/>
      </c>
      <c r="AI96" s="18">
        <f>IFERROR(AI60*$BU60*(1+($BW60-1)*AI$33)*($D$30*$BV60+(1-$D$30)*AI$32),"")</f>
        <v/>
      </c>
      <c r="AJ96" s="18">
        <f>IFERROR(AJ60*$BU60*(1+($BW60-1)*AJ$33)*($D$30*$BV60+(1-$D$30)*AJ$32),"")</f>
        <v/>
      </c>
      <c r="AK96" s="18">
        <f>IFERROR(AK60*$BU60*(1+($BW60-1)*AK$33)*($D$30*$BV60+(1-$D$30)*AK$32),"")</f>
        <v/>
      </c>
      <c r="AL96" s="18">
        <f>IFERROR(AL60*$BU60*(1+($BW60-1)*AL$33)*($D$30*$BV60+(1-$D$30)*AL$32),"")</f>
        <v/>
      </c>
      <c r="AM96" s="18">
        <f>IFERROR(AM60*$BU60*(1+($BW60-1)*AM$33)*($D$30*$BV60+(1-$D$30)*AM$32),"")</f>
        <v/>
      </c>
      <c r="AN96" s="18">
        <f>IFERROR(AN60*$BU60*(1+($BW60-1)*AN$33)*($D$30*$BV60+(1-$D$30)*AN$32),"")</f>
        <v/>
      </c>
      <c r="AO96" s="18">
        <f>IFERROR(AO60*$BU60*(1+($BW60-1)*AO$33)*($D$30*$BV60+(1-$D$30)*AO$32),"")</f>
        <v/>
      </c>
      <c r="AP96" s="18">
        <f>IFERROR(AP60*$BU60*(1+($BW60-1)*AP$33)*($D$30*$BV60+(1-$D$30)*AP$32),"")</f>
        <v/>
      </c>
      <c r="AQ96" s="18">
        <f>IFERROR(AQ60*$BU60*(1+($BW60-1)*AQ$33)*($D$30*$BV60+(1-$D$30)*AQ$32),"")</f>
        <v/>
      </c>
      <c r="AR96" s="18">
        <f>IFERROR(AR60*$BU60*(1+($BW60-1)*AR$33)*($D$30*$BV60+(1-$D$30)*AR$32),"")</f>
        <v/>
      </c>
      <c r="AS96" s="18">
        <f>IFERROR(AS60*$BU60*(1+($BW60-1)*AS$33)*($D$30*$BV60+(1-$D$30)*AS$32),"")</f>
        <v/>
      </c>
      <c r="AT96" s="18">
        <f>IFERROR(AT60*$BU60*(1+($BW60-1)*AT$33)*($D$30*$BV60+(1-$D$30)*AT$32),"")</f>
        <v/>
      </c>
    </row>
    <row r="97">
      <c r="A97" t="inlineStr">
        <is>
          <t>20260619800742</t>
        </is>
      </c>
      <c r="B97" t="inlineStr">
        <is>
          <t>VLCC</t>
        </is>
      </c>
      <c r="C97" t="n">
        <v>4</v>
      </c>
      <c r="D97" t="inlineStr">
        <is>
          <t>VLCC 4척</t>
        </is>
      </c>
      <c r="AG97" s="18">
        <f>IFERROR(AG61*$BU61*(1+($BW61-1)*AG$33)*($D$30*$BV61+(1-$D$30)*AG$32),"")</f>
        <v/>
      </c>
      <c r="AH97" s="18">
        <f>IFERROR(AH61*$BU61*(1+($BW61-1)*AH$33)*($D$30*$BV61+(1-$D$30)*AH$32),"")</f>
        <v/>
      </c>
      <c r="AI97" s="18">
        <f>IFERROR(AI61*$BU61*(1+($BW61-1)*AI$33)*($D$30*$BV61+(1-$D$30)*AI$32),"")</f>
        <v/>
      </c>
      <c r="AJ97" s="18">
        <f>IFERROR(AJ61*$BU61*(1+($BW61-1)*AJ$33)*($D$30*$BV61+(1-$D$30)*AJ$32),"")</f>
        <v/>
      </c>
      <c r="AK97" s="18">
        <f>IFERROR(AK61*$BU61*(1+($BW61-1)*AK$33)*($D$30*$BV61+(1-$D$30)*AK$32),"")</f>
        <v/>
      </c>
      <c r="AL97" s="18">
        <f>IFERROR(AL61*$BU61*(1+($BW61-1)*AL$33)*($D$30*$BV61+(1-$D$30)*AL$32),"")</f>
        <v/>
      </c>
      <c r="AM97" s="18">
        <f>IFERROR(AM61*$BU61*(1+($BW61-1)*AM$33)*($D$30*$BV61+(1-$D$30)*AM$32),"")</f>
        <v/>
      </c>
      <c r="AN97" s="18">
        <f>IFERROR(AN61*$BU61*(1+($BW61-1)*AN$33)*($D$30*$BV61+(1-$D$30)*AN$32),"")</f>
        <v/>
      </c>
      <c r="AO97" s="18">
        <f>IFERROR(AO61*$BU61*(1+($BW61-1)*AO$33)*($D$30*$BV61+(1-$D$30)*AO$32),"")</f>
        <v/>
      </c>
      <c r="AP97" s="18">
        <f>IFERROR(AP61*$BU61*(1+($BW61-1)*AP$33)*($D$30*$BV61+(1-$D$30)*AP$32),"")</f>
        <v/>
      </c>
      <c r="AQ97" s="18">
        <f>IFERROR(AQ61*$BU61*(1+($BW61-1)*AQ$33)*($D$30*$BV61+(1-$D$30)*AQ$32),"")</f>
        <v/>
      </c>
      <c r="AR97" s="18">
        <f>IFERROR(AR61*$BU61*(1+($BW61-1)*AR$33)*($D$30*$BV61+(1-$D$30)*AR$32),"")</f>
        <v/>
      </c>
      <c r="AS97" s="18">
        <f>IFERROR(AS61*$BU61*(1+($BW61-1)*AS$33)*($D$30*$BV61+(1-$D$30)*AS$32),"")</f>
        <v/>
      </c>
      <c r="AT97" s="18">
        <f>IFERROR(AT61*$BU61*(1+($BW61-1)*AT$33)*($D$30*$BV61+(1-$D$30)*AT$32),"")</f>
        <v/>
      </c>
      <c r="AU97" s="18">
        <f>IFERROR(AU61*$BU61*(1+($BW61-1)*AU$33)*($D$30*$BV61+(1-$D$30)*AU$32),"")</f>
        <v/>
      </c>
      <c r="AV97" s="18">
        <f>IFERROR(AV61*$BU61*(1+($BW61-1)*AV$33)*($D$30*$BV61+(1-$D$30)*AV$32),"")</f>
        <v/>
      </c>
    </row>
    <row r="98">
      <c r="A98" t="inlineStr">
        <is>
          <t>20260715800071</t>
        </is>
      </c>
      <c r="B98" t="inlineStr">
        <is>
          <t>VLCC</t>
        </is>
      </c>
      <c r="C98" t="n">
        <v>2</v>
      </c>
      <c r="D98" t="inlineStr">
        <is>
          <t>VLCC 2척</t>
        </is>
      </c>
      <c r="AH98" s="18">
        <f>IFERROR(AH62*$BU62*(1+($BW62-1)*AH$33)*($D$30*$BV62+(1-$D$30)*AH$32),"")</f>
        <v/>
      </c>
      <c r="AI98" s="18">
        <f>IFERROR(AI62*$BU62*(1+($BW62-1)*AI$33)*($D$30*$BV62+(1-$D$30)*AI$32),"")</f>
        <v/>
      </c>
      <c r="AJ98" s="18">
        <f>IFERROR(AJ62*$BU62*(1+($BW62-1)*AJ$33)*($D$30*$BV62+(1-$D$30)*AJ$32),"")</f>
        <v/>
      </c>
      <c r="AK98" s="18">
        <f>IFERROR(AK62*$BU62*(1+($BW62-1)*AK$33)*($D$30*$BV62+(1-$D$30)*AK$32),"")</f>
        <v/>
      </c>
      <c r="AL98" s="18">
        <f>IFERROR(AL62*$BU62*(1+($BW62-1)*AL$33)*($D$30*$BV62+(1-$D$30)*AL$32),"")</f>
        <v/>
      </c>
      <c r="AM98" s="18">
        <f>IFERROR(AM62*$BU62*(1+($BW62-1)*AM$33)*($D$30*$BV62+(1-$D$30)*AM$32),"")</f>
        <v/>
      </c>
      <c r="AN98" s="18">
        <f>IFERROR(AN62*$BU62*(1+($BW62-1)*AN$33)*($D$30*$BV62+(1-$D$30)*AN$32),"")</f>
        <v/>
      </c>
      <c r="AO98" s="18">
        <f>IFERROR(AO62*$BU62*(1+($BW62-1)*AO$33)*($D$30*$BV62+(1-$D$30)*AO$32),"")</f>
        <v/>
      </c>
      <c r="AP98" s="18">
        <f>IFERROR(AP62*$BU62*(1+($BW62-1)*AP$33)*($D$30*$BV62+(1-$D$30)*AP$32),"")</f>
        <v/>
      </c>
      <c r="AQ98" s="18">
        <f>IFERROR(AQ62*$BU62*(1+($BW62-1)*AQ$33)*($D$30*$BV62+(1-$D$30)*AQ$32),"")</f>
        <v/>
      </c>
      <c r="AR98" s="18">
        <f>IFERROR(AR62*$BU62*(1+($BW62-1)*AR$33)*($D$30*$BV62+(1-$D$30)*AR$32),"")</f>
        <v/>
      </c>
      <c r="AS98" s="18">
        <f>IFERROR(AS62*$BU62*(1+($BW62-1)*AS$33)*($D$30*$BV62+(1-$D$30)*AS$32),"")</f>
        <v/>
      </c>
      <c r="AT98" s="18">
        <f>IFERROR(AT62*$BU62*(1+($BW62-1)*AT$33)*($D$30*$BV62+(1-$D$30)*AT$32),"")</f>
        <v/>
      </c>
      <c r="AU98" s="18">
        <f>IFERROR(AU62*$BU62*(1+($BW62-1)*AU$33)*($D$30*$BV62+(1-$D$30)*AU$32),"")</f>
        <v/>
      </c>
      <c r="AV98" s="18">
        <f>IFERROR(AV62*$BU62*(1+($BW62-1)*AV$33)*($D$30*$BV62+(1-$D$30)*AV$32),"")</f>
        <v/>
      </c>
    </row>
    <row r="99">
      <c r="A99" t="inlineStr">
        <is>
          <t>20260731800216</t>
        </is>
      </c>
      <c r="B99" t="inlineStr">
        <is>
          <t>NAVAL</t>
        </is>
      </c>
      <c r="D99" t="inlineStr">
        <is>
          <t>구축함(KDDX) 상세설계 및 선도함 건조 사업</t>
        </is>
      </c>
      <c r="AH99" s="18">
        <f>IFERROR(AH63*$BU63*(1+($BW63-1)*AH$33)*($D$30*$BV63+(1-$D$30)*AH$32),"")</f>
        <v/>
      </c>
      <c r="AI99" s="18">
        <f>IFERROR(AI63*$BU63*(1+($BW63-1)*AI$33)*($D$30*$BV63+(1-$D$30)*AI$32),"")</f>
        <v/>
      </c>
      <c r="AJ99" s="18">
        <f>IFERROR(AJ63*$BU63*(1+($BW63-1)*AJ$33)*($D$30*$BV63+(1-$D$30)*AJ$32),"")</f>
        <v/>
      </c>
      <c r="AK99" s="18">
        <f>IFERROR(AK63*$BU63*(1+($BW63-1)*AK$33)*($D$30*$BV63+(1-$D$30)*AK$32),"")</f>
        <v/>
      </c>
      <c r="AL99" s="18">
        <f>IFERROR(AL63*$BU63*(1+($BW63-1)*AL$33)*($D$30*$BV63+(1-$D$30)*AL$32),"")</f>
        <v/>
      </c>
      <c r="AM99" s="18">
        <f>IFERROR(AM63*$BU63*(1+($BW63-1)*AM$33)*($D$30*$BV63+(1-$D$30)*AM$32),"")</f>
        <v/>
      </c>
      <c r="AN99" s="18">
        <f>IFERROR(AN63*$BU63*(1+($BW63-1)*AN$33)*($D$30*$BV63+(1-$D$30)*AN$32),"")</f>
        <v/>
      </c>
      <c r="AO99" s="18">
        <f>IFERROR(AO63*$BU63*(1+($BW63-1)*AO$33)*($D$30*$BV63+(1-$D$30)*AO$32),"")</f>
        <v/>
      </c>
      <c r="AP99" s="18">
        <f>IFERROR(AP63*$BU63*(1+($BW63-1)*AP$33)*($D$30*$BV63+(1-$D$30)*AP$32),"")</f>
        <v/>
      </c>
      <c r="AQ99" s="18">
        <f>IFERROR(AQ63*$BU63*(1+($BW63-1)*AQ$33)*($D$30*$BV63+(1-$D$30)*AQ$32),"")</f>
        <v/>
      </c>
      <c r="AR99" s="18">
        <f>IFERROR(AR63*$BU63*(1+($BW63-1)*AR$33)*($D$30*$BV63+(1-$D$30)*AR$32),"")</f>
        <v/>
      </c>
      <c r="AS99" s="18">
        <f>IFERROR(AS63*$BU63*(1+($BW63-1)*AS$33)*($D$30*$BV63+(1-$D$30)*AS$32),"")</f>
        <v/>
      </c>
      <c r="AT99" s="18">
        <f>IFERROR(AT63*$BU63*(1+($BW63-1)*AT$33)*($D$30*$BV63+(1-$D$30)*AT$32),"")</f>
        <v/>
      </c>
      <c r="AU99" s="18">
        <f>IFERROR(AU63*$BU63*(1+($BW63-1)*AU$33)*($D$30*$BV63+(1-$D$30)*AU$32),"")</f>
        <v/>
      </c>
      <c r="AV99" s="18">
        <f>IFERROR(AV63*$BU63*(1+($BW63-1)*AV$33)*($D$30*$BV63+(1-$D$30)*AV$32),"")</f>
        <v/>
      </c>
      <c r="AW99" s="18">
        <f>IFERROR(AW63*$BU63*(1+($BW63-1)*AW$33)*($D$30*$BV63+(1-$D$30)*AW$32),"")</f>
        <v/>
      </c>
      <c r="AX99" s="18">
        <f>IFERROR(AX63*$BU63*(1+($BW63-1)*AX$33)*($D$30*$BV63+(1-$D$30)*AX$32),"")</f>
        <v/>
      </c>
      <c r="AY99" s="18">
        <f>IFERROR(AY63*$BU63*(1+($BW63-1)*AY$33)*($D$30*$BV63+(1-$D$30)*AY$32),"")</f>
        <v/>
      </c>
      <c r="AZ99" s="18">
        <f>IFERROR(AZ63*$BU63*(1+($BW63-1)*AZ$33)*($D$30*$BV63+(1-$D$30)*AZ$32),"")</f>
        <v/>
      </c>
      <c r="BA99" s="18">
        <f>IFERROR(BA63*$BU63*(1+($BW63-1)*BA$33)*($D$30*$BV63+(1-$D$30)*BA$32),"")</f>
        <v/>
      </c>
      <c r="BB99" s="18">
        <f>IFERROR(BB63*$BU63*(1+($BW63-1)*BB$33)*($D$30*$BV63+(1-$D$30)*BB$32),"")</f>
        <v/>
      </c>
      <c r="BC99" s="18">
        <f>IFERROR(BC63*$BU63*(1+($BW63-1)*BC$33)*($D$30*$BV63+(1-$D$30)*BC$32),"")</f>
        <v/>
      </c>
      <c r="BD99" s="18">
        <f>IFERROR(BD63*$BU63*(1+($BW63-1)*BD$33)*($D$30*$BV63+(1-$D$30)*BD$32),"")</f>
        <v/>
      </c>
      <c r="BE99" s="18">
        <f>IFERROR(BE63*$BU63*(1+($BW63-1)*BE$33)*($D$30*$BV63+(1-$D$30)*BE$32),"")</f>
        <v/>
      </c>
    </row>
    <row r="100">
      <c r="A100" t="inlineStr">
        <is>
          <t>20260803800706</t>
        </is>
      </c>
      <c r="B100" t="inlineStr">
        <is>
          <t>PC</t>
        </is>
      </c>
      <c r="D100" t="inlineStr">
        <is>
          <t>여수에코에너지 LNG 집단에너지 사업(490MW) EPC 계약</t>
        </is>
      </c>
      <c r="AH100" s="18">
        <f>IFERROR(AH64*$BU64*(1+($BW64-1)*AH$33)*($D$30*$BV64+(1-$D$30)*AH$32),"")</f>
        <v/>
      </c>
      <c r="AI100" s="18">
        <f>IFERROR(AI64*$BU64*(1+($BW64-1)*AI$33)*($D$30*$BV64+(1-$D$30)*AI$32),"")</f>
        <v/>
      </c>
      <c r="AJ100" s="18">
        <f>IFERROR(AJ64*$BU64*(1+($BW64-1)*AJ$33)*($D$30*$BV64+(1-$D$30)*AJ$32),"")</f>
        <v/>
      </c>
      <c r="AK100" s="18">
        <f>IFERROR(AK64*$BU64*(1+($BW64-1)*AK$33)*($D$30*$BV64+(1-$D$30)*AK$32),"")</f>
        <v/>
      </c>
      <c r="AL100" s="18">
        <f>IFERROR(AL64*$BU64*(1+($BW64-1)*AL$33)*($D$30*$BV64+(1-$D$30)*AL$32),"")</f>
        <v/>
      </c>
      <c r="AM100" s="18">
        <f>IFERROR(AM64*$BU64*(1+($BW64-1)*AM$33)*($D$30*$BV64+(1-$D$30)*AM$32),"")</f>
        <v/>
      </c>
      <c r="AN100" s="18">
        <f>IFERROR(AN64*$BU64*(1+($BW64-1)*AN$33)*($D$30*$BV64+(1-$D$30)*AN$32),"")</f>
        <v/>
      </c>
      <c r="AO100" s="18">
        <f>IFERROR(AO64*$BU64*(1+($BW64-1)*AO$33)*($D$30*$BV64+(1-$D$30)*AO$32),"")</f>
        <v/>
      </c>
      <c r="AP100" s="18">
        <f>IFERROR(AP64*$BU64*(1+($BW64-1)*AP$33)*($D$30*$BV64+(1-$D$30)*AP$32),"")</f>
        <v/>
      </c>
      <c r="AQ100" s="18">
        <f>IFERROR(AQ64*$BU64*(1+($BW64-1)*AQ$33)*($D$30*$BV64+(1-$D$30)*AQ$32),"")</f>
        <v/>
      </c>
      <c r="AR100" s="18">
        <f>IFERROR(AR64*$BU64*(1+($BW64-1)*AR$33)*($D$30*$BV64+(1-$D$30)*AR$32),"")</f>
        <v/>
      </c>
      <c r="AS100" s="18">
        <f>IFERROR(AS64*$BU64*(1+($BW64-1)*AS$33)*($D$30*$BV64+(1-$D$30)*AS$32),"")</f>
        <v/>
      </c>
      <c r="AT100" s="18">
        <f>IFERROR(AT64*$BU64*(1+($BW64-1)*AT$33)*($D$30*$BV64+(1-$D$30)*AT$32),"")</f>
        <v/>
      </c>
    </row>
    <row r="101">
      <c r="A101" t="inlineStr">
        <is>
          <t>20260825800541</t>
        </is>
      </c>
      <c r="B101" t="inlineStr">
        <is>
          <t>OTHER</t>
        </is>
      </c>
      <c r="C101" t="n">
        <v>1</v>
      </c>
      <c r="D101" t="inlineStr">
        <is>
          <t>FCS(필드제어설비) 1기</t>
        </is>
      </c>
      <c r="P101" s="18">
        <f>IFERROR(P65*$BU65*(1+($BW65-1)*P$33)*($D$30*$BV65+(1-$D$30)*P$32),"")</f>
        <v/>
      </c>
      <c r="Q101" s="18">
        <f>IFERROR(Q65*$BU65*(1+($BW65-1)*Q$33)*($D$30*$BV65+(1-$D$30)*Q$32),"")</f>
        <v/>
      </c>
      <c r="R101" s="18">
        <f>IFERROR(R65*$BU65*(1+($BW65-1)*R$33)*($D$30*$BV65+(1-$D$30)*R$32),"")</f>
        <v/>
      </c>
      <c r="S101" s="18">
        <f>IFERROR(S65*$BU65*(1+($BW65-1)*S$33)*($D$30*$BV65+(1-$D$30)*S$32),"")</f>
        <v/>
      </c>
      <c r="T101" s="18">
        <f>IFERROR(T65*$BU65*(1+($BW65-1)*T$33)*($D$30*$BV65+(1-$D$30)*T$32),"")</f>
        <v/>
      </c>
      <c r="U101" s="18">
        <f>IFERROR(U65*$BU65*(1+($BW65-1)*U$33)*($D$30*$BV65+(1-$D$30)*U$32),"")</f>
        <v/>
      </c>
      <c r="V101" s="18">
        <f>IFERROR(V65*$BU65*(1+($BW65-1)*V$33)*($D$30*$BV65+(1-$D$30)*V$32),"")</f>
        <v/>
      </c>
      <c r="W101" s="18">
        <f>IFERROR(W65*$BU65*(1+($BW65-1)*W$33)*($D$30*$BV65+(1-$D$30)*W$32),"")</f>
        <v/>
      </c>
      <c r="X101" s="18">
        <f>IFERROR(X65*$BU65*(1+($BW65-1)*X$33)*($D$30*$BV65+(1-$D$30)*X$32),"")</f>
        <v/>
      </c>
      <c r="Y101" s="18">
        <f>IFERROR(Y65*$BU65*(1+($BW65-1)*Y$33)*($D$30*$BV65+(1-$D$30)*Y$32),"")</f>
        <v/>
      </c>
      <c r="Z101" s="18">
        <f>IFERROR(Z65*$BU65*(1+($BW65-1)*Z$33)*($D$30*$BV65+(1-$D$30)*Z$32),"")</f>
        <v/>
      </c>
      <c r="AA101" s="18">
        <f>IFERROR(AA65*$BU65*(1+($BW65-1)*AA$33)*($D$30*$BV65+(1-$D$30)*AA$32),"")</f>
        <v/>
      </c>
      <c r="AB101" s="18">
        <f>IFERROR(AB65*$BU65*(1+($BW65-1)*AB$33)*($D$30*$BV65+(1-$D$30)*AB$32),"")</f>
        <v/>
      </c>
      <c r="AC101" s="18">
        <f>IFERROR(AC65*$BU65*(1+($BW65-1)*AC$33)*($D$30*$BV65+(1-$D$30)*AC$32),"")</f>
        <v/>
      </c>
      <c r="AD101" s="18">
        <f>IFERROR(AD65*$BU65*(1+($BW65-1)*AD$33)*($D$30*$BV65+(1-$D$30)*AD$32),"")</f>
        <v/>
      </c>
      <c r="AE101" s="18">
        <f>IFERROR(AE65*$BU65*(1+($BW65-1)*AE$33)*($D$30*$BV65+(1-$D$30)*AE$32),"")</f>
        <v/>
      </c>
      <c r="AF101" s="18">
        <f>IFERROR(AF65*$BU65*(1+($BW65-1)*AF$33)*($D$30*$BV65+(1-$D$30)*AF$32),"")</f>
        <v/>
      </c>
      <c r="AG101" s="18">
        <f>IFERROR(AG65*$BU65*(1+($BW65-1)*AG$33)*($D$30*$BV65+(1-$D$30)*AG$32),"")</f>
        <v/>
      </c>
      <c r="AH101" s="18">
        <f>IFERROR(AH65*$BU65*(1+($BW65-1)*AH$33)*($D$30*$BV65+(1-$D$30)*AH$32),"")</f>
        <v/>
      </c>
      <c r="AI101" s="18">
        <f>IFERROR(AI65*$BU65*(1+($BW65-1)*AI$33)*($D$30*$BV65+(1-$D$30)*AI$32),"")</f>
        <v/>
      </c>
      <c r="AJ101" s="18">
        <f>IFERROR(AJ65*$BU65*(1+($BW65-1)*AJ$33)*($D$30*$BV65+(1-$D$30)*AJ$32),"")</f>
        <v/>
      </c>
      <c r="AK101" s="18">
        <f>IFERROR(AK65*$BU65*(1+($BW65-1)*AK$33)*($D$30*$BV65+(1-$D$30)*AK$32),"")</f>
        <v/>
      </c>
    </row>
    <row r="102">
      <c r="A102" t="inlineStr">
        <is>
          <t>20260901800108</t>
        </is>
      </c>
      <c r="B102" t="inlineStr">
        <is>
          <t>VLGC</t>
        </is>
      </c>
      <c r="C102" t="n">
        <v>3</v>
      </c>
      <c r="D102" t="inlineStr">
        <is>
          <t>VLGC 3척</t>
        </is>
      </c>
      <c r="AH102" s="18">
        <f>IFERROR(AH66*$BU66*(1+($BW66-1)*AH$33)*($D$30*$BV66+(1-$D$30)*AH$32),"")</f>
        <v/>
      </c>
      <c r="AI102" s="18">
        <f>IFERROR(AI66*$BU66*(1+($BW66-1)*AI$33)*($D$30*$BV66+(1-$D$30)*AI$32),"")</f>
        <v/>
      </c>
      <c r="AJ102" s="18">
        <f>IFERROR(AJ66*$BU66*(1+($BW66-1)*AJ$33)*($D$30*$BV66+(1-$D$30)*AJ$32),"")</f>
        <v/>
      </c>
      <c r="AK102" s="18">
        <f>IFERROR(AK66*$BU66*(1+($BW66-1)*AK$33)*($D$30*$BV66+(1-$D$30)*AK$32),"")</f>
        <v/>
      </c>
      <c r="AL102" s="18">
        <f>IFERROR(AL66*$BU66*(1+($BW66-1)*AL$33)*($D$30*$BV66+(1-$D$30)*AL$32),"")</f>
        <v/>
      </c>
      <c r="AM102" s="18">
        <f>IFERROR(AM66*$BU66*(1+($BW66-1)*AM$33)*($D$30*$BV66+(1-$D$30)*AM$32),"")</f>
        <v/>
      </c>
      <c r="AN102" s="18">
        <f>IFERROR(AN66*$BU66*(1+($BW66-1)*AN$33)*($D$30*$BV66+(1-$D$30)*AN$32),"")</f>
        <v/>
      </c>
      <c r="AO102" s="18">
        <f>IFERROR(AO66*$BU66*(1+($BW66-1)*AO$33)*($D$30*$BV66+(1-$D$30)*AO$32),"")</f>
        <v/>
      </c>
      <c r="AP102" s="18">
        <f>IFERROR(AP66*$BU66*(1+($BW66-1)*AP$33)*($D$30*$BV66+(1-$D$30)*AP$32),"")</f>
        <v/>
      </c>
      <c r="AQ102" s="18">
        <f>IFERROR(AQ66*$BU66*(1+($BW66-1)*AQ$33)*($D$30*$BV66+(1-$D$30)*AQ$32),"")</f>
        <v/>
      </c>
      <c r="AR102" s="18">
        <f>IFERROR(AR66*$BU66*(1+($BW66-1)*AR$33)*($D$30*$BV66+(1-$D$30)*AR$32),"")</f>
        <v/>
      </c>
      <c r="AS102" s="18">
        <f>IFERROR(AS66*$BU66*(1+($BW66-1)*AS$33)*($D$30*$BV66+(1-$D$30)*AS$32),"")</f>
        <v/>
      </c>
      <c r="AT102" s="18">
        <f>IFERROR(AT66*$BU66*(1+($BW66-1)*AT$33)*($D$30*$BV66+(1-$D$30)*AT$32),"")</f>
        <v/>
      </c>
      <c r="AU102" s="18">
        <f>IFERROR(AU66*$BU66*(1+($BW66-1)*AU$33)*($D$30*$BV66+(1-$D$30)*AU$32),"")</f>
        <v/>
      </c>
      <c r="AV102" s="18">
        <f>IFERROR(AV66*$BU66*(1+($BW66-1)*AV$33)*($D$30*$BV66+(1-$D$30)*AV$32),"")</f>
        <v/>
      </c>
      <c r="AW102" s="18">
        <f>IFERROR(AW66*$BU66*(1+($BW66-1)*AW$33)*($D$30*$BV66+(1-$D$30)*AW$32),"")</f>
        <v/>
      </c>
      <c r="AX102" s="18">
        <f>IFERROR(AX66*$BU66*(1+($BW66-1)*AX$33)*($D$30*$BV66+(1-$D$30)*AX$32),"")</f>
        <v/>
      </c>
      <c r="AY102" s="18">
        <f>IFERROR(AY66*$BU66*(1+($BW66-1)*AY$33)*($D$30*$BV66+(1-$D$30)*AY$32),"")</f>
        <v/>
      </c>
    </row>
    <row r="103">
      <c r="A103" t="inlineStr">
        <is>
          <t>20260903800002</t>
        </is>
      </c>
      <c r="B103" t="inlineStr">
        <is>
          <t>CONT</t>
        </is>
      </c>
      <c r="C103" t="n">
        <v>6</v>
      </c>
      <c r="D103" t="inlineStr">
        <is>
          <t>컨테이너선 6척</t>
        </is>
      </c>
      <c r="AH103" s="18">
        <f>IFERROR(AH67*$BU67*(1+($BW67-1)*AH$33)*($D$30*$BV67+(1-$D$30)*AH$32),"")</f>
        <v/>
      </c>
      <c r="AI103" s="18">
        <f>IFERROR(AI67*$BU67*(1+($BW67-1)*AI$33)*($D$30*$BV67+(1-$D$30)*AI$32),"")</f>
        <v/>
      </c>
      <c r="AJ103" s="18">
        <f>IFERROR(AJ67*$BU67*(1+($BW67-1)*AJ$33)*($D$30*$BV67+(1-$D$30)*AJ$32),"")</f>
        <v/>
      </c>
      <c r="AK103" s="18">
        <f>IFERROR(AK67*$BU67*(1+($BW67-1)*AK$33)*($D$30*$BV67+(1-$D$30)*AK$32),"")</f>
        <v/>
      </c>
      <c r="AL103" s="18">
        <f>IFERROR(AL67*$BU67*(1+($BW67-1)*AL$33)*($D$30*$BV67+(1-$D$30)*AL$32),"")</f>
        <v/>
      </c>
      <c r="AM103" s="18">
        <f>IFERROR(AM67*$BU67*(1+($BW67-1)*AM$33)*($D$30*$BV67+(1-$D$30)*AM$32),"")</f>
        <v/>
      </c>
      <c r="AN103" s="18">
        <f>IFERROR(AN67*$BU67*(1+($BW67-1)*AN$33)*($D$30*$BV67+(1-$D$30)*AN$32),"")</f>
        <v/>
      </c>
      <c r="AO103" s="18">
        <f>IFERROR(AO67*$BU67*(1+($BW67-1)*AO$33)*($D$30*$BV67+(1-$D$30)*AO$32),"")</f>
        <v/>
      </c>
      <c r="AP103" s="18">
        <f>IFERROR(AP67*$BU67*(1+($BW67-1)*AP$33)*($D$30*$BV67+(1-$D$30)*AP$32),"")</f>
        <v/>
      </c>
      <c r="AQ103" s="18">
        <f>IFERROR(AQ67*$BU67*(1+($BW67-1)*AQ$33)*($D$30*$BV67+(1-$D$30)*AQ$32),"")</f>
        <v/>
      </c>
      <c r="AR103" s="18">
        <f>IFERROR(AR67*$BU67*(1+($BW67-1)*AR$33)*($D$30*$BV67+(1-$D$30)*AR$32),"")</f>
        <v/>
      </c>
      <c r="AS103" s="18">
        <f>IFERROR(AS67*$BU67*(1+($BW67-1)*AS$33)*($D$30*$BV67+(1-$D$30)*AS$32),"")</f>
        <v/>
      </c>
      <c r="AT103" s="18">
        <f>IFERROR(AT67*$BU67*(1+($BW67-1)*AT$33)*($D$30*$BV67+(1-$D$30)*AT$32),"")</f>
        <v/>
      </c>
    </row>
    <row r="104">
      <c r="A104" t="inlineStr">
        <is>
          <t>20260921800302</t>
        </is>
      </c>
      <c r="B104" t="inlineStr">
        <is>
          <t>VLCC</t>
        </is>
      </c>
      <c r="C104" t="n">
        <v>4</v>
      </c>
      <c r="D104" t="inlineStr">
        <is>
          <t>VLCC 4척</t>
        </is>
      </c>
      <c r="Y104" s="18">
        <f>IFERROR(Y68*$BU68*(1+($BW68-1)*Y$33)*($D$30*$BV68+(1-$D$30)*Y$32),"")</f>
        <v/>
      </c>
      <c r="Z104" s="18">
        <f>IFERROR(Z68*$BU68*(1+($BW68-1)*Z$33)*($D$30*$BV68+(1-$D$30)*Z$32),"")</f>
        <v/>
      </c>
      <c r="AA104" s="18">
        <f>IFERROR(AA68*$BU68*(1+($BW68-1)*AA$33)*($D$30*$BV68+(1-$D$30)*AA$32),"")</f>
        <v/>
      </c>
      <c r="AB104" s="18">
        <f>IFERROR(AB68*$BU68*(1+($BW68-1)*AB$33)*($D$30*$BV68+(1-$D$30)*AB$32),"")</f>
        <v/>
      </c>
      <c r="AC104" s="18">
        <f>IFERROR(AC68*$BU68*(1+($BW68-1)*AC$33)*($D$30*$BV68+(1-$D$30)*AC$32),"")</f>
        <v/>
      </c>
      <c r="AD104" s="18">
        <f>IFERROR(AD68*$BU68*(1+($BW68-1)*AD$33)*($D$30*$BV68+(1-$D$30)*AD$32),"")</f>
        <v/>
      </c>
      <c r="AE104" s="18">
        <f>IFERROR(AE68*$BU68*(1+($BW68-1)*AE$33)*($D$30*$BV68+(1-$D$30)*AE$32),"")</f>
        <v/>
      </c>
      <c r="AF104" s="18">
        <f>IFERROR(AF68*$BU68*(1+($BW68-1)*AF$33)*($D$30*$BV68+(1-$D$30)*AF$32),"")</f>
        <v/>
      </c>
      <c r="AG104" s="18">
        <f>IFERROR(AG68*$BU68*(1+($BW68-1)*AG$33)*($D$30*$BV68+(1-$D$30)*AG$32),"")</f>
        <v/>
      </c>
      <c r="AH104" s="18">
        <f>IFERROR(AH68*$BU68*(1+($BW68-1)*AH$33)*($D$30*$BV68+(1-$D$30)*AH$32),"")</f>
        <v/>
      </c>
      <c r="AI104" s="18">
        <f>IFERROR(AI68*$BU68*(1+($BW68-1)*AI$33)*($D$30*$BV68+(1-$D$30)*AI$32),"")</f>
        <v/>
      </c>
    </row>
    <row r="105">
      <c r="A105" t="inlineStr">
        <is>
          <t>20260928800496</t>
        </is>
      </c>
      <c r="B105" t="inlineStr">
        <is>
          <t>LNGC</t>
        </is>
      </c>
      <c r="C105" t="n">
        <v>2</v>
      </c>
      <c r="D105" t="inlineStr">
        <is>
          <t>LNGC 2척</t>
        </is>
      </c>
      <c r="AH105" s="18">
        <f>IFERROR(AH69*$BU69*(1+($BW69-1)*AH$33)*($D$30*$BV69+(1-$D$30)*AH$32),"")</f>
        <v/>
      </c>
      <c r="AI105" s="18">
        <f>IFERROR(AI69*$BU69*(1+($BW69-1)*AI$33)*($D$30*$BV69+(1-$D$30)*AI$32),"")</f>
        <v/>
      </c>
      <c r="AJ105" s="18">
        <f>IFERROR(AJ69*$BU69*(1+($BW69-1)*AJ$33)*($D$30*$BV69+(1-$D$30)*AJ$32),"")</f>
        <v/>
      </c>
      <c r="AK105" s="18">
        <f>IFERROR(AK69*$BU69*(1+($BW69-1)*AK$33)*($D$30*$BV69+(1-$D$30)*AK$32),"")</f>
        <v/>
      </c>
      <c r="AL105" s="18">
        <f>IFERROR(AL69*$BU69*(1+($BW69-1)*AL$33)*($D$30*$BV69+(1-$D$30)*AL$32),"")</f>
        <v/>
      </c>
      <c r="AM105" s="18">
        <f>IFERROR(AM69*$BU69*(1+($BW69-1)*AM$33)*($D$30*$BV69+(1-$D$30)*AM$32),"")</f>
        <v/>
      </c>
      <c r="AN105" s="18">
        <f>IFERROR(AN69*$BU69*(1+($BW69-1)*AN$33)*($D$30*$BV69+(1-$D$30)*AN$32),"")</f>
        <v/>
      </c>
      <c r="AO105" s="18">
        <f>IFERROR(AO69*$BU69*(1+($BW69-1)*AO$33)*($D$30*$BV69+(1-$D$30)*AO$32),"")</f>
        <v/>
      </c>
      <c r="AP105" s="18">
        <f>IFERROR(AP69*$BU69*(1+($BW69-1)*AP$33)*($D$30*$BV69+(1-$D$30)*AP$32),"")</f>
        <v/>
      </c>
      <c r="AQ105" s="18">
        <f>IFERROR(AQ69*$BU69*(1+($BW69-1)*AQ$33)*($D$30*$BV69+(1-$D$30)*AQ$32),"")</f>
        <v/>
      </c>
      <c r="AR105" s="18">
        <f>IFERROR(AR69*$BU69*(1+($BW69-1)*AR$33)*($D$30*$BV69+(1-$D$30)*AR$32),"")</f>
        <v/>
      </c>
      <c r="AS105" s="18">
        <f>IFERROR(AS69*$BU69*(1+($BW69-1)*AS$33)*($D$30*$BV69+(1-$D$30)*AS$32),"")</f>
        <v/>
      </c>
      <c r="AT105" s="18">
        <f>IFERROR(AT69*$BU69*(1+($BW69-1)*AT$33)*($D$30*$BV69+(1-$D$30)*AT$32),"")</f>
        <v/>
      </c>
      <c r="AU105" s="18">
        <f>IFERROR(AU69*$BU69*(1+($BW69-1)*AU$33)*($D$30*$BV69+(1-$D$30)*AU$32),"")</f>
        <v/>
      </c>
    </row>
    <row r="106">
      <c r="A106" s="12" t="inlineStr">
        <is>
          <t>usd_incl</t>
        </is>
      </c>
      <c r="D106" t="inlineStr">
        <is>
          <t>포함 계약 스케줄 합(백만$, 캡 배율 전)</t>
        </is>
      </c>
      <c r="E106" s="26">
        <f>SUMPRODUCT(E36:E69,$BU$36:$BU$69)</f>
        <v/>
      </c>
      <c r="F106" s="26">
        <f>SUMPRODUCT(F36:F69,$BU$36:$BU$69)</f>
        <v/>
      </c>
      <c r="G106" s="26">
        <f>SUMPRODUCT(G36:G69,$BU$36:$BU$69)</f>
        <v/>
      </c>
      <c r="H106" s="26">
        <f>SUMPRODUCT(H36:H69,$BU$36:$BU$69)</f>
        <v/>
      </c>
      <c r="I106" s="26">
        <f>SUMPRODUCT(I36:I69,$BU$36:$BU$69)</f>
        <v/>
      </c>
      <c r="J106" s="26">
        <f>SUMPRODUCT(J36:J69,$BU$36:$BU$69)</f>
        <v/>
      </c>
      <c r="K106" s="26">
        <f>SUMPRODUCT(K36:K69,$BU$36:$BU$69)</f>
        <v/>
      </c>
      <c r="L106" s="26">
        <f>SUMPRODUCT(L36:L69,$BU$36:$BU$69)</f>
        <v/>
      </c>
      <c r="M106" s="26">
        <f>SUMPRODUCT(M36:M69,$BU$36:$BU$69)</f>
        <v/>
      </c>
      <c r="N106" s="26">
        <f>SUMPRODUCT(N36:N69,$BU$36:$BU$69)</f>
        <v/>
      </c>
      <c r="O106" s="26">
        <f>SUMPRODUCT(O36:O69,$BU$36:$BU$69)</f>
        <v/>
      </c>
      <c r="P106" s="26">
        <f>SUMPRODUCT(P36:P69,$BU$36:$BU$69)</f>
        <v/>
      </c>
      <c r="Q106" s="26">
        <f>SUMPRODUCT(Q36:Q69,$BU$36:$BU$69)</f>
        <v/>
      </c>
      <c r="R106" s="26">
        <f>SUMPRODUCT(R36:R69,$BU$36:$BU$69)</f>
        <v/>
      </c>
      <c r="S106" s="26">
        <f>SUMPRODUCT(S36:S69,$BU$36:$BU$69)</f>
        <v/>
      </c>
      <c r="T106" s="26">
        <f>SUMPRODUCT(T36:T69,$BU$36:$BU$69)</f>
        <v/>
      </c>
      <c r="U106" s="26">
        <f>SUMPRODUCT(U36:U69,$BU$36:$BU$69)</f>
        <v/>
      </c>
      <c r="V106" s="26">
        <f>SUMPRODUCT(V36:V69,$BU$36:$BU$69)</f>
        <v/>
      </c>
      <c r="W106" s="26">
        <f>SUMPRODUCT(W36:W69,$BU$36:$BU$69)</f>
        <v/>
      </c>
      <c r="X106" s="26">
        <f>SUMPRODUCT(X36:X69,$BU$36:$BU$69)</f>
        <v/>
      </c>
      <c r="Y106" s="26">
        <f>SUMPRODUCT(Y36:Y69,$BU$36:$BU$69)</f>
        <v/>
      </c>
      <c r="Z106" s="26">
        <f>SUMPRODUCT(Z36:Z69,$BU$36:$BU$69)</f>
        <v/>
      </c>
      <c r="AA106" s="26">
        <f>SUMPRODUCT(AA36:AA69,$BU$36:$BU$69)</f>
        <v/>
      </c>
      <c r="AB106" s="26">
        <f>SUMPRODUCT(AB36:AB69,$BU$36:$BU$69)</f>
        <v/>
      </c>
      <c r="AC106" s="26">
        <f>SUMPRODUCT(AC36:AC69,$BU$36:$BU$69)</f>
        <v/>
      </c>
      <c r="AD106" s="26">
        <f>SUMPRODUCT(AD36:AD69,$BU$36:$BU$69)</f>
        <v/>
      </c>
      <c r="AE106" s="26">
        <f>SUMPRODUCT(AE36:AE69,$BU$36:$BU$69)</f>
        <v/>
      </c>
      <c r="AF106" s="26">
        <f>SUMPRODUCT(AF36:AF69,$BU$36:$BU$69)</f>
        <v/>
      </c>
      <c r="AG106" s="26">
        <f>SUMPRODUCT(AG36:AG69,$BU$36:$BU$69)</f>
        <v/>
      </c>
      <c r="AH106" s="26">
        <f>SUMPRODUCT(AH36:AH69,$BU$36:$BU$69)</f>
        <v/>
      </c>
      <c r="AI106" s="26">
        <f>SUMPRODUCT(AI36:AI69,$BU$36:$BU$69)</f>
        <v/>
      </c>
      <c r="AJ106" s="26">
        <f>SUMPRODUCT(AJ36:AJ69,$BU$36:$BU$69)</f>
        <v/>
      </c>
      <c r="AK106" s="26">
        <f>SUMPRODUCT(AK36:AK69,$BU$36:$BU$69)</f>
        <v/>
      </c>
      <c r="AL106" s="26">
        <f>SUMPRODUCT(AL36:AL69,$BU$36:$BU$69)</f>
        <v/>
      </c>
      <c r="AM106" s="26">
        <f>SUMPRODUCT(AM36:AM69,$BU$36:$BU$69)</f>
        <v/>
      </c>
      <c r="AN106" s="26">
        <f>SUMPRODUCT(AN36:AN69,$BU$36:$BU$69)</f>
        <v/>
      </c>
      <c r="AO106" s="26">
        <f>SUMPRODUCT(AO36:AO69,$BU$36:$BU$69)</f>
        <v/>
      </c>
      <c r="AP106" s="26">
        <f>SUMPRODUCT(AP36:AP69,$BU$36:$BU$69)</f>
        <v/>
      </c>
      <c r="AQ106" s="26">
        <f>SUMPRODUCT(AQ36:AQ69,$BU$36:$BU$69)</f>
        <v/>
      </c>
      <c r="AR106" s="26">
        <f>SUMPRODUCT(AR36:AR69,$BU$36:$BU$69)</f>
        <v/>
      </c>
      <c r="AS106" s="26">
        <f>SUMPRODUCT(AS36:AS69,$BU$36:$BU$69)</f>
        <v/>
      </c>
      <c r="AT106" s="26">
        <f>SUMPRODUCT(AT36:AT69,$BU$36:$BU$69)</f>
        <v/>
      </c>
      <c r="AU106" s="26">
        <f>SUMPRODUCT(AU36:AU69,$BU$36:$BU$69)</f>
        <v/>
      </c>
      <c r="AV106" s="26">
        <f>SUMPRODUCT(AV36:AV69,$BU$36:$BU$69)</f>
        <v/>
      </c>
      <c r="AW106" s="26">
        <f>SUMPRODUCT(AW36:AW69,$BU$36:$BU$69)</f>
        <v/>
      </c>
      <c r="AX106" s="26">
        <f>SUMPRODUCT(AX36:AX69,$BU$36:$BU$69)</f>
        <v/>
      </c>
      <c r="AY106" s="26">
        <f>SUMPRODUCT(AY36:AY69,$BU$36:$BU$69)</f>
        <v/>
      </c>
      <c r="AZ106" s="26">
        <f>SUMPRODUCT(AZ36:AZ69,$BU$36:$BU$69)</f>
        <v/>
      </c>
      <c r="BA106" s="26">
        <f>SUMPRODUCT(BA36:BA69,$BU$36:$BU$69)</f>
        <v/>
      </c>
      <c r="BB106" s="26">
        <f>SUMPRODUCT(BB36:BB69,$BU$36:$BU$69)</f>
        <v/>
      </c>
      <c r="BC106" s="26">
        <f>SUMPRODUCT(BC36:BC69,$BU$36:$BU$69)</f>
        <v/>
      </c>
      <c r="BD106" s="26">
        <f>SUMPRODUCT(BD36:BD69,$BU$36:$BU$69)</f>
        <v/>
      </c>
      <c r="BE106" s="26">
        <f>SUMPRODUCT(BE36:BE69,$BU$36:$BU$69)</f>
        <v/>
      </c>
    </row>
    <row r="107">
      <c r="A107" s="12" t="inlineStr">
        <is>
          <t>krw_link</t>
        </is>
      </c>
      <c r="D107" s="1" t="inlineStr">
        <is>
          <t>원화 합계(백만원) — subQ 연결 행</t>
        </is>
      </c>
      <c r="E107" s="18">
        <f>SUM(E72:E105)</f>
        <v/>
      </c>
      <c r="F107" s="18">
        <f>SUM(F72:F105)</f>
        <v/>
      </c>
      <c r="G107" s="18">
        <f>SUM(G72:G105)</f>
        <v/>
      </c>
      <c r="H107" s="18">
        <f>SUM(H72:H105)</f>
        <v/>
      </c>
      <c r="I107" s="18">
        <f>SUM(I72:I105)</f>
        <v/>
      </c>
      <c r="J107" s="18">
        <f>SUM(J72:J105)</f>
        <v/>
      </c>
      <c r="K107" s="18">
        <f>SUM(K72:K105)</f>
        <v/>
      </c>
      <c r="L107" s="18">
        <f>SUM(L72:L105)</f>
        <v/>
      </c>
      <c r="M107" s="18">
        <f>SUM(M72:M105)</f>
        <v/>
      </c>
      <c r="N107" s="18">
        <f>SUM(N72:N105)</f>
        <v/>
      </c>
      <c r="O107" s="18">
        <f>SUM(O72:O105)</f>
        <v/>
      </c>
      <c r="P107" s="18">
        <f>SUM(P72:P105)</f>
        <v/>
      </c>
      <c r="Q107" s="18">
        <f>SUM(Q72:Q105)</f>
        <v/>
      </c>
      <c r="R107" s="18">
        <f>SUM(R72:R105)</f>
        <v/>
      </c>
      <c r="S107" s="18">
        <f>SUM(S72:S105)</f>
        <v/>
      </c>
      <c r="T107" s="18">
        <f>SUM(T72:T105)</f>
        <v/>
      </c>
      <c r="U107" s="18">
        <f>SUM(U72:U105)</f>
        <v/>
      </c>
      <c r="V107" s="18">
        <f>SUM(V72:V105)</f>
        <v/>
      </c>
      <c r="W107" s="18">
        <f>SUM(W72:W105)</f>
        <v/>
      </c>
      <c r="X107" s="18">
        <f>SUM(X72:X105)</f>
        <v/>
      </c>
      <c r="Y107" s="18">
        <f>SUM(Y72:Y105)</f>
        <v/>
      </c>
      <c r="Z107" s="18">
        <f>SUM(Z72:Z105)</f>
        <v/>
      </c>
      <c r="AA107" s="18">
        <f>SUM(AA72:AA105)</f>
        <v/>
      </c>
      <c r="AB107" s="18">
        <f>SUM(AB72:AB105)</f>
        <v/>
      </c>
      <c r="AC107" s="18">
        <f>SUM(AC72:AC105)</f>
        <v/>
      </c>
      <c r="AD107" s="18">
        <f>SUM(AD72:AD105)</f>
        <v/>
      </c>
      <c r="AE107" s="18">
        <f>SUM(AE72:AE105)</f>
        <v/>
      </c>
      <c r="AF107" s="18">
        <f>SUM(AF72:AF105)</f>
        <v/>
      </c>
      <c r="AG107" s="18">
        <f>SUM(AG72:AG105)</f>
        <v/>
      </c>
      <c r="AH107" s="18">
        <f>SUM(AH72:AH105)</f>
        <v/>
      </c>
      <c r="AI107" s="18">
        <f>SUM(AI72:AI105)</f>
        <v/>
      </c>
      <c r="AJ107" s="18">
        <f>SUM(AJ72:AJ105)</f>
        <v/>
      </c>
      <c r="AK107" s="18">
        <f>SUM(AK72:AK105)</f>
        <v/>
      </c>
      <c r="AL107" s="18">
        <f>SUM(AL72:AL105)</f>
        <v/>
      </c>
      <c r="AM107" s="18">
        <f>SUM(AM72:AM105)</f>
        <v/>
      </c>
      <c r="AN107" s="18">
        <f>SUM(AN72:AN105)</f>
        <v/>
      </c>
      <c r="AO107" s="18">
        <f>SUM(AO72:AO105)</f>
        <v/>
      </c>
      <c r="AP107" s="18">
        <f>SUM(AP72:AP105)</f>
        <v/>
      </c>
      <c r="AQ107" s="18">
        <f>SUM(AQ72:AQ105)</f>
        <v/>
      </c>
      <c r="AR107" s="18">
        <f>SUM(AR72:AR105)</f>
        <v/>
      </c>
      <c r="AS107" s="18">
        <f>SUM(AS72:AS105)</f>
        <v/>
      </c>
      <c r="AT107" s="18">
        <f>SUM(AT72:AT105)</f>
        <v/>
      </c>
      <c r="AU107" s="18">
        <f>SUM(AU72:AU105)</f>
        <v/>
      </c>
      <c r="AV107" s="18">
        <f>SUM(AV72:AV105)</f>
        <v/>
      </c>
      <c r="AW107" s="18">
        <f>SUM(AW72:AW105)</f>
        <v/>
      </c>
      <c r="AX107" s="18">
        <f>SUM(AX72:AX105)</f>
        <v/>
      </c>
      <c r="AY107" s="18">
        <f>SUM(AY72:AY105)</f>
        <v/>
      </c>
      <c r="AZ107" s="18">
        <f>SUM(AZ72:AZ105)</f>
        <v/>
      </c>
      <c r="BA107" s="18">
        <f>SUM(BA72:BA105)</f>
        <v/>
      </c>
      <c r="BB107" s="18">
        <f>SUM(BB72:BB105)</f>
        <v/>
      </c>
      <c r="BC107" s="18">
        <f>SUM(BC72:BC105)</f>
        <v/>
      </c>
      <c r="BD107" s="18">
        <f>SUM(BD72:BD105)</f>
        <v/>
      </c>
      <c r="BE107" s="18">
        <f>SUM(BE72:BE105)</f>
        <v/>
      </c>
    </row>
    <row r="109">
      <c r="A109" s="1" t="inlineStr">
        <is>
          <t>계약 원장(contracts.json 기반 — counted 아닌 계약 포함)</t>
        </is>
      </c>
    </row>
    <row r="110">
      <c r="A110" s="1" t="inlineStr">
        <is>
          <t>rcp</t>
        </is>
      </c>
      <c r="B110" s="1" t="inlineStr">
        <is>
          <t>type</t>
        </is>
      </c>
      <c r="C110" s="1" t="inlineStr">
        <is>
          <t>ships</t>
        </is>
      </c>
      <c r="D110" s="1" t="inlineStr">
        <is>
          <t>amt_krw_m</t>
        </is>
      </c>
      <c r="E110" s="1" t="inlineStr">
        <is>
          <t>amt_usd_m</t>
        </is>
      </c>
      <c r="F110" s="1" t="inlineStr">
        <is>
          <t>fx_at_sign</t>
        </is>
      </c>
      <c r="G110" s="1" t="inlineStr">
        <is>
          <t>signed</t>
        </is>
      </c>
      <c r="H110" s="1" t="inlineStr">
        <is>
          <t>start</t>
        </is>
      </c>
      <c r="I110" s="1" t="inlineStr">
        <is>
          <t>end</t>
        </is>
      </c>
      <c r="J110" s="1" t="inlineStr">
        <is>
          <t>cohort</t>
        </is>
      </c>
      <c r="K110" s="1" t="inlineStr">
        <is>
          <t>cohort_alt</t>
        </is>
      </c>
      <c r="L110" s="1" t="inlineStr">
        <is>
          <t>curve</t>
        </is>
      </c>
      <c r="M110" s="1" t="inlineStr">
        <is>
          <t>counted</t>
        </is>
      </c>
      <c r="N110" s="1" t="inlineStr">
        <is>
          <t>signed_by_origin</t>
        </is>
      </c>
      <c r="O110" s="1" t="inlineStr">
        <is>
          <t>estimated_series</t>
        </is>
      </c>
    </row>
    <row r="111">
      <c r="A111" t="inlineStr">
        <is>
          <t>20250905800030</t>
        </is>
      </c>
      <c r="B111" t="inlineStr">
        <is>
          <t>LNGC</t>
        </is>
      </c>
      <c r="C111" t="n">
        <v>1</v>
      </c>
      <c r="D111" t="n">
        <v>351200</v>
      </c>
      <c r="E111" t="n">
        <v>253.217</v>
      </c>
      <c r="F111" t="n">
        <v>1386.95</v>
      </c>
      <c r="G111" t="inlineStr">
        <is>
          <t>2025-09-04</t>
        </is>
      </c>
      <c r="H111" t="inlineStr">
        <is>
          <t>2025-09-04</t>
        </is>
      </c>
      <c r="I111" t="inlineStr">
        <is>
          <t>2028-03-31</t>
        </is>
      </c>
      <c r="J111" t="inlineStr">
        <is>
          <t>⑤초호황</t>
        </is>
      </c>
      <c r="K111" t="inlineStr">
        <is>
          <t>③중마진</t>
        </is>
      </c>
      <c r="L111" t="inlineStr">
        <is>
          <t>linear_progress</t>
        </is>
      </c>
      <c r="M111" t="b">
        <v>1</v>
      </c>
      <c r="N111" t="b">
        <v>1</v>
      </c>
      <c r="O111" t="b">
        <v>1</v>
      </c>
    </row>
    <row r="112">
      <c r="A112" t="inlineStr">
        <is>
          <t>20250915800507</t>
        </is>
      </c>
      <c r="B112" t="inlineStr">
        <is>
          <t>OFFSH</t>
        </is>
      </c>
      <c r="C112" t="n">
        <v>1</v>
      </c>
      <c r="D112" t="n">
        <v>1094800</v>
      </c>
      <c r="E112" t="n">
        <v>976.515</v>
      </c>
      <c r="F112" t="n">
        <v>1121.13</v>
      </c>
      <c r="G112" t="inlineStr">
        <is>
          <t>2021-06-11</t>
        </is>
      </c>
      <c r="H112" t="inlineStr">
        <is>
          <t>2021-06-11</t>
        </is>
      </c>
      <c r="I112" t="inlineStr">
        <is>
          <t>2027-02-05</t>
        </is>
      </c>
      <c r="J112" t="inlineStr">
        <is>
          <t>④호황</t>
        </is>
      </c>
      <c r="K112" t="inlineStr">
        <is>
          <t>④호황</t>
        </is>
      </c>
      <c r="L112" t="inlineStr">
        <is>
          <t>linear_progress</t>
        </is>
      </c>
      <c r="M112" t="b">
        <v>1</v>
      </c>
      <c r="N112" t="b">
        <v>1</v>
      </c>
      <c r="O112" t="b">
        <v>0</v>
      </c>
    </row>
    <row r="113">
      <c r="A113" t="inlineStr">
        <is>
          <t>20250917800008</t>
        </is>
      </c>
      <c r="B113" t="inlineStr">
        <is>
          <t>CONT</t>
        </is>
      </c>
      <c r="C113" t="n">
        <v>7</v>
      </c>
      <c r="D113" t="n">
        <v>1933600</v>
      </c>
      <c r="E113" t="n">
        <v>1394.138</v>
      </c>
      <c r="F113" t="n">
        <v>1386.95</v>
      </c>
      <c r="G113" t="inlineStr">
        <is>
          <t>2025-09-16</t>
        </is>
      </c>
      <c r="H113" t="inlineStr">
        <is>
          <t>2025-09-16</t>
        </is>
      </c>
      <c r="I113" t="inlineStr">
        <is>
          <t>2029-05-31</t>
        </is>
      </c>
      <c r="J113" t="inlineStr">
        <is>
          <t>⑤초호황</t>
        </is>
      </c>
      <c r="K113" t="inlineStr">
        <is>
          <t>③중마진</t>
        </is>
      </c>
      <c r="L113" t="inlineStr">
        <is>
          <t>linear_progress</t>
        </is>
      </c>
      <c r="M113" t="b">
        <v>1</v>
      </c>
      <c r="N113" t="b">
        <v>1</v>
      </c>
      <c r="O113" t="b">
        <v>1</v>
      </c>
    </row>
    <row r="114">
      <c r="A114" t="inlineStr">
        <is>
          <t>20251001800067</t>
        </is>
      </c>
      <c r="B114" t="inlineStr">
        <is>
          <t>LNGC</t>
        </is>
      </c>
      <c r="C114" t="n">
        <v>1</v>
      </c>
      <c r="D114" t="n">
        <v>353400</v>
      </c>
      <c r="E114" t="n">
        <v>254.804</v>
      </c>
      <c r="F114" t="n">
        <v>1386.95</v>
      </c>
      <c r="G114" t="inlineStr">
        <is>
          <t>2025-09-30</t>
        </is>
      </c>
      <c r="H114" t="inlineStr">
        <is>
          <t>2025-09-30</t>
        </is>
      </c>
      <c r="I114" t="inlineStr">
        <is>
          <t>2028-05-31</t>
        </is>
      </c>
      <c r="J114" t="inlineStr">
        <is>
          <t>⑤초호황</t>
        </is>
      </c>
      <c r="K114" t="inlineStr">
        <is>
          <t>③중마진</t>
        </is>
      </c>
      <c r="L114" t="inlineStr">
        <is>
          <t>linear_progress</t>
        </is>
      </c>
      <c r="M114" t="b">
        <v>1</v>
      </c>
      <c r="N114" t="b">
        <v>1</v>
      </c>
      <c r="O114" t="b">
        <v>1</v>
      </c>
    </row>
    <row r="115">
      <c r="A115" t="inlineStr">
        <is>
          <t>20251010800428</t>
        </is>
      </c>
      <c r="B115" t="inlineStr">
        <is>
          <t>VLGC</t>
        </is>
      </c>
      <c r="C115" t="n">
        <v>1</v>
      </c>
      <c r="D115" t="n">
        <v>163000</v>
      </c>
      <c r="E115" t="n">
        <v>123.297</v>
      </c>
      <c r="F115" t="n">
        <v>1322.01</v>
      </c>
      <c r="G115" t="inlineStr">
        <is>
          <t>2023-11-24</t>
        </is>
      </c>
      <c r="H115" t="inlineStr">
        <is>
          <t>2023-11-24</t>
        </is>
      </c>
      <c r="I115" t="inlineStr">
        <is>
          <t>2026-05-13</t>
        </is>
      </c>
      <c r="J115" t="inlineStr">
        <is>
          <t>⑤초호황</t>
        </is>
      </c>
      <c r="K115" t="inlineStr">
        <is>
          <t>③중마진</t>
        </is>
      </c>
      <c r="L115" t="inlineStr">
        <is>
          <t>linear_progress</t>
        </is>
      </c>
      <c r="M115" t="b">
        <v>1</v>
      </c>
      <c r="N115" t="b">
        <v>1</v>
      </c>
      <c r="O115" t="b">
        <v>0</v>
      </c>
    </row>
    <row r="116">
      <c r="A116" t="inlineStr">
        <is>
          <t>20251124800090</t>
        </is>
      </c>
      <c r="B116" t="inlineStr">
        <is>
          <t>VLCC</t>
        </is>
      </c>
      <c r="C116" t="n">
        <v>4</v>
      </c>
      <c r="D116" t="n">
        <v>757700</v>
      </c>
      <c r="E116" t="n">
        <v>522.8440000000001</v>
      </c>
      <c r="F116" t="n">
        <v>1449.19</v>
      </c>
      <c r="G116" t="inlineStr">
        <is>
          <t>2025-11-21</t>
        </is>
      </c>
      <c r="H116" t="inlineStr">
        <is>
          <t>2025-11-21</t>
        </is>
      </c>
      <c r="I116" t="inlineStr">
        <is>
          <t>2028-11-30</t>
        </is>
      </c>
      <c r="J116" t="inlineStr">
        <is>
          <t>⑤초호황</t>
        </is>
      </c>
      <c r="K116" t="inlineStr">
        <is>
          <t>④호황</t>
        </is>
      </c>
      <c r="L116" t="inlineStr">
        <is>
          <t>linear_progress</t>
        </is>
      </c>
      <c r="M116" t="b">
        <v>1</v>
      </c>
      <c r="N116" t="b">
        <v>1</v>
      </c>
      <c r="O116" t="b">
        <v>1</v>
      </c>
    </row>
    <row r="117">
      <c r="A117" t="inlineStr">
        <is>
          <t>20251127800598</t>
        </is>
      </c>
      <c r="B117" t="inlineStr">
        <is>
          <t>VLCC</t>
        </is>
      </c>
      <c r="C117" t="n">
        <v>2</v>
      </c>
      <c r="D117" t="n">
        <v>342000</v>
      </c>
      <c r="E117" t="n">
        <v>257.116</v>
      </c>
      <c r="F117" t="n">
        <v>1330.14</v>
      </c>
      <c r="G117" t="inlineStr">
        <is>
          <t>2024-02-22</t>
        </is>
      </c>
      <c r="H117" t="inlineStr">
        <is>
          <t>2024-02-22</t>
        </is>
      </c>
      <c r="I117" t="inlineStr">
        <is>
          <t>2026-03-06</t>
        </is>
      </c>
      <c r="J117" t="inlineStr">
        <is>
          <t>⑤초호황</t>
        </is>
      </c>
      <c r="K117" t="inlineStr">
        <is>
          <t>④호황</t>
        </is>
      </c>
      <c r="L117" t="inlineStr">
        <is>
          <t>linear_progress</t>
        </is>
      </c>
      <c r="M117" t="b">
        <v>1</v>
      </c>
      <c r="N117" t="b">
        <v>1</v>
      </c>
      <c r="O117" t="b">
        <v>0</v>
      </c>
    </row>
    <row r="118">
      <c r="A118" t="inlineStr">
        <is>
          <t>20251128800098</t>
        </is>
      </c>
      <c r="B118" t="inlineStr">
        <is>
          <t>CONT</t>
        </is>
      </c>
      <c r="C118" t="n">
        <v>4</v>
      </c>
      <c r="D118" t="n">
        <v>1070700</v>
      </c>
      <c r="E118" t="n">
        <v>738.827</v>
      </c>
      <c r="F118" t="n">
        <v>1449.19</v>
      </c>
      <c r="G118" t="inlineStr">
        <is>
          <t>2025-11-27</t>
        </is>
      </c>
      <c r="H118" t="inlineStr">
        <is>
          <t>2025-11-27</t>
        </is>
      </c>
      <c r="I118" t="inlineStr">
        <is>
          <t>2029-02-28</t>
        </is>
      </c>
      <c r="J118" t="inlineStr">
        <is>
          <t>⑤초호황</t>
        </is>
      </c>
      <c r="K118" t="inlineStr">
        <is>
          <t>③중마진</t>
        </is>
      </c>
      <c r="L118" t="inlineStr">
        <is>
          <t>linear_progress</t>
        </is>
      </c>
      <c r="M118" t="b">
        <v>1</v>
      </c>
      <c r="N118" t="b">
        <v>1</v>
      </c>
      <c r="O118" t="b">
        <v>1</v>
      </c>
    </row>
    <row r="119">
      <c r="A119" t="inlineStr">
        <is>
          <t>20251202800041</t>
        </is>
      </c>
      <c r="B119" t="inlineStr">
        <is>
          <t>VLCC</t>
        </is>
      </c>
      <c r="C119" t="n">
        <v>2</v>
      </c>
      <c r="D119" t="n">
        <v>375300</v>
      </c>
      <c r="E119" t="n">
        <v>258.972</v>
      </c>
      <c r="F119" t="n">
        <v>1449.19</v>
      </c>
      <c r="G119" t="inlineStr">
        <is>
          <t>2025-12-01</t>
        </is>
      </c>
      <c r="H119" t="inlineStr">
        <is>
          <t>2025-12-01</t>
        </is>
      </c>
      <c r="I119" t="inlineStr">
        <is>
          <t>2028-12-31</t>
        </is>
      </c>
      <c r="J119" t="inlineStr">
        <is>
          <t>⑤초호황</t>
        </is>
      </c>
      <c r="K119" t="inlineStr">
        <is>
          <t>④호황</t>
        </is>
      </c>
      <c r="L119" t="inlineStr">
        <is>
          <t>linear_progress</t>
        </is>
      </c>
      <c r="M119" t="b">
        <v>1</v>
      </c>
      <c r="N119" t="b">
        <v>1</v>
      </c>
      <c r="O119" t="b">
        <v>1</v>
      </c>
    </row>
    <row r="120">
      <c r="A120" t="inlineStr">
        <is>
          <t>20251219800049</t>
        </is>
      </c>
      <c r="B120" t="inlineStr">
        <is>
          <t>LNGC</t>
        </is>
      </c>
      <c r="C120" t="n">
        <v>7</v>
      </c>
      <c r="D120" t="n">
        <v>2589100</v>
      </c>
      <c r="E120" t="n">
        <v>1786.584</v>
      </c>
      <c r="F120" t="n">
        <v>1449.19</v>
      </c>
      <c r="G120" t="inlineStr">
        <is>
          <t>2025-12-18</t>
        </is>
      </c>
      <c r="H120" t="inlineStr">
        <is>
          <t>2025-12-18</t>
        </is>
      </c>
      <c r="I120" t="inlineStr">
        <is>
          <t>2029-06-30</t>
        </is>
      </c>
      <c r="J120" t="inlineStr">
        <is>
          <t>⑤초호황</t>
        </is>
      </c>
      <c r="K120" t="inlineStr">
        <is>
          <t>③중마진</t>
        </is>
      </c>
      <c r="L120" t="inlineStr">
        <is>
          <t>linear_progress</t>
        </is>
      </c>
      <c r="M120" t="b">
        <v>1</v>
      </c>
      <c r="N120" t="b">
        <v>1</v>
      </c>
      <c r="O120" t="b">
        <v>1</v>
      </c>
    </row>
    <row r="121">
      <c r="A121" t="inlineStr">
        <is>
          <t>20251223800047</t>
        </is>
      </c>
      <c r="B121" t="inlineStr">
        <is>
          <t>OFFSH</t>
        </is>
      </c>
      <c r="D121" t="n">
        <v>1971600</v>
      </c>
      <c r="E121" t="n">
        <v>1360.484</v>
      </c>
      <c r="F121" t="n">
        <v>1449.19</v>
      </c>
      <c r="G121" t="inlineStr">
        <is>
          <t>2025-12-22</t>
        </is>
      </c>
      <c r="H121" t="inlineStr">
        <is>
          <t>2025-12-22</t>
        </is>
      </c>
      <c r="I121" t="inlineStr">
        <is>
          <t>2029-06-19</t>
        </is>
      </c>
      <c r="L121" t="inlineStr">
        <is>
          <t>linear_progress</t>
        </is>
      </c>
      <c r="M121" t="b">
        <v>1</v>
      </c>
      <c r="N121" t="b">
        <v>1</v>
      </c>
      <c r="O121" t="b">
        <v>0</v>
      </c>
    </row>
    <row r="122">
      <c r="A122" t="inlineStr">
        <is>
          <t>20260115800042</t>
        </is>
      </c>
      <c r="B122" t="inlineStr">
        <is>
          <t>VLCC</t>
        </is>
      </c>
      <c r="C122" t="n">
        <v>3</v>
      </c>
      <c r="D122" t="n">
        <v>572200</v>
      </c>
      <c r="E122" t="n">
        <v>390.282</v>
      </c>
      <c r="F122" t="n">
        <v>1466.12</v>
      </c>
      <c r="G122" t="inlineStr">
        <is>
          <t>2026-01-14</t>
        </is>
      </c>
      <c r="H122" t="inlineStr">
        <is>
          <t>2026-01-14</t>
        </is>
      </c>
      <c r="I122" t="inlineStr">
        <is>
          <t>2029-04-30</t>
        </is>
      </c>
      <c r="J122" t="inlineStr">
        <is>
          <t>⑤초호황</t>
        </is>
      </c>
      <c r="K122" t="inlineStr">
        <is>
          <t>④호황</t>
        </is>
      </c>
      <c r="L122" t="inlineStr">
        <is>
          <t>linear_progress</t>
        </is>
      </c>
      <c r="M122" t="b">
        <v>1</v>
      </c>
      <c r="N122" t="b">
        <v>1</v>
      </c>
      <c r="O122" t="b">
        <v>0</v>
      </c>
    </row>
    <row r="123">
      <c r="A123" t="inlineStr">
        <is>
          <t>20260121800115</t>
        </is>
      </c>
      <c r="B123" t="inlineStr">
        <is>
          <t>LNGC</t>
        </is>
      </c>
      <c r="C123" t="n">
        <v>2</v>
      </c>
      <c r="D123" t="n">
        <v>738300</v>
      </c>
      <c r="E123" t="n">
        <v>503.574</v>
      </c>
      <c r="F123" t="n">
        <v>1466.12</v>
      </c>
      <c r="G123" t="inlineStr">
        <is>
          <t>2026-01-20</t>
        </is>
      </c>
      <c r="H123" t="inlineStr">
        <is>
          <t>2026-01-20</t>
        </is>
      </c>
      <c r="I123" t="inlineStr">
        <is>
          <t>2029-06-29</t>
        </is>
      </c>
      <c r="J123" t="inlineStr">
        <is>
          <t>⑤초호황</t>
        </is>
      </c>
      <c r="K123" t="inlineStr">
        <is>
          <t>③중마진</t>
        </is>
      </c>
      <c r="L123" t="inlineStr">
        <is>
          <t>linear_progress</t>
        </is>
      </c>
      <c r="M123" t="b">
        <v>1</v>
      </c>
      <c r="N123" t="b">
        <v>1</v>
      </c>
      <c r="O123" t="b">
        <v>0</v>
      </c>
    </row>
    <row r="124">
      <c r="A124" t="inlineStr">
        <is>
          <t>20260206800258</t>
        </is>
      </c>
      <c r="B124" t="inlineStr">
        <is>
          <t>OFFSH</t>
        </is>
      </c>
      <c r="C124" t="n">
        <v>1</v>
      </c>
      <c r="D124" t="n">
        <v>768700</v>
      </c>
      <c r="E124" t="n">
        <v>524.309</v>
      </c>
      <c r="F124" t="n">
        <v>1466.12</v>
      </c>
      <c r="G124" t="inlineStr">
        <is>
          <t>2026-02-06</t>
        </is>
      </c>
      <c r="H124" t="inlineStr">
        <is>
          <t>2026-02-06</t>
        </is>
      </c>
      <c r="I124" t="inlineStr">
        <is>
          <t>2028-05-31</t>
        </is>
      </c>
      <c r="J124" t="inlineStr">
        <is>
          <t>⑤초호황</t>
        </is>
      </c>
      <c r="K124" t="inlineStr">
        <is>
          <t>②BEP</t>
        </is>
      </c>
      <c r="L124" t="inlineStr">
        <is>
          <t>linear_progress</t>
        </is>
      </c>
      <c r="M124" t="b">
        <v>1</v>
      </c>
      <c r="N124" t="b">
        <v>1</v>
      </c>
      <c r="O124" t="b">
        <v>0</v>
      </c>
    </row>
    <row r="125">
      <c r="A125" t="inlineStr">
        <is>
          <t>20260220801130</t>
        </is>
      </c>
      <c r="B125" t="inlineStr">
        <is>
          <t>LNGC</t>
        </is>
      </c>
      <c r="C125" t="n">
        <v>1</v>
      </c>
      <c r="D125" t="n">
        <v>339600</v>
      </c>
      <c r="E125" t="n">
        <v>258.116</v>
      </c>
      <c r="F125" t="n">
        <v>1315.69</v>
      </c>
      <c r="G125" t="inlineStr">
        <is>
          <t>2023-04-07</t>
        </is>
      </c>
      <c r="H125" t="inlineStr">
        <is>
          <t>2023-04-07</t>
        </is>
      </c>
      <c r="I125" t="inlineStr">
        <is>
          <t>2027-08-31</t>
        </is>
      </c>
      <c r="J125" t="inlineStr">
        <is>
          <t>⑤초호황</t>
        </is>
      </c>
      <c r="K125" t="inlineStr">
        <is>
          <t>③중마진</t>
        </is>
      </c>
      <c r="L125" t="inlineStr">
        <is>
          <t>linear_progress</t>
        </is>
      </c>
      <c r="M125" t="b">
        <v>1</v>
      </c>
      <c r="N125" t="b">
        <v>1</v>
      </c>
      <c r="O125" t="b">
        <v>1</v>
      </c>
    </row>
    <row r="126">
      <c r="A126" t="inlineStr">
        <is>
          <t>20260220801140</t>
        </is>
      </c>
      <c r="B126" t="inlineStr">
        <is>
          <t>LNGC</t>
        </is>
      </c>
      <c r="C126" t="n">
        <v>1</v>
      </c>
      <c r="D126" t="n">
        <v>314500</v>
      </c>
      <c r="E126" t="n">
        <v>246.29</v>
      </c>
      <c r="F126" t="n">
        <v>1276.95</v>
      </c>
      <c r="G126" t="inlineStr">
        <is>
          <t>2023-02-10</t>
        </is>
      </c>
      <c r="H126" t="inlineStr">
        <is>
          <t>2023-02-10</t>
        </is>
      </c>
      <c r="I126" t="inlineStr">
        <is>
          <t>2027-03-31</t>
        </is>
      </c>
      <c r="J126" t="inlineStr">
        <is>
          <t>⑤초호황</t>
        </is>
      </c>
      <c r="K126" t="inlineStr">
        <is>
          <t>③중마진</t>
        </is>
      </c>
      <c r="L126" t="inlineStr">
        <is>
          <t>linear_progress</t>
        </is>
      </c>
      <c r="M126" t="b">
        <v>1</v>
      </c>
      <c r="N126" t="b">
        <v>1</v>
      </c>
      <c r="O126" t="b">
        <v>1</v>
      </c>
    </row>
    <row r="127">
      <c r="A127" t="inlineStr">
        <is>
          <t>20260325800201</t>
        </is>
      </c>
      <c r="B127" t="inlineStr">
        <is>
          <t>VLCC</t>
        </is>
      </c>
      <c r="C127" t="n">
        <v>3</v>
      </c>
      <c r="D127" t="n">
        <v>588700</v>
      </c>
      <c r="E127" t="n">
        <v>401.536</v>
      </c>
      <c r="F127" t="n">
        <v>1466.12</v>
      </c>
      <c r="G127" t="inlineStr">
        <is>
          <t>2026-03-24</t>
        </is>
      </c>
      <c r="H127" t="inlineStr">
        <is>
          <t>2026-03-24</t>
        </is>
      </c>
      <c r="I127" t="inlineStr">
        <is>
          <t>2029-06-29</t>
        </is>
      </c>
      <c r="J127" t="inlineStr">
        <is>
          <t>⑤초호황</t>
        </is>
      </c>
      <c r="K127" t="inlineStr">
        <is>
          <t>④호황</t>
        </is>
      </c>
      <c r="L127" t="inlineStr">
        <is>
          <t>linear_progress</t>
        </is>
      </c>
      <c r="M127" t="b">
        <v>1</v>
      </c>
      <c r="N127" t="b">
        <v>1</v>
      </c>
      <c r="O127" t="b">
        <v>1</v>
      </c>
    </row>
    <row r="128">
      <c r="A128" t="inlineStr">
        <is>
          <t>20260331803529</t>
        </is>
      </c>
      <c r="B128" t="inlineStr">
        <is>
          <t>NAVAL</t>
        </is>
      </c>
      <c r="C128" t="n">
        <v>3</v>
      </c>
      <c r="D128" t="n">
        <v>1162000</v>
      </c>
      <c r="E128" t="n">
        <v>995.127</v>
      </c>
      <c r="F128" t="n">
        <v>1167.69</v>
      </c>
      <c r="G128" t="inlineStr">
        <is>
          <t>2019-04-12</t>
        </is>
      </c>
      <c r="H128" t="inlineStr">
        <is>
          <t>2019-04-12</t>
        </is>
      </c>
      <c r="I128" t="inlineStr">
        <is>
          <t>2023-04-06</t>
        </is>
      </c>
      <c r="J128" t="inlineStr">
        <is>
          <t>③중마진</t>
        </is>
      </c>
      <c r="K128" t="inlineStr">
        <is>
          <t>④호황</t>
        </is>
      </c>
      <c r="L128" t="inlineStr">
        <is>
          <t>linear_progress</t>
        </is>
      </c>
      <c r="M128" t="b">
        <v>1</v>
      </c>
      <c r="N128" t="b">
        <v>1</v>
      </c>
      <c r="O128" t="b">
        <v>0</v>
      </c>
    </row>
    <row r="129">
      <c r="A129" t="inlineStr">
        <is>
          <t>20260408801023</t>
        </is>
      </c>
      <c r="B129" t="inlineStr">
        <is>
          <t>VLGC</t>
        </is>
      </c>
      <c r="C129" t="n">
        <v>1</v>
      </c>
      <c r="D129" t="n">
        <v>176400</v>
      </c>
      <c r="E129" t="n">
        <v>128.639</v>
      </c>
      <c r="F129" t="n">
        <v>1371.28</v>
      </c>
      <c r="G129" t="inlineStr">
        <is>
          <t>2024-04-16</t>
        </is>
      </c>
      <c r="H129" t="inlineStr">
        <is>
          <t>2024-05-07</t>
        </is>
      </c>
      <c r="I129" t="inlineStr">
        <is>
          <t>2026-08-19</t>
        </is>
      </c>
      <c r="J129" t="inlineStr">
        <is>
          <t>⑤초호황</t>
        </is>
      </c>
      <c r="K129" t="inlineStr">
        <is>
          <t>③중마진</t>
        </is>
      </c>
      <c r="L129" t="inlineStr">
        <is>
          <t>linear_progress</t>
        </is>
      </c>
      <c r="M129" t="b">
        <v>1</v>
      </c>
      <c r="N129" t="b">
        <v>1</v>
      </c>
      <c r="O129" t="b">
        <v>0</v>
      </c>
    </row>
    <row r="130">
      <c r="A130" t="inlineStr">
        <is>
          <t>20260409800345</t>
        </is>
      </c>
      <c r="B130" t="inlineStr">
        <is>
          <t>VLCC</t>
        </is>
      </c>
      <c r="C130" t="n">
        <v>2</v>
      </c>
      <c r="D130" t="n">
        <v>393300</v>
      </c>
      <c r="E130" t="n">
        <v>261.894</v>
      </c>
      <c r="F130" t="n">
        <v>1501.75</v>
      </c>
      <c r="G130" t="inlineStr">
        <is>
          <t>2026-04-08</t>
        </is>
      </c>
      <c r="H130" t="inlineStr">
        <is>
          <t>2026-04-08</t>
        </is>
      </c>
      <c r="I130" t="inlineStr">
        <is>
          <t>2030-01-04</t>
        </is>
      </c>
      <c r="J130" t="inlineStr">
        <is>
          <t>⑤초호황</t>
        </is>
      </c>
      <c r="K130" t="inlineStr">
        <is>
          <t>④호황</t>
        </is>
      </c>
      <c r="L130" t="inlineStr">
        <is>
          <t>linear_progress</t>
        </is>
      </c>
      <c r="M130" t="b">
        <v>1</v>
      </c>
      <c r="N130" t="b">
        <v>1</v>
      </c>
      <c r="O130" t="b">
        <v>1</v>
      </c>
    </row>
    <row r="131">
      <c r="A131" t="inlineStr">
        <is>
          <t>20260504800235</t>
        </is>
      </c>
      <c r="B131" t="inlineStr">
        <is>
          <t>VLGC</t>
        </is>
      </c>
      <c r="C131" t="n">
        <v>3</v>
      </c>
      <c r="D131" t="n">
        <v>507400</v>
      </c>
      <c r="E131" t="n">
        <v>337.872</v>
      </c>
      <c r="F131" t="n">
        <v>1501.75</v>
      </c>
      <c r="G131" t="inlineStr">
        <is>
          <t>2026-04-30</t>
        </is>
      </c>
      <c r="H131" t="inlineStr">
        <is>
          <t>2026-04-30</t>
        </is>
      </c>
      <c r="I131" t="inlineStr">
        <is>
          <t>2030-01-15</t>
        </is>
      </c>
      <c r="J131" t="inlineStr">
        <is>
          <t>⑤초호황</t>
        </is>
      </c>
      <c r="K131" t="inlineStr">
        <is>
          <t>③중마진</t>
        </is>
      </c>
      <c r="L131" t="inlineStr">
        <is>
          <t>linear_progress</t>
        </is>
      </c>
      <c r="M131" t="b">
        <v>1</v>
      </c>
      <c r="N131" t="b">
        <v>1</v>
      </c>
      <c r="O131" t="b">
        <v>0</v>
      </c>
    </row>
    <row r="132">
      <c r="A132" t="inlineStr">
        <is>
          <t>20260511800175</t>
        </is>
      </c>
      <c r="B132" t="inlineStr">
        <is>
          <t>LNGC</t>
        </is>
      </c>
      <c r="C132" t="n">
        <v>1</v>
      </c>
      <c r="D132" t="n">
        <v>363200</v>
      </c>
      <c r="E132" t="n">
        <v>241.851</v>
      </c>
      <c r="F132" t="n">
        <v>1501.75</v>
      </c>
      <c r="G132" t="inlineStr">
        <is>
          <t>2026-05-08</t>
        </is>
      </c>
      <c r="H132" t="inlineStr">
        <is>
          <t>2026-05-08</t>
        </is>
      </c>
      <c r="I132" t="inlineStr">
        <is>
          <t>2029-06-15</t>
        </is>
      </c>
      <c r="J132" t="inlineStr">
        <is>
          <t>⑤초호황</t>
        </is>
      </c>
      <c r="K132" t="inlineStr">
        <is>
          <t>③중마진</t>
        </is>
      </c>
      <c r="L132" t="inlineStr">
        <is>
          <t>linear_progress</t>
        </is>
      </c>
      <c r="M132" t="b">
        <v>1</v>
      </c>
      <c r="N132" t="b">
        <v>1</v>
      </c>
      <c r="O132" t="b">
        <v>1</v>
      </c>
    </row>
    <row r="133">
      <c r="A133" t="inlineStr">
        <is>
          <t>20260518800002</t>
        </is>
      </c>
      <c r="B133" t="inlineStr">
        <is>
          <t>LNGC</t>
        </is>
      </c>
      <c r="C133" t="n">
        <v>2</v>
      </c>
      <c r="D133" t="n">
        <v>756300</v>
      </c>
      <c r="E133" t="n">
        <v>515.851</v>
      </c>
      <c r="F133" t="n">
        <v>1466.12</v>
      </c>
      <c r="G133" t="inlineStr">
        <is>
          <t>2026-03-24</t>
        </is>
      </c>
      <c r="H133" t="inlineStr">
        <is>
          <t>2026-05-15</t>
        </is>
      </c>
      <c r="I133" t="inlineStr">
        <is>
          <t>2029-05-15</t>
        </is>
      </c>
      <c r="J133" t="inlineStr">
        <is>
          <t>⑤초호황</t>
        </is>
      </c>
      <c r="K133" t="inlineStr">
        <is>
          <t>③중마진</t>
        </is>
      </c>
      <c r="L133" t="inlineStr">
        <is>
          <t>linear_progress</t>
        </is>
      </c>
      <c r="M133" t="b">
        <v>1</v>
      </c>
      <c r="N133" t="b">
        <v>1</v>
      </c>
      <c r="O133" t="b">
        <v>0</v>
      </c>
    </row>
    <row r="134">
      <c r="A134" t="inlineStr">
        <is>
          <t>20260528800927</t>
        </is>
      </c>
      <c r="B134" t="inlineStr">
        <is>
          <t>OTHER</t>
        </is>
      </c>
      <c r="D134" t="n">
        <v>424500</v>
      </c>
      <c r="E134" t="n">
        <v>292.299</v>
      </c>
      <c r="F134" t="n">
        <v>1452.28</v>
      </c>
      <c r="G134" t="inlineStr">
        <is>
          <t>2025-02-25</t>
        </is>
      </c>
      <c r="H134" t="inlineStr">
        <is>
          <t>2025-02-25</t>
        </is>
      </c>
      <c r="I134" t="inlineStr">
        <is>
          <t>2028-01-31</t>
        </is>
      </c>
      <c r="L134" t="inlineStr">
        <is>
          <t>linear_progress</t>
        </is>
      </c>
      <c r="M134" t="b">
        <v>1</v>
      </c>
      <c r="N134" t="b">
        <v>1</v>
      </c>
      <c r="O134" t="b">
        <v>0</v>
      </c>
    </row>
    <row r="135">
      <c r="A135" t="inlineStr">
        <is>
          <t>20260529800152</t>
        </is>
      </c>
      <c r="B135" t="inlineStr">
        <is>
          <t>LNGC</t>
        </is>
      </c>
      <c r="C135" t="n">
        <v>1</v>
      </c>
      <c r="D135" t="n">
        <v>375900</v>
      </c>
      <c r="E135" t="n">
        <v>250.308</v>
      </c>
      <c r="F135" t="n">
        <v>1501.75</v>
      </c>
      <c r="G135" t="inlineStr">
        <is>
          <t>2026-05-28</t>
        </is>
      </c>
      <c r="H135" t="inlineStr">
        <is>
          <t>2026-05-28</t>
        </is>
      </c>
      <c r="I135" t="inlineStr">
        <is>
          <t>2029-09-28</t>
        </is>
      </c>
      <c r="J135" t="inlineStr">
        <is>
          <t>⑤초호황</t>
        </is>
      </c>
      <c r="K135" t="inlineStr">
        <is>
          <t>③중마진</t>
        </is>
      </c>
      <c r="L135" t="inlineStr">
        <is>
          <t>linear_progress</t>
        </is>
      </c>
      <c r="M135" t="b">
        <v>1</v>
      </c>
      <c r="N135" t="b">
        <v>1</v>
      </c>
      <c r="O135" t="b">
        <v>1</v>
      </c>
    </row>
    <row r="136">
      <c r="A136" t="inlineStr">
        <is>
          <t>20260619800742</t>
        </is>
      </c>
      <c r="B136" t="inlineStr">
        <is>
          <t>VLCC</t>
        </is>
      </c>
      <c r="C136" t="n">
        <v>4</v>
      </c>
      <c r="D136" t="n">
        <v>800100</v>
      </c>
      <c r="E136" t="n">
        <v>532.778</v>
      </c>
      <c r="F136" t="n">
        <v>1501.75</v>
      </c>
      <c r="G136" t="inlineStr">
        <is>
          <t>2026-06-12</t>
        </is>
      </c>
      <c r="H136" t="inlineStr">
        <is>
          <t>2026-06-19</t>
        </is>
      </c>
      <c r="I136" t="inlineStr">
        <is>
          <t>2030-02-22</t>
        </is>
      </c>
      <c r="J136" t="inlineStr">
        <is>
          <t>⑤초호황</t>
        </is>
      </c>
      <c r="K136" t="inlineStr">
        <is>
          <t>④호황</t>
        </is>
      </c>
      <c r="L136" t="inlineStr">
        <is>
          <t>linear_progress</t>
        </is>
      </c>
      <c r="M136" t="b">
        <v>1</v>
      </c>
      <c r="N136" t="b">
        <v>1</v>
      </c>
      <c r="O136" t="b">
        <v>1</v>
      </c>
    </row>
    <row r="137">
      <c r="A137" t="inlineStr">
        <is>
          <t>20260715800071</t>
        </is>
      </c>
      <c r="B137" t="inlineStr">
        <is>
          <t>VLCC</t>
        </is>
      </c>
      <c r="C137" t="n">
        <v>2</v>
      </c>
      <c r="D137" t="n">
        <v>394300</v>
      </c>
      <c r="E137" t="n">
        <v>277.921</v>
      </c>
      <c r="F137" t="n">
        <v>1418.75</v>
      </c>
      <c r="G137" t="inlineStr">
        <is>
          <t>2026-07-14</t>
        </is>
      </c>
      <c r="H137" t="inlineStr">
        <is>
          <t>2026-07-14</t>
        </is>
      </c>
      <c r="I137" t="inlineStr">
        <is>
          <t>2030-03-31</t>
        </is>
      </c>
      <c r="J137" t="inlineStr">
        <is>
          <t>⑤초호황</t>
        </is>
      </c>
      <c r="K137" t="inlineStr">
        <is>
          <t>④호황</t>
        </is>
      </c>
      <c r="L137" t="inlineStr">
        <is>
          <t>linear_progress</t>
        </is>
      </c>
      <c r="M137" t="b">
        <v>1</v>
      </c>
      <c r="N137" t="b">
        <v>0</v>
      </c>
      <c r="O137" t="b">
        <v>0</v>
      </c>
    </row>
    <row r="138">
      <c r="A138" t="inlineStr">
        <is>
          <t>20260731800216</t>
        </is>
      </c>
      <c r="B138" t="inlineStr">
        <is>
          <t>NAVAL</t>
        </is>
      </c>
      <c r="D138" t="n">
        <v>838000</v>
      </c>
      <c r="E138" t="n">
        <v>590.6609999999999</v>
      </c>
      <c r="F138" t="n">
        <v>1418.75</v>
      </c>
      <c r="G138" t="inlineStr">
        <is>
          <t>2026-07-31</t>
        </is>
      </c>
      <c r="H138" t="inlineStr">
        <is>
          <t>2026-07-31</t>
        </is>
      </c>
      <c r="I138" t="inlineStr">
        <is>
          <t>2032-06-30</t>
        </is>
      </c>
      <c r="L138" t="inlineStr">
        <is>
          <t>linear_progress</t>
        </is>
      </c>
      <c r="M138" t="b">
        <v>1</v>
      </c>
      <c r="N138" t="b">
        <v>0</v>
      </c>
      <c r="O138" t="b">
        <v>0</v>
      </c>
    </row>
    <row r="139">
      <c r="A139" t="inlineStr">
        <is>
          <t>20260803800706</t>
        </is>
      </c>
      <c r="B139" t="inlineStr">
        <is>
          <t>PC</t>
        </is>
      </c>
      <c r="D139" t="n">
        <v>527900</v>
      </c>
      <c r="E139" t="n">
        <v>372.088</v>
      </c>
      <c r="F139" t="n">
        <v>1418.75</v>
      </c>
      <c r="G139" t="inlineStr">
        <is>
          <t>2026-08-03</t>
        </is>
      </c>
      <c r="H139" t="inlineStr">
        <is>
          <t>2026-08-03</t>
        </is>
      </c>
      <c r="I139" t="inlineStr">
        <is>
          <t>2029-08-31</t>
        </is>
      </c>
      <c r="L139" t="inlineStr">
        <is>
          <t>linear_progress</t>
        </is>
      </c>
      <c r="M139" t="b">
        <v>1</v>
      </c>
      <c r="N139" t="b">
        <v>0</v>
      </c>
      <c r="O139" t="b">
        <v>0</v>
      </c>
    </row>
    <row r="140">
      <c r="A140" t="inlineStr">
        <is>
          <t>20260825800541</t>
        </is>
      </c>
      <c r="B140" t="inlineStr">
        <is>
          <t>OTHER</t>
        </is>
      </c>
      <c r="C140" t="n">
        <v>1</v>
      </c>
      <c r="D140" t="n">
        <v>902900</v>
      </c>
      <c r="E140" t="n">
        <v>748.8099999999999</v>
      </c>
      <c r="F140" t="n">
        <v>1205.78</v>
      </c>
      <c r="G140" t="inlineStr">
        <is>
          <t>2022-01-10</t>
        </is>
      </c>
      <c r="H140" t="inlineStr">
        <is>
          <t>2022-02-01</t>
        </is>
      </c>
      <c r="I140" t="inlineStr">
        <is>
          <t>2027-04-03</t>
        </is>
      </c>
      <c r="L140" t="inlineStr">
        <is>
          <t>linear_progress</t>
        </is>
      </c>
      <c r="M140" t="b">
        <v>1</v>
      </c>
      <c r="N140" t="b">
        <v>1</v>
      </c>
      <c r="O140" t="b">
        <v>0</v>
      </c>
    </row>
    <row r="141">
      <c r="A141" t="inlineStr">
        <is>
          <t>20260901800108</t>
        </is>
      </c>
      <c r="B141" t="inlineStr">
        <is>
          <t>VLGC</t>
        </is>
      </c>
      <c r="C141" t="n">
        <v>3</v>
      </c>
      <c r="D141" t="n">
        <v>477800</v>
      </c>
      <c r="E141" t="n">
        <v>336.775</v>
      </c>
      <c r="F141" t="n">
        <v>1418.75</v>
      </c>
      <c r="G141" t="inlineStr">
        <is>
          <t>2026-08-31</t>
        </is>
      </c>
      <c r="H141" t="inlineStr">
        <is>
          <t>2026-08-31</t>
        </is>
      </c>
      <c r="I141" t="inlineStr">
        <is>
          <t>2030-12-06</t>
        </is>
      </c>
      <c r="J141" t="inlineStr">
        <is>
          <t>⑤초호황</t>
        </is>
      </c>
      <c r="K141" t="inlineStr">
        <is>
          <t>③중마진</t>
        </is>
      </c>
      <c r="L141" t="inlineStr">
        <is>
          <t>linear_progress</t>
        </is>
      </c>
      <c r="M141" t="b">
        <v>1</v>
      </c>
      <c r="N141" t="b">
        <v>0</v>
      </c>
      <c r="O141" t="b">
        <v>0</v>
      </c>
    </row>
    <row r="142">
      <c r="A142" t="inlineStr">
        <is>
          <t>20260903800002</t>
        </is>
      </c>
      <c r="B142" t="inlineStr">
        <is>
          <t>CONT</t>
        </is>
      </c>
      <c r="C142" t="n">
        <v>6</v>
      </c>
      <c r="D142" t="n">
        <v>1552700</v>
      </c>
      <c r="E142" t="n">
        <v>1094.414</v>
      </c>
      <c r="F142" t="n">
        <v>1418.75</v>
      </c>
      <c r="G142" t="inlineStr">
        <is>
          <t>2026-09-02</t>
        </is>
      </c>
      <c r="H142" t="inlineStr">
        <is>
          <t>2026-09-02</t>
        </is>
      </c>
      <c r="I142" t="inlineStr">
        <is>
          <t>2029-09-30</t>
        </is>
      </c>
      <c r="J142" t="inlineStr">
        <is>
          <t>⑤초호황</t>
        </is>
      </c>
      <c r="K142" t="inlineStr">
        <is>
          <t>④호황</t>
        </is>
      </c>
      <c r="L142" t="inlineStr">
        <is>
          <t>linear_progress</t>
        </is>
      </c>
      <c r="M142" t="b">
        <v>1</v>
      </c>
      <c r="N142" t="b">
        <v>0</v>
      </c>
      <c r="O142" t="b">
        <v>1</v>
      </c>
    </row>
    <row r="143">
      <c r="A143" t="inlineStr">
        <is>
          <t>20260921800302</t>
        </is>
      </c>
      <c r="B143" t="inlineStr">
        <is>
          <t>VLCC</t>
        </is>
      </c>
      <c r="C143" t="n">
        <v>4</v>
      </c>
      <c r="D143" t="n">
        <v>719600</v>
      </c>
      <c r="E143" t="n">
        <v>524.765</v>
      </c>
      <c r="F143" t="n">
        <v>1371.28</v>
      </c>
      <c r="G143" t="inlineStr">
        <is>
          <t>2024-06-28</t>
        </is>
      </c>
      <c r="H143" t="inlineStr">
        <is>
          <t>2024-06-28</t>
        </is>
      </c>
      <c r="I143" t="inlineStr">
        <is>
          <t>2026-11-19</t>
        </is>
      </c>
      <c r="J143" t="inlineStr">
        <is>
          <t>⑤초호황</t>
        </is>
      </c>
      <c r="K143" t="inlineStr">
        <is>
          <t>④호황</t>
        </is>
      </c>
      <c r="L143" t="inlineStr">
        <is>
          <t>linear_progress</t>
        </is>
      </c>
      <c r="M143" t="b">
        <v>1</v>
      </c>
      <c r="N143" t="b">
        <v>1</v>
      </c>
      <c r="O143" t="b">
        <v>1</v>
      </c>
    </row>
    <row r="144">
      <c r="A144" t="inlineStr">
        <is>
          <t>20260928800496</t>
        </is>
      </c>
      <c r="B144" t="inlineStr">
        <is>
          <t>LNGC</t>
        </is>
      </c>
      <c r="C144" t="n">
        <v>2</v>
      </c>
      <c r="D144" t="n">
        <v>680000</v>
      </c>
      <c r="E144" t="n">
        <v>479.295</v>
      </c>
      <c r="F144" t="n">
        <v>1418.75</v>
      </c>
      <c r="G144" t="inlineStr">
        <is>
          <t>2026-09-23</t>
        </is>
      </c>
      <c r="H144" t="inlineStr">
        <is>
          <t>2026-09-23</t>
        </is>
      </c>
      <c r="I144" t="inlineStr">
        <is>
          <t>2029-11-02</t>
        </is>
      </c>
      <c r="J144" t="inlineStr">
        <is>
          <t>⑤초호황</t>
        </is>
      </c>
      <c r="K144" t="inlineStr">
        <is>
          <t>③중마진</t>
        </is>
      </c>
      <c r="L144" t="inlineStr">
        <is>
          <t>linear_progress</t>
        </is>
      </c>
      <c r="M144" t="b">
        <v>1</v>
      </c>
      <c r="N144" t="b">
        <v>0</v>
      </c>
      <c r="O144" t="b">
        <v>0</v>
      </c>
    </row>
    <row r="145">
      <c r="A145" s="2" t="inlineStr">
        <is>
          <t>⚠ 종료일 = 마지막 호선 인도 예정; 진행률 매출 분기는 계약기간 안에 선형 배분(가정)</t>
        </is>
      </c>
    </row>
    <row r="146">
      <c r="A146" s="2" t="inlineStr">
        <is>
          <t>⚠ 코호트 OPM 표 reference_calibrated 적용. 레퍼런스 미포 SLS 셀 OPM 을 2023~2027 매출가중한 유효 표는 ①-1.1% ②1% ③4.3% ④5.4% ⑤10.8%(이전 가정 표 ①-5% ②0% ③5% ④10% ⑤15% 는 레퍼런스 2024~26 보다 +3.8~5.1%p 높다 — cohort_opm_calibration.by_year). 다음 분기 2026Q3 타겟: 가정 14.76% vs 캘리브레이션 10.54%. 다른 표는 --opm-table assumed (하류 섹션 각주·모델 백테스트가 cohort_opm_table 을 읽는다)</t>
        </is>
      </c>
    </row>
    <row r="147">
      <c r="A147" s="2" t="inlineStr">
        <is>
          <t>⚠ 코호트 기본 모드 reference_anchor: 2025~ 수주 물량(백만$) 판정 ⑤초호황 100%. reference_anchor 는 수주연도 → 등급(≤2020 ③중마진 · 2021 ④호황 · 2022~ ⑤초호황; 출처 사용자 레퍼런스 모델 HD현대미포 SLS 의 클락슨 기반 판정을 건조기간 2~3년으로 되돌린 표 — 외부 신조선가 지수 미보유). ledger_relative 는 원장 내부 상대 등급(2025~ 판정 ②BEP 5%, ③중마진 62%, ④호황 33%; 2021 이후 절대 호황 수준 미반영). 대안 모드는 by_cohort_alt·target_opm_alt·calibration_alt 에 함께 저장. 타겟 OPM 은 기본 모드 기준이며 calibrated_shift(실측 − 타겟)로 실측 OPM 에 맞춘다 — 음수일 수 있다</t>
        </is>
      </c>
    </row>
    <row r="148">
      <c r="A148" s="2" t="inlineStr">
        <is>
          <t>⚠ 종료일 '-' 1건은 같은 선종 계약기간 중위로 종료 추정(end_estimated)</t>
        </is>
      </c>
    </row>
    <row r="149">
      <c r="A149" s="2" t="inlineStr">
        <is>
          <t>⚠ 정기보고서 부문 매출 3개월분 &gt; 연결 매출(fin) 12분기(2024Q2, 2025Q2, 2026Q1, 2026Q2; 최대 +5.0%) — 부문표가 내부거래 제거 전이거나 파서 문제(yards 레인). reconcile[q].exceeds_consolidated_pct 에 표시, ratio 는 그대로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C1" s="2" t="inlineStr">
        <is>
          <t>신규수주 시나리오(억원) — subQ 기준값 ± (시나리오 신규 − base 신규) × OPM</t>
        </is>
      </c>
      <c r="E1" s="3" t="inlineStr">
        <is>
          <t>3Q26</t>
        </is>
      </c>
      <c r="F1" s="3" t="inlineStr">
        <is>
          <t>4Q26</t>
        </is>
      </c>
      <c r="G1" s="3" t="n">
        <v>2026</v>
      </c>
      <c r="H1" s="3" t="inlineStr">
        <is>
          <t>1Q27</t>
        </is>
      </c>
      <c r="I1" s="3" t="inlineStr">
        <is>
          <t>2Q27</t>
        </is>
      </c>
      <c r="J1" s="3" t="inlineStr">
        <is>
          <t>3Q27</t>
        </is>
      </c>
      <c r="K1" s="3" t="inlineStr">
        <is>
          <t>4Q27</t>
        </is>
      </c>
      <c r="L1" s="3" t="n">
        <v>2027</v>
      </c>
      <c r="M1" s="3" t="inlineStr">
        <is>
          <t>1Q28</t>
        </is>
      </c>
      <c r="N1" s="3" t="inlineStr">
        <is>
          <t>2Q28</t>
        </is>
      </c>
      <c r="O1" s="3" t="inlineStr">
        <is>
          <t>3Q28</t>
        </is>
      </c>
      <c r="P1" s="3" t="inlineStr">
        <is>
          <t>4Q28</t>
        </is>
      </c>
      <c r="Q1" s="3" t="n">
        <v>2028</v>
      </c>
    </row>
    <row r="2">
      <c r="A2" s="2" t="inlineStr">
        <is>
          <t>출처: forecast_panel.json.gz scenarios.{conservative,base,optimistic}.quarterly[].covered_scope_new_revenue (KRW_million → 억원 ÷100) — 공시 수주 체결 분기별 상계 후(net_panel) · calibrated=False · 행(subQ)에 포함된 시나리오: base. 보수/낙관/기존만 은 합산하지 않는다. 모델 산출값 — 목표주가·추천 아님 · ※ 폴백(저신뢰): 패널이 전범위 new_order_revenue 를 비웠다(book_value_only, scope_unverified, insufficient_segment_history, insufficient_burn_history, insufficient_order_history, negative_net_inflow) → 같은 엔진·같은 R1 인식·같은 시나리오 정의의 covered_scope_new_revenue 사용. 모델 대상 부문 상선·기타 (제외 EP및특수선)만 덮고 제외 부문(EP및특수선)의 신규분은 반영되지 않는다, 패널 신규수주는 공시 체결 속도 대비 84% 수준(분기 평균 31,967억 vs 공시 체결 38,167억 — 대체로 같은 규모)</t>
        </is>
      </c>
    </row>
    <row r="3">
      <c r="A3" s="2" t="inlineStr">
        <is>
          <t>매출 = 기존(선표+잔고 소진+기타) + 시나리오 신규수주 매출; 영업이익 = 행 영업이익 + (시나리오 신규 − base 신규) × base OPM 경로. 보수/낙관·existing_only 는 행에 합산하지 않음(base 는 행과 동일). 모델 산출값 — 목표주가·추천 아님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</row>
    <row r="4">
      <c r="E4" s="7" t="inlineStr">
        <is>
          <t>2026.09</t>
        </is>
      </c>
      <c r="F4" s="7" t="inlineStr">
        <is>
          <t>2026.12</t>
        </is>
      </c>
      <c r="G4" s="7" t="inlineStr">
        <is>
          <t>2026.12A</t>
        </is>
      </c>
      <c r="H4" s="7" t="inlineStr">
        <is>
          <t>2027.03</t>
        </is>
      </c>
      <c r="I4" s="7" t="inlineStr">
        <is>
          <t>2027.06</t>
        </is>
      </c>
      <c r="J4" s="7" t="inlineStr">
        <is>
          <t>2027.09</t>
        </is>
      </c>
      <c r="K4" s="7" t="inlineStr">
        <is>
          <t>2027.12</t>
        </is>
      </c>
      <c r="L4" s="7" t="inlineStr">
        <is>
          <t>2027.12A</t>
        </is>
      </c>
      <c r="M4" s="7" t="inlineStr">
        <is>
          <t>2028.03</t>
        </is>
      </c>
      <c r="N4" s="7" t="inlineStr">
        <is>
          <t>2028.06</t>
        </is>
      </c>
      <c r="O4" s="7" t="inlineStr">
        <is>
          <t>2028.09</t>
        </is>
      </c>
      <c r="P4" s="7" t="inlineStr">
        <is>
          <t>2028.12</t>
        </is>
      </c>
      <c r="Q4" s="7" t="inlineStr">
        <is>
          <t>2028.12A</t>
        </is>
      </c>
    </row>
    <row r="5">
      <c r="A5" s="1" t="inlineStr">
        <is>
          <t>base</t>
        </is>
      </c>
      <c r="D5" s="1" t="inlineStr">
        <is>
          <t>기준(base — subQ 행에 포함) — 행에 포함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>
      <c r="A6" s="12" t="inlineStr">
        <is>
          <t>scn:base:신규수주매출</t>
        </is>
      </c>
      <c r="C6" t="inlineStr">
        <is>
          <t>억원</t>
        </is>
      </c>
      <c r="D6" t="inlineStr">
        <is>
          <t>신규수주 매출(억원) — subQ 매출조선신규 참조</t>
        </is>
      </c>
      <c r="E6" s="43">
        <f>subQ!AC39</f>
        <v/>
      </c>
      <c r="F6" s="43">
        <f>subQ!AD39</f>
        <v/>
      </c>
      <c r="G6" s="20">
        <f>SUM(E6:F6)</f>
        <v/>
      </c>
      <c r="H6" s="43">
        <f>subQ!AF39</f>
        <v/>
      </c>
      <c r="I6" s="43">
        <f>subQ!AG39</f>
        <v/>
      </c>
      <c r="J6" s="43">
        <f>subQ!AH39</f>
        <v/>
      </c>
      <c r="K6" s="43">
        <f>subQ!AI39</f>
        <v/>
      </c>
      <c r="L6" s="20">
        <f>SUM(H6:K6)</f>
        <v/>
      </c>
      <c r="M6" s="43">
        <f>subQ!AK39</f>
        <v/>
      </c>
      <c r="N6" s="43">
        <f>subQ!AL39</f>
        <v/>
      </c>
      <c r="O6" s="43">
        <f>subQ!AM39</f>
        <v/>
      </c>
      <c r="P6" s="43">
        <f>subQ!AN39</f>
        <v/>
      </c>
      <c r="Q6" s="20">
        <f>SUM(M6:P6)</f>
        <v/>
      </c>
    </row>
    <row r="7">
      <c r="A7" s="12" t="inlineStr">
        <is>
          <t>scn:base:매출액</t>
        </is>
      </c>
      <c r="C7" t="inlineStr">
        <is>
          <t>억원</t>
        </is>
      </c>
      <c r="D7" t="inlineStr">
        <is>
          <t>매출액 = subQ 매출액 − base 신규 + 이 시나리오 신규</t>
        </is>
      </c>
      <c r="E7" s="20">
        <f>IFERROR(subQ!AC5-E6+E6,"")</f>
        <v/>
      </c>
      <c r="F7" s="20">
        <f>IFERROR(subQ!AD5-F6+F6,"")</f>
        <v/>
      </c>
      <c r="G7" s="20">
        <f>IFERROR(SUM(E7:F7)+subQ!AA5+subQ!AB5,"")</f>
        <v/>
      </c>
      <c r="H7" s="20">
        <f>IFERROR(subQ!AF5-H6+H6,"")</f>
        <v/>
      </c>
      <c r="I7" s="20">
        <f>IFERROR(subQ!AG5-I6+I6,"")</f>
        <v/>
      </c>
      <c r="J7" s="20">
        <f>IFERROR(subQ!AH5-J6+J6,"")</f>
        <v/>
      </c>
      <c r="K7" s="20">
        <f>IFERROR(subQ!AI5-K6+K6,"")</f>
        <v/>
      </c>
      <c r="L7" s="20">
        <f>IFERROR(SUM(H7:K7),"")</f>
        <v/>
      </c>
      <c r="M7" s="20">
        <f>IFERROR(subQ!AK5-M6+M6,"")</f>
        <v/>
      </c>
      <c r="N7" s="20">
        <f>IFERROR(subQ!AL5-N6+N6,"")</f>
        <v/>
      </c>
      <c r="O7" s="20">
        <f>IFERROR(subQ!AM5-O6+O6,"")</f>
        <v/>
      </c>
      <c r="P7" s="20">
        <f>IFERROR(subQ!AN5-P6+P6,"")</f>
        <v/>
      </c>
      <c r="Q7" s="20">
        <f>IFERROR(SUM(M7:P7),"")</f>
        <v/>
      </c>
    </row>
    <row r="8">
      <c r="A8" s="12" t="inlineStr">
        <is>
          <t>scn:base:영업이익</t>
        </is>
      </c>
      <c r="C8" t="inlineStr">
        <is>
          <t>억원</t>
        </is>
      </c>
      <c r="D8" t="inlineStr">
        <is>
          <t>영업이익 = subQ 영업이익 + (이 시나리오 신규 − base 신규) × OPM(변수 드라이버)</t>
        </is>
      </c>
      <c r="E8" s="20">
        <f>IFERROR(subQ!AC9+(E6-E6)*변수!AC42,"")</f>
        <v/>
      </c>
      <c r="F8" s="20">
        <f>IFERROR(subQ!AD9+(F6-F6)*변수!AD42,"")</f>
        <v/>
      </c>
      <c r="G8" s="20">
        <f>IFERROR(SUM(E8:F8)+subQ!AA9+subQ!AB9,"")</f>
        <v/>
      </c>
      <c r="H8" s="20">
        <f>IFERROR(subQ!AF9+(H6-H6)*변수!AF42,"")</f>
        <v/>
      </c>
      <c r="I8" s="20">
        <f>IFERROR(subQ!AG9+(I6-I6)*변수!AG42,"")</f>
        <v/>
      </c>
      <c r="J8" s="20">
        <f>IFERROR(subQ!AH9+(J6-J6)*변수!AH42,"")</f>
        <v/>
      </c>
      <c r="K8" s="20">
        <f>IFERROR(subQ!AI9+(K6-K6)*변수!AI42,"")</f>
        <v/>
      </c>
      <c r="L8" s="20">
        <f>IFERROR(SUM(H8:K8),"")</f>
        <v/>
      </c>
      <c r="M8" s="20">
        <f>IFERROR(subQ!AK9+(M6-M6)*변수!AK42,"")</f>
        <v/>
      </c>
      <c r="N8" s="20">
        <f>IFERROR(subQ!AL9+(N6-N6)*변수!AL42,"")</f>
        <v/>
      </c>
      <c r="O8" s="20">
        <f>IFERROR(subQ!AM9+(O6-O6)*변수!AM42,"")</f>
        <v/>
      </c>
      <c r="P8" s="20">
        <f>IFERROR(subQ!AN9+(P6-P6)*변수!AN42,"")</f>
        <v/>
      </c>
      <c r="Q8" s="20">
        <f>IFERROR(SUM(M8:P8),"")</f>
        <v/>
      </c>
    </row>
    <row r="9">
      <c r="A9" s="12" t="inlineStr">
        <is>
          <t>scn:base:OPM</t>
        </is>
      </c>
      <c r="C9" t="inlineStr">
        <is>
          <t>%</t>
        </is>
      </c>
      <c r="D9" t="inlineStr">
        <is>
          <t>OPM</t>
        </is>
      </c>
      <c r="E9" s="32">
        <f>IFERROR(E8/E7,"")</f>
        <v/>
      </c>
      <c r="F9" s="32">
        <f>IFERROR(F8/F7,"")</f>
        <v/>
      </c>
      <c r="G9" s="32">
        <f>IFERROR(G8/G7,"")</f>
        <v/>
      </c>
      <c r="H9" s="32">
        <f>IFERROR(H8/H7,"")</f>
        <v/>
      </c>
      <c r="I9" s="32">
        <f>IFERROR(I8/I7,"")</f>
        <v/>
      </c>
      <c r="J9" s="32">
        <f>IFERROR(J8/J7,"")</f>
        <v/>
      </c>
      <c r="K9" s="32">
        <f>IFERROR(K8/K7,"")</f>
        <v/>
      </c>
      <c r="L9" s="32">
        <f>IFERROR(L8/L7,"")</f>
        <v/>
      </c>
      <c r="M9" s="32">
        <f>IFERROR(M8/M7,"")</f>
        <v/>
      </c>
      <c r="N9" s="32">
        <f>IFERROR(N8/N7,"")</f>
        <v/>
      </c>
      <c r="O9" s="32">
        <f>IFERROR(O8/O7,"")</f>
        <v/>
      </c>
      <c r="P9" s="32">
        <f>IFERROR(P8/P7,"")</f>
        <v/>
      </c>
      <c r="Q9" s="32">
        <f>IFERROR(Q8/Q7,"")</f>
        <v/>
      </c>
    </row>
    <row r="10"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</row>
    <row r="11">
      <c r="A11" s="1" t="inlineStr">
        <is>
          <t>existing_only</t>
        </is>
      </c>
      <c r="D11" s="1" t="inlineStr">
        <is>
          <t>기존 잔고만(신규수주 0)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2" t="inlineStr">
        <is>
          <t>scn:existing_only:신규수주매출</t>
        </is>
      </c>
      <c r="C12" t="inlineStr">
        <is>
          <t>억원</t>
        </is>
      </c>
      <c r="D12" t="inlineStr">
        <is>
          <t>신규수주 매출(억원) — 패널 값(노란, 가정)</t>
        </is>
      </c>
      <c r="E12" s="34" t="n">
        <v>0</v>
      </c>
      <c r="F12" s="34" t="n">
        <v>0</v>
      </c>
      <c r="G12" s="20">
        <f>SUM(E12:F12)</f>
        <v/>
      </c>
      <c r="H12" s="34" t="n">
        <v>0</v>
      </c>
      <c r="I12" s="34" t="n">
        <v>0</v>
      </c>
      <c r="J12" s="34" t="n">
        <v>0</v>
      </c>
      <c r="K12" s="34" t="n">
        <v>0</v>
      </c>
      <c r="L12" s="20">
        <f>SUM(H12:K12)</f>
        <v/>
      </c>
      <c r="M12" s="34" t="n">
        <v>0</v>
      </c>
      <c r="N12" s="34" t="n">
        <v>0</v>
      </c>
      <c r="O12" s="34" t="n">
        <v>0</v>
      </c>
      <c r="P12" s="34" t="n">
        <v>0</v>
      </c>
      <c r="Q12" s="20">
        <f>SUM(M12:P12)</f>
        <v/>
      </c>
    </row>
    <row r="13">
      <c r="A13" s="12" t="inlineStr">
        <is>
          <t>scn:existing_only:매출액</t>
        </is>
      </c>
      <c r="C13" t="inlineStr">
        <is>
          <t>억원</t>
        </is>
      </c>
      <c r="D13" t="inlineStr">
        <is>
          <t>매출액 = subQ 매출액 − base 신규 + 이 시나리오 신규</t>
        </is>
      </c>
      <c r="E13" s="20">
        <f>IFERROR(subQ!AC5-E6+E12,"")</f>
        <v/>
      </c>
      <c r="F13" s="20">
        <f>IFERROR(subQ!AD5-F6+F12,"")</f>
        <v/>
      </c>
      <c r="G13" s="20">
        <f>IFERROR(SUM(E13:F13)+subQ!AA5+subQ!AB5,"")</f>
        <v/>
      </c>
      <c r="H13" s="20">
        <f>IFERROR(subQ!AF5-H6+H12,"")</f>
        <v/>
      </c>
      <c r="I13" s="20">
        <f>IFERROR(subQ!AG5-I6+I12,"")</f>
        <v/>
      </c>
      <c r="J13" s="20">
        <f>IFERROR(subQ!AH5-J6+J12,"")</f>
        <v/>
      </c>
      <c r="K13" s="20">
        <f>IFERROR(subQ!AI5-K6+K12,"")</f>
        <v/>
      </c>
      <c r="L13" s="20">
        <f>IFERROR(SUM(H13:K13),"")</f>
        <v/>
      </c>
      <c r="M13" s="20">
        <f>IFERROR(subQ!AK5-M6+M12,"")</f>
        <v/>
      </c>
      <c r="N13" s="20">
        <f>IFERROR(subQ!AL5-N6+N12,"")</f>
        <v/>
      </c>
      <c r="O13" s="20">
        <f>IFERROR(subQ!AM5-O6+O12,"")</f>
        <v/>
      </c>
      <c r="P13" s="20">
        <f>IFERROR(subQ!AN5-P6+P12,"")</f>
        <v/>
      </c>
      <c r="Q13" s="20">
        <f>IFERROR(SUM(M13:P13),"")</f>
        <v/>
      </c>
    </row>
    <row r="14">
      <c r="A14" s="12" t="inlineStr">
        <is>
          <t>scn:existing_only:영업이익</t>
        </is>
      </c>
      <c r="C14" t="inlineStr">
        <is>
          <t>억원</t>
        </is>
      </c>
      <c r="D14" t="inlineStr">
        <is>
          <t>영업이익 = subQ 영업이익 + (이 시나리오 신규 − base 신규) × OPM(변수 드라이버)</t>
        </is>
      </c>
      <c r="E14" s="20">
        <f>IFERROR(subQ!AC9+(E12-E6)*변수!AC42,"")</f>
        <v/>
      </c>
      <c r="F14" s="20">
        <f>IFERROR(subQ!AD9+(F12-F6)*변수!AD42,"")</f>
        <v/>
      </c>
      <c r="G14" s="20">
        <f>IFERROR(SUM(E14:F14)+subQ!AA9+subQ!AB9,"")</f>
        <v/>
      </c>
      <c r="H14" s="20">
        <f>IFERROR(subQ!AF9+(H12-H6)*변수!AF42,"")</f>
        <v/>
      </c>
      <c r="I14" s="20">
        <f>IFERROR(subQ!AG9+(I12-I6)*변수!AG42,"")</f>
        <v/>
      </c>
      <c r="J14" s="20">
        <f>IFERROR(subQ!AH9+(J12-J6)*변수!AH42,"")</f>
        <v/>
      </c>
      <c r="K14" s="20">
        <f>IFERROR(subQ!AI9+(K12-K6)*변수!AI42,"")</f>
        <v/>
      </c>
      <c r="L14" s="20">
        <f>IFERROR(SUM(H14:K14),"")</f>
        <v/>
      </c>
      <c r="M14" s="20">
        <f>IFERROR(subQ!AK9+(M12-M6)*변수!AK42,"")</f>
        <v/>
      </c>
      <c r="N14" s="20">
        <f>IFERROR(subQ!AL9+(N12-N6)*변수!AL42,"")</f>
        <v/>
      </c>
      <c r="O14" s="20">
        <f>IFERROR(subQ!AM9+(O12-O6)*변수!AM42,"")</f>
        <v/>
      </c>
      <c r="P14" s="20">
        <f>IFERROR(subQ!AN9+(P12-P6)*변수!AN42,"")</f>
        <v/>
      </c>
      <c r="Q14" s="20">
        <f>IFERROR(SUM(M14:P14),"")</f>
        <v/>
      </c>
    </row>
    <row r="15">
      <c r="A15" s="12" t="inlineStr">
        <is>
          <t>scn:existing_only:OPM</t>
        </is>
      </c>
      <c r="C15" t="inlineStr">
        <is>
          <t>%</t>
        </is>
      </c>
      <c r="D15" t="inlineStr">
        <is>
          <t>OPM</t>
        </is>
      </c>
      <c r="E15" s="32">
        <f>IFERROR(E14/E13,"")</f>
        <v/>
      </c>
      <c r="F15" s="32">
        <f>IFERROR(F14/F13,"")</f>
        <v/>
      </c>
      <c r="G15" s="32">
        <f>IFERROR(G14/G13,"")</f>
        <v/>
      </c>
      <c r="H15" s="32">
        <f>IFERROR(H14/H13,"")</f>
        <v/>
      </c>
      <c r="I15" s="32">
        <f>IFERROR(I14/I13,"")</f>
        <v/>
      </c>
      <c r="J15" s="32">
        <f>IFERROR(J14/J13,"")</f>
        <v/>
      </c>
      <c r="K15" s="32">
        <f>IFERROR(K14/K13,"")</f>
        <v/>
      </c>
      <c r="L15" s="32">
        <f>IFERROR(L14/L13,"")</f>
        <v/>
      </c>
      <c r="M15" s="32">
        <f>IFERROR(M14/M13,"")</f>
        <v/>
      </c>
      <c r="N15" s="32">
        <f>IFERROR(N14/N13,"")</f>
        <v/>
      </c>
      <c r="O15" s="32">
        <f>IFERROR(O14/O13,"")</f>
        <v/>
      </c>
      <c r="P15" s="32">
        <f>IFERROR(P14/P13,"")</f>
        <v/>
      </c>
      <c r="Q15" s="32">
        <f>IFERROR(Q14/Q13,"")</f>
        <v/>
      </c>
    </row>
    <row r="16"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</row>
    <row r="17">
      <c r="A17" s="1" t="inlineStr">
        <is>
          <t>conservative</t>
        </is>
      </c>
      <c r="D17" s="1" t="inlineStr">
        <is>
          <t>보수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</row>
    <row r="18">
      <c r="A18" s="12" t="inlineStr">
        <is>
          <t>scn:conservative:신규수주매출</t>
        </is>
      </c>
      <c r="C18" t="inlineStr">
        <is>
          <t>억원</t>
        </is>
      </c>
      <c r="D18" t="inlineStr">
        <is>
          <t>신규수주 매출(억원) — 패널 값(노란, 가정)</t>
        </is>
      </c>
      <c r="E18" s="34" t="n">
        <v>0</v>
      </c>
      <c r="F18" s="34" t="n">
        <v>0</v>
      </c>
      <c r="G18" s="20">
        <f>SUM(E18:F18)</f>
        <v/>
      </c>
      <c r="H18" s="34" t="n">
        <v>112.77</v>
      </c>
      <c r="I18" s="34" t="n">
        <v>427.02</v>
      </c>
      <c r="J18" s="34" t="n">
        <v>906.65</v>
      </c>
      <c r="K18" s="34" t="n">
        <v>1515.57</v>
      </c>
      <c r="L18" s="20">
        <f>SUM(H18:K18)</f>
        <v/>
      </c>
      <c r="M18" s="34" t="n">
        <v>2217.68</v>
      </c>
      <c r="N18" s="34" t="n">
        <v>2976.88</v>
      </c>
      <c r="O18" s="34" t="n">
        <v>3757.09</v>
      </c>
      <c r="P18" s="34" t="n">
        <v>4522.2</v>
      </c>
      <c r="Q18" s="20">
        <f>SUM(M18:P18)</f>
        <v/>
      </c>
    </row>
    <row r="19">
      <c r="A19" s="12" t="inlineStr">
        <is>
          <t>scn:conservative:매출액</t>
        </is>
      </c>
      <c r="C19" t="inlineStr">
        <is>
          <t>억원</t>
        </is>
      </c>
      <c r="D19" t="inlineStr">
        <is>
          <t>매출액 = subQ 매출액 − base 신규 + 이 시나리오 신규</t>
        </is>
      </c>
      <c r="E19" s="20">
        <f>IFERROR(subQ!AC5-E6+E18,"")</f>
        <v/>
      </c>
      <c r="F19" s="20">
        <f>IFERROR(subQ!AD5-F6+F18,"")</f>
        <v/>
      </c>
      <c r="G19" s="20">
        <f>IFERROR(SUM(E19:F19)+subQ!AA5+subQ!AB5,"")</f>
        <v/>
      </c>
      <c r="H19" s="20">
        <f>IFERROR(subQ!AF5-H6+H18,"")</f>
        <v/>
      </c>
      <c r="I19" s="20">
        <f>IFERROR(subQ!AG5-I6+I18,"")</f>
        <v/>
      </c>
      <c r="J19" s="20">
        <f>IFERROR(subQ!AH5-J6+J18,"")</f>
        <v/>
      </c>
      <c r="K19" s="20">
        <f>IFERROR(subQ!AI5-K6+K18,"")</f>
        <v/>
      </c>
      <c r="L19" s="20">
        <f>IFERROR(SUM(H19:K19),"")</f>
        <v/>
      </c>
      <c r="M19" s="20">
        <f>IFERROR(subQ!AK5-M6+M18,"")</f>
        <v/>
      </c>
      <c r="N19" s="20">
        <f>IFERROR(subQ!AL5-N6+N18,"")</f>
        <v/>
      </c>
      <c r="O19" s="20">
        <f>IFERROR(subQ!AM5-O6+O18,"")</f>
        <v/>
      </c>
      <c r="P19" s="20">
        <f>IFERROR(subQ!AN5-P6+P18,"")</f>
        <v/>
      </c>
      <c r="Q19" s="20">
        <f>IFERROR(SUM(M19:P19),"")</f>
        <v/>
      </c>
    </row>
    <row r="20">
      <c r="A20" s="12" t="inlineStr">
        <is>
          <t>scn:conservative:영업이익</t>
        </is>
      </c>
      <c r="C20" t="inlineStr">
        <is>
          <t>억원</t>
        </is>
      </c>
      <c r="D20" t="inlineStr">
        <is>
          <t>영업이익 = subQ 영업이익 + (이 시나리오 신규 − base 신규) × OPM(변수 드라이버)</t>
        </is>
      </c>
      <c r="E20" s="20">
        <f>IFERROR(subQ!AC9+(E18-E6)*변수!AC42,"")</f>
        <v/>
      </c>
      <c r="F20" s="20">
        <f>IFERROR(subQ!AD9+(F18-F6)*변수!AD42,"")</f>
        <v/>
      </c>
      <c r="G20" s="20">
        <f>IFERROR(SUM(E20:F20)+subQ!AA9+subQ!AB9,"")</f>
        <v/>
      </c>
      <c r="H20" s="20">
        <f>IFERROR(subQ!AF9+(H18-H6)*변수!AF42,"")</f>
        <v/>
      </c>
      <c r="I20" s="20">
        <f>IFERROR(subQ!AG9+(I18-I6)*변수!AG42,"")</f>
        <v/>
      </c>
      <c r="J20" s="20">
        <f>IFERROR(subQ!AH9+(J18-J6)*변수!AH42,"")</f>
        <v/>
      </c>
      <c r="K20" s="20">
        <f>IFERROR(subQ!AI9+(K18-K6)*변수!AI42,"")</f>
        <v/>
      </c>
      <c r="L20" s="20">
        <f>IFERROR(SUM(H20:K20),"")</f>
        <v/>
      </c>
      <c r="M20" s="20">
        <f>IFERROR(subQ!AK9+(M18-M6)*변수!AK42,"")</f>
        <v/>
      </c>
      <c r="N20" s="20">
        <f>IFERROR(subQ!AL9+(N18-N6)*변수!AL42,"")</f>
        <v/>
      </c>
      <c r="O20" s="20">
        <f>IFERROR(subQ!AM9+(O18-O6)*변수!AM42,"")</f>
        <v/>
      </c>
      <c r="P20" s="20">
        <f>IFERROR(subQ!AN9+(P18-P6)*변수!AN42,"")</f>
        <v/>
      </c>
      <c r="Q20" s="20">
        <f>IFERROR(SUM(M20:P20),"")</f>
        <v/>
      </c>
    </row>
    <row r="21">
      <c r="A21" s="12" t="inlineStr">
        <is>
          <t>scn:conservative:OPM</t>
        </is>
      </c>
      <c r="C21" t="inlineStr">
        <is>
          <t>%</t>
        </is>
      </c>
      <c r="D21" t="inlineStr">
        <is>
          <t>OPM</t>
        </is>
      </c>
      <c r="E21" s="32">
        <f>IFERROR(E20/E19,"")</f>
        <v/>
      </c>
      <c r="F21" s="32">
        <f>IFERROR(F20/F19,"")</f>
        <v/>
      </c>
      <c r="G21" s="32">
        <f>IFERROR(G20/G19,"")</f>
        <v/>
      </c>
      <c r="H21" s="32">
        <f>IFERROR(H20/H19,"")</f>
        <v/>
      </c>
      <c r="I21" s="32">
        <f>IFERROR(I20/I19,"")</f>
        <v/>
      </c>
      <c r="J21" s="32">
        <f>IFERROR(J20/J19,"")</f>
        <v/>
      </c>
      <c r="K21" s="32">
        <f>IFERROR(K20/K19,"")</f>
        <v/>
      </c>
      <c r="L21" s="32">
        <f>IFERROR(L20/L19,"")</f>
        <v/>
      </c>
      <c r="M21" s="32">
        <f>IFERROR(M20/M19,"")</f>
        <v/>
      </c>
      <c r="N21" s="32">
        <f>IFERROR(N20/N19,"")</f>
        <v/>
      </c>
      <c r="O21" s="32">
        <f>IFERROR(O20/O19,"")</f>
        <v/>
      </c>
      <c r="P21" s="32">
        <f>IFERROR(P20/P19,"")</f>
        <v/>
      </c>
      <c r="Q21" s="32">
        <f>IFERROR(Q20/Q19,"")</f>
        <v/>
      </c>
    </row>
    <row r="22"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</row>
    <row r="23">
      <c r="A23" s="1" t="inlineStr">
        <is>
          <t>optimistic</t>
        </is>
      </c>
      <c r="D23" s="1" t="inlineStr">
        <is>
          <t>낙관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</row>
    <row r="24">
      <c r="A24" s="12" t="inlineStr">
        <is>
          <t>scn:optimistic:신규수주매출</t>
        </is>
      </c>
      <c r="C24" t="inlineStr">
        <is>
          <t>억원</t>
        </is>
      </c>
      <c r="D24" t="inlineStr">
        <is>
          <t>신규수주 매출(억원) — 패널 값(노란, 가정)</t>
        </is>
      </c>
      <c r="E24" s="34" t="n">
        <v>0</v>
      </c>
      <c r="F24" s="34" t="n">
        <v>96</v>
      </c>
      <c r="G24" s="20">
        <f>SUM(E24:F24)</f>
        <v/>
      </c>
      <c r="H24" s="34" t="n">
        <v>960.62</v>
      </c>
      <c r="I24" s="34" t="n">
        <v>3032.79</v>
      </c>
      <c r="J24" s="34" t="n">
        <v>6090.68</v>
      </c>
      <c r="K24" s="34" t="n">
        <v>9912.43</v>
      </c>
      <c r="L24" s="20">
        <f>SUM(H24:K24)</f>
        <v/>
      </c>
      <c r="M24" s="34" t="n">
        <v>14276.2</v>
      </c>
      <c r="N24" s="34" t="n">
        <v>18960.14</v>
      </c>
      <c r="O24" s="34" t="n">
        <v>23742.4</v>
      </c>
      <c r="P24" s="34" t="n">
        <v>28401.13</v>
      </c>
      <c r="Q24" s="20">
        <f>SUM(M24:P24)</f>
        <v/>
      </c>
    </row>
    <row r="25">
      <c r="A25" s="12" t="inlineStr">
        <is>
          <t>scn:optimistic:매출액</t>
        </is>
      </c>
      <c r="C25" t="inlineStr">
        <is>
          <t>억원</t>
        </is>
      </c>
      <c r="D25" t="inlineStr">
        <is>
          <t>매출액 = subQ 매출액 − base 신규 + 이 시나리오 신규</t>
        </is>
      </c>
      <c r="E25" s="20">
        <f>IFERROR(subQ!AC5-E6+E24,"")</f>
        <v/>
      </c>
      <c r="F25" s="20">
        <f>IFERROR(subQ!AD5-F6+F24,"")</f>
        <v/>
      </c>
      <c r="G25" s="20">
        <f>IFERROR(SUM(E25:F25)+subQ!AA5+subQ!AB5,"")</f>
        <v/>
      </c>
      <c r="H25" s="20">
        <f>IFERROR(subQ!AF5-H6+H24,"")</f>
        <v/>
      </c>
      <c r="I25" s="20">
        <f>IFERROR(subQ!AG5-I6+I24,"")</f>
        <v/>
      </c>
      <c r="J25" s="20">
        <f>IFERROR(subQ!AH5-J6+J24,"")</f>
        <v/>
      </c>
      <c r="K25" s="20">
        <f>IFERROR(subQ!AI5-K6+K24,"")</f>
        <v/>
      </c>
      <c r="L25" s="20">
        <f>IFERROR(SUM(H25:K25),"")</f>
        <v/>
      </c>
      <c r="M25" s="20">
        <f>IFERROR(subQ!AK5-M6+M24,"")</f>
        <v/>
      </c>
      <c r="N25" s="20">
        <f>IFERROR(subQ!AL5-N6+N24,"")</f>
        <v/>
      </c>
      <c r="O25" s="20">
        <f>IFERROR(subQ!AM5-O6+O24,"")</f>
        <v/>
      </c>
      <c r="P25" s="20">
        <f>IFERROR(subQ!AN5-P6+P24,"")</f>
        <v/>
      </c>
      <c r="Q25" s="20">
        <f>IFERROR(SUM(M25:P25),"")</f>
        <v/>
      </c>
    </row>
    <row r="26">
      <c r="A26" s="12" t="inlineStr">
        <is>
          <t>scn:optimistic:영업이익</t>
        </is>
      </c>
      <c r="C26" t="inlineStr">
        <is>
          <t>억원</t>
        </is>
      </c>
      <c r="D26" t="inlineStr">
        <is>
          <t>영업이익 = subQ 영업이익 + (이 시나리오 신규 − base 신규) × OPM(변수 드라이버)</t>
        </is>
      </c>
      <c r="E26" s="20">
        <f>IFERROR(subQ!AC9+(E24-E6)*변수!AC42,"")</f>
        <v/>
      </c>
      <c r="F26" s="20">
        <f>IFERROR(subQ!AD9+(F24-F6)*변수!AD42,"")</f>
        <v/>
      </c>
      <c r="G26" s="20">
        <f>IFERROR(SUM(E26:F26)+subQ!AA9+subQ!AB9,"")</f>
        <v/>
      </c>
      <c r="H26" s="20">
        <f>IFERROR(subQ!AF9+(H24-H6)*변수!AF42,"")</f>
        <v/>
      </c>
      <c r="I26" s="20">
        <f>IFERROR(subQ!AG9+(I24-I6)*변수!AG42,"")</f>
        <v/>
      </c>
      <c r="J26" s="20">
        <f>IFERROR(subQ!AH9+(J24-J6)*변수!AH42,"")</f>
        <v/>
      </c>
      <c r="K26" s="20">
        <f>IFERROR(subQ!AI9+(K24-K6)*변수!AI42,"")</f>
        <v/>
      </c>
      <c r="L26" s="20">
        <f>IFERROR(SUM(H26:K26),"")</f>
        <v/>
      </c>
      <c r="M26" s="20">
        <f>IFERROR(subQ!AK9+(M24-M6)*변수!AK42,"")</f>
        <v/>
      </c>
      <c r="N26" s="20">
        <f>IFERROR(subQ!AL9+(N24-N6)*변수!AL42,"")</f>
        <v/>
      </c>
      <c r="O26" s="20">
        <f>IFERROR(subQ!AM9+(O24-O6)*변수!AM42,"")</f>
        <v/>
      </c>
      <c r="P26" s="20">
        <f>IFERROR(subQ!AN9+(P24-P6)*변수!AN42,"")</f>
        <v/>
      </c>
      <c r="Q26" s="20">
        <f>IFERROR(SUM(M26:P26),"")</f>
        <v/>
      </c>
    </row>
    <row r="27">
      <c r="A27" s="12" t="inlineStr">
        <is>
          <t>scn:optimistic:OPM</t>
        </is>
      </c>
      <c r="C27" t="inlineStr">
        <is>
          <t>%</t>
        </is>
      </c>
      <c r="D27" t="inlineStr">
        <is>
          <t>OPM</t>
        </is>
      </c>
      <c r="E27" s="32">
        <f>IFERROR(E26/E25,"")</f>
        <v/>
      </c>
      <c r="F27" s="32">
        <f>IFERROR(F26/F25,"")</f>
        <v/>
      </c>
      <c r="G27" s="32">
        <f>IFERROR(G26/G25,"")</f>
        <v/>
      </c>
      <c r="H27" s="32">
        <f>IFERROR(H26/H25,"")</f>
        <v/>
      </c>
      <c r="I27" s="32">
        <f>IFERROR(I26/I25,"")</f>
        <v/>
      </c>
      <c r="J27" s="32">
        <f>IFERROR(J26/J25,"")</f>
        <v/>
      </c>
      <c r="K27" s="32">
        <f>IFERROR(K26/K25,"")</f>
        <v/>
      </c>
      <c r="L27" s="32">
        <f>IFERROR(L26/L25,"")</f>
        <v/>
      </c>
      <c r="M27" s="32">
        <f>IFERROR(M26/M25,"")</f>
        <v/>
      </c>
      <c r="N27" s="32">
        <f>IFERROR(N26/N25,"")</f>
        <v/>
      </c>
      <c r="O27" s="32">
        <f>IFERROR(O26/O25,"")</f>
        <v/>
      </c>
      <c r="P27" s="32">
        <f>IFERROR(P26/P25,"")</f>
        <v/>
      </c>
      <c r="Q27" s="32">
        <f>IFERROR(Q26/Q25,"")</f>
        <v/>
      </c>
    </row>
    <row r="28"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4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변수!D47</f>
        <v/>
      </c>
      <c r="W2" s="45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6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8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8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8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8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8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9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8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8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8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8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8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8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8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8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8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8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8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8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8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8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8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8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8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8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8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8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8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6">
        <f>IFERROR(VLOOKUP($A32,subQ,MATCH(E$1,SUBQH,0),0),"")</f>
        <v/>
      </c>
      <c r="F32" s="26">
        <f>IFERROR(VLOOKUP($A32,subQ,MATCH(F$1,SUBQH,0),0),"")</f>
        <v/>
      </c>
      <c r="G32" s="26">
        <f>IFERROR(VLOOKUP($A32,subQ,MATCH(G$1,SUBQH,0),0),"")</f>
        <v/>
      </c>
      <c r="H32" s="26">
        <f>IFERROR(VLOOKUP($A32,subQ,MATCH(H$1,SUBQH,0),0),"")</f>
        <v/>
      </c>
      <c r="I32" s="26">
        <f>IFERROR(VLOOKUP($A32,subQ,MATCH(I$1,SUBQH,0),0),"")</f>
        <v/>
      </c>
      <c r="J32" s="26">
        <f>IFERROR(VLOOKUP($A32,subQ,MATCH(J$1,SUBQH,0),0),"")</f>
        <v/>
      </c>
      <c r="K32" s="26">
        <f>IFERROR(VLOOKUP($A32,subQ,MATCH(K$1,SUBQH,0),0),"")</f>
        <v/>
      </c>
      <c r="L32" s="26">
        <f>IFERROR(VLOOKUP($A32,subQ,MATCH(L$1,SUBQH,0),0),"")</f>
        <v/>
      </c>
      <c r="M32" s="26">
        <f>IFERROR(VLOOKUP($A32,subQ,MATCH(M$1,SUBQH,0),0),"")</f>
        <v/>
      </c>
      <c r="N32" s="26">
        <f>IFERROR(VLOOKUP($A32,subQ,MATCH(N$1,SUBQH,0),0),"")</f>
        <v/>
      </c>
      <c r="O32" s="26">
        <f>IFERROR(VLOOKUP($A32,subQ,MATCH(O$1,SUBQH,0),0),"")</f>
        <v/>
      </c>
      <c r="P32" s="26">
        <f>IFERROR(VLOOKUP($A32,subQ,MATCH(P$1,SUBQH,0),0),"")</f>
        <v/>
      </c>
      <c r="Q32" s="26">
        <f>IFERROR(VLOOKUP($A32,subQ,MATCH(Q$1,SUBQH,0),0),"")</f>
        <v/>
      </c>
      <c r="R32" s="26">
        <f>IFERROR(VLOOKUP($A32,subQ,MATCH(R$1,SUBQH,0),0),"")</f>
        <v/>
      </c>
      <c r="S32" s="26">
        <f>IFERROR(VLOOKUP($A32,subQ,MATCH(S$1,SUBQH,0),0),"")</f>
        <v/>
      </c>
      <c r="T32" s="26">
        <f>IFERROR(VLOOKUP($A32,subQ,MATCH(T$1,SUBQH,0),0),"")</f>
        <v/>
      </c>
      <c r="U32" s="26">
        <f>IFERROR(VLOOKUP($A32,subQ,MATCH(U$1,SUBQH,0),0),"")</f>
        <v/>
      </c>
      <c r="V32" s="26">
        <f>IFERROR(VLOOKUP($A32,subQ,MATCH(V$1,SUBQH,0),0),"")</f>
        <v/>
      </c>
      <c r="W32" s="50">
        <f>IFERROR(VLOOKUP($A32,subQ,MATCH(W$1,SUBQH,0),0),"")</f>
        <v/>
      </c>
      <c r="X32" s="33">
        <f>IFERROR(VLOOKUP($A32,subQ,MATCH(X$1,SUBQH,0),0),"")</f>
        <v/>
      </c>
      <c r="Y32" s="33">
        <f>IFERROR(VLOOKUP($A32,subQ,MATCH(Y$1,SUBQH,0),0),"")</f>
        <v/>
      </c>
      <c r="Z32" s="33">
        <f>IFERROR(VLOOKUP($A32,subQ,MATCH(Z$1,SUBQH,0),0),"")</f>
        <v/>
      </c>
      <c r="AA32" s="33">
        <f>IFERROR(VLOOKUP($A32,subQ,MATCH(AA$1,SUBQH,0),0),"")</f>
        <v/>
      </c>
      <c r="AB32" s="33">
        <f>IFERROR(VLOOKUP($A32,subQ,MATCH(AB$1,SUBQH,0),0),"")</f>
        <v/>
      </c>
      <c r="AC32" s="33">
        <f>IFERROR(VLOOKUP($A32,subQ,MATCH(AC$1,SUBQH,0),0),"")</f>
        <v/>
      </c>
      <c r="AD32" s="33">
        <f>IFERROR(VLOOKUP($A32,subQ,MATCH(AD$1,SUBQH,0),0),"")</f>
        <v/>
      </c>
      <c r="AE32" s="33">
        <f>IFERROR(VLOOKUP($A32,subQ,MATCH(AE$1,SUBQH,0),0),"")</f>
        <v/>
      </c>
      <c r="AF32" s="33">
        <f>IFERROR(VLOOKUP($A32,subQ,MATCH(AF$1,SUBQH,0),0),"")</f>
        <v/>
      </c>
      <c r="AG32" s="33">
        <f>IFERROR(VLOOKUP($A32,subQ,MATCH(AG$1,SUBQH,0),0),"")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8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8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8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51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51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매출조선</t>
        </is>
      </c>
      <c r="D38" t="inlineStr">
        <is>
          <t>매출 조선·해양(상선·해양및특수선·EP및특수선)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8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매출조선신규</t>
        </is>
      </c>
      <c r="D39" t="inlineStr">
        <is>
          <t>매출 조선·해양(상선·해양및특수선·EP및특수선) 신규수주(forecast_panel base(공시 상계) — 매출조선에 포함)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8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OP조선</t>
        </is>
      </c>
      <c r="D40" t="inlineStr">
        <is>
          <t>OP 조선·해양(상선·해양및특수선·EP및특수선)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8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OP조선신규</t>
        </is>
      </c>
      <c r="D41" t="inlineStr">
        <is>
          <t>OP 조선·해양(상선·해양및특수선·EP및특수선) 신규수주(매출조선신규 × OPM — OP조선에 포함)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18">
        <f>IFERROR(VLOOKUP($A41,subQ,MATCH(I$1,SUBQH,0),0),"")</f>
        <v/>
      </c>
      <c r="J41" s="18">
        <f>IFERROR(VLOOKUP($A41,subQ,MATCH(J$1,SUBQH,0),0),"")</f>
        <v/>
      </c>
      <c r="K41" s="18">
        <f>IFERROR(VLOOKUP($A41,subQ,MATCH(K$1,SUBQH,0),0),"")</f>
        <v/>
      </c>
      <c r="L41" s="18">
        <f>IFERROR(VLOOKUP($A41,subQ,MATCH(L$1,SUBQH,0),0),"")</f>
        <v/>
      </c>
      <c r="M41" s="18">
        <f>IFERROR(VLOOKUP($A41,subQ,MATCH(M$1,SUBQH,0),0),"")</f>
        <v/>
      </c>
      <c r="N41" s="18">
        <f>IFERROR(VLOOKUP($A41,subQ,MATCH(N$1,SUBQH,0),0),"")</f>
        <v/>
      </c>
      <c r="O41" s="18">
        <f>IFERROR(VLOOKUP($A41,subQ,MATCH(O$1,SUBQH,0),0),"")</f>
        <v/>
      </c>
      <c r="P41" s="18">
        <f>IFERROR(VLOOKUP($A41,subQ,MATCH(P$1,SUBQH,0),0),"")</f>
        <v/>
      </c>
      <c r="Q41" s="18">
        <f>IFERROR(VLOOKUP($A41,subQ,MATCH(Q$1,SUBQH,0),0),"")</f>
        <v/>
      </c>
      <c r="R41" s="18">
        <f>IFERROR(VLOOKUP($A41,subQ,MATCH(R$1,SUBQH,0),0),"")</f>
        <v/>
      </c>
      <c r="S41" s="18">
        <f>IFERROR(VLOOKUP($A41,subQ,MATCH(S$1,SUBQH,0),0),"")</f>
        <v/>
      </c>
      <c r="T41" s="18">
        <f>IFERROR(VLOOKUP($A41,subQ,MATCH(T$1,SUBQH,0),0),"")</f>
        <v/>
      </c>
      <c r="U41" s="18">
        <f>IFERROR(VLOOKUP($A41,subQ,MATCH(U$1,SUBQH,0),0),"")</f>
        <v/>
      </c>
      <c r="V41" s="18">
        <f>IFERROR(VLOOKUP($A41,subQ,MATCH(V$1,SUBQH,0),0),"")</f>
        <v/>
      </c>
      <c r="W41" s="48">
        <f>IFERROR(VLOOKUP($A41,subQ,MATCH(W$1,SUBQH,0),0),"")</f>
        <v/>
      </c>
      <c r="X41" s="20">
        <f>IFERROR(VLOOKUP($A41,subQ,MATCH(X$1,SUBQH,0),0),"")</f>
        <v/>
      </c>
      <c r="Y41" s="20">
        <f>IFERROR(VLOOKUP($A41,subQ,MATCH(Y$1,SUBQH,0),0),"")</f>
        <v/>
      </c>
      <c r="Z41" s="20">
        <f>IFERROR(VLOOKUP($A41,subQ,MATCH(Z$1,SUBQH,0),0),"")</f>
        <v/>
      </c>
      <c r="AA41" s="20">
        <f>IFERROR(VLOOKUP($A41,subQ,MATCH(AA$1,SUBQH,0),0),"")</f>
        <v/>
      </c>
      <c r="AB41" s="20">
        <f>IFERROR(VLOOKUP($A41,subQ,MATCH(AB$1,SUBQH,0),0),"")</f>
        <v/>
      </c>
      <c r="AC41" s="20">
        <f>IFERROR(VLOOKUP($A41,subQ,MATCH(AC$1,SUBQH,0),0),"")</f>
        <v/>
      </c>
      <c r="AD41" s="20">
        <f>IFERROR(VLOOKUP($A41,subQ,MATCH(AD$1,SUBQH,0),0),"")</f>
        <v/>
      </c>
      <c r="AE41" s="20">
        <f>IFERROR(VLOOKUP($A41,subQ,MATCH(AE$1,SUBQH,0),0),"")</f>
        <v/>
      </c>
      <c r="AF41" s="20">
        <f>IFERROR(VLOOKUP($A41,subQ,MATCH(AF$1,SUBQH,0),0),"")</f>
        <v/>
      </c>
      <c r="AG41" s="20">
        <f>IFERROR(VLOOKUP($A41,subQ,MATCH(AG$1,SUBQH,0),0),"")</f>
        <v/>
      </c>
    </row>
    <row r="42">
      <c r="A42" s="12" t="inlineStr">
        <is>
          <t>매출기타</t>
        </is>
      </c>
      <c r="D42" t="inlineStr">
        <is>
          <t>매출 기타 부문(총매출 − 조선)</t>
        </is>
      </c>
      <c r="E42" s="18">
        <f>IFERROR(VLOOKUP($A42,subQ,MATCH(E$1,SUBQH,0),0),"")</f>
        <v/>
      </c>
      <c r="F42" s="18">
        <f>IFERROR(VLOOKUP($A42,subQ,MATCH(F$1,SUBQH,0),0),"")</f>
        <v/>
      </c>
      <c r="G42" s="18">
        <f>IFERROR(VLOOKUP($A42,subQ,MATCH(G$1,SUBQH,0),0),"")</f>
        <v/>
      </c>
      <c r="H42" s="18">
        <f>IFERROR(VLOOKUP($A42,subQ,MATCH(H$1,SUBQH,0),0),"")</f>
        <v/>
      </c>
      <c r="I42" s="18">
        <f>IFERROR(VLOOKUP($A42,subQ,MATCH(I$1,SUBQH,0),0),"")</f>
        <v/>
      </c>
      <c r="J42" s="18">
        <f>IFERROR(VLOOKUP($A42,subQ,MATCH(J$1,SUBQH,0),0),"")</f>
        <v/>
      </c>
      <c r="K42" s="18">
        <f>IFERROR(VLOOKUP($A42,subQ,MATCH(K$1,SUBQH,0),0),"")</f>
        <v/>
      </c>
      <c r="L42" s="18">
        <f>IFERROR(VLOOKUP($A42,subQ,MATCH(L$1,SUBQH,0),0),"")</f>
        <v/>
      </c>
      <c r="M42" s="18">
        <f>IFERROR(VLOOKUP($A42,subQ,MATCH(M$1,SUBQH,0),0),"")</f>
        <v/>
      </c>
      <c r="N42" s="18">
        <f>IFERROR(VLOOKUP($A42,subQ,MATCH(N$1,SUBQH,0),0),"")</f>
        <v/>
      </c>
      <c r="O42" s="18">
        <f>IFERROR(VLOOKUP($A42,subQ,MATCH(O$1,SUBQH,0),0),"")</f>
        <v/>
      </c>
      <c r="P42" s="18">
        <f>IFERROR(VLOOKUP($A42,subQ,MATCH(P$1,SUBQH,0),0),"")</f>
        <v/>
      </c>
      <c r="Q42" s="18">
        <f>IFERROR(VLOOKUP($A42,subQ,MATCH(Q$1,SUBQH,0),0),"")</f>
        <v/>
      </c>
      <c r="R42" s="18">
        <f>IFERROR(VLOOKUP($A42,subQ,MATCH(R$1,SUBQH,0),0),"")</f>
        <v/>
      </c>
      <c r="S42" s="18">
        <f>IFERROR(VLOOKUP($A42,subQ,MATCH(S$1,SUBQH,0),0),"")</f>
        <v/>
      </c>
      <c r="T42" s="18">
        <f>IFERROR(VLOOKUP($A42,subQ,MATCH(T$1,SUBQH,0),0),"")</f>
        <v/>
      </c>
      <c r="U42" s="18">
        <f>IFERROR(VLOOKUP($A42,subQ,MATCH(U$1,SUBQH,0),0),"")</f>
        <v/>
      </c>
      <c r="V42" s="18">
        <f>IFERROR(VLOOKUP($A42,subQ,MATCH(V$1,SUBQH,0),0),"")</f>
        <v/>
      </c>
      <c r="W42" s="48">
        <f>IFERROR(VLOOKUP($A42,subQ,MATCH(W$1,SUBQH,0),0),"")</f>
        <v/>
      </c>
      <c r="X42" s="20">
        <f>IFERROR(VLOOKUP($A42,subQ,MATCH(X$1,SUBQH,0),0),"")</f>
        <v/>
      </c>
      <c r="Y42" s="20">
        <f>IFERROR(VLOOKUP($A42,subQ,MATCH(Y$1,SUBQH,0),0),"")</f>
        <v/>
      </c>
      <c r="Z42" s="20">
        <f>IFERROR(VLOOKUP($A42,subQ,MATCH(Z$1,SUBQH,0),0),"")</f>
        <v/>
      </c>
      <c r="AA42" s="20">
        <f>IFERROR(VLOOKUP($A42,subQ,MATCH(AA$1,SUBQH,0),0),"")</f>
        <v/>
      </c>
      <c r="AB42" s="20">
        <f>IFERROR(VLOOKUP($A42,subQ,MATCH(AB$1,SUBQH,0),0),"")</f>
        <v/>
      </c>
      <c r="AC42" s="20">
        <f>IFERROR(VLOOKUP($A42,subQ,MATCH(AC$1,SUBQH,0),0),"")</f>
        <v/>
      </c>
      <c r="AD42" s="20">
        <f>IFERROR(VLOOKUP($A42,subQ,MATCH(AD$1,SUBQH,0),0),"")</f>
        <v/>
      </c>
      <c r="AE42" s="20">
        <f>IFERROR(VLOOKUP($A42,subQ,MATCH(AE$1,SUBQH,0),0),"")</f>
        <v/>
      </c>
      <c r="AF42" s="20">
        <f>IFERROR(VLOOKUP($A42,subQ,MATCH(AF$1,SUBQH,0),0),"")</f>
        <v/>
      </c>
      <c r="AG42" s="20">
        <f>IFERROR(VLOOKUP($A42,subQ,MATCH(AG$1,SUBQH,0),0),"")</f>
        <v/>
      </c>
    </row>
    <row r="43">
      <c r="A43" s="12" t="inlineStr">
        <is>
          <t>OP기타</t>
        </is>
      </c>
      <c r="D43" t="inlineStr">
        <is>
          <t>OP 기타 부문(총매출 − 조선)</t>
        </is>
      </c>
      <c r="E43" s="18">
        <f>IFERROR(VLOOKUP($A43,subQ,MATCH(E$1,SUBQH,0),0),"")</f>
        <v/>
      </c>
      <c r="F43" s="18">
        <f>IFERROR(VLOOKUP($A43,subQ,MATCH(F$1,SUBQH,0),0),"")</f>
        <v/>
      </c>
      <c r="G43" s="18">
        <f>IFERROR(VLOOKUP($A43,subQ,MATCH(G$1,SUBQH,0),0),"")</f>
        <v/>
      </c>
      <c r="H43" s="18">
        <f>IFERROR(VLOOKUP($A43,subQ,MATCH(H$1,SUBQH,0),0),"")</f>
        <v/>
      </c>
      <c r="I43" s="18">
        <f>IFERROR(VLOOKUP($A43,subQ,MATCH(I$1,SUBQH,0),0),"")</f>
        <v/>
      </c>
      <c r="J43" s="18">
        <f>IFERROR(VLOOKUP($A43,subQ,MATCH(J$1,SUBQH,0),0),"")</f>
        <v/>
      </c>
      <c r="K43" s="18">
        <f>IFERROR(VLOOKUP($A43,subQ,MATCH(K$1,SUBQH,0),0),"")</f>
        <v/>
      </c>
      <c r="L43" s="18">
        <f>IFERROR(VLOOKUP($A43,subQ,MATCH(L$1,SUBQH,0),0),"")</f>
        <v/>
      </c>
      <c r="M43" s="18">
        <f>IFERROR(VLOOKUP($A43,subQ,MATCH(M$1,SUBQH,0),0),"")</f>
        <v/>
      </c>
      <c r="N43" s="18">
        <f>IFERROR(VLOOKUP($A43,subQ,MATCH(N$1,SUBQH,0),0),"")</f>
        <v/>
      </c>
      <c r="O43" s="18">
        <f>IFERROR(VLOOKUP($A43,subQ,MATCH(O$1,SUBQH,0),0),"")</f>
        <v/>
      </c>
      <c r="P43" s="18">
        <f>IFERROR(VLOOKUP($A43,subQ,MATCH(P$1,SUBQH,0),0),"")</f>
        <v/>
      </c>
      <c r="Q43" s="18">
        <f>IFERROR(VLOOKUP($A43,subQ,MATCH(Q$1,SUBQH,0),0),"")</f>
        <v/>
      </c>
      <c r="R43" s="18">
        <f>IFERROR(VLOOKUP($A43,subQ,MATCH(R$1,SUBQH,0),0),"")</f>
        <v/>
      </c>
      <c r="S43" s="18">
        <f>IFERROR(VLOOKUP($A43,subQ,MATCH(S$1,SUBQH,0),0),"")</f>
        <v/>
      </c>
      <c r="T43" s="18">
        <f>IFERROR(VLOOKUP($A43,subQ,MATCH(T$1,SUBQH,0),0),"")</f>
        <v/>
      </c>
      <c r="U43" s="18">
        <f>IFERROR(VLOOKUP($A43,subQ,MATCH(U$1,SUBQH,0),0),"")</f>
        <v/>
      </c>
      <c r="V43" s="18">
        <f>IFERROR(VLOOKUP($A43,subQ,MATCH(V$1,SUBQH,0),0),"")</f>
        <v/>
      </c>
      <c r="W43" s="48">
        <f>IFERROR(VLOOKUP($A43,subQ,MATCH(W$1,SUBQH,0),0),"")</f>
        <v/>
      </c>
      <c r="X43" s="20">
        <f>IFERROR(VLOOKUP($A43,subQ,MATCH(X$1,SUBQH,0),0),"")</f>
        <v/>
      </c>
      <c r="Y43" s="20">
        <f>IFERROR(VLOOKUP($A43,subQ,MATCH(Y$1,SUBQH,0),0),"")</f>
        <v/>
      </c>
      <c r="Z43" s="20">
        <f>IFERROR(VLOOKUP($A43,subQ,MATCH(Z$1,SUBQH,0),0),"")</f>
        <v/>
      </c>
      <c r="AA43" s="20">
        <f>IFERROR(VLOOKUP($A43,subQ,MATCH(AA$1,SUBQH,0),0),"")</f>
        <v/>
      </c>
      <c r="AB43" s="20">
        <f>IFERROR(VLOOKUP($A43,subQ,MATCH(AB$1,SUBQH,0),0),"")</f>
        <v/>
      </c>
      <c r="AC43" s="20">
        <f>IFERROR(VLOOKUP($A43,subQ,MATCH(AC$1,SUBQH,0),0),"")</f>
        <v/>
      </c>
      <c r="AD43" s="20">
        <f>IFERROR(VLOOKUP($A43,subQ,MATCH(AD$1,SUBQH,0),0),"")</f>
        <v/>
      </c>
      <c r="AE43" s="20">
        <f>IFERROR(VLOOKUP($A43,subQ,MATCH(AE$1,SUBQH,0),0),"")</f>
        <v/>
      </c>
      <c r="AF43" s="20">
        <f>IFERROR(VLOOKUP($A43,subQ,MATCH(AF$1,SUBQH,0),0),"")</f>
        <v/>
      </c>
      <c r="AG43" s="20">
        <f>IFERROR(VLOOKUP($A43,subQ,MATCH(AG$1,SUBQH,0),0),"")</f>
        <v/>
      </c>
    </row>
    <row r="44">
      <c r="A44" s="12" t="inlineStr">
        <is>
          <t>NPM</t>
        </is>
      </c>
      <c r="D44" t="inlineStr">
        <is>
          <t>NPM</t>
        </is>
      </c>
      <c r="E44" s="21">
        <f>IFERROR(VLOOKUP($A44,subQ,MATCH(E$1,SUBQH,0),0),"")</f>
        <v/>
      </c>
      <c r="F44" s="21">
        <f>IFERROR(VLOOKUP($A44,subQ,MATCH(F$1,SUBQH,0),0),"")</f>
        <v/>
      </c>
      <c r="G44" s="21">
        <f>IFERROR(VLOOKUP($A44,subQ,MATCH(G$1,SUBQH,0),0),"")</f>
        <v/>
      </c>
      <c r="H44" s="21">
        <f>IFERROR(VLOOKUP($A44,subQ,MATCH(H$1,SUBQH,0),0),"")</f>
        <v/>
      </c>
      <c r="I44" s="21">
        <f>IFERROR(VLOOKUP($A44,subQ,MATCH(I$1,SUBQH,0),0),"")</f>
        <v/>
      </c>
      <c r="J44" s="21">
        <f>IFERROR(VLOOKUP($A44,subQ,MATCH(J$1,SUBQH,0),0),"")</f>
        <v/>
      </c>
      <c r="K44" s="21">
        <f>IFERROR(VLOOKUP($A44,subQ,MATCH(K$1,SUBQH,0),0),"")</f>
        <v/>
      </c>
      <c r="L44" s="21">
        <f>IFERROR(VLOOKUP($A44,subQ,MATCH(L$1,SUBQH,0),0),"")</f>
        <v/>
      </c>
      <c r="M44" s="21">
        <f>IFERROR(VLOOKUP($A44,subQ,MATCH(M$1,SUBQH,0),0),"")</f>
        <v/>
      </c>
      <c r="N44" s="21">
        <f>IFERROR(VLOOKUP($A44,subQ,MATCH(N$1,SUBQH,0),0),"")</f>
        <v/>
      </c>
      <c r="O44" s="21">
        <f>IFERROR(VLOOKUP($A44,subQ,MATCH(O$1,SUBQH,0),0),"")</f>
        <v/>
      </c>
      <c r="P44" s="21">
        <f>IFERROR(VLOOKUP($A44,subQ,MATCH(P$1,SUBQH,0),0),"")</f>
        <v/>
      </c>
      <c r="Q44" s="21">
        <f>IFERROR(VLOOKUP($A44,subQ,MATCH(Q$1,SUBQH,0),0),"")</f>
        <v/>
      </c>
      <c r="R44" s="21">
        <f>IFERROR(VLOOKUP($A44,subQ,MATCH(R$1,SUBQH,0),0),"")</f>
        <v/>
      </c>
      <c r="S44" s="21">
        <f>IFERROR(VLOOKUP($A44,subQ,MATCH(S$1,SUBQH,0),0),"")</f>
        <v/>
      </c>
      <c r="T44" s="21">
        <f>IFERROR(VLOOKUP($A44,subQ,MATCH(T$1,SUBQH,0),0),"")</f>
        <v/>
      </c>
      <c r="U44" s="21">
        <f>IFERROR(VLOOKUP($A44,subQ,MATCH(U$1,SUBQH,0),0),"")</f>
        <v/>
      </c>
      <c r="V44" s="21">
        <f>IFERROR(VLOOKUP($A44,subQ,MATCH(V$1,SUBQH,0),0),"")</f>
        <v/>
      </c>
      <c r="W44" s="49">
        <f>IFERROR(VLOOKUP($A44,subQ,MATCH(W$1,SUBQH,0),0),"")</f>
        <v/>
      </c>
      <c r="X44" s="32">
        <f>IFERROR(VLOOKUP($A44,subQ,MATCH(X$1,SUBQH,0),0),"")</f>
        <v/>
      </c>
      <c r="Y44" s="32">
        <f>IFERROR(VLOOKUP($A44,subQ,MATCH(Y$1,SUBQH,0),0),"")</f>
        <v/>
      </c>
      <c r="Z44" s="32">
        <f>IFERROR(VLOOKUP($A44,subQ,MATCH(Z$1,SUBQH,0),0),"")</f>
        <v/>
      </c>
      <c r="AA44" s="32">
        <f>IFERROR(VLOOKUP($A44,subQ,MATCH(AA$1,SUBQH,0),0),"")</f>
        <v/>
      </c>
      <c r="AB44" s="32">
        <f>IFERROR(VLOOKUP($A44,subQ,MATCH(AB$1,SUBQH,0),0),"")</f>
        <v/>
      </c>
      <c r="AC44" s="32">
        <f>IFERROR(VLOOKUP($A44,subQ,MATCH(AC$1,SUBQH,0),0),"")</f>
        <v/>
      </c>
      <c r="AD44" s="32">
        <f>IFERROR(VLOOKUP($A44,subQ,MATCH(AD$1,SUBQH,0),0),"")</f>
        <v/>
      </c>
      <c r="AE44" s="32">
        <f>IFERROR(VLOOKUP($A44,subQ,MATCH(AE$1,SUBQH,0),0),"")</f>
        <v/>
      </c>
      <c r="AF44" s="32">
        <f>IFERROR(VLOOKUP($A44,subQ,MATCH(AF$1,SUBQH,0),0),"")</f>
        <v/>
      </c>
      <c r="AG44" s="32">
        <f>IFERROR(VLOOKUP($A44,subQ,MATCH(AG$1,SUBQH,0),0),"")</f>
        <v/>
      </c>
    </row>
    <row r="45">
      <c r="A45" s="12" t="inlineStr">
        <is>
          <t>매출액 YoY</t>
        </is>
      </c>
      <c r="D45" t="inlineStr">
        <is>
          <t>매출액 YoY</t>
        </is>
      </c>
      <c r="I45" s="21">
        <f>IFERROR(I5/E5-1,"")</f>
        <v/>
      </c>
      <c r="J45" s="21">
        <f>IFERROR(J5/F5-1,"")</f>
        <v/>
      </c>
      <c r="K45" s="21">
        <f>IFERROR(K5/G5-1,"")</f>
        <v/>
      </c>
      <c r="L45" s="21">
        <f>IFERROR(L5/H5-1,"")</f>
        <v/>
      </c>
      <c r="M45" s="21">
        <f>IFERROR(M5/I5-1,"")</f>
        <v/>
      </c>
      <c r="N45" s="21">
        <f>IFERROR(N5/J5-1,"")</f>
        <v/>
      </c>
      <c r="O45" s="21">
        <f>IFERROR(O5/K5-1,"")</f>
        <v/>
      </c>
      <c r="P45" s="21">
        <f>IFERROR(P5/L5-1,"")</f>
        <v/>
      </c>
      <c r="Q45" s="21">
        <f>IFERROR(Q5/M5-1,"")</f>
        <v/>
      </c>
      <c r="R45" s="21">
        <f>IFERROR(R5/N5-1,"")</f>
        <v/>
      </c>
      <c r="S45" s="21">
        <f>IFERROR(S5/O5-1,"")</f>
        <v/>
      </c>
      <c r="T45" s="21">
        <f>IFERROR(T5/P5-1,"")</f>
        <v/>
      </c>
      <c r="U45" s="21">
        <f>IFERROR(U5/Q5-1,"")</f>
        <v/>
      </c>
      <c r="V45" s="21">
        <f>IFERROR(V5/R5-1,"")</f>
        <v/>
      </c>
      <c r="W45" s="49">
        <f>IFERROR(W5/S5-1,"")</f>
        <v/>
      </c>
      <c r="X45" s="32">
        <f>IFERROR(X5/T5-1,"")</f>
        <v/>
      </c>
      <c r="Y45" s="32">
        <f>IFERROR(Y5/U5-1,"")</f>
        <v/>
      </c>
      <c r="Z45" s="32">
        <f>IFERROR(Z5/V5-1,"")</f>
        <v/>
      </c>
      <c r="AA45" s="32">
        <f>IFERROR(AA5/W5-1,"")</f>
        <v/>
      </c>
      <c r="AB45" s="32">
        <f>IFERROR(AB5/X5-1,"")</f>
        <v/>
      </c>
      <c r="AC45" s="32">
        <f>IFERROR(AC5/Y5-1,"")</f>
        <v/>
      </c>
      <c r="AD45" s="32">
        <f>IFERROR(AD5/Z5-1,"")</f>
        <v/>
      </c>
      <c r="AE45" s="32">
        <f>IFERROR(AE5/AA5-1,"")</f>
        <v/>
      </c>
      <c r="AF45" s="32">
        <f>IFERROR(AF5/AB5-1,"")</f>
        <v/>
      </c>
      <c r="AG45" s="32">
        <f>IFERROR(AG5/AC5-1,"")</f>
        <v/>
      </c>
    </row>
    <row r="46">
      <c r="A46" s="12" t="inlineStr">
        <is>
          <t>영업이익 YoY</t>
        </is>
      </c>
      <c r="D46" t="inlineStr">
        <is>
          <t>영업이익 YoY</t>
        </is>
      </c>
      <c r="I46" s="21">
        <f>IFERROR(I9/E9-1,"")</f>
        <v/>
      </c>
      <c r="J46" s="21">
        <f>IFERROR(J9/F9-1,"")</f>
        <v/>
      </c>
      <c r="K46" s="21">
        <f>IFERROR(K9/G9-1,"")</f>
        <v/>
      </c>
      <c r="L46" s="21">
        <f>IFERROR(L9/H9-1,"")</f>
        <v/>
      </c>
      <c r="M46" s="21">
        <f>IFERROR(M9/I9-1,"")</f>
        <v/>
      </c>
      <c r="N46" s="21">
        <f>IFERROR(N9/J9-1,"")</f>
        <v/>
      </c>
      <c r="O46" s="21">
        <f>IFERROR(O9/K9-1,"")</f>
        <v/>
      </c>
      <c r="P46" s="21">
        <f>IFERROR(P9/L9-1,"")</f>
        <v/>
      </c>
      <c r="Q46" s="21">
        <f>IFERROR(Q9/M9-1,"")</f>
        <v/>
      </c>
      <c r="R46" s="21">
        <f>IFERROR(R9/N9-1,"")</f>
        <v/>
      </c>
      <c r="S46" s="21">
        <f>IFERROR(S9/O9-1,"")</f>
        <v/>
      </c>
      <c r="T46" s="21">
        <f>IFERROR(T9/P9-1,"")</f>
        <v/>
      </c>
      <c r="U46" s="21">
        <f>IFERROR(U9/Q9-1,"")</f>
        <v/>
      </c>
      <c r="V46" s="21">
        <f>IFERROR(V9/R9-1,"")</f>
        <v/>
      </c>
      <c r="W46" s="49">
        <f>IFERROR(W9/S9-1,"")</f>
        <v/>
      </c>
      <c r="X46" s="32">
        <f>IFERROR(X9/T9-1,"")</f>
        <v/>
      </c>
      <c r="Y46" s="32">
        <f>IFERROR(Y9/U9-1,"")</f>
        <v/>
      </c>
      <c r="Z46" s="32">
        <f>IFERROR(Z9/V9-1,"")</f>
        <v/>
      </c>
      <c r="AA46" s="32">
        <f>IFERROR(AA9/W9-1,"")</f>
        <v/>
      </c>
      <c r="AB46" s="32">
        <f>IFERROR(AB9/X9-1,"")</f>
        <v/>
      </c>
      <c r="AC46" s="32">
        <f>IFERROR(AC9/Y9-1,"")</f>
        <v/>
      </c>
      <c r="AD46" s="32">
        <f>IFERROR(AD9/Z9-1,"")</f>
        <v/>
      </c>
      <c r="AE46" s="32">
        <f>IFERROR(AE9/AA9-1,"")</f>
        <v/>
      </c>
      <c r="AF46" s="32">
        <f>IFERROR(AF9/AB9-1,"")</f>
        <v/>
      </c>
      <c r="AG46" s="32">
        <f>IFERROR(AG9/AC9-1,"")</f>
        <v/>
      </c>
    </row>
    <row r="47">
      <c r="A47" s="12" t="inlineStr">
        <is>
          <t>지배주주순이익 YoY</t>
        </is>
      </c>
      <c r="D47" t="inlineStr">
        <is>
          <t>지배주주순이익 YoY</t>
        </is>
      </c>
      <c r="I47" s="21">
        <f>IFERROR(I21/E21-1,"")</f>
        <v/>
      </c>
      <c r="J47" s="21">
        <f>IFERROR(J21/F21-1,"")</f>
        <v/>
      </c>
      <c r="K47" s="21">
        <f>IFERROR(K21/G21-1,"")</f>
        <v/>
      </c>
      <c r="L47" s="21">
        <f>IFERROR(L21/H21-1,"")</f>
        <v/>
      </c>
      <c r="M47" s="21">
        <f>IFERROR(M21/I21-1,"")</f>
        <v/>
      </c>
      <c r="N47" s="21">
        <f>IFERROR(N21/J21-1,"")</f>
        <v/>
      </c>
      <c r="O47" s="21">
        <f>IFERROR(O21/K21-1,"")</f>
        <v/>
      </c>
      <c r="P47" s="21">
        <f>IFERROR(P21/L21-1,"")</f>
        <v/>
      </c>
      <c r="Q47" s="21">
        <f>IFERROR(Q21/M21-1,"")</f>
        <v/>
      </c>
      <c r="R47" s="21">
        <f>IFERROR(R21/N21-1,"")</f>
        <v/>
      </c>
      <c r="S47" s="21">
        <f>IFERROR(S21/O21-1,"")</f>
        <v/>
      </c>
      <c r="T47" s="21">
        <f>IFERROR(T21/P21-1,"")</f>
        <v/>
      </c>
      <c r="U47" s="21">
        <f>IFERROR(U21/Q21-1,"")</f>
        <v/>
      </c>
      <c r="V47" s="21">
        <f>IFERROR(V21/R21-1,"")</f>
        <v/>
      </c>
      <c r="W47" s="49">
        <f>IFERROR(W21/S21-1,"")</f>
        <v/>
      </c>
      <c r="X47" s="32">
        <f>IFERROR(X21/T21-1,"")</f>
        <v/>
      </c>
      <c r="Y47" s="32">
        <f>IFERROR(Y21/U21-1,"")</f>
        <v/>
      </c>
      <c r="Z47" s="32">
        <f>IFERROR(Z21/V21-1,"")</f>
        <v/>
      </c>
      <c r="AA47" s="32">
        <f>IFERROR(AA21/W21-1,"")</f>
        <v/>
      </c>
      <c r="AB47" s="32">
        <f>IFERROR(AB21/X21-1,"")</f>
        <v/>
      </c>
      <c r="AC47" s="32">
        <f>IFERROR(AC21/Y21-1,"")</f>
        <v/>
      </c>
      <c r="AD47" s="32">
        <f>IFERROR(AD21/Z21-1,"")</f>
        <v/>
      </c>
      <c r="AE47" s="32">
        <f>IFERROR(AE21/AA21-1,"")</f>
        <v/>
      </c>
      <c r="AF47" s="32">
        <f>IFERROR(AF21/AB21-1,"")</f>
        <v/>
      </c>
      <c r="AG47" s="32">
        <f>IFERROR(AG21/AC21-1,"")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4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변수!D47</f>
        <v/>
      </c>
      <c r="I2" s="45" t="n"/>
    </row>
    <row r="3">
      <c r="C3" t="inlineStr">
        <is>
          <t>기준일:</t>
        </is>
      </c>
      <c r="D3" t="inlineStr">
        <is>
          <t>20261012</t>
        </is>
      </c>
      <c r="E3" s="2" t="n">
        <v>1</v>
      </c>
      <c r="F3" s="2" t="n">
        <v>2</v>
      </c>
      <c r="G3" s="2" t="n">
        <v>3</v>
      </c>
      <c r="H3" s="2" t="n">
        <v>4</v>
      </c>
      <c r="I3" s="46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7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8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8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8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8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8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9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8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8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8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8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8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8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8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8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8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8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8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자산총계</t>
        </is>
      </c>
      <c r="D22" t="inlineStr">
        <is>
          <t>자산총계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8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부채총계</t>
        </is>
      </c>
      <c r="D23" t="inlineStr">
        <is>
          <t>부채총계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8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자본총계</t>
        </is>
      </c>
      <c r="D24" t="inlineStr">
        <is>
          <t>자본총계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8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지배주주지분</t>
        </is>
      </c>
      <c r="D25" t="inlineStr">
        <is>
          <t>지배주주지분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8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총차입금</t>
        </is>
      </c>
      <c r="D26" t="inlineStr">
        <is>
          <t>총차입금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8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순차입금</t>
        </is>
      </c>
      <c r="D27" t="inlineStr">
        <is>
          <t>순차입금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8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이자발생자산</t>
        </is>
      </c>
      <c r="D28" t="inlineStr">
        <is>
          <t>이자발생자산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8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현금및현금성자산</t>
        </is>
      </c>
      <c r="D29" t="inlineStr">
        <is>
          <t>현금및현금성자산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8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CAPEX</t>
        </is>
      </c>
      <c r="D30" t="inlineStr">
        <is>
          <t>CAPEX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8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영업활동현금흐름</t>
        </is>
      </c>
      <c r="D31" t="inlineStr">
        <is>
          <t>영업활동현금흐름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8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주식수</t>
        </is>
      </c>
      <c r="D32" t="inlineStr">
        <is>
          <t>유통주식수</t>
        </is>
      </c>
      <c r="E32" s="26">
        <f>IFERROR(VLOOKUP($A32,subQ,MATCH(E$1,SUBQH,0),0),"")</f>
        <v/>
      </c>
      <c r="F32" s="26">
        <f>IFERROR(VLOOKUP($A32,subQ,MATCH(F$1,SUBQH,0),0),"")</f>
        <v/>
      </c>
      <c r="G32" s="26">
        <f>IFERROR(VLOOKUP($A32,subQ,MATCH(G$1,SUBQH,0),0),"")</f>
        <v/>
      </c>
      <c r="H32" s="26">
        <f>IFERROR(VLOOKUP($A32,subQ,MATCH(H$1,SUBQH,0),0),"")</f>
        <v/>
      </c>
      <c r="I32" s="50">
        <f>IFERROR(VLOOKUP($A32,subQ,MATCH(I$1,SUBQH,0),0),"")</f>
        <v/>
      </c>
      <c r="J32" s="33">
        <f>IFERROR(VLOOKUP($A32,subQ,MATCH(J$1,SUBQH,0),0),"")</f>
        <v/>
      </c>
      <c r="K32" s="33">
        <f>IFERROR(VLOOKUP($A32,subQ,MATCH(K$1,SUBQH,0),0),"")</f>
        <v/>
      </c>
      <c r="L32" s="33">
        <f>IFERROR(VLOOKUP($A32,subQ,MATCH(L$1,SUBQH,0),0),"")</f>
        <v/>
      </c>
    </row>
    <row r="33">
      <c r="A33" s="12" t="inlineStr">
        <is>
          <t>EPS</t>
        </is>
      </c>
      <c r="D33" t="inlineStr">
        <is>
          <t>EPS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8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BPS</t>
        </is>
      </c>
      <c r="D34" t="inlineStr">
        <is>
          <t>BPS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8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DPS</t>
        </is>
      </c>
      <c r="D35" t="inlineStr">
        <is>
          <t>DPS(보통주)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8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PER</t>
        </is>
      </c>
      <c r="D36" t="inlineStr">
        <is>
          <t>PER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51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PBR</t>
        </is>
      </c>
      <c r="D37" t="inlineStr">
        <is>
          <t>PBR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51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매출조선</t>
        </is>
      </c>
      <c r="D38" t="inlineStr">
        <is>
          <t>매출 조선·해양(상선·해양및특수선·EP및특수선)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8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매출조선신규</t>
        </is>
      </c>
      <c r="D39" t="inlineStr">
        <is>
          <t>매출 조선·해양(상선·해양및특수선·EP및특수선) 신규수주(forecast_panel base(공시 상계) — 매출조선에 포함)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8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OP조선</t>
        </is>
      </c>
      <c r="D40" t="inlineStr">
        <is>
          <t>OP 조선·해양(상선·해양및특수선·EP및특수선)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8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OP조선신규</t>
        </is>
      </c>
      <c r="D41" t="inlineStr">
        <is>
          <t>OP 조선·해양(상선·해양및특수선·EP및특수선) 신규수주(매출조선신규 × OPM — OP조선에 포함)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48">
        <f>IFERROR(VLOOKUP($A41,subQ,MATCH(I$1,SUBQH,0),0),"")</f>
        <v/>
      </c>
      <c r="J41" s="20">
        <f>IFERROR(VLOOKUP($A41,subQ,MATCH(J$1,SUBQH,0),0),"")</f>
        <v/>
      </c>
      <c r="K41" s="20">
        <f>IFERROR(VLOOKUP($A41,subQ,MATCH(K$1,SUBQH,0),0),"")</f>
        <v/>
      </c>
      <c r="L41" s="20">
        <f>IFERROR(VLOOKUP($A41,subQ,MATCH(L$1,SUBQH,0),0),"")</f>
        <v/>
      </c>
    </row>
    <row r="42">
      <c r="A42" s="12" t="inlineStr">
        <is>
          <t>매출기타</t>
        </is>
      </c>
      <c r="D42" t="inlineStr">
        <is>
          <t>매출 기타 부문(총매출 − 조선)</t>
        </is>
      </c>
      <c r="E42" s="18">
        <f>IFERROR(VLOOKUP($A42,subQ,MATCH(E$1,SUBQH,0),0),"")</f>
        <v/>
      </c>
      <c r="F42" s="18">
        <f>IFERROR(VLOOKUP($A42,subQ,MATCH(F$1,SUBQH,0),0),"")</f>
        <v/>
      </c>
      <c r="G42" s="18">
        <f>IFERROR(VLOOKUP($A42,subQ,MATCH(G$1,SUBQH,0),0),"")</f>
        <v/>
      </c>
      <c r="H42" s="18">
        <f>IFERROR(VLOOKUP($A42,subQ,MATCH(H$1,SUBQH,0),0),"")</f>
        <v/>
      </c>
      <c r="I42" s="48">
        <f>IFERROR(VLOOKUP($A42,subQ,MATCH(I$1,SUBQH,0),0),"")</f>
        <v/>
      </c>
      <c r="J42" s="20">
        <f>IFERROR(VLOOKUP($A42,subQ,MATCH(J$1,SUBQH,0),0),"")</f>
        <v/>
      </c>
      <c r="K42" s="20">
        <f>IFERROR(VLOOKUP($A42,subQ,MATCH(K$1,SUBQH,0),0),"")</f>
        <v/>
      </c>
      <c r="L42" s="20">
        <f>IFERROR(VLOOKUP($A42,subQ,MATCH(L$1,SUBQH,0),0),"")</f>
        <v/>
      </c>
    </row>
    <row r="43">
      <c r="A43" s="12" t="inlineStr">
        <is>
          <t>OP기타</t>
        </is>
      </c>
      <c r="D43" t="inlineStr">
        <is>
          <t>OP 기타 부문(총매출 − 조선)</t>
        </is>
      </c>
      <c r="E43" s="18">
        <f>IFERROR(VLOOKUP($A43,subQ,MATCH(E$1,SUBQH,0),0),"")</f>
        <v/>
      </c>
      <c r="F43" s="18">
        <f>IFERROR(VLOOKUP($A43,subQ,MATCH(F$1,SUBQH,0),0),"")</f>
        <v/>
      </c>
      <c r="G43" s="18">
        <f>IFERROR(VLOOKUP($A43,subQ,MATCH(G$1,SUBQH,0),0),"")</f>
        <v/>
      </c>
      <c r="H43" s="18">
        <f>IFERROR(VLOOKUP($A43,subQ,MATCH(H$1,SUBQH,0),0),"")</f>
        <v/>
      </c>
      <c r="I43" s="48">
        <f>IFERROR(VLOOKUP($A43,subQ,MATCH(I$1,SUBQH,0),0),"")</f>
        <v/>
      </c>
      <c r="J43" s="20">
        <f>IFERROR(VLOOKUP($A43,subQ,MATCH(J$1,SUBQH,0),0),"")</f>
        <v/>
      </c>
      <c r="K43" s="20">
        <f>IFERROR(VLOOKUP($A43,subQ,MATCH(K$1,SUBQH,0),0),"")</f>
        <v/>
      </c>
      <c r="L43" s="20">
        <f>IFERROR(VLOOKUP($A43,subQ,MATCH(L$1,SUBQH,0),0),"")</f>
        <v/>
      </c>
    </row>
    <row r="44">
      <c r="A44" s="12" t="inlineStr">
        <is>
          <t>NPM</t>
        </is>
      </c>
      <c r="D44" t="inlineStr">
        <is>
          <t>NPM</t>
        </is>
      </c>
      <c r="E44" s="21">
        <f>IFERROR(VLOOKUP($A44,subQ,MATCH(E$1,SUBQH,0),0),"")</f>
        <v/>
      </c>
      <c r="F44" s="21">
        <f>IFERROR(VLOOKUP($A44,subQ,MATCH(F$1,SUBQH,0),0),"")</f>
        <v/>
      </c>
      <c r="G44" s="21">
        <f>IFERROR(VLOOKUP($A44,subQ,MATCH(G$1,SUBQH,0),0),"")</f>
        <v/>
      </c>
      <c r="H44" s="21">
        <f>IFERROR(VLOOKUP($A44,subQ,MATCH(H$1,SUBQH,0),0),"")</f>
        <v/>
      </c>
      <c r="I44" s="49">
        <f>IFERROR(VLOOKUP($A44,subQ,MATCH(I$1,SUBQH,0),0),"")</f>
        <v/>
      </c>
      <c r="J44" s="32">
        <f>IFERROR(VLOOKUP($A44,subQ,MATCH(J$1,SUBQH,0),0),"")</f>
        <v/>
      </c>
      <c r="K44" s="32">
        <f>IFERROR(VLOOKUP($A44,subQ,MATCH(K$1,SUBQH,0),0),"")</f>
        <v/>
      </c>
      <c r="L44" s="32">
        <f>IFERROR(VLOOKUP($A44,subQ,MATCH(L$1,SUBQH,0),0),"")</f>
        <v/>
      </c>
    </row>
    <row r="45">
      <c r="A45" s="12" t="inlineStr">
        <is>
          <t>매출액 YoY</t>
        </is>
      </c>
      <c r="D45" t="inlineStr">
        <is>
          <t>매출액 YoY</t>
        </is>
      </c>
      <c r="F45" s="21">
        <f>IFERROR(F5/E5-1,"")</f>
        <v/>
      </c>
      <c r="G45" s="21">
        <f>IFERROR(G5/F5-1,"")</f>
        <v/>
      </c>
      <c r="H45" s="21">
        <f>IFERROR(H5/G5-1,"")</f>
        <v/>
      </c>
      <c r="I45" s="49">
        <f>IFERROR(I5/H5-1,"")</f>
        <v/>
      </c>
      <c r="J45" s="32">
        <f>IFERROR(J5/I5-1,"")</f>
        <v/>
      </c>
      <c r="K45" s="32">
        <f>IFERROR(K5/J5-1,"")</f>
        <v/>
      </c>
      <c r="L45" s="32">
        <f>IFERROR(L5/K5-1,"")</f>
        <v/>
      </c>
    </row>
    <row r="46">
      <c r="A46" s="12" t="inlineStr">
        <is>
          <t>영업이익 YoY</t>
        </is>
      </c>
      <c r="D46" t="inlineStr">
        <is>
          <t>영업이익 YoY</t>
        </is>
      </c>
      <c r="F46" s="21">
        <f>IFERROR(F9/E9-1,"")</f>
        <v/>
      </c>
      <c r="G46" s="21">
        <f>IFERROR(G9/F9-1,"")</f>
        <v/>
      </c>
      <c r="H46" s="21">
        <f>IFERROR(H9/G9-1,"")</f>
        <v/>
      </c>
      <c r="I46" s="49">
        <f>IFERROR(I9/H9-1,"")</f>
        <v/>
      </c>
      <c r="J46" s="32">
        <f>IFERROR(J9/I9-1,"")</f>
        <v/>
      </c>
      <c r="K46" s="32">
        <f>IFERROR(K9/J9-1,"")</f>
        <v/>
      </c>
      <c r="L46" s="32">
        <f>IFERROR(L9/K9-1,"")</f>
        <v/>
      </c>
    </row>
    <row r="47">
      <c r="A47" s="12" t="inlineStr">
        <is>
          <t>지배주주순이익 YoY</t>
        </is>
      </c>
      <c r="D47" t="inlineStr">
        <is>
          <t>지배주주순이익 YoY</t>
        </is>
      </c>
      <c r="F47" s="21">
        <f>IFERROR(F21/E21-1,"")</f>
        <v/>
      </c>
      <c r="G47" s="21">
        <f>IFERROR(G21/F21-1,"")</f>
        <v/>
      </c>
      <c r="H47" s="21">
        <f>IFERROR(H21/G21-1,"")</f>
        <v/>
      </c>
      <c r="I47" s="49">
        <f>IFERROR(I21/H21-1,"")</f>
        <v/>
      </c>
      <c r="J47" s="32">
        <f>IFERROR(J21/I21-1,"")</f>
        <v/>
      </c>
      <c r="K47" s="32">
        <f>IFERROR(K21/J21-1,"")</f>
        <v/>
      </c>
      <c r="L47" s="32">
        <f>IFERROR(L21/K21-1,"")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변수!D47</f>
        <v/>
      </c>
    </row>
    <row r="2">
      <c r="B2" s="1" t="inlineStr">
        <is>
          <t>기준일</t>
        </is>
      </c>
      <c r="C2">
        <f>변수!D48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52" t="n">
        <v>2025</v>
      </c>
      <c r="E5" s="52" t="n">
        <v>2026</v>
      </c>
      <c r="F5" s="52" t="n">
        <v>2027</v>
      </c>
      <c r="G5" s="52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IFERROR(E7*변수!D53+F7*(1-변수!D53),"")</f>
        <v/>
      </c>
    </row>
    <row r="15">
      <c r="C15" t="inlineStr">
        <is>
          <t>적정가치 @PER_lo</t>
        </is>
      </c>
      <c r="D15" s="26">
        <f>변수!D50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6">
        <f>변수!D51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6">
        <f>변수!D52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6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변수!D49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5554.7</v>
      </c>
    </row>
    <row r="30">
      <c r="C30" s="2" t="inlineStr">
        <is>
          <t>bps_latest</t>
        </is>
      </c>
      <c r="D30" t="n">
        <v>24557.6</v>
      </c>
    </row>
    <row r="31">
      <c r="C31" s="2" t="inlineStr">
        <is>
          <t>per_now</t>
        </is>
      </c>
      <c r="D31" t="n">
        <v>12.08</v>
      </c>
    </row>
    <row r="32">
      <c r="C32" s="2" t="inlineStr">
        <is>
          <t>pbr_now</t>
        </is>
      </c>
      <c r="D32" t="n">
        <v>2.73</v>
      </c>
    </row>
    <row r="33">
      <c r="C33" s="2" t="inlineStr">
        <is>
          <t>roe_fwd</t>
        </is>
      </c>
      <c r="D33" t="n">
        <v>0.2262</v>
      </c>
    </row>
    <row r="34">
      <c r="C34" s="2" t="inlineStr">
        <is>
          <t>fair_pbr</t>
        </is>
      </c>
      <c r="D34" t="n">
        <v>2.51</v>
      </c>
    </row>
    <row r="35">
      <c r="C35" s="2" t="inlineStr">
        <is>
          <t>fair_value_pbr</t>
        </is>
      </c>
      <c r="D35" t="n">
        <v>61600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6">
        <f>변수!D60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2026-10-12T00:00:00Z</dcterms:created>
  <dcterms:modified xsi:type="dcterms:W3CDTF">2026-10-12T00:00:00Z</dcterms:modified>
</cp:coreProperties>
</file>