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BS연결!$C$5:$AO$95</definedName>
    <definedName name="BS별도H">BS별도!$C$1:$AO$1</definedName>
    <definedName name="BS별도">BS별도!$C$5:$AO$96</definedName>
    <definedName name="SUBQH">subQ!$A$1:$AO$1</definedName>
    <definedName name="subQ">subQ!$A$5:$AO$39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모델값 역산(implied): v / 매출액
매출액 × 판관비율 4.11%(최근 4분기 중위)</t>
      </text>
    </comment>
    <comment ref="AD22" authorId="0" shapeId="0">
      <text>
        <t>모델값 역산(implied): v / 매출액
매출액 × 판관비율 4.11%(최근 4분기 중위)</t>
      </text>
    </comment>
    <comment ref="AF22" authorId="0" shapeId="0">
      <text>
        <t>모델값 역산(implied): v / 매출액
매출액 × 판관비율 4.11%(최근 4분기 중위)</t>
      </text>
    </comment>
    <comment ref="AG22" authorId="0" shapeId="0">
      <text>
        <t>모델값 역산(implied): v / 매출액
매출액 × 판관비율 4.11%(최근 4분기 중위)</t>
      </text>
    </comment>
    <comment ref="AH22" authorId="0" shapeId="0">
      <text>
        <t>모델값 역산(implied): v / 매출액
매출액 × 판관비율 4.11%(최근 4분기 중위)</t>
      </text>
    </comment>
    <comment ref="AI22" authorId="0" shapeId="0">
      <text>
        <t>모델값 역산(implied): v / 매출액
매출액 × 판관비율 4.11%(최근 4분기 중위)</t>
      </text>
    </comment>
    <comment ref="AK22" authorId="0" shapeId="0">
      <text>
        <t>모델값 역산(implied): v / 매출액
매출액 × 판관비율 4.11%(최근 4분기 중위)</t>
      </text>
    </comment>
    <comment ref="AL22" authorId="0" shapeId="0">
      <text>
        <t>모델값 역산(implied): v / 매출액
매출액 × 판관비율 4.11%(최근 4분기 중위)</t>
      </text>
    </comment>
    <comment ref="AM22" authorId="0" shapeId="0">
      <text>
        <t>모델값 역산(implied): v / 매출액
매출액 × 판관비율 4.11%(최근 4분기 중위)</t>
      </text>
    </comment>
    <comment ref="AN22" authorId="0" shapeId="0">
      <text>
        <t>모델값 역산(implied): v / 매출액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v / 전년동기 − 1
최근 8분기 OPM 중위 7.1% 유지(클립 −20~40%)</t>
      </text>
    </comment>
    <comment ref="AD24" authorId="0" shapeId="0">
      <text>
        <t>모델값 역산(implied): v / 전년동기 − 1
최근 8분기 OPM 중위 7.1% 유지(클립 −20~40%)</t>
      </text>
    </comment>
    <comment ref="AF24" authorId="0" shapeId="0">
      <text>
        <t>모델값 역산(implied): v / 전년동기 − 1
최근 8분기 OPM 중위 7.1% 유지(클립 −20~40%)</t>
      </text>
    </comment>
    <comment ref="AG24" authorId="0" shapeId="0">
      <text>
        <t>모델값 역산(implied): v / 전년동기 − 1
최근 8분기 OPM 중위 7.1% 유지(클립 −20~40%)</t>
      </text>
    </comment>
    <comment ref="AH24" authorId="0" shapeId="0">
      <text>
        <t>모델값 역산(implied): v / 전년동기 − 1
최근 8분기 OPM 중위 7.1% 유지(클립 −20~40%)</t>
      </text>
    </comment>
    <comment ref="AI24" authorId="0" shapeId="0">
      <text>
        <t>모델값 역산(implied): v / 전년동기 − 1
최근 8분기 OPM 중위 7.1% 유지(클립 −20~40%)</t>
      </text>
    </comment>
    <comment ref="AK24" authorId="0" shapeId="0">
      <text>
        <t>모델값 역산(implied): v / 전년동기 − 1
최근 8분기 OPM 중위 7.1% 유지(클립 −20~40%)</t>
      </text>
    </comment>
    <comment ref="AL24" authorId="0" shapeId="0">
      <text>
        <t>모델값 역산(implied): v / 전년동기 − 1
최근 8분기 OPM 중위 7.1% 유지(클립 −20~40%)</t>
      </text>
    </comment>
    <comment ref="AM24" authorId="0" shapeId="0">
      <text>
        <t>모델값 역산(implied): v / 전년동기 − 1
최근 8분기 OPM 중위 7.1% 유지(클립 −20~40%)</t>
      </text>
    </comment>
    <comment ref="AN24" authorId="0" shapeId="0">
      <text>
        <t>모델값 역산(implied): v / 전년동기 − 1
최근 8분기 OPM 중위 7.1% 유지(클립 −20~40%)</t>
      </text>
    </comment>
    <comment ref="AC25" authorId="0" shapeId="0">
      <text>
        <t>모델값 역산(implied): 모델 v 그대로
이자손익 = 이자발생자산 713억 × 3.98% − 총차입금 2150억 × 5.10% (연율, CF 실측) ÷ 4; 환·평가손익 0 가정</t>
      </text>
    </comment>
    <comment ref="AD25" authorId="0" shapeId="0">
      <text>
        <t>모델값 역산(implied): 모델 v 그대로
이자손익 = 이자발생자산 858억 × 3.98% − 총차입금 2150억 × 5.10% (연율, CF 실측) ÷ 4; 환·평가손익 0 가정</t>
      </text>
    </comment>
    <comment ref="AF25" authorId="0" shapeId="0">
      <text>
        <t>모델값 역산(implied): 모델 v 그대로
이자손익 = 이자발생자산 938억 × 3.98% − 총차입금 2150억 × 5.10% (연율, CF 실측) ÷ 4; 환·평가손익 0 가정</t>
      </text>
    </comment>
    <comment ref="AG25" authorId="0" shapeId="0">
      <text>
        <t>모델값 역산(implied): 모델 v 그대로
이자손익 = 이자발생자산 1019억 × 3.98% − 총차입금 2150억 × 5.10% (연율, CF 실측) ÷ 4; 환·평가손익 0 가정</t>
      </text>
    </comment>
    <comment ref="AH25" authorId="0" shapeId="0">
      <text>
        <t>모델값 역산(implied): 모델 v 그대로
이자손익 = 이자발생자산 1098억 × 3.98% − 총차입금 2150억 × 5.10% (연율, CF 실측) ÷ 4; 환·평가손익 0 가정</t>
      </text>
    </comment>
    <comment ref="AI25" authorId="0" shapeId="0">
      <text>
        <t>모델값 역산(implied): 모델 v 그대로
이자손익 = 이자발생자산 1241억 × 3.98% − 총차입금 2150억 × 5.10% (연율, CF 실측) ÷ 4; 환·평가손익 0 가정</t>
      </text>
    </comment>
    <comment ref="AK25" authorId="0" shapeId="0">
      <text>
        <t>모델값 역산(implied): 모델 v 그대로
이자손익 = 이자발생자산 1322억 × 3.98% − 총차입금 2150억 × 5.10% (연율, CF 실측) ÷ 4; 환·평가손익 0 가정</t>
      </text>
    </comment>
    <comment ref="AL25" authorId="0" shapeId="0">
      <text>
        <t>모델값 역산(implied): 모델 v 그대로
이자손익 = 이자발생자산 1403억 × 3.98% − 총차입금 2150억 × 5.10% (연율, CF 실측) ÷ 4; 환·평가손익 0 가정</t>
      </text>
    </comment>
    <comment ref="AM25" authorId="0" shapeId="0">
      <text>
        <t>모델값 역산(implied): 모델 v 그대로
이자손익 = 이자발생자산 1483억 × 3.98% − 총차입금 2150억 × 5.10% (연율, CF 실측) ÷ 4; 환·평가손익 0 가정</t>
      </text>
    </comment>
    <comment ref="AN25" authorId="0" shapeId="0">
      <text>
        <t>모델값 역산(implied): 모델 v 그대로
이자손익 = 이자발생자산 1627억 × 3.98% − 총차입금 2150억 × 5.10%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v / 세전이익
max(세전, 0) × 세율 18.3%(최근 12분기 유효세율 18.3% → 5~27% 클립)</t>
      </text>
    </comment>
    <comment ref="AD27" authorId="0" shapeId="0">
      <text>
        <t>모델값 역산(implied): v / 세전이익
max(세전, 0) × 세율 18.3%(최근 12분기 유효세율 18.3% → 5~27% 클립)</t>
      </text>
    </comment>
    <comment ref="AF27" authorId="0" shapeId="0">
      <text>
        <t>모델값 역산(implied): v / 세전이익
max(세전, 0) × 세율 18.3%(최근 12분기 유효세율 18.3% → 5~27% 클립)</t>
      </text>
    </comment>
    <comment ref="AG27" authorId="0" shapeId="0">
      <text>
        <t>모델값 역산(implied): v / 세전이익
max(세전, 0) × 세율 18.3%(최근 12분기 유효세율 18.3% → 5~27% 클립)</t>
      </text>
    </comment>
    <comment ref="AH27" authorId="0" shapeId="0">
      <text>
        <t>모델값 역산(implied): v / 세전이익
max(세전, 0) × 세율 18.3%(최근 12분기 유효세율 18.3% → 5~27% 클립)</t>
      </text>
    </comment>
    <comment ref="AI27" authorId="0" shapeId="0">
      <text>
        <t>모델값 역산(implied): v / 세전이익
max(세전, 0) × 세율 18.3%(최근 12분기 유효세율 18.3% → 5~27% 클립)</t>
      </text>
    </comment>
    <comment ref="AK27" authorId="0" shapeId="0">
      <text>
        <t>모델값 역산(implied): v / 세전이익
max(세전, 0) × 세율 18.3%(최근 12분기 유효세율 18.3% → 5~27% 클립)</t>
      </text>
    </comment>
    <comment ref="AL27" authorId="0" shapeId="0">
      <text>
        <t>모델값 역산(implied): v / 세전이익
max(세전, 0) × 세율 18.3%(최근 12분기 유효세율 18.3% → 5~27% 클립)</t>
      </text>
    </comment>
    <comment ref="AM27" authorId="0" shapeId="0">
      <text>
        <t>모델값 역산(implied): v / 세전이익
max(세전, 0) × 세율 18.3%(최근 12분기 유효세율 18.3% → 5~27% 클립)</t>
      </text>
    </comment>
    <comment ref="AN27" authorId="0" shapeId="0">
      <text>
        <t>모델값 역산(implied): v / 세전이익
max(세전, 0) × 세율 18.3%(최근 12분기 유효세율 18.3% → 5~27% 클립)</t>
      </text>
    </comment>
    <comment ref="AC28" authorId="0" shapeId="0">
      <text>
        <t>모델값 역산(implied): v / 당기순이익
당기순이익 × (1 − 비지배 비중 0.0%, 최근 8분기 실측)</t>
      </text>
    </comment>
    <comment ref="AD28" authorId="0" shapeId="0">
      <text>
        <t>모델값 역산(implied): v / 당기순이익
당기순이익 × (1 − 비지배 비중 0.0%, 최근 8분기 실측)</t>
      </text>
    </comment>
    <comment ref="AF28" authorId="0" shapeId="0">
      <text>
        <t>모델값 역산(implied): v / 당기순이익
당기순이익 × (1 − 비지배 비중 0.0%, 최근 8분기 실측)</t>
      </text>
    </comment>
    <comment ref="AG28" authorId="0" shapeId="0">
      <text>
        <t>모델값 역산(implied): v / 당기순이익
당기순이익 × (1 − 비지배 비중 0.0%, 최근 8분기 실측)</t>
      </text>
    </comment>
    <comment ref="AH28" authorId="0" shapeId="0">
      <text>
        <t>모델값 역산(implied): v / 당기순이익
당기순이익 × (1 − 비지배 비중 0.0%, 최근 8분기 실측)</t>
      </text>
    </comment>
    <comment ref="AI28" authorId="0" shapeId="0">
      <text>
        <t>모델값 역산(implied): v / 당기순이익
당기순이익 × (1 − 비지배 비중 0.0%, 최근 8분기 실측)</t>
      </text>
    </comment>
    <comment ref="AK28" authorId="0" shapeId="0">
      <text>
        <t>모델값 역산(implied): v / 당기순이익
당기순이익 × (1 − 비지배 비중 0.0%, 최근 8분기 실측)</t>
      </text>
    </comment>
    <comment ref="AL28" authorId="0" shapeId="0">
      <text>
        <t>모델값 역산(implied): v / 당기순이익
당기순이익 × (1 − 비지배 비중 0.0%, 최근 8분기 실측)</t>
      </text>
    </comment>
    <comment ref="AM28" authorId="0" shapeId="0">
      <text>
        <t>모델값 역산(implied): v / 당기순이익
당기순이익 × (1 − 비지배 비중 0.0%, 최근 8분기 실측)</t>
      </text>
    </comment>
    <comment ref="AN28" authorId="0" shapeId="0">
      <text>
        <t>모델값 역산(implied): v / 당기순이익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 + 당기순이익 − v
전분기 + 당기순이익 − 배당(Q2 지급 가정)</t>
      </text>
    </comment>
    <comment ref="AD30" authorId="0" shapeId="0">
      <text>
        <t>모델값 역산(implied): 전분기 + 당기순이익 − v
전분기 + 당기순이익 − 배당(Q2 지급 가정)</t>
      </text>
    </comment>
    <comment ref="AF30" authorId="0" shapeId="0">
      <text>
        <t>모델값 역산(implied): 전분기 + 당기순이익 − v
전분기 + 당기순이익 − 배당(Q2 지급 가정)</t>
      </text>
    </comment>
    <comment ref="AG30" authorId="0" shapeId="0">
      <text>
        <t>모델값 역산(implied): 전분기 + 당기순이익 − v
전분기 + 당기순이익 − 배당(Q2 지급 가정)</t>
      </text>
    </comment>
    <comment ref="AH30" authorId="0" shapeId="0">
      <text>
        <t>모델값 역산(implied): 전분기 + 당기순이익 − v
전분기 + 당기순이익 − 배당(Q2 지급 가정)</t>
      </text>
    </comment>
    <comment ref="AI30" authorId="0" shapeId="0">
      <text>
        <t>모델값 역산(implied): 전분기 + 당기순이익 − v
전분기 + 당기순이익 − 배당(Q2 지급 가정)</t>
      </text>
    </comment>
    <comment ref="AK30" authorId="0" shapeId="0">
      <text>
        <t>모델값 역산(implied): 전분기 + 당기순이익 − v
전분기 + 당기순이익 − 배당(Q2 지급 가정)</t>
      </text>
    </comment>
    <comment ref="AL30" authorId="0" shapeId="0">
      <text>
        <t>모델값 역산(implied): 전분기 + 당기순이익 − v
전분기 + 당기순이익 − 배당(Q2 지급 가정)</t>
      </text>
    </comment>
    <comment ref="AM30" authorId="0" shapeId="0">
      <text>
        <t>모델값 역산(implied): 전분기 + 당기순이익 − v
전분기 + 당기순이익 − 배당(Q2 지급 가정)</t>
      </text>
    </comment>
    <comment ref="AN30" authorId="0" shapeId="0">
      <text>
        <t>모델값 역산(implied): 전분기 + 당기순이익 − v
전분기 + 당기순이익 − 배당(Q2 지급 가정)</t>
      </text>
    </comment>
    <comment ref="AC31" authorId="0" shapeId="0">
      <text>
        <t>모델값 역산(implied): 전분기 + 지배주주순이익 − v
전분기 + 지배주주순이익 − 배당</t>
      </text>
    </comment>
    <comment ref="AD31" authorId="0" shapeId="0">
      <text>
        <t>모델값 역산(implied): 전분기 + 지배주주순이익 − v
전분기 + 지배주주순이익 − 배당</t>
      </text>
    </comment>
    <comment ref="AF31" authorId="0" shapeId="0">
      <text>
        <t>모델값 역산(implied): 전분기 + 지배주주순이익 − v
전분기 + 지배주주순이익 − 배당</t>
      </text>
    </comment>
    <comment ref="AG31" authorId="0" shapeId="0">
      <text>
        <t>모델값 역산(implied): 전분기 + 지배주주순이익 − v
전분기 + 지배주주순이익 − 배당</t>
      </text>
    </comment>
    <comment ref="AH31" authorId="0" shapeId="0">
      <text>
        <t>모델값 역산(implied): 전분기 + 지배주주순이익 − v
전분기 + 지배주주순이익 − 배당</t>
      </text>
    </comment>
    <comment ref="AI31" authorId="0" shapeId="0">
      <text>
        <t>모델값 역산(implied): 전분기 + 지배주주순이익 − v
전분기 + 지배주주순이익 − 배당</t>
      </text>
    </comment>
    <comment ref="AK31" authorId="0" shapeId="0">
      <text>
        <t>모델값 역산(implied): 전분기 + 지배주주순이익 − v
전분기 + 지배주주순이익 − 배당</t>
      </text>
    </comment>
    <comment ref="AL31" authorId="0" shapeId="0">
      <text>
        <t>모델값 역산(implied): 전분기 + 지배주주순이익 − v
전분기 + 지배주주순이익 − 배당</t>
      </text>
    </comment>
    <comment ref="AM31" authorId="0" shapeId="0">
      <text>
        <t>모델값 역산(implied): 전분기 + 지배주주순이익 − v
전분기 + 지배주주순이익 − 배당</t>
      </text>
    </comment>
    <comment ref="AN31" authorId="0" shapeId="0">
      <text>
        <t>모델값 역산(implied): 전분기 + 지배주주순이익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(순이익 − 배당): 순이익 = 순현금 증가 가정(CAPEX≈감가, 운전자본 불변)</t>
      </text>
    </comment>
    <comment ref="AD33" authorId="0" shapeId="0">
      <text>
        <t>모델값 역산(implied): v / 전분기 − 1
전분기 − (순이익 − 배당): 순이익 = 순현금 증가 가정(CAPEX≈감가, 운전자본 불변)</t>
      </text>
    </comment>
    <comment ref="AF33" authorId="0" shapeId="0">
      <text>
        <t>모델값 역산(implied): v / 전분기 − 1
전분기 − (순이익 − 배당): 순이익 = 순현금 증가 가정(CAPEX≈감가, 운전자본 불변)</t>
      </text>
    </comment>
    <comment ref="AG33" authorId="0" shapeId="0">
      <text>
        <t>모델값 역산(implied): v / 전분기 − 1
전분기 − (순이익 − 배당): 순이익 = 순현금 증가 가정(CAPEX≈감가, 운전자본 불변)</t>
      </text>
    </comment>
    <comment ref="AH33" authorId="0" shapeId="0">
      <text>
        <t>모델값 역산(implied): v / 전분기 − 1
전분기 − (순이익 − 배당): 순이익 = 순현금 증가 가정(CAPEX≈감가, 운전자본 불변)</t>
      </text>
    </comment>
    <comment ref="AI33" authorId="0" shapeId="0">
      <text>
        <t>모델값 역산(implied): v / 전분기 − 1
전분기 − (순이익 − 배당): 순이익 = 순현금 증가 가정(CAPEX≈감가, 운전자본 불변)</t>
      </text>
    </comment>
    <comment ref="AK33" authorId="0" shapeId="0">
      <text>
        <t>모델값 역산(implied): v / 전분기 − 1
전분기 − (순이익 − 배당): 순이익 = 순현금 증가 가정(CAPEX≈감가, 운전자본 불변)</t>
      </text>
    </comment>
    <comment ref="AL33" authorId="0" shapeId="0">
      <text>
        <t>모델값 역산(implied): v / 전분기 − 1
전분기 − (순이익 − 배당): 순이익 = 순현금 증가 가정(CAPEX≈감가, 운전자본 불변)</t>
      </text>
    </comment>
    <comment ref="AM33" authorId="0" shapeId="0">
      <text>
        <t>모델값 역산(implied): v / 전분기 − 1
전분기 − (순이익 − 배당): 순이익 = 순현금 증가 가정(CAPEX≈감가, 운전자본 불변)</t>
      </text>
    </comment>
    <comment ref="AN33" authorId="0" shapeId="0">
      <text>
        <t>모델값 역산(implied): v / 전분기 − 1
전분기 − (순이익 − 배당): 순이익 = 순현금 증가 가정(CAPEX≈감가, 운전자본 불변)</t>
      </text>
    </comment>
    <comment ref="AC34" authorId="0" shapeId="0">
      <text>
        <t>모델값 역산(implied): v / 전분기 − 1
전분기 + (순이익 − 배당) — 순차입금 롤과 같은 가정</t>
      </text>
    </comment>
    <comment ref="AD34" authorId="0" shapeId="0">
      <text>
        <t>모델값 역산(implied): v / 전분기 − 1
전분기 + (순이익 − 배당) — 순차입금 롤과 같은 가정</t>
      </text>
    </comment>
    <comment ref="AF34" authorId="0" shapeId="0">
      <text>
        <t>모델값 역산(implied): v / 전분기 − 1
전분기 + (순이익 − 배당) — 순차입금 롤과 같은 가정</t>
      </text>
    </comment>
    <comment ref="AG34" authorId="0" shapeId="0">
      <text>
        <t>모델값 역산(implied): v / 전분기 − 1
전분기 + (순이익 − 배당) — 순차입금 롤과 같은 가정</t>
      </text>
    </comment>
    <comment ref="AH34" authorId="0" shapeId="0">
      <text>
        <t>모델값 역산(implied): v / 전분기 − 1
전분기 + (순이익 − 배당) — 순차입금 롤과 같은 가정</t>
      </text>
    </comment>
    <comment ref="AI34" authorId="0" shapeId="0">
      <text>
        <t>모델값 역산(implied): v / 전분기 − 1
전분기 + (순이익 − 배당) — 순차입금 롤과 같은 가정</t>
      </text>
    </comment>
    <comment ref="AK34" authorId="0" shapeId="0">
      <text>
        <t>모델값 역산(implied): v / 전분기 − 1
전분기 + (순이익 − 배당) — 순차입금 롤과 같은 가정</t>
      </text>
    </comment>
    <comment ref="AL34" authorId="0" shapeId="0">
      <text>
        <t>모델값 역산(implied): v / 전분기 − 1
전분기 + (순이익 − 배당) — 순차입금 롤과 같은 가정</t>
      </text>
    </comment>
    <comment ref="AM34" authorId="0" shapeId="0">
      <text>
        <t>모델값 역산(implied): v / 전분기 − 1
전분기 + (순이익 − 배당) — 순차입금 롤과 같은 가정</t>
      </text>
    </comment>
    <comment ref="AN34" authorId="0" shapeId="0">
      <text>
        <t>모델값 역산(implied): v / 전분기 − 1
전분기 + (순이익 − 배당) — 순차입금 롤과 같은 가정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C40" authorId="0" shapeId="0">
      <text>
        <t>모델값 역산(implied): v / 전년동기 − 1
현재 종가 ÷ TTM EPS(추정 포함)</t>
      </text>
    </comment>
    <comment ref="AD40" authorId="0" shapeId="0">
      <text>
        <t>모델값 역산(implied): v / 전년동기 − 1
현재 종가 ÷ TTM EPS(추정 포함)</t>
      </text>
    </comment>
    <comment ref="AF40" authorId="0" shapeId="0">
      <text>
        <t>모델값 역산(implied): v / 전년동기 − 1
현재 종가 ÷ TTM EPS(추정 포함)</t>
      </text>
    </comment>
    <comment ref="AG40" authorId="0" shapeId="0">
      <text>
        <t>모델값 역산(implied): v / 전년동기 − 1
현재 종가 ÷ TTM EPS(추정 포함)</t>
      </text>
    </comment>
    <comment ref="AH40" authorId="0" shapeId="0">
      <text>
        <t>모델값 역산(implied): v / 전년동기 − 1
현재 종가 ÷ TTM EPS(추정 포함)</t>
      </text>
    </comment>
    <comment ref="AI40" authorId="0" shapeId="0">
      <text>
        <t>모델값 역산(implied): v / 전년동기 − 1
현재 종가 ÷ TTM EPS(추정 포함)</t>
      </text>
    </comment>
    <comment ref="AK40" authorId="0" shapeId="0">
      <text>
        <t>모델값 역산(implied): v / 전년동기 − 1
현재 종가 ÷ TTM EPS(추정 포함)</t>
      </text>
    </comment>
    <comment ref="AL40" authorId="0" shapeId="0">
      <text>
        <t>모델값 역산(implied): v / 전년동기 − 1
현재 종가 ÷ TTM EPS(추정 포함)</t>
      </text>
    </comment>
    <comment ref="AM40" authorId="0" shapeId="0">
      <text>
        <t>모델값 역산(implied): v / 전년동기 − 1
현재 종가 ÷ TTM EPS(추정 포함)</t>
      </text>
    </comment>
    <comment ref="AN40" authorId="0" shapeId="0">
      <text>
        <t>모델값 역산(implied): v / 전년동기 − 1
현재 종가 ÷ TTM EPS(추정 포함)</t>
      </text>
    </comment>
    <comment ref="AC41" authorId="0" shapeId="0">
      <text>
        <t>모델값 역산(implied): v / 전년동기 − 1
현재 종가 ÷ BPS(추정 포함)</t>
      </text>
    </comment>
    <comment ref="AD41" authorId="0" shapeId="0">
      <text>
        <t>모델값 역산(implied): v / 전년동기 − 1
현재 종가 ÷ BPS(추정 포함)</t>
      </text>
    </comment>
    <comment ref="AF41" authorId="0" shapeId="0">
      <text>
        <t>모델값 역산(implied): v / 전년동기 − 1
현재 종가 ÷ BPS(추정 포함)</t>
      </text>
    </comment>
    <comment ref="AG41" authorId="0" shapeId="0">
      <text>
        <t>모델값 역산(implied): v / 전년동기 − 1
현재 종가 ÷ BPS(추정 포함)</t>
      </text>
    </comment>
    <comment ref="AH41" authorId="0" shapeId="0">
      <text>
        <t>모델값 역산(implied): v / 전년동기 − 1
현재 종가 ÷ BPS(추정 포함)</t>
      </text>
    </comment>
    <comment ref="AI41" authorId="0" shapeId="0">
      <text>
        <t>모델값 역산(implied): v / 전년동기 − 1
현재 종가 ÷ BPS(추정 포함)</t>
      </text>
    </comment>
    <comment ref="AK41" authorId="0" shapeId="0">
      <text>
        <t>모델값 역산(implied): v / 전년동기 − 1
현재 종가 ÷ BPS(추정 포함)</t>
      </text>
    </comment>
    <comment ref="AL41" authorId="0" shapeId="0">
      <text>
        <t>모델값 역산(implied): v / 전년동기 − 1
현재 종가 ÷ BPS(추정 포함)</t>
      </text>
    </comment>
    <comment ref="AM41" authorId="0" shapeId="0">
      <text>
        <t>모델값 역산(implied): v / 전년동기 − 1
현재 종가 ÷ BPS(추정 포함)</t>
      </text>
    </comment>
    <comment ref="AN41" authorId="0" shapeId="0">
      <text>
        <t>모델값 역산(implied): v / 전년동기 − 1
현재 종가 ÷ BPS(추정 포함)</t>
      </text>
    </comment>
    <comment ref="AC42" authorId="0" shapeId="0">
      <text>
        <t>모델값 역산(implied): v / 매출액
= 매출액 추정(부문 미분리)</t>
      </text>
    </comment>
    <comment ref="AD42" authorId="0" shapeId="0">
      <text>
        <t>모델값 역산(implied): v / 매출액
= 매출액 추정(부문 미분리)</t>
      </text>
    </comment>
    <comment ref="AF42" authorId="0" shapeId="0">
      <text>
        <t>모델값 역산(implied): v / 매출액
= 매출액 추정(부문 미분리)</t>
      </text>
    </comment>
    <comment ref="AG42" authorId="0" shapeId="0">
      <text>
        <t>모델값 역산(implied): v / 매출액
= 매출액 추정(부문 미분리)</t>
      </text>
    </comment>
    <comment ref="AH42" authorId="0" shapeId="0">
      <text>
        <t>모델값 역산(implied): v / 매출액
= 매출액 추정(부문 미분리)</t>
      </text>
    </comment>
    <comment ref="AI42" authorId="0" shapeId="0">
      <text>
        <t>모델값 역산(implied): v / 매출액
= 매출액 추정(부문 미분리)</t>
      </text>
    </comment>
    <comment ref="AK42" authorId="0" shapeId="0">
      <text>
        <t>모델값 역산(implied): v / 매출액
= 매출액 추정(부문 미분리)</t>
      </text>
    </comment>
    <comment ref="AL42" authorId="0" shapeId="0">
      <text>
        <t>모델값 역산(implied): v / 매출액
= 매출액 추정(부문 미분리)</t>
      </text>
    </comment>
    <comment ref="AM42" authorId="0" shapeId="0">
      <text>
        <t>모델값 역산(implied): v / 매출액
= 매출액 추정(부문 미분리)</t>
      </text>
    </comment>
    <comment ref="AN42" authorId="0" shapeId="0">
      <text>
        <t>모델값 역산(implied): v / 매출액
= 매출액 추정(부문 미분리)</t>
      </text>
    </comment>
    <comment ref="AC43" authorId="0" shapeId="0">
      <text>
        <t>모델값 역산(implied): v / 매출전사
= 매출액 × OPM(부문 미분리)</t>
      </text>
    </comment>
    <comment ref="AD43" authorId="0" shapeId="0">
      <text>
        <t>모델값 역산(implied): v / 매출전사
= 매출액 × OPM(부문 미분리)</t>
      </text>
    </comment>
    <comment ref="AF43" authorId="0" shapeId="0">
      <text>
        <t>모델값 역산(implied): v / 매출전사
= 매출액 × OPM(부문 미분리)</t>
      </text>
    </comment>
    <comment ref="AG43" authorId="0" shapeId="0">
      <text>
        <t>모델값 역산(implied): v / 매출전사
= 매출액 × OPM(부문 미분리)</t>
      </text>
    </comment>
    <comment ref="AH43" authorId="0" shapeId="0">
      <text>
        <t>모델값 역산(implied): v / 매출전사
= 매출액 × OPM(부문 미분리)</t>
      </text>
    </comment>
    <comment ref="AI43" authorId="0" shapeId="0">
      <text>
        <t>모델값 역산(implied): v / 매출전사
= 매출액 × OPM(부문 미분리)</t>
      </text>
    </comment>
    <comment ref="AK43" authorId="0" shapeId="0">
      <text>
        <t>모델값 역산(implied): v / 매출전사
= 매출액 × OPM(부문 미분리)</t>
      </text>
    </comment>
    <comment ref="AL43" authorId="0" shapeId="0">
      <text>
        <t>모델값 역산(implied): v / 매출전사
= 매출액 × OPM(부문 미분리)</t>
      </text>
    </comment>
    <comment ref="AM43" authorId="0" shapeId="0">
      <text>
        <t>모델값 역산(implied): v / 매출전사
= 매출액 × OPM(부문 미분리)</t>
      </text>
    </comment>
    <comment ref="AN43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7.1% 유지(클립 −20~40%)
[yoy]</t>
      </text>
    </comment>
    <comment ref="AD10" authorId="0" shapeId="0">
      <text>
        <t>추정: 최근 8분기 OPM 중위 7.1% 유지(클립 −20~40%)
[yoy]</t>
      </text>
    </comment>
    <comment ref="AF10" authorId="0" shapeId="0">
      <text>
        <t>추정: 최근 8분기 OPM 중위 7.1% 유지(클립 −20~40%)
[yoy]</t>
      </text>
    </comment>
    <comment ref="AG10" authorId="0" shapeId="0">
      <text>
        <t>추정: 최근 8분기 OPM 중위 7.1% 유지(클립 −20~40%)
[yoy]</t>
      </text>
    </comment>
    <comment ref="AH10" authorId="0" shapeId="0">
      <text>
        <t>추정: 최근 8분기 OPM 중위 7.1% 유지(클립 −20~40%)
[yoy]</t>
      </text>
    </comment>
    <comment ref="AI10" authorId="0" shapeId="0">
      <text>
        <t>추정: 최근 8분기 OPM 중위 7.1% 유지(클립 −20~40%)
[yoy]</t>
      </text>
    </comment>
    <comment ref="AK10" authorId="0" shapeId="0">
      <text>
        <t>추정: 최근 8분기 OPM 중위 7.1% 유지(클립 −20~40%)
[yoy]</t>
      </text>
    </comment>
    <comment ref="AL10" authorId="0" shapeId="0">
      <text>
        <t>추정: 최근 8분기 OPM 중위 7.1% 유지(클립 −20~40%)
[yoy]</t>
      </text>
    </comment>
    <comment ref="AM10" authorId="0" shapeId="0">
      <text>
        <t>추정: 최근 8분기 OPM 중위 7.1% 유지(클립 −20~40%)
[yoy]</t>
      </text>
    </comment>
    <comment ref="AN10" authorId="0" shapeId="0">
      <text>
        <t>추정: 최근 8분기 OPM 중위 7.1% 유지(클립 −20~40%)
[yoy]</t>
      </text>
    </comment>
    <comment ref="AC11" authorId="0" shapeId="0">
      <text>
        <t>추정: 이자손익 = 이자발생자산 713억 × 3.98% − 총차입금 2150억 × 5.10% (연율, CF 실측) ÷ 4; 환·평가손익 0 가정
[abs]</t>
      </text>
    </comment>
    <comment ref="AD11" authorId="0" shapeId="0">
      <text>
        <t>추정: 이자손익 = 이자발생자산 858억 × 3.98% − 총차입금 2150억 × 5.10% (연율, CF 실측) ÷ 4; 환·평가손익 0 가정
[abs]</t>
      </text>
    </comment>
    <comment ref="AF11" authorId="0" shapeId="0">
      <text>
        <t>추정: 이자손익 = 이자발생자산 938억 × 3.98% − 총차입금 2150억 × 5.10% (연율, CF 실측) ÷ 4; 환·평가손익 0 가정
[abs]</t>
      </text>
    </comment>
    <comment ref="AG11" authorId="0" shapeId="0">
      <text>
        <t>추정: 이자손익 = 이자발생자산 1019억 × 3.98% − 총차입금 2150억 × 5.10% (연율, CF 실측) ÷ 4; 환·평가손익 0 가정
[abs]</t>
      </text>
    </comment>
    <comment ref="AH11" authorId="0" shapeId="0">
      <text>
        <t>추정: 이자손익 = 이자발생자산 1098억 × 3.98% − 총차입금 2150억 × 5.10% (연율, CF 실측) ÷ 4; 환·평가손익 0 가정
[abs]</t>
      </text>
    </comment>
    <comment ref="AI11" authorId="0" shapeId="0">
      <text>
        <t>추정: 이자손익 = 이자발생자산 1241억 × 3.98% − 총차입금 2150억 × 5.10% (연율, CF 실측) ÷ 4; 환·평가손익 0 가정
[abs]</t>
      </text>
    </comment>
    <comment ref="AK11" authorId="0" shapeId="0">
      <text>
        <t>추정: 이자손익 = 이자발생자산 1322억 × 3.98% − 총차입금 2150억 × 5.10% (연율, CF 실측) ÷ 4; 환·평가손익 0 가정
[abs]</t>
      </text>
    </comment>
    <comment ref="AL11" authorId="0" shapeId="0">
      <text>
        <t>추정: 이자손익 = 이자발생자산 1403억 × 3.98% − 총차입금 2150억 × 5.10% (연율, CF 실측) ÷ 4; 환·평가손익 0 가정
[abs]</t>
      </text>
    </comment>
    <comment ref="AM11" authorId="0" shapeId="0">
      <text>
        <t>추정: 이자손익 = 이자발생자산 1483억 × 3.98% − 총차입금 2150억 × 5.10% (연율, CF 실측) ÷ 4; 환·평가손익 0 가정
[abs]</t>
      </text>
    </comment>
    <comment ref="AN11" authorId="0" shapeId="0">
      <text>
        <t>추정: 이자손익 = 이자발생자산 1627억 × 3.98% − 총차입금 2150억 × 5.10%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영업이익 + 금융손익 + 기타영업외 + 지분법 + 환관련(항등식)
[identity]</t>
      </text>
    </comment>
    <comment ref="AD13" authorId="0" shapeId="0">
      <text>
        <t>추정: 영업이익 + 금융손익 + 기타영업외 + 지분법 + 환관련(항등식)
[identity]</t>
      </text>
    </comment>
    <comment ref="AF13" authorId="0" shapeId="0">
      <text>
        <t>추정: 영업이익 + 금융손익 + 기타영업외 + 지분법 + 환관련(항등식)
[identity]</t>
      </text>
    </comment>
    <comment ref="AG13" authorId="0" shapeId="0">
      <text>
        <t>추정: 영업이익 + 금융손익 + 기타영업외 + 지분법 + 환관련(항등식)
[identity]</t>
      </text>
    </comment>
    <comment ref="AH13" authorId="0" shapeId="0">
      <text>
        <t>추정: 영업이익 + 금융손익 + 기타영업외 + 지분법 + 환관련(항등식)
[identity]</t>
      </text>
    </comment>
    <comment ref="AI13" authorId="0" shapeId="0">
      <text>
        <t>추정: 영업이익 + 금융손익 + 기타영업외 + 지분법 + 환관련(항등식)
[identity]</t>
      </text>
    </comment>
    <comment ref="AK13" authorId="0" shapeId="0">
      <text>
        <t>추정: 영업이익 + 금융손익 + 기타영업외 + 지분법 + 환관련(항등식)
[identity]</t>
      </text>
    </comment>
    <comment ref="AL13" authorId="0" shapeId="0">
      <text>
        <t>추정: 영업이익 + 금융손익 + 기타영업외 + 지분법 + 환관련(항등식)
[identity]</t>
      </text>
    </comment>
    <comment ref="AM13" authorId="0" shapeId="0">
      <text>
        <t>추정: 영업이익 + 금융손익 + 기타영업외 + 지분법 + 환관련(항등식)
[identity]</t>
      </text>
    </comment>
    <comment ref="AN13" authorId="0" shapeId="0">
      <text>
        <t>추정: 영업이익 + 금융손익 + 기타영업외 + 지분법 + 환관련(항등식)
[identity]</t>
      </text>
    </comment>
    <comment ref="AC14" authorId="0" shapeId="0">
      <text>
        <t>추정: max(세전, 0) × 세율 18.3%(최근 12분기 유효세율 18.3% → 5~27% 클립)
[ratio]</t>
      </text>
    </comment>
    <comment ref="AD14" authorId="0" shapeId="0">
      <text>
        <t>추정: max(세전, 0) × 세율 18.3%(최근 12분기 유효세율 18.3% → 5~27% 클립)
[ratio]</t>
      </text>
    </comment>
    <comment ref="AF14" authorId="0" shapeId="0">
      <text>
        <t>추정: max(세전, 0) × 세율 18.3%(최근 12분기 유효세율 18.3% → 5~27% 클립)
[ratio]</t>
      </text>
    </comment>
    <comment ref="AG14" authorId="0" shapeId="0">
      <text>
        <t>추정: max(세전, 0) × 세율 18.3%(최근 12분기 유효세율 18.3% → 5~27% 클립)
[ratio]</t>
      </text>
    </comment>
    <comment ref="AH14" authorId="0" shapeId="0">
      <text>
        <t>추정: max(세전, 0) × 세율 18.3%(최근 12분기 유효세율 18.3% → 5~27% 클립)
[ratio]</t>
      </text>
    </comment>
    <comment ref="AI14" authorId="0" shapeId="0">
      <text>
        <t>추정: max(세전, 0) × 세율 18.3%(최근 12분기 유효세율 18.3% → 5~27% 클립)
[ratio]</t>
      </text>
    </comment>
    <comment ref="AK14" authorId="0" shapeId="0">
      <text>
        <t>추정: max(세전, 0) × 세율 18.3%(최근 12분기 유효세율 18.3% → 5~27% 클립)
[ratio]</t>
      </text>
    </comment>
    <comment ref="AL14" authorId="0" shapeId="0">
      <text>
        <t>추정: max(세전, 0) × 세율 18.3%(최근 12분기 유효세율 18.3% → 5~27% 클립)
[ratio]</t>
      </text>
    </comment>
    <comment ref="AM14" authorId="0" shapeId="0">
      <text>
        <t>추정: max(세전, 0) × 세율 18.3%(최근 12분기 유효세율 18.3% → 5~27% 클립)
[ratio]</t>
      </text>
    </comment>
    <comment ref="AN14" authorId="0" shapeId="0">
      <text>
        <t>추정: max(세전, 0) × 세율 18.3%(최근 12분기 유효세율 18.3% → 5~27% 클립)
[ratio]</t>
      </text>
    </comment>
    <comment ref="AC15" authorId="0" shapeId="0">
      <text>
        <t>추정: 세전이익 − 법인세비용(항등식)
[identity]</t>
      </text>
    </comment>
    <comment ref="AD15" authorId="0" shapeId="0">
      <text>
        <t>추정: 세전이익 − 법인세비용(항등식)
[identity]</t>
      </text>
    </comment>
    <comment ref="AF15" authorId="0" shapeId="0">
      <text>
        <t>추정: 세전이익 − 법인세비용(항등식)
[identity]</t>
      </text>
    </comment>
    <comment ref="AG15" authorId="0" shapeId="0">
      <text>
        <t>추정: 세전이익 − 법인세비용(항등식)
[identity]</t>
      </text>
    </comment>
    <comment ref="AH15" authorId="0" shapeId="0">
      <text>
        <t>추정: 세전이익 − 법인세비용(항등식)
[identity]</t>
      </text>
    </comment>
    <comment ref="AI15" authorId="0" shapeId="0">
      <text>
        <t>추정: 세전이익 − 법인세비용(항등식)
[identity]</t>
      </text>
    </comment>
    <comment ref="AK15" authorId="0" shapeId="0">
      <text>
        <t>추정: 세전이익 − 법인세비용(항등식)
[identity]</t>
      </text>
    </comment>
    <comment ref="AL15" authorId="0" shapeId="0">
      <text>
        <t>추정: 세전이익 − 법인세비용(항등식)
[identity]</t>
      </text>
    </comment>
    <comment ref="AM15" authorId="0" shapeId="0">
      <text>
        <t>추정: 세전이익 − 법인세비용(항등식)
[identity]</t>
      </text>
    </comment>
    <comment ref="AN15" authorId="0" shapeId="0">
      <text>
        <t>추정: 세전이익 − 법인세비용(항등식)
[identity]</t>
      </text>
    </comment>
    <comment ref="AC16" authorId="0" shapeId="0">
      <text>
        <t>추정: 당기순이익 × (1 − 비지배 비중 0.0%, 최근 8분기 실측)
[ratio]</t>
      </text>
    </comment>
    <comment ref="AD16" authorId="0" shapeId="0">
      <text>
        <t>추정: 당기순이익 × (1 − 비지배 비중 0.0%, 최근 8분기 실측)
[ratio]</t>
      </text>
    </comment>
    <comment ref="AF16" authorId="0" shapeId="0">
      <text>
        <t>추정: 당기순이익 × (1 − 비지배 비중 0.0%, 최근 8분기 실측)
[ratio]</t>
      </text>
    </comment>
    <comment ref="AG16" authorId="0" shapeId="0">
      <text>
        <t>추정: 당기순이익 × (1 − 비지배 비중 0.0%, 최근 8분기 실측)
[ratio]</t>
      </text>
    </comment>
    <comment ref="AH16" authorId="0" shapeId="0">
      <text>
        <t>추정: 당기순이익 × (1 − 비지배 비중 0.0%, 최근 8분기 실측)
[ratio]</t>
      </text>
    </comment>
    <comment ref="AI16" authorId="0" shapeId="0">
      <text>
        <t>추정: 당기순이익 × (1 − 비지배 비중 0.0%, 최근 8분기 실측)
[ratio]</t>
      </text>
    </comment>
    <comment ref="AK16" authorId="0" shapeId="0">
      <text>
        <t>추정: 당기순이익 × (1 − 비지배 비중 0.0%, 최근 8분기 실측)
[ratio]</t>
      </text>
    </comment>
    <comment ref="AL16" authorId="0" shapeId="0">
      <text>
        <t>추정: 당기순이익 × (1 − 비지배 비중 0.0%, 최근 8분기 실측)
[ratio]</t>
      </text>
    </comment>
    <comment ref="AM16" authorId="0" shapeId="0">
      <text>
        <t>추정: 당기순이익 × (1 − 비지배 비중 0.0%, 최근 8분기 실측)
[ratio]</t>
      </text>
    </comment>
    <comment ref="AN16" authorId="0" shapeId="0">
      <text>
        <t>추정: 당기순이익 × (1 − 비지배 비중 0.0%, 최근 8분기 실측)
[ratio]</t>
      </text>
    </comment>
    <comment ref="AC17" authorId="0" shapeId="0">
      <text>
        <t>추정: 부채총계 + 자본총계(항등식)
[identity]</t>
      </text>
    </comment>
    <comment ref="AD17" authorId="0" shapeId="0">
      <text>
        <t>추정: 부채총계 + 자본총계(항등식)
[identity]</t>
      </text>
    </comment>
    <comment ref="AF17" authorId="0" shapeId="0">
      <text>
        <t>추정: 부채총계 + 자본총계(항등식)
[identity]</t>
      </text>
    </comment>
    <comment ref="AG17" authorId="0" shapeId="0">
      <text>
        <t>추정: 부채총계 + 자본총계(항등식)
[identity]</t>
      </text>
    </comment>
    <comment ref="AH17" authorId="0" shapeId="0">
      <text>
        <t>추정: 부채총계 + 자본총계(항등식)
[identity]</t>
      </text>
    </comment>
    <comment ref="AI17" authorId="0" shapeId="0">
      <text>
        <t>추정: 부채총계 + 자본총계(항등식)
[identity]</t>
      </text>
    </comment>
    <comment ref="AK17" authorId="0" shapeId="0">
      <text>
        <t>추정: 부채총계 + 자본총계(항등식)
[identity]</t>
      </text>
    </comment>
    <comment ref="AL17" authorId="0" shapeId="0">
      <text>
        <t>추정: 부채총계 + 자본총계(항등식)
[identity]</t>
      </text>
    </comment>
    <comment ref="AM17" authorId="0" shapeId="0">
      <text>
        <t>추정: 부채총계 + 자본총계(항등식)
[identity]</t>
      </text>
    </comment>
    <comment ref="AN17" authorId="0" shapeId="0">
      <text>
        <t>추정: 부채총계 + 자본총계(항등식)
[identity]</t>
      </text>
    </comment>
    <comment ref="AC18" authorId="0" shapeId="0">
      <text>
        <t>추정: 마지막 실적 유지(가정)
[qoq]</t>
      </text>
    </comment>
    <comment ref="AD18" authorId="0" shapeId="0">
      <text>
        <t>추정: 마지막 실적 유지(가정)
[qoq]</t>
      </text>
    </comment>
    <comment ref="AF18" authorId="0" shapeId="0">
      <text>
        <t>추정: 마지막 실적 유지(가정)
[qoq]</t>
      </text>
    </comment>
    <comment ref="AG18" authorId="0" shapeId="0">
      <text>
        <t>추정: 마지막 실적 유지(가정)
[qoq]</t>
      </text>
    </comment>
    <comment ref="AH18" authorId="0" shapeId="0">
      <text>
        <t>추정: 마지막 실적 유지(가정)
[qoq]</t>
      </text>
    </comment>
    <comment ref="AI18" authorId="0" shapeId="0">
      <text>
        <t>추정: 마지막 실적 유지(가정)
[qoq]</t>
      </text>
    </comment>
    <comment ref="AK18" authorId="0" shapeId="0">
      <text>
        <t>추정: 마지막 실적 유지(가정)
[qoq]</t>
      </text>
    </comment>
    <comment ref="AL18" authorId="0" shapeId="0">
      <text>
        <t>추정: 마지막 실적 유지(가정)
[qoq]</t>
      </text>
    </comment>
    <comment ref="AM18" authorId="0" shapeId="0">
      <text>
        <t>추정: 마지막 실적 유지(가정)
[qoq]</t>
      </text>
    </comment>
    <comment ref="AN18" authorId="0" shapeId="0">
      <text>
        <t>추정: 마지막 실적 유지(가정)
[qoq]</t>
      </text>
    </comment>
    <comment ref="AC19" authorId="0" shapeId="0">
      <text>
        <t>추정: 전분기 + 당기순이익 − 배당(Q2 지급 가정)
[roll]</t>
      </text>
    </comment>
    <comment ref="AD19" authorId="0" shapeId="0">
      <text>
        <t>추정: 전분기 + 당기순이익 − 배당(Q2 지급 가정)
[roll]</t>
      </text>
    </comment>
    <comment ref="AF19" authorId="0" shapeId="0">
      <text>
        <t>추정: 전분기 + 당기순이익 − 배당(Q2 지급 가정)
[roll]</t>
      </text>
    </comment>
    <comment ref="AG19" authorId="0" shapeId="0">
      <text>
        <t>추정: 전분기 + 당기순이익 − 배당(Q2 지급 가정)
[roll]</t>
      </text>
    </comment>
    <comment ref="AH19" authorId="0" shapeId="0">
      <text>
        <t>추정: 전분기 + 당기순이익 − 배당(Q2 지급 가정)
[roll]</t>
      </text>
    </comment>
    <comment ref="AI19" authorId="0" shapeId="0">
      <text>
        <t>추정: 전분기 + 당기순이익 − 배당(Q2 지급 가정)
[roll]</t>
      </text>
    </comment>
    <comment ref="AK19" authorId="0" shapeId="0">
      <text>
        <t>추정: 전분기 + 당기순이익 − 배당(Q2 지급 가정)
[roll]</t>
      </text>
    </comment>
    <comment ref="AL19" authorId="0" shapeId="0">
      <text>
        <t>추정: 전분기 + 당기순이익 − 배당(Q2 지급 가정)
[roll]</t>
      </text>
    </comment>
    <comment ref="AM19" authorId="0" shapeId="0">
      <text>
        <t>추정: 전분기 + 당기순이익 − 배당(Q2 지급 가정)
[roll]</t>
      </text>
    </comment>
    <comment ref="AN19" authorId="0" shapeId="0">
      <text>
        <t>추정: 전분기 + 당기순이익 − 배당(Q2 지급 가정)
[roll]</t>
      </text>
    </comment>
    <comment ref="AC20" authorId="0" shapeId="0">
      <text>
        <t>추정: 전분기 + 지배주주순이익 − 배당
[roll]</t>
      </text>
    </comment>
    <comment ref="AD20" authorId="0" shapeId="0">
      <text>
        <t>추정: 전분기 + 지배주주순이익 − 배당
[roll]</t>
      </text>
    </comment>
    <comment ref="AF20" authorId="0" shapeId="0">
      <text>
        <t>추정: 전분기 + 지배주주순이익 − 배당
[roll]</t>
      </text>
    </comment>
    <comment ref="AG20" authorId="0" shapeId="0">
      <text>
        <t>추정: 전분기 + 지배주주순이익 − 배당
[roll]</t>
      </text>
    </comment>
    <comment ref="AH20" authorId="0" shapeId="0">
      <text>
        <t>추정: 전분기 + 지배주주순이익 − 배당
[roll]</t>
      </text>
    </comment>
    <comment ref="AI20" authorId="0" shapeId="0">
      <text>
        <t>추정: 전분기 + 지배주주순이익 − 배당
[roll]</t>
      </text>
    </comment>
    <comment ref="AK20" authorId="0" shapeId="0">
      <text>
        <t>추정: 전분기 + 지배주주순이익 − 배당
[roll]</t>
      </text>
    </comment>
    <comment ref="AL20" authorId="0" shapeId="0">
      <text>
        <t>추정: 전분기 + 지배주주순이익 − 배당
[roll]</t>
      </text>
    </comment>
    <comment ref="AM20" authorId="0" shapeId="0">
      <text>
        <t>추정: 전분기 + 지배주주순이익 − 배당
[roll]</t>
      </text>
    </comment>
    <comment ref="AN20" authorId="0" shapeId="0">
      <text>
        <t>추정: 전분기 + 지배주주순이익 − 배당
[roll]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− (순이익 − 배당): 순이익 = 순현금 증가 가정(CAPEX≈감가, 운전자본 불변)
[qoq]</t>
      </text>
    </comment>
    <comment ref="AD22" authorId="0" shapeId="0">
      <text>
        <t>추정: 전분기 − (순이익 − 배당): 순이익 = 순현금 증가 가정(CAPEX≈감가, 운전자본 불변)
[qoq]</t>
      </text>
    </comment>
    <comment ref="AF22" authorId="0" shapeId="0">
      <text>
        <t>추정: 전분기 − (순이익 − 배당): 순이익 = 순현금 증가 가정(CAPEX≈감가, 운전자본 불변)
[qoq]</t>
      </text>
    </comment>
    <comment ref="AG22" authorId="0" shapeId="0">
      <text>
        <t>추정: 전분기 − (순이익 − 배당): 순이익 = 순현금 증가 가정(CAPEX≈감가, 운전자본 불변)
[qoq]</t>
      </text>
    </comment>
    <comment ref="AH22" authorId="0" shapeId="0">
      <text>
        <t>추정: 전분기 − (순이익 − 배당): 순이익 = 순현금 증가 가정(CAPEX≈감가, 운전자본 불변)
[qoq]</t>
      </text>
    </comment>
    <comment ref="AI22" authorId="0" shapeId="0">
      <text>
        <t>추정: 전분기 − (순이익 − 배당): 순이익 = 순현금 증가 가정(CAPEX≈감가, 운전자본 불변)
[qoq]</t>
      </text>
    </comment>
    <comment ref="AK22" authorId="0" shapeId="0">
      <text>
        <t>추정: 전분기 − (순이익 − 배당): 순이익 = 순현금 증가 가정(CAPEX≈감가, 운전자본 불변)
[qoq]</t>
      </text>
    </comment>
    <comment ref="AL22" authorId="0" shapeId="0">
      <text>
        <t>추정: 전분기 − (순이익 − 배당): 순이익 = 순현금 증가 가정(CAPEX≈감가, 운전자본 불변)
[qoq]</t>
      </text>
    </comment>
    <comment ref="AM22" authorId="0" shapeId="0">
      <text>
        <t>추정: 전분기 − (순이익 − 배당): 순이익 = 순현금 증가 가정(CAPEX≈감가, 운전자본 불변)
[qoq]</t>
      </text>
    </comment>
    <comment ref="AN22" authorId="0" shapeId="0">
      <text>
        <t>추정: 전분기 − (순이익 − 배당): 순이익 = 순현금 증가 가정(CAPEX≈감가, 운전자본 불변)
[qoq]</t>
      </text>
    </comment>
    <comment ref="AC23" authorId="0" shapeId="0">
      <text>
        <t>추정: 전분기 + (순이익 − 배당) — 순차입금 롤과 같은 가정
[qoq]</t>
      </text>
    </comment>
    <comment ref="AD23" authorId="0" shapeId="0">
      <text>
        <t>추정: 전분기 + (순이익 − 배당) — 순차입금 롤과 같은 가정
[qoq]</t>
      </text>
    </comment>
    <comment ref="AF23" authorId="0" shapeId="0">
      <text>
        <t>추정: 전분기 + (순이익 − 배당) — 순차입금 롤과 같은 가정
[qoq]</t>
      </text>
    </comment>
    <comment ref="AG23" authorId="0" shapeId="0">
      <text>
        <t>추정: 전분기 + (순이익 − 배당) — 순차입금 롤과 같은 가정
[qoq]</t>
      </text>
    </comment>
    <comment ref="AH23" authorId="0" shapeId="0">
      <text>
        <t>추정: 전분기 + (순이익 − 배당) — 순차입금 롤과 같은 가정
[qoq]</t>
      </text>
    </comment>
    <comment ref="AI23" authorId="0" shapeId="0">
      <text>
        <t>추정: 전분기 + (순이익 − 배당) — 순차입금 롤과 같은 가정
[qoq]</t>
      </text>
    </comment>
    <comment ref="AK23" authorId="0" shapeId="0">
      <text>
        <t>추정: 전분기 + (순이익 − 배당) — 순차입금 롤과 같은 가정
[qoq]</t>
      </text>
    </comment>
    <comment ref="AL23" authorId="0" shapeId="0">
      <text>
        <t>추정: 전분기 + (순이익 − 배당) — 순차입금 롤과 같은 가정
[qoq]</t>
      </text>
    </comment>
    <comment ref="AM23" authorId="0" shapeId="0">
      <text>
        <t>추정: 전분기 + (순이익 − 배당) — 순차입금 롤과 같은 가정
[qoq]</t>
      </text>
    </comment>
    <comment ref="AN23" authorId="0" shapeId="0">
      <text>
        <t>추정: 전분기 + (순이익 − 배당) — 순차입금 롤과 같은 가정
[qoq]</t>
      </text>
    </comment>
    <comment ref="E26" authorId="0" shapeId="0">
      <text>
        <t>실측(계정 매핑 없음 — 모델값 직접) — fin.cons.cf.영업활동으로인한현금흐름</t>
      </text>
    </comment>
    <comment ref="G26" authorId="0" shapeId="0">
      <text>
        <t>실측(계정 매핑 없음 — 모델값 직접) — fin.cons.cf.영업활동으로인한현금흐름</t>
      </text>
    </comment>
    <comment ref="H26" authorId="0" shapeId="0">
      <text>
        <t>실측(계정 매핑 없음 — 모델값 직접) — fin.cons.cf.영업활동으로인한현금흐름</t>
      </text>
    </comment>
    <comment ref="I26" authorId="0" shapeId="0">
      <text>
        <t>실측(계정 매핑 없음 — 모델값 직접) — fin.cons.cf.영업활동으로인한현금흐름</t>
      </text>
    </comment>
    <comment ref="J26" authorId="0" shapeId="0">
      <text>
        <t>실측(계정 매핑 없음 — 모델값 직접) — fin.cons.cf.영업활동으로인한현금흐름</t>
      </text>
    </comment>
    <comment ref="L26" authorId="0" shapeId="0">
      <text>
        <t>실측(계정 매핑 없음 — 모델값 직접) — fin.cons.cf.영업활동으로인한현금흐름</t>
      </text>
    </comment>
    <comment ref="M26" authorId="0" shapeId="0">
      <text>
        <t>실측(계정 매핑 없음 — 모델값 직접) — fin.cons.cf.영업활동으로인한현금흐름</t>
      </text>
    </comment>
    <comment ref="N26" authorId="0" shapeId="0">
      <text>
        <t>실측(계정 매핑 없음 — 모델값 직접) — fin.cons.cf.영업활동으로인한현금흐름</t>
      </text>
    </comment>
    <comment ref="O26" authorId="0" shapeId="0">
      <text>
        <t>실측(계정 매핑 없음 — 모델값 직접) — fin.cons.cf.영업활동으로인한현금흐름</t>
      </text>
    </comment>
    <comment ref="Q26" authorId="0" shapeId="0">
      <text>
        <t>실측(계정 매핑 없음 — 모델값 직접) — fin.cons.cf.영업활동으로인한현금흐름</t>
      </text>
    </comment>
    <comment ref="R26" authorId="0" shapeId="0">
      <text>
        <t>실측(계정 매핑 없음 — 모델값 직접) — fin.cons.cf.영업활동으로인한현금흐름</t>
      </text>
    </comment>
    <comment ref="S26" authorId="0" shapeId="0">
      <text>
        <t>실측(계정 매핑 없음 — 모델값 직접) — fin.cons.cf.영업활동으로인한현금흐름</t>
      </text>
    </comment>
    <comment ref="T26" authorId="0" shapeId="0">
      <text>
        <t>실측(계정 매핑 없음 — 모델값 직접) — fin.cons.cf.영업활동으로인한현금흐름</t>
      </text>
    </comment>
    <comment ref="V26" authorId="0" shapeId="0">
      <text>
        <t>실측(계정 매핑 없음 — 모델값 직접) — fin.cons.cf.영업활동으로인한현금흐름</t>
      </text>
    </comment>
    <comment ref="W26" authorId="0" shapeId="0">
      <text>
        <t>실측(계정 매핑 없음 — 모델값 직접) — fin.cons.cf.영업활동으로인한현금흐름</t>
      </text>
    </comment>
    <comment ref="X26" authorId="0" shapeId="0">
      <text>
        <t>실측(계정 매핑 없음 — 모델값 직접) — fin.cons.cf.영업활동으로인한현금흐름</t>
      </text>
    </comment>
    <comment ref="Y26" authorId="0" shapeId="0">
      <text>
        <t>실측(계정 매핑 없음 — 모델값 직접) — fin.cons.cf.영업활동으로인한현금흐름</t>
      </text>
    </comment>
    <comment ref="AA26" authorId="0" shapeId="0">
      <text>
        <t>실측(계정 매핑 없음 — 모델값 직접) — fin.cons.cf.영업활동으로인한현금흐름</t>
      </text>
    </comment>
    <comment ref="AB26" authorId="0" shapeId="0">
      <text>
        <t>실측(계정 매핑 없음 — 모델값 직접) — fin.cons.cf.영업활동으로인한현금흐름</t>
      </text>
    </comment>
    <comment ref="E27" authorId="0" shapeId="0">
      <text>
        <t>실측(계정 매핑 없음 — 모델값 직접) — fin.shares.common_outstanding</t>
      </text>
    </comment>
    <comment ref="G27" authorId="0" shapeId="0">
      <text>
        <t>실측(계정 매핑 없음 — 모델값 직접) — fin.shares.common_outstanding</t>
      </text>
    </comment>
    <comment ref="H27" authorId="0" shapeId="0">
      <text>
        <t>실측(계정 매핑 없음 — 모델값 직접) — fin.shares.common_outstanding</t>
      </text>
    </comment>
    <comment ref="I27" authorId="0" shapeId="0">
      <text>
        <t>실측(계정 매핑 없음 — 모델값 직접) — fin.shares.common_outstanding</t>
      </text>
    </comment>
    <comment ref="J27" authorId="0" shapeId="0">
      <text>
        <t>실측(계정 매핑 없음 — 모델값 직접) — fin.shares.common_outstanding</t>
      </text>
    </comment>
    <comment ref="L27" authorId="0" shapeId="0">
      <text>
        <t>실측(계정 매핑 없음 — 모델값 직접) — fin.shares.common_outstanding</t>
      </text>
    </comment>
    <comment ref="M27" authorId="0" shapeId="0">
      <text>
        <t>실측(계정 매핑 없음 — 모델값 직접) — fin.shares.common_outstanding</t>
      </text>
    </comment>
    <comment ref="N27" authorId="0" shapeId="0">
      <text>
        <t>실측(계정 매핑 없음 — 모델값 직접) — fin.shares.common_outstanding</t>
      </text>
    </comment>
    <comment ref="O27" authorId="0" shapeId="0">
      <text>
        <t>실측(계정 매핑 없음 — 모델값 직접) — fin.shares.common_outstanding</t>
      </text>
    </comment>
    <comment ref="Q27" authorId="0" shapeId="0">
      <text>
        <t>실측(계정 매핑 없음 — 모델값 직접) — fin.shares.common_outstanding</t>
      </text>
    </comment>
    <comment ref="R27" authorId="0" shapeId="0">
      <text>
        <t>실측(계정 매핑 없음 — 모델값 직접) — fin.shares.common_outstanding</t>
      </text>
    </comment>
    <comment ref="S27" authorId="0" shapeId="0">
      <text>
        <t>실측(계정 매핑 없음 — 모델값 직접) — fin.shares.common_outstanding</t>
      </text>
    </comment>
    <comment ref="T27" authorId="0" shapeId="0">
      <text>
        <t>실측(계정 매핑 없음 — 모델값 직접) — fin.shares.common_outstanding</t>
      </text>
    </comment>
    <comment ref="V27" authorId="0" shapeId="0">
      <text>
        <t>실측(계정 매핑 없음 — 모델값 직접) — fin.shares.common_outstanding</t>
      </text>
    </comment>
    <comment ref="W27" authorId="0" shapeId="0">
      <text>
        <t>실측(계정 매핑 없음 — 모델값 직접) — fin.shares.common_outstanding</t>
      </text>
    </comment>
    <comment ref="X27" authorId="0" shapeId="0">
      <text>
        <t>실측(계정 매핑 없음 — 모델값 직접) — fin.shares.common_outstanding</t>
      </text>
    </comment>
    <comment ref="Y27" authorId="0" shapeId="0">
      <text>
        <t>실측(계정 매핑 없음 — 모델값 직접) — fin.shares.common_outstanding</t>
      </text>
    </comment>
    <comment ref="AA27" authorId="0" shapeId="0">
      <text>
        <t>실측(계정 매핑 없음 — 모델값 직접) — fin.shares.common_outstanding</t>
      </text>
    </comment>
    <comment ref="AB27" authorId="0" shapeId="0">
      <text>
        <t>실측(계정 매핑 없음 — 모델값 직접) — fin.shares.common_outstanding</t>
      </text>
    </comment>
    <comment ref="AC27" authorId="0" shapeId="0">
      <text>
        <t>추정: 유통주식수 유지 — fin.shares.common_outstanding(2026Q2)
[qoq]</t>
      </text>
    </comment>
    <comment ref="AD27" authorId="0" shapeId="0">
      <text>
        <t>추정: 유통주식수 유지 — fin.shares.common_outstanding(2026Q2)
[qoq]</t>
      </text>
    </comment>
    <comment ref="AF27" authorId="0" shapeId="0">
      <text>
        <t>추정: 유통주식수 유지 — fin.shares.common_outstanding(2026Q2)
[qoq]</t>
      </text>
    </comment>
    <comment ref="AG27" authorId="0" shapeId="0">
      <text>
        <t>추정: 유통주식수 유지 — fin.shares.common_outstanding(2026Q2)
[qoq]</t>
      </text>
    </comment>
    <comment ref="AH27" authorId="0" shapeId="0">
      <text>
        <t>추정: 유통주식수 유지 — fin.shares.common_outstanding(2026Q2)
[qoq]</t>
      </text>
    </comment>
    <comment ref="AI27" authorId="0" shapeId="0">
      <text>
        <t>추정: 유통주식수 유지 — fin.shares.common_outstanding(2026Q2)
[qoq]</t>
      </text>
    </comment>
    <comment ref="AK27" authorId="0" shapeId="0">
      <text>
        <t>추정: 유통주식수 유지 — fin.shares.common_outstanding(2026Q2)
[qoq]</t>
      </text>
    </comment>
    <comment ref="AL27" authorId="0" shapeId="0">
      <text>
        <t>추정: 유통주식수 유지 — fin.shares.common_outstanding(2026Q2)
[qoq]</t>
      </text>
    </comment>
    <comment ref="AM27" authorId="0" shapeId="0">
      <text>
        <t>추정: 유통주식수 유지 — fin.shares.common_outstanding(2026Q2)
[qoq]</t>
      </text>
    </comment>
    <comment ref="AN27" authorId="0" shapeId="0">
      <text>
        <t>추정: 유통주식수 유지 — fin.shares.common_outstanding(2026Q2)
[qoq]</t>
      </text>
    </comment>
    <comment ref="AC28" authorId="0" shapeId="0">
      <text>
        <t>추정: 지배주주순이익 ÷ 유통주식수
[per_share]</t>
      </text>
    </comment>
    <comment ref="AD28" authorId="0" shapeId="0">
      <text>
        <t>추정: 지배주주순이익 ÷ 유통주식수
[per_share]</t>
      </text>
    </comment>
    <comment ref="AF28" authorId="0" shapeId="0">
      <text>
        <t>추정: 지배주주순이익 ÷ 유통주식수
[per_share]</t>
      </text>
    </comment>
    <comment ref="AG28" authorId="0" shapeId="0">
      <text>
        <t>추정: 지배주주순이익 ÷ 유통주식수
[per_share]</t>
      </text>
    </comment>
    <comment ref="AH28" authorId="0" shapeId="0">
      <text>
        <t>추정: 지배주주순이익 ÷ 유통주식수
[per_share]</t>
      </text>
    </comment>
    <comment ref="AI28" authorId="0" shapeId="0">
      <text>
        <t>추정: 지배주주순이익 ÷ 유통주식수
[per_share]</t>
      </text>
    </comment>
    <comment ref="AK28" authorId="0" shapeId="0">
      <text>
        <t>추정: 지배주주순이익 ÷ 유통주식수
[per_share]</t>
      </text>
    </comment>
    <comment ref="AL28" authorId="0" shapeId="0">
      <text>
        <t>추정: 지배주주순이익 ÷ 유통주식수
[per_share]</t>
      </text>
    </comment>
    <comment ref="AM28" authorId="0" shapeId="0">
      <text>
        <t>추정: 지배주주순이익 ÷ 유통주식수
[per_share]</t>
      </text>
    </comment>
    <comment ref="AN28" authorId="0" shapeId="0">
      <text>
        <t>추정: 지배주주순이익 ÷ 유통주식수
[per_share]</t>
      </text>
    </comment>
    <comment ref="AC29" authorId="0" shapeId="0">
      <text>
        <t>추정: 지배주주지분 ÷ 유통주식수
[per_share]</t>
      </text>
    </comment>
    <comment ref="AD29" authorId="0" shapeId="0">
      <text>
        <t>추정: 지배주주지분 ÷ 유통주식수
[per_share]</t>
      </text>
    </comment>
    <comment ref="AF29" authorId="0" shapeId="0">
      <text>
        <t>추정: 지배주주지분 ÷ 유통주식수
[per_share]</t>
      </text>
    </comment>
    <comment ref="AG29" authorId="0" shapeId="0">
      <text>
        <t>추정: 지배주주지분 ÷ 유통주식수
[per_share]</t>
      </text>
    </comment>
    <comment ref="AH29" authorId="0" shapeId="0">
      <text>
        <t>추정: 지배주주지분 ÷ 유통주식수
[per_share]</t>
      </text>
    </comment>
    <comment ref="AI29" authorId="0" shapeId="0">
      <text>
        <t>추정: 지배주주지분 ÷ 유통주식수
[per_share]</t>
      </text>
    </comment>
    <comment ref="AK29" authorId="0" shapeId="0">
      <text>
        <t>추정: 지배주주지분 ÷ 유통주식수
[per_share]</t>
      </text>
    </comment>
    <comment ref="AL29" authorId="0" shapeId="0">
      <text>
        <t>추정: 지배주주지분 ÷ 유통주식수
[per_share]</t>
      </text>
    </comment>
    <comment ref="AM29" authorId="0" shapeId="0">
      <text>
        <t>추정: 지배주주지분 ÷ 유통주식수
[per_share]</t>
      </text>
    </comment>
    <comment ref="AN29" authorId="0" shapeId="0">
      <text>
        <t>추정: 지배주주지분 ÷ 유통주식수
[per_share]</t>
      </text>
    </comment>
    <comment ref="E30" authorId="0" shapeId="0">
      <text>
        <t>실측(계정 매핑 없음 — 모델값 직접) — fin.dividend.dps_common(연간, Q4 에 표기)</t>
      </text>
    </comment>
    <comment ref="F30" authorId="0" shapeId="0">
      <text>
        <t>연간(actual) — 분기 미완 연도, 모델 a 값 직접</t>
      </text>
    </comment>
    <comment ref="J30" authorId="0" shapeId="0">
      <text>
        <t>실측(계정 매핑 없음 — 모델값 직접) — fin.dividend.dps_common(연간, Q4 에 표기)</t>
      </text>
    </comment>
    <comment ref="O30" authorId="0" shapeId="0">
      <text>
        <t>실측(계정 매핑 없음 — 모델값 직접) — fin.dividend.dps_common(연간, Q4 에 표기)</t>
      </text>
    </comment>
    <comment ref="T30" authorId="0" shapeId="0">
      <text>
        <t>실측(계정 매핑 없음 — 모델값 직접) — fin.dividend.dps_common(연간, Q4 에 표기)</t>
      </text>
    </comment>
    <comment ref="Y30" authorId="0" shapeId="0">
      <text>
        <t>실측(계정 매핑 없음 — 모델값 직접) — fin.dividend.dps_common(연간, Q4 에 표기)</t>
      </text>
    </comment>
    <comment ref="AD30" authorId="0" shapeId="0">
      <text>
        <t>추정(가정 셀 참조 불가 — 기준값 없음, 모델값 직접): 직전 결산 DPS 0원 유지</t>
      </text>
    </comment>
    <comment ref="AI30" authorId="0" shapeId="0">
      <text>
        <t>추정(가정 셀 참조 불가 — 기준값 없음, 모델값 직접): 직전 결산 DPS 0원 유지</t>
      </text>
    </comment>
    <comment ref="AN30" authorId="0" shapeId="0">
      <text>
        <t>추정(가정 셀 참조 불가 — 기준값 없음, 모델값 직접): 직전 결산 DPS 0원 유지</t>
      </text>
    </comment>
    <comment ref="J31" authorId="0" shapeId="0">
      <text>
        <t>실측(계정 매핑 없음 — 모델값 직접) — 토스 일봉 분기 평균 ÷ TTM EPS</t>
      </text>
    </comment>
    <comment ref="L31" authorId="0" shapeId="0">
      <text>
        <t>실측(계정 매핑 없음 — 모델값 직접) — 토스 일봉 분기 평균 ÷ TTM EPS</t>
      </text>
    </comment>
    <comment ref="M31" authorId="0" shapeId="0">
      <text>
        <t>실측(계정 매핑 없음 — 모델값 직접) — 토스 일봉 분기 평균 ÷ TTM EPS</t>
      </text>
    </comment>
    <comment ref="N31" authorId="0" shapeId="0">
      <text>
        <t>실측(계정 매핑 없음 — 모델값 직접) — 토스 일봉 분기 평균 ÷ TTM EPS</t>
      </text>
    </comment>
    <comment ref="O31" authorId="0" shapeId="0">
      <text>
        <t>실측(계정 매핑 없음 — 모델값 직접) — 토스 일봉 분기 평균 ÷ TTM EPS</t>
      </text>
    </comment>
    <comment ref="Q31" authorId="0" shapeId="0">
      <text>
        <t>실측(계정 매핑 없음 — 모델값 직접) — 토스 일봉 분기 평균 ÷ TTM EPS</t>
      </text>
    </comment>
    <comment ref="R31" authorId="0" shapeId="0">
      <text>
        <t>실측(계정 매핑 없음 — 모델값 직접) — 토스 일봉 분기 평균 ÷ TTM EPS</t>
      </text>
    </comment>
    <comment ref="S31" authorId="0" shapeId="0">
      <text>
        <t>실측(계정 매핑 없음 — 모델값 직접) — 토스 일봉 분기 평균 ÷ TTM EPS</t>
      </text>
    </comment>
    <comment ref="T31" authorId="0" shapeId="0">
      <text>
        <t>실측(계정 매핑 없음 — 모델값 직접) — 토스 일봉 분기 평균 ÷ TTM EPS</t>
      </text>
    </comment>
    <comment ref="V31" authorId="0" shapeId="0">
      <text>
        <t>실측(계정 매핑 없음 — 모델값 직접) — 토스 일봉 분기 평균 ÷ TTM EPS</t>
      </text>
    </comment>
    <comment ref="W31" authorId="0" shapeId="0">
      <text>
        <t>실측(계정 매핑 없음 — 모델값 직접) — 토스 일봉 분기 평균 ÷ TTM EPS</t>
      </text>
    </comment>
    <comment ref="X31" authorId="0" shapeId="0">
      <text>
        <t>실측(계정 매핑 없음 — 모델값 직접) — 토스 일봉 분기 평균 ÷ TTM EPS</t>
      </text>
    </comment>
    <comment ref="Y31" authorId="0" shapeId="0">
      <text>
        <t>실측(계정 매핑 없음 — 모델값 직접) — 토스 일봉 분기 평균 ÷ TTM EPS</t>
      </text>
    </comment>
    <comment ref="AA31" authorId="0" shapeId="0">
      <text>
        <t>실측(계정 매핑 없음 — 모델값 직접) — 토스 일봉 분기 평균 ÷ TTM EPS</t>
      </text>
    </comment>
    <comment ref="AB31" authorId="0" shapeId="0">
      <text>
        <t>실측(계정 매핑 없음 — 모델값 직접) — 토스 일봉 분기 평균 ÷ TTM EPS</t>
      </text>
    </comment>
    <comment ref="AC31" authorId="0" shapeId="0">
      <text>
        <t>추정: 현재 종가 ÷ TTM EPS(추정 포함)
[yoy]</t>
      </text>
    </comment>
    <comment ref="AD31" authorId="0" shapeId="0">
      <text>
        <t>추정: 현재 종가 ÷ TTM EPS(추정 포함)
[yoy]</t>
      </text>
    </comment>
    <comment ref="AF31" authorId="0" shapeId="0">
      <text>
        <t>추정: 현재 종가 ÷ TTM EPS(추정 포함)
[yoy]</t>
      </text>
    </comment>
    <comment ref="AG31" authorId="0" shapeId="0">
      <text>
        <t>추정: 현재 종가 ÷ TTM EPS(추정 포함)
[yoy]</t>
      </text>
    </comment>
    <comment ref="AH31" authorId="0" shapeId="0">
      <text>
        <t>추정: 현재 종가 ÷ TTM EPS(추정 포함)
[yoy]</t>
      </text>
    </comment>
    <comment ref="AI31" authorId="0" shapeId="0">
      <text>
        <t>추정: 현재 종가 ÷ TTM EPS(추정 포함)
[yoy]</t>
      </text>
    </comment>
    <comment ref="AK31" authorId="0" shapeId="0">
      <text>
        <t>추정: 현재 종가 ÷ TTM EPS(추정 포함)
[yoy]</t>
      </text>
    </comment>
    <comment ref="AL31" authorId="0" shapeId="0">
      <text>
        <t>추정: 현재 종가 ÷ TTM EPS(추정 포함)
[yoy]</t>
      </text>
    </comment>
    <comment ref="AM31" authorId="0" shapeId="0">
      <text>
        <t>추정: 현재 종가 ÷ TTM EPS(추정 포함)
[yoy]</t>
      </text>
    </comment>
    <comment ref="AN31" authorId="0" shapeId="0">
      <text>
        <t>추정: 현재 종가 ÷ TTM EPS(추정 포함)
[yoy]</t>
      </text>
    </comment>
    <comment ref="E32" authorId="0" shapeId="0">
      <text>
        <t>실측(계정 매핑 없음 — 모델값 직접) — 토스 일봉 분기 평균 ÷ BPS</t>
      </text>
    </comment>
    <comment ref="F32" authorId="0" shapeId="0">
      <text>
        <t>연간(actual) — 분기 미완 연도, 모델 a 값 직접</t>
      </text>
    </comment>
    <comment ref="G32" authorId="0" shapeId="0">
      <text>
        <t>실측(계정 매핑 없음 — 모델값 직접) — 토스 일봉 분기 평균 ÷ BPS</t>
      </text>
    </comment>
    <comment ref="H32" authorId="0" shapeId="0">
      <text>
        <t>실측(계정 매핑 없음 — 모델값 직접) — 토스 일봉 분기 평균 ÷ BPS</t>
      </text>
    </comment>
    <comment ref="I32" authorId="0" shapeId="0">
      <text>
        <t>실측(계정 매핑 없음 — 모델값 직접) — 토스 일봉 분기 평균 ÷ BPS</t>
      </text>
    </comment>
    <comment ref="J32" authorId="0" shapeId="0">
      <text>
        <t>실측(계정 매핑 없음 — 모델값 직접) — 토스 일봉 분기 평균 ÷ BPS</t>
      </text>
    </comment>
    <comment ref="L32" authorId="0" shapeId="0">
      <text>
        <t>실측(계정 매핑 없음 — 모델값 직접) — 토스 일봉 분기 평균 ÷ BPS</t>
      </text>
    </comment>
    <comment ref="M32" authorId="0" shapeId="0">
      <text>
        <t>실측(계정 매핑 없음 — 모델값 직접) — 토스 일봉 분기 평균 ÷ BPS</t>
      </text>
    </comment>
    <comment ref="N32" authorId="0" shapeId="0">
      <text>
        <t>실측(계정 매핑 없음 — 모델값 직접) — 토스 일봉 분기 평균 ÷ BPS</t>
      </text>
    </comment>
    <comment ref="O32" authorId="0" shapeId="0">
      <text>
        <t>실측(계정 매핑 없음 — 모델값 직접) — 토스 일봉 분기 평균 ÷ BPS</t>
      </text>
    </comment>
    <comment ref="Q32" authorId="0" shapeId="0">
      <text>
        <t>실측(계정 매핑 없음 — 모델값 직접) — 토스 일봉 분기 평균 ÷ BPS</t>
      </text>
    </comment>
    <comment ref="R32" authorId="0" shapeId="0">
      <text>
        <t>실측(계정 매핑 없음 — 모델값 직접) — 토스 일봉 분기 평균 ÷ BPS</t>
      </text>
    </comment>
    <comment ref="S32" authorId="0" shapeId="0">
      <text>
        <t>실측(계정 매핑 없음 — 모델값 직접) — 토스 일봉 분기 평균 ÷ BPS</t>
      </text>
    </comment>
    <comment ref="T32" authorId="0" shapeId="0">
      <text>
        <t>실측(계정 매핑 없음 — 모델값 직접) — 토스 일봉 분기 평균 ÷ BPS</t>
      </text>
    </comment>
    <comment ref="V32" authorId="0" shapeId="0">
      <text>
        <t>실측(계정 매핑 없음 — 모델값 직접) — 토스 일봉 분기 평균 ÷ BPS</t>
      </text>
    </comment>
    <comment ref="W32" authorId="0" shapeId="0">
      <text>
        <t>실측(계정 매핑 없음 — 모델값 직접) — 토스 일봉 분기 평균 ÷ BPS</t>
      </text>
    </comment>
    <comment ref="X32" authorId="0" shapeId="0">
      <text>
        <t>실측(계정 매핑 없음 — 모델값 직접) — 토스 일봉 분기 평균 ÷ BPS</t>
      </text>
    </comment>
    <comment ref="Y32" authorId="0" shapeId="0">
      <text>
        <t>실측(계정 매핑 없음 — 모델값 직접) — 토스 일봉 분기 평균 ÷ BPS</t>
      </text>
    </comment>
    <comment ref="AA32" authorId="0" shapeId="0">
      <text>
        <t>실측(계정 매핑 없음 — 모델값 직접) — 토스 일봉 분기 평균 ÷ BPS</t>
      </text>
    </comment>
    <comment ref="AB32" authorId="0" shapeId="0">
      <text>
        <t>실측(계정 매핑 없음 — 모델값 직접) — 토스 일봉 분기 평균 ÷ BPS</t>
      </text>
    </comment>
    <comment ref="AC32" authorId="0" shapeId="0">
      <text>
        <t>추정: 현재 종가 ÷ BPS(추정 포함)
[yoy]</t>
      </text>
    </comment>
    <comment ref="AD32" authorId="0" shapeId="0">
      <text>
        <t>추정: 현재 종가 ÷ BPS(추정 포함)
[yoy]</t>
      </text>
    </comment>
    <comment ref="AF32" authorId="0" shapeId="0">
      <text>
        <t>추정: 현재 종가 ÷ BPS(추정 포함)
[yoy]</t>
      </text>
    </comment>
    <comment ref="AG32" authorId="0" shapeId="0">
      <text>
        <t>추정: 현재 종가 ÷ BPS(추정 포함)
[yoy]</t>
      </text>
    </comment>
    <comment ref="AH32" authorId="0" shapeId="0">
      <text>
        <t>추정: 현재 종가 ÷ BPS(추정 포함)
[yoy]</t>
      </text>
    </comment>
    <comment ref="AI32" authorId="0" shapeId="0">
      <text>
        <t>추정: 현재 종가 ÷ BPS(추정 포함)
[yoy]</t>
      </text>
    </comment>
    <comment ref="AK32" authorId="0" shapeId="0">
      <text>
        <t>추정: 현재 종가 ÷ BPS(추정 포함)
[yoy]</t>
      </text>
    </comment>
    <comment ref="AL32" authorId="0" shapeId="0">
      <text>
        <t>추정: 현재 종가 ÷ BPS(추정 포함)
[yoy]</t>
      </text>
    </comment>
    <comment ref="AM32" authorId="0" shapeId="0">
      <text>
        <t>추정: 현재 종가 ÷ BPS(추정 포함)
[yoy]</t>
      </text>
    </comment>
    <comment ref="AN32" authorId="0" shapeId="0">
      <text>
        <t>추정: 현재 종가 ÷ BPS(추정 포함)
[yoy]</t>
      </text>
    </comment>
    <comment ref="E33" authorId="0" shapeId="0">
      <text>
        <t>실측(계정 매핑 없음 — 모델값 직접) — = 매출액(부문 미분리)</t>
      </text>
    </comment>
    <comment ref="G33" authorId="0" shapeId="0">
      <text>
        <t>실측(계정 매핑 없음 — 모델값 직접) — = 매출액(부문 미분리)</t>
      </text>
    </comment>
    <comment ref="H33" authorId="0" shapeId="0">
      <text>
        <t>실측(계정 매핑 없음 — 모델값 직접) — = 매출액(부문 미분리)</t>
      </text>
    </comment>
    <comment ref="I33" authorId="0" shapeId="0">
      <text>
        <t>실측(계정 매핑 없음 — 모델값 직접) — = 매출액(부문 미분리)</t>
      </text>
    </comment>
    <comment ref="J33" authorId="0" shapeId="0">
      <text>
        <t>실측(계정 매핑 없음 — 모델값 직접) — = 매출액(부문 미분리)</t>
      </text>
    </comment>
    <comment ref="L33" authorId="0" shapeId="0">
      <text>
        <t>실측(계정 매핑 없음 — 모델값 직접) — = 매출액(부문 미분리)</t>
      </text>
    </comment>
    <comment ref="M33" authorId="0" shapeId="0">
      <text>
        <t>실측(계정 매핑 없음 — 모델값 직접) — = 매출액(부문 미분리)</t>
      </text>
    </comment>
    <comment ref="N33" authorId="0" shapeId="0">
      <text>
        <t>실측(계정 매핑 없음 — 모델값 직접) — = 매출액(부문 미분리)</t>
      </text>
    </comment>
    <comment ref="O33" authorId="0" shapeId="0">
      <text>
        <t>실측(계정 매핑 없음 — 모델값 직접) — = 매출액(부문 미분리)</t>
      </text>
    </comment>
    <comment ref="Q33" authorId="0" shapeId="0">
      <text>
        <t>실측(계정 매핑 없음 — 모델값 직접) — = 매출액(부문 미분리)</t>
      </text>
    </comment>
    <comment ref="R33" authorId="0" shapeId="0">
      <text>
        <t>실측(계정 매핑 없음 — 모델값 직접) — = 매출액(부문 미분리)</t>
      </text>
    </comment>
    <comment ref="S33" authorId="0" shapeId="0">
      <text>
        <t>실측(계정 매핑 없음 — 모델값 직접) — = 매출액(부문 미분리)</t>
      </text>
    </comment>
    <comment ref="T33" authorId="0" shapeId="0">
      <text>
        <t>실측(계정 매핑 없음 — 모델값 직접) — = 매출액(부문 미분리)</t>
      </text>
    </comment>
    <comment ref="V33" authorId="0" shapeId="0">
      <text>
        <t>실측(계정 매핑 없음 — 모델값 직접) — = 매출액(부문 미분리)</t>
      </text>
    </comment>
    <comment ref="W33" authorId="0" shapeId="0">
      <text>
        <t>실측(계정 매핑 없음 — 모델값 직접) — = 매출액(부문 미분리)</t>
      </text>
    </comment>
    <comment ref="X33" authorId="0" shapeId="0">
      <text>
        <t>실측(계정 매핑 없음 — 모델값 직접) — = 매출액(부문 미분리)</t>
      </text>
    </comment>
    <comment ref="Y33" authorId="0" shapeId="0">
      <text>
        <t>실측(계정 매핑 없음 — 모델값 직접) — = 매출액(부문 미분리)</t>
      </text>
    </comment>
    <comment ref="AA33" authorId="0" shapeId="0">
      <text>
        <t>실측(계정 매핑 없음 — 모델값 직접) — = 매출액(부문 미분리)</t>
      </text>
    </comment>
    <comment ref="AB33" authorId="0" shapeId="0">
      <text>
        <t>실측(계정 매핑 없음 — 모델값 직접) — = 매출액(부문 미분리)</t>
      </text>
    </comment>
    <comment ref="AC33" authorId="0" shapeId="0">
      <text>
        <t>추정: = 매출액 추정(부문 미분리)
[ratio]</t>
      </text>
    </comment>
    <comment ref="AD33" authorId="0" shapeId="0">
      <text>
        <t>추정: = 매출액 추정(부문 미분리)
[ratio]</t>
      </text>
    </comment>
    <comment ref="AF33" authorId="0" shapeId="0">
      <text>
        <t>추정: = 매출액 추정(부문 미분리)
[ratio]</t>
      </text>
    </comment>
    <comment ref="AG33" authorId="0" shapeId="0">
      <text>
        <t>추정: = 매출액 추정(부문 미분리)
[ratio]</t>
      </text>
    </comment>
    <comment ref="AH33" authorId="0" shapeId="0">
      <text>
        <t>추정: = 매출액 추정(부문 미분리)
[ratio]</t>
      </text>
    </comment>
    <comment ref="AI33" authorId="0" shapeId="0">
      <text>
        <t>추정: = 매출액 추정(부문 미분리)
[ratio]</t>
      </text>
    </comment>
    <comment ref="AK33" authorId="0" shapeId="0">
      <text>
        <t>추정: = 매출액 추정(부문 미분리)
[ratio]</t>
      </text>
    </comment>
    <comment ref="AL33" authorId="0" shapeId="0">
      <text>
        <t>추정: = 매출액 추정(부문 미분리)
[ratio]</t>
      </text>
    </comment>
    <comment ref="AM33" authorId="0" shapeId="0">
      <text>
        <t>추정: = 매출액 추정(부문 미분리)
[ratio]</t>
      </text>
    </comment>
    <comment ref="AN33" authorId="0" shapeId="0">
      <text>
        <t>추정: = 매출액 추정(부문 미분리)
[ratio]</t>
      </text>
    </comment>
    <comment ref="E34" authorId="0" shapeId="0">
      <text>
        <t>실측(계정 매핑 없음 — 모델값 직접) — = 영업이익(부문 미분리)</t>
      </text>
    </comment>
    <comment ref="G34" authorId="0" shapeId="0">
      <text>
        <t>실측(계정 매핑 없음 — 모델값 직접) — = 영업이익(부문 미분리)</t>
      </text>
    </comment>
    <comment ref="H34" authorId="0" shapeId="0">
      <text>
        <t>실측(계정 매핑 없음 — 모델값 직접) — = 영업이익(부문 미분리)</t>
      </text>
    </comment>
    <comment ref="I34" authorId="0" shapeId="0">
      <text>
        <t>실측(계정 매핑 없음 — 모델값 직접) — = 영업이익(부문 미분리)</t>
      </text>
    </comment>
    <comment ref="J34" authorId="0" shapeId="0">
      <text>
        <t>실측(계정 매핑 없음 — 모델값 직접) — = 영업이익(부문 미분리)</t>
      </text>
    </comment>
    <comment ref="L34" authorId="0" shapeId="0">
      <text>
        <t>실측(계정 매핑 없음 — 모델값 직접) — = 영업이익(부문 미분리)</t>
      </text>
    </comment>
    <comment ref="M34" authorId="0" shapeId="0">
      <text>
        <t>실측(계정 매핑 없음 — 모델값 직접) — = 영업이익(부문 미분리)</t>
      </text>
    </comment>
    <comment ref="N34" authorId="0" shapeId="0">
      <text>
        <t>실측(계정 매핑 없음 — 모델값 직접) — = 영업이익(부문 미분리)</t>
      </text>
    </comment>
    <comment ref="O34" authorId="0" shapeId="0">
      <text>
        <t>실측(계정 매핑 없음 — 모델값 직접) — = 영업이익(부문 미분리)</t>
      </text>
    </comment>
    <comment ref="Q34" authorId="0" shapeId="0">
      <text>
        <t>실측(계정 매핑 없음 — 모델값 직접) — = 영업이익(부문 미분리)</t>
      </text>
    </comment>
    <comment ref="R34" authorId="0" shapeId="0">
      <text>
        <t>실측(계정 매핑 없음 — 모델값 직접) — = 영업이익(부문 미분리)</t>
      </text>
    </comment>
    <comment ref="S34" authorId="0" shapeId="0">
      <text>
        <t>실측(계정 매핑 없음 — 모델값 직접) — = 영업이익(부문 미분리)</t>
      </text>
    </comment>
    <comment ref="T34" authorId="0" shapeId="0">
      <text>
        <t>실측(계정 매핑 없음 — 모델값 직접) — = 영업이익(부문 미분리)</t>
      </text>
    </comment>
    <comment ref="V34" authorId="0" shapeId="0">
      <text>
        <t>실측(계정 매핑 없음 — 모델값 직접) — = 영업이익(부문 미분리)</t>
      </text>
    </comment>
    <comment ref="W34" authorId="0" shapeId="0">
      <text>
        <t>실측(계정 매핑 없음 — 모델값 직접) — = 영업이익(부문 미분리)</t>
      </text>
    </comment>
    <comment ref="X34" authorId="0" shapeId="0">
      <text>
        <t>실측(계정 매핑 없음 — 모델값 직접) — = 영업이익(부문 미분리)</t>
      </text>
    </comment>
    <comment ref="Y34" authorId="0" shapeId="0">
      <text>
        <t>실측(계정 매핑 없음 — 모델값 직접) — = 영업이익(부문 미분리)</t>
      </text>
    </comment>
    <comment ref="AA34" authorId="0" shapeId="0">
      <text>
        <t>실측(계정 매핑 없음 — 모델값 직접) — = 영업이익(부문 미분리)</t>
      </text>
    </comment>
    <comment ref="AB34" authorId="0" shapeId="0">
      <text>
        <t>실측(계정 매핑 없음 — 모델값 직접) — = 영업이익(부문 미분리)</t>
      </text>
    </comment>
    <comment ref="AC34" authorId="0" shapeId="0">
      <text>
        <t>추정: = 매출액 × OPM(부문 미분리)
[ratio]</t>
      </text>
    </comment>
    <comment ref="AD34" authorId="0" shapeId="0">
      <text>
        <t>추정: = 매출액 × OPM(부문 미분리)
[ratio]</t>
      </text>
    </comment>
    <comment ref="AF34" authorId="0" shapeId="0">
      <text>
        <t>추정: = 매출액 × OPM(부문 미분리)
[ratio]</t>
      </text>
    </comment>
    <comment ref="AG34" authorId="0" shapeId="0">
      <text>
        <t>추정: = 매출액 × OPM(부문 미분리)
[ratio]</t>
      </text>
    </comment>
    <comment ref="AH34" authorId="0" shapeId="0">
      <text>
        <t>추정: = 매출액 × OPM(부문 미분리)
[ratio]</t>
      </text>
    </comment>
    <comment ref="AI34" authorId="0" shapeId="0">
      <text>
        <t>추정: = 매출액 × OPM(부문 미분리)
[ratio]</t>
      </text>
    </comment>
    <comment ref="AK34" authorId="0" shapeId="0">
      <text>
        <t>추정: = 매출액 × OPM(부문 미분리)
[ratio]</t>
      </text>
    </comment>
    <comment ref="AL34" authorId="0" shapeId="0">
      <text>
        <t>추정: = 매출액 × OPM(부문 미분리)
[ratio]</t>
      </text>
    </comment>
    <comment ref="AM34" authorId="0" shapeId="0">
      <text>
        <t>추정: = 매출액 × OPM(부문 미분리)
[ratio]</t>
      </text>
    </comment>
    <comment ref="AN34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assets/models/100090.json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22">
      <c r="A22" t="inlineStr">
        <is>
          <t>백테스트: {"freeze": "2025Q2", "horizon": 4, "revenue_wape_pct": 37.4, "op_wape_pct": 12.8,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-0.054852</v>
      </c>
      <c r="AD21" s="24" t="n">
        <v>-0.054851</v>
      </c>
      <c r="AE21" s="25" t="n"/>
      <c r="AF21" s="24" t="n">
        <v>-0.054851</v>
      </c>
      <c r="AG21" s="24" t="n">
        <v>-0.054852</v>
      </c>
      <c r="AH21" s="24" t="n">
        <v>-0.027426</v>
      </c>
      <c r="AI21" s="24" t="n">
        <v>-0.027428</v>
      </c>
      <c r="AJ21" s="25" t="n"/>
      <c r="AK21" s="24" t="n">
        <v>-0.027424</v>
      </c>
      <c r="AL21" s="24" t="n">
        <v>-0.027425</v>
      </c>
      <c r="AM21" s="24" t="n">
        <v>-0.013712</v>
      </c>
      <c r="AN21" s="24" t="n">
        <v>-0.013711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0.041072</v>
      </c>
      <c r="AD22" s="24" t="n">
        <v>0.041073</v>
      </c>
      <c r="AE22" s="25">
        <f>IFERROR(subQ!AE8/subQ!AE5,"")</f>
        <v/>
      </c>
      <c r="AF22" s="24" t="n">
        <v>0.041072</v>
      </c>
      <c r="AG22" s="24" t="n">
        <v>0.041072</v>
      </c>
      <c r="AH22" s="24" t="n">
        <v>0.041072</v>
      </c>
      <c r="AI22" s="24" t="n">
        <v>0.041071</v>
      </c>
      <c r="AJ22" s="25">
        <f>IFERROR(subQ!AJ8/subQ!AJ5,"")</f>
        <v/>
      </c>
      <c r="AK22" s="24" t="n">
        <v>0.041072</v>
      </c>
      <c r="AL22" s="24" t="n">
        <v>0.041075</v>
      </c>
      <c r="AM22" s="24" t="n">
        <v>0.041071</v>
      </c>
      <c r="AN22" s="24" t="n">
        <v>0.041073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0.07098400000000001</v>
      </c>
      <c r="AD23" s="24" t="n">
        <v>0.070988</v>
      </c>
      <c r="AE23" s="25">
        <f>IFERROR(subQ!AE9/subQ!AE5,"")</f>
        <v/>
      </c>
      <c r="AF23" s="24" t="n">
        <v>0.07098500000000001</v>
      </c>
      <c r="AG23" s="24" t="n">
        <v>0.07098500000000001</v>
      </c>
      <c r="AH23" s="24" t="n">
        <v>0.07098599999999999</v>
      </c>
      <c r="AI23" s="24" t="n">
        <v>0.070982</v>
      </c>
      <c r="AJ23" s="25">
        <f>IFERROR(subQ!AJ9/subQ!AJ5,"")</f>
        <v/>
      </c>
      <c r="AK23" s="24" t="n">
        <v>0.070981</v>
      </c>
      <c r="AL23" s="24" t="n">
        <v>0.070983</v>
      </c>
      <c r="AM23" s="24" t="n">
        <v>0.070983</v>
      </c>
      <c r="AN23" s="24" t="n">
        <v>0.070982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IFERROR(subQ!J36/subQ!E36-1,"")</f>
        <v/>
      </c>
      <c r="K24" s="22" t="n"/>
      <c r="L24" s="21">
        <f>IFERROR(subQ!L36/subQ!G36-1,"")</f>
        <v/>
      </c>
      <c r="M24" s="21">
        <f>IFERROR(subQ!M36/subQ!H36-1,"")</f>
        <v/>
      </c>
      <c r="N24" s="21">
        <f>IFERROR(subQ!N36/subQ!I36-1,"")</f>
        <v/>
      </c>
      <c r="O24" s="21">
        <f>IFERROR(subQ!O36/subQ!J36-1,"")</f>
        <v/>
      </c>
      <c r="P24" s="22" t="n"/>
      <c r="Q24" s="21">
        <f>IFERROR(subQ!Q36/subQ!L36-1,"")</f>
        <v/>
      </c>
      <c r="R24" s="21">
        <f>IFERROR(subQ!R36/subQ!M36-1,"")</f>
        <v/>
      </c>
      <c r="S24" s="21">
        <f>IFERROR(subQ!S36/subQ!N36-1,"")</f>
        <v/>
      </c>
      <c r="T24" s="21">
        <f>IFERROR(subQ!T36/subQ!O36-1,"")</f>
        <v/>
      </c>
      <c r="U24" s="22" t="n"/>
      <c r="V24" s="21">
        <f>IFERROR(subQ!V36/subQ!Q36-1,"")</f>
        <v/>
      </c>
      <c r="W24" s="21">
        <f>IFERROR(subQ!W36/subQ!R36-1,"")</f>
        <v/>
      </c>
      <c r="X24" s="21">
        <f>IFERROR(subQ!X36/subQ!S36-1,"")</f>
        <v/>
      </c>
      <c r="Y24" s="21">
        <f>IFERROR(subQ!Y36/subQ!T36-1,"")</f>
        <v/>
      </c>
      <c r="Z24" s="22" t="n"/>
      <c r="AA24" s="21">
        <f>IFERROR(subQ!AA36/subQ!V36-1,"")</f>
        <v/>
      </c>
      <c r="AB24" s="23">
        <f>IFERROR(subQ!AB36/subQ!W36-1,"")</f>
        <v/>
      </c>
      <c r="AC24" s="24" t="n">
        <v>0.08067000000000001</v>
      </c>
      <c r="AD24" s="24" t="n">
        <v>-0.09323099999999999</v>
      </c>
      <c r="AE24" s="25" t="n"/>
      <c r="AF24" s="24" t="n">
        <v>-0.264249</v>
      </c>
      <c r="AG24" s="24" t="n">
        <v>-0.374449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-20.34</v>
      </c>
      <c r="AD25" s="29" t="n">
        <v>-18.91</v>
      </c>
      <c r="AE25" s="30">
        <f>subQ!AE11</f>
        <v/>
      </c>
      <c r="AF25" s="29" t="n">
        <v>-18.11</v>
      </c>
      <c r="AG25" s="29" t="n">
        <v>-17.3</v>
      </c>
      <c r="AH25" s="29" t="n">
        <v>-16.52</v>
      </c>
      <c r="AI25" s="29" t="n">
        <v>-15.09</v>
      </c>
      <c r="AJ25" s="30">
        <f>subQ!AJ11</f>
        <v/>
      </c>
      <c r="AK25" s="29" t="n">
        <v>-14.29</v>
      </c>
      <c r="AL25" s="29" t="n">
        <v>-13.48</v>
      </c>
      <c r="AM25" s="29" t="n">
        <v>-12.69</v>
      </c>
      <c r="AN25" s="29" t="n">
        <v>-11.26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drv:법인세비용</t>
        </is>
      </c>
      <c r="B27" s="2" t="inlineStr">
        <is>
          <t>ratio</t>
        </is>
      </c>
      <c r="C27" t="inlineStr">
        <is>
          <t>법인세율(/세전)</t>
        </is>
      </c>
      <c r="E27" s="21">
        <f>IFERROR(subQ!E14/subQ!E13,"")</f>
        <v/>
      </c>
      <c r="F27" s="22">
        <f>IFERROR(subQ!F14/subQ!F13,"")</f>
        <v/>
      </c>
      <c r="G27" s="21">
        <f>IFERROR(subQ!G14/subQ!G13,"")</f>
        <v/>
      </c>
      <c r="H27" s="21">
        <f>IFERROR(subQ!H14/subQ!H13,"")</f>
        <v/>
      </c>
      <c r="I27" s="21">
        <f>IFERROR(subQ!I14/subQ!I13,"")</f>
        <v/>
      </c>
      <c r="J27" s="21">
        <f>IFERROR(subQ!J14/subQ!J13,"")</f>
        <v/>
      </c>
      <c r="K27" s="22">
        <f>IFERROR(subQ!K14/subQ!K13,"")</f>
        <v/>
      </c>
      <c r="L27" s="21">
        <f>IFERROR(subQ!L14/subQ!L13,"")</f>
        <v/>
      </c>
      <c r="M27" s="21">
        <f>IFERROR(subQ!M14/subQ!M13,"")</f>
        <v/>
      </c>
      <c r="N27" s="21">
        <f>IFERROR(subQ!N14/subQ!N13,"")</f>
        <v/>
      </c>
      <c r="O27" s="21">
        <f>IFERROR(subQ!O14/subQ!O13,"")</f>
        <v/>
      </c>
      <c r="P27" s="22">
        <f>IFERROR(subQ!P14/subQ!P13,"")</f>
        <v/>
      </c>
      <c r="Q27" s="21">
        <f>IFERROR(subQ!Q14/subQ!Q13,"")</f>
        <v/>
      </c>
      <c r="R27" s="21">
        <f>IFERROR(subQ!R14/subQ!R13,"")</f>
        <v/>
      </c>
      <c r="S27" s="21">
        <f>IFERROR(subQ!S14/subQ!S13,"")</f>
        <v/>
      </c>
      <c r="T27" s="21">
        <f>IFERROR(subQ!T14/subQ!T13,"")</f>
        <v/>
      </c>
      <c r="U27" s="22">
        <f>IFERROR(subQ!U14/subQ!U13,"")</f>
        <v/>
      </c>
      <c r="V27" s="21">
        <f>IFERROR(subQ!V14/subQ!V13,"")</f>
        <v/>
      </c>
      <c r="W27" s="21">
        <f>IFERROR(subQ!W14/subQ!W13,"")</f>
        <v/>
      </c>
      <c r="X27" s="21">
        <f>IFERROR(subQ!X14/subQ!X13,"")</f>
        <v/>
      </c>
      <c r="Y27" s="21">
        <f>IFERROR(subQ!Y14/subQ!Y13,"")</f>
        <v/>
      </c>
      <c r="Z27" s="22">
        <f>IFERROR(subQ!Z14/subQ!Z13,"")</f>
        <v/>
      </c>
      <c r="AA27" s="21">
        <f>IFERROR(subQ!AA14/subQ!AA13,"")</f>
        <v/>
      </c>
      <c r="AB27" s="23">
        <f>IFERROR(subQ!AB14/subQ!AB13,"")</f>
        <v/>
      </c>
      <c r="AC27" s="24" t="n">
        <v>0.182885</v>
      </c>
      <c r="AD27" s="24" t="n">
        <v>0.182883</v>
      </c>
      <c r="AE27" s="25">
        <f>IFERROR(subQ!AE14/subQ!AE13,"")</f>
        <v/>
      </c>
      <c r="AF27" s="24" t="n">
        <v>0.182901</v>
      </c>
      <c r="AG27" s="24" t="n">
        <v>0.182839</v>
      </c>
      <c r="AH27" s="24" t="n">
        <v>0.182869</v>
      </c>
      <c r="AI27" s="24" t="n">
        <v>0.182886</v>
      </c>
      <c r="AJ27" s="25">
        <f>IFERROR(subQ!AJ14/subQ!AJ13,"")</f>
        <v/>
      </c>
      <c r="AK27" s="24" t="n">
        <v>0.182904</v>
      </c>
      <c r="AL27" s="24" t="n">
        <v>0.182897</v>
      </c>
      <c r="AM27" s="24" t="n">
        <v>0.182862</v>
      </c>
      <c r="AN27" s="24" t="n">
        <v>0.182916</v>
      </c>
      <c r="AO27" s="25">
        <f>IFERROR(subQ!AO14/subQ!AO13,"")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IFERROR(subQ!E16/subQ!E15,"")</f>
        <v/>
      </c>
      <c r="F28" s="22">
        <f>IFERROR(subQ!F16/subQ!F15,"")</f>
        <v/>
      </c>
      <c r="G28" s="21">
        <f>IFERROR(subQ!G16/subQ!G15,"")</f>
        <v/>
      </c>
      <c r="H28" s="21">
        <f>IFERROR(subQ!H16/subQ!H15,"")</f>
        <v/>
      </c>
      <c r="I28" s="21">
        <f>IFERROR(subQ!I16/subQ!I15,"")</f>
        <v/>
      </c>
      <c r="J28" s="21">
        <f>IFERROR(subQ!J16/subQ!J15,"")</f>
        <v/>
      </c>
      <c r="K28" s="22">
        <f>IFERROR(subQ!K16/subQ!K15,"")</f>
        <v/>
      </c>
      <c r="L28" s="21">
        <f>IFERROR(subQ!L16/subQ!L15,"")</f>
        <v/>
      </c>
      <c r="M28" s="21">
        <f>IFERROR(subQ!M16/subQ!M15,"")</f>
        <v/>
      </c>
      <c r="N28" s="21">
        <f>IFERROR(subQ!N16/subQ!N15,"")</f>
        <v/>
      </c>
      <c r="O28" s="21">
        <f>IFERROR(subQ!O16/subQ!O15,"")</f>
        <v/>
      </c>
      <c r="P28" s="22">
        <f>IFERROR(subQ!P16/subQ!P15,"")</f>
        <v/>
      </c>
      <c r="Q28" s="21">
        <f>IFERROR(subQ!Q16/subQ!Q15,"")</f>
        <v/>
      </c>
      <c r="R28" s="21">
        <f>IFERROR(subQ!R16/subQ!R15,"")</f>
        <v/>
      </c>
      <c r="S28" s="21">
        <f>IFERROR(subQ!S16/subQ!S15,"")</f>
        <v/>
      </c>
      <c r="T28" s="21">
        <f>IFERROR(subQ!T16/subQ!T15,"")</f>
        <v/>
      </c>
      <c r="U28" s="22">
        <f>IFERROR(subQ!U16/subQ!U15,"")</f>
        <v/>
      </c>
      <c r="V28" s="21">
        <f>IFERROR(subQ!V16/subQ!V15,"")</f>
        <v/>
      </c>
      <c r="W28" s="21">
        <f>IFERROR(subQ!W16/subQ!W15,"")</f>
        <v/>
      </c>
      <c r="X28" s="21">
        <f>IFERROR(subQ!X16/subQ!X15,"")</f>
        <v/>
      </c>
      <c r="Y28" s="21">
        <f>IFERROR(subQ!Y16/subQ!Y15,"")</f>
        <v/>
      </c>
      <c r="Z28" s="22">
        <f>IFERROR(subQ!Z16/subQ!Z15,"")</f>
        <v/>
      </c>
      <c r="AA28" s="21">
        <f>IFERROR(subQ!AA16/subQ!AA15,"")</f>
        <v/>
      </c>
      <c r="AB28" s="23">
        <f>IFERROR(subQ!AB16/subQ!AB15,"")</f>
        <v/>
      </c>
      <c r="AC28" s="24" t="n">
        <v>1</v>
      </c>
      <c r="AD28" s="24" t="n">
        <v>1</v>
      </c>
      <c r="AE28" s="25">
        <f>IFERROR(subQ!AE16/subQ!AE15,"")</f>
        <v/>
      </c>
      <c r="AF28" s="24" t="n">
        <v>1</v>
      </c>
      <c r="AG28" s="24" t="n">
        <v>1</v>
      </c>
      <c r="AH28" s="24" t="n">
        <v>1</v>
      </c>
      <c r="AI28" s="24" t="n">
        <v>1</v>
      </c>
      <c r="AJ28" s="25">
        <f>IFERROR(subQ!AJ16/subQ!AJ15,"")</f>
        <v/>
      </c>
      <c r="AK28" s="24" t="n">
        <v>1</v>
      </c>
      <c r="AL28" s="24" t="n">
        <v>1</v>
      </c>
      <c r="AM28" s="24" t="n">
        <v>1</v>
      </c>
      <c r="AN28" s="24" t="n">
        <v>1</v>
      </c>
      <c r="AO28" s="25">
        <f>IFERROR(subQ!AO16/subQ!AO15,"")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IFERROR(subQ!G18/subQ!E18-1,"")</f>
        <v/>
      </c>
      <c r="H29" s="21">
        <f>IFERROR(subQ!H18/subQ!G18-1,"")</f>
        <v/>
      </c>
      <c r="I29" s="21">
        <f>IFERROR(subQ!I18/subQ!H18-1,"")</f>
        <v/>
      </c>
      <c r="J29" s="21">
        <f>IFERROR(subQ!J18/subQ!I18-1,"")</f>
        <v/>
      </c>
      <c r="K29" s="22" t="n"/>
      <c r="L29" s="21">
        <f>IFERROR(subQ!L18/subQ!J18-1,"")</f>
        <v/>
      </c>
      <c r="M29" s="21">
        <f>IFERROR(subQ!M18/subQ!L18-1,"")</f>
        <v/>
      </c>
      <c r="N29" s="21">
        <f>IFERROR(subQ!N18/subQ!M18-1,"")</f>
        <v/>
      </c>
      <c r="O29" s="21">
        <f>IFERROR(subQ!O18/subQ!N18-1,"")</f>
        <v/>
      </c>
      <c r="P29" s="22" t="n"/>
      <c r="Q29" s="21">
        <f>IFERROR(subQ!Q18/subQ!O18-1,"")</f>
        <v/>
      </c>
      <c r="R29" s="21">
        <f>IFERROR(subQ!R18/subQ!Q18-1,"")</f>
        <v/>
      </c>
      <c r="S29" s="21">
        <f>IFERROR(subQ!S18/subQ!R18-1,"")</f>
        <v/>
      </c>
      <c r="T29" s="21">
        <f>IFERROR(subQ!T18/subQ!S18-1,"")</f>
        <v/>
      </c>
      <c r="U29" s="22" t="n"/>
      <c r="V29" s="21">
        <f>IFERROR(subQ!V18/subQ!T18-1,"")</f>
        <v/>
      </c>
      <c r="W29" s="21">
        <f>IFERROR(subQ!W18/subQ!V18-1,"")</f>
        <v/>
      </c>
      <c r="X29" s="21">
        <f>IFERROR(subQ!X18/subQ!W18-1,"")</f>
        <v/>
      </c>
      <c r="Y29" s="21">
        <f>IFERROR(subQ!Y18/subQ!X18-1,"")</f>
        <v/>
      </c>
      <c r="Z29" s="22" t="n"/>
      <c r="AA29" s="21">
        <f>IFERROR(subQ!AA18/subQ!Y18-1,"")</f>
        <v/>
      </c>
      <c r="AB29" s="23">
        <f>IFERROR(subQ!AB18/subQ!AA18-1,"")</f>
        <v/>
      </c>
      <c r="AC29" s="24" t="n">
        <v>0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IFERROR(subQ!E19+subQ!G15-subQ!G19,"")</f>
        <v/>
      </c>
      <c r="H30" s="26">
        <f>IFERROR(subQ!G19+subQ!H15-subQ!H19,"")</f>
        <v/>
      </c>
      <c r="I30" s="26">
        <f>IFERROR(subQ!H19+subQ!I15-subQ!I19,"")</f>
        <v/>
      </c>
      <c r="J30" s="26">
        <f>IFERROR(subQ!I19+subQ!J15-subQ!J19,"")</f>
        <v/>
      </c>
      <c r="K30" s="27" t="n"/>
      <c r="L30" s="26">
        <f>IFERROR(subQ!J19+subQ!L15-subQ!L19,"")</f>
        <v/>
      </c>
      <c r="M30" s="26">
        <f>IFERROR(subQ!L19+subQ!M15-subQ!M19,"")</f>
        <v/>
      </c>
      <c r="N30" s="26">
        <f>IFERROR(subQ!M19+subQ!N15-subQ!N19,"")</f>
        <v/>
      </c>
      <c r="O30" s="26">
        <f>IFERROR(subQ!N19+subQ!O15-subQ!O19,"")</f>
        <v/>
      </c>
      <c r="P30" s="27" t="n"/>
      <c r="Q30" s="26">
        <f>IFERROR(subQ!O19+subQ!Q15-subQ!Q19,"")</f>
        <v/>
      </c>
      <c r="R30" s="26">
        <f>IFERROR(subQ!Q19+subQ!R15-subQ!R19,"")</f>
        <v/>
      </c>
      <c r="S30" s="26">
        <f>IFERROR(subQ!R19+subQ!S15-subQ!S19,"")</f>
        <v/>
      </c>
      <c r="T30" s="26">
        <f>IFERROR(subQ!S19+subQ!T15-subQ!T19,"")</f>
        <v/>
      </c>
      <c r="U30" s="27" t="n"/>
      <c r="V30" s="26">
        <f>IFERROR(subQ!T19+subQ!V15-subQ!V19,"")</f>
        <v/>
      </c>
      <c r="W30" s="26">
        <f>IFERROR(subQ!V19+subQ!W15-subQ!W19,"")</f>
        <v/>
      </c>
      <c r="X30" s="26">
        <f>IFERROR(subQ!W19+subQ!X15-subQ!X19,"")</f>
        <v/>
      </c>
      <c r="Y30" s="26">
        <f>IFERROR(subQ!X19+subQ!Y15-subQ!Y19,"")</f>
        <v/>
      </c>
      <c r="Z30" s="27" t="n"/>
      <c r="AA30" s="26">
        <f>IFERROR(subQ!Y19+subQ!AA15-subQ!AA19,"")</f>
        <v/>
      </c>
      <c r="AB30" s="28">
        <f>IFERROR(subQ!AA19+subQ!AB15-subQ!AB19,"")</f>
        <v/>
      </c>
      <c r="AC30" s="29" t="n">
        <v>0.0033</v>
      </c>
      <c r="AD30" s="29" t="n">
        <v>0</v>
      </c>
      <c r="AE30" s="30" t="n"/>
      <c r="AF30" s="29" t="n">
        <v>0</v>
      </c>
      <c r="AG30" s="29" t="n">
        <v>0</v>
      </c>
      <c r="AH30" s="29" t="n">
        <v>0</v>
      </c>
      <c r="AI30" s="29" t="n">
        <v>0</v>
      </c>
      <c r="AJ30" s="30" t="n"/>
      <c r="AK30" s="29" t="n">
        <v>0</v>
      </c>
      <c r="AL30" s="29" t="n">
        <v>-0.01</v>
      </c>
      <c r="AM30" s="29" t="n">
        <v>0</v>
      </c>
      <c r="AN30" s="29" t="n">
        <v>0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29" t="n">
        <v>0.0033</v>
      </c>
      <c r="AD31" s="29" t="n">
        <v>0</v>
      </c>
      <c r="AE31" s="30" t="n"/>
      <c r="AF31" s="29" t="n">
        <v>0</v>
      </c>
      <c r="AG31" s="29" t="n">
        <v>0</v>
      </c>
      <c r="AH31" s="29" t="n">
        <v>0</v>
      </c>
      <c r="AI31" s="29" t="n">
        <v>0</v>
      </c>
      <c r="AJ31" s="30" t="n"/>
      <c r="AK31" s="29" t="n">
        <v>0</v>
      </c>
      <c r="AL31" s="29" t="n">
        <v>-0.01</v>
      </c>
      <c r="AM31" s="29" t="n">
        <v>0</v>
      </c>
      <c r="AN31" s="29" t="n">
        <v>0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IFERROR(subQ!G21/subQ!E21-1,"")</f>
        <v/>
      </c>
      <c r="H32" s="21">
        <f>IFERROR(subQ!H21/subQ!G21-1,"")</f>
        <v/>
      </c>
      <c r="I32" s="21">
        <f>IFERROR(subQ!I21/subQ!H21-1,"")</f>
        <v/>
      </c>
      <c r="J32" s="21">
        <f>IFERROR(subQ!J21/subQ!I21-1,"")</f>
        <v/>
      </c>
      <c r="K32" s="22" t="n"/>
      <c r="L32" s="21">
        <f>IFERROR(subQ!L21/subQ!J21-1,"")</f>
        <v/>
      </c>
      <c r="M32" s="21">
        <f>IFERROR(subQ!M21/subQ!L21-1,"")</f>
        <v/>
      </c>
      <c r="N32" s="21">
        <f>IFERROR(subQ!N21/subQ!M21-1,"")</f>
        <v/>
      </c>
      <c r="O32" s="21">
        <f>IFERROR(subQ!O21/subQ!N21-1,"")</f>
        <v/>
      </c>
      <c r="P32" s="22" t="n"/>
      <c r="Q32" s="21">
        <f>IFERROR(subQ!Q21/subQ!O21-1,"")</f>
        <v/>
      </c>
      <c r="R32" s="21">
        <f>IFERROR(subQ!R21/subQ!Q21-1,"")</f>
        <v/>
      </c>
      <c r="S32" s="21">
        <f>IFERROR(subQ!S21/subQ!R21-1,"")</f>
        <v/>
      </c>
      <c r="T32" s="21">
        <f>IFERROR(subQ!T21/subQ!S21-1,"")</f>
        <v/>
      </c>
      <c r="U32" s="22" t="n"/>
      <c r="V32" s="21">
        <f>IFERROR(subQ!V21/subQ!T21-1,"")</f>
        <v/>
      </c>
      <c r="W32" s="21">
        <f>IFERROR(subQ!W21/subQ!V21-1,"")</f>
        <v/>
      </c>
      <c r="X32" s="21">
        <f>IFERROR(subQ!X21/subQ!W21-1,"")</f>
        <v/>
      </c>
      <c r="Y32" s="21">
        <f>IFERROR(subQ!Y21/subQ!X21-1,"")</f>
        <v/>
      </c>
      <c r="Z32" s="22" t="n"/>
      <c r="AA32" s="21">
        <f>IFERROR(subQ!AA21/subQ!Y21-1,"")</f>
        <v/>
      </c>
      <c r="AB32" s="23">
        <f>IFERROR(subQ!AB21/subQ!AA21-1,"")</f>
        <v/>
      </c>
      <c r="AC32" s="24" t="n">
        <v>-0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-0.084665</v>
      </c>
      <c r="AD33" s="24" t="n">
        <v>-0.051476</v>
      </c>
      <c r="AE33" s="25" t="n"/>
      <c r="AF33" s="24" t="n">
        <v>-0.054784</v>
      </c>
      <c r="AG33" s="24" t="n">
        <v>-0.056799</v>
      </c>
      <c r="AH33" s="24" t="n">
        <v>-0.1084</v>
      </c>
      <c r="AI33" s="24" t="n">
        <v>-0.068699</v>
      </c>
      <c r="AJ33" s="25" t="n"/>
      <c r="AK33" s="24" t="n">
        <v>-0.074462</v>
      </c>
      <c r="AL33" s="24" t="n">
        <v>-0.078902</v>
      </c>
      <c r="AM33" s="24" t="n">
        <v>-0.154195</v>
      </c>
      <c r="AN33" s="24" t="n">
        <v>-0.104675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0.20196</v>
      </c>
      <c r="AD34" s="24" t="n">
        <v>0.09350899999999999</v>
      </c>
      <c r="AE34" s="25" t="n"/>
      <c r="AF34" s="24" t="n">
        <v>0.086324</v>
      </c>
      <c r="AG34" s="24" t="n">
        <v>0.077874</v>
      </c>
      <c r="AH34" s="24" t="n">
        <v>0.130051</v>
      </c>
      <c r="AI34" s="24" t="n">
        <v>0.065029</v>
      </c>
      <c r="AJ34" s="25" t="n"/>
      <c r="AK34" s="24" t="n">
        <v>0.061634</v>
      </c>
      <c r="AL34" s="24" t="n">
        <v>0.056936</v>
      </c>
      <c r="AM34" s="24" t="n">
        <v>0.096969</v>
      </c>
      <c r="AN34" s="24" t="n">
        <v>0.050755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IFERROR(subQ!J25/subQ!E25-1,"")</f>
        <v/>
      </c>
      <c r="K36" s="22" t="n"/>
      <c r="L36" s="21">
        <f>IFERROR(subQ!L25/subQ!G25-1,"")</f>
        <v/>
      </c>
      <c r="M36" s="21">
        <f>IFERROR(subQ!M25/subQ!H25-1,"")</f>
        <v/>
      </c>
      <c r="N36" s="21">
        <f>IFERROR(subQ!N25/subQ!I25-1,"")</f>
        <v/>
      </c>
      <c r="O36" s="21">
        <f>IFERROR(subQ!O25/subQ!J25-1,"")</f>
        <v/>
      </c>
      <c r="P36" s="22" t="n"/>
      <c r="Q36" s="21">
        <f>IFERROR(subQ!Q25/subQ!L25-1,"")</f>
        <v/>
      </c>
      <c r="R36" s="21">
        <f>IFERROR(subQ!R25/subQ!M25-1,"")</f>
        <v/>
      </c>
      <c r="S36" s="21">
        <f>IFERROR(subQ!S25/subQ!N25-1,"")</f>
        <v/>
      </c>
      <c r="T36" s="21">
        <f>IFERROR(subQ!T25/subQ!O25-1,"")</f>
        <v/>
      </c>
      <c r="U36" s="22" t="n"/>
      <c r="V36" s="21">
        <f>IFERROR(subQ!V25/subQ!Q25-1,"")</f>
        <v/>
      </c>
      <c r="W36" s="21">
        <f>IFERROR(subQ!W25/subQ!R25-1,"")</f>
        <v/>
      </c>
      <c r="X36" s="21">
        <f>IFERROR(subQ!X25/subQ!S25-1,"")</f>
        <v/>
      </c>
      <c r="Y36" s="21">
        <f>IFERROR(subQ!Y25/subQ!T25-1,"")</f>
        <v/>
      </c>
      <c r="Z36" s="22" t="n"/>
      <c r="AA36" s="21">
        <f>IFERROR(subQ!AA25/subQ!V25-1,"")</f>
        <v/>
      </c>
      <c r="AB36" s="23">
        <f>IFERROR(subQ!AB25/subQ!W25-1,"")</f>
        <v/>
      </c>
      <c r="AC36" s="31" t="n"/>
      <c r="AD36" s="31" t="n"/>
      <c r="AE36" s="25" t="n"/>
      <c r="AF36" s="31" t="n"/>
      <c r="AG36" s="31" t="n"/>
      <c r="AH36" s="31" t="n"/>
      <c r="AI36" s="31" t="n"/>
      <c r="AJ36" s="25" t="n"/>
      <c r="AK36" s="31" t="n"/>
      <c r="AL36" s="31" t="n"/>
      <c r="AM36" s="31" t="n"/>
      <c r="AN36" s="31" t="n"/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yoy</t>
        </is>
      </c>
      <c r="C39" t="inlineStr">
        <is>
          <t>DPS YoY</t>
        </is>
      </c>
      <c r="E39" s="21" t="n"/>
      <c r="F39" s="22" t="n"/>
      <c r="G39" s="21" t="n"/>
      <c r="H39" s="21" t="n"/>
      <c r="I39" s="21" t="n"/>
      <c r="J39" s="21">
        <f>IFERROR(subQ!J30/subQ!E30-1,"")</f>
        <v/>
      </c>
      <c r="K39" s="22" t="n"/>
      <c r="L39" s="21">
        <f>IFERROR(subQ!L30/subQ!G30-1,"")</f>
        <v/>
      </c>
      <c r="M39" s="21">
        <f>IFERROR(subQ!M30/subQ!H30-1,"")</f>
        <v/>
      </c>
      <c r="N39" s="21">
        <f>IFERROR(subQ!N30/subQ!I30-1,"")</f>
        <v/>
      </c>
      <c r="O39" s="21">
        <f>IFERROR(subQ!O30/subQ!J30-1,"")</f>
        <v/>
      </c>
      <c r="P39" s="22" t="n"/>
      <c r="Q39" s="21">
        <f>IFERROR(subQ!Q30/subQ!L30-1,"")</f>
        <v/>
      </c>
      <c r="R39" s="21">
        <f>IFERROR(subQ!R30/subQ!M30-1,"")</f>
        <v/>
      </c>
      <c r="S39" s="21">
        <f>IFERROR(subQ!S30/subQ!N30-1,"")</f>
        <v/>
      </c>
      <c r="T39" s="21">
        <f>IFERROR(subQ!T30/subQ!O30-1,"")</f>
        <v/>
      </c>
      <c r="U39" s="22" t="n"/>
      <c r="V39" s="21">
        <f>IFERROR(subQ!V30/subQ!Q30-1,"")</f>
        <v/>
      </c>
      <c r="W39" s="21">
        <f>IFERROR(subQ!W30/subQ!R30-1,"")</f>
        <v/>
      </c>
      <c r="X39" s="21">
        <f>IFERROR(subQ!X30/subQ!S30-1,"")</f>
        <v/>
      </c>
      <c r="Y39" s="21">
        <f>IFERROR(subQ!Y30/subQ!T30-1,"")</f>
        <v/>
      </c>
      <c r="Z39" s="22" t="n"/>
      <c r="AA39" s="21">
        <f>IFERROR(subQ!AA30/subQ!V30-1,"")</f>
        <v/>
      </c>
      <c r="AB39" s="23">
        <f>IFERROR(subQ!AB30/subQ!W30-1,"")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drv:PER</t>
        </is>
      </c>
      <c r="B40" s="2" t="inlineStr">
        <is>
          <t>yoy</t>
        </is>
      </c>
      <c r="C40" t="inlineStr">
        <is>
          <t>PER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24" t="n">
        <v>-0.744833</v>
      </c>
      <c r="AD40" s="24" t="n">
        <v>-0.528597</v>
      </c>
      <c r="AE40" s="25" t="n"/>
      <c r="AF40" s="24" t="n">
        <v>-0.431763</v>
      </c>
      <c r="AG40" s="24" t="n">
        <v>-0.286421</v>
      </c>
      <c r="AH40" s="24" t="n">
        <v>0.349104</v>
      </c>
      <c r="AI40" s="24" t="n">
        <v>0.200511</v>
      </c>
      <c r="AJ40" s="25" t="n"/>
      <c r="AK40" s="24" t="n">
        <v>0.153563</v>
      </c>
      <c r="AL40" s="24" t="n">
        <v>-0.0005330000000000001</v>
      </c>
      <c r="AM40" s="24" t="n">
        <v>-0.006376</v>
      </c>
      <c r="AN40" s="24" t="n">
        <v>-0.010106</v>
      </c>
      <c r="AO40" s="25" t="n"/>
    </row>
    <row r="41">
      <c r="A41" s="12" t="inlineStr">
        <is>
          <t>drv:PBR</t>
        </is>
      </c>
      <c r="B41" s="2" t="inlineStr">
        <is>
          <t>yoy</t>
        </is>
      </c>
      <c r="C41" t="inlineStr">
        <is>
          <t>PBR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24" t="n">
        <v>-0.519774</v>
      </c>
      <c r="AD41" s="24" t="n">
        <v>-0.461538</v>
      </c>
      <c r="AE41" s="25" t="n"/>
      <c r="AF41" s="24" t="n">
        <v>-0.450331</v>
      </c>
      <c r="AG41" s="24" t="n">
        <v>-0.460526</v>
      </c>
      <c r="AH41" s="24" t="n">
        <v>-0.047059</v>
      </c>
      <c r="AI41" s="24" t="n">
        <v>-0.047619</v>
      </c>
      <c r="AJ41" s="25" t="n"/>
      <c r="AK41" s="24" t="n">
        <v>-0.036145</v>
      </c>
      <c r="AL41" s="24" t="n">
        <v>-0.036585</v>
      </c>
      <c r="AM41" s="24" t="n">
        <v>-0.037037</v>
      </c>
      <c r="AN41" s="24" t="n">
        <v>-0.0375</v>
      </c>
      <c r="AO41" s="25" t="n"/>
    </row>
    <row r="42">
      <c r="A42" s="12" t="inlineStr">
        <is>
          <t>drv:매출전사</t>
        </is>
      </c>
      <c r="B42" s="2" t="inlineStr">
        <is>
          <t>ratio</t>
        </is>
      </c>
      <c r="C42" t="inlineStr">
        <is>
          <t>매출전사 비중(/매출액)</t>
        </is>
      </c>
      <c r="E42" s="21">
        <f>IFERROR(subQ!E33/subQ!E5,"")</f>
        <v/>
      </c>
      <c r="F42" s="22">
        <f>IFERROR(subQ!F33/subQ!F5,"")</f>
        <v/>
      </c>
      <c r="G42" s="21">
        <f>IFERROR(subQ!G33/subQ!G5,"")</f>
        <v/>
      </c>
      <c r="H42" s="21">
        <f>IFERROR(subQ!H33/subQ!H5,"")</f>
        <v/>
      </c>
      <c r="I42" s="21">
        <f>IFERROR(subQ!I33/subQ!I5,"")</f>
        <v/>
      </c>
      <c r="J42" s="21">
        <f>IFERROR(subQ!J33/subQ!J5,"")</f>
        <v/>
      </c>
      <c r="K42" s="22">
        <f>IFERROR(subQ!K33/subQ!K5,"")</f>
        <v/>
      </c>
      <c r="L42" s="21">
        <f>IFERROR(subQ!L33/subQ!L5,"")</f>
        <v/>
      </c>
      <c r="M42" s="21">
        <f>IFERROR(subQ!M33/subQ!M5,"")</f>
        <v/>
      </c>
      <c r="N42" s="21">
        <f>IFERROR(subQ!N33/subQ!N5,"")</f>
        <v/>
      </c>
      <c r="O42" s="21">
        <f>IFERROR(subQ!O33/subQ!O5,"")</f>
        <v/>
      </c>
      <c r="P42" s="22">
        <f>IFERROR(subQ!P33/subQ!P5,"")</f>
        <v/>
      </c>
      <c r="Q42" s="21">
        <f>IFERROR(subQ!Q33/subQ!Q5,"")</f>
        <v/>
      </c>
      <c r="R42" s="21">
        <f>IFERROR(subQ!R33/subQ!R5,"")</f>
        <v/>
      </c>
      <c r="S42" s="21">
        <f>IFERROR(subQ!S33/subQ!S5,"")</f>
        <v/>
      </c>
      <c r="T42" s="21">
        <f>IFERROR(subQ!T33/subQ!T5,"")</f>
        <v/>
      </c>
      <c r="U42" s="22">
        <f>IFERROR(subQ!U33/subQ!U5,"")</f>
        <v/>
      </c>
      <c r="V42" s="21">
        <f>IFERROR(subQ!V33/subQ!V5,"")</f>
        <v/>
      </c>
      <c r="W42" s="21">
        <f>IFERROR(subQ!W33/subQ!W5,"")</f>
        <v/>
      </c>
      <c r="X42" s="21">
        <f>IFERROR(subQ!X33/subQ!X5,"")</f>
        <v/>
      </c>
      <c r="Y42" s="21">
        <f>IFERROR(subQ!Y33/subQ!Y5,"")</f>
        <v/>
      </c>
      <c r="Z42" s="22">
        <f>IFERROR(subQ!Z33/subQ!Z5,"")</f>
        <v/>
      </c>
      <c r="AA42" s="21">
        <f>IFERROR(subQ!AA33/subQ!AA5,"")</f>
        <v/>
      </c>
      <c r="AB42" s="23">
        <f>IFERROR(subQ!AB33/subQ!AB5,"")</f>
        <v/>
      </c>
      <c r="AC42" s="24" t="n">
        <v>1</v>
      </c>
      <c r="AD42" s="24" t="n">
        <v>1</v>
      </c>
      <c r="AE42" s="25">
        <f>IFERROR(subQ!AE33/subQ!AE5,"")</f>
        <v/>
      </c>
      <c r="AF42" s="24" t="n">
        <v>1</v>
      </c>
      <c r="AG42" s="24" t="n">
        <v>1</v>
      </c>
      <c r="AH42" s="24" t="n">
        <v>1</v>
      </c>
      <c r="AI42" s="24" t="n">
        <v>1</v>
      </c>
      <c r="AJ42" s="25">
        <f>IFERROR(subQ!AJ33/subQ!AJ5,"")</f>
        <v/>
      </c>
      <c r="AK42" s="24" t="n">
        <v>1</v>
      </c>
      <c r="AL42" s="24" t="n">
        <v>1</v>
      </c>
      <c r="AM42" s="24" t="n">
        <v>1</v>
      </c>
      <c r="AN42" s="24" t="n">
        <v>1</v>
      </c>
      <c r="AO42" s="25">
        <f>IFERROR(subQ!AO33/subQ!AO5,"")</f>
        <v/>
      </c>
    </row>
    <row r="43">
      <c r="A43" s="12" t="inlineStr">
        <is>
          <t>drv:OP전사</t>
        </is>
      </c>
      <c r="B43" s="2" t="inlineStr">
        <is>
          <t>ratio</t>
        </is>
      </c>
      <c r="C43" t="inlineStr">
        <is>
          <t>OP전사 마진(/매출전사)</t>
        </is>
      </c>
      <c r="E43" s="21">
        <f>IFERROR(subQ!E34/subQ!E33,"")</f>
        <v/>
      </c>
      <c r="F43" s="22">
        <f>IFERROR(subQ!F34/subQ!F33,"")</f>
        <v/>
      </c>
      <c r="G43" s="21">
        <f>IFERROR(subQ!G34/subQ!G33,"")</f>
        <v/>
      </c>
      <c r="H43" s="21">
        <f>IFERROR(subQ!H34/subQ!H33,"")</f>
        <v/>
      </c>
      <c r="I43" s="21">
        <f>IFERROR(subQ!I34/subQ!I33,"")</f>
        <v/>
      </c>
      <c r="J43" s="21">
        <f>IFERROR(subQ!J34/subQ!J33,"")</f>
        <v/>
      </c>
      <c r="K43" s="22">
        <f>IFERROR(subQ!K34/subQ!K33,"")</f>
        <v/>
      </c>
      <c r="L43" s="21">
        <f>IFERROR(subQ!L34/subQ!L33,"")</f>
        <v/>
      </c>
      <c r="M43" s="21">
        <f>IFERROR(subQ!M34/subQ!M33,"")</f>
        <v/>
      </c>
      <c r="N43" s="21">
        <f>IFERROR(subQ!N34/subQ!N33,"")</f>
        <v/>
      </c>
      <c r="O43" s="21">
        <f>IFERROR(subQ!O34/subQ!O33,"")</f>
        <v/>
      </c>
      <c r="P43" s="22">
        <f>IFERROR(subQ!P34/subQ!P33,"")</f>
        <v/>
      </c>
      <c r="Q43" s="21">
        <f>IFERROR(subQ!Q34/subQ!Q33,"")</f>
        <v/>
      </c>
      <c r="R43" s="21">
        <f>IFERROR(subQ!R34/subQ!R33,"")</f>
        <v/>
      </c>
      <c r="S43" s="21">
        <f>IFERROR(subQ!S34/subQ!S33,"")</f>
        <v/>
      </c>
      <c r="T43" s="21">
        <f>IFERROR(subQ!T34/subQ!T33,"")</f>
        <v/>
      </c>
      <c r="U43" s="22">
        <f>IFERROR(subQ!U34/subQ!U33,"")</f>
        <v/>
      </c>
      <c r="V43" s="21">
        <f>IFERROR(subQ!V34/subQ!V33,"")</f>
        <v/>
      </c>
      <c r="W43" s="21">
        <f>IFERROR(subQ!W34/subQ!W33,"")</f>
        <v/>
      </c>
      <c r="X43" s="21">
        <f>IFERROR(subQ!X34/subQ!X33,"")</f>
        <v/>
      </c>
      <c r="Y43" s="21">
        <f>IFERROR(subQ!Y34/subQ!Y33,"")</f>
        <v/>
      </c>
      <c r="Z43" s="22">
        <f>IFERROR(subQ!Z34/subQ!Z33,"")</f>
        <v/>
      </c>
      <c r="AA43" s="21">
        <f>IFERROR(subQ!AA34/subQ!AA33,"")</f>
        <v/>
      </c>
      <c r="AB43" s="23">
        <f>IFERROR(subQ!AB34/subQ!AB33,"")</f>
        <v/>
      </c>
      <c r="AC43" s="24" t="n">
        <v>0.07098400000000001</v>
      </c>
      <c r="AD43" s="24" t="n">
        <v>0.070988</v>
      </c>
      <c r="AE43" s="25">
        <f>IFERROR(subQ!AE34/subQ!AE33,"")</f>
        <v/>
      </c>
      <c r="AF43" s="24" t="n">
        <v>0.07098500000000001</v>
      </c>
      <c r="AG43" s="24" t="n">
        <v>0.07098500000000001</v>
      </c>
      <c r="AH43" s="24" t="n">
        <v>0.07098599999999999</v>
      </c>
      <c r="AI43" s="24" t="n">
        <v>0.070982</v>
      </c>
      <c r="AJ43" s="25">
        <f>IFERROR(subQ!AJ34/subQ!AJ33,"")</f>
        <v/>
      </c>
      <c r="AK43" s="24" t="n">
        <v>0.070981</v>
      </c>
      <c r="AL43" s="24" t="n">
        <v>0.070983</v>
      </c>
      <c r="AM43" s="24" t="n">
        <v>0.070983</v>
      </c>
      <c r="AN43" s="24" t="n">
        <v>0.070982</v>
      </c>
      <c r="AO43" s="25">
        <f>IFERROR(subQ!AO34/subQ!AO33,"")</f>
        <v/>
      </c>
    </row>
    <row r="44"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B45" s="1" t="inlineStr">
        <is>
          <t>3. 밸류에이션·스칼라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sc:종가</t>
        </is>
      </c>
      <c r="C46" t="inlineStr">
        <is>
          <t>종가</t>
        </is>
      </c>
      <c r="D46" s="32" t="n">
        <v>11550</v>
      </c>
      <c r="E46" s="2" t="inlineStr">
        <is>
          <t>원 — aikstockdata(금융위 T+1)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sc:기준일</t>
        </is>
      </c>
      <c r="C47" t="inlineStr">
        <is>
          <t>기준일</t>
        </is>
      </c>
      <c r="D47" s="33" t="inlineStr">
        <is>
          <t>20260929</t>
        </is>
      </c>
      <c r="E47" s="2" t="inlineStr">
        <is>
          <t>종가 기준일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sc:COE</t>
        </is>
      </c>
      <c r="C48" t="inlineStr">
        <is>
          <t>COE</t>
        </is>
      </c>
      <c r="D48" s="24" t="n">
        <v>0.09</v>
      </c>
      <c r="E48" s="2" t="inlineStr">
        <is>
          <t>자기자본비용(가정)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sc:PER_lo</t>
        </is>
      </c>
      <c r="C49" t="inlineStr">
        <is>
          <t>PER_lo</t>
        </is>
      </c>
      <c r="D49" s="29" t="n">
        <v>10</v>
      </c>
      <c r="E49" s="2" t="inlineStr">
        <is>
          <t>PER 밴드 하단(배) — sector_default(레퍼런스 TP_PE PB 예시 10/15/20배; 과거 PER 중위 31.7배가 캡 5~30 밖 — 턴어라운드 초기 TTM EPS 왜곡)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sc:PER_mid</t>
        </is>
      </c>
      <c r="C50" t="inlineStr">
        <is>
          <t>PER_mid</t>
        </is>
      </c>
      <c r="D50" s="29" t="n">
        <v>15</v>
      </c>
      <c r="E50" s="2" t="inlineStr">
        <is>
          <t>PER 밴드 중단(배)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sc:PER_hi</t>
        </is>
      </c>
      <c r="C51" t="inlineStr">
        <is>
          <t>PER_hi</t>
        </is>
      </c>
      <c r="D51" s="29" t="n">
        <v>20</v>
      </c>
      <c r="E51" s="2" t="inlineStr">
        <is>
          <t>PER 밴드 상단(배)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sc:EPS_Y1가중</t>
        </is>
      </c>
      <c r="C52" t="inlineStr">
        <is>
          <t>EPS_Y1가중</t>
        </is>
      </c>
      <c r="D52" s="24" t="n">
        <v>0.5</v>
      </c>
      <c r="E52" s="2" t="inlineStr">
        <is>
          <t>12M fwd EPS = FY(last_actual연도)E × w + FY+1E × (1−w) — 기준 분기 2Q 이면 0.5(가정)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sc:세율</t>
        </is>
      </c>
      <c r="C53" t="inlineStr">
        <is>
          <t>세율</t>
        </is>
      </c>
      <c r="D53" s="24" t="n">
        <v>0.1829</v>
      </c>
      <c r="E53" s="2" t="inlineStr">
        <is>
          <t>법인세율 가정(참고 — 추정 수식은 드라이버 행 참조)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sc:판관비율</t>
        </is>
      </c>
      <c r="C54" t="inlineStr">
        <is>
          <t>판관비율</t>
        </is>
      </c>
      <c r="D54" s="24" t="n">
        <v>0.0411</v>
      </c>
      <c r="E54" s="2" t="inlineStr">
        <is>
          <t>판관비율 가정(참고)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29" t="n"/>
      <c r="E56" s="2" t="inlineStr">
        <is>
          <t>외화 순노출 × Δ기말환율 (외화 시트 방식)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4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4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4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4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4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4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4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4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4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4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4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4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4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4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4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4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4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4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4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4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4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4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4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4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4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4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4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4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4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4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4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4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4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4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4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4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4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4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4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4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4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4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4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4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4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4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4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4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4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4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4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4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4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4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4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4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4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4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4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4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4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4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4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4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4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4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4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4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4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4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4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4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4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4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4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4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4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4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4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4" t="n">
        <v>66086.78999999999</v>
      </c>
      <c r="L21" s="18" t="n">
        <v>71284.35000000001</v>
      </c>
      <c r="M21" s="18" t="n">
        <v>122326.45</v>
      </c>
      <c r="N21" s="18" t="n">
        <v>140492.76</v>
      </c>
      <c r="O21" s="18" t="n">
        <v>124474.12</v>
      </c>
      <c r="P21" s="34" t="n">
        <v>124474.12</v>
      </c>
      <c r="Q21" s="18" t="n">
        <v>137402.93</v>
      </c>
      <c r="R21" s="18" t="n">
        <v>124939.6</v>
      </c>
      <c r="T21" s="18" t="n">
        <v>107670.4</v>
      </c>
      <c r="U21" s="34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4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4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4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4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4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4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4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4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4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4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4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4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4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4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4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4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4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4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4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4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4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4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4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4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4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4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4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4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4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4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4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4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4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4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4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4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4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111291.9</v>
      </c>
      <c r="K29" s="34" t="n">
        <v>111291.9</v>
      </c>
      <c r="L29" s="18" t="n">
        <v>145537.48</v>
      </c>
      <c r="M29" s="18" t="n">
        <v>148435.53</v>
      </c>
      <c r="N29" s="18" t="n">
        <v>33862.34</v>
      </c>
      <c r="O29" s="18" t="n">
        <v>34721.46</v>
      </c>
      <c r="P29" s="34" t="n">
        <v>34721.46</v>
      </c>
      <c r="Q29" s="18" t="n">
        <v>35592.73</v>
      </c>
      <c r="R29" s="18" t="n">
        <v>36485.86</v>
      </c>
      <c r="S29" s="18" t="n">
        <v>37411.55</v>
      </c>
      <c r="T29" s="18" t="n">
        <v>38360.72</v>
      </c>
      <c r="U29" s="34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4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4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4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4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4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4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4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4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4" t="n">
        <v>32866.63</v>
      </c>
      <c r="Q31" s="18" t="n">
        <v>60459.03</v>
      </c>
      <c r="R31" s="18" t="n">
        <v>39151.43</v>
      </c>
      <c r="T31" s="18" t="n">
        <v>65304.23</v>
      </c>
      <c r="U31" s="34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4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2338.48</v>
      </c>
      <c r="F32" s="34" t="n">
        <v>2338.48</v>
      </c>
      <c r="G32" s="18" t="n">
        <v>2539.03</v>
      </c>
      <c r="H32" s="18" t="n">
        <v>1906.44</v>
      </c>
      <c r="I32" s="18" t="n">
        <v>1369.74</v>
      </c>
      <c r="K32" s="9" t="n"/>
      <c r="L32" s="18" t="n">
        <v>495.56</v>
      </c>
      <c r="M32" s="18" t="n">
        <v>17.79</v>
      </c>
      <c r="N32" s="18" t="n">
        <v>392.93</v>
      </c>
      <c r="O32" s="18" t="n">
        <v>2091.43</v>
      </c>
      <c r="P32" s="34" t="n">
        <v>2091.43</v>
      </c>
      <c r="Q32" s="18" t="n">
        <v>2944.49</v>
      </c>
      <c r="R32" s="18" t="n">
        <v>3022.43</v>
      </c>
      <c r="S32" s="18" t="n">
        <v>3802.12</v>
      </c>
      <c r="T32" s="18" t="n">
        <v>5171.38</v>
      </c>
      <c r="U32" s="34" t="n">
        <v>5171.38</v>
      </c>
      <c r="V32" s="18" t="n">
        <v>6856.71</v>
      </c>
      <c r="W32" s="18" t="n">
        <v>7038.85</v>
      </c>
      <c r="X32" s="18" t="n">
        <v>8084.6</v>
      </c>
      <c r="Y32" s="18" t="n">
        <v>4433.73</v>
      </c>
      <c r="Z32" s="34" t="n">
        <v>4433.73</v>
      </c>
      <c r="AA32" s="18" t="n">
        <v>5932.68</v>
      </c>
      <c r="AB32" s="19" t="n">
        <v>5862.61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기타비유동부채</t>
        </is>
      </c>
      <c r="E33" s="18" t="n">
        <v>42.91</v>
      </c>
      <c r="F33" s="34" t="n">
        <v>42.91</v>
      </c>
      <c r="G33" s="18" t="n">
        <v>0.05</v>
      </c>
      <c r="H33" s="18" t="n">
        <v>4.48</v>
      </c>
      <c r="I33" s="18" t="n">
        <v>0.17</v>
      </c>
      <c r="J33" s="18" t="n">
        <v>21.58</v>
      </c>
      <c r="K33" s="34" t="n">
        <v>21.58</v>
      </c>
      <c r="L33" s="18" t="n">
        <v>0.44</v>
      </c>
      <c r="M33" s="18" t="n">
        <v>0.46</v>
      </c>
      <c r="N33" s="18" t="n">
        <v>24.22</v>
      </c>
      <c r="O33" s="18" t="n">
        <v>1725.11</v>
      </c>
      <c r="P33" s="34" t="n">
        <v>1725.11</v>
      </c>
      <c r="Q33" s="18" t="n">
        <v>1659.92</v>
      </c>
      <c r="R33" s="18" t="n">
        <v>1.36</v>
      </c>
      <c r="S33" s="18" t="n">
        <v>1.57</v>
      </c>
      <c r="T33" s="18" t="n">
        <v>62.47</v>
      </c>
      <c r="U33" s="34" t="n">
        <v>62.47</v>
      </c>
      <c r="V33" s="18" t="n">
        <v>0.66</v>
      </c>
      <c r="W33" s="18" t="n">
        <v>0.67</v>
      </c>
      <c r="X33" s="18" t="n">
        <v>0.71</v>
      </c>
      <c r="Y33" s="18" t="n">
        <v>62.83</v>
      </c>
      <c r="Z33" s="34" t="n">
        <v>62.83</v>
      </c>
      <c r="AA33" s="18" t="n">
        <v>0.79</v>
      </c>
      <c r="AB33" s="19" t="n">
        <v>1.08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11396.83</v>
      </c>
      <c r="F34" s="34" t="n">
        <v>11396.83</v>
      </c>
      <c r="G34" s="18" t="n">
        <v>9754.860000000001</v>
      </c>
      <c r="H34" s="18" t="n">
        <v>10487.2</v>
      </c>
      <c r="I34" s="18" t="n">
        <v>10239.27</v>
      </c>
      <c r="J34" s="18" t="n">
        <v>9707.219999999999</v>
      </c>
      <c r="K34" s="34" t="n">
        <v>9707.219999999999</v>
      </c>
      <c r="L34" s="18" t="n">
        <v>10059.59</v>
      </c>
      <c r="M34" s="18" t="n">
        <v>9869.9</v>
      </c>
      <c r="N34" s="18" t="n">
        <v>8638.1</v>
      </c>
      <c r="O34" s="18" t="n">
        <v>9187.450000000001</v>
      </c>
      <c r="P34" s="34" t="n">
        <v>9187.450000000001</v>
      </c>
      <c r="Q34" s="18" t="n">
        <v>7162.15</v>
      </c>
      <c r="R34" s="18" t="n">
        <v>6254.38</v>
      </c>
      <c r="S34" s="18" t="n">
        <v>5019.11</v>
      </c>
      <c r="T34" s="18" t="n">
        <v>4175.97</v>
      </c>
      <c r="U34" s="34" t="n">
        <v>4175.97</v>
      </c>
      <c r="V34" s="18" t="n">
        <v>4123.92</v>
      </c>
      <c r="W34" s="18" t="n">
        <v>4075.48</v>
      </c>
      <c r="X34" s="18" t="n">
        <v>3035.64</v>
      </c>
      <c r="Y34" s="18" t="n">
        <v>2138.42</v>
      </c>
      <c r="Z34" s="34" t="n">
        <v>2138.42</v>
      </c>
      <c r="AA34" s="18" t="n">
        <v>2823.76</v>
      </c>
      <c r="AB34" s="19" t="n">
        <v>2526.79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11396.83</v>
      </c>
      <c r="F35" s="34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4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4" t="n">
        <v>9187.450000000001</v>
      </c>
      <c r="Q35" s="18" t="n">
        <v>7310.52</v>
      </c>
      <c r="R35" s="18" t="n">
        <v>11364.64</v>
      </c>
      <c r="S35" s="18" t="n">
        <v>10309.43</v>
      </c>
      <c r="T35" s="18" t="n">
        <v>19085.35</v>
      </c>
      <c r="U35" s="34" t="n">
        <v>19085.35</v>
      </c>
      <c r="V35" s="18" t="n">
        <v>16595.12</v>
      </c>
      <c r="W35" s="18" t="n">
        <v>5868.15</v>
      </c>
      <c r="X35" s="18" t="n">
        <v>4856.61</v>
      </c>
      <c r="Y35" s="18" t="n">
        <v>2141.24</v>
      </c>
      <c r="Z35" s="34" t="n">
        <v>2141.24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부채총계</t>
        </is>
      </c>
      <c r="E36" s="18" t="n">
        <v>559312.17</v>
      </c>
      <c r="F36" s="34" t="n">
        <v>559312.17</v>
      </c>
      <c r="G36" s="18" t="n">
        <v>587682.45</v>
      </c>
      <c r="H36" s="18" t="n">
        <v>604380.4</v>
      </c>
      <c r="I36" s="18" t="n">
        <v>712166.52</v>
      </c>
      <c r="J36" s="18" t="n">
        <v>694046.4300000001</v>
      </c>
      <c r="K36" s="34" t="n">
        <v>694046.4300000001</v>
      </c>
      <c r="L36" s="18" t="n">
        <v>791576.47</v>
      </c>
      <c r="M36" s="18" t="n">
        <v>833633.15</v>
      </c>
      <c r="N36" s="18" t="n">
        <v>751131.92</v>
      </c>
      <c r="O36" s="18" t="n">
        <v>733064.71</v>
      </c>
      <c r="P36" s="34" t="n">
        <v>733064.71</v>
      </c>
      <c r="Q36" s="18" t="n">
        <v>803045.85</v>
      </c>
      <c r="R36" s="18" t="n">
        <v>741723.87</v>
      </c>
      <c r="S36" s="18" t="n">
        <v>661227.9399999999</v>
      </c>
      <c r="T36" s="18" t="n">
        <v>708435.87</v>
      </c>
      <c r="U36" s="34" t="n">
        <v>708435.87</v>
      </c>
      <c r="V36" s="18" t="n">
        <v>674343.9399999999</v>
      </c>
      <c r="W36" s="18" t="n">
        <v>576043.01</v>
      </c>
      <c r="X36" s="18" t="n">
        <v>381618.22</v>
      </c>
      <c r="Y36" s="18" t="n">
        <v>333697.24</v>
      </c>
      <c r="Z36" s="34" t="n">
        <v>333697.24</v>
      </c>
      <c r="AA36" s="18" t="n">
        <v>331643.78</v>
      </c>
      <c r="AB36" s="19" t="n">
        <v>371575.99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140418.38</v>
      </c>
      <c r="F37" s="34" t="n">
        <v>140418.38</v>
      </c>
      <c r="G37" s="18" t="n">
        <v>159131.6</v>
      </c>
      <c r="H37" s="18" t="n">
        <v>168289.22</v>
      </c>
      <c r="I37" s="18" t="n">
        <v>505367.75</v>
      </c>
      <c r="J37" s="18" t="n">
        <v>520772.31</v>
      </c>
      <c r="K37" s="34" t="n">
        <v>520772.31</v>
      </c>
      <c r="L37" s="18" t="n">
        <v>541233.87</v>
      </c>
      <c r="M37" s="18" t="n">
        <v>562588.72</v>
      </c>
      <c r="N37" s="18" t="n">
        <v>686888.55</v>
      </c>
      <c r="O37" s="18" t="n">
        <v>694620.51</v>
      </c>
      <c r="P37" s="34" t="n">
        <v>694620.51</v>
      </c>
      <c r="Q37" s="18" t="n">
        <v>698770.85</v>
      </c>
      <c r="R37" s="18" t="n">
        <v>701600.13</v>
      </c>
      <c r="S37" s="18" t="n">
        <v>710741.92</v>
      </c>
      <c r="T37" s="18" t="n">
        <v>708802.7</v>
      </c>
      <c r="U37" s="34" t="n">
        <v>708802.7</v>
      </c>
      <c r="V37" s="18" t="n">
        <v>713230.83</v>
      </c>
      <c r="W37" s="18" t="n">
        <v>735593.5600000001</v>
      </c>
      <c r="X37" s="18" t="n">
        <v>777114.22</v>
      </c>
      <c r="Y37" s="18" t="n">
        <v>814544.41</v>
      </c>
      <c r="Z37" s="34" t="n">
        <v>814544.41</v>
      </c>
      <c r="AA37" s="18" t="n">
        <v>824411.9300000001</v>
      </c>
      <c r="AB37" s="19" t="n">
        <v>838202.33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18287.18</v>
      </c>
      <c r="F38" s="34" t="n">
        <v>18287.18</v>
      </c>
      <c r="G38" s="18" t="n">
        <v>18538.34</v>
      </c>
      <c r="H38" s="18" t="n">
        <v>18538.34</v>
      </c>
      <c r="I38" s="18" t="n">
        <v>26617.51</v>
      </c>
      <c r="J38" s="18" t="n">
        <v>26617.51</v>
      </c>
      <c r="K38" s="34" t="n">
        <v>26617.51</v>
      </c>
      <c r="L38" s="18" t="n">
        <v>26617.51</v>
      </c>
      <c r="M38" s="18" t="n">
        <v>26617.51</v>
      </c>
      <c r="N38" s="18" t="n">
        <v>29597.78</v>
      </c>
      <c r="O38" s="18" t="n">
        <v>29597.78</v>
      </c>
      <c r="P38" s="34" t="n">
        <v>29597.78</v>
      </c>
      <c r="Q38" s="18" t="n">
        <v>29597.78</v>
      </c>
      <c r="R38" s="18" t="n">
        <v>29597.78</v>
      </c>
      <c r="S38" s="18" t="n">
        <v>29597.78</v>
      </c>
      <c r="T38" s="18" t="n">
        <v>29597.78</v>
      </c>
      <c r="U38" s="34" t="n">
        <v>29597.78</v>
      </c>
      <c r="V38" s="18" t="n">
        <v>29597.78</v>
      </c>
      <c r="W38" s="18" t="n">
        <v>30090.17</v>
      </c>
      <c r="X38" s="18" t="n">
        <v>31239.06</v>
      </c>
      <c r="Y38" s="18" t="n">
        <v>31239.06</v>
      </c>
      <c r="Z38" s="34" t="n">
        <v>31239.06</v>
      </c>
      <c r="AA38" s="18" t="n">
        <v>31239.06</v>
      </c>
      <c r="AB38" s="19" t="n">
        <v>31239.06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88680.25</v>
      </c>
      <c r="F39" s="34" t="n">
        <v>88680.25</v>
      </c>
      <c r="G39" s="18" t="n">
        <v>97794.8</v>
      </c>
      <c r="H39" s="18" t="n">
        <v>97794.8</v>
      </c>
      <c r="I39" s="18" t="n">
        <v>822322.1800000001</v>
      </c>
      <c r="J39" s="18" t="n">
        <v>416199.82</v>
      </c>
      <c r="K39" s="34" t="n">
        <v>416199.82</v>
      </c>
      <c r="L39" s="18" t="n">
        <v>416199.82</v>
      </c>
      <c r="M39" s="18" t="n">
        <v>416199.82</v>
      </c>
      <c r="N39" s="18" t="n">
        <v>538209.9</v>
      </c>
      <c r="O39" s="18" t="n">
        <v>538209.9</v>
      </c>
      <c r="P39" s="34" t="n">
        <v>538209.9</v>
      </c>
      <c r="Q39" s="18" t="n">
        <v>538209.9</v>
      </c>
      <c r="R39" s="18" t="n">
        <v>538209.9</v>
      </c>
      <c r="S39" s="18" t="n">
        <v>538209.9</v>
      </c>
      <c r="T39" s="18" t="n">
        <v>538209.9</v>
      </c>
      <c r="U39" s="34" t="n">
        <v>538209.9</v>
      </c>
      <c r="V39" s="18" t="n">
        <v>538209.9</v>
      </c>
      <c r="W39" s="18" t="n">
        <v>554089.9300000001</v>
      </c>
      <c r="X39" s="18" t="n">
        <v>589256.1899999999</v>
      </c>
      <c r="Y39" s="18" t="n">
        <v>590490.2</v>
      </c>
      <c r="Z39" s="34" t="n">
        <v>590490.2</v>
      </c>
      <c r="AA39" s="18" t="n">
        <v>590490.2</v>
      </c>
      <c r="AB39" s="19" t="n">
        <v>592527.9300000001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-5324.1</v>
      </c>
      <c r="F40" s="34" t="n">
        <v>-5324.1</v>
      </c>
      <c r="G40" s="18" t="n">
        <v>-6476.97</v>
      </c>
      <c r="H40" s="18" t="n">
        <v>-6532.66</v>
      </c>
      <c r="I40" s="18" t="n">
        <v>4724.61</v>
      </c>
      <c r="J40" s="18" t="n">
        <v>15781.38</v>
      </c>
      <c r="K40" s="34" t="n">
        <v>15781.38</v>
      </c>
      <c r="L40" s="18" t="n">
        <v>15765.47</v>
      </c>
      <c r="M40" s="18" t="n">
        <v>15770.54</v>
      </c>
      <c r="N40" s="18" t="n">
        <v>9355.559999999999</v>
      </c>
      <c r="O40" s="18" t="n">
        <v>9389.610000000001</v>
      </c>
      <c r="P40" s="34" t="n">
        <v>9389.610000000001</v>
      </c>
      <c r="Q40" s="18" t="n">
        <v>9425.620000000001</v>
      </c>
      <c r="R40" s="18" t="n">
        <v>9461.629999999999</v>
      </c>
      <c r="S40" s="18" t="n">
        <v>9497.65</v>
      </c>
      <c r="T40" s="18" t="n">
        <v>9533.66</v>
      </c>
      <c r="U40" s="34" t="n">
        <v>9533.66</v>
      </c>
      <c r="V40" s="18" t="n">
        <v>9569.68</v>
      </c>
      <c r="W40" s="18" t="n">
        <v>7025.8</v>
      </c>
      <c r="X40" s="18" t="n">
        <v>1036.82</v>
      </c>
      <c r="Y40" s="18" t="n">
        <v>917.23</v>
      </c>
      <c r="Z40" s="34" t="n">
        <v>917.23</v>
      </c>
      <c r="AA40" s="18" t="n">
        <v>926.24</v>
      </c>
      <c r="AB40" s="19" t="n">
        <v>-1111.5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39992.78</v>
      </c>
      <c r="F41" s="34" t="n">
        <v>39992.78</v>
      </c>
      <c r="G41" s="18" t="n">
        <v>39992.78</v>
      </c>
      <c r="H41" s="18" t="n">
        <v>39992.78</v>
      </c>
      <c r="I41" s="18" t="n">
        <v>39992.78</v>
      </c>
      <c r="J41" s="18" t="n">
        <v>39992.78</v>
      </c>
      <c r="K41" s="34" t="n">
        <v>39992.78</v>
      </c>
      <c r="L41" s="18" t="n">
        <v>39992.78</v>
      </c>
      <c r="M41" s="18" t="n">
        <v>39992.78</v>
      </c>
      <c r="N41" s="18" t="n">
        <v>39992.78</v>
      </c>
      <c r="O41" s="18" t="n">
        <v>39992.78</v>
      </c>
      <c r="P41" s="34" t="n">
        <v>39992.78</v>
      </c>
      <c r="Q41" s="18" t="n">
        <v>39992.78</v>
      </c>
      <c r="R41" s="18" t="n">
        <v>39992.78</v>
      </c>
      <c r="S41" s="18" t="n">
        <v>39992.78</v>
      </c>
      <c r="T41" s="18" t="n">
        <v>39996.39</v>
      </c>
      <c r="U41" s="34" t="n">
        <v>39996.39</v>
      </c>
      <c r="V41" s="18" t="n">
        <v>39995.91</v>
      </c>
      <c r="W41" s="18" t="n">
        <v>39989.48</v>
      </c>
      <c r="X41" s="18" t="n">
        <v>39991.15</v>
      </c>
      <c r="Y41" s="18" t="n">
        <v>64101.29</v>
      </c>
      <c r="Z41" s="34" t="n">
        <v>64101.29</v>
      </c>
      <c r="AA41" s="18" t="n">
        <v>64103.95</v>
      </c>
      <c r="AB41" s="19" t="n">
        <v>64105.09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-1217.74</v>
      </c>
      <c r="F42" s="34" t="n">
        <v>-1217.74</v>
      </c>
      <c r="G42" s="18" t="n">
        <v>9282.66</v>
      </c>
      <c r="H42" s="18" t="n">
        <v>18495.96</v>
      </c>
      <c r="I42" s="18" t="n">
        <v>22795.02</v>
      </c>
      <c r="J42" s="18" t="n">
        <v>22180.83</v>
      </c>
      <c r="K42" s="34" t="n">
        <v>22180.83</v>
      </c>
      <c r="L42" s="18" t="n">
        <v>42658.3</v>
      </c>
      <c r="M42" s="18" t="n">
        <v>64008.08</v>
      </c>
      <c r="N42" s="18" t="n">
        <v>69732.53</v>
      </c>
      <c r="O42" s="18" t="n">
        <v>77430.44</v>
      </c>
      <c r="P42" s="34" t="n">
        <v>77430.44</v>
      </c>
      <c r="Q42" s="18" t="n">
        <v>81544.77</v>
      </c>
      <c r="R42" s="18" t="n">
        <v>84338.03999999999</v>
      </c>
      <c r="S42" s="18" t="n">
        <v>93443.81</v>
      </c>
      <c r="T42" s="18" t="n">
        <v>91464.96000000001</v>
      </c>
      <c r="U42" s="34" t="n">
        <v>91464.96000000001</v>
      </c>
      <c r="V42" s="18" t="n">
        <v>95857.56</v>
      </c>
      <c r="W42" s="18" t="n">
        <v>104398.18</v>
      </c>
      <c r="X42" s="18" t="n">
        <v>115590.98</v>
      </c>
      <c r="Y42" s="18" t="n">
        <v>127796.63</v>
      </c>
      <c r="Z42" s="34" t="n">
        <v>127796.63</v>
      </c>
      <c r="AA42" s="18" t="n">
        <v>137652.48</v>
      </c>
      <c r="AB42" s="19" t="n">
        <v>151441.74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비지배주주지분</t>
        </is>
      </c>
      <c r="E43" s="18" t="n">
        <v>39661.64</v>
      </c>
      <c r="F43" s="34" t="n">
        <v>39661.64</v>
      </c>
      <c r="G43" s="18" t="n">
        <v>41231.69</v>
      </c>
      <c r="H43" s="18" t="n">
        <v>45128.9</v>
      </c>
      <c r="I43" s="18" t="n">
        <v>47332.89</v>
      </c>
      <c r="J43" s="18" t="n">
        <v>5185.19</v>
      </c>
      <c r="K43" s="34" t="n">
        <v>5185.19</v>
      </c>
      <c r="L43" s="18" t="n">
        <v>4216.97</v>
      </c>
      <c r="M43" s="18" t="n">
        <v>4355.52</v>
      </c>
      <c r="N43" s="18" t="n">
        <v>4366.44</v>
      </c>
      <c r="O43" s="18" t="n">
        <v>4221.46</v>
      </c>
      <c r="P43" s="34" t="n">
        <v>4221.46</v>
      </c>
      <c r="Q43" s="18" t="n">
        <v>4440.16</v>
      </c>
      <c r="R43" s="18" t="n">
        <v>4655.73</v>
      </c>
      <c r="S43" s="18" t="n">
        <v>4936.04</v>
      </c>
      <c r="T43" s="18" t="n">
        <v>4703</v>
      </c>
      <c r="U43" s="34" t="n">
        <v>4703</v>
      </c>
      <c r="V43" s="18" t="n">
        <v>4596.93</v>
      </c>
      <c r="W43" s="18" t="n">
        <v>4555.95</v>
      </c>
      <c r="X43" s="18" t="n">
        <v>0</v>
      </c>
      <c r="Y43" s="18" t="n">
        <v>0</v>
      </c>
      <c r="Z43" s="34" t="n">
        <v>0</v>
      </c>
      <c r="AB43" s="19" t="n">
        <v>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180080.02</v>
      </c>
      <c r="F44" s="34" t="n">
        <v>180080.02</v>
      </c>
      <c r="G44" s="18" t="n">
        <v>200363.29</v>
      </c>
      <c r="H44" s="18" t="n">
        <v>213418.12</v>
      </c>
      <c r="I44" s="18" t="n">
        <v>552700.63</v>
      </c>
      <c r="J44" s="18" t="n">
        <v>525957.5</v>
      </c>
      <c r="K44" s="34" t="n">
        <v>525957.5</v>
      </c>
      <c r="L44" s="18" t="n">
        <v>545450.83</v>
      </c>
      <c r="M44" s="18" t="n">
        <v>566944.24</v>
      </c>
      <c r="N44" s="18" t="n">
        <v>691254.99</v>
      </c>
      <c r="O44" s="18" t="n">
        <v>698841.96</v>
      </c>
      <c r="P44" s="34" t="n">
        <v>698841.96</v>
      </c>
      <c r="Q44" s="18" t="n">
        <v>703211.01</v>
      </c>
      <c r="R44" s="18" t="n">
        <v>706255.86</v>
      </c>
      <c r="S44" s="18" t="n">
        <v>715677.96</v>
      </c>
      <c r="T44" s="18" t="n">
        <v>713505.7</v>
      </c>
      <c r="U44" s="34" t="n">
        <v>713505.7</v>
      </c>
      <c r="V44" s="18" t="n">
        <v>717827.76</v>
      </c>
      <c r="W44" s="18" t="n">
        <v>740149.52</v>
      </c>
      <c r="X44" s="18" t="n">
        <v>777114.22</v>
      </c>
      <c r="Y44" s="18" t="n">
        <v>814544.41</v>
      </c>
      <c r="Z44" s="34" t="n">
        <v>814544.41</v>
      </c>
      <c r="AA44" s="18" t="n">
        <v>824411.9300000001</v>
      </c>
      <c r="AB44" s="19" t="n">
        <v>838202.33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739392.1899999999</v>
      </c>
      <c r="F45" s="34" t="n">
        <v>739392.1899999999</v>
      </c>
      <c r="G45" s="18" t="n">
        <v>788045.74</v>
      </c>
      <c r="H45" s="18" t="n">
        <v>817798.51</v>
      </c>
      <c r="I45" s="18" t="n">
        <v>1264867.15</v>
      </c>
      <c r="J45" s="18" t="n">
        <v>1220003.93</v>
      </c>
      <c r="K45" s="34" t="n">
        <v>1220003.93</v>
      </c>
      <c r="L45" s="18" t="n">
        <v>1337027.3</v>
      </c>
      <c r="M45" s="18" t="n">
        <v>1400577.39</v>
      </c>
      <c r="N45" s="18" t="n">
        <v>1442386.91</v>
      </c>
      <c r="O45" s="18" t="n">
        <v>1431906.67</v>
      </c>
      <c r="P45" s="34" t="n">
        <v>1431906.67</v>
      </c>
      <c r="Q45" s="18" t="n">
        <v>1506256.86</v>
      </c>
      <c r="R45" s="18" t="n">
        <v>1447979.73</v>
      </c>
      <c r="S45" s="18" t="n">
        <v>1376905.9</v>
      </c>
      <c r="T45" s="18" t="n">
        <v>1421941.57</v>
      </c>
      <c r="U45" s="34" t="n">
        <v>1421941.57</v>
      </c>
      <c r="V45" s="18" t="n">
        <v>1392171.7</v>
      </c>
      <c r="W45" s="18" t="n">
        <v>1316192.53</v>
      </c>
      <c r="X45" s="18" t="n">
        <v>1158732.43</v>
      </c>
      <c r="Y45" s="18" t="n">
        <v>1148241.65</v>
      </c>
      <c r="Z45" s="34" t="n">
        <v>1148241.65</v>
      </c>
      <c r="AA45" s="18" t="n">
        <v>1156055.71</v>
      </c>
      <c r="AB45" s="19" t="n">
        <v>1209778.32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278482.72</v>
      </c>
      <c r="F46" s="34" t="n">
        <v>278482.72</v>
      </c>
      <c r="G46" s="18" t="n">
        <v>257279.32</v>
      </c>
      <c r="H46" s="18" t="n">
        <v>248513.35</v>
      </c>
      <c r="I46" s="18" t="n">
        <v>376745.98</v>
      </c>
      <c r="J46" s="18" t="n">
        <v>216657.7</v>
      </c>
      <c r="K46" s="34" t="n">
        <v>216657.7</v>
      </c>
      <c r="L46" s="18" t="n">
        <v>224061.26</v>
      </c>
      <c r="M46" s="18" t="n">
        <v>283141.11</v>
      </c>
      <c r="N46" s="18" t="n">
        <v>190822.96</v>
      </c>
      <c r="O46" s="18" t="n">
        <v>192062.21</v>
      </c>
      <c r="P46" s="34" t="n">
        <v>192062.21</v>
      </c>
      <c r="Q46" s="18" t="n">
        <v>233454.69</v>
      </c>
      <c r="R46" s="18" t="n">
        <v>200576.89</v>
      </c>
      <c r="S46" s="18" t="n">
        <v>37411.55</v>
      </c>
      <c r="T46" s="18" t="n">
        <v>211335.35</v>
      </c>
      <c r="U46" s="34" t="n">
        <v>211335.35</v>
      </c>
      <c r="V46" s="18" t="n">
        <v>253089.67</v>
      </c>
      <c r="W46" s="18" t="n">
        <v>239895</v>
      </c>
      <c r="X46" s="18" t="n">
        <v>209461.83</v>
      </c>
      <c r="Y46" s="18" t="n">
        <v>207304.23</v>
      </c>
      <c r="Z46" s="34" t="n">
        <v>207304.23</v>
      </c>
      <c r="AA46" s="18" t="n">
        <v>194238.63</v>
      </c>
      <c r="AB46" s="19" t="n">
        <v>215036.03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182010.35</v>
      </c>
      <c r="F47" s="34" t="n">
        <v>182010.35</v>
      </c>
      <c r="G47" s="18" t="n">
        <v>187836.41</v>
      </c>
      <c r="H47" s="18" t="n">
        <v>190479.82</v>
      </c>
      <c r="I47" s="18" t="n">
        <v>244658.98</v>
      </c>
      <c r="J47" s="18" t="n">
        <v>130448.14</v>
      </c>
      <c r="K47" s="34" t="n">
        <v>130448.14</v>
      </c>
      <c r="L47" s="18" t="n">
        <v>135428.07</v>
      </c>
      <c r="M47" s="18" t="n">
        <v>204906.96</v>
      </c>
      <c r="N47" s="18" t="n">
        <v>115333.65</v>
      </c>
      <c r="O47" s="18" t="n">
        <v>147284.35</v>
      </c>
      <c r="P47" s="34" t="n">
        <v>147284.35</v>
      </c>
      <c r="Q47" s="18" t="n">
        <v>155361.98</v>
      </c>
      <c r="R47" s="18" t="n">
        <v>113383.65</v>
      </c>
      <c r="S47" s="18" t="n">
        <v>-35417.86</v>
      </c>
      <c r="T47" s="18" t="n">
        <v>121777.83</v>
      </c>
      <c r="U47" s="34" t="n">
        <v>121777.83</v>
      </c>
      <c r="V47" s="18" t="n">
        <v>106216.32</v>
      </c>
      <c r="W47" s="18" t="n">
        <v>148106.07</v>
      </c>
      <c r="X47" s="18" t="n">
        <v>151252.69</v>
      </c>
      <c r="Y47" s="18" t="n">
        <v>176984.61</v>
      </c>
      <c r="Z47" s="34" t="n">
        <v>176984.61</v>
      </c>
      <c r="AA47" s="18" t="n">
        <v>166408.83</v>
      </c>
      <c r="AB47" s="19" t="n">
        <v>170190.21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102195.23</v>
      </c>
      <c r="F48" s="34" t="n">
        <v>102195.23</v>
      </c>
      <c r="G48" s="18" t="n">
        <v>76159.28999999999</v>
      </c>
      <c r="H48" s="18" t="n">
        <v>69951.82000000001</v>
      </c>
      <c r="I48" s="18" t="n">
        <v>147665.36</v>
      </c>
      <c r="J48" s="18" t="n">
        <v>165228.76</v>
      </c>
      <c r="K48" s="34" t="n">
        <v>165228.76</v>
      </c>
      <c r="L48" s="18" t="n">
        <v>174979.61</v>
      </c>
      <c r="M48" s="18" t="n">
        <v>130524.15</v>
      </c>
      <c r="N48" s="18" t="n">
        <v>127795.51</v>
      </c>
      <c r="O48" s="18" t="n">
        <v>58559.75</v>
      </c>
      <c r="P48" s="34" t="n">
        <v>58559.75</v>
      </c>
      <c r="Q48" s="18" t="n">
        <v>117481.12</v>
      </c>
      <c r="R48" s="18" t="n">
        <v>101029.55</v>
      </c>
      <c r="S48" s="18" t="n">
        <v>88870.75</v>
      </c>
      <c r="T48" s="18" t="n">
        <v>103474.48</v>
      </c>
      <c r="U48" s="34" t="n">
        <v>103474.48</v>
      </c>
      <c r="V48" s="18" t="n">
        <v>160788.28</v>
      </c>
      <c r="W48" s="18" t="n">
        <v>105640.15</v>
      </c>
      <c r="X48" s="18" t="n">
        <v>72120.24000000001</v>
      </c>
      <c r="Y48" s="18" t="n">
        <v>51463.75</v>
      </c>
      <c r="Z48" s="34" t="n">
        <v>51463.75</v>
      </c>
      <c r="AA48" s="18" t="n">
        <v>52686.96</v>
      </c>
      <c r="AB48" s="19" t="n">
        <v>71346.8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G49" s="18" t="n">
        <v>0.39</v>
      </c>
      <c r="H49" s="18" t="n">
        <v>0.83</v>
      </c>
      <c r="K49" s="9" t="n"/>
      <c r="L49" s="18" t="n">
        <v>5.11</v>
      </c>
      <c r="M49" s="18" t="n">
        <v>17.07</v>
      </c>
      <c r="N49" s="18" t="n">
        <v>24.38</v>
      </c>
      <c r="P49" s="9" t="n"/>
      <c r="Q49" s="18" t="n">
        <v>176.27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4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4" t="n">
        <v>0</v>
      </c>
      <c r="Y50" s="18" t="n">
        <v>3655.27</v>
      </c>
      <c r="Z50" s="34" t="n">
        <v>3655.27</v>
      </c>
      <c r="AA50" s="18" t="n">
        <v>4915.37</v>
      </c>
      <c r="AB50" s="19" t="n">
        <v>4971.19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J51" s="18" t="n">
        <v>31435.98</v>
      </c>
      <c r="K51" s="34" t="n">
        <v>31435.98</v>
      </c>
      <c r="P51" s="9" t="n"/>
      <c r="T51" s="18" t="n">
        <v>0</v>
      </c>
      <c r="U51" s="34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140492.76</v>
      </c>
      <c r="O52" s="18" t="n">
        <v>124474.12</v>
      </c>
      <c r="P52" s="34" t="n">
        <v>124474.12</v>
      </c>
      <c r="Q52" s="18" t="n">
        <v>137402.93</v>
      </c>
      <c r="R52" s="18" t="n">
        <v>124939.6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4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4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4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4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4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4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4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4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4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4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4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4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4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4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4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4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4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4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4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4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4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4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4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4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4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4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4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4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4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4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4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4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4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4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4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4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4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4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4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4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4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4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4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4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4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4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4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4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4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4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4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4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4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4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4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4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4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4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4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4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4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4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4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4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4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4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4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4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4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4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4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4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4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4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4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4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4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4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4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4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4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영업활동으로인한현금흐름</t>
        </is>
      </c>
      <c r="E78" s="18" t="n">
        <v>109667.02</v>
      </c>
      <c r="F78" s="9" t="n"/>
      <c r="G78" s="18" t="n">
        <v>50479.39</v>
      </c>
      <c r="H78" s="18" t="n">
        <v>-14215.49</v>
      </c>
      <c r="I78" s="18" t="n">
        <v>-29519.19</v>
      </c>
      <c r="J78" s="18" t="n">
        <v>61845.53</v>
      </c>
      <c r="K78" s="34" t="n">
        <v>68590.24000000001</v>
      </c>
      <c r="L78" s="18" t="n">
        <v>-54654.15</v>
      </c>
      <c r="M78" s="18" t="n">
        <v>-74651.11</v>
      </c>
      <c r="N78" s="18" t="n">
        <v>-810.9</v>
      </c>
      <c r="O78" s="18" t="n">
        <v>-8086.96</v>
      </c>
      <c r="P78" s="34" t="n">
        <v>-138203.12</v>
      </c>
      <c r="Q78" s="18" t="n">
        <v>10160.89</v>
      </c>
      <c r="R78" s="18" t="n">
        <v>51876.63</v>
      </c>
      <c r="S78" s="18" t="n">
        <v>46189.15</v>
      </c>
      <c r="T78" s="18" t="n">
        <v>27140.66</v>
      </c>
      <c r="U78" s="34" t="n">
        <v>135367.33</v>
      </c>
      <c r="V78" s="18" t="n">
        <v>52382.12</v>
      </c>
      <c r="W78" s="18" t="n">
        <v>46463.12</v>
      </c>
      <c r="X78" s="18" t="n">
        <v>-115850.39</v>
      </c>
      <c r="Y78" s="18" t="n">
        <v>-22763.08</v>
      </c>
      <c r="Z78" s="34" t="n">
        <v>-39768.23</v>
      </c>
      <c r="AA78" s="18" t="n">
        <v>40909.22</v>
      </c>
      <c r="AB78" s="19" t="n">
        <v>11471.72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이자수취(CF)</t>
        </is>
      </c>
      <c r="E79" s="18" t="n">
        <v>-18.04</v>
      </c>
      <c r="F79" s="9" t="n"/>
      <c r="G79" s="18" t="n">
        <v>23.92</v>
      </c>
      <c r="H79" s="18" t="n">
        <v>807.88</v>
      </c>
      <c r="I79" s="18" t="n">
        <v>746.95</v>
      </c>
      <c r="J79" s="18" t="n">
        <v>2820.63</v>
      </c>
      <c r="K79" s="34" t="n">
        <v>4399.38</v>
      </c>
      <c r="L79" s="18" t="n">
        <v>1046.13</v>
      </c>
      <c r="M79" s="18" t="n">
        <v>1276.14</v>
      </c>
      <c r="N79" s="18" t="n">
        <v>922.7</v>
      </c>
      <c r="O79" s="18" t="n">
        <v>1629.81</v>
      </c>
      <c r="P79" s="34" t="n">
        <v>4874.78</v>
      </c>
      <c r="Q79" s="18" t="n">
        <v>1307.99</v>
      </c>
      <c r="R79" s="18" t="n">
        <v>756.02</v>
      </c>
      <c r="S79" s="18" t="n">
        <v>1059.3</v>
      </c>
      <c r="T79" s="18" t="n">
        <v>2240.65</v>
      </c>
      <c r="U79" s="34" t="n">
        <v>5363.96</v>
      </c>
      <c r="V79" s="18" t="n">
        <v>504.61</v>
      </c>
      <c r="W79" s="18" t="n">
        <v>941.35</v>
      </c>
      <c r="X79" s="18" t="n">
        <v>1555.63</v>
      </c>
      <c r="Y79" s="18" t="n">
        <v>262.04</v>
      </c>
      <c r="Z79" s="34" t="n">
        <v>3263.63</v>
      </c>
      <c r="AA79" s="18" t="n">
        <v>353.1</v>
      </c>
      <c r="AB79" s="19" t="n">
        <v>293.11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이자지급(CF)</t>
        </is>
      </c>
      <c r="E80" s="18" t="n">
        <v>-3319.43</v>
      </c>
      <c r="F80" s="9" t="n"/>
      <c r="G80" s="18" t="n">
        <v>-2855.98</v>
      </c>
      <c r="H80" s="18" t="n">
        <v>-2909.45</v>
      </c>
      <c r="I80" s="18" t="n">
        <v>-2799.57</v>
      </c>
      <c r="J80" s="18" t="n">
        <v>-2359.92</v>
      </c>
      <c r="K80" s="34" t="n">
        <v>-10924.92</v>
      </c>
      <c r="L80" s="18" t="n">
        <v>-1442.42</v>
      </c>
      <c r="M80" s="18" t="n">
        <v>-1872.68</v>
      </c>
      <c r="P80" s="9" t="n"/>
      <c r="U80" s="9" t="n"/>
      <c r="V80" s="18" t="n">
        <v>-2303.75</v>
      </c>
      <c r="W80" s="18" t="n">
        <v>-2688.09</v>
      </c>
      <c r="X80" s="18" t="n">
        <v>-3220.76</v>
      </c>
      <c r="Y80" s="18" t="n">
        <v>-2384.12</v>
      </c>
      <c r="Z80" s="34" t="n">
        <v>-10596.72</v>
      </c>
      <c r="AA80" s="18" t="n">
        <v>-2445.21</v>
      </c>
      <c r="AB80" s="19" t="n">
        <v>-2491.07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10.89</v>
      </c>
      <c r="H81" s="18" t="n">
        <v>0</v>
      </c>
      <c r="I81" s="18" t="n">
        <v>0</v>
      </c>
      <c r="J81" s="18" t="n">
        <v>0</v>
      </c>
      <c r="K81" s="34" t="n">
        <v>10.89</v>
      </c>
      <c r="N81" s="18" t="n">
        <v>0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-1.07</v>
      </c>
      <c r="F82" s="9" t="n"/>
      <c r="G82" s="18" t="n">
        <v>-8712.58</v>
      </c>
      <c r="H82" s="18" t="n">
        <v>-1082.93</v>
      </c>
      <c r="I82" s="18" t="n">
        <v>-3876.62</v>
      </c>
      <c r="J82" s="18" t="n">
        <v>-494.99</v>
      </c>
      <c r="K82" s="34" t="n">
        <v>-14167.12</v>
      </c>
      <c r="L82" s="18" t="n">
        <v>3600.27</v>
      </c>
      <c r="M82" s="18" t="n">
        <v>-1005.48</v>
      </c>
      <c r="N82" s="18" t="n">
        <v>-3613.12</v>
      </c>
      <c r="O82" s="18" t="n">
        <v>1475.75</v>
      </c>
      <c r="P82" s="34" t="n">
        <v>457.42</v>
      </c>
      <c r="Q82" s="18" t="n">
        <v>-10901.66</v>
      </c>
      <c r="R82" s="18" t="n">
        <v>-1547.68</v>
      </c>
      <c r="S82" s="18" t="n">
        <v>-578.3</v>
      </c>
      <c r="T82" s="18" t="n">
        <v>-707.48</v>
      </c>
      <c r="U82" s="34" t="n">
        <v>-13735.12</v>
      </c>
      <c r="V82" s="18" t="n">
        <v>-91.7</v>
      </c>
      <c r="W82" s="18" t="n">
        <v>-210.48</v>
      </c>
      <c r="X82" s="18" t="n">
        <v>-5968.23</v>
      </c>
      <c r="Y82" s="18" t="n">
        <v>-44.38</v>
      </c>
      <c r="Z82" s="34" t="n">
        <v>-6314.79</v>
      </c>
      <c r="AA82" s="18" t="n">
        <v>-5010.02</v>
      </c>
      <c r="AB82" s="19" t="n">
        <v>-1037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-5954.87</v>
      </c>
      <c r="F83" s="9" t="n"/>
      <c r="G83" s="18" t="n">
        <v>-62731.04</v>
      </c>
      <c r="H83" s="18" t="n">
        <v>12913.48</v>
      </c>
      <c r="I83" s="18" t="n">
        <v>-351955.98</v>
      </c>
      <c r="J83" s="18" t="n">
        <v>70693.25999999999</v>
      </c>
      <c r="K83" s="34" t="n">
        <v>-331080.28</v>
      </c>
      <c r="L83" s="18" t="n">
        <v>59447.01</v>
      </c>
      <c r="M83" s="18" t="n">
        <v>38092.13</v>
      </c>
      <c r="N83" s="18" t="n">
        <v>-27759.22</v>
      </c>
      <c r="O83" s="18" t="n">
        <v>-43040.19</v>
      </c>
      <c r="P83" s="34" t="n">
        <v>26739.73</v>
      </c>
      <c r="Q83" s="18" t="n">
        <v>-13325.32</v>
      </c>
      <c r="R83" s="18" t="n">
        <v>-6638.85</v>
      </c>
      <c r="S83" s="18" t="n">
        <v>-42134.45</v>
      </c>
      <c r="T83" s="18" t="n">
        <v>-45777.17</v>
      </c>
      <c r="U83" s="34" t="n">
        <v>-107875.79</v>
      </c>
      <c r="V83" s="18" t="n">
        <v>-31933.43</v>
      </c>
      <c r="W83" s="18" t="n">
        <v>-81340.89</v>
      </c>
      <c r="X83" s="18" t="n">
        <v>85768.94</v>
      </c>
      <c r="Y83" s="18" t="n">
        <v>-8279.35</v>
      </c>
      <c r="Z83" s="34" t="n">
        <v>-35784.73</v>
      </c>
      <c r="AA83" s="18" t="n">
        <v>-23710.95</v>
      </c>
      <c r="AB83" s="19" t="n">
        <v>-11528.62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I84" s="18" t="n">
        <v>14.67</v>
      </c>
      <c r="J84" s="18" t="n">
        <v>183.87</v>
      </c>
      <c r="K84" s="9" t="n"/>
      <c r="L84" s="18" t="n">
        <v>657.8</v>
      </c>
      <c r="M84" s="18" t="n">
        <v>121.81</v>
      </c>
      <c r="N84" s="18" t="n">
        <v>497.73</v>
      </c>
      <c r="O84" s="18" t="n">
        <v>75.25</v>
      </c>
      <c r="P84" s="34" t="n">
        <v>1352.59</v>
      </c>
      <c r="Q84" s="18" t="n">
        <v>212.35</v>
      </c>
      <c r="R84" s="18" t="n">
        <v>49.69</v>
      </c>
      <c r="S84" s="18" t="n">
        <v>66.52</v>
      </c>
      <c r="T84" s="18" t="n">
        <v>17.87</v>
      </c>
      <c r="U84" s="34" t="n">
        <v>346.43</v>
      </c>
      <c r="V84" s="18" t="n">
        <v>13.66</v>
      </c>
      <c r="W84" s="18" t="n">
        <v>0</v>
      </c>
      <c r="X84" s="18" t="n">
        <v>11.04</v>
      </c>
      <c r="Y84" s="18" t="n">
        <v>233.1</v>
      </c>
      <c r="Z84" s="34" t="n">
        <v>257.8</v>
      </c>
      <c r="AA84" s="18" t="n">
        <v>2.79</v>
      </c>
      <c r="AB84" s="19" t="n">
        <v>29.75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2208.22</v>
      </c>
      <c r="F85" s="9" t="n"/>
      <c r="G85" s="18" t="n">
        <v>1621.17</v>
      </c>
      <c r="H85" s="18" t="n">
        <v>7303.58</v>
      </c>
      <c r="I85" s="18" t="n">
        <v>2215.62</v>
      </c>
      <c r="J85" s="18" t="n">
        <v>104988.88</v>
      </c>
      <c r="K85" s="34" t="n">
        <v>116129.25</v>
      </c>
      <c r="L85" s="18" t="n">
        <v>18328.53</v>
      </c>
      <c r="M85" s="18" t="n">
        <v>22623.63</v>
      </c>
      <c r="N85" s="18" t="n">
        <v>24593.62</v>
      </c>
      <c r="O85" s="18" t="n">
        <v>45279.4</v>
      </c>
      <c r="P85" s="34" t="n">
        <v>110825.18</v>
      </c>
      <c r="Q85" s="18" t="n">
        <v>28887.93</v>
      </c>
      <c r="R85" s="18" t="n">
        <v>34845.71</v>
      </c>
      <c r="S85" s="18" t="n">
        <v>47319.67</v>
      </c>
      <c r="T85" s="18" t="n">
        <v>40349.99</v>
      </c>
      <c r="U85" s="34" t="n">
        <v>151403.3</v>
      </c>
      <c r="V85" s="18" t="n">
        <v>31875.35</v>
      </c>
      <c r="W85" s="18" t="n">
        <v>11631.93</v>
      </c>
      <c r="X85" s="18" t="n">
        <v>4757.89</v>
      </c>
      <c r="Y85" s="18" t="n">
        <v>10389.96</v>
      </c>
      <c r="Z85" s="34" t="n">
        <v>58655.13</v>
      </c>
      <c r="AA85" s="18" t="n">
        <v>23670.68</v>
      </c>
      <c r="AB85" s="19" t="n">
        <v>11228.93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2182.76</v>
      </c>
      <c r="F86" s="9" t="n"/>
      <c r="G86" s="18" t="n">
        <v>1921</v>
      </c>
      <c r="H86" s="18" t="n">
        <v>7224.49</v>
      </c>
      <c r="I86" s="18" t="n">
        <v>2341.65</v>
      </c>
      <c r="J86" s="18" t="n">
        <v>107127.96</v>
      </c>
      <c r="K86" s="34" t="n">
        <v>118615.1</v>
      </c>
      <c r="L86" s="18" t="n">
        <v>18904.49</v>
      </c>
      <c r="M86" s="18" t="n">
        <v>22584.45</v>
      </c>
      <c r="N86" s="18" t="n">
        <v>25382.05</v>
      </c>
      <c r="O86" s="18" t="n">
        <v>45451.78</v>
      </c>
      <c r="P86" s="34" t="n">
        <v>112322.77</v>
      </c>
      <c r="Q86" s="18" t="n">
        <v>28905.72</v>
      </c>
      <c r="R86" s="18" t="n">
        <v>34895.24</v>
      </c>
      <c r="S86" s="18" t="n">
        <v>47373.29</v>
      </c>
      <c r="T86" s="18" t="n">
        <v>40471.18</v>
      </c>
      <c r="U86" s="34" t="n">
        <v>151645.43</v>
      </c>
      <c r="V86" s="18" t="n">
        <v>31950.15</v>
      </c>
      <c r="W86" s="18" t="n">
        <v>11635.28</v>
      </c>
      <c r="X86" s="18" t="n">
        <v>5309.22</v>
      </c>
      <c r="Y86" s="18" t="n">
        <v>10676.87</v>
      </c>
      <c r="Z86" s="34" t="n">
        <v>59571.52</v>
      </c>
      <c r="AA86" s="18" t="n">
        <v>23705.77</v>
      </c>
      <c r="AB86" s="19" t="n">
        <v>11228.93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-18440.05</v>
      </c>
      <c r="F87" s="9" t="n"/>
      <c r="G87" s="18" t="n">
        <v>-14760.37</v>
      </c>
      <c r="H87" s="18" t="n">
        <v>-10177.3</v>
      </c>
      <c r="I87" s="18" t="n">
        <v>455157.1</v>
      </c>
      <c r="J87" s="18" t="n">
        <v>-177498.13</v>
      </c>
      <c r="K87" s="34" t="n">
        <v>252721.3</v>
      </c>
      <c r="L87" s="18" t="n">
        <v>-2397.96</v>
      </c>
      <c r="M87" s="18" t="n">
        <v>26115.43</v>
      </c>
      <c r="N87" s="18" t="n">
        <v>25748.45</v>
      </c>
      <c r="O87" s="18" t="n">
        <v>20850.79</v>
      </c>
      <c r="P87" s="34" t="n">
        <v>70316.71000000001</v>
      </c>
      <c r="Q87" s="18" t="n">
        <v>36366.38</v>
      </c>
      <c r="R87" s="18" t="n">
        <v>-37953.64</v>
      </c>
      <c r="S87" s="18" t="n">
        <v>-16047.62</v>
      </c>
      <c r="T87" s="18" t="n">
        <v>16108.79</v>
      </c>
      <c r="U87" s="34" t="n">
        <v>-1526.09</v>
      </c>
      <c r="V87" s="18" t="n">
        <v>38601.9</v>
      </c>
      <c r="W87" s="18" t="n">
        <v>-3382.47</v>
      </c>
      <c r="X87" s="18" t="n">
        <v>-9104.67</v>
      </c>
      <c r="Y87" s="18" t="n">
        <v>1562.48</v>
      </c>
      <c r="Z87" s="34" t="n">
        <v>27677.24</v>
      </c>
      <c r="AA87" s="18" t="n">
        <v>-18125.21</v>
      </c>
      <c r="AB87" s="19" t="n">
        <v>18010.87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차입금의증가</t>
        </is>
      </c>
      <c r="E88" s="18" t="n">
        <v>16611.76</v>
      </c>
      <c r="F88" s="9" t="n"/>
      <c r="G88" s="18" t="n">
        <v>16917.18</v>
      </c>
      <c r="H88" s="18" t="n">
        <v>27542.48</v>
      </c>
      <c r="I88" s="18" t="n">
        <v>8678.5</v>
      </c>
      <c r="J88" s="18" t="n">
        <v>16388.34</v>
      </c>
      <c r="K88" s="34" t="n">
        <v>69526.5</v>
      </c>
      <c r="L88" s="18" t="n">
        <v>22242.5</v>
      </c>
      <c r="M88" s="18" t="n">
        <v>81918.46000000001</v>
      </c>
      <c r="P88" s="9" t="n"/>
      <c r="Q88" s="18" t="n">
        <v>110397.4</v>
      </c>
      <c r="R88" s="18" t="n">
        <v>3325.62</v>
      </c>
      <c r="S88" s="18" t="n">
        <v>16141.89</v>
      </c>
      <c r="T88" s="18" t="n">
        <v>62247.56</v>
      </c>
      <c r="U88" s="34" t="n">
        <v>192112.47</v>
      </c>
      <c r="V88" s="18" t="n">
        <v>57960</v>
      </c>
      <c r="W88" s="18" t="n">
        <v>1940</v>
      </c>
      <c r="X88" s="18" t="n">
        <v>8000</v>
      </c>
      <c r="Y88" s="18" t="n">
        <v>3500</v>
      </c>
      <c r="Z88" s="34" t="n">
        <v>71400</v>
      </c>
      <c r="AA88" s="18" t="n">
        <v>10450</v>
      </c>
      <c r="AB88" s="19" t="n">
        <v>69390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차입금의감소</t>
        </is>
      </c>
      <c r="E89" s="18" t="n">
        <v>34392.43</v>
      </c>
      <c r="F89" s="9" t="n"/>
      <c r="G89" s="18" t="n">
        <v>30975.25</v>
      </c>
      <c r="H89" s="18" t="n">
        <v>37009.47</v>
      </c>
      <c r="I89" s="18" t="n">
        <v>11668</v>
      </c>
      <c r="J89" s="18" t="n">
        <v>151690.86</v>
      </c>
      <c r="K89" s="34" t="n">
        <v>231343.58</v>
      </c>
      <c r="L89" s="18" t="n">
        <v>17648.55</v>
      </c>
      <c r="M89" s="18" t="n">
        <v>54936.66</v>
      </c>
      <c r="N89" s="18" t="n">
        <v>19013.12</v>
      </c>
      <c r="O89" s="18" t="n">
        <v>25807.76</v>
      </c>
      <c r="P89" s="34" t="n">
        <v>117406.09</v>
      </c>
      <c r="Q89" s="18" t="n">
        <v>69876.17999999999</v>
      </c>
      <c r="R89" s="18" t="n">
        <v>37096.55</v>
      </c>
      <c r="S89" s="18" t="n">
        <v>27626.8</v>
      </c>
      <c r="T89" s="18" t="n">
        <v>35644.54</v>
      </c>
      <c r="U89" s="34" t="n">
        <v>170244.07</v>
      </c>
      <c r="V89" s="18" t="n">
        <v>17157.6</v>
      </c>
      <c r="W89" s="18" t="n">
        <v>4097.6</v>
      </c>
      <c r="X89" s="18" t="n">
        <v>10157.6</v>
      </c>
      <c r="Y89" s="18" t="n">
        <v>5657.6</v>
      </c>
      <c r="Z89" s="34" t="n">
        <v>37070.4</v>
      </c>
      <c r="AA89" s="18" t="n">
        <v>27157.6</v>
      </c>
      <c r="AB89" s="19" t="n">
        <v>49997.6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리스부채의상환</t>
        </is>
      </c>
      <c r="E90" s="18" t="n">
        <v>659.38</v>
      </c>
      <c r="F90" s="9" t="n"/>
      <c r="G90" s="18" t="n">
        <v>697.22</v>
      </c>
      <c r="H90" s="18" t="n">
        <v>710.3200000000001</v>
      </c>
      <c r="I90" s="18" t="n">
        <v>865.21</v>
      </c>
      <c r="J90" s="18" t="n">
        <v>740.63</v>
      </c>
      <c r="K90" s="34" t="n">
        <v>3013.38</v>
      </c>
      <c r="L90" s="18" t="n">
        <v>844.49</v>
      </c>
      <c r="M90" s="18" t="n">
        <v>866.38</v>
      </c>
      <c r="N90" s="18" t="n">
        <v>1183.5</v>
      </c>
      <c r="O90" s="18" t="n">
        <v>4029.34</v>
      </c>
      <c r="P90" s="34" t="n">
        <v>6923.71</v>
      </c>
      <c r="Q90" s="18" t="n">
        <v>4154.84</v>
      </c>
      <c r="R90" s="18" t="n">
        <v>4182.7</v>
      </c>
      <c r="S90" s="18" t="n">
        <v>4562.73</v>
      </c>
      <c r="T90" s="18" t="n">
        <v>4259.71</v>
      </c>
      <c r="U90" s="34" t="n">
        <v>17159.98</v>
      </c>
      <c r="V90" s="18" t="n">
        <v>2200.5</v>
      </c>
      <c r="W90" s="18" t="n">
        <v>1215.78</v>
      </c>
      <c r="X90" s="18" t="n">
        <v>2464.15</v>
      </c>
      <c r="Z90" s="9" t="n"/>
      <c r="AA90" s="18" t="n">
        <v>1417.61</v>
      </c>
      <c r="AB90" s="19" t="n">
        <v>1381.53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170554.29</v>
      </c>
      <c r="F91" s="9" t="n"/>
      <c r="G91" s="18" t="n">
        <v>-54041.49</v>
      </c>
      <c r="H91" s="18" t="n">
        <v>-22888.69</v>
      </c>
      <c r="I91" s="18" t="n">
        <v>147735.41</v>
      </c>
      <c r="J91" s="18" t="n">
        <v>-90836.78999999999</v>
      </c>
      <c r="K91" s="34" t="n">
        <v>-20031.56</v>
      </c>
      <c r="L91" s="18" t="n">
        <v>4818.53</v>
      </c>
      <c r="M91" s="18" t="n">
        <v>-20842.58</v>
      </c>
      <c r="N91" s="18" t="n">
        <v>-5566.52</v>
      </c>
      <c r="O91" s="18" t="n">
        <v>-60987.82</v>
      </c>
      <c r="P91" s="34" t="n">
        <v>-82578.39</v>
      </c>
      <c r="Q91" s="18" t="n">
        <v>66516.81</v>
      </c>
      <c r="R91" s="18" t="n">
        <v>14565.13</v>
      </c>
      <c r="S91" s="18" t="n">
        <v>-24537.23</v>
      </c>
      <c r="T91" s="18" t="n">
        <v>-30434.08</v>
      </c>
      <c r="U91" s="34" t="n">
        <v>26110.63</v>
      </c>
      <c r="V91" s="18" t="n">
        <v>59190.87</v>
      </c>
      <c r="W91" s="18" t="n">
        <v>-39187.59</v>
      </c>
      <c r="X91" s="18" t="n">
        <v>-38392.41</v>
      </c>
      <c r="Y91" s="18" t="n">
        <v>-29504.66</v>
      </c>
      <c r="Z91" s="34" t="n">
        <v>-47893.79</v>
      </c>
      <c r="AA91" s="18" t="n">
        <v>-919.7</v>
      </c>
      <c r="AB91" s="19" t="n">
        <v>17949.87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85282.19</v>
      </c>
      <c r="F92" s="9" t="n"/>
      <c r="G92" s="18" t="n">
        <v>69442.91</v>
      </c>
      <c r="H92" s="18" t="n">
        <v>-11409.38</v>
      </c>
      <c r="I92" s="18" t="n">
        <v>74053.47</v>
      </c>
      <c r="J92" s="18" t="n">
        <v>-45877.44</v>
      </c>
      <c r="K92" s="34" t="n">
        <v>86209.56</v>
      </c>
      <c r="L92" s="18" t="n">
        <v>88633.19</v>
      </c>
      <c r="M92" s="18" t="n">
        <v>-10399.04</v>
      </c>
      <c r="N92" s="18" t="n">
        <v>-2744.84</v>
      </c>
      <c r="O92" s="18" t="n">
        <v>-30711.45</v>
      </c>
      <c r="P92" s="34" t="n">
        <v>44777.86</v>
      </c>
      <c r="Q92" s="18" t="n">
        <v>78092.71000000001</v>
      </c>
      <c r="R92" s="18" t="n">
        <v>7280.99</v>
      </c>
      <c r="S92" s="18" t="n">
        <v>-12544.29</v>
      </c>
      <c r="T92" s="18" t="n">
        <v>-1940.92</v>
      </c>
      <c r="U92" s="34" t="n">
        <v>70888.49000000001</v>
      </c>
      <c r="V92" s="18" t="n">
        <v>130079.36</v>
      </c>
      <c r="W92" s="18" t="n">
        <v>-39187.59</v>
      </c>
      <c r="X92" s="18" t="n">
        <v>-38392.41</v>
      </c>
      <c r="Y92" s="18" t="n">
        <v>-29504.65</v>
      </c>
      <c r="Z92" s="34" t="n">
        <v>22994.71</v>
      </c>
      <c r="AA92" s="18" t="n">
        <v>22075</v>
      </c>
      <c r="AB92" s="19" t="n">
        <v>17949.88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무형자산의증가</t>
        </is>
      </c>
      <c r="F93" s="9" t="n"/>
      <c r="G93" s="18" t="n">
        <v>299.83</v>
      </c>
      <c r="I93" s="18" t="n">
        <v>126.03</v>
      </c>
      <c r="J93" s="18" t="n">
        <v>2139.08</v>
      </c>
      <c r="K93" s="9" t="n"/>
      <c r="L93" s="18" t="n">
        <v>575.96</v>
      </c>
      <c r="N93" s="18" t="n">
        <v>788.4299999999999</v>
      </c>
      <c r="O93" s="18" t="n">
        <v>172.38</v>
      </c>
      <c r="P93" s="9" t="n"/>
      <c r="Q93" s="18" t="n">
        <v>17.79</v>
      </c>
      <c r="R93" s="18" t="n">
        <v>49.53</v>
      </c>
      <c r="S93" s="18" t="n">
        <v>53.62</v>
      </c>
      <c r="T93" s="18" t="n">
        <v>121.19</v>
      </c>
      <c r="U93" s="34" t="n">
        <v>242.13</v>
      </c>
      <c r="V93" s="18" t="n">
        <v>74.8</v>
      </c>
      <c r="W93" s="18" t="n">
        <v>3.35</v>
      </c>
      <c r="X93" s="18" t="n">
        <v>551.33</v>
      </c>
      <c r="Y93" s="18" t="n">
        <v>286.91</v>
      </c>
      <c r="Z93" s="34" t="n">
        <v>916.39</v>
      </c>
      <c r="AA93" s="18" t="n">
        <v>35.09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O94" s="18" t="n">
        <v>0</v>
      </c>
      <c r="P94" s="9" t="n"/>
      <c r="S94" s="18" t="n">
        <v>0</v>
      </c>
      <c r="T94" s="18" t="n">
        <v>0</v>
      </c>
      <c r="U94" s="9" t="n"/>
      <c r="X94" s="18" t="n">
        <v>827.97</v>
      </c>
      <c r="Y94" s="18" t="n">
        <v>0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사채의감소</t>
        </is>
      </c>
      <c r="F95" s="9" t="n"/>
      <c r="K95" s="9" t="n"/>
      <c r="O95" s="18" t="n">
        <v>0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4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4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4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4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4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4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4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4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4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4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4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4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4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4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4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4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4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4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4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4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4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4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4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4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4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4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4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4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4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4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4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4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4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4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4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4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4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4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4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4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4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4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4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4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4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4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4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4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4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4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4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4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4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4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4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4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4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4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4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4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4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4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4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4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4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4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4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4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4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4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4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4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4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4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4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4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4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4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4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4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4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4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4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4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4" t="n">
        <v>71474.12</v>
      </c>
      <c r="Q22" s="18" t="n">
        <v>101202.93</v>
      </c>
      <c r="R22" s="18" t="n">
        <v>93739.60000000001</v>
      </c>
      <c r="T22" s="18" t="n">
        <v>76470.39999999999</v>
      </c>
      <c r="U22" s="34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4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4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4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4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4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4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4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4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4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4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4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4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4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4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4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4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4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4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4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4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4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4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4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4" t="n">
        <v>12196.48</v>
      </c>
      <c r="Q27" s="18" t="n">
        <v>1471.09</v>
      </c>
      <c r="R27" s="18" t="n">
        <v>191.61</v>
      </c>
      <c r="T27" s="18" t="n">
        <v>100.34</v>
      </c>
      <c r="U27" s="34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4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4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4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4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4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4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4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4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4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4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4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4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111291.9</v>
      </c>
      <c r="K30" s="34" t="n">
        <v>111291.9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4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4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4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4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4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4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4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4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4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4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4" t="n">
        <v>32866.63</v>
      </c>
      <c r="Q32" s="18" t="n">
        <v>31759.03</v>
      </c>
      <c r="R32" s="18" t="n">
        <v>10651.43</v>
      </c>
      <c r="T32" s="18" t="n">
        <v>37504.23</v>
      </c>
      <c r="U32" s="34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4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4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4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4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4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41.91</v>
      </c>
      <c r="F34" s="34" t="n">
        <v>41.91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4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4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4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4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11683.16</v>
      </c>
      <c r="F35" s="34" t="n">
        <v>11683.16</v>
      </c>
      <c r="G35" s="18" t="n">
        <v>11048.14</v>
      </c>
      <c r="H35" s="18" t="n">
        <v>10457.23</v>
      </c>
      <c r="I35" s="18" t="n">
        <v>10129.98</v>
      </c>
      <c r="J35" s="18" t="n">
        <v>9577.860000000001</v>
      </c>
      <c r="K35" s="34" t="n">
        <v>9577.860000000001</v>
      </c>
      <c r="L35" s="18" t="n">
        <v>9079.440000000001</v>
      </c>
      <c r="M35" s="18" t="n">
        <v>8815.440000000001</v>
      </c>
      <c r="N35" s="18" t="n">
        <v>8001.15</v>
      </c>
      <c r="O35" s="18" t="n">
        <v>8406.41</v>
      </c>
      <c r="P35" s="34" t="n">
        <v>8406.41</v>
      </c>
      <c r="Q35" s="18" t="n">
        <v>6403.45</v>
      </c>
      <c r="R35" s="18" t="n">
        <v>5507.33</v>
      </c>
      <c r="S35" s="18" t="n">
        <v>4544.31</v>
      </c>
      <c r="T35" s="18" t="n">
        <v>3725.65</v>
      </c>
      <c r="U35" s="34" t="n">
        <v>3725.65</v>
      </c>
      <c r="V35" s="18" t="n">
        <v>3669.03</v>
      </c>
      <c r="W35" s="18" t="n">
        <v>3438.33</v>
      </c>
      <c r="X35" s="18" t="n">
        <v>2603.49</v>
      </c>
      <c r="Y35" s="18" t="n">
        <v>2314.78</v>
      </c>
      <c r="Z35" s="34" t="n">
        <v>2314.78</v>
      </c>
      <c r="AA35" s="18" t="n">
        <v>2396.24</v>
      </c>
      <c r="AB35" s="19" t="n">
        <v>2153.47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11683.16</v>
      </c>
      <c r="F36" s="34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4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4" t="n">
        <v>8406.41</v>
      </c>
      <c r="Q36" s="18" t="n">
        <v>6551.82</v>
      </c>
      <c r="R36" s="18" t="n">
        <v>10617.59</v>
      </c>
      <c r="S36" s="18" t="n">
        <v>9834.629999999999</v>
      </c>
      <c r="T36" s="18" t="n">
        <v>18635.03</v>
      </c>
      <c r="U36" s="34" t="n">
        <v>18635.03</v>
      </c>
      <c r="V36" s="18" t="n">
        <v>16140.23</v>
      </c>
      <c r="W36" s="18" t="n">
        <v>5231</v>
      </c>
      <c r="X36" s="18" t="n">
        <v>4424.46</v>
      </c>
      <c r="Y36" s="18" t="n">
        <v>2317.6</v>
      </c>
      <c r="Z36" s="34" t="n">
        <v>2317.6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467157.64</v>
      </c>
      <c r="F37" s="34" t="n">
        <v>467157.64</v>
      </c>
      <c r="G37" s="18" t="n">
        <v>503796.68</v>
      </c>
      <c r="H37" s="18" t="n">
        <v>523489.05</v>
      </c>
      <c r="I37" s="18" t="n">
        <v>632573.88</v>
      </c>
      <c r="J37" s="18" t="n">
        <v>668375.8</v>
      </c>
      <c r="K37" s="34" t="n">
        <v>668375.8</v>
      </c>
      <c r="L37" s="18" t="n">
        <v>770139.59</v>
      </c>
      <c r="M37" s="18" t="n">
        <v>779739.61</v>
      </c>
      <c r="N37" s="18" t="n">
        <v>713001.08</v>
      </c>
      <c r="O37" s="18" t="n">
        <v>677611.6</v>
      </c>
      <c r="P37" s="34" t="n">
        <v>677611.6</v>
      </c>
      <c r="Q37" s="18" t="n">
        <v>730865.96</v>
      </c>
      <c r="R37" s="18" t="n">
        <v>673121.9</v>
      </c>
      <c r="S37" s="18" t="n">
        <v>596830.26</v>
      </c>
      <c r="T37" s="18" t="n">
        <v>652697.8199999999</v>
      </c>
      <c r="U37" s="34" t="n">
        <v>652697.8199999999</v>
      </c>
      <c r="V37" s="18" t="n">
        <v>615392.77</v>
      </c>
      <c r="W37" s="18" t="n">
        <v>505576.02</v>
      </c>
      <c r="X37" s="18" t="n">
        <v>322164.28</v>
      </c>
      <c r="Y37" s="18" t="n">
        <v>264782.02</v>
      </c>
      <c r="Z37" s="34" t="n">
        <v>264782.02</v>
      </c>
      <c r="AA37" s="18" t="n">
        <v>272020.6</v>
      </c>
      <c r="AB37" s="19" t="n">
        <v>307089.01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18287.18</v>
      </c>
      <c r="F38" s="34" t="n">
        <v>18287.18</v>
      </c>
      <c r="G38" s="18" t="n">
        <v>18538.34</v>
      </c>
      <c r="H38" s="18" t="n">
        <v>18538.34</v>
      </c>
      <c r="I38" s="18" t="n">
        <v>26617.51</v>
      </c>
      <c r="J38" s="18" t="n">
        <v>26617.51</v>
      </c>
      <c r="K38" s="34" t="n">
        <v>26617.51</v>
      </c>
      <c r="L38" s="18" t="n">
        <v>26617.51</v>
      </c>
      <c r="M38" s="18" t="n">
        <v>26617.51</v>
      </c>
      <c r="N38" s="18" t="n">
        <v>29597.78</v>
      </c>
      <c r="O38" s="18" t="n">
        <v>29597.78</v>
      </c>
      <c r="P38" s="34" t="n">
        <v>29597.78</v>
      </c>
      <c r="Q38" s="18" t="n">
        <v>29597.78</v>
      </c>
      <c r="R38" s="18" t="n">
        <v>29597.78</v>
      </c>
      <c r="S38" s="18" t="n">
        <v>29597.78</v>
      </c>
      <c r="T38" s="18" t="n">
        <v>29597.78</v>
      </c>
      <c r="U38" s="34" t="n">
        <v>29597.78</v>
      </c>
      <c r="V38" s="18" t="n">
        <v>29597.78</v>
      </c>
      <c r="W38" s="18" t="n">
        <v>30090.17</v>
      </c>
      <c r="X38" s="18" t="n">
        <v>31239.06</v>
      </c>
      <c r="Y38" s="18" t="n">
        <v>31239.06</v>
      </c>
      <c r="Z38" s="34" t="n">
        <v>31239.06</v>
      </c>
      <c r="AA38" s="18" t="n">
        <v>31239.06</v>
      </c>
      <c r="AB38" s="19" t="n">
        <v>31239.06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88680.25</v>
      </c>
      <c r="F39" s="34" t="n">
        <v>88680.25</v>
      </c>
      <c r="G39" s="18" t="n">
        <v>97794.8</v>
      </c>
      <c r="H39" s="18" t="n">
        <v>97794.8</v>
      </c>
      <c r="I39" s="18" t="n">
        <v>822322.1800000001</v>
      </c>
      <c r="J39" s="18" t="n">
        <v>411084.35</v>
      </c>
      <c r="K39" s="34" t="n">
        <v>411084.35</v>
      </c>
      <c r="L39" s="18" t="n">
        <v>411084.35</v>
      </c>
      <c r="M39" s="18" t="n">
        <v>411084.35</v>
      </c>
      <c r="N39" s="18" t="n">
        <v>534356.95</v>
      </c>
      <c r="O39" s="18" t="n">
        <v>534356.95</v>
      </c>
      <c r="P39" s="34" t="n">
        <v>534356.95</v>
      </c>
      <c r="Q39" s="18" t="n">
        <v>534356.95</v>
      </c>
      <c r="R39" s="18" t="n">
        <v>534356.95</v>
      </c>
      <c r="S39" s="18" t="n">
        <v>534356.95</v>
      </c>
      <c r="T39" s="18" t="n">
        <v>534356.95</v>
      </c>
      <c r="U39" s="34" t="n">
        <v>534356.95</v>
      </c>
      <c r="V39" s="18" t="n">
        <v>534356.95</v>
      </c>
      <c r="W39" s="18" t="n">
        <v>550236.98</v>
      </c>
      <c r="X39" s="18" t="n">
        <v>585403.24</v>
      </c>
      <c r="Y39" s="18" t="n">
        <v>586637.25</v>
      </c>
      <c r="Z39" s="34" t="n">
        <v>586637.25</v>
      </c>
      <c r="AA39" s="18" t="n">
        <v>586637.25</v>
      </c>
      <c r="AB39" s="19" t="n">
        <v>588674.98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기타자본</t>
        </is>
      </c>
      <c r="E40" s="18" t="n">
        <v>6427.52</v>
      </c>
      <c r="F40" s="34" t="n">
        <v>6427.52</v>
      </c>
      <c r="G40" s="18" t="n">
        <v>5330.08</v>
      </c>
      <c r="H40" s="18" t="n">
        <v>5330.08</v>
      </c>
      <c r="I40" s="18" t="n">
        <v>16421.07</v>
      </c>
      <c r="J40" s="18" t="n">
        <v>16999.32</v>
      </c>
      <c r="K40" s="34" t="n">
        <v>16999.32</v>
      </c>
      <c r="L40" s="18" t="n">
        <v>16999.32</v>
      </c>
      <c r="M40" s="18" t="n">
        <v>17036.32</v>
      </c>
      <c r="N40" s="18" t="n">
        <v>10621.33</v>
      </c>
      <c r="O40" s="18" t="n">
        <v>10655.38</v>
      </c>
      <c r="P40" s="34" t="n">
        <v>10655.38</v>
      </c>
      <c r="Q40" s="18" t="n">
        <v>10691.39</v>
      </c>
      <c r="R40" s="18" t="n">
        <v>10727.41</v>
      </c>
      <c r="S40" s="18" t="n">
        <v>10763.42</v>
      </c>
      <c r="T40" s="18" t="n">
        <v>10799.44</v>
      </c>
      <c r="U40" s="34" t="n">
        <v>10799.44</v>
      </c>
      <c r="V40" s="18" t="n">
        <v>10835.45</v>
      </c>
      <c r="W40" s="18" t="n">
        <v>8291.57</v>
      </c>
      <c r="X40" s="18" t="n">
        <v>2343.86</v>
      </c>
      <c r="Y40" s="18" t="n">
        <v>2352.86</v>
      </c>
      <c r="Z40" s="34" t="n">
        <v>2352.86</v>
      </c>
      <c r="AA40" s="18" t="n">
        <v>2361.86</v>
      </c>
      <c r="AB40" s="19" t="n">
        <v>324.13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기타포괄이익누계액</t>
        </is>
      </c>
      <c r="E41" s="18" t="n">
        <v>39992.78</v>
      </c>
      <c r="F41" s="34" t="n">
        <v>39992.78</v>
      </c>
      <c r="G41" s="18" t="n">
        <v>39992.78</v>
      </c>
      <c r="H41" s="18" t="n">
        <v>39992.78</v>
      </c>
      <c r="I41" s="18" t="n">
        <v>39992.78</v>
      </c>
      <c r="J41" s="18" t="n">
        <v>39992.78</v>
      </c>
      <c r="K41" s="34" t="n">
        <v>39992.78</v>
      </c>
      <c r="L41" s="18" t="n">
        <v>39992.78</v>
      </c>
      <c r="M41" s="18" t="n">
        <v>39992.78</v>
      </c>
      <c r="N41" s="18" t="n">
        <v>39992.78</v>
      </c>
      <c r="O41" s="18" t="n">
        <v>39992.78</v>
      </c>
      <c r="P41" s="34" t="n">
        <v>39992.78</v>
      </c>
      <c r="Q41" s="18" t="n">
        <v>39992.78</v>
      </c>
      <c r="R41" s="18" t="n">
        <v>39992.78</v>
      </c>
      <c r="S41" s="18" t="n">
        <v>39992.78</v>
      </c>
      <c r="T41" s="18" t="n">
        <v>39996.39</v>
      </c>
      <c r="U41" s="34" t="n">
        <v>39996.39</v>
      </c>
      <c r="V41" s="18" t="n">
        <v>39995.91</v>
      </c>
      <c r="W41" s="18" t="n">
        <v>39989.48</v>
      </c>
      <c r="X41" s="18" t="n">
        <v>39991.15</v>
      </c>
      <c r="Y41" s="18" t="n">
        <v>64101.29</v>
      </c>
      <c r="Z41" s="34" t="n">
        <v>64101.29</v>
      </c>
      <c r="AA41" s="18" t="n">
        <v>64103.95</v>
      </c>
      <c r="AB41" s="19" t="n">
        <v>64105.09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2480.09</v>
      </c>
      <c r="F42" s="34" t="n">
        <v>2480.09</v>
      </c>
      <c r="G42" s="18" t="n">
        <v>11305.44</v>
      </c>
      <c r="H42" s="18" t="n">
        <v>21624.26</v>
      </c>
      <c r="I42" s="18" t="n">
        <v>26111.16</v>
      </c>
      <c r="J42" s="18" t="n">
        <v>26996.3</v>
      </c>
      <c r="K42" s="34" t="n">
        <v>26996.3</v>
      </c>
      <c r="L42" s="18" t="n">
        <v>47473.77</v>
      </c>
      <c r="M42" s="18" t="n">
        <v>68823.55</v>
      </c>
      <c r="N42" s="18" t="n">
        <v>74548</v>
      </c>
      <c r="O42" s="18" t="n">
        <v>82245.91</v>
      </c>
      <c r="P42" s="34" t="n">
        <v>82245.91</v>
      </c>
      <c r="Q42" s="18" t="n">
        <v>86360.24000000001</v>
      </c>
      <c r="R42" s="18" t="n">
        <v>89153.50999999999</v>
      </c>
      <c r="S42" s="18" t="n">
        <v>98265.61</v>
      </c>
      <c r="T42" s="18" t="n">
        <v>96293.99000000001</v>
      </c>
      <c r="U42" s="34" t="n">
        <v>96293.99000000001</v>
      </c>
      <c r="V42" s="18" t="n">
        <v>100686.6</v>
      </c>
      <c r="W42" s="18" t="n">
        <v>109227.22</v>
      </c>
      <c r="X42" s="18" t="n">
        <v>120263.35</v>
      </c>
      <c r="Y42" s="18" t="n">
        <v>132619.34</v>
      </c>
      <c r="Z42" s="34" t="n">
        <v>132619.34</v>
      </c>
      <c r="AA42" s="18" t="n">
        <v>142475.19</v>
      </c>
      <c r="AB42" s="19" t="n">
        <v>156264.46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155867.83</v>
      </c>
      <c r="F43" s="34" t="n">
        <v>155867.83</v>
      </c>
      <c r="G43" s="18" t="n">
        <v>172961.43</v>
      </c>
      <c r="H43" s="18" t="n">
        <v>183280.25</v>
      </c>
      <c r="I43" s="18" t="n">
        <v>520380.35</v>
      </c>
      <c r="J43" s="18" t="n">
        <v>521690.25</v>
      </c>
      <c r="K43" s="34" t="n">
        <v>521690.25</v>
      </c>
      <c r="L43" s="18" t="n">
        <v>542167.72</v>
      </c>
      <c r="M43" s="18" t="n">
        <v>563554.49</v>
      </c>
      <c r="N43" s="18" t="n">
        <v>689116.85</v>
      </c>
      <c r="O43" s="18" t="n">
        <v>696848.8</v>
      </c>
      <c r="P43" s="34" t="n">
        <v>696848.8</v>
      </c>
      <c r="Q43" s="18" t="n">
        <v>700999.15</v>
      </c>
      <c r="R43" s="18" t="n">
        <v>703828.4300000001</v>
      </c>
      <c r="S43" s="18" t="n">
        <v>712976.55</v>
      </c>
      <c r="T43" s="18" t="n">
        <v>711044.5600000001</v>
      </c>
      <c r="U43" s="34" t="n">
        <v>711044.5600000001</v>
      </c>
      <c r="V43" s="18" t="n">
        <v>715472.6899999999</v>
      </c>
      <c r="W43" s="18" t="n">
        <v>737835.4300000001</v>
      </c>
      <c r="X43" s="18" t="n">
        <v>779240.67</v>
      </c>
      <c r="Y43" s="18" t="n">
        <v>816949.8</v>
      </c>
      <c r="Z43" s="34" t="n">
        <v>816949.8</v>
      </c>
      <c r="AA43" s="18" t="n">
        <v>826817.3199999999</v>
      </c>
      <c r="AB43" s="19" t="n">
        <v>840607.72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623025.48</v>
      </c>
      <c r="F44" s="34" t="n">
        <v>623025.48</v>
      </c>
      <c r="G44" s="18" t="n">
        <v>676758.11</v>
      </c>
      <c r="H44" s="18" t="n">
        <v>706769.3</v>
      </c>
      <c r="I44" s="18" t="n">
        <v>1152954.23</v>
      </c>
      <c r="J44" s="18" t="n">
        <v>1190066.05</v>
      </c>
      <c r="K44" s="34" t="n">
        <v>1190066.05</v>
      </c>
      <c r="L44" s="18" t="n">
        <v>1312307.31</v>
      </c>
      <c r="M44" s="18" t="n">
        <v>1343294.1</v>
      </c>
      <c r="N44" s="18" t="n">
        <v>1402117.93</v>
      </c>
      <c r="O44" s="18" t="n">
        <v>1374460.4</v>
      </c>
      <c r="P44" s="34" t="n">
        <v>1374460.4</v>
      </c>
      <c r="Q44" s="18" t="n">
        <v>1431865.1</v>
      </c>
      <c r="R44" s="18" t="n">
        <v>1376950.33</v>
      </c>
      <c r="S44" s="18" t="n">
        <v>1309806.81</v>
      </c>
      <c r="T44" s="18" t="n">
        <v>1363742.38</v>
      </c>
      <c r="U44" s="34" t="n">
        <v>1363742.38</v>
      </c>
      <c r="V44" s="18" t="n">
        <v>1330865.46</v>
      </c>
      <c r="W44" s="18" t="n">
        <v>1243411.44</v>
      </c>
      <c r="X44" s="18" t="n">
        <v>1101404.96</v>
      </c>
      <c r="Y44" s="18" t="n">
        <v>1081731.83</v>
      </c>
      <c r="Z44" s="34" t="n">
        <v>1081731.83</v>
      </c>
      <c r="AA44" s="18" t="n">
        <v>1098837.92</v>
      </c>
      <c r="AB44" s="19" t="n">
        <v>1147696.73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155867.83</v>
      </c>
      <c r="F45" s="34" t="n">
        <v>155867.83</v>
      </c>
      <c r="G45" s="18" t="n">
        <v>172961.43</v>
      </c>
      <c r="H45" s="18" t="n">
        <v>183280.25</v>
      </c>
      <c r="I45" s="18" t="n">
        <v>520380.35</v>
      </c>
      <c r="J45" s="18" t="n">
        <v>521690.25</v>
      </c>
      <c r="K45" s="34" t="n">
        <v>521690.25</v>
      </c>
      <c r="L45" s="18" t="n">
        <v>542167.72</v>
      </c>
      <c r="M45" s="18" t="n">
        <v>563554.49</v>
      </c>
      <c r="N45" s="18" t="n">
        <v>689116.85</v>
      </c>
      <c r="O45" s="18" t="n">
        <v>696848.8</v>
      </c>
      <c r="P45" s="34" t="n">
        <v>696848.8</v>
      </c>
      <c r="Q45" s="18" t="n">
        <v>700999.15</v>
      </c>
      <c r="R45" s="18" t="n">
        <v>703828.4300000001</v>
      </c>
      <c r="S45" s="18" t="n">
        <v>712976.55</v>
      </c>
      <c r="T45" s="18" t="n">
        <v>711044.5600000001</v>
      </c>
      <c r="U45" s="34" t="n">
        <v>711044.5600000001</v>
      </c>
      <c r="V45" s="18" t="n">
        <v>715472.6899999999</v>
      </c>
      <c r="W45" s="18" t="n">
        <v>737835.4300000001</v>
      </c>
      <c r="X45" s="18" t="n">
        <v>779240.67</v>
      </c>
      <c r="Y45" s="18" t="n">
        <v>816949.8</v>
      </c>
      <c r="Z45" s="34" t="n">
        <v>816949.8</v>
      </c>
      <c r="AA45" s="18" t="n">
        <v>826817.3199999999</v>
      </c>
      <c r="AB45" s="19" t="n">
        <v>840607.72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199106.8</v>
      </c>
      <c r="F46" s="34" t="n">
        <v>199106.8</v>
      </c>
      <c r="G46" s="18" t="n">
        <v>178570.65</v>
      </c>
      <c r="H46" s="18" t="n">
        <v>171980.95</v>
      </c>
      <c r="I46" s="18" t="n">
        <v>301122.3</v>
      </c>
      <c r="J46" s="18" t="n">
        <v>201795.31</v>
      </c>
      <c r="K46" s="34" t="n">
        <v>201795.31</v>
      </c>
      <c r="L46" s="18" t="n">
        <v>210061.26</v>
      </c>
      <c r="M46" s="18" t="n">
        <v>230141.11</v>
      </c>
      <c r="N46" s="18" t="n">
        <v>137822.96</v>
      </c>
      <c r="O46" s="18" t="n">
        <v>139062.21</v>
      </c>
      <c r="P46" s="34" t="n">
        <v>139062.21</v>
      </c>
      <c r="Q46" s="18" t="n">
        <v>168554.69</v>
      </c>
      <c r="R46" s="18" t="n">
        <v>140876.89</v>
      </c>
      <c r="S46" s="18" t="n">
        <v>37411.55</v>
      </c>
      <c r="T46" s="18" t="n">
        <v>152335.35</v>
      </c>
      <c r="U46" s="34" t="n">
        <v>152335.35</v>
      </c>
      <c r="V46" s="18" t="n">
        <v>194389.67</v>
      </c>
      <c r="W46" s="18" t="n">
        <v>181495</v>
      </c>
      <c r="X46" s="18" t="n">
        <v>151361.83</v>
      </c>
      <c r="Y46" s="18" t="n">
        <v>149504.23</v>
      </c>
      <c r="Z46" s="34" t="n">
        <v>149504.23</v>
      </c>
      <c r="AA46" s="18" t="n">
        <v>131288.63</v>
      </c>
      <c r="AB46" s="19" t="n">
        <v>157836.03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106603.27</v>
      </c>
      <c r="F47" s="34" t="n">
        <v>106603.27</v>
      </c>
      <c r="G47" s="18" t="n">
        <v>111631.96</v>
      </c>
      <c r="H47" s="18" t="n">
        <v>120680.94</v>
      </c>
      <c r="I47" s="18" t="n">
        <v>177060.6</v>
      </c>
      <c r="J47" s="18" t="n">
        <v>123174.44</v>
      </c>
      <c r="K47" s="34" t="n">
        <v>123174.44</v>
      </c>
      <c r="L47" s="18" t="n">
        <v>129099.61</v>
      </c>
      <c r="M47" s="18" t="n">
        <v>156693.11</v>
      </c>
      <c r="N47" s="18" t="n">
        <v>62428.08</v>
      </c>
      <c r="O47" s="18" t="n">
        <v>106074.83</v>
      </c>
      <c r="P47" s="34" t="n">
        <v>106074.83</v>
      </c>
      <c r="Q47" s="18" t="n">
        <v>121110.49</v>
      </c>
      <c r="R47" s="18" t="n">
        <v>89883.00999999999</v>
      </c>
      <c r="S47" s="18" t="n">
        <v>429.79</v>
      </c>
      <c r="T47" s="18" t="n">
        <v>86012.99000000001</v>
      </c>
      <c r="U47" s="34" t="n">
        <v>86012.99000000001</v>
      </c>
      <c r="V47" s="18" t="n">
        <v>64027.65</v>
      </c>
      <c r="W47" s="18" t="n">
        <v>98359.52</v>
      </c>
      <c r="X47" s="18" t="n">
        <v>93351.03999999999</v>
      </c>
      <c r="Y47" s="18" t="n">
        <v>121615.09</v>
      </c>
      <c r="Z47" s="34" t="n">
        <v>121615.09</v>
      </c>
      <c r="AA47" s="18" t="n">
        <v>103891.97</v>
      </c>
      <c r="AB47" s="19" t="n">
        <v>114893.53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98226.3</v>
      </c>
      <c r="F48" s="34" t="n">
        <v>98226.3</v>
      </c>
      <c r="G48" s="18" t="n">
        <v>73654.97</v>
      </c>
      <c r="H48" s="18" t="n">
        <v>63318.2</v>
      </c>
      <c r="I48" s="18" t="n">
        <v>139615.09</v>
      </c>
      <c r="J48" s="18" t="n">
        <v>157585.48</v>
      </c>
      <c r="K48" s="34" t="n">
        <v>157585.48</v>
      </c>
      <c r="L48" s="18" t="n">
        <v>167308.03</v>
      </c>
      <c r="M48" s="18" t="n">
        <v>125737.95</v>
      </c>
      <c r="N48" s="18" t="n">
        <v>127701.03</v>
      </c>
      <c r="O48" s="18" t="n">
        <v>46769.22</v>
      </c>
      <c r="P48" s="34" t="n">
        <v>46769.22</v>
      </c>
      <c r="Q48" s="18" t="n">
        <v>86832.56</v>
      </c>
      <c r="R48" s="18" t="n">
        <v>64830.14</v>
      </c>
      <c r="S48" s="18" t="n">
        <v>53023.05</v>
      </c>
      <c r="T48" s="18" t="n">
        <v>80239.27</v>
      </c>
      <c r="U48" s="34" t="n">
        <v>80239.27</v>
      </c>
      <c r="V48" s="18" t="n">
        <v>144276.9</v>
      </c>
      <c r="W48" s="18" t="n">
        <v>96986.64999999999</v>
      </c>
      <c r="X48" s="18" t="n">
        <v>71921.84</v>
      </c>
      <c r="Y48" s="18" t="n">
        <v>49033.22</v>
      </c>
      <c r="Z48" s="34" t="n">
        <v>49033.22</v>
      </c>
      <c r="AA48" s="18" t="n">
        <v>52253.77</v>
      </c>
      <c r="AB48" s="19" t="n">
        <v>69443.42999999999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이연법인세부채</t>
        </is>
      </c>
      <c r="F49" s="9" t="n"/>
      <c r="I49" s="18" t="n">
        <v>301.42</v>
      </c>
      <c r="J49" s="18" t="n">
        <v>2532.2</v>
      </c>
      <c r="K49" s="34" t="n">
        <v>2532.2</v>
      </c>
      <c r="L49" s="18" t="n">
        <v>2611.53</v>
      </c>
      <c r="M49" s="18" t="n">
        <v>2749.05</v>
      </c>
      <c r="N49" s="18" t="n">
        <v>2974.07</v>
      </c>
      <c r="P49" s="9" t="n"/>
      <c r="T49" s="18" t="n">
        <v>0</v>
      </c>
      <c r="U49" s="34" t="n">
        <v>0</v>
      </c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J50" s="18" t="n">
        <v>31435.98</v>
      </c>
      <c r="K50" s="34" t="n">
        <v>31435.98</v>
      </c>
      <c r="P50" s="9" t="n"/>
      <c r="T50" s="18" t="n">
        <v>0</v>
      </c>
      <c r="U50" s="34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4" t="n">
        <v>71474.12</v>
      </c>
      <c r="Q51" s="18" t="n">
        <v>101202.93</v>
      </c>
      <c r="R51" s="18" t="n">
        <v>93739.60000000001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4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4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4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4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4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4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4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4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3735.44</v>
      </c>
      <c r="U59" s="34" t="n">
        <v>3735.44</v>
      </c>
      <c r="V59" s="18" t="n">
        <v>2775.83</v>
      </c>
      <c r="W59" s="18" t="n">
        <v>8532.49</v>
      </c>
      <c r="X59" s="18" t="n">
        <v>4569.07</v>
      </c>
      <c r="Y59" s="18" t="n">
        <v>6003.73</v>
      </c>
      <c r="Z59" s="34" t="n">
        <v>6003.73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139876.1</v>
      </c>
      <c r="F60" s="9" t="n"/>
      <c r="G60" s="18" t="n">
        <v>164192.02</v>
      </c>
      <c r="H60" s="18" t="n">
        <v>157311.93</v>
      </c>
      <c r="I60" s="18" t="n">
        <v>171439.74</v>
      </c>
      <c r="J60" s="18" t="n">
        <v>161330.69</v>
      </c>
      <c r="K60" s="34" t="n">
        <v>654274.38</v>
      </c>
      <c r="L60" s="18" t="n">
        <v>215639.1</v>
      </c>
      <c r="M60" s="18" t="n">
        <v>256467.19</v>
      </c>
      <c r="N60" s="18" t="n">
        <v>227238.22</v>
      </c>
      <c r="O60" s="18" t="n">
        <v>206675.11</v>
      </c>
      <c r="P60" s="34" t="n">
        <v>906019.62</v>
      </c>
      <c r="Q60" s="18" t="n">
        <v>121212.39</v>
      </c>
      <c r="R60" s="18" t="n">
        <v>162546.69</v>
      </c>
      <c r="S60" s="18" t="n">
        <v>191882.7</v>
      </c>
      <c r="T60" s="18" t="n">
        <v>150776.72</v>
      </c>
      <c r="U60" s="34" t="n">
        <v>626418.5</v>
      </c>
      <c r="V60" s="18" t="n">
        <v>254348.41</v>
      </c>
      <c r="W60" s="18" t="n">
        <v>231148.51</v>
      </c>
      <c r="X60" s="18" t="n">
        <v>281340.75</v>
      </c>
      <c r="Y60" s="18" t="n">
        <v>162077.41</v>
      </c>
      <c r="Z60" s="34" t="n">
        <v>928915.08</v>
      </c>
      <c r="AA60" s="18" t="n">
        <v>172618.61</v>
      </c>
      <c r="AB60" s="19" t="n">
        <v>154356.91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124428.31</v>
      </c>
      <c r="F61" s="9" t="n"/>
      <c r="G61" s="18" t="n">
        <v>148750.03</v>
      </c>
      <c r="H61" s="18" t="n">
        <v>144153.93</v>
      </c>
      <c r="I61" s="18" t="n">
        <v>144456.32</v>
      </c>
      <c r="J61" s="18" t="n">
        <v>139978.52</v>
      </c>
      <c r="K61" s="34" t="n">
        <v>577338.8</v>
      </c>
      <c r="L61" s="18" t="n">
        <v>195030.57</v>
      </c>
      <c r="M61" s="18" t="n">
        <v>223691.33</v>
      </c>
      <c r="N61" s="18" t="n">
        <v>208024.62</v>
      </c>
      <c r="O61" s="18" t="n">
        <v>183653.23</v>
      </c>
      <c r="P61" s="34" t="n">
        <v>810399.75</v>
      </c>
      <c r="Q61" s="18" t="n">
        <v>113213.55</v>
      </c>
      <c r="R61" s="18" t="n">
        <v>146606.88</v>
      </c>
      <c r="S61" s="18" t="n">
        <v>179442.29</v>
      </c>
      <c r="T61" s="18" t="n">
        <v>138706.75</v>
      </c>
      <c r="U61" s="34" t="n">
        <v>577969.47</v>
      </c>
      <c r="V61" s="18" t="n">
        <v>234384.62</v>
      </c>
      <c r="W61" s="18" t="n">
        <v>209232.05</v>
      </c>
      <c r="X61" s="18" t="n">
        <v>250819.97</v>
      </c>
      <c r="Y61" s="18" t="n">
        <v>142117.12</v>
      </c>
      <c r="Z61" s="34" t="n">
        <v>836553.76</v>
      </c>
      <c r="AA61" s="18" t="n">
        <v>151729.05</v>
      </c>
      <c r="AB61" s="19" t="n">
        <v>132693.51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15447.79</v>
      </c>
      <c r="F62" s="9" t="n"/>
      <c r="G62" s="18" t="n">
        <v>15442</v>
      </c>
      <c r="H62" s="18" t="n">
        <v>13158</v>
      </c>
      <c r="I62" s="18" t="n">
        <v>26983.41</v>
      </c>
      <c r="J62" s="18" t="n">
        <v>21352.17</v>
      </c>
      <c r="K62" s="34" t="n">
        <v>76935.58</v>
      </c>
      <c r="L62" s="18" t="n">
        <v>20608.53</v>
      </c>
      <c r="M62" s="18" t="n">
        <v>32775.85</v>
      </c>
      <c r="N62" s="18" t="n">
        <v>19213.6</v>
      </c>
      <c r="O62" s="18" t="n">
        <v>23021.88</v>
      </c>
      <c r="P62" s="34" t="n">
        <v>95619.86</v>
      </c>
      <c r="Q62" s="18" t="n">
        <v>7998.84</v>
      </c>
      <c r="R62" s="18" t="n">
        <v>15939.82</v>
      </c>
      <c r="S62" s="18" t="n">
        <v>12440.4</v>
      </c>
      <c r="T62" s="18" t="n">
        <v>12069.98</v>
      </c>
      <c r="U62" s="34" t="n">
        <v>48449.04</v>
      </c>
      <c r="V62" s="18" t="n">
        <v>19963.79</v>
      </c>
      <c r="W62" s="18" t="n">
        <v>21916.46</v>
      </c>
      <c r="X62" s="18" t="n">
        <v>30520.79</v>
      </c>
      <c r="Y62" s="18" t="n">
        <v>19960.3</v>
      </c>
      <c r="Z62" s="34" t="n">
        <v>92361.34</v>
      </c>
      <c r="AA62" s="18" t="n">
        <v>20889.56</v>
      </c>
      <c r="AB62" s="19" t="n">
        <v>21663.4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3598.95</v>
      </c>
      <c r="F63" s="9" t="n"/>
      <c r="G63" s="18" t="n">
        <v>3421.18</v>
      </c>
      <c r="H63" s="18" t="n">
        <v>3863.38</v>
      </c>
      <c r="I63" s="18" t="n">
        <v>12465.07</v>
      </c>
      <c r="J63" s="18" t="n">
        <v>5585.82</v>
      </c>
      <c r="K63" s="34" t="n">
        <v>25335.45</v>
      </c>
      <c r="L63" s="18" t="n">
        <v>5005.88</v>
      </c>
      <c r="M63" s="18" t="n">
        <v>6409.68</v>
      </c>
      <c r="N63" s="18" t="n">
        <v>5664.04</v>
      </c>
      <c r="O63" s="18" t="n">
        <v>8783.07</v>
      </c>
      <c r="P63" s="34" t="n">
        <v>25862.67</v>
      </c>
      <c r="Q63" s="18" t="n">
        <v>6468.18</v>
      </c>
      <c r="R63" s="18" t="n">
        <v>8062.1</v>
      </c>
      <c r="S63" s="18" t="n">
        <v>6441.26</v>
      </c>
      <c r="T63" s="18" t="n">
        <v>3649.69</v>
      </c>
      <c r="U63" s="34" t="n">
        <v>24621.23</v>
      </c>
      <c r="V63" s="18" t="n">
        <v>6646.65</v>
      </c>
      <c r="W63" s="18" t="n">
        <v>6149.79</v>
      </c>
      <c r="X63" s="18" t="n">
        <v>6379.61</v>
      </c>
      <c r="Y63" s="18" t="n">
        <v>7498.44</v>
      </c>
      <c r="Z63" s="34" t="n">
        <v>26674.49</v>
      </c>
      <c r="AA63" s="18" t="n">
        <v>5432.08</v>
      </c>
      <c r="AB63" s="19" t="n">
        <v>6842.36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11848.84</v>
      </c>
      <c r="F64" s="9" t="n"/>
      <c r="G64" s="18" t="n">
        <v>12020.81</v>
      </c>
      <c r="H64" s="18" t="n">
        <v>9294.620000000001</v>
      </c>
      <c r="I64" s="18" t="n">
        <v>14518.35</v>
      </c>
      <c r="J64" s="18" t="n">
        <v>15766.36</v>
      </c>
      <c r="K64" s="34" t="n">
        <v>51600.14</v>
      </c>
      <c r="L64" s="18" t="n">
        <v>15602.65</v>
      </c>
      <c r="M64" s="18" t="n">
        <v>26366.17</v>
      </c>
      <c r="N64" s="18" t="n">
        <v>13549.56</v>
      </c>
      <c r="O64" s="18" t="n">
        <v>14238.8</v>
      </c>
      <c r="P64" s="34" t="n">
        <v>69757.17999999999</v>
      </c>
      <c r="Q64" s="18" t="n">
        <v>1530.66</v>
      </c>
      <c r="R64" s="18" t="n">
        <v>7877.72</v>
      </c>
      <c r="S64" s="18" t="n">
        <v>5999.15</v>
      </c>
      <c r="T64" s="18" t="n">
        <v>8420.290000000001</v>
      </c>
      <c r="U64" s="34" t="n">
        <v>23827.82</v>
      </c>
      <c r="V64" s="18" t="n">
        <v>13317.14</v>
      </c>
      <c r="W64" s="18" t="n">
        <v>15766.68</v>
      </c>
      <c r="X64" s="18" t="n">
        <v>24141.17</v>
      </c>
      <c r="Y64" s="18" t="n">
        <v>12461.86</v>
      </c>
      <c r="Z64" s="34" t="n">
        <v>65686.85000000001</v>
      </c>
      <c r="AA64" s="18" t="n">
        <v>15457.48</v>
      </c>
      <c r="AB64" s="19" t="n">
        <v>14821.04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-1979.33</v>
      </c>
      <c r="F65" s="9" t="n"/>
      <c r="G65" s="18" t="n">
        <v>1978.33</v>
      </c>
      <c r="H65" s="18" t="n">
        <v>3761.16</v>
      </c>
      <c r="I65" s="18" t="n">
        <v>2568.5</v>
      </c>
      <c r="J65" s="18" t="n">
        <v>-2430.08</v>
      </c>
      <c r="K65" s="34" t="n">
        <v>5877.91</v>
      </c>
      <c r="L65" s="18" t="n">
        <v>3174.41</v>
      </c>
      <c r="M65" s="18" t="n">
        <v>335.85</v>
      </c>
      <c r="N65" s="18" t="n">
        <v>563.12</v>
      </c>
      <c r="O65" s="18" t="n">
        <v>-52.16</v>
      </c>
      <c r="P65" s="34" t="n">
        <v>4021.22</v>
      </c>
      <c r="Q65" s="18" t="n">
        <v>895.17</v>
      </c>
      <c r="R65" s="18" t="n">
        <v>4724.75</v>
      </c>
      <c r="S65" s="18" t="n">
        <v>-3766.29</v>
      </c>
      <c r="T65" s="18" t="n">
        <v>31763.79</v>
      </c>
      <c r="U65" s="34" t="n">
        <v>33617.42</v>
      </c>
      <c r="V65" s="18" t="n">
        <v>1546.76</v>
      </c>
      <c r="W65" s="18" t="n">
        <v>116.65</v>
      </c>
      <c r="X65" s="18" t="n">
        <v>1826.29</v>
      </c>
      <c r="Y65" s="18" t="n">
        <v>2720.59</v>
      </c>
      <c r="Z65" s="34" t="n">
        <v>6210.29</v>
      </c>
      <c r="AA65" s="18" t="n">
        <v>5722.16</v>
      </c>
      <c r="AB65" s="19" t="n">
        <v>1900.52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4550.42</v>
      </c>
      <c r="F66" s="9" t="n"/>
      <c r="G66" s="18" t="n">
        <v>368.41</v>
      </c>
      <c r="H66" s="18" t="n">
        <v>754.96</v>
      </c>
      <c r="I66" s="18" t="n">
        <v>1759.97</v>
      </c>
      <c r="J66" s="18" t="n">
        <v>4250.99</v>
      </c>
      <c r="K66" s="34" t="n">
        <v>7134.33</v>
      </c>
      <c r="L66" s="18" t="n">
        <v>872.72</v>
      </c>
      <c r="M66" s="18" t="n">
        <v>763.1799999999999</v>
      </c>
      <c r="N66" s="18" t="n">
        <v>87.68000000000001</v>
      </c>
      <c r="O66" s="18" t="n">
        <v>457.37</v>
      </c>
      <c r="P66" s="34" t="n">
        <v>2180.95</v>
      </c>
      <c r="Q66" s="18" t="n">
        <v>9</v>
      </c>
      <c r="R66" s="18" t="n">
        <v>58.73</v>
      </c>
      <c r="S66" s="18" t="n">
        <v>10975.35</v>
      </c>
      <c r="T66" s="18" t="n">
        <v>-8809.02</v>
      </c>
      <c r="U66" s="34" t="n">
        <v>2234.06</v>
      </c>
      <c r="V66" s="18" t="n">
        <v>212.99</v>
      </c>
      <c r="W66" s="18" t="n">
        <v>22996.8</v>
      </c>
      <c r="X66" s="18" t="n">
        <v>-5507.03</v>
      </c>
      <c r="Y66" s="18" t="n">
        <v>-2580.9</v>
      </c>
      <c r="Z66" s="34" t="n">
        <v>15121.86</v>
      </c>
      <c r="AA66" s="18" t="n">
        <v>699.09</v>
      </c>
      <c r="AB66" s="19" t="n">
        <v>1418.8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종속기업,공동지배기업및관계기업관련손익</t>
        </is>
      </c>
      <c r="E67" s="18" t="n">
        <v>-56262.57</v>
      </c>
      <c r="F67" s="9" t="n"/>
      <c r="G67" s="18" t="n">
        <v>2572.56</v>
      </c>
      <c r="H67" s="18" t="n">
        <v>6417.23</v>
      </c>
      <c r="I67" s="18" t="n">
        <v>3597.76</v>
      </c>
      <c r="J67" s="18" t="n">
        <v>-3236</v>
      </c>
      <c r="K67" s="34" t="n">
        <v>9351.549999999999</v>
      </c>
      <c r="L67" s="18" t="n">
        <v>2748.08</v>
      </c>
      <c r="M67" s="18" t="n">
        <v>2901.03</v>
      </c>
      <c r="P67" s="9" t="n"/>
      <c r="U67" s="9" t="n"/>
      <c r="V67" s="18" t="n">
        <v>-2984.41</v>
      </c>
      <c r="W67" s="18" t="n">
        <v>-1155.54</v>
      </c>
      <c r="X67" s="18" t="n">
        <v>-5151.88</v>
      </c>
      <c r="Y67" s="18" t="n">
        <v>4376.79</v>
      </c>
      <c r="Z67" s="34" t="n">
        <v>-4915.04</v>
      </c>
      <c r="AA67" s="18" t="n">
        <v>-360.44</v>
      </c>
      <c r="AB67" s="19" t="n">
        <v>4231.95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지분법관련손익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4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4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금융수익</t>
        </is>
      </c>
      <c r="E69" s="18" t="n">
        <v>1802.75</v>
      </c>
      <c r="F69" s="9" t="n"/>
      <c r="G69" s="18" t="n">
        <v>604.8099999999999</v>
      </c>
      <c r="H69" s="18" t="n">
        <v>801.96</v>
      </c>
      <c r="I69" s="18" t="n">
        <v>2154.5</v>
      </c>
      <c r="J69" s="18" t="n">
        <v>5180.6</v>
      </c>
      <c r="K69" s="34" t="n">
        <v>8741.870000000001</v>
      </c>
      <c r="L69" s="18" t="n">
        <v>3282.2</v>
      </c>
      <c r="M69" s="18" t="n">
        <v>6693.35</v>
      </c>
      <c r="N69" s="18" t="n">
        <v>2479.75</v>
      </c>
      <c r="O69" s="18" t="n">
        <v>4042.73</v>
      </c>
      <c r="P69" s="34" t="n">
        <v>16498.03</v>
      </c>
      <c r="Q69" s="18" t="n">
        <v>1926.44</v>
      </c>
      <c r="R69" s="18" t="n">
        <v>3128.82</v>
      </c>
      <c r="S69" s="18" t="n">
        <v>6611.97</v>
      </c>
      <c r="T69" s="18" t="n">
        <v>-3350.62</v>
      </c>
      <c r="U69" s="34" t="n">
        <v>8316.610000000001</v>
      </c>
      <c r="V69" s="18" t="n">
        <v>734.55</v>
      </c>
      <c r="W69" s="18" t="n">
        <v>25117.79</v>
      </c>
      <c r="X69" s="18" t="n">
        <v>-7376.18</v>
      </c>
      <c r="Y69" s="18" t="n">
        <v>-4391.8</v>
      </c>
      <c r="Z69" s="34" t="n">
        <v>14084.36</v>
      </c>
      <c r="AA69" s="18" t="n">
        <v>4348.6</v>
      </c>
      <c r="AB69" s="19" t="n">
        <v>2228.37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금융비용</t>
        </is>
      </c>
      <c r="E70" s="18" t="n">
        <v>5244.35</v>
      </c>
      <c r="F70" s="9" t="n"/>
      <c r="G70" s="18" t="n">
        <v>6067.5</v>
      </c>
      <c r="H70" s="18" t="n">
        <v>8309.41</v>
      </c>
      <c r="I70" s="18" t="n">
        <v>13343.34</v>
      </c>
      <c r="J70" s="18" t="n">
        <v>9160.309999999999</v>
      </c>
      <c r="K70" s="34" t="n">
        <v>36880.56</v>
      </c>
      <c r="L70" s="18" t="n">
        <v>9042.700000000001</v>
      </c>
      <c r="M70" s="18" t="n">
        <v>8410.26</v>
      </c>
      <c r="N70" s="18" t="n">
        <v>6394.13</v>
      </c>
      <c r="O70" s="18" t="n">
        <v>2813.25</v>
      </c>
      <c r="P70" s="34" t="n">
        <v>26660.34</v>
      </c>
      <c r="Q70" s="18" t="n">
        <v>6196.53</v>
      </c>
      <c r="R70" s="18" t="n">
        <v>18731.96</v>
      </c>
      <c r="S70" s="18" t="n">
        <v>-3207.13</v>
      </c>
      <c r="T70" s="18" t="n">
        <v>38325.83</v>
      </c>
      <c r="U70" s="34" t="n">
        <v>60047.19</v>
      </c>
      <c r="V70" s="18" t="n">
        <v>6057.15</v>
      </c>
      <c r="W70" s="18" t="n">
        <v>5089.04</v>
      </c>
      <c r="X70" s="18" t="n">
        <v>3745.96</v>
      </c>
      <c r="Y70" s="18" t="n">
        <v>1168.44</v>
      </c>
      <c r="Z70" s="34" t="n">
        <v>16060.59</v>
      </c>
      <c r="AA70" s="18" t="n">
        <v>11811.9</v>
      </c>
      <c r="AB70" s="19" t="n">
        <v>5760.2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법인세비용차감전계속사업이익</t>
        </is>
      </c>
      <c r="E71" s="18" t="n">
        <v>-54385.07</v>
      </c>
      <c r="F71" s="9" t="n"/>
      <c r="G71" s="18" t="n">
        <v>10740.61</v>
      </c>
      <c r="H71" s="18" t="n">
        <v>11210.59</v>
      </c>
      <c r="I71" s="18" t="n">
        <v>7735.79</v>
      </c>
      <c r="J71" s="18" t="n">
        <v>1869.59</v>
      </c>
      <c r="K71" s="34" t="n">
        <v>31556.58</v>
      </c>
      <c r="L71" s="18" t="n">
        <v>14891.92</v>
      </c>
      <c r="M71" s="18" t="n">
        <v>27122.94</v>
      </c>
      <c r="N71" s="18" t="n">
        <v>10196.5</v>
      </c>
      <c r="O71" s="18" t="n">
        <v>10804.23</v>
      </c>
      <c r="P71" s="34" t="n">
        <v>63015.59</v>
      </c>
      <c r="Q71" s="18" t="n">
        <v>4292.32</v>
      </c>
      <c r="R71" s="18" t="n">
        <v>2998.09</v>
      </c>
      <c r="S71" s="18" t="n">
        <v>8953.25</v>
      </c>
      <c r="T71" s="18" t="n">
        <v>759.01</v>
      </c>
      <c r="U71" s="34" t="n">
        <v>17002.67</v>
      </c>
      <c r="V71" s="18" t="n">
        <v>6343.9</v>
      </c>
      <c r="W71" s="18" t="n">
        <v>11759.73</v>
      </c>
      <c r="X71" s="18" t="n">
        <v>15200.47</v>
      </c>
      <c r="Y71" s="18" t="n">
        <v>16579.89</v>
      </c>
      <c r="Z71" s="34" t="n">
        <v>49883.99</v>
      </c>
      <c r="AA71" s="18" t="n">
        <v>12656.81</v>
      </c>
      <c r="AB71" s="19" t="n">
        <v>16002.89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</t>
        </is>
      </c>
      <c r="E72" s="18" t="n">
        <v>9839.82</v>
      </c>
      <c r="F72" s="9" t="n"/>
      <c r="G72" s="18" t="n">
        <v>1915.26</v>
      </c>
      <c r="H72" s="18" t="n">
        <v>891.77</v>
      </c>
      <c r="I72" s="18" t="n">
        <v>3248.88</v>
      </c>
      <c r="J72" s="18" t="n">
        <v>574.26</v>
      </c>
      <c r="K72" s="34" t="n">
        <v>6630.17</v>
      </c>
      <c r="L72" s="18" t="n">
        <v>-5585.55</v>
      </c>
      <c r="M72" s="18" t="n">
        <v>5773.17</v>
      </c>
      <c r="N72" s="18" t="n">
        <v>4472.04</v>
      </c>
      <c r="O72" s="18" t="n">
        <v>880.48</v>
      </c>
      <c r="P72" s="34" t="n">
        <v>5540.14</v>
      </c>
      <c r="Q72" s="18" t="n">
        <v>177.99</v>
      </c>
      <c r="R72" s="18" t="n">
        <v>204.82</v>
      </c>
      <c r="S72" s="18" t="n">
        <v>-158.85</v>
      </c>
      <c r="T72" s="18" t="n">
        <v>375.23</v>
      </c>
      <c r="U72" s="34" t="n">
        <v>599.1900000000001</v>
      </c>
      <c r="V72" s="18" t="n">
        <v>1951.29</v>
      </c>
      <c r="W72" s="18" t="n">
        <v>3219.11</v>
      </c>
      <c r="X72" s="18" t="n">
        <v>4164.34</v>
      </c>
      <c r="Y72" s="18" t="n">
        <v>2759.47</v>
      </c>
      <c r="Z72" s="34" t="n">
        <v>12094.21</v>
      </c>
      <c r="AA72" s="18" t="n">
        <v>2800.96</v>
      </c>
      <c r="AB72" s="19" t="n">
        <v>2213.62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-64224.89</v>
      </c>
      <c r="F73" s="9" t="n"/>
      <c r="G73" s="18" t="n">
        <v>8825.34</v>
      </c>
      <c r="H73" s="18" t="n">
        <v>10318.82</v>
      </c>
      <c r="I73" s="18" t="n">
        <v>4486.9</v>
      </c>
      <c r="J73" s="18" t="n">
        <v>1295.33</v>
      </c>
      <c r="K73" s="34" t="n">
        <v>24926.39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4" t="n">
        <v>57475.47</v>
      </c>
      <c r="Q73" s="18" t="n">
        <v>4114.33</v>
      </c>
      <c r="R73" s="18" t="n">
        <v>2793.27</v>
      </c>
      <c r="S73" s="18" t="n">
        <v>9112.1</v>
      </c>
      <c r="T73" s="18" t="n">
        <v>383.78</v>
      </c>
      <c r="U73" s="34" t="n">
        <v>16403.48</v>
      </c>
      <c r="V73" s="18" t="n">
        <v>4392.6</v>
      </c>
      <c r="W73" s="18" t="n">
        <v>8540.620000000001</v>
      </c>
      <c r="X73" s="18" t="n">
        <v>11036.14</v>
      </c>
      <c r="Y73" s="18" t="n">
        <v>13820.42</v>
      </c>
      <c r="Z73" s="34" t="n">
        <v>37789.78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-46491.71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885.14</v>
      </c>
      <c r="K74" s="34" t="n">
        <v>24516.2</v>
      </c>
      <c r="L74" s="18" t="n">
        <v>20477.47</v>
      </c>
      <c r="M74" s="18" t="n">
        <v>21349.78</v>
      </c>
      <c r="N74" s="18" t="n">
        <v>5724.46</v>
      </c>
      <c r="O74" s="18" t="n">
        <v>7697.91</v>
      </c>
      <c r="P74" s="34" t="n">
        <v>55249.62</v>
      </c>
      <c r="Q74" s="18" t="n">
        <v>4114.33</v>
      </c>
      <c r="R74" s="18" t="n">
        <v>2793.27</v>
      </c>
      <c r="S74" s="18" t="n">
        <v>9112.1</v>
      </c>
      <c r="T74" s="18" t="n">
        <v>-1968</v>
      </c>
      <c r="U74" s="34" t="n">
        <v>14051.7</v>
      </c>
      <c r="V74" s="18" t="n">
        <v>4392.12</v>
      </c>
      <c r="W74" s="18" t="n">
        <v>8534.200000000001</v>
      </c>
      <c r="X74" s="18" t="n">
        <v>11037.81</v>
      </c>
      <c r="Y74" s="18" t="n">
        <v>36466.13</v>
      </c>
      <c r="Z74" s="34" t="n">
        <v>60430.26</v>
      </c>
      <c r="AA74" s="18" t="n">
        <v>9858.51</v>
      </c>
      <c r="AB74" s="19" t="n">
        <v>13790.41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-3441.6</v>
      </c>
      <c r="F75" s="9" t="n"/>
      <c r="G75" s="18" t="n">
        <v>-5462.69</v>
      </c>
      <c r="H75" s="18" t="n">
        <v>-7507.45</v>
      </c>
      <c r="I75" s="18" t="n">
        <v>-11188.84</v>
      </c>
      <c r="J75" s="18" t="n">
        <v>-3979.71</v>
      </c>
      <c r="K75" s="34" t="n">
        <v>-28138.69</v>
      </c>
      <c r="L75" s="18" t="n">
        <v>-5760.5</v>
      </c>
      <c r="M75" s="18" t="n">
        <v>-1716.91</v>
      </c>
      <c r="N75" s="18" t="n">
        <v>-3914.38</v>
      </c>
      <c r="O75" s="18" t="n">
        <v>1229.48</v>
      </c>
      <c r="P75" s="34" t="n">
        <v>-10162.31</v>
      </c>
      <c r="Q75" s="18" t="n">
        <v>-4270.09</v>
      </c>
      <c r="R75" s="18" t="n">
        <v>-15603.14</v>
      </c>
      <c r="S75" s="18" t="n">
        <v>9819.1</v>
      </c>
      <c r="T75" s="18" t="n">
        <v>-41676.45</v>
      </c>
      <c r="U75" s="34" t="n">
        <v>-51730.58</v>
      </c>
      <c r="V75" s="18" t="n">
        <v>-5322.6</v>
      </c>
      <c r="W75" s="18" t="n">
        <v>20028.75</v>
      </c>
      <c r="X75" s="18" t="n">
        <v>-11122.14</v>
      </c>
      <c r="Y75" s="18" t="n">
        <v>-5560.24</v>
      </c>
      <c r="Z75" s="34" t="n">
        <v>-1976.23</v>
      </c>
      <c r="AA75" s="18" t="n">
        <v>-7463.3</v>
      </c>
      <c r="AB75" s="19" t="n">
        <v>-3531.83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-6529.75</v>
      </c>
      <c r="F76" s="9" t="n"/>
      <c r="G76" s="18" t="n">
        <v>1609.92</v>
      </c>
      <c r="H76" s="18" t="n">
        <v>3006.2</v>
      </c>
      <c r="I76" s="18" t="n">
        <v>808.53</v>
      </c>
      <c r="J76" s="18" t="n">
        <v>-6681.07</v>
      </c>
      <c r="K76" s="34" t="n">
        <v>-1256.42</v>
      </c>
      <c r="L76" s="18" t="n">
        <v>2301.69</v>
      </c>
      <c r="M76" s="18" t="n">
        <v>-427.33</v>
      </c>
      <c r="N76" s="18" t="n">
        <v>475.44</v>
      </c>
      <c r="O76" s="18" t="n">
        <v>-509.53</v>
      </c>
      <c r="P76" s="34" t="n">
        <v>1840.27</v>
      </c>
      <c r="Q76" s="18" t="n">
        <v>886.17</v>
      </c>
      <c r="R76" s="18" t="n">
        <v>4666.02</v>
      </c>
      <c r="S76" s="18" t="n">
        <v>-14741.64</v>
      </c>
      <c r="T76" s="18" t="n">
        <v>40572.81</v>
      </c>
      <c r="U76" s="34" t="n">
        <v>31383.36</v>
      </c>
      <c r="V76" s="18" t="n">
        <v>1333.77</v>
      </c>
      <c r="W76" s="18" t="n">
        <v>-22880.15</v>
      </c>
      <c r="X76" s="18" t="n">
        <v>7333.32</v>
      </c>
      <c r="Y76" s="18" t="n">
        <v>5301.49</v>
      </c>
      <c r="Z76" s="34" t="n">
        <v>-8911.57</v>
      </c>
      <c r="AA76" s="18" t="n">
        <v>5023.07</v>
      </c>
      <c r="AB76" s="19" t="n">
        <v>481.72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-64224.89</v>
      </c>
      <c r="F77" s="9" t="n"/>
      <c r="G77" s="18" t="n">
        <v>8825.34</v>
      </c>
      <c r="H77" s="18" t="n">
        <v>10318.82</v>
      </c>
      <c r="I77" s="18" t="n">
        <v>4486.9</v>
      </c>
      <c r="J77" s="18" t="n">
        <v>1295.33</v>
      </c>
      <c r="K77" s="34" t="n">
        <v>24926.39</v>
      </c>
      <c r="L77" s="18" t="n">
        <v>20477.47</v>
      </c>
      <c r="M77" s="18" t="n">
        <v>21349.78</v>
      </c>
      <c r="N77" s="18" t="n">
        <v>5724.46</v>
      </c>
      <c r="O77" s="18" t="n">
        <v>9923.76</v>
      </c>
      <c r="P77" s="34" t="n">
        <v>57475.47</v>
      </c>
      <c r="Q77" s="18" t="n">
        <v>4114.33</v>
      </c>
      <c r="R77" s="18" t="n">
        <v>2793.27</v>
      </c>
      <c r="S77" s="18" t="n">
        <v>9112.1</v>
      </c>
      <c r="T77" s="18" t="n">
        <v>383.78</v>
      </c>
      <c r="U77" s="34" t="n">
        <v>16403.48</v>
      </c>
      <c r="V77" s="18" t="n">
        <v>4392.6</v>
      </c>
      <c r="W77" s="18" t="n">
        <v>8540.620000000001</v>
      </c>
      <c r="X77" s="18" t="n">
        <v>11036.14</v>
      </c>
      <c r="Y77" s="18" t="n">
        <v>13820.42</v>
      </c>
      <c r="Z77" s="34" t="n">
        <v>37789.78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계속사업이익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4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4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4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4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104915.32</v>
      </c>
      <c r="F79" s="9" t="n"/>
      <c r="G79" s="18" t="n">
        <v>50082.93</v>
      </c>
      <c r="H79" s="18" t="n">
        <v>-19313.15</v>
      </c>
      <c r="I79" s="18" t="n">
        <v>-35636.61</v>
      </c>
      <c r="J79" s="18" t="n">
        <v>55677.87</v>
      </c>
      <c r="K79" s="34" t="n">
        <v>50811.04</v>
      </c>
      <c r="L79" s="18" t="n">
        <v>-58562.06</v>
      </c>
      <c r="M79" s="18" t="n">
        <v>-67842.08</v>
      </c>
      <c r="N79" s="18" t="n">
        <v>7481.01</v>
      </c>
      <c r="O79" s="18" t="n">
        <v>-40593.86</v>
      </c>
      <c r="P79" s="34" t="n">
        <v>-159516.99</v>
      </c>
      <c r="Q79" s="18" t="n">
        <v>2781.33</v>
      </c>
      <c r="R79" s="18" t="n">
        <v>40365.79</v>
      </c>
      <c r="S79" s="18" t="n">
        <v>45308.5</v>
      </c>
      <c r="T79" s="18" t="n">
        <v>39715.04</v>
      </c>
      <c r="U79" s="34" t="n">
        <v>128170.66</v>
      </c>
      <c r="V79" s="18" t="n">
        <v>58823.76</v>
      </c>
      <c r="W79" s="18" t="n">
        <v>46427.38</v>
      </c>
      <c r="X79" s="18" t="n">
        <v>-103023.7</v>
      </c>
      <c r="Y79" s="18" t="n">
        <v>-24193.89</v>
      </c>
      <c r="Z79" s="34" t="n">
        <v>-21966.45</v>
      </c>
      <c r="AA79" s="18" t="n">
        <v>47146.43</v>
      </c>
      <c r="AB79" s="19" t="n">
        <v>3798.17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이자수취(CF)</t>
        </is>
      </c>
      <c r="E80" s="18" t="n">
        <v>-22.93</v>
      </c>
      <c r="F80" s="9" t="n"/>
      <c r="G80" s="18" t="n">
        <v>20.86</v>
      </c>
      <c r="H80" s="18" t="n">
        <v>805.35</v>
      </c>
      <c r="I80" s="18" t="n">
        <v>744.5599999999999</v>
      </c>
      <c r="J80" s="18" t="n">
        <v>2884.1</v>
      </c>
      <c r="K80" s="34" t="n">
        <v>4454.87</v>
      </c>
      <c r="L80" s="18" t="n">
        <v>1515.85</v>
      </c>
      <c r="M80" s="18" t="n">
        <v>1530.91</v>
      </c>
      <c r="N80" s="18" t="n">
        <v>1051.36</v>
      </c>
      <c r="O80" s="18" t="n">
        <v>1686.35</v>
      </c>
      <c r="P80" s="34" t="n">
        <v>5784.47</v>
      </c>
      <c r="Q80" s="18" t="n">
        <v>1216.13</v>
      </c>
      <c r="R80" s="18" t="n">
        <v>587.87</v>
      </c>
      <c r="S80" s="18" t="n">
        <v>829.11</v>
      </c>
      <c r="T80" s="18" t="n">
        <v>2076.27</v>
      </c>
      <c r="U80" s="34" t="n">
        <v>4709.38</v>
      </c>
      <c r="V80" s="18" t="n">
        <v>419.49</v>
      </c>
      <c r="W80" s="18" t="n">
        <v>870.4299999999999</v>
      </c>
      <c r="X80" s="18" t="n">
        <v>1492.4</v>
      </c>
      <c r="Y80" s="18" t="n">
        <v>218.09</v>
      </c>
      <c r="Z80" s="34" t="n">
        <v>3000.41</v>
      </c>
      <c r="AA80" s="18" t="n">
        <v>345.26</v>
      </c>
      <c r="AB80" s="19" t="n">
        <v>287.05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이자지급(CF)</t>
        </is>
      </c>
      <c r="E81" s="18" t="n">
        <v>-2461.33</v>
      </c>
      <c r="F81" s="9" t="n"/>
      <c r="G81" s="18" t="n">
        <v>-2034.19</v>
      </c>
      <c r="H81" s="18" t="n">
        <v>-1927.47</v>
      </c>
      <c r="I81" s="18" t="n">
        <v>-1978.49</v>
      </c>
      <c r="J81" s="18" t="n">
        <v>-2043.18</v>
      </c>
      <c r="K81" s="34" t="n">
        <v>-7983.33</v>
      </c>
      <c r="L81" s="18" t="n">
        <v>-1199.35</v>
      </c>
      <c r="M81" s="18" t="n">
        <v>-1283.53</v>
      </c>
      <c r="P81" s="9" t="n"/>
      <c r="U81" s="9" t="n"/>
      <c r="V81" s="18" t="n">
        <v>-1527.5</v>
      </c>
      <c r="W81" s="18" t="n">
        <v>-1951.13</v>
      </c>
      <c r="X81" s="18" t="n">
        <v>-2513.45</v>
      </c>
      <c r="Y81" s="18" t="n">
        <v>-1625.14</v>
      </c>
      <c r="Z81" s="34" t="n">
        <v>-7617.22</v>
      </c>
      <c r="AA81" s="18" t="n">
        <v>-1781.71</v>
      </c>
      <c r="AB81" s="19" t="n">
        <v>-1796.87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배당금수취(CF)</t>
        </is>
      </c>
      <c r="E82" s="18" t="n">
        <v>0</v>
      </c>
      <c r="F82" s="9" t="n"/>
      <c r="G82" s="18" t="n">
        <v>10.89</v>
      </c>
      <c r="H82" s="18" t="n">
        <v>0</v>
      </c>
      <c r="I82" s="18" t="n">
        <v>0</v>
      </c>
      <c r="J82" s="18" t="n">
        <v>0</v>
      </c>
      <c r="K82" s="34" t="n">
        <v>10.89</v>
      </c>
      <c r="N82" s="18" t="n">
        <v>0</v>
      </c>
      <c r="O82" s="18" t="n">
        <v>0</v>
      </c>
      <c r="P82" s="9" t="n"/>
      <c r="S82" s="18" t="n">
        <v>0</v>
      </c>
      <c r="T82" s="18" t="n">
        <v>0</v>
      </c>
      <c r="U82" s="9" t="n"/>
      <c r="X82" s="18" t="n">
        <v>0</v>
      </c>
      <c r="Y82" s="18" t="n">
        <v>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-1.07</v>
      </c>
      <c r="F83" s="9" t="n"/>
      <c r="G83" s="18" t="n">
        <v>-8712.58</v>
      </c>
      <c r="H83" s="18" t="n">
        <v>-1082.94</v>
      </c>
      <c r="I83" s="18" t="n">
        <v>-3876.61</v>
      </c>
      <c r="J83" s="18" t="n">
        <v>-494.99</v>
      </c>
      <c r="K83" s="34" t="n">
        <v>-14167.12</v>
      </c>
      <c r="L83" s="18" t="n">
        <v>3734.93</v>
      </c>
      <c r="M83" s="18" t="n">
        <v>-984</v>
      </c>
      <c r="N83" s="18" t="n">
        <v>-3613.12</v>
      </c>
      <c r="O83" s="18" t="n">
        <v>1475.75</v>
      </c>
      <c r="P83" s="34" t="n">
        <v>613.5599999999999</v>
      </c>
      <c r="Q83" s="18" t="n">
        <v>-10901.66</v>
      </c>
      <c r="R83" s="18" t="n">
        <v>-1547.68</v>
      </c>
      <c r="S83" s="18" t="n">
        <v>-578.3</v>
      </c>
      <c r="T83" s="18" t="n">
        <v>-366.72</v>
      </c>
      <c r="U83" s="34" t="n">
        <v>-13394.36</v>
      </c>
      <c r="V83" s="18" t="n">
        <v>-79.06999999999999</v>
      </c>
      <c r="W83" s="18" t="n">
        <v>-189.11</v>
      </c>
      <c r="X83" s="18" t="n">
        <v>-5959.03</v>
      </c>
      <c r="Y83" s="18" t="n">
        <v>-38.63</v>
      </c>
      <c r="Z83" s="34" t="n">
        <v>-6265.84</v>
      </c>
      <c r="AA83" s="18" t="n">
        <v>-5047.06</v>
      </c>
      <c r="AB83" s="19" t="n">
        <v>-1036.34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-4782.37</v>
      </c>
      <c r="F84" s="9" t="n"/>
      <c r="G84" s="18" t="n">
        <v>-61649.25</v>
      </c>
      <c r="H84" s="18" t="n">
        <v>11482.7</v>
      </c>
      <c r="I84" s="18" t="n">
        <v>-348045.92</v>
      </c>
      <c r="J84" s="18" t="n">
        <v>28118.41</v>
      </c>
      <c r="K84" s="34" t="n">
        <v>-370094.06</v>
      </c>
      <c r="L84" s="18" t="n">
        <v>62372.9</v>
      </c>
      <c r="M84" s="18" t="n">
        <v>42886.86</v>
      </c>
      <c r="N84" s="18" t="n">
        <v>-26921.91</v>
      </c>
      <c r="O84" s="18" t="n">
        <v>2279.26</v>
      </c>
      <c r="P84" s="34" t="n">
        <v>80617.11</v>
      </c>
      <c r="Q84" s="18" t="n">
        <v>-12925.9</v>
      </c>
      <c r="R84" s="18" t="n">
        <v>-5894.5</v>
      </c>
      <c r="S84" s="18" t="n">
        <v>-41714.11</v>
      </c>
      <c r="T84" s="18" t="n">
        <v>-45838.87</v>
      </c>
      <c r="U84" s="34" t="n">
        <v>-106373.38</v>
      </c>
      <c r="V84" s="18" t="n">
        <v>-31914.2</v>
      </c>
      <c r="W84" s="18" t="n">
        <v>-74048.09</v>
      </c>
      <c r="X84" s="18" t="n">
        <v>76528.94</v>
      </c>
      <c r="Y84" s="18" t="n">
        <v>-9506.059999999999</v>
      </c>
      <c r="Z84" s="34" t="n">
        <v>-38939.41</v>
      </c>
      <c r="AA84" s="18" t="n">
        <v>-22855.66</v>
      </c>
      <c r="AB84" s="19" t="n">
        <v>-11139.02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0</v>
      </c>
      <c r="F85" s="9" t="n"/>
      <c r="I85" s="18" t="n">
        <v>14.29</v>
      </c>
      <c r="J85" s="18" t="n">
        <v>181</v>
      </c>
      <c r="K85" s="9" t="n"/>
      <c r="L85" s="18" t="n">
        <v>55.7</v>
      </c>
      <c r="M85" s="18" t="n">
        <v>7.6</v>
      </c>
      <c r="N85" s="18" t="n">
        <v>67.91</v>
      </c>
      <c r="O85" s="18" t="n">
        <v>45.12</v>
      </c>
      <c r="P85" s="34" t="n">
        <v>176.33</v>
      </c>
      <c r="Q85" s="18" t="n">
        <v>1.3</v>
      </c>
      <c r="R85" s="18" t="n">
        <v>48.57</v>
      </c>
      <c r="S85" s="18" t="n">
        <v>25.56</v>
      </c>
      <c r="T85" s="18" t="n">
        <v>3.06</v>
      </c>
      <c r="U85" s="34" t="n">
        <v>78.48999999999999</v>
      </c>
      <c r="V85" s="18" t="n">
        <v>13.66</v>
      </c>
      <c r="W85" s="18" t="n">
        <v>0</v>
      </c>
      <c r="X85" s="18" t="n">
        <v>10.82</v>
      </c>
      <c r="Y85" s="18" t="n">
        <v>231.81</v>
      </c>
      <c r="Z85" s="34" t="n">
        <v>256.29</v>
      </c>
      <c r="AA85" s="18" t="n">
        <v>2.79</v>
      </c>
      <c r="AB85" s="19" t="n">
        <v>0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유형자산의증가</t>
        </is>
      </c>
      <c r="E86" s="18" t="n">
        <v>1068.23</v>
      </c>
      <c r="F86" s="9" t="n"/>
      <c r="G86" s="18" t="n">
        <v>589.38</v>
      </c>
      <c r="H86" s="18" t="n">
        <v>2678.14</v>
      </c>
      <c r="I86" s="18" t="n">
        <v>4269.05</v>
      </c>
      <c r="J86" s="18" t="n">
        <v>104784.39</v>
      </c>
      <c r="K86" s="34" t="n">
        <v>112320.96</v>
      </c>
      <c r="L86" s="18" t="n">
        <v>15294.55</v>
      </c>
      <c r="M86" s="18" t="n">
        <v>16893.33</v>
      </c>
      <c r="N86" s="18" t="n">
        <v>23570.93</v>
      </c>
      <c r="O86" s="18" t="n">
        <v>44489.83</v>
      </c>
      <c r="P86" s="34" t="n">
        <v>100248.64</v>
      </c>
      <c r="Q86" s="18" t="n">
        <v>28376.95</v>
      </c>
      <c r="R86" s="18" t="n">
        <v>34112.23</v>
      </c>
      <c r="S86" s="18" t="n">
        <v>46826.21</v>
      </c>
      <c r="T86" s="18" t="n">
        <v>40330.29</v>
      </c>
      <c r="U86" s="34" t="n">
        <v>149645.68</v>
      </c>
      <c r="V86" s="18" t="n">
        <v>31856.12</v>
      </c>
      <c r="W86" s="18" t="n">
        <v>11339.13</v>
      </c>
      <c r="X86" s="18" t="n">
        <v>4396.32</v>
      </c>
      <c r="Y86" s="18" t="n">
        <v>9476.139999999999</v>
      </c>
      <c r="Z86" s="34" t="n">
        <v>57067.71</v>
      </c>
      <c r="AA86" s="18" t="n">
        <v>22815.38</v>
      </c>
      <c r="AB86" s="19" t="n">
        <v>10809.59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CAPEX</t>
        </is>
      </c>
      <c r="E87" s="18" t="n">
        <v>1035.27</v>
      </c>
      <c r="F87" s="9" t="n"/>
      <c r="G87" s="18" t="n">
        <v>889.21</v>
      </c>
      <c r="H87" s="18" t="n">
        <v>2599.05</v>
      </c>
      <c r="I87" s="18" t="n">
        <v>4395.08</v>
      </c>
      <c r="J87" s="18" t="n">
        <v>106923.47</v>
      </c>
      <c r="K87" s="34" t="n">
        <v>114806.81</v>
      </c>
      <c r="L87" s="18" t="n">
        <v>15865.51</v>
      </c>
      <c r="M87" s="18" t="n">
        <v>16854.15</v>
      </c>
      <c r="N87" s="18" t="n">
        <v>24359.36</v>
      </c>
      <c r="O87" s="18" t="n">
        <v>44662.21</v>
      </c>
      <c r="P87" s="34" t="n">
        <v>101741.23</v>
      </c>
      <c r="Q87" s="18" t="n">
        <v>28380.25</v>
      </c>
      <c r="R87" s="18" t="n">
        <v>34149.77</v>
      </c>
      <c r="S87" s="18" t="n">
        <v>46894.31</v>
      </c>
      <c r="T87" s="18" t="n">
        <v>40439.48</v>
      </c>
      <c r="U87" s="34" t="n">
        <v>149863.81</v>
      </c>
      <c r="V87" s="18" t="n">
        <v>31930.92</v>
      </c>
      <c r="W87" s="18" t="n">
        <v>11342.48</v>
      </c>
      <c r="X87" s="18" t="n">
        <v>4947.65</v>
      </c>
      <c r="Y87" s="18" t="n">
        <v>9763.049999999999</v>
      </c>
      <c r="Z87" s="34" t="n">
        <v>57984.1</v>
      </c>
      <c r="AA87" s="18" t="n">
        <v>22850.47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-17687.35</v>
      </c>
      <c r="F88" s="9" t="n"/>
      <c r="G88" s="18" t="n">
        <v>-13981.08</v>
      </c>
      <c r="H88" s="18" t="n">
        <v>-7878.15</v>
      </c>
      <c r="I88" s="18" t="n">
        <v>456072.67</v>
      </c>
      <c r="J88" s="18" t="n">
        <v>-128377.69</v>
      </c>
      <c r="K88" s="34" t="n">
        <v>305835.75</v>
      </c>
      <c r="L88" s="18" t="n">
        <v>-1500.8</v>
      </c>
      <c r="M88" s="18" t="n">
        <v>17399.09</v>
      </c>
      <c r="N88" s="18" t="n">
        <v>21310.93</v>
      </c>
      <c r="O88" s="18" t="n">
        <v>-3657.79</v>
      </c>
      <c r="P88" s="34" t="n">
        <v>33551.43</v>
      </c>
      <c r="Q88" s="18" t="n">
        <v>24488.57</v>
      </c>
      <c r="R88" s="18" t="n">
        <v>-32737.81</v>
      </c>
      <c r="S88" s="18" t="n">
        <v>-15330.67</v>
      </c>
      <c r="T88" s="18" t="n">
        <v>16390.74</v>
      </c>
      <c r="U88" s="34" t="n">
        <v>-7189.17</v>
      </c>
      <c r="V88" s="18" t="n">
        <v>38914.23</v>
      </c>
      <c r="W88" s="18" t="n">
        <v>-3045.44</v>
      </c>
      <c r="X88" s="18" t="n">
        <v>-4027.08</v>
      </c>
      <c r="Y88" s="18" t="n">
        <v>1990.16</v>
      </c>
      <c r="Z88" s="34" t="n">
        <v>33831.87</v>
      </c>
      <c r="AA88" s="18" t="n">
        <v>-23213.72</v>
      </c>
      <c r="AB88" s="19" t="n">
        <v>23823.85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차입금의증가</t>
        </is>
      </c>
      <c r="E89" s="18" t="n">
        <v>16611.76</v>
      </c>
      <c r="F89" s="9" t="n"/>
      <c r="G89" s="18" t="n">
        <v>16917.18</v>
      </c>
      <c r="H89" s="18" t="n">
        <v>18042.48</v>
      </c>
      <c r="I89" s="18" t="n">
        <v>8678.5</v>
      </c>
      <c r="J89" s="18" t="n">
        <v>16388.34</v>
      </c>
      <c r="K89" s="34" t="n">
        <v>60026.5</v>
      </c>
      <c r="L89" s="18" t="n">
        <v>22242.5</v>
      </c>
      <c r="M89" s="18" t="n">
        <v>29118.46</v>
      </c>
      <c r="P89" s="9" t="n"/>
      <c r="Q89" s="18" t="n">
        <v>80397.39999999999</v>
      </c>
      <c r="R89" s="18" t="n">
        <v>3325.62</v>
      </c>
      <c r="S89" s="18" t="n">
        <v>16141.89</v>
      </c>
      <c r="T89" s="18" t="n">
        <v>52247.56</v>
      </c>
      <c r="U89" s="34" t="n">
        <v>152112.47</v>
      </c>
      <c r="V89" s="18" t="n">
        <v>57960</v>
      </c>
      <c r="W89" s="18" t="n">
        <v>1940</v>
      </c>
      <c r="X89" s="18" t="n">
        <v>8000</v>
      </c>
      <c r="Y89" s="18" t="n">
        <v>0</v>
      </c>
      <c r="Z89" s="34" t="n">
        <v>67900</v>
      </c>
      <c r="AA89" s="18" t="n">
        <v>5000</v>
      </c>
      <c r="AB89" s="19" t="n">
        <v>73440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차입금의감소</t>
        </is>
      </c>
      <c r="E90" s="18" t="n">
        <v>33587.74</v>
      </c>
      <c r="F90" s="9" t="n"/>
      <c r="G90" s="18" t="n">
        <v>30158.8</v>
      </c>
      <c r="H90" s="18" t="n">
        <v>25182.52</v>
      </c>
      <c r="I90" s="18" t="n">
        <v>10829.28</v>
      </c>
      <c r="J90" s="18" t="n">
        <v>102540.06</v>
      </c>
      <c r="K90" s="34" t="n">
        <v>168710.66</v>
      </c>
      <c r="L90" s="18" t="n">
        <v>16786.15</v>
      </c>
      <c r="M90" s="18" t="n">
        <v>11936.66</v>
      </c>
      <c r="N90" s="18" t="n">
        <v>19013.12</v>
      </c>
      <c r="O90" s="18" t="n">
        <v>59807.77</v>
      </c>
      <c r="P90" s="34" t="n">
        <v>107543.7</v>
      </c>
      <c r="Q90" s="18" t="n">
        <v>51776.18</v>
      </c>
      <c r="R90" s="18" t="n">
        <v>31896.55</v>
      </c>
      <c r="S90" s="18" t="n">
        <v>27226.8</v>
      </c>
      <c r="T90" s="18" t="n">
        <v>25344.54</v>
      </c>
      <c r="U90" s="34" t="n">
        <v>136244.07</v>
      </c>
      <c r="V90" s="18" t="n">
        <v>16857.6</v>
      </c>
      <c r="W90" s="18" t="n">
        <v>3797.6</v>
      </c>
      <c r="X90" s="18" t="n">
        <v>9857.6</v>
      </c>
      <c r="Y90" s="18" t="n">
        <v>1857.6</v>
      </c>
      <c r="Z90" s="34" t="n">
        <v>32370.4</v>
      </c>
      <c r="AA90" s="18" t="n">
        <v>26857.6</v>
      </c>
      <c r="AB90" s="19" t="n">
        <v>48297.6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711.38</v>
      </c>
      <c r="F91" s="9" t="n"/>
      <c r="G91" s="18" t="n">
        <v>734.38</v>
      </c>
      <c r="H91" s="18" t="n">
        <v>738.12</v>
      </c>
      <c r="I91" s="18" t="n">
        <v>788.36</v>
      </c>
      <c r="J91" s="18" t="n">
        <v>770.98</v>
      </c>
      <c r="K91" s="34" t="n">
        <v>3031.84</v>
      </c>
      <c r="L91" s="18" t="n">
        <v>809.73</v>
      </c>
      <c r="M91" s="18" t="n">
        <v>867.59</v>
      </c>
      <c r="N91" s="18" t="n">
        <v>921.02</v>
      </c>
      <c r="O91" s="18" t="n">
        <v>4037.92</v>
      </c>
      <c r="P91" s="34" t="n">
        <v>6636.26</v>
      </c>
      <c r="Q91" s="18" t="n">
        <v>4132.65</v>
      </c>
      <c r="R91" s="18" t="n">
        <v>4166.87</v>
      </c>
      <c r="S91" s="18" t="n">
        <v>4245.77</v>
      </c>
      <c r="T91" s="18" t="n">
        <v>4277.76</v>
      </c>
      <c r="U91" s="34" t="n">
        <v>16823.05</v>
      </c>
      <c r="V91" s="18" t="n">
        <v>2188.17</v>
      </c>
      <c r="W91" s="18" t="n">
        <v>1178.75</v>
      </c>
      <c r="X91" s="18" t="n">
        <v>2145.55</v>
      </c>
      <c r="Z91" s="9" t="n"/>
      <c r="AA91" s="18" t="n">
        <v>1356.12</v>
      </c>
      <c r="AB91" s="19" t="n">
        <v>1318.55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164901.26</v>
      </c>
      <c r="F92" s="9" t="n"/>
      <c r="G92" s="18" t="n">
        <v>-51112.25</v>
      </c>
      <c r="H92" s="18" t="n">
        <v>-31347.27</v>
      </c>
      <c r="I92" s="18" t="n">
        <v>145151.83</v>
      </c>
      <c r="J92" s="18" t="n">
        <v>-90022.24000000001</v>
      </c>
      <c r="K92" s="34" t="n">
        <v>-27329.93</v>
      </c>
      <c r="L92" s="18" t="n">
        <v>4650.82</v>
      </c>
      <c r="M92" s="18" t="n">
        <v>-15069.79</v>
      </c>
      <c r="N92" s="18" t="n">
        <v>3816.92</v>
      </c>
      <c r="O92" s="18" t="n">
        <v>-84379.89999999999</v>
      </c>
      <c r="P92" s="34" t="n">
        <v>-90981.95</v>
      </c>
      <c r="Q92" s="18" t="n">
        <v>28800.82</v>
      </c>
      <c r="R92" s="18" t="n">
        <v>3463.63</v>
      </c>
      <c r="S92" s="18" t="n">
        <v>-23928.87</v>
      </c>
      <c r="T92" s="18" t="n">
        <v>6330.37</v>
      </c>
      <c r="U92" s="34" t="n">
        <v>14665.95</v>
      </c>
      <c r="V92" s="18" t="n">
        <v>65914.7</v>
      </c>
      <c r="W92" s="18" t="n">
        <v>-31329.71</v>
      </c>
      <c r="X92" s="18" t="n">
        <v>-29937.31</v>
      </c>
      <c r="Y92" s="18" t="n">
        <v>-31736.78</v>
      </c>
      <c r="Z92" s="34" t="n">
        <v>-27089.1</v>
      </c>
      <c r="AA92" s="18" t="n">
        <v>1077.64</v>
      </c>
      <c r="AB92" s="19" t="n">
        <v>16479.69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82455.67</v>
      </c>
      <c r="F93" s="9" t="n"/>
      <c r="G93" s="18" t="n">
        <v>66938.69</v>
      </c>
      <c r="H93" s="18" t="n">
        <v>-15638.68</v>
      </c>
      <c r="I93" s="18" t="n">
        <v>72761.69</v>
      </c>
      <c r="J93" s="18" t="n">
        <v>-45440.83</v>
      </c>
      <c r="K93" s="34" t="n">
        <v>78620.87</v>
      </c>
      <c r="L93" s="18" t="n">
        <v>80961.64999999999</v>
      </c>
      <c r="M93" s="18" t="n">
        <v>-7513.65</v>
      </c>
      <c r="N93" s="18" t="n">
        <v>1946.88</v>
      </c>
      <c r="O93" s="18" t="n">
        <v>-42407.5</v>
      </c>
      <c r="P93" s="34" t="n">
        <v>32987.38</v>
      </c>
      <c r="Q93" s="18" t="n">
        <v>47444.2</v>
      </c>
      <c r="R93" s="18" t="n">
        <v>1730.14</v>
      </c>
      <c r="S93" s="18" t="n">
        <v>-12192.58</v>
      </c>
      <c r="T93" s="18" t="n">
        <v>10671.57</v>
      </c>
      <c r="U93" s="34" t="n">
        <v>47653.33</v>
      </c>
      <c r="V93" s="18" t="n">
        <v>113568.03</v>
      </c>
      <c r="W93" s="18" t="n">
        <v>-31329.71</v>
      </c>
      <c r="X93" s="18" t="n">
        <v>-29937.31</v>
      </c>
      <c r="Y93" s="18" t="n">
        <v>-31736.78</v>
      </c>
      <c r="Z93" s="34" t="n">
        <v>20564.23</v>
      </c>
      <c r="AA93" s="18" t="n">
        <v>21641.86</v>
      </c>
      <c r="AB93" s="19" t="n">
        <v>16479.7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F94" s="9" t="n"/>
      <c r="G94" s="18" t="n">
        <v>299.83</v>
      </c>
      <c r="I94" s="18" t="n">
        <v>126.03</v>
      </c>
      <c r="J94" s="18" t="n">
        <v>2139.08</v>
      </c>
      <c r="K94" s="9" t="n"/>
      <c r="L94" s="18" t="n">
        <v>570.96</v>
      </c>
      <c r="N94" s="18" t="n">
        <v>788.4299999999999</v>
      </c>
      <c r="O94" s="18" t="n">
        <v>172.38</v>
      </c>
      <c r="P94" s="9" t="n"/>
      <c r="Q94" s="18" t="n">
        <v>3.3</v>
      </c>
      <c r="R94" s="18" t="n">
        <v>37.54</v>
      </c>
      <c r="S94" s="18" t="n">
        <v>68.09999999999999</v>
      </c>
      <c r="T94" s="18" t="n">
        <v>109.19</v>
      </c>
      <c r="U94" s="34" t="n">
        <v>218.13</v>
      </c>
      <c r="V94" s="18" t="n">
        <v>74.8</v>
      </c>
      <c r="W94" s="18" t="n">
        <v>3.35</v>
      </c>
      <c r="X94" s="18" t="n">
        <v>551.33</v>
      </c>
      <c r="Y94" s="18" t="n">
        <v>286.91</v>
      </c>
      <c r="Z94" s="34" t="n">
        <v>916.39</v>
      </c>
      <c r="AA94" s="18" t="n">
        <v>35.09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F95" s="9" t="n"/>
      <c r="K95" s="9" t="n"/>
      <c r="O95" s="18" t="n">
        <v>0</v>
      </c>
      <c r="P95" s="9" t="n"/>
      <c r="S95" s="18" t="n">
        <v>0</v>
      </c>
      <c r="T95" s="18" t="n">
        <v>0</v>
      </c>
      <c r="U95" s="9" t="n"/>
      <c r="X95" s="18" t="n">
        <v>827.97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사채의감소</t>
        </is>
      </c>
      <c r="F96" s="9" t="n"/>
      <c r="K96" s="9" t="n"/>
      <c r="O96" s="18" t="n">
        <v>0</v>
      </c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0.0374</v>
      </c>
      <c r="F10" s="34" t="n"/>
      <c r="G10" s="18" t="n">
        <v>0.0998</v>
      </c>
      <c r="H10" s="18" t="n">
        <v>0.1204</v>
      </c>
      <c r="I10" s="18" t="n">
        <v>0.1188</v>
      </c>
      <c r="J10" s="18" t="n">
        <v>0.0751</v>
      </c>
      <c r="K10" s="34">
        <f>SUM(G10:J10)</f>
        <v/>
      </c>
      <c r="L10" s="18" t="n">
        <v>0.08450000000000001</v>
      </c>
      <c r="M10" s="18" t="n">
        <v>0.1167</v>
      </c>
      <c r="N10" s="18" t="n">
        <v>0.06909999999999999</v>
      </c>
      <c r="O10" s="18" t="n">
        <v>0.0499</v>
      </c>
      <c r="P10" s="34">
        <f>SUM(L10:O10)</f>
        <v/>
      </c>
      <c r="Q10" s="18" t="n">
        <v>0.0704</v>
      </c>
      <c r="R10" s="18" t="n">
        <v>0.0864</v>
      </c>
      <c r="S10" s="18" t="n">
        <v>0.07630000000000001</v>
      </c>
      <c r="T10" s="18" t="n">
        <v>0.0164</v>
      </c>
      <c r="U10" s="34">
        <f>SUM(Q10:T10)</f>
        <v/>
      </c>
      <c r="V10" s="18" t="n">
        <v>0.0429</v>
      </c>
      <c r="W10" s="18" t="n">
        <v>0.0646</v>
      </c>
      <c r="X10" s="18" t="n">
        <v>0.06569999999999999</v>
      </c>
      <c r="Y10" s="18" t="n">
        <v>0.07829999999999999</v>
      </c>
      <c r="Z10" s="34">
        <f>SUM(V10:Y10)</f>
        <v/>
      </c>
      <c r="AA10" s="18" t="n">
        <v>0.0965</v>
      </c>
      <c r="AB10" s="19" t="n">
        <v>0.1135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세전이익</t>
        </is>
      </c>
      <c r="B13" t="inlineStr">
        <is>
          <t>손익</t>
        </is>
      </c>
      <c r="C13" t="inlineStr">
        <is>
          <t>억원</t>
        </is>
      </c>
      <c r="D13" t="inlineStr">
        <is>
          <t>법인세비용차감전계속사업이익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IFERROR(AC9+AC11+AC12,"")</f>
        <v/>
      </c>
      <c r="AD13" s="20">
        <f>IFERROR(AD9+AD11+AD12,"")</f>
        <v/>
      </c>
      <c r="AE13" s="35">
        <f>SUM(AA13:AD13)</f>
        <v/>
      </c>
      <c r="AF13" s="20">
        <f>IFERROR(AF9+AF11+AF12,"")</f>
        <v/>
      </c>
      <c r="AG13" s="20">
        <f>IFERROR(AG9+AG11+AG12,"")</f>
        <v/>
      </c>
      <c r="AH13" s="20">
        <f>IFERROR(AH9+AH11+AH12,"")</f>
        <v/>
      </c>
      <c r="AI13" s="20">
        <f>IFERROR(AI9+AI11+AI12,"")</f>
        <v/>
      </c>
      <c r="AJ13" s="35">
        <f>SUM(AF13:AI13)</f>
        <v/>
      </c>
      <c r="AK13" s="20">
        <f>IFERROR(AK9+AK11+AK12,"")</f>
        <v/>
      </c>
      <c r="AL13" s="20">
        <f>IFERROR(AL9+AL11+AL12,"")</f>
        <v/>
      </c>
      <c r="AM13" s="20">
        <f>IFERROR(AM9+AM11+AM12,"")</f>
        <v/>
      </c>
      <c r="AN13" s="20">
        <f>IFERROR(AN9+AN11+AN12,"")</f>
        <v/>
      </c>
      <c r="AO13" s="35">
        <f>SUM(AK13:AN13)</f>
        <v/>
      </c>
    </row>
    <row r="14">
      <c r="A14" s="12" t="inlineStr">
        <is>
          <t>법인세비용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IFERROR(AC13*변수!AC27,"")</f>
        <v/>
      </c>
      <c r="AD14" s="20">
        <f>IFERROR(AD13*변수!AD27,"")</f>
        <v/>
      </c>
      <c r="AE14" s="35">
        <f>SUM(AA14:AD14)</f>
        <v/>
      </c>
      <c r="AF14" s="20">
        <f>IFERROR(AF13*변수!AF27,"")</f>
        <v/>
      </c>
      <c r="AG14" s="20">
        <f>IFERROR(AG13*변수!AG27,"")</f>
        <v/>
      </c>
      <c r="AH14" s="20">
        <f>IFERROR(AH13*변수!AH27,"")</f>
        <v/>
      </c>
      <c r="AI14" s="20">
        <f>IFERROR(AI13*변수!AI27,"")</f>
        <v/>
      </c>
      <c r="AJ14" s="35">
        <f>SUM(AF14:AI14)</f>
        <v/>
      </c>
      <c r="AK14" s="20">
        <f>IFERROR(AK13*변수!AK27,"")</f>
        <v/>
      </c>
      <c r="AL14" s="20">
        <f>IFERROR(AL13*변수!AL27,"")</f>
        <v/>
      </c>
      <c r="AM14" s="20">
        <f>IFERROR(AM13*변수!AM27,"")</f>
        <v/>
      </c>
      <c r="AN14" s="20">
        <f>IFERROR(AN13*변수!AN27,"")</f>
        <v/>
      </c>
      <c r="AO14" s="35">
        <f>SUM(AK14:AN14)</f>
        <v/>
      </c>
    </row>
    <row r="15">
      <c r="A15" s="12" t="inlineStr">
        <is>
          <t>당기순이익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당기순이익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IFERROR(AC13-AC14,"")</f>
        <v/>
      </c>
      <c r="AD15" s="20">
        <f>IFERROR(AD13-AD14,"")</f>
        <v/>
      </c>
      <c r="AE15" s="35">
        <f>SUM(AA15:AD15)</f>
        <v/>
      </c>
      <c r="AF15" s="20">
        <f>IFERROR(AF13-AF14,"")</f>
        <v/>
      </c>
      <c r="AG15" s="20">
        <f>IFERROR(AG13-AG14,"")</f>
        <v/>
      </c>
      <c r="AH15" s="20">
        <f>IFERROR(AH13-AH14,"")</f>
        <v/>
      </c>
      <c r="AI15" s="20">
        <f>IFERROR(AI13-AI14,"")</f>
        <v/>
      </c>
      <c r="AJ15" s="35">
        <f>SUM(AF15:AI15)</f>
        <v/>
      </c>
      <c r="AK15" s="20">
        <f>IFERROR(AK13-AK14,"")</f>
        <v/>
      </c>
      <c r="AL15" s="20">
        <f>IFERROR(AL13-AL14,"")</f>
        <v/>
      </c>
      <c r="AM15" s="20">
        <f>IFERROR(AM13-AM14,"")</f>
        <v/>
      </c>
      <c r="AN15" s="20">
        <f>IFERROR(AN13-AN14,"")</f>
        <v/>
      </c>
      <c r="AO15" s="35">
        <f>SUM(AK15:AN15)</f>
        <v/>
      </c>
    </row>
    <row r="16">
      <c r="A16" s="12" t="inlineStr">
        <is>
          <t>지배주주순이익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(지배주주지분)당기순이익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IFERROR(AC15*변수!AC28,"")</f>
        <v/>
      </c>
      <c r="AD16" s="20">
        <f>IFERROR(AD15*변수!AD28,"")</f>
        <v/>
      </c>
      <c r="AE16" s="35">
        <f>SUM(AA16:AD16)</f>
        <v/>
      </c>
      <c r="AF16" s="20">
        <f>IFERROR(AF15*변수!AF28,"")</f>
        <v/>
      </c>
      <c r="AG16" s="20">
        <f>IFERROR(AG15*변수!AG28,"")</f>
        <v/>
      </c>
      <c r="AH16" s="20">
        <f>IFERROR(AH15*변수!AH28,"")</f>
        <v/>
      </c>
      <c r="AI16" s="20">
        <f>IFERROR(AI15*변수!AI28,"")</f>
        <v/>
      </c>
      <c r="AJ16" s="35">
        <f>SUM(AF16:AI16)</f>
        <v/>
      </c>
      <c r="AK16" s="20">
        <f>IFERROR(AK15*변수!AK28,"")</f>
        <v/>
      </c>
      <c r="AL16" s="20">
        <f>IFERROR(AL15*변수!AL28,"")</f>
        <v/>
      </c>
      <c r="AM16" s="20">
        <f>IFERROR(AM15*변수!AM28,"")</f>
        <v/>
      </c>
      <c r="AN16" s="20">
        <f>IFERROR(AN15*변수!AN28,"")</f>
        <v/>
      </c>
      <c r="AO16" s="35">
        <f>SUM(AK16:AN16)</f>
        <v/>
      </c>
    </row>
    <row r="17">
      <c r="A17" s="12" t="inlineStr">
        <is>
          <t>자산총계</t>
        </is>
      </c>
      <c r="B17" t="inlineStr">
        <is>
          <t>재무상태</t>
        </is>
      </c>
      <c r="C17" t="inlineStr">
        <is>
          <t>억원</t>
        </is>
      </c>
      <c r="D17" t="inlineStr">
        <is>
          <t>자산총계</t>
        </is>
      </c>
      <c r="E17" s="18">
        <f>IFERROR(VLOOKUP($D17,BS연결,MATCH(E$1,BS연결H,0),0)/100,"")</f>
        <v/>
      </c>
      <c r="F17" s="34">
        <f>IFERROR(VLOOKUP($D17,BS연결,MATCH(F$1,BS연결H,0),0)/100,"")</f>
        <v/>
      </c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IFERROR(AC18+AC19,"")</f>
        <v/>
      </c>
      <c r="AD17" s="20">
        <f>IFERROR(AD18+AD19,"")</f>
        <v/>
      </c>
      <c r="AE17" s="35">
        <f>AD17</f>
        <v/>
      </c>
      <c r="AF17" s="20">
        <f>IFERROR(AF18+AF19,"")</f>
        <v/>
      </c>
      <c r="AG17" s="20">
        <f>IFERROR(AG18+AG19,"")</f>
        <v/>
      </c>
      <c r="AH17" s="20">
        <f>IFERROR(AH18+AH19,"")</f>
        <v/>
      </c>
      <c r="AI17" s="20">
        <f>IFERROR(AI18+AI19,"")</f>
        <v/>
      </c>
      <c r="AJ17" s="35">
        <f>AI17</f>
        <v/>
      </c>
      <c r="AK17" s="20">
        <f>IFERROR(AK18+AK19,"")</f>
        <v/>
      </c>
      <c r="AL17" s="20">
        <f>IFERROR(AL18+AL19,"")</f>
        <v/>
      </c>
      <c r="AM17" s="20">
        <f>IFERROR(AM18+AM19,"")</f>
        <v/>
      </c>
      <c r="AN17" s="20">
        <f>IFERROR(AN18+AN19,"")</f>
        <v/>
      </c>
      <c r="AO17" s="35">
        <f>AN17</f>
        <v/>
      </c>
    </row>
    <row r="18">
      <c r="A18" s="12" t="inlineStr">
        <is>
          <t>부채총계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부채총계</t>
        </is>
      </c>
      <c r="E18" s="18">
        <f>IFERROR(VLOOKUP($D18,BS연결,MATCH(E$1,BS연결H,0),0)/100,"")</f>
        <v/>
      </c>
      <c r="F18" s="34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4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4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4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4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IFERROR(AB18*(1+변수!AC29),"")</f>
        <v/>
      </c>
      <c r="AD18" s="20">
        <f>IFERROR(AC18*(1+변수!AD29),"")</f>
        <v/>
      </c>
      <c r="AE18" s="35">
        <f>AD18</f>
        <v/>
      </c>
      <c r="AF18" s="20">
        <f>IFERROR(AD18*(1+변수!AF29),"")</f>
        <v/>
      </c>
      <c r="AG18" s="20">
        <f>IFERROR(AF18*(1+변수!AG29),"")</f>
        <v/>
      </c>
      <c r="AH18" s="20">
        <f>IFERROR(AG18*(1+변수!AH29),"")</f>
        <v/>
      </c>
      <c r="AI18" s="20">
        <f>IFERROR(AH18*(1+변수!AI29),"")</f>
        <v/>
      </c>
      <c r="AJ18" s="35">
        <f>AI18</f>
        <v/>
      </c>
      <c r="AK18" s="20">
        <f>IFERROR(AI18*(1+변수!AK29),"")</f>
        <v/>
      </c>
      <c r="AL18" s="20">
        <f>IFERROR(AK18*(1+변수!AL29),"")</f>
        <v/>
      </c>
      <c r="AM18" s="20">
        <f>IFERROR(AL18*(1+변수!AM29),"")</f>
        <v/>
      </c>
      <c r="AN18" s="20">
        <f>IFERROR(AM18*(1+변수!AN29),"")</f>
        <v/>
      </c>
      <c r="AO18" s="35">
        <f>AN18</f>
        <v/>
      </c>
    </row>
    <row r="19">
      <c r="A19" s="12" t="inlineStr">
        <is>
          <t>자본총계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자본총계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IFERROR(AB19+AC15-변수!AC30,"")</f>
        <v/>
      </c>
      <c r="AD19" s="20">
        <f>IFERROR(AC19+AD15-변수!AD30,"")</f>
        <v/>
      </c>
      <c r="AE19" s="35">
        <f>AD19</f>
        <v/>
      </c>
      <c r="AF19" s="20">
        <f>IFERROR(AD19+AF15-변수!AF30,"")</f>
        <v/>
      </c>
      <c r="AG19" s="20">
        <f>IFERROR(AF19+AG15-변수!AG30,"")</f>
        <v/>
      </c>
      <c r="AH19" s="20">
        <f>IFERROR(AG19+AH15-변수!AH30,"")</f>
        <v/>
      </c>
      <c r="AI19" s="20">
        <f>IFERROR(AH19+AI15-변수!AI30,"")</f>
        <v/>
      </c>
      <c r="AJ19" s="35">
        <f>AI19</f>
        <v/>
      </c>
      <c r="AK19" s="20">
        <f>IFERROR(AI19+AK15-변수!AK30,"")</f>
        <v/>
      </c>
      <c r="AL19" s="20">
        <f>IFERROR(AK19+AL15-변수!AL30,"")</f>
        <v/>
      </c>
      <c r="AM19" s="20">
        <f>IFERROR(AL19+AM15-변수!AM30,"")</f>
        <v/>
      </c>
      <c r="AN19" s="20">
        <f>IFERROR(AM19+AN15-변수!AN30,"")</f>
        <v/>
      </c>
      <c r="AO19" s="35">
        <f>AN19</f>
        <v/>
      </c>
    </row>
    <row r="20">
      <c r="A20" s="12" t="inlineStr">
        <is>
          <t>지배주주지분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지배주주지분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IFERROR(AB20+AC16-변수!AC31,"")</f>
        <v/>
      </c>
      <c r="AD20" s="20">
        <f>IFERROR(AC20+AD16-변수!AD31,"")</f>
        <v/>
      </c>
      <c r="AE20" s="35">
        <f>AD20</f>
        <v/>
      </c>
      <c r="AF20" s="20">
        <f>IFERROR(AD20+AF16-변수!AF31,"")</f>
        <v/>
      </c>
      <c r="AG20" s="20">
        <f>IFERROR(AF20+AG16-변수!AG31,"")</f>
        <v/>
      </c>
      <c r="AH20" s="20">
        <f>IFERROR(AG20+AH16-변수!AH31,"")</f>
        <v/>
      </c>
      <c r="AI20" s="20">
        <f>IFERROR(AH20+AI16-변수!AI31,"")</f>
        <v/>
      </c>
      <c r="AJ20" s="35">
        <f>AI20</f>
        <v/>
      </c>
      <c r="AK20" s="20">
        <f>IFERROR(AI20+AK16-변수!AK31,"")</f>
        <v/>
      </c>
      <c r="AL20" s="20">
        <f>IFERROR(AK20+AL16-변수!AL31,"")</f>
        <v/>
      </c>
      <c r="AM20" s="20">
        <f>IFERROR(AL20+AM16-변수!AM31,"")</f>
        <v/>
      </c>
      <c r="AN20" s="20">
        <f>IFERROR(AM20+AN16-변수!AN31,"")</f>
        <v/>
      </c>
      <c r="AO20" s="35">
        <f>AN20</f>
        <v/>
      </c>
    </row>
    <row r="21">
      <c r="A21" s="12" t="inlineStr">
        <is>
          <t>총차입금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총차입금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IFERROR(AB21*(1+변수!AC32),"")</f>
        <v/>
      </c>
      <c r="AD21" s="20">
        <f>IFERROR(AC21*(1+변수!AD32),"")</f>
        <v/>
      </c>
      <c r="AE21" s="35">
        <f>AD21</f>
        <v/>
      </c>
      <c r="AF21" s="20">
        <f>IFERROR(AD21*(1+변수!AF32),"")</f>
        <v/>
      </c>
      <c r="AG21" s="20">
        <f>IFERROR(AF21*(1+변수!AG32),"")</f>
        <v/>
      </c>
      <c r="AH21" s="20">
        <f>IFERROR(AG21*(1+변수!AH32),"")</f>
        <v/>
      </c>
      <c r="AI21" s="20">
        <f>IFERROR(AH21*(1+변수!AI32),"")</f>
        <v/>
      </c>
      <c r="AJ21" s="35">
        <f>AI21</f>
        <v/>
      </c>
      <c r="AK21" s="20">
        <f>IFERROR(AI21*(1+변수!AK32),"")</f>
        <v/>
      </c>
      <c r="AL21" s="20">
        <f>IFERROR(AK21*(1+변수!AL32),"")</f>
        <v/>
      </c>
      <c r="AM21" s="20">
        <f>IFERROR(AL21*(1+변수!AM32),"")</f>
        <v/>
      </c>
      <c r="AN21" s="20">
        <f>IFERROR(AM21*(1+변수!AN32),"")</f>
        <v/>
      </c>
      <c r="AO21" s="35">
        <f>AN21</f>
        <v/>
      </c>
    </row>
    <row r="22">
      <c r="A22" s="12" t="inlineStr">
        <is>
          <t>순차입금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순차입금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이자발생자산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이자발생자산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5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5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5">
        <f>AN23</f>
        <v/>
      </c>
    </row>
    <row r="24">
      <c r="A24" s="12" t="inlineStr">
        <is>
          <t>현금및현금성자산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현금및현금성자산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CAPEX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CAPEX</t>
        </is>
      </c>
      <c r="E25" s="18">
        <f>IFERROR(VLOOKUP($D25,BS연결,MATCH(E$1,BS연결H,0),0)/100,"")</f>
        <v/>
      </c>
      <c r="F25" s="34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5">
        <f>SUM(AA25:AD25)</f>
        <v/>
      </c>
      <c r="AF25" s="20" t="n"/>
      <c r="AG25" s="20" t="n"/>
      <c r="AH25" s="20" t="n"/>
      <c r="AI25" s="20" t="n"/>
      <c r="AJ25" s="35">
        <f>SUM(AF25:AI25)</f>
        <v/>
      </c>
      <c r="AK25" s="20" t="n"/>
      <c r="AL25" s="20" t="n"/>
      <c r="AM25" s="20" t="n"/>
      <c r="AN25" s="20" t="n"/>
      <c r="AO25" s="35">
        <f>SUM(AK25:AN25)</f>
        <v/>
      </c>
    </row>
    <row r="26">
      <c r="A26" s="12" t="inlineStr">
        <is>
          <t>영업활동현금흐름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영업활동현금흐름</t>
        </is>
      </c>
      <c r="E26" s="18" t="n">
        <v>1096.67</v>
      </c>
      <c r="F26" s="34" t="n"/>
      <c r="G26" s="18" t="n">
        <v>504.79</v>
      </c>
      <c r="H26" s="18" t="n">
        <v>-142.15</v>
      </c>
      <c r="I26" s="18" t="n">
        <v>-295.19</v>
      </c>
      <c r="J26" s="18" t="n">
        <v>618.46</v>
      </c>
      <c r="K26" s="34">
        <f>SUM(G26:J26)</f>
        <v/>
      </c>
      <c r="L26" s="18" t="n">
        <v>-546.54</v>
      </c>
      <c r="M26" s="18" t="n">
        <v>-746.51</v>
      </c>
      <c r="N26" s="18" t="n">
        <v>-8.109999999999999</v>
      </c>
      <c r="O26" s="18" t="n">
        <v>-80.87</v>
      </c>
      <c r="P26" s="34">
        <f>SUM(L26:O26)</f>
        <v/>
      </c>
      <c r="Q26" s="18" t="n">
        <v>101.61</v>
      </c>
      <c r="R26" s="18" t="n">
        <v>518.77</v>
      </c>
      <c r="S26" s="18" t="n">
        <v>461.89</v>
      </c>
      <c r="T26" s="18" t="n">
        <v>271.41</v>
      </c>
      <c r="U26" s="34">
        <f>SUM(Q26:T26)</f>
        <v/>
      </c>
      <c r="V26" s="18" t="n">
        <v>523.8200000000001</v>
      </c>
      <c r="W26" s="18" t="n">
        <v>464.63</v>
      </c>
      <c r="X26" s="18" t="n">
        <v>-1158.5</v>
      </c>
      <c r="Y26" s="18" t="n">
        <v>-227.63</v>
      </c>
      <c r="Z26" s="34">
        <f>SUM(V26:Y26)</f>
        <v/>
      </c>
      <c r="AA26" s="18" t="n">
        <v>409.09</v>
      </c>
      <c r="AB26" s="19" t="n">
        <v>114.72</v>
      </c>
      <c r="AC26" s="20" t="n"/>
      <c r="AD26" s="20" t="n"/>
      <c r="AE26" s="35">
        <f>SUM(AA26:AD26)</f>
        <v/>
      </c>
      <c r="AF26" s="20" t="n"/>
      <c r="AG26" s="20" t="n"/>
      <c r="AH26" s="20" t="n"/>
      <c r="AI26" s="20" t="n"/>
      <c r="AJ26" s="35">
        <f>SUM(AF26:AI26)</f>
        <v/>
      </c>
      <c r="AK26" s="20" t="n"/>
      <c r="AL26" s="20" t="n"/>
      <c r="AM26" s="20" t="n"/>
      <c r="AN26" s="20" t="n"/>
      <c r="AO26" s="35">
        <f>SUM(AK26:AN26)</f>
        <v/>
      </c>
    </row>
    <row r="27">
      <c r="A27" s="12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6" t="n">
        <v>36.574</v>
      </c>
      <c r="F27" s="27">
        <f>E27</f>
        <v/>
      </c>
      <c r="G27" s="26" t="n">
        <v>37.077</v>
      </c>
      <c r="H27" s="26" t="n">
        <v>37.077</v>
      </c>
      <c r="I27" s="26" t="n">
        <v>37.077</v>
      </c>
      <c r="J27" s="26" t="n">
        <v>53.235</v>
      </c>
      <c r="K27" s="27">
        <f>J27</f>
        <v/>
      </c>
      <c r="L27" s="26" t="n">
        <v>53.235</v>
      </c>
      <c r="M27" s="26" t="n">
        <v>53.235</v>
      </c>
      <c r="N27" s="26" t="n">
        <v>59.196</v>
      </c>
      <c r="O27" s="26" t="n">
        <v>59.196</v>
      </c>
      <c r="P27" s="27">
        <f>O27</f>
        <v/>
      </c>
      <c r="Q27" s="26" t="n">
        <v>59.196</v>
      </c>
      <c r="R27" s="26" t="n">
        <v>59.196</v>
      </c>
      <c r="S27" s="26" t="n">
        <v>59.196</v>
      </c>
      <c r="T27" s="26" t="n">
        <v>59.196</v>
      </c>
      <c r="U27" s="27">
        <f>T27</f>
        <v/>
      </c>
      <c r="V27" s="26" t="n">
        <v>59.196</v>
      </c>
      <c r="W27" s="26" t="n">
        <v>60.18</v>
      </c>
      <c r="X27" s="26" t="n">
        <v>62.478</v>
      </c>
      <c r="Y27" s="26" t="n">
        <v>62.478</v>
      </c>
      <c r="Z27" s="27">
        <f>Y27</f>
        <v/>
      </c>
      <c r="AA27" s="26" t="n">
        <v>62.478</v>
      </c>
      <c r="AB27" s="28" t="n">
        <v>62.478</v>
      </c>
      <c r="AC27" s="36">
        <f>IFERROR(AB27*(1+변수!AC38),"")</f>
        <v/>
      </c>
      <c r="AD27" s="36">
        <f>IFERROR(AC27*(1+변수!AD38),"")</f>
        <v/>
      </c>
      <c r="AE27" s="30">
        <f>AD27</f>
        <v/>
      </c>
      <c r="AF27" s="36">
        <f>IFERROR(AD27*(1+변수!AF38),"")</f>
        <v/>
      </c>
      <c r="AG27" s="36">
        <f>IFERROR(AF27*(1+변수!AG38),"")</f>
        <v/>
      </c>
      <c r="AH27" s="36">
        <f>IFERROR(AG27*(1+변수!AH38),"")</f>
        <v/>
      </c>
      <c r="AI27" s="36">
        <f>IFERROR(AH27*(1+변수!AI38),"")</f>
        <v/>
      </c>
      <c r="AJ27" s="30">
        <f>AI27</f>
        <v/>
      </c>
      <c r="AK27" s="36">
        <f>IFERROR(AI27*(1+변수!AK38),"")</f>
        <v/>
      </c>
      <c r="AL27" s="36">
        <f>IFERROR(AK27*(1+변수!AL38),"")</f>
        <v/>
      </c>
      <c r="AM27" s="36">
        <f>IFERROR(AL27*(1+변수!AM38),"")</f>
        <v/>
      </c>
      <c r="AN27" s="36">
        <f>IFERROR(AM27*(1+변수!AN38),"")</f>
        <v/>
      </c>
      <c r="AO27" s="30">
        <f>AN27</f>
        <v/>
      </c>
    </row>
    <row r="28">
      <c r="A28" s="12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18">
        <f>IFERROR(E16*100/E27,"")</f>
        <v/>
      </c>
      <c r="F28" s="34" t="n"/>
      <c r="G28" s="18">
        <f>IFERROR(G16*100/G27,"")</f>
        <v/>
      </c>
      <c r="H28" s="18">
        <f>IFERROR(H16*100/H27,"")</f>
        <v/>
      </c>
      <c r="I28" s="18">
        <f>IFERROR(I16*100/I27,"")</f>
        <v/>
      </c>
      <c r="J28" s="18">
        <f>IFERROR(J16*100/J27,"")</f>
        <v/>
      </c>
      <c r="K28" s="34">
        <f>SUM(G28:J28)</f>
        <v/>
      </c>
      <c r="L28" s="18">
        <f>IFERROR(L16*100/L27,"")</f>
        <v/>
      </c>
      <c r="M28" s="18">
        <f>IFERROR(M16*100/M27,"")</f>
        <v/>
      </c>
      <c r="N28" s="18">
        <f>IFERROR(N16*100/N27,"")</f>
        <v/>
      </c>
      <c r="O28" s="18">
        <f>IFERROR(O16*100/O27,"")</f>
        <v/>
      </c>
      <c r="P28" s="34">
        <f>SUM(L28:O28)</f>
        <v/>
      </c>
      <c r="Q28" s="18">
        <f>IFERROR(Q16*100/Q27,"")</f>
        <v/>
      </c>
      <c r="R28" s="18">
        <f>IFERROR(R16*100/R27,"")</f>
        <v/>
      </c>
      <c r="S28" s="18">
        <f>IFERROR(S16*100/S27,"")</f>
        <v/>
      </c>
      <c r="T28" s="18">
        <f>IFERROR(T16*100/T27,"")</f>
        <v/>
      </c>
      <c r="U28" s="34">
        <f>SUM(Q28:T28)</f>
        <v/>
      </c>
      <c r="V28" s="18">
        <f>IFERROR(V16*100/V27,"")</f>
        <v/>
      </c>
      <c r="W28" s="18">
        <f>IFERROR(W16*100/W27,"")</f>
        <v/>
      </c>
      <c r="X28" s="18">
        <f>IFERROR(X16*100/X27,"")</f>
        <v/>
      </c>
      <c r="Y28" s="18">
        <f>IFERROR(Y16*100/Y27,"")</f>
        <v/>
      </c>
      <c r="Z28" s="34">
        <f>SUM(V28:Y28)</f>
        <v/>
      </c>
      <c r="AA28" s="18">
        <f>IFERROR(AA16*100/AA27,"")</f>
        <v/>
      </c>
      <c r="AB28" s="19">
        <f>IFERROR(AB16*100/AB27,"")</f>
        <v/>
      </c>
      <c r="AC28" s="20">
        <f>IFERROR(AC16*100/AC27,"")</f>
        <v/>
      </c>
      <c r="AD28" s="20">
        <f>IFERROR(AD16*100/AD27,"")</f>
        <v/>
      </c>
      <c r="AE28" s="35">
        <f>SUM(AA28:AD28)</f>
        <v/>
      </c>
      <c r="AF28" s="20">
        <f>IFERROR(AF16*100/AF27,"")</f>
        <v/>
      </c>
      <c r="AG28" s="20">
        <f>IFERROR(AG16*100/AG27,"")</f>
        <v/>
      </c>
      <c r="AH28" s="20">
        <f>IFERROR(AH16*100/AH27,"")</f>
        <v/>
      </c>
      <c r="AI28" s="20">
        <f>IFERROR(AI16*100/AI27,"")</f>
        <v/>
      </c>
      <c r="AJ28" s="35">
        <f>SUM(AF28:AI28)</f>
        <v/>
      </c>
      <c r="AK28" s="20">
        <f>IFERROR(AK16*100/AK27,"")</f>
        <v/>
      </c>
      <c r="AL28" s="20">
        <f>IFERROR(AL16*100/AL27,"")</f>
        <v/>
      </c>
      <c r="AM28" s="20">
        <f>IFERROR(AM16*100/AM27,"")</f>
        <v/>
      </c>
      <c r="AN28" s="20">
        <f>IFERROR(AN16*100/AN27,"")</f>
        <v/>
      </c>
      <c r="AO28" s="35">
        <f>SUM(AK28:AN28)</f>
        <v/>
      </c>
    </row>
    <row r="29">
      <c r="A29" s="12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18">
        <f>IFERROR(E20*100/E27,"")</f>
        <v/>
      </c>
      <c r="F29" s="34">
        <f>E29</f>
        <v/>
      </c>
      <c r="G29" s="18">
        <f>IFERROR(G20*100/G27,"")</f>
        <v/>
      </c>
      <c r="H29" s="18">
        <f>IFERROR(H20*100/H27,"")</f>
        <v/>
      </c>
      <c r="I29" s="18">
        <f>IFERROR(I20*100/I27,"")</f>
        <v/>
      </c>
      <c r="J29" s="18">
        <f>IFERROR(J20*100/J27,"")</f>
        <v/>
      </c>
      <c r="K29" s="34">
        <f>J29</f>
        <v/>
      </c>
      <c r="L29" s="18">
        <f>IFERROR(L20*100/L27,"")</f>
        <v/>
      </c>
      <c r="M29" s="18">
        <f>IFERROR(M20*100/M27,"")</f>
        <v/>
      </c>
      <c r="N29" s="18">
        <f>IFERROR(N20*100/N27,"")</f>
        <v/>
      </c>
      <c r="O29" s="18">
        <f>IFERROR(O20*100/O27,"")</f>
        <v/>
      </c>
      <c r="P29" s="34">
        <f>O29</f>
        <v/>
      </c>
      <c r="Q29" s="18">
        <f>IFERROR(Q20*100/Q27,"")</f>
        <v/>
      </c>
      <c r="R29" s="18">
        <f>IFERROR(R20*100/R27,"")</f>
        <v/>
      </c>
      <c r="S29" s="18">
        <f>IFERROR(S20*100/S27,"")</f>
        <v/>
      </c>
      <c r="T29" s="18">
        <f>IFERROR(T20*100/T27,"")</f>
        <v/>
      </c>
      <c r="U29" s="34">
        <f>T29</f>
        <v/>
      </c>
      <c r="V29" s="18">
        <f>IFERROR(V20*100/V27,"")</f>
        <v/>
      </c>
      <c r="W29" s="18">
        <f>IFERROR(W20*100/W27,"")</f>
        <v/>
      </c>
      <c r="X29" s="18">
        <f>IFERROR(X20*100/X27,"")</f>
        <v/>
      </c>
      <c r="Y29" s="18">
        <f>IFERROR(Y20*100/Y27,"")</f>
        <v/>
      </c>
      <c r="Z29" s="34">
        <f>Y29</f>
        <v/>
      </c>
      <c r="AA29" s="18">
        <f>IFERROR(AA20*100/AA27,"")</f>
        <v/>
      </c>
      <c r="AB29" s="19">
        <f>IFERROR(AB20*100/AB27,"")</f>
        <v/>
      </c>
      <c r="AC29" s="20">
        <f>IFERROR(AC20*100/AC27,"")</f>
        <v/>
      </c>
      <c r="AD29" s="20">
        <f>IFERROR(AD20*100/AD27,"")</f>
        <v/>
      </c>
      <c r="AE29" s="35">
        <f>AD29</f>
        <v/>
      </c>
      <c r="AF29" s="20">
        <f>IFERROR(AF20*100/AF27,"")</f>
        <v/>
      </c>
      <c r="AG29" s="20">
        <f>IFERROR(AG20*100/AG27,"")</f>
        <v/>
      </c>
      <c r="AH29" s="20">
        <f>IFERROR(AH20*100/AH27,"")</f>
        <v/>
      </c>
      <c r="AI29" s="20">
        <f>IFERROR(AI20*100/AI27,"")</f>
        <v/>
      </c>
      <c r="AJ29" s="35">
        <f>AI29</f>
        <v/>
      </c>
      <c r="AK29" s="20">
        <f>IFERROR(AK20*100/AK27,"")</f>
        <v/>
      </c>
      <c r="AL29" s="20">
        <f>IFERROR(AL20*100/AL27,"")</f>
        <v/>
      </c>
      <c r="AM29" s="20">
        <f>IFERROR(AM20*100/AM27,"")</f>
        <v/>
      </c>
      <c r="AN29" s="20">
        <f>IFERROR(AN20*100/AN27,"")</f>
        <v/>
      </c>
      <c r="AO29" s="35">
        <f>AN29</f>
        <v/>
      </c>
    </row>
    <row r="30">
      <c r="A30" s="12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18" t="n">
        <v>0</v>
      </c>
      <c r="F30" s="34" t="n">
        <v>0</v>
      </c>
      <c r="G30" s="18" t="n"/>
      <c r="H30" s="18" t="n"/>
      <c r="I30" s="18" t="n"/>
      <c r="J30" s="18" t="n">
        <v>0</v>
      </c>
      <c r="K30" s="34">
        <f>SUM(G30:J30)</f>
        <v/>
      </c>
      <c r="L30" s="18" t="n"/>
      <c r="M30" s="18" t="n"/>
      <c r="N30" s="18" t="n"/>
      <c r="O30" s="18" t="n">
        <v>0</v>
      </c>
      <c r="P30" s="34">
        <f>SUM(L30:O30)</f>
        <v/>
      </c>
      <c r="Q30" s="18" t="n"/>
      <c r="R30" s="18" t="n"/>
      <c r="S30" s="18" t="n"/>
      <c r="T30" s="18" t="n">
        <v>0</v>
      </c>
      <c r="U30" s="34">
        <f>SUM(Q30:T30)</f>
        <v/>
      </c>
      <c r="V30" s="18" t="n"/>
      <c r="W30" s="18" t="n"/>
      <c r="X30" s="18" t="n"/>
      <c r="Y30" s="18" t="n">
        <v>0</v>
      </c>
      <c r="Z30" s="34">
        <f>SUM(V30:Y30)</f>
        <v/>
      </c>
      <c r="AA30" s="18" t="n"/>
      <c r="AB30" s="19" t="n"/>
      <c r="AC30" s="20" t="n"/>
      <c r="AD30" s="20" t="n">
        <v>0</v>
      </c>
      <c r="AE30" s="35">
        <f>SUM(AA30:AD30)</f>
        <v/>
      </c>
      <c r="AF30" s="20" t="n"/>
      <c r="AG30" s="20" t="n"/>
      <c r="AH30" s="20" t="n"/>
      <c r="AI30" s="20" t="n">
        <v>0</v>
      </c>
      <c r="AJ30" s="35">
        <f>SUM(AF30:AI30)</f>
        <v/>
      </c>
      <c r="AK30" s="20" t="n"/>
      <c r="AL30" s="20" t="n"/>
      <c r="AM30" s="20" t="n"/>
      <c r="AN30" s="20" t="n">
        <v>0</v>
      </c>
      <c r="AO30" s="35">
        <f>SUM(AK30:AN30)</f>
        <v/>
      </c>
    </row>
    <row r="31">
      <c r="A31" s="12" t="inlineStr">
        <is>
          <t>PER</t>
        </is>
      </c>
      <c r="B31" t="inlineStr">
        <is>
          <t>주당</t>
        </is>
      </c>
      <c r="C31" t="inlineStr">
        <is>
          <t>배</t>
        </is>
      </c>
      <c r="D31" t="inlineStr">
        <is>
          <t>PER</t>
        </is>
      </c>
      <c r="E31" s="18" t="n"/>
      <c r="F31" s="34" t="n"/>
      <c r="G31" s="18" t="n"/>
      <c r="H31" s="18" t="n"/>
      <c r="I31" s="18" t="n"/>
      <c r="J31" s="18" t="n">
        <v>35.89</v>
      </c>
      <c r="K31" s="34">
        <f>SUM(G31:J31)</f>
        <v/>
      </c>
      <c r="L31" s="18" t="n">
        <v>26.85</v>
      </c>
      <c r="M31" s="18" t="n">
        <v>22.15</v>
      </c>
      <c r="N31" s="18" t="n">
        <v>24.27</v>
      </c>
      <c r="O31" s="18" t="n">
        <v>16.01</v>
      </c>
      <c r="P31" s="34">
        <f>SUM(L31:O31)</f>
        <v/>
      </c>
      <c r="Q31" s="18" t="n">
        <v>21.08</v>
      </c>
      <c r="R31" s="18" t="n">
        <v>36.58</v>
      </c>
      <c r="S31" s="18" t="n">
        <v>31.68</v>
      </c>
      <c r="T31" s="18" t="n">
        <v>47.06</v>
      </c>
      <c r="U31" s="34">
        <f>SUM(Q31:T31)</f>
        <v/>
      </c>
      <c r="V31" s="18" t="n">
        <v>49.62</v>
      </c>
      <c r="W31" s="18" t="n">
        <v>44.82</v>
      </c>
      <c r="X31" s="18" t="n">
        <v>54.67</v>
      </c>
      <c r="Y31" s="18" t="n">
        <v>33.22</v>
      </c>
      <c r="Z31" s="34">
        <f>SUM(V31:Y31)</f>
        <v/>
      </c>
      <c r="AA31" s="18" t="n">
        <v>28.65</v>
      </c>
      <c r="AB31" s="19" t="n">
        <v>26.29</v>
      </c>
      <c r="AC31" s="20">
        <f>IFERROR(X31*(1+변수!AC40),"")</f>
        <v/>
      </c>
      <c r="AD31" s="20">
        <f>IFERROR(Y31*(1+변수!AD40),"")</f>
        <v/>
      </c>
      <c r="AE31" s="35">
        <f>SUM(AA31:AD31)</f>
        <v/>
      </c>
      <c r="AF31" s="20">
        <f>IFERROR(AA31*(1+변수!AF40),"")</f>
        <v/>
      </c>
      <c r="AG31" s="20">
        <f>IFERROR(AB31*(1+변수!AG40),"")</f>
        <v/>
      </c>
      <c r="AH31" s="20">
        <f>IFERROR(AC31*(1+변수!AH40),"")</f>
        <v/>
      </c>
      <c r="AI31" s="20">
        <f>IFERROR(AD31*(1+변수!AI40),"")</f>
        <v/>
      </c>
      <c r="AJ31" s="35">
        <f>SUM(AF31:AI31)</f>
        <v/>
      </c>
      <c r="AK31" s="20">
        <f>IFERROR(AF31*(1+변수!AK40),"")</f>
        <v/>
      </c>
      <c r="AL31" s="20">
        <f>IFERROR(AG31*(1+변수!AL40),"")</f>
        <v/>
      </c>
      <c r="AM31" s="20">
        <f>IFERROR(AH31*(1+변수!AM40),"")</f>
        <v/>
      </c>
      <c r="AN31" s="20">
        <f>IFERROR(AI31*(1+변수!AN40),"")</f>
        <v/>
      </c>
      <c r="AO31" s="35">
        <f>SUM(AK31:AN31)</f>
        <v/>
      </c>
    </row>
    <row r="32">
      <c r="A32" s="12" t="inlineStr">
        <is>
          <t>PBR</t>
        </is>
      </c>
      <c r="B32" t="inlineStr">
        <is>
          <t>주당</t>
        </is>
      </c>
      <c r="C32" t="inlineStr">
        <is>
          <t>배</t>
        </is>
      </c>
      <c r="D32" t="inlineStr">
        <is>
          <t>PBR</t>
        </is>
      </c>
      <c r="E32" s="18" t="n">
        <v>5.49</v>
      </c>
      <c r="F32" s="34" t="n">
        <v>5.57</v>
      </c>
      <c r="G32" s="18" t="n">
        <v>4.26</v>
      </c>
      <c r="H32" s="18" t="n">
        <v>4.53</v>
      </c>
      <c r="I32" s="18" t="n">
        <v>1.76</v>
      </c>
      <c r="J32" s="18" t="n">
        <v>2.21</v>
      </c>
      <c r="K32" s="34">
        <f>SUM(G32:J32)</f>
        <v/>
      </c>
      <c r="L32" s="18" t="n">
        <v>1.97</v>
      </c>
      <c r="M32" s="18" t="n">
        <v>1.88</v>
      </c>
      <c r="N32" s="18" t="n">
        <v>1.84</v>
      </c>
      <c r="O32" s="18" t="n">
        <v>1.43</v>
      </c>
      <c r="P32" s="34">
        <f>SUM(L32:O32)</f>
        <v/>
      </c>
      <c r="Q32" s="18" t="n">
        <v>1.31</v>
      </c>
      <c r="R32" s="18" t="n">
        <v>1.18</v>
      </c>
      <c r="S32" s="18" t="n">
        <v>1.16</v>
      </c>
      <c r="T32" s="18" t="n">
        <v>1.09</v>
      </c>
      <c r="U32" s="34">
        <f>SUM(Q32:T32)</f>
        <v/>
      </c>
      <c r="V32" s="18" t="n">
        <v>1.16</v>
      </c>
      <c r="W32" s="18" t="n">
        <v>1.38</v>
      </c>
      <c r="X32" s="18" t="n">
        <v>1.77</v>
      </c>
      <c r="Y32" s="18" t="n">
        <v>1.56</v>
      </c>
      <c r="Z32" s="34">
        <f>SUM(V32:Y32)</f>
        <v/>
      </c>
      <c r="AA32" s="18" t="n">
        <v>1.51</v>
      </c>
      <c r="AB32" s="19" t="n">
        <v>1.52</v>
      </c>
      <c r="AC32" s="20">
        <f>IFERROR(X32*(1+변수!AC41),"")</f>
        <v/>
      </c>
      <c r="AD32" s="20">
        <f>IFERROR(Y32*(1+변수!AD41),"")</f>
        <v/>
      </c>
      <c r="AE32" s="35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5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5">
        <f>SUM(AK32:AN32)</f>
        <v/>
      </c>
    </row>
    <row r="33">
      <c r="A33" s="12" t="inlineStr">
        <is>
          <t>매출전사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매출 전사(부문 미분리)</t>
        </is>
      </c>
      <c r="E33" s="18" t="n">
        <v>1519.17</v>
      </c>
      <c r="F33" s="34" t="n"/>
      <c r="G33" s="18" t="n">
        <v>1709.84</v>
      </c>
      <c r="H33" s="18" t="n">
        <v>1695.61</v>
      </c>
      <c r="I33" s="18" t="n">
        <v>1847.52</v>
      </c>
      <c r="J33" s="18" t="n">
        <v>1665.33</v>
      </c>
      <c r="K33" s="34">
        <f>SUM(G33:J33)</f>
        <v/>
      </c>
      <c r="L33" s="18" t="n">
        <v>2197</v>
      </c>
      <c r="M33" s="18" t="n">
        <v>2579.42</v>
      </c>
      <c r="N33" s="18" t="n">
        <v>2369.97</v>
      </c>
      <c r="O33" s="18" t="n">
        <v>2111.98</v>
      </c>
      <c r="P33" s="34">
        <f>SUM(L33:O33)</f>
        <v/>
      </c>
      <c r="Q33" s="18" t="n">
        <v>1270.82</v>
      </c>
      <c r="R33" s="18" t="n">
        <v>1733.57</v>
      </c>
      <c r="S33" s="18" t="n">
        <v>1991.83</v>
      </c>
      <c r="T33" s="18" t="n">
        <v>1629.94</v>
      </c>
      <c r="U33" s="34">
        <f>SUM(Q33:T33)</f>
        <v/>
      </c>
      <c r="V33" s="18" t="n">
        <v>2571.36</v>
      </c>
      <c r="W33" s="18" t="n">
        <v>2406.25</v>
      </c>
      <c r="X33" s="18" t="n">
        <v>2931.56</v>
      </c>
      <c r="Y33" s="18" t="n">
        <v>1744.72</v>
      </c>
      <c r="Z33" s="34">
        <f>SUM(V33:Y33)</f>
        <v/>
      </c>
      <c r="AA33" s="18" t="n">
        <v>1746.56</v>
      </c>
      <c r="AB33" s="19" t="n">
        <v>1704.84</v>
      </c>
      <c r="AC33" s="20">
        <f>IFERROR(AC5*변수!AC42,"")</f>
        <v/>
      </c>
      <c r="AD33" s="20">
        <f>IFERROR(AD5*변수!AD42,"")</f>
        <v/>
      </c>
      <c r="AE33" s="35">
        <f>SUM(AA33:AD33)</f>
        <v/>
      </c>
      <c r="AF33" s="20">
        <f>IFERROR(AF5*변수!AF42,"")</f>
        <v/>
      </c>
      <c r="AG33" s="20">
        <f>IFERROR(AG5*변수!AG42,"")</f>
        <v/>
      </c>
      <c r="AH33" s="20">
        <f>IFERROR(AH5*변수!AH42,"")</f>
        <v/>
      </c>
      <c r="AI33" s="20">
        <f>IFERROR(AI5*변수!AI42,"")</f>
        <v/>
      </c>
      <c r="AJ33" s="35">
        <f>SUM(AF33:AI33)</f>
        <v/>
      </c>
      <c r="AK33" s="20">
        <f>IFERROR(AK5*변수!AK42,"")</f>
        <v/>
      </c>
      <c r="AL33" s="20">
        <f>IFERROR(AL5*변수!AL42,"")</f>
        <v/>
      </c>
      <c r="AM33" s="20">
        <f>IFERROR(AM5*변수!AM42,"")</f>
        <v/>
      </c>
      <c r="AN33" s="20">
        <f>IFERROR(AN5*변수!AN42,"")</f>
        <v/>
      </c>
      <c r="AO33" s="35">
        <f>SUM(AK33:AN33)</f>
        <v/>
      </c>
    </row>
    <row r="34">
      <c r="A34" s="12" t="inlineStr">
        <is>
          <t>OP전사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OP 전사(부문 미분리)</t>
        </is>
      </c>
      <c r="E34" s="18" t="n">
        <v>56.76</v>
      </c>
      <c r="F34" s="34" t="n"/>
      <c r="G34" s="18" t="n">
        <v>170.67</v>
      </c>
      <c r="H34" s="18" t="n">
        <v>204.19</v>
      </c>
      <c r="I34" s="18" t="n">
        <v>219.43</v>
      </c>
      <c r="J34" s="18" t="n">
        <v>125.12</v>
      </c>
      <c r="K34" s="34">
        <f>SUM(G34:J34)</f>
        <v/>
      </c>
      <c r="L34" s="18" t="n">
        <v>185.73</v>
      </c>
      <c r="M34" s="18" t="n">
        <v>301.11</v>
      </c>
      <c r="N34" s="18" t="n">
        <v>163.8</v>
      </c>
      <c r="O34" s="18" t="n">
        <v>105.41</v>
      </c>
      <c r="P34" s="34">
        <f>SUM(L34:O34)</f>
        <v/>
      </c>
      <c r="Q34" s="18" t="n">
        <v>89.45</v>
      </c>
      <c r="R34" s="18" t="n">
        <v>149.81</v>
      </c>
      <c r="S34" s="18" t="n">
        <v>151.96</v>
      </c>
      <c r="T34" s="18" t="n">
        <v>26.75</v>
      </c>
      <c r="U34" s="34">
        <f>SUM(Q34:T34)</f>
        <v/>
      </c>
      <c r="V34" s="18" t="n">
        <v>110.41</v>
      </c>
      <c r="W34" s="18" t="n">
        <v>155.51</v>
      </c>
      <c r="X34" s="18" t="n">
        <v>192.54</v>
      </c>
      <c r="Y34" s="18" t="n">
        <v>136.64</v>
      </c>
      <c r="Z34" s="34">
        <f>SUM(V34:Y34)</f>
        <v/>
      </c>
      <c r="AA34" s="18" t="n">
        <v>168.58</v>
      </c>
      <c r="AB34" s="19" t="n">
        <v>193.44</v>
      </c>
      <c r="AC34" s="20">
        <f>IFERROR(AC33*변수!AC43,"")</f>
        <v/>
      </c>
      <c r="AD34" s="20">
        <f>IFERROR(AD33*변수!AD43,"")</f>
        <v/>
      </c>
      <c r="AE34" s="35">
        <f>SUM(AA34:AD34)</f>
        <v/>
      </c>
      <c r="AF34" s="20">
        <f>IFERROR(AF33*변수!AF43,"")</f>
        <v/>
      </c>
      <c r="AG34" s="20">
        <f>IFERROR(AG33*변수!AG43,"")</f>
        <v/>
      </c>
      <c r="AH34" s="20">
        <f>IFERROR(AH33*변수!AH43,"")</f>
        <v/>
      </c>
      <c r="AI34" s="20">
        <f>IFERROR(AI33*변수!AI43,"")</f>
        <v/>
      </c>
      <c r="AJ34" s="35">
        <f>SUM(AF34:AI34)</f>
        <v/>
      </c>
      <c r="AK34" s="20">
        <f>IFERROR(AK33*변수!AK43,"")</f>
        <v/>
      </c>
      <c r="AL34" s="20">
        <f>IFERROR(AL33*변수!AL43,"")</f>
        <v/>
      </c>
      <c r="AM34" s="20">
        <f>IFERROR(AM33*변수!AM43,"")</f>
        <v/>
      </c>
      <c r="AN34" s="20">
        <f>IFERROR(AN33*변수!AN43,"")</f>
        <v/>
      </c>
      <c r="AO34" s="35">
        <f>SUM(AK34:AN34)</f>
        <v/>
      </c>
    </row>
    <row r="35">
      <c r="B35" s="2" t="inlineStr">
        <is>
          <t>비율(참고)</t>
        </is>
      </c>
      <c r="F35" s="9" t="n"/>
      <c r="K35" s="9" t="n"/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s="12" t="inlineStr">
        <is>
          <t>OPM</t>
        </is>
      </c>
      <c r="C36" t="inlineStr">
        <is>
          <t>%</t>
        </is>
      </c>
      <c r="D36" t="inlineStr">
        <is>
          <t>영업이익 / 매출액</t>
        </is>
      </c>
      <c r="E36" s="21">
        <f>IFERROR(E9/E5,"")</f>
        <v/>
      </c>
      <c r="F36" s="22">
        <f>IFERROR(F9/F5,"")</f>
        <v/>
      </c>
      <c r="G36" s="21">
        <f>IFERROR(G9/G5,"")</f>
        <v/>
      </c>
      <c r="H36" s="21">
        <f>IFERROR(H9/H5,"")</f>
        <v/>
      </c>
      <c r="I36" s="21">
        <f>IFERROR(I9/I5,"")</f>
        <v/>
      </c>
      <c r="J36" s="21">
        <f>IFERROR(J9/J5,"")</f>
        <v/>
      </c>
      <c r="K36" s="22">
        <f>IFERROR(K9/K5,"")</f>
        <v/>
      </c>
      <c r="L36" s="21">
        <f>IFERROR(L9/L5,"")</f>
        <v/>
      </c>
      <c r="M36" s="21">
        <f>IFERROR(M9/M5,"")</f>
        <v/>
      </c>
      <c r="N36" s="21">
        <f>IFERROR(N9/N5,"")</f>
        <v/>
      </c>
      <c r="O36" s="21">
        <f>IFERROR(O9/O5,"")</f>
        <v/>
      </c>
      <c r="P36" s="22">
        <f>IFERROR(P9/P5,"")</f>
        <v/>
      </c>
      <c r="Q36" s="21">
        <f>IFERROR(Q9/Q5,"")</f>
        <v/>
      </c>
      <c r="R36" s="21">
        <f>IFERROR(R9/R5,"")</f>
        <v/>
      </c>
      <c r="S36" s="21">
        <f>IFERROR(S9/S5,"")</f>
        <v/>
      </c>
      <c r="T36" s="21">
        <f>IFERROR(T9/T5,"")</f>
        <v/>
      </c>
      <c r="U36" s="22">
        <f>IFERROR(U9/U5,"")</f>
        <v/>
      </c>
      <c r="V36" s="21">
        <f>IFERROR(V9/V5,"")</f>
        <v/>
      </c>
      <c r="W36" s="21">
        <f>IFERROR(W9/W5,"")</f>
        <v/>
      </c>
      <c r="X36" s="21">
        <f>IFERROR(X9/X5,"")</f>
        <v/>
      </c>
      <c r="Y36" s="21">
        <f>IFERROR(Y9/Y5,"")</f>
        <v/>
      </c>
      <c r="Z36" s="22">
        <f>IFERROR(Z9/Z5,"")</f>
        <v/>
      </c>
      <c r="AA36" s="21">
        <f>IFERROR(AA9/AA5,"")</f>
        <v/>
      </c>
      <c r="AB36" s="23">
        <f>IFERROR(AB9/AB5,"")</f>
        <v/>
      </c>
      <c r="AC36" s="31">
        <f>IFERROR(AC9/AC5,"")</f>
        <v/>
      </c>
      <c r="AD36" s="31">
        <f>IFERROR(AD9/AD5,"")</f>
        <v/>
      </c>
      <c r="AE36" s="25">
        <f>IFERROR(AE9/AE5,"")</f>
        <v/>
      </c>
      <c r="AF36" s="31">
        <f>IFERROR(AF9/AF5,"")</f>
        <v/>
      </c>
      <c r="AG36" s="31">
        <f>IFERROR(AG9/AG5,"")</f>
        <v/>
      </c>
      <c r="AH36" s="31">
        <f>IFERROR(AH9/AH5,"")</f>
        <v/>
      </c>
      <c r="AI36" s="31">
        <f>IFERROR(AI9/AI5,"")</f>
        <v/>
      </c>
      <c r="AJ36" s="25">
        <f>IFERROR(AJ9/AJ5,"")</f>
        <v/>
      </c>
      <c r="AK36" s="31">
        <f>IFERROR(AK9/AK5,"")</f>
        <v/>
      </c>
      <c r="AL36" s="31">
        <f>IFERROR(AL9/AL5,"")</f>
        <v/>
      </c>
      <c r="AM36" s="31">
        <f>IFERROR(AM9/AM5,"")</f>
        <v/>
      </c>
      <c r="AN36" s="31">
        <f>IFERROR(AN9/AN5,"")</f>
        <v/>
      </c>
      <c r="AO36" s="25">
        <f>IFERROR(AO9/AO5,"")</f>
        <v/>
      </c>
    </row>
    <row r="37">
      <c r="A37" s="12" t="inlineStr">
        <is>
          <t>NPM</t>
        </is>
      </c>
      <c r="C37" t="inlineStr">
        <is>
          <t>%</t>
        </is>
      </c>
      <c r="D37" t="inlineStr">
        <is>
          <t>지배주주순이익 / 매출액</t>
        </is>
      </c>
      <c r="E37" s="21">
        <f>IFERROR(E16/E5,"")</f>
        <v/>
      </c>
      <c r="F37" s="22">
        <f>IFERROR(F16/F5,"")</f>
        <v/>
      </c>
      <c r="G37" s="21">
        <f>IFERROR(G16/G5,"")</f>
        <v/>
      </c>
      <c r="H37" s="21">
        <f>IFERROR(H16/H5,"")</f>
        <v/>
      </c>
      <c r="I37" s="21">
        <f>IFERROR(I16/I5,"")</f>
        <v/>
      </c>
      <c r="J37" s="21">
        <f>IFERROR(J16/J5,"")</f>
        <v/>
      </c>
      <c r="K37" s="22">
        <f>IFERROR(K16/K5,"")</f>
        <v/>
      </c>
      <c r="L37" s="21">
        <f>IFERROR(L16/L5,"")</f>
        <v/>
      </c>
      <c r="M37" s="21">
        <f>IFERROR(M16/M5,"")</f>
        <v/>
      </c>
      <c r="N37" s="21">
        <f>IFERROR(N16/N5,"")</f>
        <v/>
      </c>
      <c r="O37" s="21">
        <f>IFERROR(O16/O5,"")</f>
        <v/>
      </c>
      <c r="P37" s="22">
        <f>IFERROR(P16/P5,"")</f>
        <v/>
      </c>
      <c r="Q37" s="21">
        <f>IFERROR(Q16/Q5,"")</f>
        <v/>
      </c>
      <c r="R37" s="21">
        <f>IFERROR(R16/R5,"")</f>
        <v/>
      </c>
      <c r="S37" s="21">
        <f>IFERROR(S16/S5,"")</f>
        <v/>
      </c>
      <c r="T37" s="21">
        <f>IFERROR(T16/T5,"")</f>
        <v/>
      </c>
      <c r="U37" s="22">
        <f>IFERROR(U16/U5,"")</f>
        <v/>
      </c>
      <c r="V37" s="21">
        <f>IFERROR(V16/V5,"")</f>
        <v/>
      </c>
      <c r="W37" s="21">
        <f>IFERROR(W16/W5,"")</f>
        <v/>
      </c>
      <c r="X37" s="21">
        <f>IFERROR(X16/X5,"")</f>
        <v/>
      </c>
      <c r="Y37" s="21">
        <f>IFERROR(Y16/Y5,"")</f>
        <v/>
      </c>
      <c r="Z37" s="22">
        <f>IFERROR(Z16/Z5,"")</f>
        <v/>
      </c>
      <c r="AA37" s="21">
        <f>IFERROR(AA16/AA5,"")</f>
        <v/>
      </c>
      <c r="AB37" s="23">
        <f>IFERROR(AB16/AB5,"")</f>
        <v/>
      </c>
      <c r="AC37" s="31">
        <f>IFERROR(AC16/AC5,"")</f>
        <v/>
      </c>
      <c r="AD37" s="31">
        <f>IFERROR(AD16/AD5,"")</f>
        <v/>
      </c>
      <c r="AE37" s="25">
        <f>IFERROR(AE16/AE5,"")</f>
        <v/>
      </c>
      <c r="AF37" s="31">
        <f>IFERROR(AF16/AF5,"")</f>
        <v/>
      </c>
      <c r="AG37" s="31">
        <f>IFERROR(AG16/AG5,"")</f>
        <v/>
      </c>
      <c r="AH37" s="31">
        <f>IFERROR(AH16/AH5,"")</f>
        <v/>
      </c>
      <c r="AI37" s="31">
        <f>IFERROR(AI16/AI5,"")</f>
        <v/>
      </c>
      <c r="AJ37" s="25">
        <f>IFERROR(AJ16/AJ5,"")</f>
        <v/>
      </c>
      <c r="AK37" s="31">
        <f>IFERROR(AK16/AK5,"")</f>
        <v/>
      </c>
      <c r="AL37" s="31">
        <f>IFERROR(AL16/AL5,"")</f>
        <v/>
      </c>
      <c r="AM37" s="31">
        <f>IFERROR(AM16/AM5,"")</f>
        <v/>
      </c>
      <c r="AN37" s="31">
        <f>IFERROR(AN16/AN5,"")</f>
        <v/>
      </c>
      <c r="AO37" s="25">
        <f>IFERROR(AO16/AO5,"")</f>
        <v/>
      </c>
    </row>
    <row r="38">
      <c r="A38" s="12" t="inlineStr">
        <is>
          <t>매출원가율</t>
        </is>
      </c>
      <c r="C38" t="inlineStr">
        <is>
          <t>%</t>
        </is>
      </c>
      <c r="D38" t="inlineStr">
        <is>
          <t>매출원가 / 매출액</t>
        </is>
      </c>
      <c r="E38" s="21">
        <f>IFERROR(E6/E5,"")</f>
        <v/>
      </c>
      <c r="F38" s="22">
        <f>IFERROR(F6/F5,"")</f>
        <v/>
      </c>
      <c r="G38" s="21">
        <f>IFERROR(G6/G5,"")</f>
        <v/>
      </c>
      <c r="H38" s="21">
        <f>IFERROR(H6/H5,"")</f>
        <v/>
      </c>
      <c r="I38" s="21">
        <f>IFERROR(I6/I5,"")</f>
        <v/>
      </c>
      <c r="J38" s="21">
        <f>IFERROR(J6/J5,"")</f>
        <v/>
      </c>
      <c r="K38" s="22">
        <f>IFERROR(K6/K5,"")</f>
        <v/>
      </c>
      <c r="L38" s="21">
        <f>IFERROR(L6/L5,"")</f>
        <v/>
      </c>
      <c r="M38" s="21">
        <f>IFERROR(M6/M5,"")</f>
        <v/>
      </c>
      <c r="N38" s="21">
        <f>IFERROR(N6/N5,"")</f>
        <v/>
      </c>
      <c r="O38" s="21">
        <f>IFERROR(O6/O5,"")</f>
        <v/>
      </c>
      <c r="P38" s="22">
        <f>IFERROR(P6/P5,"")</f>
        <v/>
      </c>
      <c r="Q38" s="21">
        <f>IFERROR(Q6/Q5,"")</f>
        <v/>
      </c>
      <c r="R38" s="21">
        <f>IFERROR(R6/R5,"")</f>
        <v/>
      </c>
      <c r="S38" s="21">
        <f>IFERROR(S6/S5,"")</f>
        <v/>
      </c>
      <c r="T38" s="21">
        <f>IFERROR(T6/T5,"")</f>
        <v/>
      </c>
      <c r="U38" s="22">
        <f>IFERROR(U6/U5,"")</f>
        <v/>
      </c>
      <c r="V38" s="21">
        <f>IFERROR(V6/V5,"")</f>
        <v/>
      </c>
      <c r="W38" s="21">
        <f>IFERROR(W6/W5,"")</f>
        <v/>
      </c>
      <c r="X38" s="21">
        <f>IFERROR(X6/X5,"")</f>
        <v/>
      </c>
      <c r="Y38" s="21">
        <f>IFERROR(Y6/Y5,"")</f>
        <v/>
      </c>
      <c r="Z38" s="22">
        <f>IFERROR(Z6/Z5,"")</f>
        <v/>
      </c>
      <c r="AA38" s="21">
        <f>IFERROR(AA6/AA5,"")</f>
        <v/>
      </c>
      <c r="AB38" s="23">
        <f>IFERROR(AB6/AB5,"")</f>
        <v/>
      </c>
      <c r="AC38" s="31">
        <f>IFERROR(AC6/AC5,"")</f>
        <v/>
      </c>
      <c r="AD38" s="31">
        <f>IFERROR(AD6/AD5,"")</f>
        <v/>
      </c>
      <c r="AE38" s="25">
        <f>IFERROR(AE6/AE5,"")</f>
        <v/>
      </c>
      <c r="AF38" s="31">
        <f>IFERROR(AF6/AF5,"")</f>
        <v/>
      </c>
      <c r="AG38" s="31">
        <f>IFERROR(AG6/AG5,"")</f>
        <v/>
      </c>
      <c r="AH38" s="31">
        <f>IFERROR(AH6/AH5,"")</f>
        <v/>
      </c>
      <c r="AI38" s="31">
        <f>IFERROR(AI6/AI5,"")</f>
        <v/>
      </c>
      <c r="AJ38" s="25">
        <f>IFERROR(AJ6/AJ5,"")</f>
        <v/>
      </c>
      <c r="AK38" s="31">
        <f>IFERROR(AK6/AK5,"")</f>
        <v/>
      </c>
      <c r="AL38" s="31">
        <f>IFERROR(AL6/AL5,"")</f>
        <v/>
      </c>
      <c r="AM38" s="31">
        <f>IFERROR(AM6/AM5,"")</f>
        <v/>
      </c>
      <c r="AN38" s="31">
        <f>IFERROR(AN6/AN5,"")</f>
        <v/>
      </c>
      <c r="AO38" s="25">
        <f>IFERROR(AO6/AO5,"")</f>
        <v/>
      </c>
    </row>
    <row r="39">
      <c r="A39" s="12" t="inlineStr">
        <is>
          <t>판관비율</t>
        </is>
      </c>
      <c r="C39" t="inlineStr">
        <is>
          <t>%</t>
        </is>
      </c>
      <c r="D39" t="inlineStr">
        <is>
          <t>판관비 / 매출액</t>
        </is>
      </c>
      <c r="E39" s="21">
        <f>IFERROR(E8/E5,"")</f>
        <v/>
      </c>
      <c r="F39" s="22">
        <f>IFERROR(F8/F5,"")</f>
        <v/>
      </c>
      <c r="G39" s="21">
        <f>IFERROR(G8/G5,"")</f>
        <v/>
      </c>
      <c r="H39" s="21">
        <f>IFERROR(H8/H5,"")</f>
        <v/>
      </c>
      <c r="I39" s="21">
        <f>IFERROR(I8/I5,"")</f>
        <v/>
      </c>
      <c r="J39" s="21">
        <f>IFERROR(J8/J5,"")</f>
        <v/>
      </c>
      <c r="K39" s="22">
        <f>IFERROR(K8/K5,"")</f>
        <v/>
      </c>
      <c r="L39" s="21">
        <f>IFERROR(L8/L5,"")</f>
        <v/>
      </c>
      <c r="M39" s="21">
        <f>IFERROR(M8/M5,"")</f>
        <v/>
      </c>
      <c r="N39" s="21">
        <f>IFERROR(N8/N5,"")</f>
        <v/>
      </c>
      <c r="O39" s="21">
        <f>IFERROR(O8/O5,"")</f>
        <v/>
      </c>
      <c r="P39" s="22">
        <f>IFERROR(P8/P5,"")</f>
        <v/>
      </c>
      <c r="Q39" s="21">
        <f>IFERROR(Q8/Q5,"")</f>
        <v/>
      </c>
      <c r="R39" s="21">
        <f>IFERROR(R8/R5,"")</f>
        <v/>
      </c>
      <c r="S39" s="21">
        <f>IFERROR(S8/S5,"")</f>
        <v/>
      </c>
      <c r="T39" s="21">
        <f>IFERROR(T8/T5,"")</f>
        <v/>
      </c>
      <c r="U39" s="22">
        <f>IFERROR(U8/U5,"")</f>
        <v/>
      </c>
      <c r="V39" s="21">
        <f>IFERROR(V8/V5,"")</f>
        <v/>
      </c>
      <c r="W39" s="21">
        <f>IFERROR(W8/W5,"")</f>
        <v/>
      </c>
      <c r="X39" s="21">
        <f>IFERROR(X8/X5,"")</f>
        <v/>
      </c>
      <c r="Y39" s="21">
        <f>IFERROR(Y8/Y5,"")</f>
        <v/>
      </c>
      <c r="Z39" s="22">
        <f>IFERROR(Z8/Z5,"")</f>
        <v/>
      </c>
      <c r="AA39" s="21">
        <f>IFERROR(AA8/AA5,"")</f>
        <v/>
      </c>
      <c r="AB39" s="23">
        <f>IFERROR(AB8/AB5,"")</f>
        <v/>
      </c>
      <c r="AC39" s="31">
        <f>IFERROR(AC8/AC5,"")</f>
        <v/>
      </c>
      <c r="AD39" s="31">
        <f>IFERROR(AD8/AD5,"")</f>
        <v/>
      </c>
      <c r="AE39" s="25">
        <f>IFERROR(AE8/AE5,"")</f>
        <v/>
      </c>
      <c r="AF39" s="31">
        <f>IFERROR(AF8/AF5,"")</f>
        <v/>
      </c>
      <c r="AG39" s="31">
        <f>IFERROR(AG8/AG5,"")</f>
        <v/>
      </c>
      <c r="AH39" s="31">
        <f>IFERROR(AH8/AH5,"")</f>
        <v/>
      </c>
      <c r="AI39" s="31">
        <f>IFERROR(AI8/AI5,"")</f>
        <v/>
      </c>
      <c r="AJ39" s="25">
        <f>IFERROR(AJ8/AJ5,"")</f>
        <v/>
      </c>
      <c r="AK39" s="31">
        <f>IFERROR(AK8/AK5,"")</f>
        <v/>
      </c>
      <c r="AL39" s="31">
        <f>IFERROR(AL8/AL5,"")</f>
        <v/>
      </c>
      <c r="AM39" s="31">
        <f>IFERROR(AM8/AM5,"")</f>
        <v/>
      </c>
      <c r="AN39" s="31">
        <f>IFERROR(AN8/AN5,"")</f>
        <v/>
      </c>
      <c r="AO39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변수!D46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26">
        <f>IFERROR(VLOOKUP($A27,subQ,MATCH(I$1,SUBQH,0),0),"")</f>
        <v/>
      </c>
      <c r="J27" s="26">
        <f>IFERROR(VLOOKUP($A27,subQ,MATCH(J$1,SUBQH,0),0),"")</f>
        <v/>
      </c>
      <c r="K27" s="26">
        <f>IFERROR(VLOOKUP($A27,subQ,MATCH(K$1,SUBQH,0),0),"")</f>
        <v/>
      </c>
      <c r="L27" s="26">
        <f>IFERROR(VLOOKUP($A27,subQ,MATCH(L$1,SUBQH,0),0),"")</f>
        <v/>
      </c>
      <c r="M27" s="26">
        <f>IFERROR(VLOOKUP($A27,subQ,MATCH(M$1,SUBQH,0),0),"")</f>
        <v/>
      </c>
      <c r="N27" s="26">
        <f>IFERROR(VLOOKUP($A27,subQ,MATCH(N$1,SUBQH,0),0),"")</f>
        <v/>
      </c>
      <c r="O27" s="26">
        <f>IFERROR(VLOOKUP($A27,subQ,MATCH(O$1,SUBQH,0),0),"")</f>
        <v/>
      </c>
      <c r="P27" s="26">
        <f>IFERROR(VLOOKUP($A27,subQ,MATCH(P$1,SUBQH,0),0),"")</f>
        <v/>
      </c>
      <c r="Q27" s="26">
        <f>IFERROR(VLOOKUP($A27,subQ,MATCH(Q$1,SUBQH,0),0),"")</f>
        <v/>
      </c>
      <c r="R27" s="26">
        <f>IFERROR(VLOOKUP($A27,subQ,MATCH(R$1,SUBQH,0),0),"")</f>
        <v/>
      </c>
      <c r="S27" s="26">
        <f>IFERROR(VLOOKUP($A27,subQ,MATCH(S$1,SUBQH,0),0),"")</f>
        <v/>
      </c>
      <c r="T27" s="26">
        <f>IFERROR(VLOOKUP($A27,subQ,MATCH(T$1,SUBQH,0),0),"")</f>
        <v/>
      </c>
      <c r="U27" s="26">
        <f>IFERROR(VLOOKUP($A27,subQ,MATCH(U$1,SUBQH,0),0),"")</f>
        <v/>
      </c>
      <c r="V27" s="26">
        <f>IFERROR(VLOOKUP($A27,subQ,MATCH(V$1,SUBQH,0),0),"")</f>
        <v/>
      </c>
      <c r="W27" s="43">
        <f>IFERROR(VLOOKUP($A27,subQ,MATCH(W$1,SUBQH,0),0),"")</f>
        <v/>
      </c>
      <c r="X27" s="36">
        <f>IFERROR(VLOOKUP($A27,subQ,MATCH(X$1,SUBQH,0),0),"")</f>
        <v/>
      </c>
      <c r="Y27" s="36">
        <f>IFERROR(VLOOKUP($A27,subQ,MATCH(Y$1,SUBQH,0),0),"")</f>
        <v/>
      </c>
      <c r="Z27" s="36">
        <f>IFERROR(VLOOKUP($A27,subQ,MATCH(Z$1,SUBQH,0),0),"")</f>
        <v/>
      </c>
      <c r="AA27" s="36">
        <f>IFERROR(VLOOKUP($A27,subQ,MATCH(AA$1,SUBQH,0),0),"")</f>
        <v/>
      </c>
      <c r="AB27" s="36">
        <f>IFERROR(VLOOKUP($A27,subQ,MATCH(AB$1,SUBQH,0),0),"")</f>
        <v/>
      </c>
      <c r="AC27" s="36">
        <f>IFERROR(VLOOKUP($A27,subQ,MATCH(AC$1,SUBQH,0),0),"")</f>
        <v/>
      </c>
      <c r="AD27" s="36">
        <f>IFERROR(VLOOKUP($A27,subQ,MATCH(AD$1,SUBQH,0),0),"")</f>
        <v/>
      </c>
      <c r="AE27" s="36">
        <f>IFERROR(VLOOKUP($A27,subQ,MATCH(AE$1,SUBQH,0),0),"")</f>
        <v/>
      </c>
      <c r="AF27" s="36">
        <f>IFERROR(VLOOKUP($A27,subQ,MATCH(AF$1,SUBQH,0),0),"")</f>
        <v/>
      </c>
      <c r="AG27" s="36">
        <f>IFERROR(VLOOKUP($A27,subQ,MATCH(AG$1,SUBQH,0),0),"")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21">
        <f>IFERROR(VLOOKUP($A35,subQ,MATCH(I$1,SUBQH,0),0),"")</f>
        <v/>
      </c>
      <c r="J35" s="21">
        <f>IFERROR(VLOOKUP($A35,subQ,MATCH(J$1,SUBQH,0),0),"")</f>
        <v/>
      </c>
      <c r="K35" s="21">
        <f>IFERROR(VLOOKUP($A35,subQ,MATCH(K$1,SUBQH,0),0),"")</f>
        <v/>
      </c>
      <c r="L35" s="21">
        <f>IFERROR(VLOOKUP($A35,subQ,MATCH(L$1,SUBQH,0),0),"")</f>
        <v/>
      </c>
      <c r="M35" s="21">
        <f>IFERROR(VLOOKUP($A35,subQ,MATCH(M$1,SUBQH,0),0),"")</f>
        <v/>
      </c>
      <c r="N35" s="21">
        <f>IFERROR(VLOOKUP($A35,subQ,MATCH(N$1,SUBQH,0),0),"")</f>
        <v/>
      </c>
      <c r="O35" s="21">
        <f>IFERROR(VLOOKUP($A35,subQ,MATCH(O$1,SUBQH,0),0),"")</f>
        <v/>
      </c>
      <c r="P35" s="21">
        <f>IFERROR(VLOOKUP($A35,subQ,MATCH(P$1,SUBQH,0),0),"")</f>
        <v/>
      </c>
      <c r="Q35" s="21">
        <f>IFERROR(VLOOKUP($A35,subQ,MATCH(Q$1,SUBQH,0),0),"")</f>
        <v/>
      </c>
      <c r="R35" s="21">
        <f>IFERROR(VLOOKUP($A35,subQ,MATCH(R$1,SUBQH,0),0),"")</f>
        <v/>
      </c>
      <c r="S35" s="21">
        <f>IFERROR(VLOOKUP($A35,subQ,MATCH(S$1,SUBQH,0),0),"")</f>
        <v/>
      </c>
      <c r="T35" s="21">
        <f>IFERROR(VLOOKUP($A35,subQ,MATCH(T$1,SUBQH,0),0),"")</f>
        <v/>
      </c>
      <c r="U35" s="21">
        <f>IFERROR(VLOOKUP($A35,subQ,MATCH(U$1,SUBQH,0),0),"")</f>
        <v/>
      </c>
      <c r="V35" s="21">
        <f>IFERROR(VLOOKUP($A35,subQ,MATCH(V$1,SUBQH,0),0),"")</f>
        <v/>
      </c>
      <c r="W35" s="42">
        <f>IFERROR(VLOOKUP($A35,subQ,MATCH(W$1,SUBQH,0),0),"")</f>
        <v/>
      </c>
      <c r="X35" s="31">
        <f>IFERROR(VLOOKUP($A35,subQ,MATCH(X$1,SUBQH,0),0),"")</f>
        <v/>
      </c>
      <c r="Y35" s="31">
        <f>IFERROR(VLOOKUP($A35,subQ,MATCH(Y$1,SUBQH,0),0),"")</f>
        <v/>
      </c>
      <c r="Z35" s="31">
        <f>IFERROR(VLOOKUP($A35,subQ,MATCH(Z$1,SUBQH,0),0),"")</f>
        <v/>
      </c>
      <c r="AA35" s="31">
        <f>IFERROR(VLOOKUP($A35,subQ,MATCH(AA$1,SUBQH,0),0),"")</f>
        <v/>
      </c>
      <c r="AB35" s="31">
        <f>IFERROR(VLOOKUP($A35,subQ,MATCH(AB$1,SUBQH,0),0),"")</f>
        <v/>
      </c>
      <c r="AC35" s="31">
        <f>IFERROR(VLOOKUP($A35,subQ,MATCH(AC$1,SUBQH,0),0),"")</f>
        <v/>
      </c>
      <c r="AD35" s="31">
        <f>IFERROR(VLOOKUP($A35,subQ,MATCH(AD$1,SUBQH,0),0),"")</f>
        <v/>
      </c>
      <c r="AE35" s="31">
        <f>IFERROR(VLOOKUP($A35,subQ,MATCH(AE$1,SUBQH,0),0),"")</f>
        <v/>
      </c>
      <c r="AF35" s="31">
        <f>IFERROR(VLOOKUP($A35,subQ,MATCH(AF$1,SUBQH,0),0),"")</f>
        <v/>
      </c>
      <c r="AG35" s="31">
        <f>IFERROR(VLOOKUP($A35,subQ,MATCH(AG$1,SUBQH,0),0),"")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1">
        <f>IFERROR(VLOOKUP($A36,subQ,MATCH(X$1,SUBQH,0),0),"")</f>
        <v/>
      </c>
      <c r="Y36" s="31">
        <f>IFERROR(VLOOKUP($A36,subQ,MATCH(Y$1,SUBQH,0),0),"")</f>
        <v/>
      </c>
      <c r="Z36" s="31">
        <f>IFERROR(VLOOKUP($A36,subQ,MATCH(Z$1,SUBQH,0),0),"")</f>
        <v/>
      </c>
      <c r="AA36" s="31">
        <f>IFERROR(VLOOKUP($A36,subQ,MATCH(AA$1,SUBQH,0),0),"")</f>
        <v/>
      </c>
      <c r="AB36" s="31">
        <f>IFERROR(VLOOKUP($A36,subQ,MATCH(AB$1,SUBQH,0),0),"")</f>
        <v/>
      </c>
      <c r="AC36" s="31">
        <f>IFERROR(VLOOKUP($A36,subQ,MATCH(AC$1,SUBQH,0),0),"")</f>
        <v/>
      </c>
      <c r="AD36" s="31">
        <f>IFERROR(VLOOKUP($A36,subQ,MATCH(AD$1,SUBQH,0),0),"")</f>
        <v/>
      </c>
      <c r="AE36" s="31">
        <f>IFERROR(VLOOKUP($A36,subQ,MATCH(AE$1,SUBQH,0),0),"")</f>
        <v/>
      </c>
      <c r="AF36" s="31">
        <f>IFERROR(VLOOKUP($A36,subQ,MATCH(AF$1,SUBQH,0),0),"")</f>
        <v/>
      </c>
      <c r="AG36" s="31">
        <f>IFERROR(VLOOKUP($A36,subQ,MATCH(AG$1,SUBQH,0),0),"")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I37" s="21">
        <f>IFERROR(I5/E5-1,"")</f>
        <v/>
      </c>
      <c r="J37" s="21">
        <f>IFERROR(J5/F5-1,"")</f>
        <v/>
      </c>
      <c r="K37" s="21">
        <f>IFERROR(K5/G5-1,"")</f>
        <v/>
      </c>
      <c r="L37" s="21">
        <f>IFERROR(L5/H5-1,"")</f>
        <v/>
      </c>
      <c r="M37" s="21">
        <f>IFERROR(M5/I5-1,"")</f>
        <v/>
      </c>
      <c r="N37" s="21">
        <f>IFERROR(N5/J5-1,"")</f>
        <v/>
      </c>
      <c r="O37" s="21">
        <f>IFERROR(O5/K5-1,"")</f>
        <v/>
      </c>
      <c r="P37" s="21">
        <f>IFERROR(P5/L5-1,"")</f>
        <v/>
      </c>
      <c r="Q37" s="21">
        <f>IFERROR(Q5/M5-1,"")</f>
        <v/>
      </c>
      <c r="R37" s="21">
        <f>IFERROR(R5/N5-1,"")</f>
        <v/>
      </c>
      <c r="S37" s="21">
        <f>IFERROR(S5/O5-1,"")</f>
        <v/>
      </c>
      <c r="T37" s="21">
        <f>IFERROR(T5/P5-1,"")</f>
        <v/>
      </c>
      <c r="U37" s="21">
        <f>IFERROR(U5/Q5-1,"")</f>
        <v/>
      </c>
      <c r="V37" s="21">
        <f>IFERROR(V5/R5-1,"")</f>
        <v/>
      </c>
      <c r="W37" s="42">
        <f>IFERROR(W5/S5-1,"")</f>
        <v/>
      </c>
      <c r="X37" s="31">
        <f>IFERROR(X5/T5-1,"")</f>
        <v/>
      </c>
      <c r="Y37" s="31">
        <f>IFERROR(Y5/U5-1,"")</f>
        <v/>
      </c>
      <c r="Z37" s="31">
        <f>IFERROR(Z5/V5-1,"")</f>
        <v/>
      </c>
      <c r="AA37" s="31">
        <f>IFERROR(AA5/W5-1,"")</f>
        <v/>
      </c>
      <c r="AB37" s="31">
        <f>IFERROR(AB5/X5-1,"")</f>
        <v/>
      </c>
      <c r="AC37" s="31">
        <f>IFERROR(AC5/Y5-1,"")</f>
        <v/>
      </c>
      <c r="AD37" s="31">
        <f>IFERROR(AD5/Z5-1,"")</f>
        <v/>
      </c>
      <c r="AE37" s="31">
        <f>IFERROR(AE5/AA5-1,"")</f>
        <v/>
      </c>
      <c r="AF37" s="31">
        <f>IFERROR(AF5/AB5-1,"")</f>
        <v/>
      </c>
      <c r="AG37" s="31">
        <f>IFERROR(AG5/AC5-1,"")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I38" s="21">
        <f>IFERROR(I9/E9-1,"")</f>
        <v/>
      </c>
      <c r="J38" s="21">
        <f>IFERROR(J9/F9-1,"")</f>
        <v/>
      </c>
      <c r="K38" s="21">
        <f>IFERROR(K9/G9-1,"")</f>
        <v/>
      </c>
      <c r="L38" s="21">
        <f>IFERROR(L9/H9-1,"")</f>
        <v/>
      </c>
      <c r="M38" s="21">
        <f>IFERROR(M9/I9-1,"")</f>
        <v/>
      </c>
      <c r="N38" s="21">
        <f>IFERROR(N9/J9-1,"")</f>
        <v/>
      </c>
      <c r="O38" s="21">
        <f>IFERROR(O9/K9-1,"")</f>
        <v/>
      </c>
      <c r="P38" s="21">
        <f>IFERROR(P9/L9-1,"")</f>
        <v/>
      </c>
      <c r="Q38" s="21">
        <f>IFERROR(Q9/M9-1,"")</f>
        <v/>
      </c>
      <c r="R38" s="21">
        <f>IFERROR(R9/N9-1,"")</f>
        <v/>
      </c>
      <c r="S38" s="21">
        <f>IFERROR(S9/O9-1,"")</f>
        <v/>
      </c>
      <c r="T38" s="21">
        <f>IFERROR(T9/P9-1,"")</f>
        <v/>
      </c>
      <c r="U38" s="21">
        <f>IFERROR(U9/Q9-1,"")</f>
        <v/>
      </c>
      <c r="V38" s="21">
        <f>IFERROR(V9/R9-1,"")</f>
        <v/>
      </c>
      <c r="W38" s="42">
        <f>IFERROR(W9/S9-1,"")</f>
        <v/>
      </c>
      <c r="X38" s="31">
        <f>IFERROR(X9/T9-1,"")</f>
        <v/>
      </c>
      <c r="Y38" s="31">
        <f>IFERROR(Y9/U9-1,"")</f>
        <v/>
      </c>
      <c r="Z38" s="31">
        <f>IFERROR(Z9/V9-1,"")</f>
        <v/>
      </c>
      <c r="AA38" s="31">
        <f>IFERROR(AA9/W9-1,"")</f>
        <v/>
      </c>
      <c r="AB38" s="31">
        <f>IFERROR(AB9/X9-1,"")</f>
        <v/>
      </c>
      <c r="AC38" s="31">
        <f>IFERROR(AC9/Y9-1,"")</f>
        <v/>
      </c>
      <c r="AD38" s="31">
        <f>IFERROR(AD9/Z9-1,"")</f>
        <v/>
      </c>
      <c r="AE38" s="31">
        <f>IFERROR(AE9/AA9-1,"")</f>
        <v/>
      </c>
      <c r="AF38" s="31">
        <f>IFERROR(AF9/AB9-1,"")</f>
        <v/>
      </c>
      <c r="AG38" s="31">
        <f>IFERROR(AG9/AC9-1,"")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I39" s="21">
        <f>IFERROR(I16/E16-1,"")</f>
        <v/>
      </c>
      <c r="J39" s="21">
        <f>IFERROR(J16/F16-1,"")</f>
        <v/>
      </c>
      <c r="K39" s="21">
        <f>IFERROR(K16/G16-1,"")</f>
        <v/>
      </c>
      <c r="L39" s="21">
        <f>IFERROR(L16/H16-1,"")</f>
        <v/>
      </c>
      <c r="M39" s="21">
        <f>IFERROR(M16/I16-1,"")</f>
        <v/>
      </c>
      <c r="N39" s="21">
        <f>IFERROR(N16/J16-1,"")</f>
        <v/>
      </c>
      <c r="O39" s="21">
        <f>IFERROR(O16/K16-1,"")</f>
        <v/>
      </c>
      <c r="P39" s="21">
        <f>IFERROR(P16/L16-1,"")</f>
        <v/>
      </c>
      <c r="Q39" s="21">
        <f>IFERROR(Q16/M16-1,"")</f>
        <v/>
      </c>
      <c r="R39" s="21">
        <f>IFERROR(R16/N16-1,"")</f>
        <v/>
      </c>
      <c r="S39" s="21">
        <f>IFERROR(S16/O16-1,"")</f>
        <v/>
      </c>
      <c r="T39" s="21">
        <f>IFERROR(T16/P16-1,"")</f>
        <v/>
      </c>
      <c r="U39" s="21">
        <f>IFERROR(U16/Q16-1,"")</f>
        <v/>
      </c>
      <c r="V39" s="21">
        <f>IFERROR(V16/R16-1,"")</f>
        <v/>
      </c>
      <c r="W39" s="42">
        <f>IFERROR(W16/S16-1,"")</f>
        <v/>
      </c>
      <c r="X39" s="31">
        <f>IFERROR(X16/T16-1,"")</f>
        <v/>
      </c>
      <c r="Y39" s="31">
        <f>IFERROR(Y16/U16-1,"")</f>
        <v/>
      </c>
      <c r="Z39" s="31">
        <f>IFERROR(Z16/V16-1,"")</f>
        <v/>
      </c>
      <c r="AA39" s="31">
        <f>IFERROR(AA16/W16-1,"")</f>
        <v/>
      </c>
      <c r="AB39" s="31">
        <f>IFERROR(AB16/X16-1,"")</f>
        <v/>
      </c>
      <c r="AC39" s="31">
        <f>IFERROR(AC16/Y16-1,"")</f>
        <v/>
      </c>
      <c r="AD39" s="31">
        <f>IFERROR(AD16/Z16-1,"")</f>
        <v/>
      </c>
      <c r="AE39" s="31">
        <f>IFERROR(AE16/AA16-1,"")</f>
        <v/>
      </c>
      <c r="AF39" s="31">
        <f>IFERROR(AF16/AB16-1,"")</f>
        <v/>
      </c>
      <c r="AG39" s="31">
        <f>IFERROR(AG16/AC16-1,"")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변수!D46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세전이익</t>
        </is>
      </c>
      <c r="D13" t="inlineStr">
        <is>
          <t>법인세비용차감전이익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법인세비용</t>
        </is>
      </c>
      <c r="D14" t="inlineStr">
        <is>
          <t>법인세비용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당기순이익</t>
        </is>
      </c>
      <c r="D15" t="inlineStr">
        <is>
          <t>당기순이익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지배주주순이익</t>
        </is>
      </c>
      <c r="D16" t="inlineStr">
        <is>
          <t>지배주주순이익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자산총계</t>
        </is>
      </c>
      <c r="D17" t="inlineStr">
        <is>
          <t>자산총계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부채총계</t>
        </is>
      </c>
      <c r="D18" t="inlineStr">
        <is>
          <t>부채총계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자본총계</t>
        </is>
      </c>
      <c r="D19" t="inlineStr">
        <is>
          <t>자본총계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지배주주지분</t>
        </is>
      </c>
      <c r="D20" t="inlineStr">
        <is>
          <t>지배주주지분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총차입금</t>
        </is>
      </c>
      <c r="D21" t="inlineStr">
        <is>
          <t>총차입금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순차입금</t>
        </is>
      </c>
      <c r="D22" t="inlineStr">
        <is>
          <t>순차입금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이자발생자산</t>
        </is>
      </c>
      <c r="D23" t="inlineStr">
        <is>
          <t>이자발생자산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현금및현금성자산</t>
        </is>
      </c>
      <c r="D24" t="inlineStr">
        <is>
          <t>현금및현금성자산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CAPEX</t>
        </is>
      </c>
      <c r="D25" t="inlineStr">
        <is>
          <t>CAPEX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영업활동현금흐름</t>
        </is>
      </c>
      <c r="D26" t="inlineStr">
        <is>
          <t>영업활동현금흐름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주식수</t>
        </is>
      </c>
      <c r="D27" t="inlineStr">
        <is>
          <t>유통주식수</t>
        </is>
      </c>
      <c r="E27" s="26">
        <f>IFERROR(VLOOKUP($A27,subQ,MATCH(E$1,SUBQH,0),0),"")</f>
        <v/>
      </c>
      <c r="F27" s="26">
        <f>IFERROR(VLOOKUP($A27,subQ,MATCH(F$1,SUBQH,0),0),"")</f>
        <v/>
      </c>
      <c r="G27" s="26">
        <f>IFERROR(VLOOKUP($A27,subQ,MATCH(G$1,SUBQH,0),0),"")</f>
        <v/>
      </c>
      <c r="H27" s="26">
        <f>IFERROR(VLOOKUP($A27,subQ,MATCH(H$1,SUBQH,0),0),"")</f>
        <v/>
      </c>
      <c r="I27" s="43">
        <f>IFERROR(VLOOKUP($A27,subQ,MATCH(I$1,SUBQH,0),0),"")</f>
        <v/>
      </c>
      <c r="J27" s="36">
        <f>IFERROR(VLOOKUP($A27,subQ,MATCH(J$1,SUBQH,0),0),"")</f>
        <v/>
      </c>
      <c r="K27" s="36">
        <f>IFERROR(VLOOKUP($A27,subQ,MATCH(K$1,SUBQH,0),0),"")</f>
        <v/>
      </c>
      <c r="L27" s="36">
        <f>IFERROR(VLOOKUP($A27,subQ,MATCH(L$1,SUBQH,0),0),"")</f>
        <v/>
      </c>
    </row>
    <row r="28">
      <c r="A28" s="12" t="inlineStr">
        <is>
          <t>EPS</t>
        </is>
      </c>
      <c r="D28" t="inlineStr">
        <is>
          <t>EPS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BPS</t>
        </is>
      </c>
      <c r="D29" t="inlineStr">
        <is>
          <t>BPS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DPS</t>
        </is>
      </c>
      <c r="D30" t="inlineStr">
        <is>
          <t>DPS(보통주)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PER</t>
        </is>
      </c>
      <c r="D31" t="inlineStr">
        <is>
          <t>PER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PBR</t>
        </is>
      </c>
      <c r="D32" t="inlineStr">
        <is>
          <t>PBR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매출전사</t>
        </is>
      </c>
      <c r="D33" t="inlineStr">
        <is>
          <t>매출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OP전사</t>
        </is>
      </c>
      <c r="D34" t="inlineStr">
        <is>
          <t>OP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OPM</t>
        </is>
      </c>
      <c r="D35" t="inlineStr">
        <is>
          <t>영업이익률</t>
        </is>
      </c>
      <c r="E35" s="21">
        <f>IFERROR(VLOOKUP($A35,subQ,MATCH(E$1,SUBQH,0),0),"")</f>
        <v/>
      </c>
      <c r="F35" s="21">
        <f>IFERROR(VLOOKUP($A35,subQ,MATCH(F$1,SUBQH,0),0),"")</f>
        <v/>
      </c>
      <c r="G35" s="21">
        <f>IFERROR(VLOOKUP($A35,subQ,MATCH(G$1,SUBQH,0),0),"")</f>
        <v/>
      </c>
      <c r="H35" s="21">
        <f>IFERROR(VLOOKUP($A35,subQ,MATCH(H$1,SUBQH,0),0),"")</f>
        <v/>
      </c>
      <c r="I35" s="42">
        <f>IFERROR(VLOOKUP($A35,subQ,MATCH(I$1,SUBQH,0),0),"")</f>
        <v/>
      </c>
      <c r="J35" s="31">
        <f>IFERROR(VLOOKUP($A35,subQ,MATCH(J$1,SUBQH,0),0),"")</f>
        <v/>
      </c>
      <c r="K35" s="31">
        <f>IFERROR(VLOOKUP($A35,subQ,MATCH(K$1,SUBQH,0),0),"")</f>
        <v/>
      </c>
      <c r="L35" s="31">
        <f>IFERROR(VLOOKUP($A35,subQ,MATCH(L$1,SUBQH,0),0),"")</f>
        <v/>
      </c>
    </row>
    <row r="36">
      <c r="A36" s="12" t="inlineStr">
        <is>
          <t>NPM</t>
        </is>
      </c>
      <c r="D36" t="inlineStr">
        <is>
          <t>NPM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1">
        <f>IFERROR(VLOOKUP($A36,subQ,MATCH(J$1,SUBQH,0),0),"")</f>
        <v/>
      </c>
      <c r="K36" s="31">
        <f>IFERROR(VLOOKUP($A36,subQ,MATCH(K$1,SUBQH,0),0),"")</f>
        <v/>
      </c>
      <c r="L36" s="31">
        <f>IFERROR(VLOOKUP($A36,subQ,MATCH(L$1,SUBQH,0),0),"")</f>
        <v/>
      </c>
    </row>
    <row r="37">
      <c r="A37" s="12" t="inlineStr">
        <is>
          <t>매출액 YoY</t>
        </is>
      </c>
      <c r="D37" t="inlineStr">
        <is>
          <t>매출액 YoY</t>
        </is>
      </c>
      <c r="F37" s="21">
        <f>IFERROR(F5/E5-1,"")</f>
        <v/>
      </c>
      <c r="G37" s="21">
        <f>IFERROR(G5/F5-1,"")</f>
        <v/>
      </c>
      <c r="H37" s="21">
        <f>IFERROR(H5/G5-1,"")</f>
        <v/>
      </c>
      <c r="I37" s="42">
        <f>IFERROR(I5/H5-1,"")</f>
        <v/>
      </c>
      <c r="J37" s="31">
        <f>IFERROR(J5/I5-1,"")</f>
        <v/>
      </c>
      <c r="K37" s="31">
        <f>IFERROR(K5/J5-1,"")</f>
        <v/>
      </c>
      <c r="L37" s="31">
        <f>IFERROR(L5/K5-1,"")</f>
        <v/>
      </c>
    </row>
    <row r="38">
      <c r="A38" s="12" t="inlineStr">
        <is>
          <t>영업이익 YoY</t>
        </is>
      </c>
      <c r="D38" t="inlineStr">
        <is>
          <t>영업이익 YoY</t>
        </is>
      </c>
      <c r="F38" s="21">
        <f>IFERROR(F9/E9-1,"")</f>
        <v/>
      </c>
      <c r="G38" s="21">
        <f>IFERROR(G9/F9-1,"")</f>
        <v/>
      </c>
      <c r="H38" s="21">
        <f>IFERROR(H9/G9-1,"")</f>
        <v/>
      </c>
      <c r="I38" s="42">
        <f>IFERROR(I9/H9-1,"")</f>
        <v/>
      </c>
      <c r="J38" s="31">
        <f>IFERROR(J9/I9-1,"")</f>
        <v/>
      </c>
      <c r="K38" s="31">
        <f>IFERROR(K9/J9-1,"")</f>
        <v/>
      </c>
      <c r="L38" s="31">
        <f>IFERROR(L9/K9-1,"")</f>
        <v/>
      </c>
    </row>
    <row r="39">
      <c r="A39" s="12" t="inlineStr">
        <is>
          <t>지배주주순이익 YoY</t>
        </is>
      </c>
      <c r="D39" t="inlineStr">
        <is>
          <t>지배주주순이익 YoY</t>
        </is>
      </c>
      <c r="F39" s="21">
        <f>IFERROR(F16/E16-1,"")</f>
        <v/>
      </c>
      <c r="G39" s="21">
        <f>IFERROR(G16/F16-1,"")</f>
        <v/>
      </c>
      <c r="H39" s="21">
        <f>IFERROR(H16/G16-1,"")</f>
        <v/>
      </c>
      <c r="I39" s="42">
        <f>IFERROR(I16/H16-1,"")</f>
        <v/>
      </c>
      <c r="J39" s="31">
        <f>IFERROR(J16/I16-1,"")</f>
        <v/>
      </c>
      <c r="K39" s="31">
        <f>IFERROR(K16/J16-1,"")</f>
        <v/>
      </c>
      <c r="L39" s="31">
        <f>IFERROR(L16/K16-1,"")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변수!D46</f>
        <v/>
      </c>
    </row>
    <row r="2">
      <c r="B2" s="1" t="inlineStr">
        <is>
          <t>기준일</t>
        </is>
      </c>
      <c r="C2">
        <f>변수!D47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IFERROR(E7*변수!D52+F7*(1-변수!D52),"")</f>
        <v/>
      </c>
    </row>
    <row r="15">
      <c r="C15" t="inlineStr">
        <is>
          <t>적정가치 @PER_lo</t>
        </is>
      </c>
      <c r="D15" s="26">
        <f>변수!D49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변수!D50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변수!D51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변수!D48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615.6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18.76</v>
      </c>
    </row>
    <row r="32">
      <c r="C32" s="2" t="inlineStr">
        <is>
          <t>pbr_now</t>
        </is>
      </c>
      <c r="D32" t="n">
        <v>0.86</v>
      </c>
    </row>
    <row r="33">
      <c r="C33" s="2" t="inlineStr">
        <is>
          <t>roe_fwd</t>
        </is>
      </c>
      <c r="D33" t="n">
        <v>0.0459</v>
      </c>
    </row>
    <row r="34">
      <c r="C34" s="2" t="inlineStr">
        <is>
          <t>fair_pbr</t>
        </is>
      </c>
      <c r="D34" t="n">
        <v>0.51</v>
      </c>
    </row>
    <row r="35">
      <c r="C35" s="2" t="inlineStr">
        <is>
          <t>fair_value_pbr</t>
        </is>
      </c>
      <c r="D35" t="n">
        <v>6800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