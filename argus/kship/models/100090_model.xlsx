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BS연결!$C$5:$AO$104</definedName>
    <definedName name="BS별도H">BS별도!$C$1:$AO$1</definedName>
    <definedName name="BS별도">BS별도!$C$5:$AO$97</definedName>
    <definedName name="SUBQH">subQ!$A$1:$AO$1</definedName>
    <definedName name="subQ">subQ!$A$5:$AO$42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(1+-5.5%) — g=최근 4분기 합 YoY -5.5% 클립(−30~+50%), 연차별 절반 감쇠(가정)</t>
      </text>
    </comment>
    <comment ref="AD21" authorId="0" shapeId="0">
      <text>
        <t>모델값 역산(implied): v / 전년동기 − 1
전년동기 × (1+-5.5%) — g=최근 4분기 합 YoY -5.5% 클립(−30~+50%), 연차별 절반 감쇠(가정)</t>
      </text>
    </comment>
    <comment ref="AF21" authorId="0" shapeId="0">
      <text>
        <t>모델값 역산(implied): v / 전년동기 − 1
전년동기 × (1+-5.5%) — g=최근 4분기 합 YoY -5.5% 클립(−30~+50%), 연차별 절반 감쇠(가정)</t>
      </text>
    </comment>
    <comment ref="AG21" authorId="0" shapeId="0">
      <text>
        <t>모델값 역산(implied): v / 전년동기 − 1
전년동기 × (1+-5.5%) — g=최근 4분기 합 YoY -5.5% 클립(−30~+50%), 연차별 절반 감쇠(가정)</t>
      </text>
    </comment>
    <comment ref="AH21" authorId="0" shapeId="0">
      <text>
        <t>모델값 역산(implied): v / 전년동기 − 1
전년동기 × (1+-2.7%) — g=최근 4분기 합 YoY -5.5% 클립(−30~+50%), 연차별 절반 감쇠(가정)</t>
      </text>
    </comment>
    <comment ref="AI21" authorId="0" shapeId="0">
      <text>
        <t>모델값 역산(implied): v / 전년동기 − 1
전년동기 × (1+-2.7%) — g=최근 4분기 합 YoY -5.5% 클립(−30~+50%), 연차별 절반 감쇠(가정)</t>
      </text>
    </comment>
    <comment ref="AK21" authorId="0" shapeId="0">
      <text>
        <t>모델값 역산(implied): v / 전년동기 − 1
전년동기 × (1+-2.7%) — g=최근 4분기 합 YoY -5.5% 클립(−30~+50%), 연차별 절반 감쇠(가정)</t>
      </text>
    </comment>
    <comment ref="AL21" authorId="0" shapeId="0">
      <text>
        <t>모델값 역산(implied): v / 전년동기 − 1
전년동기 × (1+-2.7%) — g=최근 4분기 합 YoY -5.5% 클립(−30~+50%), 연차별 절반 감쇠(가정)</t>
      </text>
    </comment>
    <comment ref="AM21" authorId="0" shapeId="0">
      <text>
        <t>모델값 역산(implied): v / 전년동기 − 1
전년동기 × (1+-1.4%) — g=최근 4분기 합 YoY -5.5% 클립(−30~+50%), 연차별 절반 감쇠(가정)</t>
      </text>
    </comment>
    <comment ref="AN21" authorId="0" shapeId="0">
      <text>
        <t>모델값 역산(implied): v / 전년동기 − 1
전년동기 × (1+-1.4%) — g=최근 4분기 합 YoY -5.5% 클립(−30~+50%), 연차별 절반 감쇠(가정)</t>
      </text>
    </comment>
    <comment ref="AC22" authorId="0" shapeId="0">
      <text>
        <t>3절 스칼라 '판관비율' 참조 — 숫자로 덮어쓰면 이 분기만 바뀐다
매출액 × 판관비율 4.11%(최근 4분기 중위)</t>
      </text>
    </comment>
    <comment ref="AD22" authorId="0" shapeId="0">
      <text>
        <t>3절 스칼라 '판관비율' 참조 — 숫자로 덮어쓰면 이 분기만 바뀐다
매출액 × 판관비율 4.11%(최근 4분기 중위)</t>
      </text>
    </comment>
    <comment ref="AF22" authorId="0" shapeId="0">
      <text>
        <t>3절 스칼라 '판관비율' 참조 — 숫자로 덮어쓰면 이 분기만 바뀐다
매출액 × 판관비율 4.11%(최근 4분기 중위)</t>
      </text>
    </comment>
    <comment ref="AG22" authorId="0" shapeId="0">
      <text>
        <t>3절 스칼라 '판관비율' 참조 — 숫자로 덮어쓰면 이 분기만 바뀐다
매출액 × 판관비율 4.11%(최근 4분기 중위)</t>
      </text>
    </comment>
    <comment ref="AH22" authorId="0" shapeId="0">
      <text>
        <t>3절 스칼라 '판관비율' 참조 — 숫자로 덮어쓰면 이 분기만 바뀐다
매출액 × 판관비율 4.11%(최근 4분기 중위)</t>
      </text>
    </comment>
    <comment ref="AI22" authorId="0" shapeId="0">
      <text>
        <t>3절 스칼라 '판관비율' 참조 — 숫자로 덮어쓰면 이 분기만 바뀐다
매출액 × 판관비율 4.11%(최근 4분기 중위)</t>
      </text>
    </comment>
    <comment ref="AK22" authorId="0" shapeId="0">
      <text>
        <t>3절 스칼라 '판관비율' 참조 — 숫자로 덮어쓰면 이 분기만 바뀐다
매출액 × 판관비율 4.11%(최근 4분기 중위)</t>
      </text>
    </comment>
    <comment ref="AL22" authorId="0" shapeId="0">
      <text>
        <t>3절 스칼라 '판관비율' 참조 — 숫자로 덮어쓰면 이 분기만 바뀐다
매출액 × 판관비율 4.11%(최근 4분기 중위)</t>
      </text>
    </comment>
    <comment ref="AM22" authorId="0" shapeId="0">
      <text>
        <t>3절 스칼라 '판관비율' 참조 — 숫자로 덮어쓰면 이 분기만 바뀐다
매출액 × 판관비율 4.11%(최근 4분기 중위)</t>
      </text>
    </comment>
    <comment ref="AN22" authorId="0" shapeId="0">
      <text>
        <t>3절 스칼라 '판관비율' 참조 — 숫자로 덮어쓰면 이 분기만 바뀐다
매출액 × 판관비율 4.11%(최근 4분기 중위)</t>
      </text>
    </comment>
    <comment ref="AC23" authorId="0" shapeId="0">
      <text>
        <t>모델값 역산(implied): v / 매출액
매출액 × OPM(최근 8분기 OPM 중위 7.1% 유지(클립 −20~40%))</t>
      </text>
    </comment>
    <comment ref="AD23" authorId="0" shapeId="0">
      <text>
        <t>모델값 역산(implied): v / 매출액
매출액 × OPM(최근 8분기 OPM 중위 7.1% 유지(클립 −20~40%))</t>
      </text>
    </comment>
    <comment ref="AF23" authorId="0" shapeId="0">
      <text>
        <t>모델값 역산(implied): v / 매출액
매출액 × OPM(최근 8분기 OPM 중위 7.1% 유지(클립 −20~40%))</t>
      </text>
    </comment>
    <comment ref="AG23" authorId="0" shapeId="0">
      <text>
        <t>모델값 역산(implied): v / 매출액
매출액 × OPM(최근 8분기 OPM 중위 7.1% 유지(클립 −20~40%))</t>
      </text>
    </comment>
    <comment ref="AH23" authorId="0" shapeId="0">
      <text>
        <t>모델값 역산(implied): v / 매출액
매출액 × OPM(최근 8분기 OPM 중위 7.1% 유지(클립 −20~40%))</t>
      </text>
    </comment>
    <comment ref="AI23" authorId="0" shapeId="0">
      <text>
        <t>모델값 역산(implied): v / 매출액
매출액 × OPM(최근 8분기 OPM 중위 7.1% 유지(클립 −20~40%))</t>
      </text>
    </comment>
    <comment ref="AK23" authorId="0" shapeId="0">
      <text>
        <t>모델값 역산(implied): v / 매출액
매출액 × OPM(최근 8분기 OPM 중위 7.1% 유지(클립 −20~40%))</t>
      </text>
    </comment>
    <comment ref="AL23" authorId="0" shapeId="0">
      <text>
        <t>모델값 역산(implied): v / 매출액
매출액 × OPM(최근 8분기 OPM 중위 7.1% 유지(클립 −20~40%))</t>
      </text>
    </comment>
    <comment ref="AM23" authorId="0" shapeId="0">
      <text>
        <t>모델값 역산(implied): v / 매출액
매출액 × OPM(최근 8분기 OPM 중위 7.1% 유지(클립 −20~40%))</t>
      </text>
    </comment>
    <comment ref="AN23" authorId="0" shapeId="0">
      <text>
        <t>모델값 역산(implied): v / 매출액
매출액 × OPM(최근 8분기 OPM 중위 7.1%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최근 4분기 중위 -8.59억이 이자손익 추정 -10.95억의 50% 초과 → 0(경고)</t>
      </text>
    </comment>
    <comment ref="AD26" authorId="0" shapeId="0">
      <text>
        <t>모델값 역산(implied): 모델 v 그대로
최근 4분기 중위 -8.59억이 이자손익 추정 -10.95억의 50% 초과 → 0(경고)</t>
      </text>
    </comment>
    <comment ref="AF26" authorId="0" shapeId="0">
      <text>
        <t>모델값 역산(implied): 모델 v 그대로
최근 4분기 중위 -8.59억이 이자손익 추정 -10.95억의 50% 초과 → 0(경고)</t>
      </text>
    </comment>
    <comment ref="AG26" authorId="0" shapeId="0">
      <text>
        <t>모델값 역산(implied): 모델 v 그대로
최근 4분기 중위 -8.59억이 이자손익 추정 -10.95억의 50% 초과 → 0(경고)</t>
      </text>
    </comment>
    <comment ref="AH26" authorId="0" shapeId="0">
      <text>
        <t>모델값 역산(implied): 모델 v 그대로
최근 4분기 중위 -8.59억이 이자손익 추정 -10.95억의 50% 초과 → 0(경고)</t>
      </text>
    </comment>
    <comment ref="AI26" authorId="0" shapeId="0">
      <text>
        <t>모델값 역산(implied): 모델 v 그대로
최근 4분기 중위 -8.59억이 이자손익 추정 -10.95억의 50% 초과 → 0(경고)</t>
      </text>
    </comment>
    <comment ref="AK26" authorId="0" shapeId="0">
      <text>
        <t>모델값 역산(implied): 모델 v 그대로
최근 4분기 중위 -8.59억이 이자손익 추정 -10.95억의 50% 초과 → 0(경고)</t>
      </text>
    </comment>
    <comment ref="AL26" authorId="0" shapeId="0">
      <text>
        <t>모델값 역산(implied): 모델 v 그대로
최근 4분기 중위 -8.59억이 이자손익 추정 -10.95억의 50% 초과 → 0(경고)</t>
      </text>
    </comment>
    <comment ref="AM26" authorId="0" shapeId="0">
      <text>
        <t>모델값 역산(implied): 모델 v 그대로
최근 4분기 중위 -8.59억이 이자손익 추정 -10.95억의 50% 초과 → 0(경고)</t>
      </text>
    </comment>
    <comment ref="AN26" authorId="0" shapeId="0">
      <text>
        <t>모델값 역산(implied): 모델 v 그대로
최근 4분기 중위 -8.59억이 이자손익 추정 -10.95억의 50% 초과 → 0(경고)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3절 스칼라 '세율' 참조 — 숫자로 덮어쓰면 이 분기만 바뀐다
max(세전, 0) × 세율 18.3%(최근 12분기 유효세율 18.3%(5~27% 안 — 그대로))</t>
      </text>
    </comment>
    <comment ref="AD28" authorId="0" shapeId="0">
      <text>
        <t>3절 스칼라 '세율' 참조 — 숫자로 덮어쓰면 이 분기만 바뀐다
max(세전, 0) × 세율 18.3%(최근 12분기 유효세율 18.3%(5~27% 안 — 그대로))</t>
      </text>
    </comment>
    <comment ref="AF28" authorId="0" shapeId="0">
      <text>
        <t>3절 스칼라 '세율' 참조 — 숫자로 덮어쓰면 이 분기만 바뀐다
max(세전, 0) × 세율 18.3%(최근 12분기 유효세율 18.3%(5~27% 안 — 그대로))</t>
      </text>
    </comment>
    <comment ref="AG28" authorId="0" shapeId="0">
      <text>
        <t>3절 스칼라 '세율' 참조 — 숫자로 덮어쓰면 이 분기만 바뀐다
max(세전, 0) × 세율 18.3%(최근 12분기 유효세율 18.3%(5~27% 안 — 그대로))</t>
      </text>
    </comment>
    <comment ref="AH28" authorId="0" shapeId="0">
      <text>
        <t>3절 스칼라 '세율' 참조 — 숫자로 덮어쓰면 이 분기만 바뀐다
max(세전, 0) × 세율 18.3%(최근 12분기 유효세율 18.3%(5~27% 안 — 그대로))</t>
      </text>
    </comment>
    <comment ref="AI28" authorId="0" shapeId="0">
      <text>
        <t>3절 스칼라 '세율' 참조 — 숫자로 덮어쓰면 이 분기만 바뀐다
max(세전, 0) × 세율 18.3%(최근 12분기 유효세율 18.3%(5~27% 안 — 그대로))</t>
      </text>
    </comment>
    <comment ref="AK28" authorId="0" shapeId="0">
      <text>
        <t>3절 스칼라 '세율' 참조 — 숫자로 덮어쓰면 이 분기만 바뀐다
max(세전, 0) × 세율 18.3%(최근 12분기 유효세율 18.3%(5~27% 안 — 그대로))</t>
      </text>
    </comment>
    <comment ref="AL28" authorId="0" shapeId="0">
      <text>
        <t>3절 스칼라 '세율' 참조 — 숫자로 덮어쓰면 이 분기만 바뀐다
max(세전, 0) × 세율 18.3%(최근 12분기 유효세율 18.3%(5~27% 안 — 그대로))</t>
      </text>
    </comment>
    <comment ref="AM28" authorId="0" shapeId="0">
      <text>
        <t>3절 스칼라 '세율' 참조 — 숫자로 덮어쓰면 이 분기만 바뀐다
max(세전, 0) × 세율 18.3%(최근 12분기 유효세율 18.3%(5~27% 안 — 그대로))</t>
      </text>
    </comment>
    <comment ref="AN28" authorId="0" shapeId="0">
      <text>
        <t>3절 스칼라 '세율' 참조 — 숫자로 덮어쓰면 이 분기만 바뀐다
max(세전, 0) × 세율 18.3%(최근 12분기 유효세율 18.3%(5~27% 안 — 그대로))</t>
      </text>
    </comment>
    <comment ref="AC29" authorId="0" shapeId="0">
      <text>
        <t>3절 스칼라 '지배주주비중' 참조 — 숫자로 덮어쓰면 이 분기만 바뀐다
당기순이익 × (1 − 비지배 비중 0.0%, 최근 8분기 실측)</t>
      </text>
    </comment>
    <comment ref="AD29" authorId="0" shapeId="0">
      <text>
        <t>3절 스칼라 '지배주주비중' 참조 — 숫자로 덮어쓰면 이 분기만 바뀐다
당기순이익 × (1 − 비지배 비중 0.0%, 최근 8분기 실측)</t>
      </text>
    </comment>
    <comment ref="AF29" authorId="0" shapeId="0">
      <text>
        <t>3절 스칼라 '지배주주비중' 참조 — 숫자로 덮어쓰면 이 분기만 바뀐다
당기순이익 × (1 − 비지배 비중 0.0%, 최근 8분기 실측)</t>
      </text>
    </comment>
    <comment ref="AG29" authorId="0" shapeId="0">
      <text>
        <t>3절 스칼라 '지배주주비중' 참조 — 숫자로 덮어쓰면 이 분기만 바뀐다
당기순이익 × (1 − 비지배 비중 0.0%, 최근 8분기 실측)</t>
      </text>
    </comment>
    <comment ref="AH29" authorId="0" shapeId="0">
      <text>
        <t>3절 스칼라 '지배주주비중' 참조 — 숫자로 덮어쓰면 이 분기만 바뀐다
당기순이익 × (1 − 비지배 비중 0.0%, 최근 8분기 실측)</t>
      </text>
    </comment>
    <comment ref="AI29" authorId="0" shapeId="0">
      <text>
        <t>3절 스칼라 '지배주주비중' 참조 — 숫자로 덮어쓰면 이 분기만 바뀐다
당기순이익 × (1 − 비지배 비중 0.0%, 최근 8분기 실측)</t>
      </text>
    </comment>
    <comment ref="AK29" authorId="0" shapeId="0">
      <text>
        <t>3절 스칼라 '지배주주비중' 참조 — 숫자로 덮어쓰면 이 분기만 바뀐다
당기순이익 × (1 − 비지배 비중 0.0%, 최근 8분기 실측)</t>
      </text>
    </comment>
    <comment ref="AL29" authorId="0" shapeId="0">
      <text>
        <t>3절 스칼라 '지배주주비중' 참조 — 숫자로 덮어쓰면 이 분기만 바뀐다
당기순이익 × (1 − 비지배 비중 0.0%, 최근 8분기 실측)</t>
      </text>
    </comment>
    <comment ref="AM29" authorId="0" shapeId="0">
      <text>
        <t>3절 스칼라 '지배주주비중' 참조 — 숫자로 덮어쓰면 이 분기만 바뀐다
당기순이익 × (1 − 비지배 비중 0.0%, 최근 8분기 실측)</t>
      </text>
    </comment>
    <comment ref="AN29" authorId="0" shapeId="0">
      <text>
        <t>3절 스칼라 '지배주주비중' 참조 — 숫자로 덮어쓰면 이 분기만 바뀐다
당기순이익 × (1 − 비지배 비중 0.0%, 최근 8분기 실측)</t>
      </text>
    </comment>
    <comment ref="AC30" authorId="0" shapeId="0">
      <text>
        <t>모델값 역산(implied): v / 전분기 − 1
마지막 실적 유지(가정)</t>
      </text>
    </comment>
    <comment ref="AD30" authorId="0" shapeId="0">
      <text>
        <t>모델값 역산(implied): v / 전분기 − 1
마지막 실적 유지(가정)</t>
      </text>
    </comment>
    <comment ref="AF30" authorId="0" shapeId="0">
      <text>
        <t>모델값 역산(implied): v / 전분기 − 1
마지막 실적 유지(가정)</t>
      </text>
    </comment>
    <comment ref="AG30" authorId="0" shapeId="0">
      <text>
        <t>모델값 역산(implied): v / 전분기 − 1
마지막 실적 유지(가정)</t>
      </text>
    </comment>
    <comment ref="AH30" authorId="0" shapeId="0">
      <text>
        <t>모델값 역산(implied): v / 전분기 − 1
마지막 실적 유지(가정)</t>
      </text>
    </comment>
    <comment ref="AI30" authorId="0" shapeId="0">
      <text>
        <t>모델값 역산(implied): v / 전분기 − 1
마지막 실적 유지(가정)</t>
      </text>
    </comment>
    <comment ref="AK30" authorId="0" shapeId="0">
      <text>
        <t>모델값 역산(implied): v / 전분기 − 1
마지막 실적 유지(가정)</t>
      </text>
    </comment>
    <comment ref="AL30" authorId="0" shapeId="0">
      <text>
        <t>모델값 역산(implied): v / 전분기 − 1
마지막 실적 유지(가정)</t>
      </text>
    </comment>
    <comment ref="AM30" authorId="0" shapeId="0">
      <text>
        <t>모델값 역산(implied): v / 전분기 − 1
마지막 실적 유지(가정)</t>
      </text>
    </comment>
    <comment ref="AN30" authorId="0" shapeId="0">
      <text>
        <t>모델값 역산(implied): v / 전분기 − 1
마지막 실적 유지(가정)</t>
      </text>
    </comment>
    <comment ref="AC31" authorId="0" shapeId="0">
      <text>
        <t>모델값 역산(implied): 전분기(시트값) + 당기순이익(시트 수식값) − v
전분기 + 당기순이익 − 배당(Q2 지급 가정)</t>
      </text>
    </comment>
    <comment ref="AD31" authorId="0" shapeId="0">
      <text>
        <t>모델값 역산(implied): 전분기(시트값) + 당기순이익(시트 수식값) − v
전분기 + 당기순이익 − 배당(Q2 지급 가정)</t>
      </text>
    </comment>
    <comment ref="AF31" authorId="0" shapeId="0">
      <text>
        <t>모델값 역산(implied): 전분기(시트값) + 당기순이익(시트 수식값) − v
전분기 + 당기순이익 − 배당(Q2 지급 가정)</t>
      </text>
    </comment>
    <comment ref="AG31" authorId="0" shapeId="0">
      <text>
        <t>모델값 역산(implied): 전분기(시트값) + 당기순이익(시트 수식값) − v
전분기 + 당기순이익 − 배당(Q2 지급 가정)</t>
      </text>
    </comment>
    <comment ref="AH31" authorId="0" shapeId="0">
      <text>
        <t>모델값 역산(implied): 전분기(시트값) + 당기순이익(시트 수식값) − v
전분기 + 당기순이익 − 배당(Q2 지급 가정)</t>
      </text>
    </comment>
    <comment ref="AI31" authorId="0" shapeId="0">
      <text>
        <t>모델값 역산(implied): 전분기(시트값) + 당기순이익(시트 수식값) − v
전분기 + 당기순이익 − 배당(Q2 지급 가정)</t>
      </text>
    </comment>
    <comment ref="AK31" authorId="0" shapeId="0">
      <text>
        <t>모델값 역산(implied): 전분기(시트값) + 당기순이익(시트 수식값) − v
전분기 + 당기순이익 − 배당(Q2 지급 가정)</t>
      </text>
    </comment>
    <comment ref="AL31" authorId="0" shapeId="0">
      <text>
        <t>모델값 역산(implied): 전분기(시트값) + 당기순이익(시트 수식값) − v
전분기 + 당기순이익 − 배당(Q2 지급 가정)</t>
      </text>
    </comment>
    <comment ref="AM31" authorId="0" shapeId="0">
      <text>
        <t>모델값 역산(implied): 전분기(시트값) + 당기순이익(시트 수식값) − v
전분기 + 당기순이익 − 배당(Q2 지급 가정)</t>
      </text>
    </comment>
    <comment ref="AN31" authorId="0" shapeId="0">
      <text>
        <t>모델값 역산(implied): 전분기(시트값) + 당기순이익(시트 수식값) − v
전분기 + 당기순이익 − 배당(Q2 지급 가정)</t>
      </text>
    </comment>
    <comment ref="AC32" authorId="0" shapeId="0">
      <text>
        <t>모델값 역산(implied): 전분기(시트값) + 지배주주순이익(시트 수식값) − v
전분기 + 지배주주순이익 − 배당</t>
      </text>
    </comment>
    <comment ref="AD32" authorId="0" shapeId="0">
      <text>
        <t>모델값 역산(implied): 전분기(시트값) + 지배주주순이익(시트 수식값) − v
전분기 + 지배주주순이익 − 배당</t>
      </text>
    </comment>
    <comment ref="AF32" authorId="0" shapeId="0">
      <text>
        <t>모델값 역산(implied): 전분기(시트값) + 지배주주순이익(시트 수식값) − v
전분기 + 지배주주순이익 − 배당</t>
      </text>
    </comment>
    <comment ref="AG32" authorId="0" shapeId="0">
      <text>
        <t>모델값 역산(implied): 전분기(시트값) + 지배주주순이익(시트 수식값) − v
전분기 + 지배주주순이익 − 배당</t>
      </text>
    </comment>
    <comment ref="AH32" authorId="0" shapeId="0">
      <text>
        <t>모델값 역산(implied): 전분기(시트값) + 지배주주순이익(시트 수식값) − v
전분기 + 지배주주순이익 − 배당</t>
      </text>
    </comment>
    <comment ref="AI32" authorId="0" shapeId="0">
      <text>
        <t>모델값 역산(implied): 전분기(시트값) + 지배주주순이익(시트 수식값) − v
전분기 + 지배주주순이익 − 배당</t>
      </text>
    </comment>
    <comment ref="AK32" authorId="0" shapeId="0">
      <text>
        <t>모델값 역산(implied): 전분기(시트값) + 지배주주순이익(시트 수식값) − v
전분기 + 지배주주순이익 − 배당</t>
      </text>
    </comment>
    <comment ref="AL32" authorId="0" shapeId="0">
      <text>
        <t>모델값 역산(implied): 전분기(시트값) + 지배주주순이익(시트 수식값) − v
전분기 + 지배주주순이익 − 배당</t>
      </text>
    </comment>
    <comment ref="AM32" authorId="0" shapeId="0">
      <text>
        <t>모델값 역산(implied): 전분기(시트값) + 지배주주순이익(시트 수식값) − v
전분기 + 지배주주순이익 − 배당</t>
      </text>
    </comment>
    <comment ref="AN32" authorId="0" shapeId="0">
      <text>
        <t>모델값 역산(implied): 전분기(시트값) + 지배주주순이익(시트 수식값) − v
전분기 + 지배주주순이익 − 배당</t>
      </text>
    </comment>
    <comment ref="AC33" authorId="0" shapeId="0">
      <text>
        <t>모델값 역산(implied): v / 전분기 − 1
마지막 실적 유지(가정)</t>
      </text>
    </comment>
    <comment ref="AD33" authorId="0" shapeId="0">
      <text>
        <t>모델값 역산(implied): v / 전분기 − 1
마지막 실적 유지(가정)</t>
      </text>
    </comment>
    <comment ref="AF33" authorId="0" shapeId="0">
      <text>
        <t>모델값 역산(implied): v / 전분기 − 1
마지막 실적 유지(가정)</t>
      </text>
    </comment>
    <comment ref="AG33" authorId="0" shapeId="0">
      <text>
        <t>모델값 역산(implied): v / 전분기 − 1
마지막 실적 유지(가정)</t>
      </text>
    </comment>
    <comment ref="AH33" authorId="0" shapeId="0">
      <text>
        <t>모델값 역산(implied): v / 전분기 − 1
마지막 실적 유지(가정)</t>
      </text>
    </comment>
    <comment ref="AI33" authorId="0" shapeId="0">
      <text>
        <t>모델값 역산(implied): v / 전분기 − 1
마지막 실적 유지(가정)</t>
      </text>
    </comment>
    <comment ref="AK33" authorId="0" shapeId="0">
      <text>
        <t>모델값 역산(implied): v / 전분기 − 1
마지막 실적 유지(가정)</t>
      </text>
    </comment>
    <comment ref="AL33" authorId="0" shapeId="0">
      <text>
        <t>모델값 역산(implied): v / 전분기 − 1
마지막 실적 유지(가정)</t>
      </text>
    </comment>
    <comment ref="AM33" authorId="0" shapeId="0">
      <text>
        <t>모델값 역산(implied): v / 전분기 − 1
마지막 실적 유지(가정)</t>
      </text>
    </comment>
    <comment ref="AN33" authorId="0" shapeId="0">
      <text>
        <t>모델값 역산(implied): v / 전분기 − 1
마지막 실적 유지(가정)</t>
      </text>
    </comment>
    <comment ref="AC34" authorId="0" shapeId="0">
      <text>
        <t>모델값 역산(implied): v / 전분기 − 1
전분기 − FCF 근사[순이익 − 배당(감가상각비 없음 → CAPEX≈감가 가정, CAPEX 중위 110억은 행에만)] (운전자본 불변·총차입금 유지 가정 → 변동은 전부 현금)</t>
      </text>
    </comment>
    <comment ref="AD34" authorId="0" shapeId="0">
      <text>
        <t>모델값 역산(implied): v / 전분기 − 1
전분기 − FCF 근사[순이익 − 배당(감가상각비 없음 → CAPEX≈감가 가정, CAPEX 중위 110억은 행에만)] (운전자본 불변·총차입금 유지 가정 → 변동은 전부 현금)</t>
      </text>
    </comment>
    <comment ref="AF34" authorId="0" shapeId="0">
      <text>
        <t>모델값 역산(implied): v / 전분기 − 1
전분기 − FCF 근사[순이익 − 배당(감가상각비 없음 → CAPEX≈감가 가정, CAPEX 중위 110억은 행에만)] (운전자본 불변·총차입금 유지 가정 → 변동은 전부 현금)</t>
      </text>
    </comment>
    <comment ref="AG34" authorId="0" shapeId="0">
      <text>
        <t>모델값 역산(implied): v / 전분기 − 1
전분기 − FCF 근사[순이익 − 배당(감가상각비 없음 → CAPEX≈감가 가정, CAPEX 중위 110억은 행에만)] (운전자본 불변·총차입금 유지 가정 → 변동은 전부 현금)</t>
      </text>
    </comment>
    <comment ref="AH34" authorId="0" shapeId="0">
      <text>
        <t>모델값 역산(implied): v / 전분기 − 1
전분기 − FCF 근사[순이익 − 배당(감가상각비 없음 → CAPEX≈감가 가정, CAPEX 중위 110억은 행에만)] (운전자본 불변·총차입금 유지 가정 → 변동은 전부 현금)</t>
      </text>
    </comment>
    <comment ref="AI34" authorId="0" shapeId="0">
      <text>
        <t>모델값 역산(implied): v / 전분기 − 1
전분기 − FCF 근사[순이익 − 배당(감가상각비 없음 → CAPEX≈감가 가정, CAPEX 중위 110억은 행에만)] (운전자본 불변·총차입금 유지 가정 → 변동은 전부 현금)</t>
      </text>
    </comment>
    <comment ref="AK34" authorId="0" shapeId="0">
      <text>
        <t>모델값 역산(implied): v / 전분기 − 1
전분기 − FCF 근사[순이익 − 배당(감가상각비 없음 → CAPEX≈감가 가정, CAPEX 중위 110억은 행에만)] (운전자본 불변·총차입금 유지 가정 → 변동은 전부 현금)</t>
      </text>
    </comment>
    <comment ref="AL34" authorId="0" shapeId="0">
      <text>
        <t>모델값 역산(implied): v / 전분기 − 1
전분기 − FCF 근사[순이익 − 배당(감가상각비 없음 → CAPEX≈감가 가정, CAPEX 중위 110억은 행에만)] (운전자본 불변·총차입금 유지 가정 → 변동은 전부 현금)</t>
      </text>
    </comment>
    <comment ref="AM34" authorId="0" shapeId="0">
      <text>
        <t>모델값 역산(implied): v / 전분기 − 1
전분기 − FCF 근사[순이익 − 배당(감가상각비 없음 → CAPEX≈감가 가정, CAPEX 중위 110억은 행에만)] (운전자본 불변·총차입금 유지 가정 → 변동은 전부 현금)</t>
      </text>
    </comment>
    <comment ref="AN34" authorId="0" shapeId="0">
      <text>
        <t>모델값 역산(implied): v / 전분기 − 1
전분기 − FCF 근사[순이익 − 배당(감가상각비 없음 → CAPEX≈감가 가정, CAPEX 중위 110억은 행에만)] (운전자본 불변·총차입금 유지 가정 → 변동은 전부 현금)</t>
      </text>
    </comment>
    <comment ref="AC35" authorId="0" shapeId="0">
      <text>
        <t>모델값 역산(implied): v / 전분기 − 1
전분기 + FCF 근사 — 순차입금 롤과 같은 가정</t>
      </text>
    </comment>
    <comment ref="AD35" authorId="0" shapeId="0">
      <text>
        <t>모델값 역산(implied): v / 전분기 − 1
전분기 + FCF 근사 — 순차입금 롤과 같은 가정</t>
      </text>
    </comment>
    <comment ref="AF35" authorId="0" shapeId="0">
      <text>
        <t>모델값 역산(implied): v / 전분기 − 1
전분기 + FCF 근사 — 순차입금 롤과 같은 가정</t>
      </text>
    </comment>
    <comment ref="AG35" authorId="0" shapeId="0">
      <text>
        <t>모델값 역산(implied): v / 전분기 − 1
전분기 + FCF 근사 — 순차입금 롤과 같은 가정</t>
      </text>
    </comment>
    <comment ref="AH35" authorId="0" shapeId="0">
      <text>
        <t>모델값 역산(implied): v / 전분기 − 1
전분기 + FCF 근사 — 순차입금 롤과 같은 가정</t>
      </text>
    </comment>
    <comment ref="AI35" authorId="0" shapeId="0">
      <text>
        <t>모델값 역산(implied): v / 전분기 − 1
전분기 + FCF 근사 — 순차입금 롤과 같은 가정</t>
      </text>
    </comment>
    <comment ref="AK35" authorId="0" shapeId="0">
      <text>
        <t>모델값 역산(implied): v / 전분기 − 1
전분기 + FCF 근사 — 순차입금 롤과 같은 가정</t>
      </text>
    </comment>
    <comment ref="AL35" authorId="0" shapeId="0">
      <text>
        <t>모델값 역산(implied): v / 전분기 − 1
전분기 + FCF 근사 — 순차입금 롤과 같은 가정</t>
      </text>
    </comment>
    <comment ref="AM35" authorId="0" shapeId="0">
      <text>
        <t>모델값 역산(implied): v / 전분기 − 1
전분기 + FCF 근사 — 순차입금 롤과 같은 가정</t>
      </text>
    </comment>
    <comment ref="AN35" authorId="0" shapeId="0">
      <text>
        <t>모델값 역산(implied): v / 전분기 − 1
전분기 + FCF 근사 — 순차입금 롤과 같은 가정</t>
      </text>
    </comment>
    <comment ref="AC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9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v / 전분기 − 1
유통주식수 유지 — fin.shares.common_outstanding(2026Q2)</t>
      </text>
    </comment>
    <comment ref="AF39" authorId="0" shapeId="0">
      <text>
        <t>모델값 역산(implied): v / 전분기 − 1
유통주식수 유지 — fin.shares.common_outstanding(2026Q2)</t>
      </text>
    </comment>
    <comment ref="AG39" authorId="0" shapeId="0">
      <text>
        <t>모델값 역산(implied): v / 전분기 − 1
유통주식수 유지 — fin.shares.common_outstanding(2026Q2)</t>
      </text>
    </comment>
    <comment ref="AH39" authorId="0" shapeId="0">
      <text>
        <t>모델값 역산(implied): v / 전분기 − 1
유통주식수 유지 — fin.shares.common_outstanding(2026Q2)</t>
      </text>
    </comment>
    <comment ref="AI39" authorId="0" shapeId="0">
      <text>
        <t>모델값 역산(implied): v / 전분기 − 1
유통주식수 유지 — fin.shares.common_outstanding(2026Q2)</t>
      </text>
    </comment>
    <comment ref="AK39" authorId="0" shapeId="0">
      <text>
        <t>모델값 역산(implied): v / 전분기 − 1
유통주식수 유지 — fin.shares.common_outstanding(2026Q2)</t>
      </text>
    </comment>
    <comment ref="AL39" authorId="0" shapeId="0">
      <text>
        <t>모델값 역산(implied): v / 전분기 − 1
유통주식수 유지 — fin.shares.common_outstanding(2026Q2)</t>
      </text>
    </comment>
    <comment ref="AM39" authorId="0" shapeId="0">
      <text>
        <t>모델값 역산(implied): v / 전분기 − 1
유통주식수 유지 — fin.shares.common_outstanding(2026Q2)</t>
      </text>
    </comment>
    <comment ref="AN39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모델 v 그대로
직전 결산 DPS 0원 유지</t>
      </text>
    </comment>
    <comment ref="AI40" authorId="0" shapeId="0">
      <text>
        <t>모델값 역산(implied): 모델 v 그대로
직전 결산 DPS 0원 유지</t>
      </text>
    </comment>
    <comment ref="AN40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(1+-5.5%) — g=최근 4분기 합 YoY -5.5% 클립(−30~+50%), 연차별 절반 감쇠(가정)
[yoy]</t>
      </text>
    </comment>
    <comment ref="AD5" authorId="0" shapeId="0">
      <text>
        <t>추정: 전년동기 × (1+-5.5%) — g=최근 4분기 합 YoY -5.5% 클립(−30~+50%), 연차별 절반 감쇠(가정)
[yoy]</t>
      </text>
    </comment>
    <comment ref="AF5" authorId="0" shapeId="0">
      <text>
        <t>추정: 전년동기 × (1+-5.5%) — g=최근 4분기 합 YoY -5.5% 클립(−30~+50%), 연차별 절반 감쇠(가정)
[yoy]</t>
      </text>
    </comment>
    <comment ref="AG5" authorId="0" shapeId="0">
      <text>
        <t>추정: 전년동기 × (1+-5.5%) — g=최근 4분기 합 YoY -5.5% 클립(−30~+50%), 연차별 절반 감쇠(가정)
[yoy]</t>
      </text>
    </comment>
    <comment ref="AH5" authorId="0" shapeId="0">
      <text>
        <t>추정: 전년동기 × (1+-2.7%) — g=최근 4분기 합 YoY -5.5% 클립(−30~+50%), 연차별 절반 감쇠(가정)
[yoy]</t>
      </text>
    </comment>
    <comment ref="AI5" authorId="0" shapeId="0">
      <text>
        <t>추정: 전년동기 × (1+-2.7%) — g=최근 4분기 합 YoY -5.5% 클립(−30~+50%), 연차별 절반 감쇠(가정)
[yoy]</t>
      </text>
    </comment>
    <comment ref="AK5" authorId="0" shapeId="0">
      <text>
        <t>추정: 전년동기 × (1+-2.7%) — g=최근 4분기 합 YoY -5.5% 클립(−30~+50%), 연차별 절반 감쇠(가정)
[yoy]</t>
      </text>
    </comment>
    <comment ref="AL5" authorId="0" shapeId="0">
      <text>
        <t>추정: 전년동기 × (1+-2.7%) — g=최근 4분기 합 YoY -5.5% 클립(−30~+50%), 연차별 절반 감쇠(가정)
[yoy]</t>
      </text>
    </comment>
    <comment ref="AM5" authorId="0" shapeId="0">
      <text>
        <t>추정: 전년동기 × (1+-1.4%) — g=최근 4분기 합 YoY -5.5% 클립(−30~+50%), 연차별 절반 감쇠(가정)
[yoy]</t>
      </text>
    </comment>
    <comment ref="AN5" authorId="0" shapeId="0">
      <text>
        <t>추정: 전년동기 × (1+-1.4%) — g=최근 4분기 합 YoY -5.5%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4.11%(최근 4분기 중위)
[ratio]</t>
      </text>
    </comment>
    <comment ref="AD8" authorId="0" shapeId="0">
      <text>
        <t>추정: 매출액 × 판관비율 4.11%(최근 4분기 중위)
[ratio]</t>
      </text>
    </comment>
    <comment ref="AF8" authorId="0" shapeId="0">
      <text>
        <t>추정: 매출액 × 판관비율 4.11%(최근 4분기 중위)
[ratio]</t>
      </text>
    </comment>
    <comment ref="AG8" authorId="0" shapeId="0">
      <text>
        <t>추정: 매출액 × 판관비율 4.11%(최근 4분기 중위)
[ratio]</t>
      </text>
    </comment>
    <comment ref="AH8" authorId="0" shapeId="0">
      <text>
        <t>추정: 매출액 × 판관비율 4.11%(최근 4분기 중위)
[ratio]</t>
      </text>
    </comment>
    <comment ref="AI8" authorId="0" shapeId="0">
      <text>
        <t>추정: 매출액 × 판관비율 4.11%(최근 4분기 중위)
[ratio]</t>
      </text>
    </comment>
    <comment ref="AK8" authorId="0" shapeId="0">
      <text>
        <t>추정: 매출액 × 판관비율 4.11%(최근 4분기 중위)
[ratio]</t>
      </text>
    </comment>
    <comment ref="AL8" authorId="0" shapeId="0">
      <text>
        <t>추정: 매출액 × 판관비율 4.11%(최근 4분기 중위)
[ratio]</t>
      </text>
    </comment>
    <comment ref="AM8" authorId="0" shapeId="0">
      <text>
        <t>추정: 매출액 × 판관비율 4.11%(최근 4분기 중위)
[ratio]</t>
      </text>
    </comment>
    <comment ref="AN8" authorId="0" shapeId="0">
      <text>
        <t>추정: 매출액 × 판관비율 4.11%(최근 4분기 중위)
[ratio]</t>
      </text>
    </comment>
    <comment ref="AC9" authorId="0" shapeId="0">
      <text>
        <t>추정: 매출액 × OPM(최근 8분기 OPM 중위 7.1% 유지(클립 −20~40%))
[ratio]</t>
      </text>
    </comment>
    <comment ref="AD9" authorId="0" shapeId="0">
      <text>
        <t>추정: 매출액 × OPM(최근 8분기 OPM 중위 7.1% 유지(클립 −20~40%))
[ratio]</t>
      </text>
    </comment>
    <comment ref="AF9" authorId="0" shapeId="0">
      <text>
        <t>추정: 매출액 × OPM(최근 8분기 OPM 중위 7.1% 유지(클립 −20~40%))
[ratio]</t>
      </text>
    </comment>
    <comment ref="AG9" authorId="0" shapeId="0">
      <text>
        <t>추정: 매출액 × OPM(최근 8분기 OPM 중위 7.1% 유지(클립 −20~40%))
[ratio]</t>
      </text>
    </comment>
    <comment ref="AH9" authorId="0" shapeId="0">
      <text>
        <t>추정: 매출액 × OPM(최근 8분기 OPM 중위 7.1% 유지(클립 −20~40%))
[ratio]</t>
      </text>
    </comment>
    <comment ref="AI9" authorId="0" shapeId="0">
      <text>
        <t>추정: 매출액 × OPM(최근 8분기 OPM 중위 7.1% 유지(클립 −20~40%))
[ratio]</t>
      </text>
    </comment>
    <comment ref="AK9" authorId="0" shapeId="0">
      <text>
        <t>추정: 매출액 × OPM(최근 8분기 OPM 중위 7.1% 유지(클립 −20~40%))
[ratio]</t>
      </text>
    </comment>
    <comment ref="AL9" authorId="0" shapeId="0">
      <text>
        <t>추정: 매출액 × OPM(최근 8분기 OPM 중위 7.1% 유지(클립 −20~40%))
[ratio]</t>
      </text>
    </comment>
    <comment ref="AM9" authorId="0" shapeId="0">
      <text>
        <t>추정: 매출액 × OPM(최근 8분기 OPM 중위 7.1% 유지(클립 −20~40%))
[ratio]</t>
      </text>
    </comment>
    <comment ref="AN9" authorId="0" shapeId="0">
      <text>
        <t>추정: 매출액 × OPM(최근 8분기 OPM 중위 7.1% 유지(클립 −20~40%))
[ratio]</t>
      </text>
    </comment>
    <comment ref="AC10" authorId="0" shapeId="0">
      <text>
        <t>추정: 최근 8분기 OPM 중위 7.1% 유지(클립 −20~40%)
[divide]</t>
      </text>
    </comment>
    <comment ref="AD10" authorId="0" shapeId="0">
      <text>
        <t>추정: 최근 8분기 OPM 중위 7.1% 유지(클립 −20~40%)
[divide]</t>
      </text>
    </comment>
    <comment ref="AF10" authorId="0" shapeId="0">
      <text>
        <t>추정: 최근 8분기 OPM 중위 7.1% 유지(클립 −20~40%)
[divide]</t>
      </text>
    </comment>
    <comment ref="AG10" authorId="0" shapeId="0">
      <text>
        <t>추정: 최근 8분기 OPM 중위 7.1% 유지(클립 −20~40%)
[divide]</t>
      </text>
    </comment>
    <comment ref="AH10" authorId="0" shapeId="0">
      <text>
        <t>추정: 최근 8분기 OPM 중위 7.1% 유지(클립 −20~40%)
[divide]</t>
      </text>
    </comment>
    <comment ref="AI10" authorId="0" shapeId="0">
      <text>
        <t>추정: 최근 8분기 OPM 중위 7.1% 유지(클립 −20~40%)
[divide]</t>
      </text>
    </comment>
    <comment ref="AK10" authorId="0" shapeId="0">
      <text>
        <t>추정: 최근 8분기 OPM 중위 7.1% 유지(클립 −20~40%)
[divide]</t>
      </text>
    </comment>
    <comment ref="AL10" authorId="0" shapeId="0">
      <text>
        <t>추정: 최근 8분기 OPM 중위 7.1% 유지(클립 −20~40%)
[divide]</t>
      </text>
    </comment>
    <comment ref="AM10" authorId="0" shapeId="0">
      <text>
        <t>추정: 최근 8분기 OPM 중위 7.1% 유지(클립 −20~40%)
[divide]</t>
      </text>
    </comment>
    <comment ref="AN10" authorId="0" shapeId="0">
      <text>
        <t>추정: 최근 8분기 OPM 중위 7.1% 유지(클립 −20~40%)
[divide]</t>
      </text>
    </comment>
    <comment ref="AC11" authorId="0" shapeId="0">
      <text>
        <t>추정: 이자손익 + 외환손익 0 + 파생상품손익 0 + 기타금융손익 +0.00억(최근 4분기 중위 -8.59억이 이자손익 추정 -10.95억의 50% 초과 → 0(경고)) (항등식); 이자손익 = 이자발생자산 713억 × 3.23%(주석 이자수익 ÷ 평균 이자발생자산(2025Q3~2026Q2)) − 총차입금 2150억 × 3.11%(주석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+0.00억(최근 4분기 중위 -8.59억이 이자손익 추정 -10.95억의 50% 초과 → 0(경고)) (항등식); 이자손익 = 이자발생자산 865억 × 3.23%(주석 이자수익 ÷ 평균 이자발생자산(2025Q3~2026Q2)) − 총차입금 2150억 × 3.11%(주석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+0.00억(최근 4분기 중위 -8.59억이 이자손익 추정 -10.95억의 50% 초과 → 0(경고)) (항등식); 이자손익 = 이자발생자산 953억 × 3.23%(주석 이자수익 ÷ 평균 이자발생자산(2025Q3~2026Q2)) − 총차입금 2150억 × 3.11%(주석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+0.00억(최근 4분기 중위 -8.59억이 이자손익 추정 -10.95억의 50% 초과 → 0(경고)) (항등식); 이자손익 = 이자발생자산 1041억 × 3.23%(주석 이자수익 ÷ 평균 이자발생자산(2025Q3~2026Q2)) − 총차입금 2150억 × 3.11%(주석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+0.00억(최근 4분기 중위 -8.59억이 이자손익 추정 -10.95억의 50% 초과 → 0(경고)) (항등식); 이자손익 = 이자발생자산 1128억 × 3.23%(주석 이자수익 ÷ 평균 이자발생자산(2025Q3~2026Q2)) − 총차입금 2150억 × 3.11%(주석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+0.00억(최근 4분기 중위 -8.59억이 이자손익 추정 -10.95억의 50% 초과 → 0(경고)) (항등식); 이자손익 = 이자발생자산 1278억 × 3.23%(주석 이자수익 ÷ 평균 이자발생자산(2025Q3~2026Q2)) − 총차입금 2150억 × 3.11%(주석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+0.00억(최근 4분기 중위 -8.59억이 이자손익 추정 -10.95억의 50% 초과 → 0(경고)) (항등식); 이자손익 = 이자발생자산 1366억 × 3.23%(주석 이자수익 ÷ 평균 이자발생자산(2025Q3~2026Q2)) − 총차입금 2150억 × 3.11%(주석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+0.00억(최근 4분기 중위 -8.59억이 이자손익 추정 -10.95억의 50% 초과 → 0(경고)) (항등식); 이자손익 = 이자발생자산 1454억 × 3.23%(주석 이자수익 ÷ 평균 이자발생자산(2025Q3~2026Q2)) − 총차입금 2150억 × 3.11%(주석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+0.00억(최근 4분기 중위 -8.59억이 이자손익 추정 -10.95억의 50% 초과 → 0(경고)) (항등식); 이자손익 = 이자발생자산 1541억 × 3.23%(주석 이자수익 ÷ 평균 이자발생자산(2025Q3~2026Q2)) − 총차입금 2150억 × 3.11%(주석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+0.00억(최근 4분기 중위 -8.59억이 이자손익 추정 -10.95억의 50% 초과 → 0(경고)) (항등식); 이자손익 = 이자발생자산 1692억 × 3.23%(주석 이자수익 ÷ 평균 이자발생자산(2025Q3~2026Q2)) − 총차입금 2150억 × 3.11%(주석 이자비용 ÷ 평균 총차입금(2025Q3~2026Q2)) (연율) ÷ 4; 환율 효과는 환관련손익 행 별도
[identity]</t>
      </text>
    </comment>
    <comment ref="AC12" authorId="0" shapeId="0">
      <text>
        <t>추정: 이자발생자산 713억 × 3.23%(주석 이자수익 ÷ 평균 이자발생자산(2025Q3~2026Q2)) − 총차입금 2150억 × 3.11%(주석 이자비용 ÷ 평균 총차입금(2025Q3~2026Q2)) (연율) ÷ 4
[interest]</t>
      </text>
    </comment>
    <comment ref="AD12" authorId="0" shapeId="0">
      <text>
        <t>추정: 이자발생자산 865억 × 3.23%(주석 이자수익 ÷ 평균 이자발생자산(2025Q3~2026Q2)) − 총차입금 2150억 × 3.11%(주석 이자비용 ÷ 평균 총차입금(2025Q3~2026Q2)) (연율) ÷ 4
[interest]</t>
      </text>
    </comment>
    <comment ref="AF12" authorId="0" shapeId="0">
      <text>
        <t>추정: 이자발생자산 953억 × 3.23%(주석 이자수익 ÷ 평균 이자발생자산(2025Q3~2026Q2)) − 총차입금 2150억 × 3.11%(주석 이자비용 ÷ 평균 총차입금(2025Q3~2026Q2)) (연율) ÷ 4
[interest]</t>
      </text>
    </comment>
    <comment ref="AG12" authorId="0" shapeId="0">
      <text>
        <t>추정: 이자발생자산 1041억 × 3.23%(주석 이자수익 ÷ 평균 이자발생자산(2025Q3~2026Q2)) − 총차입금 2150억 × 3.11%(주석 이자비용 ÷ 평균 총차입금(2025Q3~2026Q2)) (연율) ÷ 4
[interest]</t>
      </text>
    </comment>
    <comment ref="AH12" authorId="0" shapeId="0">
      <text>
        <t>추정: 이자발생자산 1128억 × 3.23%(주석 이자수익 ÷ 평균 이자발생자산(2025Q3~2026Q2)) − 총차입금 2150억 × 3.11%(주석 이자비용 ÷ 평균 총차입금(2025Q3~2026Q2)) (연율) ÷ 4
[interest]</t>
      </text>
    </comment>
    <comment ref="AI12" authorId="0" shapeId="0">
      <text>
        <t>추정: 이자발생자산 1278억 × 3.23%(주석 이자수익 ÷ 평균 이자발생자산(2025Q3~2026Q2)) − 총차입금 2150억 × 3.11%(주석 이자비용 ÷ 평균 총차입금(2025Q3~2026Q2)) (연율) ÷ 4
[interest]</t>
      </text>
    </comment>
    <comment ref="AK12" authorId="0" shapeId="0">
      <text>
        <t>추정: 이자발생자산 1366억 × 3.23%(주석 이자수익 ÷ 평균 이자발생자산(2025Q3~2026Q2)) − 총차입금 2150억 × 3.11%(주석 이자비용 ÷ 평균 총차입금(2025Q3~2026Q2)) (연율) ÷ 4
[interest]</t>
      </text>
    </comment>
    <comment ref="AL12" authorId="0" shapeId="0">
      <text>
        <t>추정: 이자발생자산 1454억 × 3.23%(주석 이자수익 ÷ 평균 이자발생자산(2025Q3~2026Q2)) − 총차입금 2150억 × 3.11%(주석 이자비용 ÷ 평균 총차입금(2025Q3~2026Q2)) (연율) ÷ 4
[interest]</t>
      </text>
    </comment>
    <comment ref="AM12" authorId="0" shapeId="0">
      <text>
        <t>추정: 이자발생자산 1541억 × 3.23%(주석 이자수익 ÷ 평균 이자발생자산(2025Q3~2026Q2)) − 총차입금 2150억 × 3.11%(주석 이자비용 ÷ 평균 총차입금(2025Q3~2026Q2)) (연율) ÷ 4
[interest]</t>
      </text>
    </comment>
    <comment ref="AN12" authorId="0" shapeId="0">
      <text>
        <t>추정: 이자발생자산 1692억 × 3.23%(주석 이자수익 ÷ 평균 이자발생자산(2025Q3~2026Q2)) − 총차입금 2150억 × 3.11%(주석 이자비용 ÷ 평균 총차입금(2025Q3~2026Q2))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R14" authorId="0" shapeId="0">
      <text>
        <t>BS 계정 합·차: +파생상품이익 -파생상품손실</t>
      </text>
    </comment>
    <comment ref="S14" authorId="0" shapeId="0">
      <text>
        <t>BS 계정 합·차: +파생상품이익 -파생상품손실</t>
      </text>
    </comment>
    <comment ref="T14" authorId="0" shapeId="0">
      <text>
        <t>BS 계정 합·차: +파생상품이익 -파생상품손실</t>
      </text>
    </comment>
    <comment ref="V14" authorId="0" shapeId="0">
      <text>
        <t>BS 계정 합·차: +파생상품이익 -파생상품손실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Y14" authorId="0" shapeId="0">
      <text>
        <t>BS 계정 합·차: +파생상품이익 -파생상품손실</t>
      </text>
    </comment>
    <comment ref="AA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최근 4분기 중위 -8.59억이 이자손익 추정 -10.95억의 50% 초과 → 0(경고)
[abs]</t>
      </text>
    </comment>
    <comment ref="AD15" authorId="0" shapeId="0">
      <text>
        <t>추정: 최근 4분기 중위 -8.59억이 이자손익 추정 -10.95억의 50% 초과 → 0(경고)
[abs]</t>
      </text>
    </comment>
    <comment ref="AF15" authorId="0" shapeId="0">
      <text>
        <t>추정: 최근 4분기 중위 -8.59억이 이자손익 추정 -10.95억의 50% 초과 → 0(경고)
[abs]</t>
      </text>
    </comment>
    <comment ref="AG15" authorId="0" shapeId="0">
      <text>
        <t>추정: 최근 4분기 중위 -8.59억이 이자손익 추정 -10.95억의 50% 초과 → 0(경고)
[abs]</t>
      </text>
    </comment>
    <comment ref="AH15" authorId="0" shapeId="0">
      <text>
        <t>추정: 최근 4분기 중위 -8.59억이 이자손익 추정 -10.95억의 50% 초과 → 0(경고)
[abs]</t>
      </text>
    </comment>
    <comment ref="AI15" authorId="0" shapeId="0">
      <text>
        <t>추정: 최근 4분기 중위 -8.59억이 이자손익 추정 -10.95억의 50% 초과 → 0(경고)
[abs]</t>
      </text>
    </comment>
    <comment ref="AK15" authorId="0" shapeId="0">
      <text>
        <t>추정: 최근 4분기 중위 -8.59억이 이자손익 추정 -10.95억의 50% 초과 → 0(경고)
[abs]</t>
      </text>
    </comment>
    <comment ref="AL15" authorId="0" shapeId="0">
      <text>
        <t>추정: 최근 4분기 중위 -8.59억이 이자손익 추정 -10.95억의 50% 초과 → 0(경고)
[abs]</t>
      </text>
    </comment>
    <comment ref="AM15" authorId="0" shapeId="0">
      <text>
        <t>추정: 최근 4분기 중위 -8.59억이 이자손익 추정 -10.95억의 50% 초과 → 0(경고)
[abs]</t>
      </text>
    </comment>
    <comment ref="AN15" authorId="0" shapeId="0">
      <text>
        <t>추정: 최근 4분기 중위 -8.59억이 이자손익 추정 -10.95억의 50% 초과 → 0(경고)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영업이익 + 금융손익 + 기타영업외 + 지분법 + 환관련(항등식)
[identity]</t>
      </text>
    </comment>
    <comment ref="AD17" authorId="0" shapeId="0">
      <text>
        <t>추정: 영업이익 + 금융손익 + 기타영업외 + 지분법 + 환관련(항등식)
[identity]</t>
      </text>
    </comment>
    <comment ref="AF17" authorId="0" shapeId="0">
      <text>
        <t>추정: 영업이익 + 금융손익 + 기타영업외 + 지분법 + 환관련(항등식)
[identity]</t>
      </text>
    </comment>
    <comment ref="AG17" authorId="0" shapeId="0">
      <text>
        <t>추정: 영업이익 + 금융손익 + 기타영업외 + 지분법 + 환관련(항등식)
[identity]</t>
      </text>
    </comment>
    <comment ref="AH17" authorId="0" shapeId="0">
      <text>
        <t>추정: 영업이익 + 금융손익 + 기타영업외 + 지분법 + 환관련(항등식)
[identity]</t>
      </text>
    </comment>
    <comment ref="AI17" authorId="0" shapeId="0">
      <text>
        <t>추정: 영업이익 + 금융손익 + 기타영업외 + 지분법 + 환관련(항등식)
[identity]</t>
      </text>
    </comment>
    <comment ref="AK17" authorId="0" shapeId="0">
      <text>
        <t>추정: 영업이익 + 금융손익 + 기타영업외 + 지분법 + 환관련(항등식)
[identity]</t>
      </text>
    </comment>
    <comment ref="AL17" authorId="0" shapeId="0">
      <text>
        <t>추정: 영업이익 + 금융손익 + 기타영업외 + 지분법 + 환관련(항등식)
[identity]</t>
      </text>
    </comment>
    <comment ref="AM17" authorId="0" shapeId="0">
      <text>
        <t>추정: 영업이익 + 금융손익 + 기타영업외 + 지분법 + 환관련(항등식)
[identity]</t>
      </text>
    </comment>
    <comment ref="AN17" authorId="0" shapeId="0">
      <text>
        <t>추정: 영업이익 + 금융손익 + 기타영업외 + 지분법 + 환관련(항등식)
[identity]</t>
      </text>
    </comment>
    <comment ref="AC18" authorId="0" shapeId="0">
      <text>
        <t>추정: max(세전, 0) × 세율 18.3%(최근 12분기 유효세율 18.3%(5~27% 안 — 그대로))
[tax]</t>
      </text>
    </comment>
    <comment ref="AD18" authorId="0" shapeId="0">
      <text>
        <t>추정: max(세전, 0) × 세율 18.3%(최근 12분기 유효세율 18.3%(5~27% 안 — 그대로))
[tax]</t>
      </text>
    </comment>
    <comment ref="AF18" authorId="0" shapeId="0">
      <text>
        <t>추정: max(세전, 0) × 세율 18.3%(최근 12분기 유효세율 18.3%(5~27% 안 — 그대로))
[tax]</t>
      </text>
    </comment>
    <comment ref="AG18" authorId="0" shapeId="0">
      <text>
        <t>추정: max(세전, 0) × 세율 18.3%(최근 12분기 유효세율 18.3%(5~27% 안 — 그대로))
[tax]</t>
      </text>
    </comment>
    <comment ref="AH18" authorId="0" shapeId="0">
      <text>
        <t>추정: max(세전, 0) × 세율 18.3%(최근 12분기 유효세율 18.3%(5~27% 안 — 그대로))
[tax]</t>
      </text>
    </comment>
    <comment ref="AI18" authorId="0" shapeId="0">
      <text>
        <t>추정: max(세전, 0) × 세율 18.3%(최근 12분기 유효세율 18.3%(5~27% 안 — 그대로))
[tax]</t>
      </text>
    </comment>
    <comment ref="AK18" authorId="0" shapeId="0">
      <text>
        <t>추정: max(세전, 0) × 세율 18.3%(최근 12분기 유효세율 18.3%(5~27% 안 — 그대로))
[tax]</t>
      </text>
    </comment>
    <comment ref="AL18" authorId="0" shapeId="0">
      <text>
        <t>추정: max(세전, 0) × 세율 18.3%(최근 12분기 유효세율 18.3%(5~27% 안 — 그대로))
[tax]</t>
      </text>
    </comment>
    <comment ref="AM18" authorId="0" shapeId="0">
      <text>
        <t>추정: max(세전, 0) × 세율 18.3%(최근 12분기 유효세율 18.3%(5~27% 안 — 그대로))
[tax]</t>
      </text>
    </comment>
    <comment ref="AN18" authorId="0" shapeId="0">
      <text>
        <t>추정: max(세전, 0) × 세율 18.3%(최근 12분기 유효세율 18.3%(5~27% 안 — 그대로))
[tax]</t>
      </text>
    </comment>
    <comment ref="AC19" authorId="0" shapeId="0">
      <text>
        <t>추정: 세전이익 − 법인세비용(항등식)
[identity]</t>
      </text>
    </comment>
    <comment ref="AD19" authorId="0" shapeId="0">
      <text>
        <t>추정: 세전이익 − 법인세비용(항등식)
[identity]</t>
      </text>
    </comment>
    <comment ref="AF19" authorId="0" shapeId="0">
      <text>
        <t>추정: 세전이익 − 법인세비용(항등식)
[identity]</t>
      </text>
    </comment>
    <comment ref="AG19" authorId="0" shapeId="0">
      <text>
        <t>추정: 세전이익 − 법인세비용(항등식)
[identity]</t>
      </text>
    </comment>
    <comment ref="AH19" authorId="0" shapeId="0">
      <text>
        <t>추정: 세전이익 − 법인세비용(항등식)
[identity]</t>
      </text>
    </comment>
    <comment ref="AI19" authorId="0" shapeId="0">
      <text>
        <t>추정: 세전이익 − 법인세비용(항등식)
[identity]</t>
      </text>
    </comment>
    <comment ref="AK19" authorId="0" shapeId="0">
      <text>
        <t>추정: 세전이익 − 법인세비용(항등식)
[identity]</t>
      </text>
    </comment>
    <comment ref="AL19" authorId="0" shapeId="0">
      <text>
        <t>추정: 세전이익 − 법인세비용(항등식)
[identity]</t>
      </text>
    </comment>
    <comment ref="AM19" authorId="0" shapeId="0">
      <text>
        <t>추정: 세전이익 − 법인세비용(항등식)
[identity]</t>
      </text>
    </comment>
    <comment ref="AN19" authorId="0" shapeId="0">
      <text>
        <t>추정: 세전이익 − 법인세비용(항등식)
[identity]</t>
      </text>
    </comment>
    <comment ref="AC20" authorId="0" shapeId="0">
      <text>
        <t>추정: 당기순이익 × (1 − 비지배 비중 0.0%, 최근 8분기 실측)
[ratio]</t>
      </text>
    </comment>
    <comment ref="AD20" authorId="0" shapeId="0">
      <text>
        <t>추정: 당기순이익 × (1 − 비지배 비중 0.0%, 최근 8분기 실측)
[ratio]</t>
      </text>
    </comment>
    <comment ref="AF20" authorId="0" shapeId="0">
      <text>
        <t>추정: 당기순이익 × (1 − 비지배 비중 0.0%, 최근 8분기 실측)
[ratio]</t>
      </text>
    </comment>
    <comment ref="AG20" authorId="0" shapeId="0">
      <text>
        <t>추정: 당기순이익 × (1 − 비지배 비중 0.0%, 최근 8분기 실측)
[ratio]</t>
      </text>
    </comment>
    <comment ref="AH20" authorId="0" shapeId="0">
      <text>
        <t>추정: 당기순이익 × (1 − 비지배 비중 0.0%, 최근 8분기 실측)
[ratio]</t>
      </text>
    </comment>
    <comment ref="AI20" authorId="0" shapeId="0">
      <text>
        <t>추정: 당기순이익 × (1 − 비지배 비중 0.0%, 최근 8분기 실측)
[ratio]</t>
      </text>
    </comment>
    <comment ref="AK20" authorId="0" shapeId="0">
      <text>
        <t>추정: 당기순이익 × (1 − 비지배 비중 0.0%, 최근 8분기 실측)
[ratio]</t>
      </text>
    </comment>
    <comment ref="AL20" authorId="0" shapeId="0">
      <text>
        <t>추정: 당기순이익 × (1 − 비지배 비중 0.0%, 최근 8분기 실측)
[ratio]</t>
      </text>
    </comment>
    <comment ref="AM20" authorId="0" shapeId="0">
      <text>
        <t>추정: 당기순이익 × (1 − 비지배 비중 0.0%, 최근 8분기 실측)
[ratio]</t>
      </text>
    </comment>
    <comment ref="AN20" authorId="0" shapeId="0">
      <text>
        <t>추정: 당기순이익 × (1 − 비지배 비중 0.0%, 최근 8분기 실측)
[ratio]</t>
      </text>
    </comment>
    <comment ref="AC21" authorId="0" shapeId="0">
      <text>
        <t>추정: 부채총계 + 자본총계(항등식)
[identity]</t>
      </text>
    </comment>
    <comment ref="AD21" authorId="0" shapeId="0">
      <text>
        <t>추정: 부채총계 + 자본총계(항등식)
[identity]</t>
      </text>
    </comment>
    <comment ref="AF21" authorId="0" shapeId="0">
      <text>
        <t>추정: 부채총계 + 자본총계(항등식)
[identity]</t>
      </text>
    </comment>
    <comment ref="AG21" authorId="0" shapeId="0">
      <text>
        <t>추정: 부채총계 + 자본총계(항등식)
[identity]</t>
      </text>
    </comment>
    <comment ref="AH21" authorId="0" shapeId="0">
      <text>
        <t>추정: 부채총계 + 자본총계(항등식)
[identity]</t>
      </text>
    </comment>
    <comment ref="AI21" authorId="0" shapeId="0">
      <text>
        <t>추정: 부채총계 + 자본총계(항등식)
[identity]</t>
      </text>
    </comment>
    <comment ref="AK21" authorId="0" shapeId="0">
      <text>
        <t>추정: 부채총계 + 자본총계(항등식)
[identity]</t>
      </text>
    </comment>
    <comment ref="AL21" authorId="0" shapeId="0">
      <text>
        <t>추정: 부채총계 + 자본총계(항등식)
[identity]</t>
      </text>
    </comment>
    <comment ref="AM21" authorId="0" shapeId="0">
      <text>
        <t>추정: 부채총계 + 자본총계(항등식)
[identity]</t>
      </text>
    </comment>
    <comment ref="AN21" authorId="0" shapeId="0">
      <text>
        <t>추정: 부채총계 + 자본총계(항등식)
[identity]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AC23" authorId="0" shapeId="0">
      <text>
        <t>추정: 전분기 + 당기순이익 − 배당(Q2 지급 가정)
[roll]</t>
      </text>
    </comment>
    <comment ref="AD23" authorId="0" shapeId="0">
      <text>
        <t>추정: 전분기 + 당기순이익 − 배당(Q2 지급 가정)
[roll]</t>
      </text>
    </comment>
    <comment ref="AF23" authorId="0" shapeId="0">
      <text>
        <t>추정: 전분기 + 당기순이익 − 배당(Q2 지급 가정)
[roll]</t>
      </text>
    </comment>
    <comment ref="AG23" authorId="0" shapeId="0">
      <text>
        <t>추정: 전분기 + 당기순이익 − 배당(Q2 지급 가정)
[roll]</t>
      </text>
    </comment>
    <comment ref="AH23" authorId="0" shapeId="0">
      <text>
        <t>추정: 전분기 + 당기순이익 − 배당(Q2 지급 가정)
[roll]</t>
      </text>
    </comment>
    <comment ref="AI23" authorId="0" shapeId="0">
      <text>
        <t>추정: 전분기 + 당기순이익 − 배당(Q2 지급 가정)
[roll]</t>
      </text>
    </comment>
    <comment ref="AK23" authorId="0" shapeId="0">
      <text>
        <t>추정: 전분기 + 당기순이익 − 배당(Q2 지급 가정)
[roll]</t>
      </text>
    </comment>
    <comment ref="AL23" authorId="0" shapeId="0">
      <text>
        <t>추정: 전분기 + 당기순이익 − 배당(Q2 지급 가정)
[roll]</t>
      </text>
    </comment>
    <comment ref="AM23" authorId="0" shapeId="0">
      <text>
        <t>추정: 전분기 + 당기순이익 − 배당(Q2 지급 가정)
[roll]</t>
      </text>
    </comment>
    <comment ref="AN23" authorId="0" shapeId="0">
      <text>
        <t>추정: 전분기 + 당기순이익 − 배당(Q2 지급 가정)
[roll]</t>
      </text>
    </comment>
    <comment ref="AC24" authorId="0" shapeId="0">
      <text>
        <t>추정: 전분기 + 지배주주순이익 − 배당
[roll]</t>
      </text>
    </comment>
    <comment ref="AD24" authorId="0" shapeId="0">
      <text>
        <t>추정: 전분기 + 지배주주순이익 − 배당
[roll]</t>
      </text>
    </comment>
    <comment ref="AF24" authorId="0" shapeId="0">
      <text>
        <t>추정: 전분기 + 지배주주순이익 − 배당
[roll]</t>
      </text>
    </comment>
    <comment ref="AG24" authorId="0" shapeId="0">
      <text>
        <t>추정: 전분기 + 지배주주순이익 − 배당
[roll]</t>
      </text>
    </comment>
    <comment ref="AH24" authorId="0" shapeId="0">
      <text>
        <t>추정: 전분기 + 지배주주순이익 − 배당
[roll]</t>
      </text>
    </comment>
    <comment ref="AI24" authorId="0" shapeId="0">
      <text>
        <t>추정: 전분기 + 지배주주순이익 − 배당
[roll]</t>
      </text>
    </comment>
    <comment ref="AK24" authorId="0" shapeId="0">
      <text>
        <t>추정: 전분기 + 지배주주순이익 − 배당
[roll]</t>
      </text>
    </comment>
    <comment ref="AL24" authorId="0" shapeId="0">
      <text>
        <t>추정: 전분기 + 지배주주순이익 − 배당
[roll]</t>
      </text>
    </comment>
    <comment ref="AM24" authorId="0" shapeId="0">
      <text>
        <t>추정: 전분기 + 지배주주순이익 − 배당
[roll]</t>
      </text>
    </comment>
    <comment ref="AN24" authorId="0" shapeId="0">
      <text>
        <t>추정: 전분기 + 지배주주순이익 − 배당
[roll]</t>
      </text>
    </comment>
    <comment ref="AC25" authorId="0" shapeId="0">
      <text>
        <t>추정: 마지막 실적 유지(가정)
[qoq]</t>
      </text>
    </comment>
    <comment ref="AD25" authorId="0" shapeId="0">
      <text>
        <t>추정: 마지막 실적 유지(가정)
[qoq]</t>
      </text>
    </comment>
    <comment ref="AF25" authorId="0" shapeId="0">
      <text>
        <t>추정: 마지막 실적 유지(가정)
[qoq]</t>
      </text>
    </comment>
    <comment ref="AG25" authorId="0" shapeId="0">
      <text>
        <t>추정: 마지막 실적 유지(가정)
[qoq]</t>
      </text>
    </comment>
    <comment ref="AH25" authorId="0" shapeId="0">
      <text>
        <t>추정: 마지막 실적 유지(가정)
[qoq]</t>
      </text>
    </comment>
    <comment ref="AI25" authorId="0" shapeId="0">
      <text>
        <t>추정: 마지막 실적 유지(가정)
[qoq]</t>
      </text>
    </comment>
    <comment ref="AK25" authorId="0" shapeId="0">
      <text>
        <t>추정: 마지막 실적 유지(가정)
[qoq]</t>
      </text>
    </comment>
    <comment ref="AL25" authorId="0" shapeId="0">
      <text>
        <t>추정: 마지막 실적 유지(가정)
[qoq]</t>
      </text>
    </comment>
    <comment ref="AM25" authorId="0" shapeId="0">
      <text>
        <t>추정: 마지막 실적 유지(가정)
[qoq]</t>
      </text>
    </comment>
    <comment ref="AN25" authorId="0" shapeId="0">
      <text>
        <t>추정: 마지막 실적 유지(가정)
[qoq]</t>
      </text>
    </comment>
    <comment ref="AC26" authorId="0" shapeId="0">
      <text>
        <t>추정: 전분기 − FCF 근사[순이익 − 배당(감가상각비 없음 → CAPEX≈감가 가정, CAPEX 중위 110억은 행에만)] (운전자본 불변·총차입금 유지 가정 → 변동은 전부 현금)
[qoq]</t>
      </text>
    </comment>
    <comment ref="AD26" authorId="0" shapeId="0">
      <text>
        <t>추정: 전분기 − FCF 근사[순이익 − 배당(감가상각비 없음 → CAPEX≈감가 가정, CAPEX 중위 110억은 행에만)] (운전자본 불변·총차입금 유지 가정 → 변동은 전부 현금)
[qoq]</t>
      </text>
    </comment>
    <comment ref="AF26" authorId="0" shapeId="0">
      <text>
        <t>추정: 전분기 − FCF 근사[순이익 − 배당(감가상각비 없음 → CAPEX≈감가 가정, CAPEX 중위 110억은 행에만)] (운전자본 불변·총차입금 유지 가정 → 변동은 전부 현금)
[qoq]</t>
      </text>
    </comment>
    <comment ref="AG26" authorId="0" shapeId="0">
      <text>
        <t>추정: 전분기 − FCF 근사[순이익 − 배당(감가상각비 없음 → CAPEX≈감가 가정, CAPEX 중위 110억은 행에만)] (운전자본 불변·총차입금 유지 가정 → 변동은 전부 현금)
[qoq]</t>
      </text>
    </comment>
    <comment ref="AH26" authorId="0" shapeId="0">
      <text>
        <t>추정: 전분기 − FCF 근사[순이익 − 배당(감가상각비 없음 → CAPEX≈감가 가정, CAPEX 중위 110억은 행에만)] (운전자본 불변·총차입금 유지 가정 → 변동은 전부 현금)
[qoq]</t>
      </text>
    </comment>
    <comment ref="AI26" authorId="0" shapeId="0">
      <text>
        <t>추정: 전분기 − FCF 근사[순이익 − 배당(감가상각비 없음 → CAPEX≈감가 가정, CAPEX 중위 110억은 행에만)] (운전자본 불변·총차입금 유지 가정 → 변동은 전부 현금)
[qoq]</t>
      </text>
    </comment>
    <comment ref="AK26" authorId="0" shapeId="0">
      <text>
        <t>추정: 전분기 − FCF 근사[순이익 − 배당(감가상각비 없음 → CAPEX≈감가 가정, CAPEX 중위 110억은 행에만)] (운전자본 불변·총차입금 유지 가정 → 변동은 전부 현금)
[qoq]</t>
      </text>
    </comment>
    <comment ref="AL26" authorId="0" shapeId="0">
      <text>
        <t>추정: 전분기 − FCF 근사[순이익 − 배당(감가상각비 없음 → CAPEX≈감가 가정, CAPEX 중위 110억은 행에만)] (운전자본 불변·총차입금 유지 가정 → 변동은 전부 현금)
[qoq]</t>
      </text>
    </comment>
    <comment ref="AM26" authorId="0" shapeId="0">
      <text>
        <t>추정: 전분기 − FCF 근사[순이익 − 배당(감가상각비 없음 → CAPEX≈감가 가정, CAPEX 중위 110억은 행에만)] (운전자본 불변·총차입금 유지 가정 → 변동은 전부 현금)
[qoq]</t>
      </text>
    </comment>
    <comment ref="AN26" authorId="0" shapeId="0">
      <text>
        <t>추정: 전분기 − FCF 근사[순이익 − 배당(감가상각비 없음 → CAPEX≈감가 가정, CAPEX 중위 110억은 행에만)] (운전자본 불변·총차입금 유지 가정 → 변동은 전부 현금)
[qoq]</t>
      </text>
    </comment>
    <comment ref="AC27" authorId="0" shapeId="0">
      <text>
        <t>추정: 전분기 + FCF 근사 — 순차입금 롤과 같은 가정
[qoq]</t>
      </text>
    </comment>
    <comment ref="AD27" authorId="0" shapeId="0">
      <text>
        <t>추정: 전분기 + FCF 근사 — 순차입금 롤과 같은 가정
[qoq]</t>
      </text>
    </comment>
    <comment ref="AF27" authorId="0" shapeId="0">
      <text>
        <t>추정: 전분기 + FCF 근사 — 순차입금 롤과 같은 가정
[qoq]</t>
      </text>
    </comment>
    <comment ref="AG27" authorId="0" shapeId="0">
      <text>
        <t>추정: 전분기 + FCF 근사 — 순차입금 롤과 같은 가정
[qoq]</t>
      </text>
    </comment>
    <comment ref="AH27" authorId="0" shapeId="0">
      <text>
        <t>추정: 전분기 + FCF 근사 — 순차입금 롤과 같은 가정
[qoq]</t>
      </text>
    </comment>
    <comment ref="AI27" authorId="0" shapeId="0">
      <text>
        <t>추정: 전분기 + FCF 근사 — 순차입금 롤과 같은 가정
[qoq]</t>
      </text>
    </comment>
    <comment ref="AK27" authorId="0" shapeId="0">
      <text>
        <t>추정: 전분기 + FCF 근사 — 순차입금 롤과 같은 가정
[qoq]</t>
      </text>
    </comment>
    <comment ref="AL27" authorId="0" shapeId="0">
      <text>
        <t>추정: 전분기 + FCF 근사 — 순차입금 롤과 같은 가정
[qoq]</t>
      </text>
    </comment>
    <comment ref="AM27" authorId="0" shapeId="0">
      <text>
        <t>추정: 전분기 + FCF 근사 — 순차입금 롤과 같은 가정
[qoq]</t>
      </text>
    </comment>
    <comment ref="AN27" authorId="0" shapeId="0">
      <text>
        <t>추정: 전분기 + FCF 근사 — 순차입금 롤과 같은 가정
[qoq]</t>
      </text>
    </comment>
    <comment ref="AC29" authorId="0" shapeId="0">
      <text>
        <t>추정: 최근 4분기(2025Q3~2026Q2) CAPEX 중위 유지 — 순차입금 롤에 미반영(감가상각비 없음 → CAPEX≈감가 가정)
[yoy]</t>
      </text>
    </comment>
    <comment ref="AD29" authorId="0" shapeId="0">
      <text>
        <t>추정: 최근 4분기(2025Q3~2026Q2) CAPEX 중위 유지 — 순차입금 롤에 미반영(감가상각비 없음 → CAPEX≈감가 가정)
[yoy]</t>
      </text>
    </comment>
    <comment ref="AF29" authorId="0" shapeId="0">
      <text>
        <t>추정: 최근 4분기(2025Q3~2026Q2) CAPEX 중위 유지 — 순차입금 롤에 미반영(감가상각비 없음 → CAPEX≈감가 가정)
[yoy]</t>
      </text>
    </comment>
    <comment ref="AG29" authorId="0" shapeId="0">
      <text>
        <t>추정: 최근 4분기(2025Q3~2026Q2) CAPEX 중위 유지 — 순차입금 롤에 미반영(감가상각비 없음 → CAPEX≈감가 가정)
[yoy]</t>
      </text>
    </comment>
    <comment ref="AH29" authorId="0" shapeId="0">
      <text>
        <t>추정: 최근 4분기(2025Q3~2026Q2) CAPEX 중위 유지 — 순차입금 롤에 미반영(감가상각비 없음 → CAPEX≈감가 가정)
[yoy]</t>
      </text>
    </comment>
    <comment ref="AI29" authorId="0" shapeId="0">
      <text>
        <t>추정: 최근 4분기(2025Q3~2026Q2) CAPEX 중위 유지 — 순차입금 롤에 미반영(감가상각비 없음 → CAPEX≈감가 가정)
[yoy]</t>
      </text>
    </comment>
    <comment ref="AK29" authorId="0" shapeId="0">
      <text>
        <t>추정: 최근 4분기(2025Q3~2026Q2) CAPEX 중위 유지 — 순차입금 롤에 미반영(감가상각비 없음 → CAPEX≈감가 가정)
[yoy]</t>
      </text>
    </comment>
    <comment ref="AL29" authorId="0" shapeId="0">
      <text>
        <t>추정: 최근 4분기(2025Q3~2026Q2) CAPEX 중위 유지 — 순차입금 롤에 미반영(감가상각비 없음 → CAPEX≈감가 가정)
[yoy]</t>
      </text>
    </comment>
    <comment ref="AM29" authorId="0" shapeId="0">
      <text>
        <t>추정: 최근 4분기(2025Q3~2026Q2) CAPEX 중위 유지 — 순차입금 롤에 미반영(감가상각비 없음 → CAPEX≈감가 가정)
[yoy]</t>
      </text>
    </comment>
    <comment ref="AN29" authorId="0" shapeId="0">
      <text>
        <t>추정: 최근 4분기(2025Q3~2026Q2) CAPEX 중위 유지 — 순차입금 롤에 미반영(감가상각비 없음 → CAPEX≈감가 가정)
[yoy]</t>
      </text>
    </comment>
    <comment ref="E31" authorId="0" shapeId="0">
      <text>
        <t>실측(계정 매핑 없음(파생·부문·시세 행) — 모델값 직접) — fin.shares.common_outstanding</t>
      </text>
    </comment>
    <comment ref="G31" authorId="0" shapeId="0">
      <text>
        <t>실측(계정 매핑 없음(파생·부문·시세 행) — 모델값 직접) — fin.shares.common_outstanding</t>
      </text>
    </comment>
    <comment ref="H31" authorId="0" shapeId="0">
      <text>
        <t>실측(계정 매핑 없음(파생·부문·시세 행) — 모델값 직접) — fin.shares.common_outstanding</t>
      </text>
    </comment>
    <comment ref="I31" authorId="0" shapeId="0">
      <text>
        <t>실측(계정 매핑 없음(파생·부문·시세 행) — 모델값 직접) — fin.shares.common_outstanding</t>
      </text>
    </comment>
    <comment ref="J31" authorId="0" shapeId="0">
      <text>
        <t>실측(계정 매핑 없음(파생·부문·시세 행) — 모델값 직접) — fin.shares.common_outstanding</t>
      </text>
    </comment>
    <comment ref="L31" authorId="0" shapeId="0">
      <text>
        <t>실측(계정 매핑 없음(파생·부문·시세 행) — 모델값 직접) — fin.shares.common_outstanding</t>
      </text>
    </comment>
    <comment ref="M31" authorId="0" shapeId="0">
      <text>
        <t>실측(계정 매핑 없음(파생·부문·시세 행) — 모델값 직접) — fin.shares.common_outstanding</t>
      </text>
    </comment>
    <comment ref="N31" authorId="0" shapeId="0">
      <text>
        <t>실측(계정 매핑 없음(파생·부문·시세 행) — 모델값 직접) — fin.shares.common_outstanding</t>
      </text>
    </comment>
    <comment ref="O31" authorId="0" shapeId="0">
      <text>
        <t>실측(계정 매핑 없음(파생·부문·시세 행) — 모델값 직접) — fin.shares.common_outstanding</t>
      </text>
    </comment>
    <comment ref="Q31" authorId="0" shapeId="0">
      <text>
        <t>실측(계정 매핑 없음(파생·부문·시세 행) — 모델값 직접) — fin.shares.common_outstanding</t>
      </text>
    </comment>
    <comment ref="R31" authorId="0" shapeId="0">
      <text>
        <t>실측(계정 매핑 없음(파생·부문·시세 행) — 모델값 직접) — fin.shares.common_outstanding</t>
      </text>
    </comment>
    <comment ref="S31" authorId="0" shapeId="0">
      <text>
        <t>실측(계정 매핑 없음(파생·부문·시세 행) — 모델값 직접) — fin.shares.common_outstanding</t>
      </text>
    </comment>
    <comment ref="T31" authorId="0" shapeId="0">
      <text>
        <t>실측(계정 매핑 없음(파생·부문·시세 행) — 모델값 직접) — fin.shares.common_outstanding</t>
      </text>
    </comment>
    <comment ref="V31" authorId="0" shapeId="0">
      <text>
        <t>실측(계정 매핑 없음(파생·부문·시세 행) — 모델값 직접) — fin.shares.common_outstanding</t>
      </text>
    </comment>
    <comment ref="W31" authorId="0" shapeId="0">
      <text>
        <t>실측(계정 매핑 없음(파생·부문·시세 행) — 모델값 직접) — fin.shares.common_outstanding</t>
      </text>
    </comment>
    <comment ref="X31" authorId="0" shapeId="0">
      <text>
        <t>실측(계정 매핑 없음(파생·부문·시세 행) — 모델값 직접) — fin.shares.common_outstanding</t>
      </text>
    </comment>
    <comment ref="Y31" authorId="0" shapeId="0">
      <text>
        <t>실측(계정 매핑 없음(파생·부문·시세 행) — 모델값 직접) — fin.shares.common_outstanding</t>
      </text>
    </comment>
    <comment ref="AA31" authorId="0" shapeId="0">
      <text>
        <t>실측(계정 매핑 없음(파생·부문·시세 행) — 모델값 직접) — fin.shares.common_outstanding</t>
      </text>
    </comment>
    <comment ref="AB31" authorId="0" shapeId="0">
      <text>
        <t>실측(계정 매핑 없음(파생·부문·시세 행) — 모델값 직접) — fin.shares.common_outstanding</t>
      </text>
    </comment>
    <comment ref="AC31" authorId="0" shapeId="0">
      <text>
        <t>추정: 유통주식수 유지 — fin.shares.common_outstanding(2026Q2)
[qoq]</t>
      </text>
    </comment>
    <comment ref="AD31" authorId="0" shapeId="0">
      <text>
        <t>추정: 유통주식수 유지 — fin.shares.common_outstanding(2026Q2)
[qoq]</t>
      </text>
    </comment>
    <comment ref="AF31" authorId="0" shapeId="0">
      <text>
        <t>추정: 유통주식수 유지 — fin.shares.common_outstanding(2026Q2)
[qoq]</t>
      </text>
    </comment>
    <comment ref="AG31" authorId="0" shapeId="0">
      <text>
        <t>추정: 유통주식수 유지 — fin.shares.common_outstanding(2026Q2)
[qoq]</t>
      </text>
    </comment>
    <comment ref="AH31" authorId="0" shapeId="0">
      <text>
        <t>추정: 유통주식수 유지 — fin.shares.common_outstanding(2026Q2)
[qoq]</t>
      </text>
    </comment>
    <comment ref="AI31" authorId="0" shapeId="0">
      <text>
        <t>추정: 유통주식수 유지 — fin.shares.common_outstanding(2026Q2)
[qoq]</t>
      </text>
    </comment>
    <comment ref="AK31" authorId="0" shapeId="0">
      <text>
        <t>추정: 유통주식수 유지 — fin.shares.common_outstanding(2026Q2)
[qoq]</t>
      </text>
    </comment>
    <comment ref="AL31" authorId="0" shapeId="0">
      <text>
        <t>추정: 유통주식수 유지 — fin.shares.common_outstanding(2026Q2)
[qoq]</t>
      </text>
    </comment>
    <comment ref="AM31" authorId="0" shapeId="0">
      <text>
        <t>추정: 유통주식수 유지 — fin.shares.common_outstanding(2026Q2)
[qoq]</t>
      </text>
    </comment>
    <comment ref="AN31" authorId="0" shapeId="0">
      <text>
        <t>추정: 유통주식수 유지 — fin.shares.common_outstanding(2026Q2)
[qoq]</t>
      </text>
    </comment>
    <comment ref="AC32" authorId="0" shapeId="0">
      <text>
        <t>추정: 지배주주순이익 ÷ 유통주식수
[per_share]</t>
      </text>
    </comment>
    <comment ref="AD32" authorId="0" shapeId="0">
      <text>
        <t>추정: 지배주주순이익 ÷ 유통주식수
[per_share]</t>
      </text>
    </comment>
    <comment ref="AF32" authorId="0" shapeId="0">
      <text>
        <t>추정: 지배주주순이익 ÷ 유통주식수
[per_share]</t>
      </text>
    </comment>
    <comment ref="AG32" authorId="0" shapeId="0">
      <text>
        <t>추정: 지배주주순이익 ÷ 유통주식수
[per_share]</t>
      </text>
    </comment>
    <comment ref="AH32" authorId="0" shapeId="0">
      <text>
        <t>추정: 지배주주순이익 ÷ 유통주식수
[per_share]</t>
      </text>
    </comment>
    <comment ref="AI32" authorId="0" shapeId="0">
      <text>
        <t>추정: 지배주주순이익 ÷ 유통주식수
[per_share]</t>
      </text>
    </comment>
    <comment ref="AK32" authorId="0" shapeId="0">
      <text>
        <t>추정: 지배주주순이익 ÷ 유통주식수
[per_share]</t>
      </text>
    </comment>
    <comment ref="AL32" authorId="0" shapeId="0">
      <text>
        <t>추정: 지배주주순이익 ÷ 유통주식수
[per_share]</t>
      </text>
    </comment>
    <comment ref="AM32" authorId="0" shapeId="0">
      <text>
        <t>추정: 지배주주순이익 ÷ 유통주식수
[per_share]</t>
      </text>
    </comment>
    <comment ref="AN32" authorId="0" shapeId="0">
      <text>
        <t>추정: 지배주주순이익 ÷ 유통주식수
[per_share]</t>
      </text>
    </comment>
    <comment ref="AC33" authorId="0" shapeId="0">
      <text>
        <t>추정: 지배주주지분 ÷ 유통주식수
[per_share]</t>
      </text>
    </comment>
    <comment ref="AD33" authorId="0" shapeId="0">
      <text>
        <t>추정: 지배주주지분 ÷ 유통주식수
[per_share]</t>
      </text>
    </comment>
    <comment ref="AF33" authorId="0" shapeId="0">
      <text>
        <t>추정: 지배주주지분 ÷ 유통주식수
[per_share]</t>
      </text>
    </comment>
    <comment ref="AG33" authorId="0" shapeId="0">
      <text>
        <t>추정: 지배주주지분 ÷ 유통주식수
[per_share]</t>
      </text>
    </comment>
    <comment ref="AH33" authorId="0" shapeId="0">
      <text>
        <t>추정: 지배주주지분 ÷ 유통주식수
[per_share]</t>
      </text>
    </comment>
    <comment ref="AI33" authorId="0" shapeId="0">
      <text>
        <t>추정: 지배주주지분 ÷ 유통주식수
[per_share]</t>
      </text>
    </comment>
    <comment ref="AK33" authorId="0" shapeId="0">
      <text>
        <t>추정: 지배주주지분 ÷ 유통주식수
[per_share]</t>
      </text>
    </comment>
    <comment ref="AL33" authorId="0" shapeId="0">
      <text>
        <t>추정: 지배주주지분 ÷ 유통주식수
[per_share]</t>
      </text>
    </comment>
    <comment ref="AM33" authorId="0" shapeId="0">
      <text>
        <t>추정: 지배주주지분 ÷ 유통주식수
[per_share]</t>
      </text>
    </comment>
    <comment ref="AN33" authorId="0" shapeId="0">
      <text>
        <t>추정: 지배주주지분 ÷ 유통주식수
[per_share]</t>
      </text>
    </comment>
    <comment ref="E34" authorId="0" shapeId="0">
      <text>
        <t>실측(계정 매핑 없음(파생·부문·시세 행) — 모델값 직접) — fin.dividend.dps_common(연간, Q4 에 표기)</t>
      </text>
    </comment>
    <comment ref="F34" authorId="0" shapeId="0">
      <text>
        <t>연간(actual) — 분기 미완 연도, 모델 a 값 직접</t>
      </text>
    </comment>
    <comment ref="J34" authorId="0" shapeId="0">
      <text>
        <t>실측(계정 매핑 없음(파생·부문·시세 행) — 모델값 직접) — fin.dividend.dps_common(연간, Q4 에 표기)</t>
      </text>
    </comment>
    <comment ref="O34" authorId="0" shapeId="0">
      <text>
        <t>실측(계정 매핑 없음(파생·부문·시세 행) — 모델값 직접) — fin.dividend.dps_common(연간, Q4 에 표기)</t>
      </text>
    </comment>
    <comment ref="T34" authorId="0" shapeId="0">
      <text>
        <t>실측(계정 매핑 없음(파생·부문·시세 행) — 모델값 직접) — fin.dividend.dps_common(연간, Q4 에 표기)</t>
      </text>
    </comment>
    <comment ref="Y34" authorId="0" shapeId="0">
      <text>
        <t>실측(계정 매핑 없음(파생·부문·시세 행) — 모델값 직접) — fin.dividend.dps_common(연간, Q4 에 표기)</t>
      </text>
    </comment>
    <comment ref="AD34" authorId="0" shapeId="0">
      <text>
        <t>추정: 직전 결산 DPS 0원 유지
[abs]</t>
      </text>
    </comment>
    <comment ref="AI34" authorId="0" shapeId="0">
      <text>
        <t>추정: 직전 결산 DPS 0원 유지
[abs]</t>
      </text>
    </comment>
    <comment ref="AN34" authorId="0" shapeId="0">
      <text>
        <t>추정: 직전 결산 DPS 0원 유지
[abs]</t>
      </text>
    </comment>
    <comment ref="AC35" authorId="0" shapeId="0">
      <text>
        <t>추정: 현재 종가 ÷ TTM EPS(추정 포함)
[valuation]</t>
      </text>
    </comment>
    <comment ref="AD35" authorId="0" shapeId="0">
      <text>
        <t>추정: 현재 종가 ÷ TTM EPS(추정 포함)
[valuation]</t>
      </text>
    </comment>
    <comment ref="AF35" authorId="0" shapeId="0">
      <text>
        <t>추정: 현재 종가 ÷ TTM EPS(추정 포함)
[valuation]</t>
      </text>
    </comment>
    <comment ref="AG35" authorId="0" shapeId="0">
      <text>
        <t>추정: 현재 종가 ÷ TTM EPS(추정 포함)
[valuation]</t>
      </text>
    </comment>
    <comment ref="AH35" authorId="0" shapeId="0">
      <text>
        <t>추정: 현재 종가 ÷ TTM EPS(추정 포함)
[valuation]</t>
      </text>
    </comment>
    <comment ref="AI35" authorId="0" shapeId="0">
      <text>
        <t>추정: 현재 종가 ÷ TTM EPS(추정 포함)
[valuation]</t>
      </text>
    </comment>
    <comment ref="AK35" authorId="0" shapeId="0">
      <text>
        <t>추정: 현재 종가 ÷ TTM EPS(추정 포함)
[valuation]</t>
      </text>
    </comment>
    <comment ref="AL35" authorId="0" shapeId="0">
      <text>
        <t>추정: 현재 종가 ÷ TTM EPS(추정 포함)
[valuation]</t>
      </text>
    </comment>
    <comment ref="AM35" authorId="0" shapeId="0">
      <text>
        <t>추정: 현재 종가 ÷ TTM EPS(추정 포함)
[valuation]</t>
      </text>
    </comment>
    <comment ref="AN35" authorId="0" shapeId="0">
      <text>
        <t>추정: 현재 종가 ÷ TTM EPS(추정 포함)
[valuation]</t>
      </text>
    </comment>
    <comment ref="AC36" authorId="0" shapeId="0">
      <text>
        <t>추정: 현재 종가 ÷ BPS(추정 포함)
[valuation]</t>
      </text>
    </comment>
    <comment ref="AD36" authorId="0" shapeId="0">
      <text>
        <t>추정: 현재 종가 ÷ BPS(추정 포함)
[valuation]</t>
      </text>
    </comment>
    <comment ref="AF36" authorId="0" shapeId="0">
      <text>
        <t>추정: 현재 종가 ÷ BPS(추정 포함)
[valuation]</t>
      </text>
    </comment>
    <comment ref="AG36" authorId="0" shapeId="0">
      <text>
        <t>추정: 현재 종가 ÷ BPS(추정 포함)
[valuation]</t>
      </text>
    </comment>
    <comment ref="AH36" authorId="0" shapeId="0">
      <text>
        <t>추정: 현재 종가 ÷ BPS(추정 포함)
[valuation]</t>
      </text>
    </comment>
    <comment ref="AI36" authorId="0" shapeId="0">
      <text>
        <t>추정: 현재 종가 ÷ BPS(추정 포함)
[valuation]</t>
      </text>
    </comment>
    <comment ref="AK36" authorId="0" shapeId="0">
      <text>
        <t>추정: 현재 종가 ÷ BPS(추정 포함)
[valuation]</t>
      </text>
    </comment>
    <comment ref="AL36" authorId="0" shapeId="0">
      <text>
        <t>추정: 현재 종가 ÷ BPS(추정 포함)
[valuation]</t>
      </text>
    </comment>
    <comment ref="AM36" authorId="0" shapeId="0">
      <text>
        <t>추정: 현재 종가 ÷ BPS(추정 포함)
[valuation]</t>
      </text>
    </comment>
    <comment ref="AN36" authorId="0" shapeId="0">
      <text>
        <t>추정: 현재 종가 ÷ BPS(추정 포함)
[valuation]</t>
      </text>
    </comment>
    <comment ref="E37" authorId="0" shapeId="0">
      <text>
        <t>실측(계정 매핑 없음(파생·부문·시세 행) — 모델값 직접) — = 매출액(부문 미분리)</t>
      </text>
    </comment>
    <comment ref="G37" authorId="0" shapeId="0">
      <text>
        <t>실측(계정 매핑 없음(파생·부문·시세 행) — 모델값 직접) — = 매출액(부문 미분리)</t>
      </text>
    </comment>
    <comment ref="H37" authorId="0" shapeId="0">
      <text>
        <t>실측(계정 매핑 없음(파생·부문·시세 행) — 모델값 직접) — = 매출액(부문 미분리)</t>
      </text>
    </comment>
    <comment ref="I37" authorId="0" shapeId="0">
      <text>
        <t>실측(계정 매핑 없음(파생·부문·시세 행) — 모델값 직접) — = 매출액(부문 미분리)</t>
      </text>
    </comment>
    <comment ref="J37" authorId="0" shapeId="0">
      <text>
        <t>실측(계정 매핑 없음(파생·부문·시세 행) — 모델값 직접) — = 매출액(부문 미분리)</t>
      </text>
    </comment>
    <comment ref="L37" authorId="0" shapeId="0">
      <text>
        <t>실측(계정 매핑 없음(파생·부문·시세 행) — 모델값 직접) — = 매출액(부문 미분리)</t>
      </text>
    </comment>
    <comment ref="M37" authorId="0" shapeId="0">
      <text>
        <t>실측(계정 매핑 없음(파생·부문·시세 행) — 모델값 직접) — = 매출액(부문 미분리)</t>
      </text>
    </comment>
    <comment ref="N37" authorId="0" shapeId="0">
      <text>
        <t>실측(계정 매핑 없음(파생·부문·시세 행) — 모델값 직접) — = 매출액(부문 미분리)</t>
      </text>
    </comment>
    <comment ref="O37" authorId="0" shapeId="0">
      <text>
        <t>실측(계정 매핑 없음(파생·부문·시세 행) — 모델값 직접) — = 매출액(부문 미분리)</t>
      </text>
    </comment>
    <comment ref="Q37" authorId="0" shapeId="0">
      <text>
        <t>실측(계정 매핑 없음(파생·부문·시세 행) — 모델값 직접) — = 매출액(부문 미분리)</t>
      </text>
    </comment>
    <comment ref="R37" authorId="0" shapeId="0">
      <text>
        <t>실측(계정 매핑 없음(파생·부문·시세 행) — 모델값 직접) — = 매출액(부문 미분리)</t>
      </text>
    </comment>
    <comment ref="S37" authorId="0" shapeId="0">
      <text>
        <t>실측(계정 매핑 없음(파생·부문·시세 행) — 모델값 직접) — = 매출액(부문 미분리)</t>
      </text>
    </comment>
    <comment ref="T37" authorId="0" shapeId="0">
      <text>
        <t>실측(계정 매핑 없음(파생·부문·시세 행) — 모델값 직접) — = 매출액(부문 미분리)</t>
      </text>
    </comment>
    <comment ref="V37" authorId="0" shapeId="0">
      <text>
        <t>실측(계정 매핑 없음(파생·부문·시세 행) — 모델값 직접) — = 매출액(부문 미분리)</t>
      </text>
    </comment>
    <comment ref="W37" authorId="0" shapeId="0">
      <text>
        <t>실측(계정 매핑 없음(파생·부문·시세 행) — 모델값 직접) — = 매출액(부문 미분리)</t>
      </text>
    </comment>
    <comment ref="X37" authorId="0" shapeId="0">
      <text>
        <t>실측(계정 매핑 없음(파생·부문·시세 행) — 모델값 직접) — = 매출액(부문 미분리)</t>
      </text>
    </comment>
    <comment ref="Y37" authorId="0" shapeId="0">
      <text>
        <t>실측(계정 매핑 없음(파생·부문·시세 행) — 모델값 직접) — = 매출액(부문 미분리)</t>
      </text>
    </comment>
    <comment ref="AA37" authorId="0" shapeId="0">
      <text>
        <t>실측(계정 매핑 없음(파생·부문·시세 행) — 모델값 직접) — = 매출액(부문 미분리)</t>
      </text>
    </comment>
    <comment ref="AB37" authorId="0" shapeId="0">
      <text>
        <t>실측(계정 매핑 없음(파생·부문·시세 행) — 모델값 직접) — = 매출액(부문 미분리)</t>
      </text>
    </comment>
    <comment ref="AC37" authorId="0" shapeId="0">
      <text>
        <t>추정: = 매출액 추정(부문 미분리)
[identity]</t>
      </text>
    </comment>
    <comment ref="AD37" authorId="0" shapeId="0">
      <text>
        <t>추정: = 매출액 추정(부문 미분리)
[identity]</t>
      </text>
    </comment>
    <comment ref="AF37" authorId="0" shapeId="0">
      <text>
        <t>추정: = 매출액 추정(부문 미분리)
[identity]</t>
      </text>
    </comment>
    <comment ref="AG37" authorId="0" shapeId="0">
      <text>
        <t>추정: = 매출액 추정(부문 미분리)
[identity]</t>
      </text>
    </comment>
    <comment ref="AH37" authorId="0" shapeId="0">
      <text>
        <t>추정: = 매출액 추정(부문 미분리)
[identity]</t>
      </text>
    </comment>
    <comment ref="AI37" authorId="0" shapeId="0">
      <text>
        <t>추정: = 매출액 추정(부문 미분리)
[identity]</t>
      </text>
    </comment>
    <comment ref="AK37" authorId="0" shapeId="0">
      <text>
        <t>추정: = 매출액 추정(부문 미분리)
[identity]</t>
      </text>
    </comment>
    <comment ref="AL37" authorId="0" shapeId="0">
      <text>
        <t>추정: = 매출액 추정(부문 미분리)
[identity]</t>
      </text>
    </comment>
    <comment ref="AM37" authorId="0" shapeId="0">
      <text>
        <t>추정: = 매출액 추정(부문 미분리)
[identity]</t>
      </text>
    </comment>
    <comment ref="AN37" authorId="0" shapeId="0">
      <text>
        <t>추정: = 매출액 추정(부문 미분리)
[identity]</t>
      </text>
    </comment>
    <comment ref="E38" authorId="0" shapeId="0">
      <text>
        <t>실측(계정 매핑 없음(파생·부문·시세 행) — 모델값 직접) — = 영업이익(부문 미분리)</t>
      </text>
    </comment>
    <comment ref="G38" authorId="0" shapeId="0">
      <text>
        <t>실측(계정 매핑 없음(파생·부문·시세 행) — 모델값 직접) — = 영업이익(부문 미분리)</t>
      </text>
    </comment>
    <comment ref="H38" authorId="0" shapeId="0">
      <text>
        <t>실측(계정 매핑 없음(파생·부문·시세 행) — 모델값 직접) — = 영업이익(부문 미분리)</t>
      </text>
    </comment>
    <comment ref="I38" authorId="0" shapeId="0">
      <text>
        <t>실측(계정 매핑 없음(파생·부문·시세 행) — 모델값 직접) — = 영업이익(부문 미분리)</t>
      </text>
    </comment>
    <comment ref="J38" authorId="0" shapeId="0">
      <text>
        <t>실측(계정 매핑 없음(파생·부문·시세 행) — 모델값 직접) — = 영업이익(부문 미분리)</t>
      </text>
    </comment>
    <comment ref="L38" authorId="0" shapeId="0">
      <text>
        <t>실측(계정 매핑 없음(파생·부문·시세 행) — 모델값 직접) — = 영업이익(부문 미분리)</t>
      </text>
    </comment>
    <comment ref="M38" authorId="0" shapeId="0">
      <text>
        <t>실측(계정 매핑 없음(파생·부문·시세 행) — 모델값 직접) — = 영업이익(부문 미분리)</t>
      </text>
    </comment>
    <comment ref="N38" authorId="0" shapeId="0">
      <text>
        <t>실측(계정 매핑 없음(파생·부문·시세 행) — 모델값 직접) — = 영업이익(부문 미분리)</t>
      </text>
    </comment>
    <comment ref="O38" authorId="0" shapeId="0">
      <text>
        <t>실측(계정 매핑 없음(파생·부문·시세 행) — 모델값 직접) — = 영업이익(부문 미분리)</t>
      </text>
    </comment>
    <comment ref="Q38" authorId="0" shapeId="0">
      <text>
        <t>실측(계정 매핑 없음(파생·부문·시세 행) — 모델값 직접) — = 영업이익(부문 미분리)</t>
      </text>
    </comment>
    <comment ref="R38" authorId="0" shapeId="0">
      <text>
        <t>실측(계정 매핑 없음(파생·부문·시세 행) — 모델값 직접) — = 영업이익(부문 미분리)</t>
      </text>
    </comment>
    <comment ref="S38" authorId="0" shapeId="0">
      <text>
        <t>실측(계정 매핑 없음(파생·부문·시세 행) — 모델값 직접) — = 영업이익(부문 미분리)</t>
      </text>
    </comment>
    <comment ref="T38" authorId="0" shapeId="0">
      <text>
        <t>실측(계정 매핑 없음(파생·부문·시세 행) — 모델값 직접) — = 영업이익(부문 미분리)</t>
      </text>
    </comment>
    <comment ref="V38" authorId="0" shapeId="0">
      <text>
        <t>실측(계정 매핑 없음(파생·부문·시세 행) — 모델값 직접) — = 영업이익(부문 미분리)</t>
      </text>
    </comment>
    <comment ref="W38" authorId="0" shapeId="0">
      <text>
        <t>실측(계정 매핑 없음(파생·부문·시세 행) — 모델값 직접) — = 영업이익(부문 미분리)</t>
      </text>
    </comment>
    <comment ref="X38" authorId="0" shapeId="0">
      <text>
        <t>실측(계정 매핑 없음(파생·부문·시세 행) — 모델값 직접) — = 영업이익(부문 미분리)</t>
      </text>
    </comment>
    <comment ref="Y38" authorId="0" shapeId="0">
      <text>
        <t>실측(계정 매핑 없음(파생·부문·시세 행) — 모델값 직접) — = 영업이익(부문 미분리)</t>
      </text>
    </comment>
    <comment ref="AA38" authorId="0" shapeId="0">
      <text>
        <t>실측(계정 매핑 없음(파생·부문·시세 행) — 모델값 직접) — = 영업이익(부문 미분리)</t>
      </text>
    </comment>
    <comment ref="AB38" authorId="0" shapeId="0">
      <text>
        <t>실측(계정 매핑 없음(파생·부문·시세 행) — 모델값 직접) — = 영업이익(부문 미분리)</t>
      </text>
    </comment>
    <comment ref="AC38" authorId="0" shapeId="0">
      <text>
        <t>추정: = 매출액 × OPM(부문 미분리)
[identity]</t>
      </text>
    </comment>
    <comment ref="AD38" authorId="0" shapeId="0">
      <text>
        <t>추정: = 매출액 × OPM(부문 미분리)
[identity]</t>
      </text>
    </comment>
    <comment ref="AF38" authorId="0" shapeId="0">
      <text>
        <t>추정: = 매출액 × OPM(부문 미분리)
[identity]</t>
      </text>
    </comment>
    <comment ref="AG38" authorId="0" shapeId="0">
      <text>
        <t>추정: = 매출액 × OPM(부문 미분리)
[identity]</t>
      </text>
    </comment>
    <comment ref="AH38" authorId="0" shapeId="0">
      <text>
        <t>추정: = 매출액 × OPM(부문 미분리)
[identity]</t>
      </text>
    </comment>
    <comment ref="AI38" authorId="0" shapeId="0">
      <text>
        <t>추정: = 매출액 × OPM(부문 미분리)
[identity]</t>
      </text>
    </comment>
    <comment ref="AK38" authorId="0" shapeId="0">
      <text>
        <t>추정: = 매출액 × OPM(부문 미분리)
[identity]</t>
      </text>
    </comment>
    <comment ref="AL38" authorId="0" shapeId="0">
      <text>
        <t>추정: = 매출액 × OPM(부문 미분리)
[identity]</t>
      </text>
    </comment>
    <comment ref="AM38" authorId="0" shapeId="0">
      <text>
        <t>추정: = 매출액 × OPM(부문 미분리)
[identity]</t>
      </text>
    </comment>
    <comment ref="AN38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SK오션플랜트(100090) 실적 모델 — ARGUS 한국조선</t>
        </is>
      </c>
    </row>
    <row r="2">
      <c r="A2" t="inlineStr">
        <is>
          <t>기준 분기 2026Q2 · 마지막 실적 2026Q2 · 생성 2026-10-14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18.29% — 법인세 = MAX(세전,0) × 세율, 추정 전 분기 연결(Σ법인세/Σmax(세전,0) 역산, 재현 오차 ≤ 0.05억). 모델 가정 18.29% · 근거: 최근 12분기 유효세율 18.3%(5~27% 안 — 그대로)</t>
        </is>
      </c>
    </row>
    <row r="23">
      <c r="A23" t="inlineStr">
        <is>
          <t>· 판관비율 4.11%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3.23% / 부채 3.11% — 이자손익 = (전분기 이자발생자산 × 자산이자율 − 전분기 총차입금 × 부채이자율)/4, 최소자승 역산(모델 assumptions [0.0323, 0.0311]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10.0/15.0/20.0배(sector_default(레퍼런스 TP_PE PB 예시 10/15/20배; 과거 PER 중위 31.7배가 캡 5~30 밖 — 턴어라운드 초기 TTM EPS 왜곡))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assets/models/100090.json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조선사 연결 없음(suppliers.json)): 전년동기 × (1+g) 추세 / 감가상각비가 face·CF 에 없음(주석 미파싱) → EBITDA·EV/EBITDA 미산출 / 기타금융손익(금융손익 − 이자 − 외환 − 파생 잔차) 최근 4분기 중위 -8.6억이 이자손익 추정 -11.0억의 50% 초과 → 추정 0 — 평가손익·재분류 여부는 주석 확인 / 금융손익 실적→추정 단절: 최근 4분기 실적 -116/-62/-81/-42(중위 -71억) → 추정 2026Q3 -11억(차 +61억, +85%)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37.4, "op_wape_pct": 12.8,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2287.97, "rev_act": 2931.56, "op_pred": 153.0, "op_act": 192.54}, {"q": "2025Q4", "rev_pred": 1872.28, "rev_act": 1744.72, "op_pred": 125.2, "op_act": 136.64}, {"q": "2026Q1", "rev_pred": 2953.66, "rev_act": 1746.56, "op_pred": 197.51, "op_act": 168.58}, {"q": "2026Q2", "rev_pred": 2764.0, "rev_act": 1704.84, "op_pred": 184.83, "op_act": 193.44}]}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1343.39</v>
      </c>
      <c r="AE6" s="17" t="n">
        <v>1456.01</v>
      </c>
      <c r="AF6" s="16" t="n">
        <v>1341.45</v>
      </c>
      <c r="AG6" s="16" t="n">
        <v>1341.45</v>
      </c>
      <c r="AH6" s="16" t="n">
        <v>1341.45</v>
      </c>
      <c r="AI6" s="16" t="n">
        <v>1341.45</v>
      </c>
      <c r="AJ6" s="11" t="n"/>
      <c r="AK6" s="16" t="n">
        <v>1341.45</v>
      </c>
      <c r="AL6" s="16" t="n">
        <v>1341.45</v>
      </c>
      <c r="AM6" s="16" t="n">
        <v>1341.45</v>
      </c>
      <c r="AN6" s="16" t="n">
        <v>1341.45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1341.45</v>
      </c>
      <c r="AE7" s="17" t="n">
        <v>1341.45</v>
      </c>
      <c r="AF7" s="16" t="n">
        <v>1341.45</v>
      </c>
      <c r="AG7" s="16" t="n">
        <v>1341.45</v>
      </c>
      <c r="AH7" s="16" t="n">
        <v>1341.45</v>
      </c>
      <c r="AI7" s="16" t="n">
        <v>1341.45</v>
      </c>
      <c r="AJ7" s="11" t="n"/>
      <c r="AK7" s="16" t="n">
        <v>1341.45</v>
      </c>
      <c r="AL7" s="16" t="n">
        <v>1341.45</v>
      </c>
      <c r="AM7" s="16" t="n">
        <v>1341.45</v>
      </c>
      <c r="AN7" s="16" t="n">
        <v>1341.45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849.39</v>
      </c>
      <c r="AE8" s="17" t="n">
        <v>918.46</v>
      </c>
      <c r="AF8" s="16" t="n">
        <v>848.37</v>
      </c>
      <c r="AG8" s="16" t="n">
        <v>848.37</v>
      </c>
      <c r="AH8" s="16" t="n">
        <v>848.37</v>
      </c>
      <c r="AI8" s="16" t="n">
        <v>848.37</v>
      </c>
      <c r="AJ8" s="11" t="n"/>
      <c r="AK8" s="16" t="n">
        <v>848.37</v>
      </c>
      <c r="AL8" s="16" t="n">
        <v>848.37</v>
      </c>
      <c r="AM8" s="16" t="n">
        <v>848.37</v>
      </c>
      <c r="AN8" s="16" t="n">
        <v>848.37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848.37</v>
      </c>
      <c r="AE9" s="17" t="n">
        <v>848.37</v>
      </c>
      <c r="AF9" s="16" t="n">
        <v>848.37</v>
      </c>
      <c r="AG9" s="16" t="n">
        <v>848.37</v>
      </c>
      <c r="AH9" s="16" t="n">
        <v>848.37</v>
      </c>
      <c r="AI9" s="16" t="n">
        <v>848.37</v>
      </c>
      <c r="AJ9" s="11" t="n"/>
      <c r="AK9" s="16" t="n">
        <v>848.37</v>
      </c>
      <c r="AL9" s="16" t="n">
        <v>848.37</v>
      </c>
      <c r="AM9" s="16" t="n">
        <v>848.37</v>
      </c>
      <c r="AN9" s="16" t="n">
        <v>848.37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1506.62</v>
      </c>
      <c r="AE10" s="17" t="n">
        <v>1688.01</v>
      </c>
      <c r="AF10" s="16" t="n">
        <v>1500.82</v>
      </c>
      <c r="AG10" s="16" t="n">
        <v>1500.82</v>
      </c>
      <c r="AH10" s="16" t="n">
        <v>1500.82</v>
      </c>
      <c r="AI10" s="16" t="n">
        <v>1500.82</v>
      </c>
      <c r="AJ10" s="11" t="n"/>
      <c r="AK10" s="16" t="n">
        <v>1500.82</v>
      </c>
      <c r="AL10" s="16" t="n">
        <v>1500.82</v>
      </c>
      <c r="AM10" s="16" t="n">
        <v>1500.82</v>
      </c>
      <c r="AN10" s="16" t="n">
        <v>1500.82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1500.82</v>
      </c>
      <c r="AE11" s="17" t="n">
        <v>1500.82</v>
      </c>
      <c r="AF11" s="16" t="n">
        <v>1500.82</v>
      </c>
      <c r="AG11" s="16" t="n">
        <v>1500.82</v>
      </c>
      <c r="AH11" s="16" t="n">
        <v>1500.82</v>
      </c>
      <c r="AI11" s="16" t="n">
        <v>1500.82</v>
      </c>
      <c r="AJ11" s="11" t="n"/>
      <c r="AK11" s="16" t="n">
        <v>1500.82</v>
      </c>
      <c r="AL11" s="16" t="n">
        <v>1500.82</v>
      </c>
      <c r="AM11" s="16" t="n">
        <v>1500.82</v>
      </c>
      <c r="AN11" s="16" t="n">
        <v>1500.82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200.49</v>
      </c>
      <c r="AE12" s="17" t="n">
        <v>213.61</v>
      </c>
      <c r="AF12" s="16" t="n">
        <v>200.4</v>
      </c>
      <c r="AG12" s="16" t="n">
        <v>200.4</v>
      </c>
      <c r="AH12" s="16" t="n">
        <v>200.4</v>
      </c>
      <c r="AI12" s="16" t="n">
        <v>200.4</v>
      </c>
      <c r="AJ12" s="11" t="n"/>
      <c r="AK12" s="16" t="n">
        <v>200.4</v>
      </c>
      <c r="AL12" s="16" t="n">
        <v>200.4</v>
      </c>
      <c r="AM12" s="16" t="n">
        <v>200.4</v>
      </c>
      <c r="AN12" s="16" t="n">
        <v>200.4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</v>
      </c>
      <c r="AE13" s="17" t="n">
        <v>200.4</v>
      </c>
      <c r="AF13" s="16" t="n">
        <v>200.4</v>
      </c>
      <c r="AG13" s="16" t="n">
        <v>200.4</v>
      </c>
      <c r="AH13" s="16" t="n">
        <v>200.4</v>
      </c>
      <c r="AI13" s="16" t="n">
        <v>200.4</v>
      </c>
      <c r="AJ13" s="11" t="n"/>
      <c r="AK13" s="16" t="n">
        <v>200.4</v>
      </c>
      <c r="AL13" s="16" t="n">
        <v>200.4</v>
      </c>
      <c r="AM13" s="16" t="n">
        <v>200.4</v>
      </c>
      <c r="AN13" s="16" t="n">
        <v>200.4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21400</v>
      </c>
      <c r="F15" s="9" t="n"/>
      <c r="G15" s="18" t="n">
        <v>19000</v>
      </c>
      <c r="H15" s="18" t="n">
        <v>23100</v>
      </c>
      <c r="I15" s="18" t="n">
        <v>21250</v>
      </c>
      <c r="J15" s="18" t="n">
        <v>20100</v>
      </c>
      <c r="K15" s="9" t="n"/>
      <c r="L15" s="18" t="n">
        <v>19820</v>
      </c>
      <c r="M15" s="18" t="n">
        <v>20150</v>
      </c>
      <c r="N15" s="18" t="n">
        <v>18380</v>
      </c>
      <c r="O15" s="18" t="n">
        <v>19770</v>
      </c>
      <c r="P15" s="9" t="n"/>
      <c r="Q15" s="18" t="n">
        <v>13150</v>
      </c>
      <c r="R15" s="18" t="n">
        <v>14060</v>
      </c>
      <c r="S15" s="18" t="n">
        <v>14960</v>
      </c>
      <c r="T15" s="18" t="n">
        <v>12870</v>
      </c>
      <c r="U15" s="9" t="n"/>
      <c r="V15" s="18" t="n">
        <v>12250</v>
      </c>
      <c r="W15" s="18" t="n">
        <v>19100</v>
      </c>
      <c r="X15" s="18" t="n">
        <v>24500</v>
      </c>
      <c r="Y15" s="18" t="n">
        <v>20250</v>
      </c>
      <c r="Z15" s="9" t="n"/>
      <c r="AA15" s="18" t="n">
        <v>26850</v>
      </c>
      <c r="AB15" s="19" t="n">
        <v>15130</v>
      </c>
      <c r="AC15" s="20" t="n">
        <v>11820</v>
      </c>
      <c r="AD15" s="20" t="n">
        <v>11090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25650</v>
      </c>
      <c r="F16" s="9" t="n"/>
      <c r="G16" s="18" t="n">
        <v>21850</v>
      </c>
      <c r="H16" s="18" t="n">
        <v>24450</v>
      </c>
      <c r="I16" s="18" t="n">
        <v>31750</v>
      </c>
      <c r="J16" s="18" t="n">
        <v>24550</v>
      </c>
      <c r="K16" s="9" t="n"/>
      <c r="L16" s="18" t="n">
        <v>22500</v>
      </c>
      <c r="M16" s="18" t="n">
        <v>22000</v>
      </c>
      <c r="N16" s="18" t="n">
        <v>23500</v>
      </c>
      <c r="O16" s="18" t="n">
        <v>20150</v>
      </c>
      <c r="P16" s="9" t="n"/>
      <c r="Q16" s="18" t="n">
        <v>20150</v>
      </c>
      <c r="R16" s="18" t="n">
        <v>17730</v>
      </c>
      <c r="S16" s="18" t="n">
        <v>16200</v>
      </c>
      <c r="T16" s="18" t="n">
        <v>15860</v>
      </c>
      <c r="U16" s="9" t="n"/>
      <c r="V16" s="18" t="n">
        <v>16200</v>
      </c>
      <c r="W16" s="18" t="n">
        <v>22150</v>
      </c>
      <c r="X16" s="18" t="n">
        <v>31500</v>
      </c>
      <c r="Y16" s="18" t="n">
        <v>25400</v>
      </c>
      <c r="Z16" s="9" t="n"/>
      <c r="AA16" s="18" t="n">
        <v>30250</v>
      </c>
      <c r="AB16" s="19" t="n">
        <v>31600</v>
      </c>
      <c r="AC16" s="20" t="n">
        <v>20850</v>
      </c>
      <c r="AD16" s="20" t="n">
        <v>12970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18350</v>
      </c>
      <c r="F17" s="9" t="n"/>
      <c r="G17" s="18" t="n">
        <v>15400</v>
      </c>
      <c r="H17" s="18" t="n">
        <v>17950</v>
      </c>
      <c r="I17" s="18" t="n">
        <v>18400</v>
      </c>
      <c r="J17" s="18" t="n">
        <v>19200</v>
      </c>
      <c r="K17" s="9" t="n"/>
      <c r="L17" s="18" t="n">
        <v>17900</v>
      </c>
      <c r="M17" s="18" t="n">
        <v>18810</v>
      </c>
      <c r="N17" s="18" t="n">
        <v>17660</v>
      </c>
      <c r="O17" s="18" t="n">
        <v>14760</v>
      </c>
      <c r="P17" s="9" t="n"/>
      <c r="Q17" s="18" t="n">
        <v>12700</v>
      </c>
      <c r="R17" s="18" t="n">
        <v>12420</v>
      </c>
      <c r="S17" s="18" t="n">
        <v>10300</v>
      </c>
      <c r="T17" s="18" t="n">
        <v>11110</v>
      </c>
      <c r="U17" s="9" t="n"/>
      <c r="V17" s="18" t="n">
        <v>11670</v>
      </c>
      <c r="W17" s="18" t="n">
        <v>12070</v>
      </c>
      <c r="X17" s="18" t="n">
        <v>16570</v>
      </c>
      <c r="Y17" s="18" t="n">
        <v>17400</v>
      </c>
      <c r="Z17" s="9" t="n"/>
      <c r="AA17" s="18" t="n">
        <v>15000</v>
      </c>
      <c r="AB17" s="19" t="n">
        <v>13930</v>
      </c>
      <c r="AC17" s="20" t="n">
        <v>11010</v>
      </c>
      <c r="AD17" s="20" t="n">
        <v>10720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21064.3</v>
      </c>
      <c r="F18" s="9" t="n"/>
      <c r="G18" s="18" t="n">
        <v>18291.5</v>
      </c>
      <c r="H18" s="18" t="n">
        <v>20570.2</v>
      </c>
      <c r="I18" s="18" t="n">
        <v>23927.8</v>
      </c>
      <c r="J18" s="18" t="n">
        <v>21603.2</v>
      </c>
      <c r="K18" s="9" t="n"/>
      <c r="L18" s="18" t="n">
        <v>20013.7</v>
      </c>
      <c r="M18" s="18" t="n">
        <v>19833.3</v>
      </c>
      <c r="N18" s="18" t="n">
        <v>21319.4</v>
      </c>
      <c r="O18" s="18" t="n">
        <v>16814.2</v>
      </c>
      <c r="P18" s="9" t="n"/>
      <c r="Q18" s="18" t="n">
        <v>15486.7</v>
      </c>
      <c r="R18" s="18" t="n">
        <v>13937.8</v>
      </c>
      <c r="S18" s="18" t="n">
        <v>13877.4</v>
      </c>
      <c r="T18" s="18" t="n">
        <v>13031.1</v>
      </c>
      <c r="U18" s="9" t="n"/>
      <c r="V18" s="18" t="n">
        <v>13973.8</v>
      </c>
      <c r="W18" s="18" t="n">
        <v>16867.3</v>
      </c>
      <c r="X18" s="18" t="n">
        <v>21957.2</v>
      </c>
      <c r="Y18" s="18" t="n">
        <v>20398.3</v>
      </c>
      <c r="Z18" s="9" t="n"/>
      <c r="AA18" s="18" t="n">
        <v>19982.5</v>
      </c>
      <c r="AB18" s="19" t="n">
        <v>20406.7</v>
      </c>
      <c r="AC18" s="20" t="n">
        <v>13376.5</v>
      </c>
      <c r="AD18" s="20" t="n">
        <v>11867.5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-0.054851632</v>
      </c>
      <c r="AD21" s="24" t="n">
        <v>-0.054851262</v>
      </c>
      <c r="AE21" s="25" t="n"/>
      <c r="AF21" s="24" t="n">
        <v>-0.05485149</v>
      </c>
      <c r="AG21" s="24" t="n">
        <v>-0.054852272</v>
      </c>
      <c r="AH21" s="24" t="n">
        <v>-0.027425688</v>
      </c>
      <c r="AI21" s="24" t="n">
        <v>-0.027428412</v>
      </c>
      <c r="AJ21" s="25" t="n"/>
      <c r="AK21" s="24" t="n">
        <v>-0.027423732</v>
      </c>
      <c r="AL21" s="24" t="n">
        <v>-0.02742455</v>
      </c>
      <c r="AM21" s="24" t="n">
        <v>-0.013711745</v>
      </c>
      <c r="AN21" s="24" t="n">
        <v>-0.013711271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$D$51</f>
        <v/>
      </c>
      <c r="AD22" s="26">
        <f>$D$51</f>
        <v/>
      </c>
      <c r="AE22" s="25">
        <f>IFERROR(subQ!AE8/subQ!AE5,"")</f>
        <v/>
      </c>
      <c r="AF22" s="26">
        <f>$D$51</f>
        <v/>
      </c>
      <c r="AG22" s="26">
        <f>$D$51</f>
        <v/>
      </c>
      <c r="AH22" s="26">
        <f>$D$51</f>
        <v/>
      </c>
      <c r="AI22" s="26">
        <f>$D$51</f>
        <v/>
      </c>
      <c r="AJ22" s="25">
        <f>IFERROR(subQ!AJ8/subQ!AJ5,"")</f>
        <v/>
      </c>
      <c r="AK22" s="26">
        <f>$D$51</f>
        <v/>
      </c>
      <c r="AL22" s="26">
        <f>$D$51</f>
        <v/>
      </c>
      <c r="AM22" s="26">
        <f>$D$51</f>
        <v/>
      </c>
      <c r="AN22" s="26">
        <f>$D$51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0.070984134</v>
      </c>
      <c r="AD23" s="24" t="n">
        <v>0.070987617</v>
      </c>
      <c r="AE23" s="25">
        <f>IFERROR(subQ!AE9/subQ!AE5,"")</f>
        <v/>
      </c>
      <c r="AF23" s="24" t="n">
        <v>0.070985485</v>
      </c>
      <c r="AG23" s="24" t="n">
        <v>0.07098483899999999</v>
      </c>
      <c r="AH23" s="24" t="n">
        <v>0.07098565</v>
      </c>
      <c r="AI23" s="24" t="n">
        <v>0.07098186200000001</v>
      </c>
      <c r="AJ23" s="25">
        <f>IFERROR(subQ!AJ9/subQ!AJ5,"")</f>
        <v/>
      </c>
      <c r="AK23" s="24" t="n">
        <v>0.070981445</v>
      </c>
      <c r="AL23" s="24" t="n">
        <v>0.07098280899999999</v>
      </c>
      <c r="AM23" s="24" t="n">
        <v>0.070982986</v>
      </c>
      <c r="AN23" s="24" t="n">
        <v>0.070982425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drv:법인세비용</t>
        </is>
      </c>
      <c r="B28" s="2" t="inlineStr">
        <is>
          <t>tax</t>
        </is>
      </c>
      <c r="C28" t="inlineStr">
        <is>
          <t>법인세율(/세전) — 법인세 = MAX(세전,0) × 세율</t>
        </is>
      </c>
      <c r="E28" s="21">
        <f>IFERROR(subQ!E18/subQ!E17,"")</f>
        <v/>
      </c>
      <c r="F28" s="22">
        <f>IFERROR(subQ!F18/subQ!F17,"")</f>
        <v/>
      </c>
      <c r="G28" s="21">
        <f>IFERROR(subQ!G18/subQ!G17,"")</f>
        <v/>
      </c>
      <c r="H28" s="21">
        <f>IFERROR(subQ!H18/subQ!H17,"")</f>
        <v/>
      </c>
      <c r="I28" s="21">
        <f>IFERROR(subQ!I18/subQ!I17,"")</f>
        <v/>
      </c>
      <c r="J28" s="21">
        <f>IFERROR(subQ!J18/subQ!J17,"")</f>
        <v/>
      </c>
      <c r="K28" s="22">
        <f>IFERROR(subQ!K18/subQ!K17,"")</f>
        <v/>
      </c>
      <c r="L28" s="21">
        <f>IFERROR(subQ!L18/subQ!L17,"")</f>
        <v/>
      </c>
      <c r="M28" s="21">
        <f>IFERROR(subQ!M18/subQ!M17,"")</f>
        <v/>
      </c>
      <c r="N28" s="21">
        <f>IFERROR(subQ!N18/subQ!N17,"")</f>
        <v/>
      </c>
      <c r="O28" s="21">
        <f>IFERROR(subQ!O18/subQ!O17,"")</f>
        <v/>
      </c>
      <c r="P28" s="22">
        <f>IFERROR(subQ!P18/subQ!P17,"")</f>
        <v/>
      </c>
      <c r="Q28" s="21">
        <f>IFERROR(subQ!Q18/subQ!Q17,"")</f>
        <v/>
      </c>
      <c r="R28" s="21">
        <f>IFERROR(subQ!R18/subQ!R17,"")</f>
        <v/>
      </c>
      <c r="S28" s="21">
        <f>IFERROR(subQ!S18/subQ!S17,"")</f>
        <v/>
      </c>
      <c r="T28" s="21">
        <f>IFERROR(subQ!T18/subQ!T17,"")</f>
        <v/>
      </c>
      <c r="U28" s="22">
        <f>IFERROR(subQ!U18/subQ!U17,"")</f>
        <v/>
      </c>
      <c r="V28" s="21">
        <f>IFERROR(subQ!V18/subQ!V17,"")</f>
        <v/>
      </c>
      <c r="W28" s="21">
        <f>IFERROR(subQ!W18/subQ!W17,"")</f>
        <v/>
      </c>
      <c r="X28" s="21">
        <f>IFERROR(subQ!X18/subQ!X17,"")</f>
        <v/>
      </c>
      <c r="Y28" s="21">
        <f>IFERROR(subQ!Y18/subQ!Y17,"")</f>
        <v/>
      </c>
      <c r="Z28" s="22">
        <f>IFERROR(subQ!Z18/subQ!Z17,"")</f>
        <v/>
      </c>
      <c r="AA28" s="21">
        <f>IFERROR(subQ!AA18/subQ!AA17,"")</f>
        <v/>
      </c>
      <c r="AB28" s="23">
        <f>IFERROR(subQ!AB18/subQ!AB17,"")</f>
        <v/>
      </c>
      <c r="AC28" s="26">
        <f>$D$50</f>
        <v/>
      </c>
      <c r="AD28" s="26">
        <f>$D$50</f>
        <v/>
      </c>
      <c r="AE28" s="25">
        <f>IFERROR(subQ!AE18/subQ!AE17,"")</f>
        <v/>
      </c>
      <c r="AF28" s="26">
        <f>$D$50</f>
        <v/>
      </c>
      <c r="AG28" s="26">
        <f>$D$50</f>
        <v/>
      </c>
      <c r="AH28" s="26">
        <f>$D$50</f>
        <v/>
      </c>
      <c r="AI28" s="26">
        <f>$D$50</f>
        <v/>
      </c>
      <c r="AJ28" s="25">
        <f>IFERROR(subQ!AJ18/subQ!AJ17,"")</f>
        <v/>
      </c>
      <c r="AK28" s="26">
        <f>$D$50</f>
        <v/>
      </c>
      <c r="AL28" s="26">
        <f>$D$50</f>
        <v/>
      </c>
      <c r="AM28" s="26">
        <f>$D$50</f>
        <v/>
      </c>
      <c r="AN28" s="26">
        <f>$D$50</f>
        <v/>
      </c>
      <c r="AO28" s="25">
        <f>IFERROR(subQ!AO18/subQ!AO17,"")</f>
        <v/>
      </c>
    </row>
    <row r="29">
      <c r="A29" s="12" t="inlineStr">
        <is>
          <t>drv:지배주주순이익</t>
        </is>
      </c>
      <c r="B29" s="2" t="inlineStr">
        <is>
          <t>ratio</t>
        </is>
      </c>
      <c r="C29" t="inlineStr">
        <is>
          <t>지배주주 비중(/당기순이익)</t>
        </is>
      </c>
      <c r="E29" s="21">
        <f>IFERROR(subQ!E20/subQ!E19,"")</f>
        <v/>
      </c>
      <c r="F29" s="22">
        <f>IFERROR(subQ!F20/subQ!F19,"")</f>
        <v/>
      </c>
      <c r="G29" s="21">
        <f>IFERROR(subQ!G20/subQ!G19,"")</f>
        <v/>
      </c>
      <c r="H29" s="21">
        <f>IFERROR(subQ!H20/subQ!H19,"")</f>
        <v/>
      </c>
      <c r="I29" s="21">
        <f>IFERROR(subQ!I20/subQ!I19,"")</f>
        <v/>
      </c>
      <c r="J29" s="21">
        <f>IFERROR(subQ!J20/subQ!J19,"")</f>
        <v/>
      </c>
      <c r="K29" s="22">
        <f>IFERROR(subQ!K20/subQ!K19,"")</f>
        <v/>
      </c>
      <c r="L29" s="21">
        <f>IFERROR(subQ!L20/subQ!L19,"")</f>
        <v/>
      </c>
      <c r="M29" s="21">
        <f>IFERROR(subQ!M20/subQ!M19,"")</f>
        <v/>
      </c>
      <c r="N29" s="21">
        <f>IFERROR(subQ!N20/subQ!N19,"")</f>
        <v/>
      </c>
      <c r="O29" s="21">
        <f>IFERROR(subQ!O20/subQ!O19,"")</f>
        <v/>
      </c>
      <c r="P29" s="22">
        <f>IFERROR(subQ!P20/subQ!P19,"")</f>
        <v/>
      </c>
      <c r="Q29" s="21">
        <f>IFERROR(subQ!Q20/subQ!Q19,"")</f>
        <v/>
      </c>
      <c r="R29" s="21">
        <f>IFERROR(subQ!R20/subQ!R19,"")</f>
        <v/>
      </c>
      <c r="S29" s="21">
        <f>IFERROR(subQ!S20/subQ!S19,"")</f>
        <v/>
      </c>
      <c r="T29" s="21">
        <f>IFERROR(subQ!T20/subQ!T19,"")</f>
        <v/>
      </c>
      <c r="U29" s="22">
        <f>IFERROR(subQ!U20/subQ!U19,"")</f>
        <v/>
      </c>
      <c r="V29" s="21">
        <f>IFERROR(subQ!V20/subQ!V19,"")</f>
        <v/>
      </c>
      <c r="W29" s="21">
        <f>IFERROR(subQ!W20/subQ!W19,"")</f>
        <v/>
      </c>
      <c r="X29" s="21">
        <f>IFERROR(subQ!X20/subQ!X19,"")</f>
        <v/>
      </c>
      <c r="Y29" s="21">
        <f>IFERROR(subQ!Y20/subQ!Y19,"")</f>
        <v/>
      </c>
      <c r="Z29" s="22">
        <f>IFERROR(subQ!Z20/subQ!Z19,"")</f>
        <v/>
      </c>
      <c r="AA29" s="21">
        <f>IFERROR(subQ!AA20/subQ!AA19,"")</f>
        <v/>
      </c>
      <c r="AB29" s="23">
        <f>IFERROR(subQ!AB20/subQ!AB19,"")</f>
        <v/>
      </c>
      <c r="AC29" s="26">
        <f>$D$52</f>
        <v/>
      </c>
      <c r="AD29" s="26">
        <f>$D$52</f>
        <v/>
      </c>
      <c r="AE29" s="25">
        <f>IFERROR(subQ!AE20/subQ!AE19,"")</f>
        <v/>
      </c>
      <c r="AF29" s="26">
        <f>$D$52</f>
        <v/>
      </c>
      <c r="AG29" s="26">
        <f>$D$52</f>
        <v/>
      </c>
      <c r="AH29" s="26">
        <f>$D$52</f>
        <v/>
      </c>
      <c r="AI29" s="26">
        <f>$D$52</f>
        <v/>
      </c>
      <c r="AJ29" s="25">
        <f>IFERROR(subQ!AJ20/subQ!AJ19,"")</f>
        <v/>
      </c>
      <c r="AK29" s="26">
        <f>$D$52</f>
        <v/>
      </c>
      <c r="AL29" s="26">
        <f>$D$52</f>
        <v/>
      </c>
      <c r="AM29" s="26">
        <f>$D$52</f>
        <v/>
      </c>
      <c r="AN29" s="26">
        <f>$D$52</f>
        <v/>
      </c>
      <c r="AO29" s="25">
        <f>IFERROR(subQ!AO20/subQ!AO19,"")</f>
        <v/>
      </c>
    </row>
    <row r="30">
      <c r="A30" s="12" t="inlineStr">
        <is>
          <t>drv:부채총계</t>
        </is>
      </c>
      <c r="B30" s="2" t="inlineStr">
        <is>
          <t>qoq</t>
        </is>
      </c>
      <c r="C30" t="inlineStr">
        <is>
          <t>부채총계 QoQ</t>
        </is>
      </c>
      <c r="E30" s="21" t="n"/>
      <c r="F30" s="22" t="n"/>
      <c r="G30" s="21">
        <f>IFERROR(subQ!G22/subQ!E22-1,"")</f>
        <v/>
      </c>
      <c r="H30" s="21">
        <f>IFERROR(subQ!H22/subQ!G22-1,"")</f>
        <v/>
      </c>
      <c r="I30" s="21">
        <f>IFERROR(subQ!I22/subQ!H22-1,"")</f>
        <v/>
      </c>
      <c r="J30" s="21">
        <f>IFERROR(subQ!J22/subQ!I22-1,"")</f>
        <v/>
      </c>
      <c r="K30" s="22" t="n"/>
      <c r="L30" s="21">
        <f>IFERROR(subQ!L22/subQ!J22-1,"")</f>
        <v/>
      </c>
      <c r="M30" s="21">
        <f>IFERROR(subQ!M22/subQ!L22-1,"")</f>
        <v/>
      </c>
      <c r="N30" s="21">
        <f>IFERROR(subQ!N22/subQ!M22-1,"")</f>
        <v/>
      </c>
      <c r="O30" s="21">
        <f>IFERROR(subQ!O22/subQ!N22-1,"")</f>
        <v/>
      </c>
      <c r="P30" s="22" t="n"/>
      <c r="Q30" s="21">
        <f>IFERROR(subQ!Q22/subQ!O22-1,"")</f>
        <v/>
      </c>
      <c r="R30" s="21">
        <f>IFERROR(subQ!R22/subQ!Q22-1,"")</f>
        <v/>
      </c>
      <c r="S30" s="21">
        <f>IFERROR(subQ!S22/subQ!R22-1,"")</f>
        <v/>
      </c>
      <c r="T30" s="21">
        <f>IFERROR(subQ!T22/subQ!S22-1,"")</f>
        <v/>
      </c>
      <c r="U30" s="22" t="n"/>
      <c r="V30" s="21">
        <f>IFERROR(subQ!V22/subQ!T22-1,"")</f>
        <v/>
      </c>
      <c r="W30" s="21">
        <f>IFERROR(subQ!W22/subQ!V22-1,"")</f>
        <v/>
      </c>
      <c r="X30" s="21">
        <f>IFERROR(subQ!X22/subQ!W22-1,"")</f>
        <v/>
      </c>
      <c r="Y30" s="21">
        <f>IFERROR(subQ!Y22/subQ!X22-1,"")</f>
        <v/>
      </c>
      <c r="Z30" s="22" t="n"/>
      <c r="AA30" s="21">
        <f>IFERROR(subQ!AA22/subQ!Y22-1,"")</f>
        <v/>
      </c>
      <c r="AB30" s="23">
        <f>IFERROR(subQ!AB22/subQ!AA22-1,"")</f>
        <v/>
      </c>
      <c r="AC30" s="24" t="n">
        <v>2.7e-08</v>
      </c>
      <c r="AD30" s="24" t="n">
        <v>0</v>
      </c>
      <c r="AE30" s="25" t="n"/>
      <c r="AF30" s="24" t="n">
        <v>0</v>
      </c>
      <c r="AG30" s="24" t="n">
        <v>0</v>
      </c>
      <c r="AH30" s="24" t="n">
        <v>0</v>
      </c>
      <c r="AI30" s="24" t="n">
        <v>0</v>
      </c>
      <c r="AJ30" s="25" t="n"/>
      <c r="AK30" s="24" t="n">
        <v>0</v>
      </c>
      <c r="AL30" s="24" t="n">
        <v>0</v>
      </c>
      <c r="AM30" s="24" t="n">
        <v>0</v>
      </c>
      <c r="AN30" s="24" t="n">
        <v>0</v>
      </c>
      <c r="AO30" s="25" t="n"/>
    </row>
    <row r="31">
      <c r="A31" s="12" t="inlineStr">
        <is>
          <t>drv:자본총계</t>
        </is>
      </c>
      <c r="B31" s="2" t="inlineStr">
        <is>
          <t>roll</t>
        </is>
      </c>
      <c r="C31" t="inlineStr">
        <is>
          <t>자본총계 기타변동(배당 등, 억원)</t>
        </is>
      </c>
      <c r="E31" s="27" t="n"/>
      <c r="F31" s="28" t="n"/>
      <c r="G31" s="27">
        <f>IFERROR(subQ!E23+subQ!G19-subQ!G23,"")</f>
        <v/>
      </c>
      <c r="H31" s="27">
        <f>IFERROR(subQ!G23+subQ!H19-subQ!H23,"")</f>
        <v/>
      </c>
      <c r="I31" s="27">
        <f>IFERROR(subQ!H23+subQ!I19-subQ!I23,"")</f>
        <v/>
      </c>
      <c r="J31" s="27">
        <f>IFERROR(subQ!I23+subQ!J19-subQ!J23,"")</f>
        <v/>
      </c>
      <c r="K31" s="28" t="n"/>
      <c r="L31" s="27">
        <f>IFERROR(subQ!J23+subQ!L19-subQ!L23,"")</f>
        <v/>
      </c>
      <c r="M31" s="27">
        <f>IFERROR(subQ!L23+subQ!M19-subQ!M23,"")</f>
        <v/>
      </c>
      <c r="N31" s="27">
        <f>IFERROR(subQ!M23+subQ!N19-subQ!N23,"")</f>
        <v/>
      </c>
      <c r="O31" s="27">
        <f>IFERROR(subQ!N23+subQ!O19-subQ!O23,"")</f>
        <v/>
      </c>
      <c r="P31" s="28" t="n"/>
      <c r="Q31" s="27">
        <f>IFERROR(subQ!O23+subQ!Q19-subQ!Q23,"")</f>
        <v/>
      </c>
      <c r="R31" s="27">
        <f>IFERROR(subQ!Q23+subQ!R19-subQ!R23,"")</f>
        <v/>
      </c>
      <c r="S31" s="27">
        <f>IFERROR(subQ!R23+subQ!S19-subQ!S23,"")</f>
        <v/>
      </c>
      <c r="T31" s="27">
        <f>IFERROR(subQ!S23+subQ!T19-subQ!T23,"")</f>
        <v/>
      </c>
      <c r="U31" s="28" t="n"/>
      <c r="V31" s="27">
        <f>IFERROR(subQ!T23+subQ!V19-subQ!V23,"")</f>
        <v/>
      </c>
      <c r="W31" s="27">
        <f>IFERROR(subQ!V23+subQ!W19-subQ!W23,"")</f>
        <v/>
      </c>
      <c r="X31" s="27">
        <f>IFERROR(subQ!W23+subQ!X19-subQ!X23,"")</f>
        <v/>
      </c>
      <c r="Y31" s="27">
        <f>IFERROR(subQ!X23+subQ!Y19-subQ!Y23,"")</f>
        <v/>
      </c>
      <c r="Z31" s="28" t="n"/>
      <c r="AA31" s="27">
        <f>IFERROR(subQ!Y23+subQ!AA19-subQ!AA23,"")</f>
        <v/>
      </c>
      <c r="AB31" s="29">
        <f>IFERROR(subQ!AA23+subQ!AB19-subQ!AB23,"")</f>
        <v/>
      </c>
      <c r="AC31" s="30" t="n">
        <v>-0.008113537000000001</v>
      </c>
      <c r="AD31" s="30" t="n">
        <v>0.001656618</v>
      </c>
      <c r="AE31" s="31" t="n"/>
      <c r="AF31" s="30" t="n">
        <v>0.008455862</v>
      </c>
      <c r="AG31" s="30" t="n">
        <v>-0.006221611</v>
      </c>
      <c r="AH31" s="30" t="n">
        <v>-0.000210217</v>
      </c>
      <c r="AI31" s="30" t="n">
        <v>-0.005043923</v>
      </c>
      <c r="AJ31" s="31" t="n"/>
      <c r="AK31" s="30" t="n">
        <v>0.002415773</v>
      </c>
      <c r="AL31" s="30" t="n">
        <v>-0.006234697</v>
      </c>
      <c r="AM31" s="30" t="n">
        <v>-0.002439474</v>
      </c>
      <c r="AN31" s="30" t="n">
        <v>0.000863536</v>
      </c>
      <c r="AO31" s="31" t="n"/>
    </row>
    <row r="32">
      <c r="A32" s="12" t="inlineStr">
        <is>
          <t>drv:지배주주지분</t>
        </is>
      </c>
      <c r="B32" s="2" t="inlineStr">
        <is>
          <t>roll</t>
        </is>
      </c>
      <c r="C32" t="inlineStr">
        <is>
          <t>지배주주지분 기타변동(배당 등, 억원)</t>
        </is>
      </c>
      <c r="E32" s="27" t="n"/>
      <c r="F32" s="28" t="n"/>
      <c r="G32" s="27">
        <f>IFERROR(subQ!E24+subQ!G20-subQ!G24,"")</f>
        <v/>
      </c>
      <c r="H32" s="27">
        <f>IFERROR(subQ!G24+subQ!H20-subQ!H24,"")</f>
        <v/>
      </c>
      <c r="I32" s="27">
        <f>IFERROR(subQ!H24+subQ!I20-subQ!I24,"")</f>
        <v/>
      </c>
      <c r="J32" s="27">
        <f>IFERROR(subQ!I24+subQ!J20-subQ!J24,"")</f>
        <v/>
      </c>
      <c r="K32" s="28" t="n"/>
      <c r="L32" s="27">
        <f>IFERROR(subQ!J24+subQ!L20-subQ!L24,"")</f>
        <v/>
      </c>
      <c r="M32" s="27">
        <f>IFERROR(subQ!L24+subQ!M20-subQ!M24,"")</f>
        <v/>
      </c>
      <c r="N32" s="27">
        <f>IFERROR(subQ!M24+subQ!N20-subQ!N24,"")</f>
        <v/>
      </c>
      <c r="O32" s="27">
        <f>IFERROR(subQ!N24+subQ!O20-subQ!O24,"")</f>
        <v/>
      </c>
      <c r="P32" s="28" t="n"/>
      <c r="Q32" s="27">
        <f>IFERROR(subQ!O24+subQ!Q20-subQ!Q24,"")</f>
        <v/>
      </c>
      <c r="R32" s="27">
        <f>IFERROR(subQ!Q24+subQ!R20-subQ!R24,"")</f>
        <v/>
      </c>
      <c r="S32" s="27">
        <f>IFERROR(subQ!R24+subQ!S20-subQ!S24,"")</f>
        <v/>
      </c>
      <c r="T32" s="27">
        <f>IFERROR(subQ!S24+subQ!T20-subQ!T24,"")</f>
        <v/>
      </c>
      <c r="U32" s="28" t="n"/>
      <c r="V32" s="27">
        <f>IFERROR(subQ!T24+subQ!V20-subQ!V24,"")</f>
        <v/>
      </c>
      <c r="W32" s="27">
        <f>IFERROR(subQ!V24+subQ!W20-subQ!W24,"")</f>
        <v/>
      </c>
      <c r="X32" s="27">
        <f>IFERROR(subQ!W24+subQ!X20-subQ!X24,"")</f>
        <v/>
      </c>
      <c r="Y32" s="27">
        <f>IFERROR(subQ!X24+subQ!Y20-subQ!Y24,"")</f>
        <v/>
      </c>
      <c r="Z32" s="28" t="n"/>
      <c r="AA32" s="27">
        <f>IFERROR(subQ!Y24+subQ!AA20-subQ!AA24,"")</f>
        <v/>
      </c>
      <c r="AB32" s="29">
        <f>IFERROR(subQ!AA24+subQ!AB20-subQ!AB24,"")</f>
        <v/>
      </c>
      <c r="AC32" s="30" t="n">
        <v>-0.008113537000000001</v>
      </c>
      <c r="AD32" s="30" t="n">
        <v>0.001656618</v>
      </c>
      <c r="AE32" s="31" t="n"/>
      <c r="AF32" s="30" t="n">
        <v>0.008455862</v>
      </c>
      <c r="AG32" s="30" t="n">
        <v>-0.006221611</v>
      </c>
      <c r="AH32" s="30" t="n">
        <v>-0.000210217</v>
      </c>
      <c r="AI32" s="30" t="n">
        <v>-0.005043923</v>
      </c>
      <c r="AJ32" s="31" t="n"/>
      <c r="AK32" s="30" t="n">
        <v>0.002415773</v>
      </c>
      <c r="AL32" s="30" t="n">
        <v>-0.006234697</v>
      </c>
      <c r="AM32" s="30" t="n">
        <v>-0.002439474</v>
      </c>
      <c r="AN32" s="30" t="n">
        <v>0.000863536</v>
      </c>
      <c r="AO32" s="31" t="n"/>
    </row>
    <row r="33">
      <c r="A33" s="12" t="inlineStr">
        <is>
          <t>drv:총차입금</t>
        </is>
      </c>
      <c r="B33" s="2" t="inlineStr">
        <is>
          <t>qoq</t>
        </is>
      </c>
      <c r="C33" t="inlineStr">
        <is>
          <t>총차입금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24" t="n">
        <v>-1.4e-07</v>
      </c>
      <c r="AD33" s="24" t="n">
        <v>0</v>
      </c>
      <c r="AE33" s="25" t="n"/>
      <c r="AF33" s="24" t="n">
        <v>0</v>
      </c>
      <c r="AG33" s="24" t="n">
        <v>0</v>
      </c>
      <c r="AH33" s="24" t="n">
        <v>0</v>
      </c>
      <c r="AI33" s="24" t="n">
        <v>0</v>
      </c>
      <c r="AJ33" s="25" t="n"/>
      <c r="AK33" s="24" t="n">
        <v>0</v>
      </c>
      <c r="AL33" s="24" t="n">
        <v>0</v>
      </c>
      <c r="AM33" s="24" t="n">
        <v>0</v>
      </c>
      <c r="AN33" s="24" t="n">
        <v>0</v>
      </c>
      <c r="AO33" s="25" t="n"/>
    </row>
    <row r="34">
      <c r="A34" s="12" t="inlineStr">
        <is>
          <t>drv:순차입금</t>
        </is>
      </c>
      <c r="B34" s="2" t="inlineStr">
        <is>
          <t>qoq</t>
        </is>
      </c>
      <c r="C34" t="inlineStr">
        <is>
          <t>순차입금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24" t="n">
        <v>-0.08917205</v>
      </c>
      <c r="AD34" s="24" t="n">
        <v>-0.056575535</v>
      </c>
      <c r="AE34" s="25" t="n"/>
      <c r="AF34" s="24" t="n">
        <v>-0.060433249</v>
      </c>
      <c r="AG34" s="24" t="n">
        <v>-0.063075848</v>
      </c>
      <c r="AH34" s="24" t="n">
        <v>-0.116584718</v>
      </c>
      <c r="AI34" s="24" t="n">
        <v>-0.077200387</v>
      </c>
      <c r="AJ34" s="25" t="n"/>
      <c r="AK34" s="24" t="n">
        <v>-0.08430681299999999</v>
      </c>
      <c r="AL34" s="24" t="n">
        <v>-0.090351918</v>
      </c>
      <c r="AM34" s="24" t="n">
        <v>-0.172353836</v>
      </c>
      <c r="AN34" s="24" t="n">
        <v>-0.123355263</v>
      </c>
      <c r="AO34" s="25" t="n"/>
    </row>
    <row r="35">
      <c r="A35" s="12" t="inlineStr">
        <is>
          <t>drv:이자발생자산</t>
        </is>
      </c>
      <c r="B35" s="2" t="inlineStr">
        <is>
          <t>qoq</t>
        </is>
      </c>
      <c r="C35" t="inlineStr">
        <is>
          <t>이자발생자산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0.212710311</v>
      </c>
      <c r="AD35" s="24" t="n">
        <v>0.101360332</v>
      </c>
      <c r="AE35" s="25" t="n"/>
      <c r="AF35" s="24" t="n">
        <v>0.09274553200000001</v>
      </c>
      <c r="AG35" s="24" t="n">
        <v>0.08323169900000001</v>
      </c>
      <c r="AH35" s="24" t="n">
        <v>0.13306087</v>
      </c>
      <c r="AI35" s="24" t="n">
        <v>0.068697333</v>
      </c>
      <c r="AJ35" s="25" t="n"/>
      <c r="AK35" s="24" t="n">
        <v>0.064779225</v>
      </c>
      <c r="AL35" s="24" t="n">
        <v>0.059703648</v>
      </c>
      <c r="AM35" s="24" t="n">
        <v>0.09776275299999999</v>
      </c>
      <c r="AN35" s="24" t="n">
        <v>0.052752904</v>
      </c>
      <c r="AO35" s="25" t="n"/>
    </row>
    <row r="36">
      <c r="A36" s="12" t="inlineStr">
        <is>
          <t>drv:현금및현금성자산</t>
        </is>
      </c>
      <c r="B36" s="2" t="inlineStr">
        <is>
          <t>qoq</t>
        </is>
      </c>
      <c r="C36" t="inlineStr">
        <is>
          <t>현금및현금성자산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32" t="n"/>
      <c r="AD36" s="32" t="n"/>
      <c r="AE36" s="25" t="n"/>
      <c r="AF36" s="32" t="n"/>
      <c r="AG36" s="32" t="n"/>
      <c r="AH36" s="32" t="n"/>
      <c r="AI36" s="32" t="n"/>
      <c r="AJ36" s="25" t="n"/>
      <c r="AK36" s="32" t="n"/>
      <c r="AL36" s="32" t="n"/>
      <c r="AM36" s="32" t="n"/>
      <c r="AN36" s="32" t="n"/>
      <c r="AO36" s="25" t="n"/>
    </row>
    <row r="37">
      <c r="A37" s="12" t="inlineStr">
        <is>
          <t>drv:CAPEX</t>
        </is>
      </c>
      <c r="B37" s="2" t="inlineStr">
        <is>
          <t>yoy</t>
        </is>
      </c>
      <c r="C37" t="inlineStr">
        <is>
          <t>CAPEX YoY</t>
        </is>
      </c>
      <c r="E37" s="21" t="n"/>
      <c r="F37" s="22" t="n"/>
      <c r="G37" s="21" t="n"/>
      <c r="H37" s="21" t="n"/>
      <c r="I37" s="21" t="n"/>
      <c r="J37" s="21">
        <f>IFERROR(subQ!J29/subQ!E29-1,"")</f>
        <v/>
      </c>
      <c r="K37" s="22" t="n"/>
      <c r="L37" s="21">
        <f>IFERROR(subQ!L29/subQ!G29-1,"")</f>
        <v/>
      </c>
      <c r="M37" s="21">
        <f>IFERROR(subQ!M29/subQ!H29-1,"")</f>
        <v/>
      </c>
      <c r="N37" s="21">
        <f>IFERROR(subQ!N29/subQ!I29-1,"")</f>
        <v/>
      </c>
      <c r="O37" s="21">
        <f>IFERROR(subQ!O29/subQ!J29-1,"")</f>
        <v/>
      </c>
      <c r="P37" s="22" t="n"/>
      <c r="Q37" s="21">
        <f>IFERROR(subQ!Q29/subQ!L29-1,"")</f>
        <v/>
      </c>
      <c r="R37" s="21">
        <f>IFERROR(subQ!R29/subQ!M29-1,"")</f>
        <v/>
      </c>
      <c r="S37" s="21">
        <f>IFERROR(subQ!S29/subQ!N29-1,"")</f>
        <v/>
      </c>
      <c r="T37" s="21">
        <f>IFERROR(subQ!T29/subQ!O29-1,"")</f>
        <v/>
      </c>
      <c r="U37" s="22" t="n"/>
      <c r="V37" s="21">
        <f>IFERROR(subQ!V29/subQ!Q29-1,"")</f>
        <v/>
      </c>
      <c r="W37" s="21">
        <f>IFERROR(subQ!W29/subQ!R29-1,"")</f>
        <v/>
      </c>
      <c r="X37" s="21">
        <f>IFERROR(subQ!X29/subQ!S29-1,"")</f>
        <v/>
      </c>
      <c r="Y37" s="21">
        <f>IFERROR(subQ!Y29/subQ!T29-1,"")</f>
        <v/>
      </c>
      <c r="Z37" s="22" t="n"/>
      <c r="AA37" s="21">
        <f>IFERROR(subQ!AA29/subQ!V29-1,"")</f>
        <v/>
      </c>
      <c r="AB37" s="23">
        <f>IFERROR(subQ!AB29/subQ!W29-1,"")</f>
        <v/>
      </c>
      <c r="AC37" s="24" t="n">
        <v>1.063014906</v>
      </c>
      <c r="AD37" s="24" t="n">
        <v>0.025862448</v>
      </c>
      <c r="AE37" s="25" t="n"/>
      <c r="AF37" s="24" t="n">
        <v>-0.537960589</v>
      </c>
      <c r="AG37" s="24" t="n">
        <v>-0.024573134</v>
      </c>
      <c r="AH37" s="24" t="n">
        <v>0</v>
      </c>
      <c r="AI37" s="24" t="n">
        <v>0</v>
      </c>
      <c r="AJ37" s="25" t="n"/>
      <c r="AK37" s="24" t="n">
        <v>0</v>
      </c>
      <c r="AL37" s="24" t="n">
        <v>0</v>
      </c>
      <c r="AM37" s="24" t="n">
        <v>0</v>
      </c>
      <c r="AN37" s="24" t="n">
        <v>0</v>
      </c>
      <c r="AO37" s="25" t="n"/>
    </row>
    <row r="38">
      <c r="A38" s="12" t="inlineStr">
        <is>
          <t>drv:영업활동현금흐름</t>
        </is>
      </c>
      <c r="B38" s="2" t="inlineStr">
        <is>
          <t>yoy</t>
        </is>
      </c>
      <c r="C38" t="inlineStr">
        <is>
          <t>영업활동현금흐름 YoY</t>
        </is>
      </c>
      <c r="E38" s="21" t="n"/>
      <c r="F38" s="22" t="n"/>
      <c r="G38" s="21" t="n"/>
      <c r="H38" s="21" t="n"/>
      <c r="I38" s="21" t="n"/>
      <c r="J38" s="21">
        <f>IFERROR(subQ!J30/subQ!E30-1,"")</f>
        <v/>
      </c>
      <c r="K38" s="22" t="n"/>
      <c r="L38" s="21">
        <f>IFERROR(subQ!L30/subQ!G30-1,"")</f>
        <v/>
      </c>
      <c r="M38" s="21">
        <f>IFERROR(subQ!M30/subQ!H30-1,"")</f>
        <v/>
      </c>
      <c r="N38" s="21">
        <f>IFERROR(subQ!N30/subQ!I30-1,"")</f>
        <v/>
      </c>
      <c r="O38" s="21">
        <f>IFERROR(subQ!O30/subQ!J30-1,"")</f>
        <v/>
      </c>
      <c r="P38" s="22" t="n"/>
      <c r="Q38" s="21">
        <f>IFERROR(subQ!Q30/subQ!L30-1,"")</f>
        <v/>
      </c>
      <c r="R38" s="21">
        <f>IFERROR(subQ!R30/subQ!M30-1,"")</f>
        <v/>
      </c>
      <c r="S38" s="21">
        <f>IFERROR(subQ!S30/subQ!N30-1,"")</f>
        <v/>
      </c>
      <c r="T38" s="21">
        <f>IFERROR(subQ!T30/subQ!O30-1,"")</f>
        <v/>
      </c>
      <c r="U38" s="22" t="n"/>
      <c r="V38" s="21">
        <f>IFERROR(subQ!V30/subQ!Q30-1,"")</f>
        <v/>
      </c>
      <c r="W38" s="21">
        <f>IFERROR(subQ!W30/subQ!R30-1,"")</f>
        <v/>
      </c>
      <c r="X38" s="21">
        <f>IFERROR(subQ!X30/subQ!S30-1,"")</f>
        <v/>
      </c>
      <c r="Y38" s="21">
        <f>IFERROR(subQ!Y30/subQ!T30-1,"")</f>
        <v/>
      </c>
      <c r="Z38" s="22" t="n"/>
      <c r="AA38" s="21">
        <f>IFERROR(subQ!AA30/subQ!V30-1,"")</f>
        <v/>
      </c>
      <c r="AB38" s="23">
        <f>IFERROR(subQ!AB30/subQ!W30-1,"")</f>
        <v/>
      </c>
      <c r="AC38" s="32" t="n"/>
      <c r="AD38" s="32" t="n"/>
      <c r="AE38" s="25" t="n"/>
      <c r="AF38" s="32" t="n"/>
      <c r="AG38" s="32" t="n"/>
      <c r="AH38" s="32" t="n"/>
      <c r="AI38" s="32" t="n"/>
      <c r="AJ38" s="25" t="n"/>
      <c r="AK38" s="32" t="n"/>
      <c r="AL38" s="32" t="n"/>
      <c r="AM38" s="32" t="n"/>
      <c r="AN38" s="32" t="n"/>
      <c r="AO38" s="25" t="n"/>
    </row>
    <row r="39">
      <c r="A39" s="12" t="inlineStr">
        <is>
          <t>drv:주식수</t>
        </is>
      </c>
      <c r="B39" s="2" t="inlineStr">
        <is>
          <t>qoq</t>
        </is>
      </c>
      <c r="C39" t="inlineStr">
        <is>
          <t>주식수 QoQ</t>
        </is>
      </c>
      <c r="E39" s="21" t="n"/>
      <c r="F39" s="22" t="n"/>
      <c r="G39" s="21">
        <f>IFERROR(subQ!G31/subQ!E31-1,"")</f>
        <v/>
      </c>
      <c r="H39" s="21">
        <f>IFERROR(subQ!H31/subQ!G31-1,"")</f>
        <v/>
      </c>
      <c r="I39" s="21">
        <f>IFERROR(subQ!I31/subQ!H31-1,"")</f>
        <v/>
      </c>
      <c r="J39" s="21">
        <f>IFERROR(subQ!J31/subQ!I31-1,"")</f>
        <v/>
      </c>
      <c r="K39" s="22" t="n"/>
      <c r="L39" s="21">
        <f>IFERROR(subQ!L31/subQ!J31-1,"")</f>
        <v/>
      </c>
      <c r="M39" s="21">
        <f>IFERROR(subQ!M31/subQ!L31-1,"")</f>
        <v/>
      </c>
      <c r="N39" s="21">
        <f>IFERROR(subQ!N31/subQ!M31-1,"")</f>
        <v/>
      </c>
      <c r="O39" s="21">
        <f>IFERROR(subQ!O31/subQ!N31-1,"")</f>
        <v/>
      </c>
      <c r="P39" s="22" t="n"/>
      <c r="Q39" s="21">
        <f>IFERROR(subQ!Q31/subQ!O31-1,"")</f>
        <v/>
      </c>
      <c r="R39" s="21">
        <f>IFERROR(subQ!R31/subQ!Q31-1,"")</f>
        <v/>
      </c>
      <c r="S39" s="21">
        <f>IFERROR(subQ!S31/subQ!R31-1,"")</f>
        <v/>
      </c>
      <c r="T39" s="21">
        <f>IFERROR(subQ!T31/subQ!S31-1,"")</f>
        <v/>
      </c>
      <c r="U39" s="22" t="n"/>
      <c r="V39" s="21">
        <f>IFERROR(subQ!V31/subQ!T31-1,"")</f>
        <v/>
      </c>
      <c r="W39" s="21">
        <f>IFERROR(subQ!W31/subQ!V31-1,"")</f>
        <v/>
      </c>
      <c r="X39" s="21">
        <f>IFERROR(subQ!X31/subQ!W31-1,"")</f>
        <v/>
      </c>
      <c r="Y39" s="21">
        <f>IFERROR(subQ!Y31/subQ!X31-1,"")</f>
        <v/>
      </c>
      <c r="Z39" s="22" t="n"/>
      <c r="AA39" s="21">
        <f>IFERROR(subQ!AA31/subQ!Y31-1,"")</f>
        <v/>
      </c>
      <c r="AB39" s="23">
        <f>IFERROR(subQ!AB31/subQ!AA31-1,"")</f>
        <v/>
      </c>
      <c r="AC39" s="24" t="n">
        <v>0</v>
      </c>
      <c r="AD39" s="24" t="n">
        <v>0</v>
      </c>
      <c r="AE39" s="25" t="n"/>
      <c r="AF39" s="24" t="n">
        <v>0</v>
      </c>
      <c r="AG39" s="24" t="n">
        <v>0</v>
      </c>
      <c r="AH39" s="24" t="n">
        <v>0</v>
      </c>
      <c r="AI39" s="24" t="n">
        <v>0</v>
      </c>
      <c r="AJ39" s="25" t="n"/>
      <c r="AK39" s="24" t="n">
        <v>0</v>
      </c>
      <c r="AL39" s="24" t="n">
        <v>0</v>
      </c>
      <c r="AM39" s="24" t="n">
        <v>0</v>
      </c>
      <c r="AN39" s="24" t="n">
        <v>0</v>
      </c>
      <c r="AO39" s="25" t="n"/>
    </row>
    <row r="40">
      <c r="A40" s="12" t="inlineStr">
        <is>
          <t>drv:DPS</t>
        </is>
      </c>
      <c r="B40" s="2" t="inlineStr">
        <is>
          <t>abs</t>
        </is>
      </c>
      <c r="C40" t="inlineStr">
        <is>
          <t>DPS (가정, 원)</t>
        </is>
      </c>
      <c r="E40" s="27">
        <f>subQ!E34</f>
        <v/>
      </c>
      <c r="F40" s="28">
        <f>subQ!F34</f>
        <v/>
      </c>
      <c r="G40" s="27">
        <f>subQ!G34</f>
        <v/>
      </c>
      <c r="H40" s="27">
        <f>subQ!H34</f>
        <v/>
      </c>
      <c r="I40" s="27">
        <f>subQ!I34</f>
        <v/>
      </c>
      <c r="J40" s="27">
        <f>subQ!J34</f>
        <v/>
      </c>
      <c r="K40" s="28">
        <f>subQ!K34</f>
        <v/>
      </c>
      <c r="L40" s="27">
        <f>subQ!L34</f>
        <v/>
      </c>
      <c r="M40" s="27">
        <f>subQ!M34</f>
        <v/>
      </c>
      <c r="N40" s="27">
        <f>subQ!N34</f>
        <v/>
      </c>
      <c r="O40" s="27">
        <f>subQ!O34</f>
        <v/>
      </c>
      <c r="P40" s="28">
        <f>subQ!P34</f>
        <v/>
      </c>
      <c r="Q40" s="27">
        <f>subQ!Q34</f>
        <v/>
      </c>
      <c r="R40" s="27">
        <f>subQ!R34</f>
        <v/>
      </c>
      <c r="S40" s="27">
        <f>subQ!S34</f>
        <v/>
      </c>
      <c r="T40" s="27">
        <f>subQ!T34</f>
        <v/>
      </c>
      <c r="U40" s="28">
        <f>subQ!U34</f>
        <v/>
      </c>
      <c r="V40" s="27">
        <f>subQ!V34</f>
        <v/>
      </c>
      <c r="W40" s="27">
        <f>subQ!W34</f>
        <v/>
      </c>
      <c r="X40" s="27">
        <f>subQ!X34</f>
        <v/>
      </c>
      <c r="Y40" s="27">
        <f>subQ!Y34</f>
        <v/>
      </c>
      <c r="Z40" s="28">
        <f>subQ!Z34</f>
        <v/>
      </c>
      <c r="AA40" s="27">
        <f>subQ!AA34</f>
        <v/>
      </c>
      <c r="AB40" s="29">
        <f>subQ!AB34</f>
        <v/>
      </c>
      <c r="AC40" s="33" t="n"/>
      <c r="AD40" s="30" t="n">
        <v>0</v>
      </c>
      <c r="AE40" s="31">
        <f>subQ!AE34</f>
        <v/>
      </c>
      <c r="AF40" s="33" t="n"/>
      <c r="AG40" s="33" t="n"/>
      <c r="AH40" s="33" t="n"/>
      <c r="AI40" s="30" t="n">
        <v>0</v>
      </c>
      <c r="AJ40" s="31">
        <f>subQ!AJ34</f>
        <v/>
      </c>
      <c r="AK40" s="33" t="n"/>
      <c r="AL40" s="33" t="n"/>
      <c r="AM40" s="33" t="n"/>
      <c r="AN40" s="30" t="n">
        <v>0</v>
      </c>
      <c r="AO40" s="31">
        <f>subQ!AO34</f>
        <v/>
      </c>
    </row>
    <row r="41"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B42" s="1" t="inlineStr">
        <is>
          <t>3. 밸류에이션·스칼라</t>
        </is>
      </c>
      <c r="C42" s="2" t="inlineStr">
        <is>
          <t>노란 셀 = 가정. '연결' 표시는 추정 전 분기 수식이 이 셀을 참조한다는 뜻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sc:종가</t>
        </is>
      </c>
      <c r="C43" t="inlineStr">
        <is>
          <t>종가</t>
        </is>
      </c>
      <c r="D43" s="34" t="n">
        <v>11090</v>
      </c>
      <c r="E43" s="2" t="inlineStr">
        <is>
          <t>원 — 네이버 정규장 종가(aik 확정종가 대조 · aik 11,440원)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sc:기준일</t>
        </is>
      </c>
      <c r="C44" t="inlineStr">
        <is>
          <t>기준일</t>
        </is>
      </c>
      <c r="D44" s="35" t="inlineStr">
        <is>
          <t>20261014</t>
        </is>
      </c>
      <c r="E44" s="2" t="inlineStr">
        <is>
          <t>종가 기준일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sc:COE</t>
        </is>
      </c>
      <c r="C45" t="inlineStr">
        <is>
          <t>COE</t>
        </is>
      </c>
      <c r="D45" s="24" t="n">
        <v>0.09</v>
      </c>
      <c r="E45" s="2" t="inlineStr">
        <is>
          <t>자기자본비용(가정) — TP 적정 PBR = ROE/COE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sc:PER_lo</t>
        </is>
      </c>
      <c r="C46" t="inlineStr">
        <is>
          <t>PER_lo</t>
        </is>
      </c>
      <c r="D46" s="30" t="n">
        <v>10</v>
      </c>
      <c r="E46" s="2" t="inlineStr">
        <is>
          <t>PER 밴드 하단(배) — sector_default(레퍼런스 TP_PE PB 예시 10/15/20배; 과거 PER 중위 31.7배가 캡 5~30 밖 — 턴어라운드 초기 TTM EPS 왜곡)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sc:PER_mid</t>
        </is>
      </c>
      <c r="C47" t="inlineStr">
        <is>
          <t>PER_mid</t>
        </is>
      </c>
      <c r="D47" s="30" t="n">
        <v>15</v>
      </c>
      <c r="E47" s="2" t="inlineStr">
        <is>
          <t>PER 밴드 중단(배)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sc:PER_hi</t>
        </is>
      </c>
      <c r="C48" t="inlineStr">
        <is>
          <t>PER_hi</t>
        </is>
      </c>
      <c r="D48" s="30" t="n">
        <v>20</v>
      </c>
      <c r="E48" s="2" t="inlineStr">
        <is>
          <t>PER 밴드 상단(배)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sc:EPS_Y1가중</t>
        </is>
      </c>
      <c r="C49" t="inlineStr">
        <is>
          <t>EPS_Y1가중</t>
        </is>
      </c>
      <c r="D49" s="24" t="n">
        <v>0.5</v>
      </c>
      <c r="E49" s="2" t="inlineStr">
        <is>
          <t>12M fwd EPS = FY(last_actual연도)E × w + FY+1E × (1−w) — 기준 분기 2Q 이면 0.5(가정)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sc:세율</t>
        </is>
      </c>
      <c r="C50" t="inlineStr">
        <is>
          <t>세율</t>
        </is>
      </c>
      <c r="D50" s="36" t="n">
        <v>0.1828882817104065</v>
      </c>
      <c r="E50" s="2" t="inlineStr">
        <is>
          <t>연결 — 법인세 = MAX(세전,0) × 세율(역산, 재현 오차 ≤ 0.05억 · 모델 assumptions 0.1829) · 최근 12분기 유효세율 18.3%(5~27% 안 — 그대로)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sc:판관비율</t>
        </is>
      </c>
      <c r="C51" t="inlineStr">
        <is>
          <t>판관비율</t>
        </is>
      </c>
      <c r="D51" s="36" t="n">
        <v>0.04107219837588203</v>
      </c>
      <c r="E51" s="2" t="inlineStr">
        <is>
          <t>연결 — 판관비 = 매출액 × 판관비율(역산, 재현 오차 ≤ 0.05억 · 모델 assumptions 0.0411)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sc:지배주주비중</t>
        </is>
      </c>
      <c r="C52" t="inlineStr">
        <is>
          <t>지배주주비중</t>
        </is>
      </c>
      <c r="D52" s="36" t="n">
        <v>1</v>
      </c>
      <c r="E52" s="2" t="inlineStr">
        <is>
          <t>연결 — 지배주주순이익 = 당기순이익 × 비중(역산, 재현 오차 ≤ 0.05억)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sc:이자율_자산</t>
        </is>
      </c>
      <c r="C53" t="inlineStr">
        <is>
          <t>이자율_자산</t>
        </is>
      </c>
      <c r="D53" s="36" t="n">
        <v>0.0323048322022405</v>
      </c>
      <c r="E53" s="2" t="inlineStr">
        <is>
          <t>연결 — 이자손익 = (전분기 이자발생자산 × 자산이자율 − 전분기 총차입금 × 부채이자율)/4(역산, 재현 오차 ≤ 0.05억 · 모델 assumptions 0.0323)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sc:이자율_부채</t>
        </is>
      </c>
      <c r="C54" t="inlineStr">
        <is>
          <t>이자율_부채</t>
        </is>
      </c>
      <c r="D54" s="36" t="n">
        <v>0.03109523150897582</v>
      </c>
      <c r="E54" s="2" t="inlineStr">
        <is>
          <t>연결 — 같은 수식의 부채 쪽(총차입금 행이 없으면 0)(역산, 재현 오차 ≤ 0.05억 · 모델 assumptions 0.0311)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sc:배당성향</t>
        </is>
      </c>
      <c r="C55" t="inlineStr">
        <is>
          <t>배당성향</t>
        </is>
      </c>
      <c r="D55" s="24" t="n">
        <v>0</v>
      </c>
      <c r="E55" s="2" t="inlineStr">
        <is>
          <t>배당성향(참고 — 모델은 직전 DPS 유지·Q2 지급 가정)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sc:외화순노출_백만$</t>
        </is>
      </c>
      <c r="C56" t="inlineStr">
        <is>
          <t>외화순노출_백만$</t>
        </is>
      </c>
      <c r="D56" s="30" t="n"/>
      <c r="E56" s="2" t="inlineStr">
        <is>
          <t>외화 순노출 × Δ기말환율 (외화 시트 방식) — 외화 순노출 미공시(face) → 0 + 표기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sc:헤지비율</t>
        </is>
      </c>
      <c r="C57" t="inlineStr">
        <is>
          <t>헤지비율</t>
        </is>
      </c>
      <c r="D57" s="24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sc:헤지환율_약정</t>
        </is>
      </c>
      <c r="C58" t="inlineStr">
        <is>
          <t>헤지환율_약정</t>
        </is>
      </c>
      <c r="D58" s="16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SK오션플랜트(연)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301286.81</v>
      </c>
      <c r="F5" s="37" t="n">
        <v>301286.81</v>
      </c>
      <c r="G5" s="18" t="n">
        <v>349869.15</v>
      </c>
      <c r="H5" s="18" t="n">
        <v>369890.9</v>
      </c>
      <c r="I5" s="18" t="n">
        <v>809885.7</v>
      </c>
      <c r="J5" s="18" t="n">
        <v>594390.29</v>
      </c>
      <c r="K5" s="37" t="n">
        <v>594390.29</v>
      </c>
      <c r="L5" s="18" t="n">
        <v>687386.51</v>
      </c>
      <c r="M5" s="18" t="n">
        <v>768043.05</v>
      </c>
      <c r="N5" s="18" t="n">
        <v>784682.85</v>
      </c>
      <c r="O5" s="18" t="n">
        <v>754790.51</v>
      </c>
      <c r="P5" s="37" t="n">
        <v>754790.51</v>
      </c>
      <c r="Q5" s="18" t="n">
        <v>772958.9</v>
      </c>
      <c r="R5" s="18" t="n">
        <v>702894.76</v>
      </c>
      <c r="S5" s="18" t="n">
        <v>586285.5</v>
      </c>
      <c r="T5" s="18" t="n">
        <v>588057.5699999999</v>
      </c>
      <c r="U5" s="37" t="n">
        <v>588057.5699999999</v>
      </c>
      <c r="V5" s="18" t="n">
        <v>540808.13</v>
      </c>
      <c r="W5" s="18" t="n">
        <v>461898.69</v>
      </c>
      <c r="X5" s="18" t="n">
        <v>286668.21</v>
      </c>
      <c r="Y5" s="18" t="n">
        <v>233077.82</v>
      </c>
      <c r="Z5" s="37" t="n">
        <v>233077.82</v>
      </c>
      <c r="AA5" s="18" t="n">
        <v>220007.5</v>
      </c>
      <c r="AB5" s="19" t="n">
        <v>264278.04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96472.37</v>
      </c>
      <c r="F6" s="37" t="n">
        <v>96472.37</v>
      </c>
      <c r="G6" s="18" t="n">
        <v>69442.91</v>
      </c>
      <c r="H6" s="18" t="n">
        <v>58033.53</v>
      </c>
      <c r="I6" s="18" t="n">
        <v>132087</v>
      </c>
      <c r="J6" s="18" t="n">
        <v>86209.56</v>
      </c>
      <c r="K6" s="37" t="n">
        <v>86209.56</v>
      </c>
      <c r="L6" s="18" t="n">
        <v>88633.19</v>
      </c>
      <c r="M6" s="18" t="n">
        <v>78234.14999999999</v>
      </c>
      <c r="N6" s="18" t="n">
        <v>75489.31</v>
      </c>
      <c r="O6" s="18" t="n">
        <v>44777.86</v>
      </c>
      <c r="P6" s="37" t="n">
        <v>44777.86</v>
      </c>
      <c r="Q6" s="18" t="n">
        <v>78092.71000000001</v>
      </c>
      <c r="R6" s="18" t="n">
        <v>85373.7</v>
      </c>
      <c r="S6" s="18" t="n">
        <v>72829.41</v>
      </c>
      <c r="T6" s="18" t="n">
        <v>70888.49000000001</v>
      </c>
      <c r="U6" s="37" t="n">
        <v>70888.49000000001</v>
      </c>
      <c r="V6" s="18" t="n">
        <v>130079.36</v>
      </c>
      <c r="W6" s="18" t="n">
        <v>90891.77</v>
      </c>
      <c r="X6" s="18" t="n">
        <v>52499.36</v>
      </c>
      <c r="Y6" s="18" t="n">
        <v>22994.71</v>
      </c>
      <c r="Z6" s="37" t="n">
        <v>22994.71</v>
      </c>
      <c r="AA6" s="18" t="n">
        <v>22075</v>
      </c>
      <c r="AB6" s="19" t="n">
        <v>40024.88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33931.64</v>
      </c>
      <c r="F7" s="37" t="n">
        <v>33931.64</v>
      </c>
      <c r="G7" s="18" t="n">
        <v>44305.04</v>
      </c>
      <c r="H7" s="18" t="n">
        <v>51221.58</v>
      </c>
      <c r="I7" s="18" t="n">
        <v>36446.7</v>
      </c>
      <c r="J7" s="18" t="n">
        <v>21316.97</v>
      </c>
      <c r="K7" s="37" t="n">
        <v>21316.97</v>
      </c>
      <c r="L7" s="18" t="n">
        <v>27637.11</v>
      </c>
      <c r="M7" s="18" t="n">
        <v>24515.07</v>
      </c>
      <c r="N7" s="18" t="n">
        <v>31954.13</v>
      </c>
      <c r="O7" s="18" t="n">
        <v>11684.6</v>
      </c>
      <c r="P7" s="37" t="n">
        <v>11684.6</v>
      </c>
      <c r="Q7" s="18" t="n">
        <v>12850.35</v>
      </c>
      <c r="R7" s="18" t="n">
        <v>11340.48</v>
      </c>
      <c r="S7" s="18" t="n">
        <v>7828.07</v>
      </c>
      <c r="T7" s="18" t="n">
        <v>12687.36</v>
      </c>
      <c r="U7" s="37" t="n">
        <v>12687.36</v>
      </c>
      <c r="V7" s="18" t="n">
        <v>37361.45</v>
      </c>
      <c r="W7" s="18" t="n">
        <v>29525.36</v>
      </c>
      <c r="X7" s="18" t="n">
        <v>45783.31</v>
      </c>
      <c r="Y7" s="18" t="n">
        <v>54769</v>
      </c>
      <c r="Z7" s="37" t="n">
        <v>54769</v>
      </c>
      <c r="AA7" s="18" t="n">
        <v>10717.96</v>
      </c>
      <c r="AB7" s="19" t="n">
        <v>47745.27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계약자산</t>
        </is>
      </c>
      <c r="E8" s="18" t="n">
        <v>74034.64</v>
      </c>
      <c r="F8" s="37" t="n">
        <v>74034.64</v>
      </c>
      <c r="G8" s="18" t="n">
        <v>82040.19</v>
      </c>
      <c r="H8" s="18" t="n">
        <v>86493.58</v>
      </c>
      <c r="I8" s="18" t="n">
        <v>125205.81</v>
      </c>
      <c r="J8" s="18" t="n">
        <v>159062.59</v>
      </c>
      <c r="K8" s="37" t="n">
        <v>159062.59</v>
      </c>
      <c r="L8" s="18" t="n">
        <v>183237.51</v>
      </c>
      <c r="M8" s="18" t="n">
        <v>213869.17</v>
      </c>
      <c r="N8" s="18" t="n">
        <v>215606.35</v>
      </c>
      <c r="O8" s="18" t="n">
        <v>206934.88</v>
      </c>
      <c r="P8" s="37" t="n">
        <v>206934.88</v>
      </c>
      <c r="Q8" s="18" t="n">
        <v>181973.16</v>
      </c>
      <c r="R8" s="18" t="n">
        <v>111813.85</v>
      </c>
      <c r="S8" s="18" t="n">
        <v>92368.45</v>
      </c>
      <c r="T8" s="18" t="n">
        <v>56757.51</v>
      </c>
      <c r="U8" s="37" t="n">
        <v>56757.51</v>
      </c>
      <c r="V8" s="18" t="n">
        <v>31327.88</v>
      </c>
      <c r="W8" s="18" t="n">
        <v>16680.25</v>
      </c>
      <c r="X8" s="18" t="n">
        <v>55848.62</v>
      </c>
      <c r="Y8" s="18" t="n">
        <v>78892.74000000001</v>
      </c>
      <c r="Z8" s="37" t="n">
        <v>78892.74000000001</v>
      </c>
      <c r="AA8" s="18" t="n">
        <v>144589.51</v>
      </c>
      <c r="AB8" s="19" t="n">
        <v>128372.96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기타유동금융자산</t>
        </is>
      </c>
      <c r="E9" s="18" t="n">
        <v>24392.37</v>
      </c>
      <c r="F9" s="37" t="n">
        <v>24392.37</v>
      </c>
      <c r="G9" s="18" t="n">
        <v>84104.66</v>
      </c>
      <c r="H9" s="18" t="n">
        <v>58894.17</v>
      </c>
      <c r="I9" s="18" t="n">
        <v>392971.61</v>
      </c>
      <c r="J9" s="18" t="n">
        <v>146388.21</v>
      </c>
      <c r="K9" s="37" t="n">
        <v>146388.21</v>
      </c>
      <c r="L9" s="18" t="n">
        <v>59996.6</v>
      </c>
      <c r="M9" s="18" t="n">
        <v>70838.83</v>
      </c>
      <c r="N9" s="18" t="n">
        <v>70634.64999999999</v>
      </c>
      <c r="O9" s="18" t="n">
        <v>81958.25999999999</v>
      </c>
      <c r="P9" s="37" t="n">
        <v>81958.25999999999</v>
      </c>
      <c r="Q9" s="18" t="n">
        <v>40782.18</v>
      </c>
      <c r="R9" s="18" t="n">
        <v>35788.42</v>
      </c>
      <c r="S9" s="18" t="n">
        <v>34019.85</v>
      </c>
      <c r="T9" s="18" t="n">
        <v>30684.15</v>
      </c>
      <c r="U9" s="37" t="n">
        <v>30684.15</v>
      </c>
      <c r="V9" s="18" t="n">
        <v>30676.64</v>
      </c>
      <c r="W9" s="18" t="n">
        <v>100486.32</v>
      </c>
      <c r="X9" s="18" t="n">
        <v>10007.72</v>
      </c>
      <c r="Y9" s="18" t="n">
        <v>864.53</v>
      </c>
      <c r="Z9" s="37" t="n">
        <v>864.53</v>
      </c>
      <c r="AA9" s="18" t="n">
        <v>911.83</v>
      </c>
      <c r="AB9" s="19" t="n">
        <v>1284.31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29001.7</v>
      </c>
      <c r="F10" s="37" t="n">
        <v>29001.7</v>
      </c>
      <c r="G10" s="18" t="n">
        <v>19864.59</v>
      </c>
      <c r="H10" s="18" t="n">
        <v>8353.139999999999</v>
      </c>
      <c r="I10" s="18" t="n">
        <v>3053.58</v>
      </c>
      <c r="J10" s="18" t="n">
        <v>7759.47</v>
      </c>
      <c r="K10" s="37" t="n">
        <v>7759.47</v>
      </c>
      <c r="L10" s="18" t="n">
        <v>9456.889999999999</v>
      </c>
      <c r="M10" s="18" t="n">
        <v>9983.09</v>
      </c>
      <c r="N10" s="18" t="n">
        <v>5033.75</v>
      </c>
      <c r="O10" s="18" t="n">
        <v>2562.76</v>
      </c>
      <c r="P10" s="37" t="n">
        <v>2562.76</v>
      </c>
      <c r="Q10" s="18" t="n">
        <v>8642.959999999999</v>
      </c>
      <c r="R10" s="18" t="n">
        <v>3254.62</v>
      </c>
      <c r="S10" s="18" t="n">
        <v>4814.21</v>
      </c>
      <c r="T10" s="18" t="n">
        <v>9144.68</v>
      </c>
      <c r="U10" s="37" t="n">
        <v>9144.68</v>
      </c>
      <c r="V10" s="18" t="n">
        <v>7081.84</v>
      </c>
      <c r="W10" s="18" t="n">
        <v>4762.42</v>
      </c>
      <c r="X10" s="18" t="n">
        <v>7464.31</v>
      </c>
      <c r="Y10" s="18" t="n">
        <v>4289.09</v>
      </c>
      <c r="Z10" s="37" t="n">
        <v>4289.09</v>
      </c>
      <c r="AA10" s="18" t="n">
        <v>1375.65</v>
      </c>
      <c r="AB10" s="19" t="n">
        <v>5360.24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기타유동자산</t>
        </is>
      </c>
      <c r="E11" s="18" t="n">
        <v>43454.09</v>
      </c>
      <c r="F11" s="37" t="n">
        <v>43454.09</v>
      </c>
      <c r="G11" s="18" t="n">
        <v>50111.37</v>
      </c>
      <c r="H11" s="18" t="n">
        <v>106894.07</v>
      </c>
      <c r="I11" s="18" t="n">
        <v>120121.01</v>
      </c>
      <c r="J11" s="18" t="n">
        <v>173653.5</v>
      </c>
      <c r="K11" s="37" t="n">
        <v>173653.5</v>
      </c>
      <c r="L11" s="18" t="n">
        <v>318420.11</v>
      </c>
      <c r="M11" s="18" t="n">
        <v>370585.68</v>
      </c>
      <c r="N11" s="18" t="n">
        <v>385940.28</v>
      </c>
      <c r="O11" s="18" t="n">
        <v>406872.17</v>
      </c>
      <c r="P11" s="37" t="n">
        <v>406872.17</v>
      </c>
      <c r="Q11" s="18" t="n">
        <v>450441.26</v>
      </c>
      <c r="R11" s="18" t="n">
        <v>453504.13</v>
      </c>
      <c r="S11" s="18" t="n">
        <v>374425.51</v>
      </c>
      <c r="T11" s="18" t="n">
        <v>389226.34</v>
      </c>
      <c r="U11" s="37" t="n">
        <v>389226.34</v>
      </c>
      <c r="V11" s="18" t="n">
        <v>287486.98</v>
      </c>
      <c r="W11" s="18" t="n">
        <v>218655.41</v>
      </c>
      <c r="X11" s="18" t="n">
        <v>109355.11</v>
      </c>
      <c r="Y11" s="18" t="n">
        <v>63942.84</v>
      </c>
      <c r="Z11" s="37" t="n">
        <v>63942.84</v>
      </c>
      <c r="AA11" s="18" t="n">
        <v>34582.75</v>
      </c>
      <c r="AB11" s="19" t="n">
        <v>36669.43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비유동자산</t>
        </is>
      </c>
      <c r="E12" s="18" t="n">
        <v>438105.38</v>
      </c>
      <c r="F12" s="37" t="n">
        <v>438105.38</v>
      </c>
      <c r="G12" s="18" t="n">
        <v>438176.59</v>
      </c>
      <c r="H12" s="18" t="n">
        <v>447907.61</v>
      </c>
      <c r="I12" s="18" t="n">
        <v>454981.45</v>
      </c>
      <c r="J12" s="18" t="n">
        <v>625613.64</v>
      </c>
      <c r="K12" s="37" t="n">
        <v>625613.64</v>
      </c>
      <c r="L12" s="18" t="n">
        <v>649640.79</v>
      </c>
      <c r="M12" s="18" t="n">
        <v>632534.33</v>
      </c>
      <c r="N12" s="18" t="n">
        <v>657704.0699999999</v>
      </c>
      <c r="O12" s="18" t="n">
        <v>677116.15</v>
      </c>
      <c r="P12" s="37" t="n">
        <v>677116.15</v>
      </c>
      <c r="Q12" s="18" t="n">
        <v>733297.96</v>
      </c>
      <c r="R12" s="18" t="n">
        <v>745084.98</v>
      </c>
      <c r="S12" s="18" t="n">
        <v>790620.4</v>
      </c>
      <c r="T12" s="18" t="n">
        <v>833884</v>
      </c>
      <c r="U12" s="37" t="n">
        <v>833884</v>
      </c>
      <c r="V12" s="18" t="n">
        <v>851363.5699999999</v>
      </c>
      <c r="W12" s="18" t="n">
        <v>854293.84</v>
      </c>
      <c r="X12" s="18" t="n">
        <v>872064.23</v>
      </c>
      <c r="Y12" s="18" t="n">
        <v>915163.83</v>
      </c>
      <c r="Z12" s="37" t="n">
        <v>915163.83</v>
      </c>
      <c r="AA12" s="18" t="n">
        <v>936048.2</v>
      </c>
      <c r="AB12" s="19" t="n">
        <v>945500.28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장기금융자산</t>
        </is>
      </c>
      <c r="E13" s="18" t="n">
        <v>5722.86</v>
      </c>
      <c r="F13" s="37" t="n">
        <v>5722.86</v>
      </c>
      <c r="G13" s="18" t="n">
        <v>6716.38</v>
      </c>
      <c r="H13" s="18" t="n">
        <v>11918.29</v>
      </c>
      <c r="I13" s="18" t="n">
        <v>15578.36</v>
      </c>
      <c r="J13" s="18" t="n">
        <v>79019.2</v>
      </c>
      <c r="K13" s="37" t="n">
        <v>79019.2</v>
      </c>
      <c r="L13" s="18" t="n">
        <v>86346.42</v>
      </c>
      <c r="M13" s="18" t="n">
        <v>52290</v>
      </c>
      <c r="N13" s="18" t="n">
        <v>52306.2</v>
      </c>
      <c r="O13" s="18" t="n">
        <v>13781.89</v>
      </c>
      <c r="P13" s="37" t="n">
        <v>13781.89</v>
      </c>
      <c r="Q13" s="18" t="n">
        <v>39388.41</v>
      </c>
      <c r="R13" s="18" t="n">
        <v>13836.31</v>
      </c>
      <c r="S13" s="18" t="n">
        <v>16041.34</v>
      </c>
      <c r="T13" s="18" t="n">
        <v>13916.96</v>
      </c>
      <c r="U13" s="37" t="n">
        <v>13916.96</v>
      </c>
      <c r="V13" s="18" t="n">
        <v>13914.93</v>
      </c>
      <c r="W13" s="18" t="n">
        <v>13851.22</v>
      </c>
      <c r="X13" s="18" t="n">
        <v>13911.1</v>
      </c>
      <c r="Y13" s="18" t="n">
        <v>21144.13</v>
      </c>
      <c r="Z13" s="37" t="n">
        <v>21144.13</v>
      </c>
      <c r="AA13" s="18" t="n">
        <v>24857.16</v>
      </c>
      <c r="AB13" s="19" t="n">
        <v>26500.98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투자자산</t>
        </is>
      </c>
      <c r="E14" s="18" t="n">
        <v>5722.86</v>
      </c>
      <c r="F14" s="37" t="n">
        <v>5722.86</v>
      </c>
      <c r="G14" s="18" t="n">
        <v>6716.38</v>
      </c>
      <c r="H14" s="18" t="n">
        <v>11918.29</v>
      </c>
      <c r="I14" s="18" t="n">
        <v>15578.36</v>
      </c>
      <c r="J14" s="18" t="n">
        <v>79019.2</v>
      </c>
      <c r="K14" s="37" t="n">
        <v>79019.2</v>
      </c>
      <c r="L14" s="18" t="n">
        <v>86346.42</v>
      </c>
      <c r="M14" s="18" t="n">
        <v>52290</v>
      </c>
      <c r="N14" s="18" t="n">
        <v>52306.2</v>
      </c>
      <c r="O14" s="18" t="n">
        <v>13781.89</v>
      </c>
      <c r="P14" s="37" t="n">
        <v>13781.89</v>
      </c>
      <c r="Q14" s="18" t="n">
        <v>39388.41</v>
      </c>
      <c r="R14" s="18" t="n">
        <v>15893.35</v>
      </c>
      <c r="S14" s="18" t="n">
        <v>16041.34</v>
      </c>
      <c r="T14" s="18" t="n">
        <v>25753.52</v>
      </c>
      <c r="U14" s="37" t="n">
        <v>25753.52</v>
      </c>
      <c r="V14" s="18" t="n">
        <v>24375.19</v>
      </c>
      <c r="W14" s="18" t="n">
        <v>14227.16</v>
      </c>
      <c r="X14" s="18" t="n">
        <v>15259.03</v>
      </c>
      <c r="Y14" s="18" t="n">
        <v>21144.13</v>
      </c>
      <c r="Z14" s="37" t="n">
        <v>21144.13</v>
      </c>
      <c r="AA14" s="18" t="n">
        <v>24857.16</v>
      </c>
      <c r="AB14" s="19" t="n">
        <v>26500.98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유형자산</t>
        </is>
      </c>
      <c r="E15" s="18" t="n">
        <v>428647.04</v>
      </c>
      <c r="F15" s="37" t="n">
        <v>428647.04</v>
      </c>
      <c r="G15" s="18" t="n">
        <v>427377.79</v>
      </c>
      <c r="H15" s="18" t="n">
        <v>431477.85</v>
      </c>
      <c r="I15" s="18" t="n">
        <v>435575.83</v>
      </c>
      <c r="J15" s="18" t="n">
        <v>539608.9399999999</v>
      </c>
      <c r="K15" s="37" t="n">
        <v>539608.9399999999</v>
      </c>
      <c r="L15" s="18" t="n">
        <v>556065.61</v>
      </c>
      <c r="M15" s="18" t="n">
        <v>574008.15</v>
      </c>
      <c r="N15" s="18" t="n">
        <v>598726.64</v>
      </c>
      <c r="O15" s="18" t="n">
        <v>655835.88</v>
      </c>
      <c r="P15" s="37" t="n">
        <v>655835.88</v>
      </c>
      <c r="Q15" s="18" t="n">
        <v>685991.45</v>
      </c>
      <c r="R15" s="18" t="n">
        <v>722254.29</v>
      </c>
      <c r="S15" s="18" t="n">
        <v>767079.9</v>
      </c>
      <c r="T15" s="18" t="n">
        <v>799337.23</v>
      </c>
      <c r="U15" s="37" t="n">
        <v>799337.23</v>
      </c>
      <c r="V15" s="18" t="n">
        <v>818652.97</v>
      </c>
      <c r="W15" s="18" t="n">
        <v>831804.4399999999</v>
      </c>
      <c r="X15" s="18" t="n">
        <v>848046</v>
      </c>
      <c r="Y15" s="18" t="n">
        <v>888177.24</v>
      </c>
      <c r="Z15" s="37" t="n">
        <v>888177.24</v>
      </c>
      <c r="AA15" s="18" t="n">
        <v>905390.47</v>
      </c>
      <c r="AB15" s="5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무형자산</t>
        </is>
      </c>
      <c r="E16" s="18" t="n">
        <v>2435.09</v>
      </c>
      <c r="F16" s="37" t="n">
        <v>2435.09</v>
      </c>
      <c r="G16" s="18" t="n">
        <v>2801.78</v>
      </c>
      <c r="H16" s="18" t="n">
        <v>2764.77</v>
      </c>
      <c r="I16" s="18" t="n">
        <v>2659.2</v>
      </c>
      <c r="J16" s="18" t="n">
        <v>4859.48</v>
      </c>
      <c r="K16" s="37" t="n">
        <v>4859.48</v>
      </c>
      <c r="L16" s="18" t="n">
        <v>5341.8</v>
      </c>
      <c r="M16" s="18" t="n">
        <v>5166.68</v>
      </c>
      <c r="P16" s="9" t="n"/>
      <c r="Q16" s="18" t="n">
        <v>5138.15</v>
      </c>
      <c r="R16" s="18" t="n">
        <v>3424.67</v>
      </c>
      <c r="S16" s="18" t="n">
        <v>3224.02</v>
      </c>
      <c r="T16" s="18" t="n">
        <v>3205.52</v>
      </c>
      <c r="U16" s="37" t="n">
        <v>3205.52</v>
      </c>
      <c r="V16" s="18" t="n">
        <v>2998.52</v>
      </c>
      <c r="W16" s="18" t="n">
        <v>2810.35</v>
      </c>
      <c r="X16" s="18" t="n">
        <v>2351.96</v>
      </c>
      <c r="Y16" s="18" t="n">
        <v>2473.36</v>
      </c>
      <c r="Z16" s="37" t="n">
        <v>2473.36</v>
      </c>
      <c r="AA16" s="18" t="n">
        <v>2283.45</v>
      </c>
      <c r="AB16" s="19" t="n">
        <v>2115.48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이연법인세자산</t>
        </is>
      </c>
      <c r="E17" s="18" t="n">
        <v>198.33</v>
      </c>
      <c r="F17" s="37" t="n">
        <v>198.33</v>
      </c>
      <c r="G17" s="18" t="n">
        <v>248.59</v>
      </c>
      <c r="H17" s="18" t="n">
        <v>497.14</v>
      </c>
      <c r="K17" s="9" t="n"/>
      <c r="O17" s="18" t="n">
        <v>1109.32</v>
      </c>
      <c r="P17" s="37" t="n">
        <v>1109.32</v>
      </c>
      <c r="Q17" s="18" t="n">
        <v>920.51</v>
      </c>
      <c r="R17" s="18" t="n">
        <v>1149.34</v>
      </c>
      <c r="S17" s="18" t="n">
        <v>1615.44</v>
      </c>
      <c r="T17" s="18" t="n">
        <v>2472.6</v>
      </c>
      <c r="U17" s="37" t="n">
        <v>2472.6</v>
      </c>
      <c r="V17" s="18" t="n">
        <v>2886.7</v>
      </c>
      <c r="W17" s="18" t="n">
        <v>3702.42</v>
      </c>
      <c r="X17" s="18" t="n">
        <v>4483.93</v>
      </c>
      <c r="Y17" s="18" t="n">
        <v>2316.66</v>
      </c>
      <c r="Z17" s="37" t="n">
        <v>2316.66</v>
      </c>
      <c r="AA17" s="18" t="n">
        <v>2252.36</v>
      </c>
      <c r="AB17" s="19" t="n">
        <v>2252.62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자산총계</t>
        </is>
      </c>
      <c r="E18" s="18" t="n">
        <v>739392.1899999999</v>
      </c>
      <c r="F18" s="37" t="n">
        <v>739392.1899999999</v>
      </c>
      <c r="G18" s="18" t="n">
        <v>788045.74</v>
      </c>
      <c r="H18" s="18" t="n">
        <v>817798.51</v>
      </c>
      <c r="I18" s="18" t="n">
        <v>1264867.15</v>
      </c>
      <c r="J18" s="18" t="n">
        <v>1220003.93</v>
      </c>
      <c r="K18" s="37" t="n">
        <v>1220003.93</v>
      </c>
      <c r="L18" s="18" t="n">
        <v>1337027.3</v>
      </c>
      <c r="M18" s="18" t="n">
        <v>1400577.39</v>
      </c>
      <c r="N18" s="18" t="n">
        <v>1442386.91</v>
      </c>
      <c r="O18" s="18" t="n">
        <v>1431906.67</v>
      </c>
      <c r="P18" s="37" t="n">
        <v>1431906.67</v>
      </c>
      <c r="Q18" s="18" t="n">
        <v>1506256.86</v>
      </c>
      <c r="R18" s="18" t="n">
        <v>1447979.73</v>
      </c>
      <c r="S18" s="18" t="n">
        <v>1376905.9</v>
      </c>
      <c r="T18" s="18" t="n">
        <v>1421941.57</v>
      </c>
      <c r="U18" s="37" t="n">
        <v>1421941.57</v>
      </c>
      <c r="V18" s="18" t="n">
        <v>1392171.7</v>
      </c>
      <c r="W18" s="18" t="n">
        <v>1316192.53</v>
      </c>
      <c r="X18" s="18" t="n">
        <v>1158732.43</v>
      </c>
      <c r="Y18" s="18" t="n">
        <v>1148241.65</v>
      </c>
      <c r="Z18" s="37" t="n">
        <v>1148241.65</v>
      </c>
      <c r="AA18" s="18" t="n">
        <v>1156055.71</v>
      </c>
      <c r="AB18" s="19" t="n">
        <v>1209778.32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유동부채</t>
        </is>
      </c>
      <c r="E19" s="18" t="n">
        <v>495761.28</v>
      </c>
      <c r="F19" s="37" t="n">
        <v>495761.28</v>
      </c>
      <c r="G19" s="18" t="n">
        <v>566946.0699999999</v>
      </c>
      <c r="H19" s="18" t="n">
        <v>584298.8199999999</v>
      </c>
      <c r="I19" s="18" t="n">
        <v>693014.71</v>
      </c>
      <c r="J19" s="18" t="n">
        <v>642506.42</v>
      </c>
      <c r="K19" s="37" t="n">
        <v>642506.42</v>
      </c>
      <c r="L19" s="18" t="n">
        <v>771169.91</v>
      </c>
      <c r="M19" s="18" t="n">
        <v>808616.8199999999</v>
      </c>
      <c r="N19" s="18" t="n">
        <v>722634.73</v>
      </c>
      <c r="O19" s="18" t="n">
        <v>687194.08</v>
      </c>
      <c r="P19" s="37" t="n">
        <v>687194.08</v>
      </c>
      <c r="Q19" s="18" t="n">
        <v>730671.89</v>
      </c>
      <c r="R19" s="18" t="n">
        <v>688184</v>
      </c>
      <c r="S19" s="18" t="n">
        <v>609470.99</v>
      </c>
      <c r="T19" s="18" t="n">
        <v>618812.4399999999</v>
      </c>
      <c r="U19" s="37" t="n">
        <v>618812.4399999999</v>
      </c>
      <c r="V19" s="18" t="n">
        <v>544034.8199999999</v>
      </c>
      <c r="W19" s="18" t="n">
        <v>457686.31</v>
      </c>
      <c r="X19" s="18" t="n">
        <v>269084.86</v>
      </c>
      <c r="Y19" s="18" t="n">
        <v>224776.17</v>
      </c>
      <c r="Z19" s="37" t="n">
        <v>224776.17</v>
      </c>
      <c r="AA19" s="18" t="n">
        <v>242301.17</v>
      </c>
      <c r="AB19" s="19" t="n">
        <v>281139.32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매입채무및기타채무</t>
        </is>
      </c>
      <c r="E20" s="18" t="n">
        <v>96116.92</v>
      </c>
      <c r="F20" s="37" t="n">
        <v>96116.92</v>
      </c>
      <c r="G20" s="18" t="n">
        <v>97711.35000000001</v>
      </c>
      <c r="H20" s="18" t="n">
        <v>80874.75</v>
      </c>
      <c r="I20" s="18" t="n">
        <v>81539.13</v>
      </c>
      <c r="J20" s="18" t="n">
        <v>95985.61</v>
      </c>
      <c r="K20" s="37" t="n">
        <v>95985.61</v>
      </c>
      <c r="L20" s="18" t="n">
        <v>148023.59</v>
      </c>
      <c r="M20" s="18" t="n">
        <v>84536.98</v>
      </c>
      <c r="N20" s="18" t="n">
        <v>34614.58</v>
      </c>
      <c r="O20" s="18" t="n">
        <v>28258.86</v>
      </c>
      <c r="P20" s="37" t="n">
        <v>28258.86</v>
      </c>
      <c r="Q20" s="18" t="n">
        <v>64915.33</v>
      </c>
      <c r="R20" s="18" t="n">
        <v>64091.89</v>
      </c>
      <c r="S20" s="18" t="n">
        <v>56055.97</v>
      </c>
      <c r="T20" s="18" t="n">
        <v>72383.77</v>
      </c>
      <c r="U20" s="37" t="n">
        <v>72383.77</v>
      </c>
      <c r="V20" s="18" t="n">
        <v>86237.55</v>
      </c>
      <c r="W20" s="18" t="n">
        <v>75141.25999999999</v>
      </c>
      <c r="X20" s="18" t="n">
        <v>77093.64</v>
      </c>
      <c r="Y20" s="18" t="n">
        <v>74495.28</v>
      </c>
      <c r="Z20" s="37" t="n">
        <v>74495.28</v>
      </c>
      <c r="AA20" s="18" t="n">
        <v>71110.87</v>
      </c>
      <c r="AB20" s="19" t="n">
        <v>78364.47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단기차입금</t>
        </is>
      </c>
      <c r="E21" s="18" t="n">
        <v>202221</v>
      </c>
      <c r="F21" s="37" t="n">
        <v>202221</v>
      </c>
      <c r="G21" s="18" t="n">
        <v>229659.04</v>
      </c>
      <c r="H21" s="18" t="n">
        <v>221118.93</v>
      </c>
      <c r="I21" s="18" t="n">
        <v>218518.94</v>
      </c>
      <c r="J21" s="18" t="n">
        <v>66086.78999999999</v>
      </c>
      <c r="K21" s="37" t="n">
        <v>66086.78999999999</v>
      </c>
      <c r="L21" s="18" t="n">
        <v>71284.35000000001</v>
      </c>
      <c r="M21" s="18" t="n">
        <v>122326.45</v>
      </c>
      <c r="N21" s="18" t="n">
        <v>105256.4</v>
      </c>
      <c r="O21" s="18" t="n">
        <v>104574.51</v>
      </c>
      <c r="P21" s="37" t="n">
        <v>104574.51</v>
      </c>
      <c r="Q21" s="18" t="n">
        <v>117053.33</v>
      </c>
      <c r="R21" s="18" t="n">
        <v>105340</v>
      </c>
      <c r="S21" s="18" t="n">
        <v>96481.89999999999</v>
      </c>
      <c r="T21" s="18" t="n">
        <v>107670.4</v>
      </c>
      <c r="U21" s="37" t="n">
        <v>107670.4</v>
      </c>
      <c r="V21" s="18" t="n">
        <v>106920.4</v>
      </c>
      <c r="W21" s="18" t="n">
        <v>106170.4</v>
      </c>
      <c r="X21" s="18" t="n">
        <v>109870.4</v>
      </c>
      <c r="Y21" s="18" t="n">
        <v>108676.23</v>
      </c>
      <c r="Z21" s="37" t="n">
        <v>108676.23</v>
      </c>
      <c r="AA21" s="18" t="n">
        <v>118568.63</v>
      </c>
      <c r="AB21" s="19" t="n">
        <v>137961.03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기타유동금융부채</t>
        </is>
      </c>
      <c r="E22" s="18" t="n">
        <v>1684.8</v>
      </c>
      <c r="F22" s="37" t="n">
        <v>1684.8</v>
      </c>
      <c r="G22" s="18" t="n">
        <v>205.81</v>
      </c>
      <c r="H22" s="18" t="n">
        <v>2497.2</v>
      </c>
      <c r="I22" s="18" t="n">
        <v>6965.93</v>
      </c>
      <c r="J22" s="18" t="n">
        <v>17069.61</v>
      </c>
      <c r="K22" s="37" t="n">
        <v>17069.61</v>
      </c>
      <c r="L22" s="18" t="n">
        <v>17428.57</v>
      </c>
      <c r="M22" s="18" t="n">
        <v>12031.49</v>
      </c>
      <c r="N22" s="18" t="n">
        <v>12116.17</v>
      </c>
      <c r="O22" s="18" t="n">
        <v>9450.34</v>
      </c>
      <c r="P22" s="37" t="n">
        <v>9450.34</v>
      </c>
      <c r="Q22" s="18" t="n">
        <v>9429.139999999999</v>
      </c>
      <c r="R22" s="18" t="n">
        <v>11236.93</v>
      </c>
      <c r="S22" s="18" t="n">
        <v>7352.58</v>
      </c>
      <c r="T22" s="18" t="n">
        <v>20961.73</v>
      </c>
      <c r="U22" s="37" t="n">
        <v>20961.73</v>
      </c>
      <c r="V22" s="18" t="n">
        <v>22908.42</v>
      </c>
      <c r="W22" s="18" t="n">
        <v>2850.4</v>
      </c>
      <c r="X22" s="18" t="n">
        <v>10867.46</v>
      </c>
      <c r="Y22" s="18" t="n">
        <v>13293.61</v>
      </c>
      <c r="Z22" s="37" t="n">
        <v>13293.61</v>
      </c>
      <c r="AA22" s="18" t="n">
        <v>14884.66</v>
      </c>
      <c r="AB22" s="19" t="n">
        <v>15782.16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단기금융부채</t>
        </is>
      </c>
      <c r="E23" s="18" t="n">
        <v>5858.76</v>
      </c>
      <c r="F23" s="37" t="n">
        <v>5858.76</v>
      </c>
      <c r="G23" s="18" t="n">
        <v>5369.68</v>
      </c>
      <c r="H23" s="18" t="n">
        <v>6356.29</v>
      </c>
      <c r="I23" s="18" t="n">
        <v>10778.08</v>
      </c>
      <c r="J23" s="18" t="n">
        <v>20877.86</v>
      </c>
      <c r="K23" s="37" t="n">
        <v>20877.86</v>
      </c>
      <c r="L23" s="18" t="n">
        <v>21439.2</v>
      </c>
      <c r="M23" s="18" t="n">
        <v>16264.68</v>
      </c>
      <c r="N23" s="18" t="n">
        <v>16538.62</v>
      </c>
      <c r="O23" s="18" t="n">
        <v>26907.92</v>
      </c>
      <c r="P23" s="37" t="n">
        <v>26907.92</v>
      </c>
      <c r="Q23" s="18" t="n">
        <v>24857.5</v>
      </c>
      <c r="R23" s="18" t="n">
        <v>23455.62</v>
      </c>
      <c r="S23" s="18" t="n">
        <v>21972.24</v>
      </c>
      <c r="T23" s="18" t="n">
        <v>26562.06</v>
      </c>
      <c r="U23" s="37" t="n">
        <v>26562.06</v>
      </c>
      <c r="V23" s="18" t="n">
        <v>27779.67</v>
      </c>
      <c r="W23" s="18" t="n">
        <v>8020.24</v>
      </c>
      <c r="X23" s="18" t="n">
        <v>23623.06</v>
      </c>
      <c r="Y23" s="18" t="n">
        <v>19519.09</v>
      </c>
      <c r="Z23" s="37" t="n">
        <v>19519.09</v>
      </c>
      <c r="AA23" s="18" t="n">
        <v>19838.26</v>
      </c>
      <c r="AB23" s="19" t="n">
        <v>19889.6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유동리스부채</t>
        </is>
      </c>
      <c r="E24" s="18" t="n">
        <v>4173.96</v>
      </c>
      <c r="F24" s="37" t="n">
        <v>4173.96</v>
      </c>
      <c r="G24" s="18" t="n">
        <v>5163.87</v>
      </c>
      <c r="H24" s="18" t="n">
        <v>3859.09</v>
      </c>
      <c r="I24" s="18" t="n">
        <v>3812.15</v>
      </c>
      <c r="J24" s="18" t="n">
        <v>3808.25</v>
      </c>
      <c r="K24" s="37" t="n">
        <v>3808.25</v>
      </c>
      <c r="L24" s="18" t="n">
        <v>4010.63</v>
      </c>
      <c r="M24" s="18" t="n">
        <v>4233.19</v>
      </c>
      <c r="N24" s="18" t="n">
        <v>4422.45</v>
      </c>
      <c r="O24" s="18" t="n">
        <v>17457.58</v>
      </c>
      <c r="P24" s="37" t="n">
        <v>17457.58</v>
      </c>
      <c r="Q24" s="18" t="n">
        <v>15428.36</v>
      </c>
      <c r="R24" s="18" t="n">
        <v>12218.69</v>
      </c>
      <c r="S24" s="18" t="n">
        <v>8896.57</v>
      </c>
      <c r="T24" s="18" t="n">
        <v>5600.33</v>
      </c>
      <c r="U24" s="37" t="n">
        <v>5600.33</v>
      </c>
      <c r="V24" s="18" t="n">
        <v>4871.25</v>
      </c>
      <c r="W24" s="18" t="n">
        <v>5169.84</v>
      </c>
      <c r="X24" s="18" t="n">
        <v>12755.6</v>
      </c>
      <c r="Y24" s="18" t="n">
        <v>6225.48</v>
      </c>
      <c r="Z24" s="37" t="n">
        <v>6225.48</v>
      </c>
      <c r="AA24" s="18" t="n">
        <v>4953.6</v>
      </c>
      <c r="AB24" s="19" t="n">
        <v>4107.44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리스부채</t>
        </is>
      </c>
      <c r="E25" s="18" t="n">
        <v>15570.79</v>
      </c>
      <c r="F25" s="37" t="n">
        <v>15570.79</v>
      </c>
      <c r="G25" s="18" t="n">
        <v>14918.73</v>
      </c>
      <c r="H25" s="18" t="n">
        <v>14346.29</v>
      </c>
      <c r="I25" s="18" t="n">
        <v>14051.42</v>
      </c>
      <c r="J25" s="18" t="n">
        <v>13515.47</v>
      </c>
      <c r="K25" s="37" t="n">
        <v>13515.47</v>
      </c>
      <c r="L25" s="18" t="n">
        <v>14070.22</v>
      </c>
      <c r="M25" s="18" t="n">
        <v>14103.09</v>
      </c>
      <c r="N25" s="18" t="n">
        <v>13060.55</v>
      </c>
      <c r="O25" s="18" t="n">
        <v>26645.03</v>
      </c>
      <c r="P25" s="37" t="n">
        <v>26645.03</v>
      </c>
      <c r="Q25" s="18" t="n">
        <v>22590.51</v>
      </c>
      <c r="R25" s="18" t="n">
        <v>18473.07</v>
      </c>
      <c r="S25" s="18" t="n">
        <v>13915.68</v>
      </c>
      <c r="T25" s="18" t="n">
        <v>9776.299999999999</v>
      </c>
      <c r="U25" s="37" t="n">
        <v>9776.299999999999</v>
      </c>
      <c r="V25" s="18" t="n">
        <v>8995.17</v>
      </c>
      <c r="W25" s="18" t="n">
        <v>9245.32</v>
      </c>
      <c r="X25" s="18" t="n">
        <v>15791.24</v>
      </c>
      <c r="Y25" s="18" t="n">
        <v>8363.9</v>
      </c>
      <c r="Z25" s="37" t="n">
        <v>8363.9</v>
      </c>
      <c r="AA25" s="18" t="n">
        <v>7777.36</v>
      </c>
      <c r="AB25" s="19" t="n">
        <v>6634.23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당기법인세부채(미지급법인세)</t>
        </is>
      </c>
      <c r="E26" s="18" t="n">
        <v>12410.34</v>
      </c>
      <c r="F26" s="37" t="n">
        <v>12410.34</v>
      </c>
      <c r="G26" s="18" t="n">
        <v>5353.74</v>
      </c>
      <c r="H26" s="18" t="n">
        <v>5411.13</v>
      </c>
      <c r="I26" s="18" t="n">
        <v>8001.68</v>
      </c>
      <c r="J26" s="18" t="n">
        <v>4888.33</v>
      </c>
      <c r="K26" s="37" t="n">
        <v>4888.33</v>
      </c>
      <c r="L26" s="18" t="n">
        <v>2833.73</v>
      </c>
      <c r="M26" s="18" t="n">
        <v>7473.73</v>
      </c>
      <c r="N26" s="18" t="n">
        <v>6412.71</v>
      </c>
      <c r="O26" s="18" t="n">
        <v>12196.48</v>
      </c>
      <c r="P26" s="37" t="n">
        <v>12196.48</v>
      </c>
      <c r="Q26" s="18" t="n">
        <v>1551.88</v>
      </c>
      <c r="R26" s="18" t="n">
        <v>419.66</v>
      </c>
      <c r="S26" s="18" t="n">
        <v>253.34</v>
      </c>
      <c r="T26" s="18" t="n">
        <v>100.34</v>
      </c>
      <c r="U26" s="37" t="n">
        <v>100.34</v>
      </c>
      <c r="V26" s="18" t="n">
        <v>2408.44</v>
      </c>
      <c r="W26" s="18" t="n">
        <v>5571.37</v>
      </c>
      <c r="X26" s="18" t="n">
        <v>5235.42</v>
      </c>
      <c r="Y26" s="18" t="n">
        <v>6086.6</v>
      </c>
      <c r="Z26" s="37" t="n">
        <v>6086.6</v>
      </c>
      <c r="AA26" s="18" t="n">
        <v>3778.91</v>
      </c>
      <c r="AB26" s="19" t="n">
        <v>5024.27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계약부채</t>
        </is>
      </c>
      <c r="E27" s="18" t="n">
        <v>143968.6</v>
      </c>
      <c r="F27" s="37" t="n">
        <v>143968.6</v>
      </c>
      <c r="G27" s="18" t="n">
        <v>200196.01</v>
      </c>
      <c r="H27" s="18" t="n">
        <v>241333.2</v>
      </c>
      <c r="I27" s="18" t="n">
        <v>214960.1</v>
      </c>
      <c r="J27" s="18" t="n">
        <v>333193.78</v>
      </c>
      <c r="K27" s="37" t="n">
        <v>333193.78</v>
      </c>
      <c r="L27" s="18" t="n">
        <v>375814.96</v>
      </c>
      <c r="M27" s="18" t="n">
        <v>425361.31</v>
      </c>
      <c r="N27" s="18" t="n">
        <v>414943.03</v>
      </c>
      <c r="O27" s="18" t="n">
        <v>415978.96</v>
      </c>
      <c r="P27" s="37" t="n">
        <v>415978.96</v>
      </c>
      <c r="Q27" s="18" t="n">
        <v>462876.01</v>
      </c>
      <c r="R27" s="18" t="n">
        <v>435665.26</v>
      </c>
      <c r="S27" s="18" t="n">
        <v>375585.95</v>
      </c>
      <c r="T27" s="18" t="n">
        <v>368982.32</v>
      </c>
      <c r="U27" s="37" t="n">
        <v>368982.32</v>
      </c>
      <c r="V27" s="18" t="n">
        <v>277695.43</v>
      </c>
      <c r="W27" s="18" t="n">
        <v>225094.6</v>
      </c>
      <c r="X27" s="18" t="n">
        <v>47795.56</v>
      </c>
      <c r="Y27" s="18" t="n">
        <v>8943.18</v>
      </c>
      <c r="Z27" s="37" t="n">
        <v>8943.18</v>
      </c>
      <c r="AA27" s="18" t="n">
        <v>21052.16</v>
      </c>
      <c r="AB27" s="19" t="n">
        <v>32548.73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기타유동부채</t>
        </is>
      </c>
      <c r="E28" s="18" t="n">
        <v>3830.43</v>
      </c>
      <c r="F28" s="37" t="n">
        <v>3830.43</v>
      </c>
      <c r="G28" s="18" t="n">
        <v>4595.56</v>
      </c>
      <c r="H28" s="18" t="n">
        <v>4593.49</v>
      </c>
      <c r="I28" s="18" t="n">
        <v>3313.63</v>
      </c>
      <c r="J28" s="18" t="n">
        <v>5247.32</v>
      </c>
      <c r="K28" s="37" t="n">
        <v>5247.32</v>
      </c>
      <c r="L28" s="18" t="n">
        <v>6236.59</v>
      </c>
      <c r="M28" s="18" t="n">
        <v>4218.13</v>
      </c>
      <c r="N28" s="18" t="n">
        <v>4256.93</v>
      </c>
      <c r="O28" s="18" t="n">
        <v>5220.31</v>
      </c>
      <c r="P28" s="37" t="n">
        <v>5220.31</v>
      </c>
      <c r="Q28" s="18" t="n">
        <v>3475.5</v>
      </c>
      <c r="R28" s="18" t="n">
        <v>3126.12</v>
      </c>
      <c r="S28" s="18" t="n">
        <v>3229.64</v>
      </c>
      <c r="T28" s="18" t="n">
        <v>497.47</v>
      </c>
      <c r="U28" s="37" t="n">
        <v>497.47</v>
      </c>
      <c r="V28" s="18" t="n">
        <v>812.61</v>
      </c>
      <c r="W28" s="18" t="n">
        <v>807.66</v>
      </c>
      <c r="X28" s="18" t="n">
        <v>807.75</v>
      </c>
      <c r="Y28" s="18" t="n">
        <v>1009.61</v>
      </c>
      <c r="Z28" s="37" t="n">
        <v>1009.61</v>
      </c>
      <c r="AA28" s="18" t="n">
        <v>850.74</v>
      </c>
      <c r="AB28" s="19" t="n">
        <v>894.7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유동성장기부채</t>
        </is>
      </c>
      <c r="E29" s="18" t="n">
        <v>31355.22</v>
      </c>
      <c r="F29" s="37" t="n">
        <v>31355.22</v>
      </c>
      <c r="G29" s="18" t="n">
        <v>24060.69</v>
      </c>
      <c r="H29" s="18" t="n">
        <v>24611.02</v>
      </c>
      <c r="I29" s="18" t="n">
        <v>155903.16</v>
      </c>
      <c r="J29" s="18" t="n">
        <v>116226.72</v>
      </c>
      <c r="K29" s="37" t="n">
        <v>116226.72</v>
      </c>
      <c r="L29" s="18" t="n">
        <v>145537.48</v>
      </c>
      <c r="M29" s="18" t="n">
        <v>148435.53</v>
      </c>
      <c r="N29" s="18" t="n">
        <v>69098.71000000001</v>
      </c>
      <c r="O29" s="18" t="n">
        <v>54621.06</v>
      </c>
      <c r="P29" s="37" t="n">
        <v>54621.06</v>
      </c>
      <c r="Q29" s="18" t="n">
        <v>55942.33</v>
      </c>
      <c r="R29" s="18" t="n">
        <v>56085.46</v>
      </c>
      <c r="S29" s="18" t="n">
        <v>55891.95</v>
      </c>
      <c r="T29" s="18" t="n">
        <v>38360.72</v>
      </c>
      <c r="U29" s="37" t="n">
        <v>38360.72</v>
      </c>
      <c r="V29" s="18" t="n">
        <v>39312.64</v>
      </c>
      <c r="W29" s="18" t="n">
        <v>28275.57</v>
      </c>
      <c r="X29" s="18" t="n">
        <v>0</v>
      </c>
      <c r="Y29" s="18" t="n">
        <v>0</v>
      </c>
      <c r="Z29" s="37" t="n">
        <v>0</v>
      </c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비유동부채</t>
        </is>
      </c>
      <c r="E30" s="18" t="n">
        <v>63550.89</v>
      </c>
      <c r="F30" s="37" t="n">
        <v>63550.89</v>
      </c>
      <c r="G30" s="18" t="n">
        <v>20736.38</v>
      </c>
      <c r="H30" s="18" t="n">
        <v>20081.58</v>
      </c>
      <c r="I30" s="18" t="n">
        <v>19151.81</v>
      </c>
      <c r="J30" s="18" t="n">
        <v>51540.02</v>
      </c>
      <c r="K30" s="37" t="n">
        <v>51540.02</v>
      </c>
      <c r="L30" s="18" t="n">
        <v>20406.56</v>
      </c>
      <c r="M30" s="18" t="n">
        <v>25016.33</v>
      </c>
      <c r="N30" s="18" t="n">
        <v>28497.19</v>
      </c>
      <c r="O30" s="18" t="n">
        <v>45870.62</v>
      </c>
      <c r="P30" s="37" t="n">
        <v>45870.62</v>
      </c>
      <c r="Q30" s="18" t="n">
        <v>72373.96000000001</v>
      </c>
      <c r="R30" s="18" t="n">
        <v>53539.87</v>
      </c>
      <c r="S30" s="18" t="n">
        <v>51756.94</v>
      </c>
      <c r="T30" s="18" t="n">
        <v>89623.42999999999</v>
      </c>
      <c r="U30" s="37" t="n">
        <v>89623.42999999999</v>
      </c>
      <c r="V30" s="18" t="n">
        <v>130309.12</v>
      </c>
      <c r="W30" s="18" t="n">
        <v>118356.71</v>
      </c>
      <c r="X30" s="18" t="n">
        <v>112533.36</v>
      </c>
      <c r="Y30" s="18" t="n">
        <v>108921.07</v>
      </c>
      <c r="Z30" s="37" t="n">
        <v>108921.07</v>
      </c>
      <c r="AA30" s="18" t="n">
        <v>89342.61</v>
      </c>
      <c r="AB30" s="19" t="n">
        <v>90436.67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장기차입금</t>
        </is>
      </c>
      <c r="E31" s="18" t="n">
        <v>44906.5</v>
      </c>
      <c r="F31" s="37" t="n">
        <v>44906.5</v>
      </c>
      <c r="G31" s="18" t="n">
        <v>3559.59</v>
      </c>
      <c r="H31" s="18" t="n">
        <v>2783.4</v>
      </c>
      <c r="I31" s="18" t="n">
        <v>2323.88</v>
      </c>
      <c r="J31" s="18" t="n">
        <v>7843.03</v>
      </c>
      <c r="K31" s="37" t="n">
        <v>7843.03</v>
      </c>
      <c r="L31" s="18" t="n">
        <v>7239.43</v>
      </c>
      <c r="M31" s="18" t="n">
        <v>12379.13</v>
      </c>
      <c r="N31" s="18" t="n">
        <v>16467.86</v>
      </c>
      <c r="O31" s="18" t="n">
        <v>32866.63</v>
      </c>
      <c r="P31" s="37" t="n">
        <v>32866.63</v>
      </c>
      <c r="Q31" s="18" t="n">
        <v>60459.03</v>
      </c>
      <c r="R31" s="18" t="n">
        <v>39151.43</v>
      </c>
      <c r="S31" s="18" t="n">
        <v>37643.83</v>
      </c>
      <c r="T31" s="18" t="n">
        <v>65304.23</v>
      </c>
      <c r="U31" s="37" t="n">
        <v>65304.23</v>
      </c>
      <c r="V31" s="18" t="n">
        <v>106856.63</v>
      </c>
      <c r="W31" s="18" t="n">
        <v>105449.03</v>
      </c>
      <c r="X31" s="18" t="n">
        <v>99591.42999999999</v>
      </c>
      <c r="Y31" s="18" t="n">
        <v>98628</v>
      </c>
      <c r="Z31" s="37" t="n">
        <v>98628</v>
      </c>
      <c r="AA31" s="18" t="n">
        <v>75670</v>
      </c>
      <c r="AB31" s="19" t="n">
        <v>77075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사채</t>
        </is>
      </c>
      <c r="E32" s="18" t="n">
        <v>4866.18</v>
      </c>
      <c r="F32" s="37" t="n">
        <v>4866.18</v>
      </c>
      <c r="G32" s="18" t="n">
        <v>4882.85</v>
      </c>
      <c r="H32" s="18" t="n">
        <v>4900.06</v>
      </c>
      <c r="I32" s="18" t="n">
        <v>4917.33</v>
      </c>
      <c r="J32" s="18" t="n">
        <v>31435.98</v>
      </c>
      <c r="K32" s="37" t="n">
        <v>31435.98</v>
      </c>
      <c r="P32" s="9" t="n"/>
      <c r="T32" s="18" t="n">
        <v>0</v>
      </c>
      <c r="U32" s="37" t="n">
        <v>0</v>
      </c>
      <c r="Z32" s="9" t="n"/>
      <c r="AB32" s="5" t="n"/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확정급여부채</t>
        </is>
      </c>
      <c r="E33" s="18" t="n">
        <v>2338.48</v>
      </c>
      <c r="F33" s="37" t="n">
        <v>2338.48</v>
      </c>
      <c r="G33" s="18" t="n">
        <v>2539.03</v>
      </c>
      <c r="H33" s="18" t="n">
        <v>1906.44</v>
      </c>
      <c r="I33" s="18" t="n">
        <v>1369.74</v>
      </c>
      <c r="K33" s="9" t="n"/>
      <c r="L33" s="18" t="n">
        <v>495.56</v>
      </c>
      <c r="M33" s="18" t="n">
        <v>17.79</v>
      </c>
      <c r="N33" s="18" t="n">
        <v>392.93</v>
      </c>
      <c r="O33" s="18" t="n">
        <v>2091.43</v>
      </c>
      <c r="P33" s="37" t="n">
        <v>2091.43</v>
      </c>
      <c r="Q33" s="18" t="n">
        <v>2944.49</v>
      </c>
      <c r="R33" s="18" t="n">
        <v>3022.43</v>
      </c>
      <c r="S33" s="18" t="n">
        <v>3802.12</v>
      </c>
      <c r="T33" s="18" t="n">
        <v>5171.38</v>
      </c>
      <c r="U33" s="37" t="n">
        <v>5171.38</v>
      </c>
      <c r="V33" s="18" t="n">
        <v>6856.71</v>
      </c>
      <c r="W33" s="18" t="n">
        <v>7038.85</v>
      </c>
      <c r="X33" s="18" t="n">
        <v>8084.6</v>
      </c>
      <c r="Y33" s="18" t="n">
        <v>4433.73</v>
      </c>
      <c r="Z33" s="37" t="n">
        <v>4433.73</v>
      </c>
      <c r="AA33" s="18" t="n">
        <v>5932.68</v>
      </c>
      <c r="AB33" s="19" t="n">
        <v>5862.61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기타비유동부채</t>
        </is>
      </c>
      <c r="E34" s="18" t="n">
        <v>42.91</v>
      </c>
      <c r="F34" s="37" t="n">
        <v>42.91</v>
      </c>
      <c r="G34" s="18" t="n">
        <v>0.05</v>
      </c>
      <c r="H34" s="18" t="n">
        <v>4.48</v>
      </c>
      <c r="I34" s="18" t="n">
        <v>0.17</v>
      </c>
      <c r="J34" s="18" t="n">
        <v>21.58</v>
      </c>
      <c r="K34" s="37" t="n">
        <v>21.58</v>
      </c>
      <c r="L34" s="18" t="n">
        <v>0.44</v>
      </c>
      <c r="M34" s="18" t="n">
        <v>0.46</v>
      </c>
      <c r="N34" s="18" t="n">
        <v>24.22</v>
      </c>
      <c r="O34" s="18" t="n">
        <v>1725.11</v>
      </c>
      <c r="P34" s="37" t="n">
        <v>1725.11</v>
      </c>
      <c r="Q34" s="18" t="n">
        <v>1659.92</v>
      </c>
      <c r="R34" s="18" t="n">
        <v>1.36</v>
      </c>
      <c r="S34" s="18" t="n">
        <v>1.57</v>
      </c>
      <c r="T34" s="18" t="n">
        <v>62.47</v>
      </c>
      <c r="U34" s="37" t="n">
        <v>62.47</v>
      </c>
      <c r="V34" s="18" t="n">
        <v>0.66</v>
      </c>
      <c r="W34" s="18" t="n">
        <v>0.67</v>
      </c>
      <c r="X34" s="18" t="n">
        <v>0.71</v>
      </c>
      <c r="Y34" s="18" t="n">
        <v>62.83</v>
      </c>
      <c r="Z34" s="37" t="n">
        <v>62.83</v>
      </c>
      <c r="AA34" s="18" t="n">
        <v>0.79</v>
      </c>
      <c r="AB34" s="19" t="n">
        <v>1.08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비유동리스부채</t>
        </is>
      </c>
      <c r="E35" s="18" t="n">
        <v>11396.83</v>
      </c>
      <c r="F35" s="37" t="n">
        <v>11396.83</v>
      </c>
      <c r="G35" s="18" t="n">
        <v>9754.860000000001</v>
      </c>
      <c r="H35" s="18" t="n">
        <v>10487.2</v>
      </c>
      <c r="I35" s="18" t="n">
        <v>10239.27</v>
      </c>
      <c r="J35" s="18" t="n">
        <v>9707.219999999999</v>
      </c>
      <c r="K35" s="37" t="n">
        <v>9707.219999999999</v>
      </c>
      <c r="L35" s="18" t="n">
        <v>10059.59</v>
      </c>
      <c r="M35" s="18" t="n">
        <v>9869.9</v>
      </c>
      <c r="N35" s="18" t="n">
        <v>8638.1</v>
      </c>
      <c r="O35" s="18" t="n">
        <v>9187.450000000001</v>
      </c>
      <c r="P35" s="37" t="n">
        <v>9187.450000000001</v>
      </c>
      <c r="Q35" s="18" t="n">
        <v>7162.15</v>
      </c>
      <c r="R35" s="18" t="n">
        <v>6254.38</v>
      </c>
      <c r="S35" s="18" t="n">
        <v>5019.11</v>
      </c>
      <c r="T35" s="18" t="n">
        <v>4175.97</v>
      </c>
      <c r="U35" s="37" t="n">
        <v>4175.97</v>
      </c>
      <c r="V35" s="18" t="n">
        <v>4123.92</v>
      </c>
      <c r="W35" s="18" t="n">
        <v>4075.48</v>
      </c>
      <c r="X35" s="18" t="n">
        <v>3035.64</v>
      </c>
      <c r="Y35" s="18" t="n">
        <v>2138.42</v>
      </c>
      <c r="Z35" s="37" t="n">
        <v>2138.42</v>
      </c>
      <c r="AA35" s="18" t="n">
        <v>2823.76</v>
      </c>
      <c r="AB35" s="19" t="n">
        <v>2526.79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장기금융부채</t>
        </is>
      </c>
      <c r="E36" s="18" t="n">
        <v>11396.83</v>
      </c>
      <c r="F36" s="37" t="n">
        <v>11396.83</v>
      </c>
      <c r="G36" s="18" t="n">
        <v>9754.860000000001</v>
      </c>
      <c r="H36" s="18" t="n">
        <v>10487.2</v>
      </c>
      <c r="I36" s="18" t="n">
        <v>10239.27</v>
      </c>
      <c r="J36" s="18" t="n">
        <v>9707.219999999999</v>
      </c>
      <c r="K36" s="37" t="n">
        <v>9707.219999999999</v>
      </c>
      <c r="L36" s="18" t="n">
        <v>10059.59</v>
      </c>
      <c r="M36" s="18" t="n">
        <v>9869.9</v>
      </c>
      <c r="N36" s="18" t="n">
        <v>8638.1</v>
      </c>
      <c r="O36" s="18" t="n">
        <v>9187.450000000001</v>
      </c>
      <c r="P36" s="37" t="n">
        <v>9187.450000000001</v>
      </c>
      <c r="Q36" s="18" t="n">
        <v>7310.52</v>
      </c>
      <c r="R36" s="18" t="n">
        <v>11364.64</v>
      </c>
      <c r="S36" s="18" t="n">
        <v>10309.43</v>
      </c>
      <c r="T36" s="18" t="n">
        <v>19085.35</v>
      </c>
      <c r="U36" s="37" t="n">
        <v>19085.35</v>
      </c>
      <c r="V36" s="18" t="n">
        <v>16595.12</v>
      </c>
      <c r="W36" s="18" t="n">
        <v>5868.15</v>
      </c>
      <c r="X36" s="18" t="n">
        <v>4856.61</v>
      </c>
      <c r="Y36" s="18" t="n">
        <v>2141.24</v>
      </c>
      <c r="Z36" s="37" t="n">
        <v>2141.24</v>
      </c>
      <c r="AA36" s="18" t="n">
        <v>2823.76</v>
      </c>
      <c r="AB36" s="19" t="n">
        <v>2526.79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부채총계</t>
        </is>
      </c>
      <c r="E37" s="18" t="n">
        <v>559312.17</v>
      </c>
      <c r="F37" s="37" t="n">
        <v>559312.17</v>
      </c>
      <c r="G37" s="18" t="n">
        <v>587682.45</v>
      </c>
      <c r="H37" s="18" t="n">
        <v>604380.4</v>
      </c>
      <c r="I37" s="18" t="n">
        <v>712166.52</v>
      </c>
      <c r="J37" s="18" t="n">
        <v>694046.4300000001</v>
      </c>
      <c r="K37" s="37" t="n">
        <v>694046.4300000001</v>
      </c>
      <c r="L37" s="18" t="n">
        <v>791576.47</v>
      </c>
      <c r="M37" s="18" t="n">
        <v>833633.15</v>
      </c>
      <c r="N37" s="18" t="n">
        <v>751131.92</v>
      </c>
      <c r="O37" s="18" t="n">
        <v>733064.71</v>
      </c>
      <c r="P37" s="37" t="n">
        <v>733064.71</v>
      </c>
      <c r="Q37" s="18" t="n">
        <v>803045.85</v>
      </c>
      <c r="R37" s="18" t="n">
        <v>741723.87</v>
      </c>
      <c r="S37" s="18" t="n">
        <v>661227.9399999999</v>
      </c>
      <c r="T37" s="18" t="n">
        <v>708435.87</v>
      </c>
      <c r="U37" s="37" t="n">
        <v>708435.87</v>
      </c>
      <c r="V37" s="18" t="n">
        <v>674343.9399999999</v>
      </c>
      <c r="W37" s="18" t="n">
        <v>576043.01</v>
      </c>
      <c r="X37" s="18" t="n">
        <v>381618.22</v>
      </c>
      <c r="Y37" s="18" t="n">
        <v>333697.24</v>
      </c>
      <c r="Z37" s="37" t="n">
        <v>333697.24</v>
      </c>
      <c r="AA37" s="18" t="n">
        <v>331643.78</v>
      </c>
      <c r="AB37" s="19" t="n">
        <v>371575.99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지배주주지분</t>
        </is>
      </c>
      <c r="E38" s="18" t="n">
        <v>140418.38</v>
      </c>
      <c r="F38" s="37" t="n">
        <v>140418.38</v>
      </c>
      <c r="G38" s="18" t="n">
        <v>159131.6</v>
      </c>
      <c r="H38" s="18" t="n">
        <v>168289.22</v>
      </c>
      <c r="I38" s="18" t="n">
        <v>505367.75</v>
      </c>
      <c r="J38" s="18" t="n">
        <v>520772.31</v>
      </c>
      <c r="K38" s="37" t="n">
        <v>520772.31</v>
      </c>
      <c r="L38" s="18" t="n">
        <v>541233.87</v>
      </c>
      <c r="M38" s="18" t="n">
        <v>562588.72</v>
      </c>
      <c r="N38" s="18" t="n">
        <v>686888.55</v>
      </c>
      <c r="O38" s="18" t="n">
        <v>694620.51</v>
      </c>
      <c r="P38" s="37" t="n">
        <v>694620.51</v>
      </c>
      <c r="Q38" s="18" t="n">
        <v>698770.85</v>
      </c>
      <c r="R38" s="18" t="n">
        <v>701600.13</v>
      </c>
      <c r="S38" s="18" t="n">
        <v>710741.92</v>
      </c>
      <c r="T38" s="18" t="n">
        <v>708802.7</v>
      </c>
      <c r="U38" s="37" t="n">
        <v>708802.7</v>
      </c>
      <c r="V38" s="18" t="n">
        <v>713230.83</v>
      </c>
      <c r="W38" s="18" t="n">
        <v>735593.5600000001</v>
      </c>
      <c r="X38" s="18" t="n">
        <v>777114.22</v>
      </c>
      <c r="Y38" s="18" t="n">
        <v>814544.41</v>
      </c>
      <c r="Z38" s="37" t="n">
        <v>814544.41</v>
      </c>
      <c r="AA38" s="18" t="n">
        <v>824411.9300000001</v>
      </c>
      <c r="AB38" s="19" t="n">
        <v>838202.33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자본금</t>
        </is>
      </c>
      <c r="E39" s="18" t="n">
        <v>18287.18</v>
      </c>
      <c r="F39" s="37" t="n">
        <v>18287.18</v>
      </c>
      <c r="G39" s="18" t="n">
        <v>18538.34</v>
      </c>
      <c r="H39" s="18" t="n">
        <v>18538.34</v>
      </c>
      <c r="I39" s="18" t="n">
        <v>26617.51</v>
      </c>
      <c r="J39" s="18" t="n">
        <v>26617.51</v>
      </c>
      <c r="K39" s="37" t="n">
        <v>26617.51</v>
      </c>
      <c r="L39" s="18" t="n">
        <v>26617.51</v>
      </c>
      <c r="M39" s="18" t="n">
        <v>26617.51</v>
      </c>
      <c r="N39" s="18" t="n">
        <v>29597.78</v>
      </c>
      <c r="O39" s="18" t="n">
        <v>29597.78</v>
      </c>
      <c r="P39" s="37" t="n">
        <v>29597.78</v>
      </c>
      <c r="Q39" s="18" t="n">
        <v>29597.78</v>
      </c>
      <c r="R39" s="18" t="n">
        <v>29597.78</v>
      </c>
      <c r="S39" s="18" t="n">
        <v>29597.78</v>
      </c>
      <c r="T39" s="18" t="n">
        <v>29597.78</v>
      </c>
      <c r="U39" s="37" t="n">
        <v>29597.78</v>
      </c>
      <c r="V39" s="18" t="n">
        <v>29597.78</v>
      </c>
      <c r="W39" s="18" t="n">
        <v>30090.17</v>
      </c>
      <c r="X39" s="18" t="n">
        <v>31239.06</v>
      </c>
      <c r="Y39" s="18" t="n">
        <v>31239.06</v>
      </c>
      <c r="Z39" s="37" t="n">
        <v>31239.06</v>
      </c>
      <c r="AA39" s="18" t="n">
        <v>31239.06</v>
      </c>
      <c r="AB39" s="19" t="n">
        <v>31239.06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자본잉여금</t>
        </is>
      </c>
      <c r="E40" s="18" t="n">
        <v>88680.25</v>
      </c>
      <c r="F40" s="37" t="n">
        <v>88680.25</v>
      </c>
      <c r="G40" s="18" t="n">
        <v>97794.8</v>
      </c>
      <c r="H40" s="18" t="n">
        <v>97794.8</v>
      </c>
      <c r="I40" s="18" t="n">
        <v>822322.1800000001</v>
      </c>
      <c r="J40" s="18" t="n">
        <v>416199.82</v>
      </c>
      <c r="K40" s="37" t="n">
        <v>416199.82</v>
      </c>
      <c r="L40" s="18" t="n">
        <v>416199.82</v>
      </c>
      <c r="M40" s="18" t="n">
        <v>416199.82</v>
      </c>
      <c r="N40" s="18" t="n">
        <v>538209.9</v>
      </c>
      <c r="O40" s="18" t="n">
        <v>538209.9</v>
      </c>
      <c r="P40" s="37" t="n">
        <v>538209.9</v>
      </c>
      <c r="Q40" s="18" t="n">
        <v>538209.9</v>
      </c>
      <c r="R40" s="18" t="n">
        <v>538209.9</v>
      </c>
      <c r="S40" s="18" t="n">
        <v>538209.9</v>
      </c>
      <c r="T40" s="18" t="n">
        <v>538209.9</v>
      </c>
      <c r="U40" s="37" t="n">
        <v>538209.9</v>
      </c>
      <c r="V40" s="18" t="n">
        <v>538209.9</v>
      </c>
      <c r="W40" s="18" t="n">
        <v>554089.9300000001</v>
      </c>
      <c r="X40" s="18" t="n">
        <v>589256.1899999999</v>
      </c>
      <c r="Y40" s="18" t="n">
        <v>590490.2</v>
      </c>
      <c r="Z40" s="37" t="n">
        <v>590490.2</v>
      </c>
      <c r="AA40" s="18" t="n">
        <v>590490.2</v>
      </c>
      <c r="AB40" s="19" t="n">
        <v>592527.9300000001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기타자본</t>
        </is>
      </c>
      <c r="E41" s="18" t="n">
        <v>-5324.1</v>
      </c>
      <c r="F41" s="37" t="n">
        <v>-5324.1</v>
      </c>
      <c r="G41" s="18" t="n">
        <v>-6476.97</v>
      </c>
      <c r="H41" s="18" t="n">
        <v>-6532.66</v>
      </c>
      <c r="I41" s="18" t="n">
        <v>4724.61</v>
      </c>
      <c r="J41" s="18" t="n">
        <v>15781.38</v>
      </c>
      <c r="K41" s="37" t="n">
        <v>15781.38</v>
      </c>
      <c r="L41" s="18" t="n">
        <v>15765.47</v>
      </c>
      <c r="M41" s="18" t="n">
        <v>15770.54</v>
      </c>
      <c r="N41" s="18" t="n">
        <v>9355.559999999999</v>
      </c>
      <c r="O41" s="18" t="n">
        <v>9389.610000000001</v>
      </c>
      <c r="P41" s="37" t="n">
        <v>9389.610000000001</v>
      </c>
      <c r="Q41" s="18" t="n">
        <v>9425.620000000001</v>
      </c>
      <c r="R41" s="18" t="n">
        <v>9461.629999999999</v>
      </c>
      <c r="S41" s="18" t="n">
        <v>9497.65</v>
      </c>
      <c r="T41" s="18" t="n">
        <v>9533.66</v>
      </c>
      <c r="U41" s="37" t="n">
        <v>9533.66</v>
      </c>
      <c r="V41" s="18" t="n">
        <v>9569.68</v>
      </c>
      <c r="W41" s="18" t="n">
        <v>7025.8</v>
      </c>
      <c r="X41" s="18" t="n">
        <v>1036.82</v>
      </c>
      <c r="Y41" s="18" t="n">
        <v>917.23</v>
      </c>
      <c r="Z41" s="37" t="n">
        <v>917.23</v>
      </c>
      <c r="AA41" s="18" t="n">
        <v>926.24</v>
      </c>
      <c r="AB41" s="19" t="n">
        <v>-1111.5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기타포괄이익누계액</t>
        </is>
      </c>
      <c r="E42" s="18" t="n">
        <v>39992.78</v>
      </c>
      <c r="F42" s="37" t="n">
        <v>39992.78</v>
      </c>
      <c r="G42" s="18" t="n">
        <v>39992.78</v>
      </c>
      <c r="H42" s="18" t="n">
        <v>39992.78</v>
      </c>
      <c r="I42" s="18" t="n">
        <v>39992.78</v>
      </c>
      <c r="J42" s="18" t="n">
        <v>39992.78</v>
      </c>
      <c r="K42" s="37" t="n">
        <v>39992.78</v>
      </c>
      <c r="L42" s="18" t="n">
        <v>39992.78</v>
      </c>
      <c r="M42" s="18" t="n">
        <v>39992.78</v>
      </c>
      <c r="N42" s="18" t="n">
        <v>39992.78</v>
      </c>
      <c r="O42" s="18" t="n">
        <v>39992.78</v>
      </c>
      <c r="P42" s="37" t="n">
        <v>39992.78</v>
      </c>
      <c r="Q42" s="18" t="n">
        <v>39992.78</v>
      </c>
      <c r="R42" s="18" t="n">
        <v>39992.78</v>
      </c>
      <c r="S42" s="18" t="n">
        <v>39992.78</v>
      </c>
      <c r="T42" s="18" t="n">
        <v>39996.39</v>
      </c>
      <c r="U42" s="37" t="n">
        <v>39996.39</v>
      </c>
      <c r="V42" s="18" t="n">
        <v>39995.91</v>
      </c>
      <c r="W42" s="18" t="n">
        <v>39989.48</v>
      </c>
      <c r="X42" s="18" t="n">
        <v>39991.15</v>
      </c>
      <c r="Y42" s="18" t="n">
        <v>64101.29</v>
      </c>
      <c r="Z42" s="37" t="n">
        <v>64101.29</v>
      </c>
      <c r="AA42" s="18" t="n">
        <v>64103.95</v>
      </c>
      <c r="AB42" s="19" t="n">
        <v>64105.09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이익잉여금</t>
        </is>
      </c>
      <c r="E43" s="18" t="n">
        <v>-1217.74</v>
      </c>
      <c r="F43" s="37" t="n">
        <v>-1217.74</v>
      </c>
      <c r="G43" s="18" t="n">
        <v>9282.66</v>
      </c>
      <c r="H43" s="18" t="n">
        <v>18495.96</v>
      </c>
      <c r="I43" s="18" t="n">
        <v>22795.02</v>
      </c>
      <c r="J43" s="18" t="n">
        <v>22180.83</v>
      </c>
      <c r="K43" s="37" t="n">
        <v>22180.83</v>
      </c>
      <c r="L43" s="18" t="n">
        <v>42658.3</v>
      </c>
      <c r="M43" s="18" t="n">
        <v>64008.08</v>
      </c>
      <c r="N43" s="18" t="n">
        <v>69732.53</v>
      </c>
      <c r="O43" s="18" t="n">
        <v>77430.44</v>
      </c>
      <c r="P43" s="37" t="n">
        <v>77430.44</v>
      </c>
      <c r="Q43" s="18" t="n">
        <v>81544.77</v>
      </c>
      <c r="R43" s="18" t="n">
        <v>84338.03999999999</v>
      </c>
      <c r="S43" s="18" t="n">
        <v>93443.81</v>
      </c>
      <c r="T43" s="18" t="n">
        <v>91464.96000000001</v>
      </c>
      <c r="U43" s="37" t="n">
        <v>91464.96000000001</v>
      </c>
      <c r="V43" s="18" t="n">
        <v>95857.56</v>
      </c>
      <c r="W43" s="18" t="n">
        <v>104398.18</v>
      </c>
      <c r="X43" s="18" t="n">
        <v>115590.98</v>
      </c>
      <c r="Y43" s="18" t="n">
        <v>127796.63</v>
      </c>
      <c r="Z43" s="37" t="n">
        <v>127796.63</v>
      </c>
      <c r="AA43" s="18" t="n">
        <v>137652.48</v>
      </c>
      <c r="AB43" s="19" t="n">
        <v>151441.74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비지배주주지분</t>
        </is>
      </c>
      <c r="E44" s="18" t="n">
        <v>39661.64</v>
      </c>
      <c r="F44" s="37" t="n">
        <v>39661.64</v>
      </c>
      <c r="G44" s="18" t="n">
        <v>41231.69</v>
      </c>
      <c r="H44" s="18" t="n">
        <v>45128.9</v>
      </c>
      <c r="I44" s="18" t="n">
        <v>47332.89</v>
      </c>
      <c r="J44" s="18" t="n">
        <v>5185.19</v>
      </c>
      <c r="K44" s="37" t="n">
        <v>5185.19</v>
      </c>
      <c r="L44" s="18" t="n">
        <v>4216.97</v>
      </c>
      <c r="M44" s="18" t="n">
        <v>4355.52</v>
      </c>
      <c r="N44" s="18" t="n">
        <v>4366.44</v>
      </c>
      <c r="O44" s="18" t="n">
        <v>4221.46</v>
      </c>
      <c r="P44" s="37" t="n">
        <v>4221.46</v>
      </c>
      <c r="Q44" s="18" t="n">
        <v>4440.16</v>
      </c>
      <c r="R44" s="18" t="n">
        <v>4655.73</v>
      </c>
      <c r="S44" s="18" t="n">
        <v>4936.04</v>
      </c>
      <c r="T44" s="18" t="n">
        <v>4703</v>
      </c>
      <c r="U44" s="37" t="n">
        <v>4703</v>
      </c>
      <c r="V44" s="18" t="n">
        <v>4596.93</v>
      </c>
      <c r="W44" s="18" t="n">
        <v>4555.95</v>
      </c>
      <c r="X44" s="18" t="n">
        <v>0</v>
      </c>
      <c r="Y44" s="18" t="n">
        <v>0</v>
      </c>
      <c r="Z44" s="37" t="n">
        <v>0</v>
      </c>
      <c r="AB44" s="19" t="n">
        <v>0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자본총계</t>
        </is>
      </c>
      <c r="E45" s="18" t="n">
        <v>180080.02</v>
      </c>
      <c r="F45" s="37" t="n">
        <v>180080.02</v>
      </c>
      <c r="G45" s="18" t="n">
        <v>200363.29</v>
      </c>
      <c r="H45" s="18" t="n">
        <v>213418.12</v>
      </c>
      <c r="I45" s="18" t="n">
        <v>552700.63</v>
      </c>
      <c r="J45" s="18" t="n">
        <v>525957.5</v>
      </c>
      <c r="K45" s="37" t="n">
        <v>525957.5</v>
      </c>
      <c r="L45" s="18" t="n">
        <v>545450.83</v>
      </c>
      <c r="M45" s="18" t="n">
        <v>566944.24</v>
      </c>
      <c r="N45" s="18" t="n">
        <v>691254.99</v>
      </c>
      <c r="O45" s="18" t="n">
        <v>698841.96</v>
      </c>
      <c r="P45" s="37" t="n">
        <v>698841.96</v>
      </c>
      <c r="Q45" s="18" t="n">
        <v>703211.01</v>
      </c>
      <c r="R45" s="18" t="n">
        <v>706255.86</v>
      </c>
      <c r="S45" s="18" t="n">
        <v>715677.96</v>
      </c>
      <c r="T45" s="18" t="n">
        <v>713505.7</v>
      </c>
      <c r="U45" s="37" t="n">
        <v>713505.7</v>
      </c>
      <c r="V45" s="18" t="n">
        <v>717827.76</v>
      </c>
      <c r="W45" s="18" t="n">
        <v>740149.52</v>
      </c>
      <c r="X45" s="18" t="n">
        <v>777114.22</v>
      </c>
      <c r="Y45" s="18" t="n">
        <v>814544.41</v>
      </c>
      <c r="Z45" s="37" t="n">
        <v>814544.41</v>
      </c>
      <c r="AA45" s="18" t="n">
        <v>824411.9300000001</v>
      </c>
      <c r="AB45" s="19" t="n">
        <v>838202.33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부채와자본총계</t>
        </is>
      </c>
      <c r="E46" s="18" t="n">
        <v>739392.1899999999</v>
      </c>
      <c r="F46" s="37" t="n">
        <v>739392.1899999999</v>
      </c>
      <c r="G46" s="18" t="n">
        <v>788045.74</v>
      </c>
      <c r="H46" s="18" t="n">
        <v>817798.51</v>
      </c>
      <c r="I46" s="18" t="n">
        <v>1264867.15</v>
      </c>
      <c r="J46" s="18" t="n">
        <v>1220003.93</v>
      </c>
      <c r="K46" s="37" t="n">
        <v>1220003.93</v>
      </c>
      <c r="L46" s="18" t="n">
        <v>1337027.3</v>
      </c>
      <c r="M46" s="18" t="n">
        <v>1400577.39</v>
      </c>
      <c r="N46" s="18" t="n">
        <v>1442386.91</v>
      </c>
      <c r="O46" s="18" t="n">
        <v>1431906.67</v>
      </c>
      <c r="P46" s="37" t="n">
        <v>1431906.67</v>
      </c>
      <c r="Q46" s="18" t="n">
        <v>1506256.86</v>
      </c>
      <c r="R46" s="18" t="n">
        <v>1447979.73</v>
      </c>
      <c r="S46" s="18" t="n">
        <v>1376905.9</v>
      </c>
      <c r="T46" s="18" t="n">
        <v>1421941.57</v>
      </c>
      <c r="U46" s="37" t="n">
        <v>1421941.57</v>
      </c>
      <c r="V46" s="18" t="n">
        <v>1392171.7</v>
      </c>
      <c r="W46" s="18" t="n">
        <v>1316192.53</v>
      </c>
      <c r="X46" s="18" t="n">
        <v>1158732.43</v>
      </c>
      <c r="Y46" s="18" t="n">
        <v>1148241.65</v>
      </c>
      <c r="Z46" s="37" t="n">
        <v>1148241.65</v>
      </c>
      <c r="AA46" s="18" t="n">
        <v>1156055.71</v>
      </c>
      <c r="AB46" s="19" t="n">
        <v>1209778.32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총차입금</t>
        </is>
      </c>
      <c r="E47" s="18" t="n">
        <v>283348.9</v>
      </c>
      <c r="F47" s="37" t="n">
        <v>283348.9</v>
      </c>
      <c r="G47" s="18" t="n">
        <v>262162.17</v>
      </c>
      <c r="H47" s="18" t="n">
        <v>253413.41</v>
      </c>
      <c r="I47" s="18" t="n">
        <v>381663.31</v>
      </c>
      <c r="J47" s="18" t="n">
        <v>221592.52</v>
      </c>
      <c r="K47" s="37" t="n">
        <v>221592.52</v>
      </c>
      <c r="L47" s="18" t="n">
        <v>224061.26</v>
      </c>
      <c r="M47" s="18" t="n">
        <v>283141.11</v>
      </c>
      <c r="N47" s="18" t="n">
        <v>190822.97</v>
      </c>
      <c r="O47" s="18" t="n">
        <v>192062.2</v>
      </c>
      <c r="P47" s="37" t="n">
        <v>192062.2</v>
      </c>
      <c r="Q47" s="18" t="n">
        <v>233454.69</v>
      </c>
      <c r="R47" s="18" t="n">
        <v>200576.89</v>
      </c>
      <c r="S47" s="18" t="n">
        <v>190017.68</v>
      </c>
      <c r="T47" s="18" t="n">
        <v>211335.35</v>
      </c>
      <c r="U47" s="37" t="n">
        <v>211335.35</v>
      </c>
      <c r="V47" s="18" t="n">
        <v>253089.67</v>
      </c>
      <c r="W47" s="18" t="n">
        <v>239895</v>
      </c>
      <c r="X47" s="18" t="n">
        <v>209461.83</v>
      </c>
      <c r="Y47" s="18" t="n">
        <v>207304.23</v>
      </c>
      <c r="Z47" s="37" t="n">
        <v>207304.23</v>
      </c>
      <c r="AA47" s="18" t="n">
        <v>194238.63</v>
      </c>
      <c r="AB47" s="19" t="n">
        <v>215036.03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순차입금</t>
        </is>
      </c>
      <c r="E48" s="18" t="n">
        <v>186876.53</v>
      </c>
      <c r="F48" s="37" t="n">
        <v>186876.53</v>
      </c>
      <c r="G48" s="18" t="n">
        <v>192719.26</v>
      </c>
      <c r="H48" s="18" t="n">
        <v>195379.88</v>
      </c>
      <c r="I48" s="18" t="n">
        <v>249576.31</v>
      </c>
      <c r="J48" s="18" t="n">
        <v>135382.96</v>
      </c>
      <c r="K48" s="37" t="n">
        <v>135382.96</v>
      </c>
      <c r="L48" s="18" t="n">
        <v>135428.07</v>
      </c>
      <c r="M48" s="18" t="n">
        <v>204906.96</v>
      </c>
      <c r="N48" s="18" t="n">
        <v>115333.66</v>
      </c>
      <c r="O48" s="18" t="n">
        <v>147284.34</v>
      </c>
      <c r="P48" s="37" t="n">
        <v>147284.34</v>
      </c>
      <c r="Q48" s="18" t="n">
        <v>155361.98</v>
      </c>
      <c r="R48" s="18" t="n">
        <v>113383.65</v>
      </c>
      <c r="S48" s="18" t="n">
        <v>117188.27</v>
      </c>
      <c r="T48" s="18" t="n">
        <v>121777.83</v>
      </c>
      <c r="U48" s="37" t="n">
        <v>121777.83</v>
      </c>
      <c r="V48" s="18" t="n">
        <v>106216.32</v>
      </c>
      <c r="W48" s="18" t="n">
        <v>148106.07</v>
      </c>
      <c r="X48" s="18" t="n">
        <v>151252.69</v>
      </c>
      <c r="Y48" s="18" t="n">
        <v>176984.61</v>
      </c>
      <c r="Z48" s="37" t="n">
        <v>176984.61</v>
      </c>
      <c r="AA48" s="18" t="n">
        <v>166408.83</v>
      </c>
      <c r="AB48" s="19" t="n">
        <v>170190.21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이자발생자산</t>
        </is>
      </c>
      <c r="E49" s="18" t="n">
        <v>102195.23</v>
      </c>
      <c r="F49" s="37" t="n">
        <v>102195.23</v>
      </c>
      <c r="G49" s="18" t="n">
        <v>76159.28999999999</v>
      </c>
      <c r="H49" s="18" t="n">
        <v>69951.82000000001</v>
      </c>
      <c r="I49" s="18" t="n">
        <v>147665.36</v>
      </c>
      <c r="J49" s="18" t="n">
        <v>165228.76</v>
      </c>
      <c r="K49" s="37" t="n">
        <v>165228.76</v>
      </c>
      <c r="L49" s="18" t="n">
        <v>174979.61</v>
      </c>
      <c r="M49" s="18" t="n">
        <v>130524.15</v>
      </c>
      <c r="N49" s="18" t="n">
        <v>127795.51</v>
      </c>
      <c r="O49" s="18" t="n">
        <v>58559.75</v>
      </c>
      <c r="P49" s="37" t="n">
        <v>58559.75</v>
      </c>
      <c r="Q49" s="18" t="n">
        <v>117481.12</v>
      </c>
      <c r="R49" s="18" t="n">
        <v>101029.55</v>
      </c>
      <c r="S49" s="18" t="n">
        <v>88870.75</v>
      </c>
      <c r="T49" s="18" t="n">
        <v>103474.48</v>
      </c>
      <c r="U49" s="37" t="n">
        <v>103474.48</v>
      </c>
      <c r="V49" s="18" t="n">
        <v>160788.28</v>
      </c>
      <c r="W49" s="18" t="n">
        <v>105640.15</v>
      </c>
      <c r="X49" s="18" t="n">
        <v>72120.24000000001</v>
      </c>
      <c r="Y49" s="18" t="n">
        <v>51463.75</v>
      </c>
      <c r="Z49" s="37" t="n">
        <v>51463.75</v>
      </c>
      <c r="AA49" s="18" t="n">
        <v>52686.96</v>
      </c>
      <c r="AB49" s="19" t="n">
        <v>71346.8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당기법인세자산(선급법인세)</t>
        </is>
      </c>
      <c r="F50" s="9" t="n"/>
      <c r="G50" s="18" t="n">
        <v>0.39</v>
      </c>
      <c r="H50" s="18" t="n">
        <v>0.83</v>
      </c>
      <c r="K50" s="9" t="n"/>
      <c r="L50" s="18" t="n">
        <v>5.11</v>
      </c>
      <c r="M50" s="18" t="n">
        <v>17.07</v>
      </c>
      <c r="N50" s="18" t="n">
        <v>24.38</v>
      </c>
      <c r="P50" s="9" t="n"/>
      <c r="Q50" s="18" t="n">
        <v>176.27</v>
      </c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이연법인세부채</t>
        </is>
      </c>
      <c r="F51" s="9" t="n"/>
      <c r="I51" s="18" t="n">
        <v>301.42</v>
      </c>
      <c r="J51" s="18" t="n">
        <v>2532.2</v>
      </c>
      <c r="K51" s="37" t="n">
        <v>2532.2</v>
      </c>
      <c r="L51" s="18" t="n">
        <v>2611.53</v>
      </c>
      <c r="M51" s="18" t="n">
        <v>2749.05</v>
      </c>
      <c r="N51" s="18" t="n">
        <v>2974.07</v>
      </c>
      <c r="P51" s="9" t="n"/>
      <c r="T51" s="18" t="n">
        <v>0</v>
      </c>
      <c r="U51" s="37" t="n">
        <v>0</v>
      </c>
      <c r="Y51" s="18" t="n">
        <v>3655.27</v>
      </c>
      <c r="Z51" s="37" t="n">
        <v>3655.27</v>
      </c>
      <c r="AA51" s="18" t="n">
        <v>4915.37</v>
      </c>
      <c r="AB51" s="19" t="n">
        <v>4971.19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기타비유동금융부채</t>
        </is>
      </c>
      <c r="F52" s="9" t="n"/>
      <c r="K52" s="9" t="n"/>
      <c r="P52" s="9" t="n"/>
      <c r="Q52" s="18" t="n">
        <v>148.37</v>
      </c>
      <c r="R52" s="18" t="n">
        <v>5110.26</v>
      </c>
      <c r="S52" s="18" t="n">
        <v>132.94</v>
      </c>
      <c r="T52" s="18" t="n">
        <v>14909.38</v>
      </c>
      <c r="U52" s="37" t="n">
        <v>14909.38</v>
      </c>
      <c r="V52" s="18" t="n">
        <v>12471.2</v>
      </c>
      <c r="W52" s="18" t="n">
        <v>1792.67</v>
      </c>
      <c r="X52" s="18" t="n">
        <v>1820.97</v>
      </c>
      <c r="Y52" s="18" t="n">
        <v>2.82</v>
      </c>
      <c r="Z52" s="37" t="n">
        <v>2.82</v>
      </c>
      <c r="AA52" s="18" t="n">
        <v>0</v>
      </c>
      <c r="AB52" s="19" t="n">
        <v>0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유동확정계약자산</t>
        </is>
      </c>
      <c r="F53" s="9" t="n"/>
      <c r="K53" s="9" t="n"/>
      <c r="P53" s="9" t="n"/>
      <c r="R53" s="18" t="n">
        <v>1819.54</v>
      </c>
      <c r="T53" s="18" t="n">
        <v>18669.03</v>
      </c>
      <c r="U53" s="37" t="n">
        <v>18669.03</v>
      </c>
      <c r="V53" s="18" t="n">
        <v>16793.99</v>
      </c>
      <c r="W53" s="18" t="n">
        <v>897.16</v>
      </c>
      <c r="X53" s="18" t="n">
        <v>5709.78</v>
      </c>
      <c r="Y53" s="18" t="n">
        <v>7324.91</v>
      </c>
      <c r="Z53" s="37" t="n">
        <v>7324.91</v>
      </c>
      <c r="AA53" s="18" t="n">
        <v>5754.8</v>
      </c>
      <c r="AB53" s="19" t="n">
        <v>4820.94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단기금융자산</t>
        </is>
      </c>
      <c r="F54" s="9" t="n"/>
      <c r="K54" s="9" t="n"/>
      <c r="P54" s="9" t="n"/>
      <c r="R54" s="18" t="n">
        <v>1819.54</v>
      </c>
      <c r="T54" s="18" t="n">
        <v>18669.03</v>
      </c>
      <c r="U54" s="37" t="n">
        <v>18669.03</v>
      </c>
      <c r="V54" s="18" t="n">
        <v>16793.99</v>
      </c>
      <c r="W54" s="18" t="n">
        <v>897.16</v>
      </c>
      <c r="X54" s="18" t="n">
        <v>5709.78</v>
      </c>
      <c r="Y54" s="18" t="n">
        <v>7324.91</v>
      </c>
      <c r="Z54" s="37" t="n">
        <v>7324.91</v>
      </c>
      <c r="AA54" s="18" t="n">
        <v>5754.8</v>
      </c>
      <c r="AB54" s="19" t="n">
        <v>4820.94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비유동확정계약자산</t>
        </is>
      </c>
      <c r="F55" s="9" t="n"/>
      <c r="K55" s="9" t="n"/>
      <c r="P55" s="9" t="n"/>
      <c r="R55" s="18" t="n">
        <v>2057.04</v>
      </c>
      <c r="T55" s="18" t="n">
        <v>11836.56</v>
      </c>
      <c r="U55" s="37" t="n">
        <v>11836.56</v>
      </c>
      <c r="V55" s="18" t="n">
        <v>10460.26</v>
      </c>
      <c r="W55" s="18" t="n">
        <v>375.94</v>
      </c>
      <c r="X55" s="18" t="n">
        <v>1347.93</v>
      </c>
      <c r="Y55" s="18" t="n">
        <v>0</v>
      </c>
      <c r="Z55" s="37" t="n">
        <v>0</v>
      </c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단기파생상품부채</t>
        </is>
      </c>
      <c r="F56" s="9" t="n"/>
      <c r="K56" s="9" t="n"/>
      <c r="P56" s="9" t="n"/>
      <c r="S56" s="18" t="n">
        <v>5723.09</v>
      </c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장기금융부채(face)</t>
        </is>
      </c>
      <c r="F57" s="9" t="n"/>
      <c r="K57" s="9" t="n"/>
      <c r="P57" s="9" t="n"/>
      <c r="S57" s="18" t="n">
        <v>37643.83</v>
      </c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장기파생상품부채</t>
        </is>
      </c>
      <c r="F58" s="9" t="n"/>
      <c r="K58" s="9" t="n"/>
      <c r="P58" s="9" t="n"/>
      <c r="S58" s="18" t="n">
        <v>5157.38</v>
      </c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단기충당부채</t>
        </is>
      </c>
      <c r="F59" s="9" t="n"/>
      <c r="K59" s="9" t="n"/>
      <c r="P59" s="9" t="n"/>
      <c r="T59" s="18" t="n">
        <v>4255.35</v>
      </c>
      <c r="U59" s="37" t="n">
        <v>4255.35</v>
      </c>
      <c r="V59" s="18" t="n">
        <v>2868.07</v>
      </c>
      <c r="W59" s="18" t="n">
        <v>8605.209999999999</v>
      </c>
      <c r="X59" s="18" t="n">
        <v>4659.03</v>
      </c>
      <c r="Y59" s="18" t="n">
        <v>6046.17</v>
      </c>
      <c r="Z59" s="37" t="n">
        <v>6046.17</v>
      </c>
      <c r="AA59" s="18" t="n">
        <v>7101.6</v>
      </c>
      <c r="AB59" s="19" t="n">
        <v>6456.51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매출액(수익)</t>
        </is>
      </c>
      <c r="E60" s="18" t="n">
        <v>151916.9</v>
      </c>
      <c r="F60" s="9" t="n"/>
      <c r="G60" s="18" t="n">
        <v>170984.04</v>
      </c>
      <c r="H60" s="18" t="n">
        <v>169561.48</v>
      </c>
      <c r="I60" s="18" t="n">
        <v>184751.73</v>
      </c>
      <c r="J60" s="18" t="n">
        <v>166532.89</v>
      </c>
      <c r="K60" s="37" t="n">
        <v>691830.14</v>
      </c>
      <c r="L60" s="18" t="n">
        <v>219699.53</v>
      </c>
      <c r="M60" s="18" t="n">
        <v>257941.56</v>
      </c>
      <c r="N60" s="18" t="n">
        <v>236996.97</v>
      </c>
      <c r="O60" s="18" t="n">
        <v>211197.62</v>
      </c>
      <c r="P60" s="37" t="n">
        <v>925835.6800000001</v>
      </c>
      <c r="Q60" s="18" t="n">
        <v>127081.52</v>
      </c>
      <c r="R60" s="18" t="n">
        <v>173356.96</v>
      </c>
      <c r="S60" s="18" t="n">
        <v>199182.92</v>
      </c>
      <c r="T60" s="18" t="n">
        <v>162994.32</v>
      </c>
      <c r="U60" s="37" t="n">
        <v>662615.72</v>
      </c>
      <c r="V60" s="18" t="n">
        <v>257135.52</v>
      </c>
      <c r="W60" s="18" t="n">
        <v>240624.81</v>
      </c>
      <c r="X60" s="18" t="n">
        <v>293156.09</v>
      </c>
      <c r="Y60" s="18" t="n">
        <v>174472.01</v>
      </c>
      <c r="Z60" s="37" t="n">
        <v>965388.4300000001</v>
      </c>
      <c r="AA60" s="18" t="n">
        <v>174656.15</v>
      </c>
      <c r="AB60" s="19" t="n">
        <v>170484.46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매출원가</t>
        </is>
      </c>
      <c r="E61" s="18" t="n">
        <v>141652.26</v>
      </c>
      <c r="F61" s="9" t="n"/>
      <c r="G61" s="18" t="n">
        <v>149614.66</v>
      </c>
      <c r="H61" s="18" t="n">
        <v>144299.99</v>
      </c>
      <c r="I61" s="18" t="n">
        <v>148983.37</v>
      </c>
      <c r="J61" s="18" t="n">
        <v>147551.86</v>
      </c>
      <c r="K61" s="37" t="n">
        <v>590449.88</v>
      </c>
      <c r="L61" s="18" t="n">
        <v>195123.07</v>
      </c>
      <c r="M61" s="18" t="n">
        <v>220783.18</v>
      </c>
      <c r="N61" s="18" t="n">
        <v>214312.51</v>
      </c>
      <c r="O61" s="18" t="n">
        <v>190605.48</v>
      </c>
      <c r="P61" s="37" t="n">
        <v>820824.24</v>
      </c>
      <c r="Q61" s="18" t="n">
        <v>110733.13</v>
      </c>
      <c r="R61" s="18" t="n">
        <v>149729.16</v>
      </c>
      <c r="S61" s="18" t="n">
        <v>176856.06</v>
      </c>
      <c r="T61" s="18" t="n">
        <v>152487.9</v>
      </c>
      <c r="U61" s="37" t="n">
        <v>589806.25</v>
      </c>
      <c r="V61" s="18" t="n">
        <v>237978.81</v>
      </c>
      <c r="W61" s="18" t="n">
        <v>217742.15</v>
      </c>
      <c r="X61" s="18" t="n">
        <v>266040.14</v>
      </c>
      <c r="Y61" s="18" t="n">
        <v>152071.59</v>
      </c>
      <c r="Z61" s="37" t="n">
        <v>873832.6899999999</v>
      </c>
      <c r="AA61" s="18" t="n">
        <v>150800.97</v>
      </c>
      <c r="AB61" s="19" t="n">
        <v>143965.56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매출총이익</t>
        </is>
      </c>
      <c r="E62" s="18" t="n">
        <v>10264.64</v>
      </c>
      <c r="F62" s="9" t="n"/>
      <c r="G62" s="18" t="n">
        <v>21369.38</v>
      </c>
      <c r="H62" s="18" t="n">
        <v>25261.49</v>
      </c>
      <c r="I62" s="18" t="n">
        <v>35768.36</v>
      </c>
      <c r="J62" s="18" t="n">
        <v>18981.03</v>
      </c>
      <c r="K62" s="37" t="n">
        <v>101380.26</v>
      </c>
      <c r="L62" s="18" t="n">
        <v>24576.46</v>
      </c>
      <c r="M62" s="18" t="n">
        <v>37158.38</v>
      </c>
      <c r="N62" s="18" t="n">
        <v>22684.45</v>
      </c>
      <c r="O62" s="18" t="n">
        <v>20592.13</v>
      </c>
      <c r="P62" s="37" t="n">
        <v>105011.42</v>
      </c>
      <c r="Q62" s="18" t="n">
        <v>16348.39</v>
      </c>
      <c r="R62" s="18" t="n">
        <v>23627.81</v>
      </c>
      <c r="S62" s="18" t="n">
        <v>22326.86</v>
      </c>
      <c r="T62" s="18" t="n">
        <v>10506.41</v>
      </c>
      <c r="U62" s="37" t="n">
        <v>72809.47</v>
      </c>
      <c r="V62" s="18" t="n">
        <v>19156.71</v>
      </c>
      <c r="W62" s="18" t="n">
        <v>22882.66</v>
      </c>
      <c r="X62" s="18" t="n">
        <v>27115.94</v>
      </c>
      <c r="Y62" s="18" t="n">
        <v>22400.42</v>
      </c>
      <c r="Z62" s="37" t="n">
        <v>91555.73</v>
      </c>
      <c r="AA62" s="18" t="n">
        <v>23855.18</v>
      </c>
      <c r="AB62" s="19" t="n">
        <v>26518.9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판관비</t>
        </is>
      </c>
      <c r="E63" s="18" t="n">
        <v>4588.43</v>
      </c>
      <c r="F63" s="9" t="n"/>
      <c r="G63" s="18" t="n">
        <v>4302.26</v>
      </c>
      <c r="H63" s="18" t="n">
        <v>4842.87</v>
      </c>
      <c r="I63" s="18" t="n">
        <v>13824.91</v>
      </c>
      <c r="J63" s="18" t="n">
        <v>6469.43</v>
      </c>
      <c r="K63" s="37" t="n">
        <v>29439.47</v>
      </c>
      <c r="L63" s="18" t="n">
        <v>6003.9</v>
      </c>
      <c r="M63" s="18" t="n">
        <v>7047.59</v>
      </c>
      <c r="N63" s="18" t="n">
        <v>6304.28</v>
      </c>
      <c r="O63" s="18" t="n">
        <v>10051.35</v>
      </c>
      <c r="P63" s="37" t="n">
        <v>29407.12</v>
      </c>
      <c r="Q63" s="18" t="n">
        <v>7403.27</v>
      </c>
      <c r="R63" s="18" t="n">
        <v>8646.48</v>
      </c>
      <c r="S63" s="18" t="n">
        <v>7130.72</v>
      </c>
      <c r="T63" s="18" t="n">
        <v>7831.72</v>
      </c>
      <c r="U63" s="37" t="n">
        <v>31012.19</v>
      </c>
      <c r="V63" s="18" t="n">
        <v>8115.88</v>
      </c>
      <c r="W63" s="18" t="n">
        <v>7331.84</v>
      </c>
      <c r="X63" s="18" t="n">
        <v>7862.34</v>
      </c>
      <c r="Y63" s="18" t="n">
        <v>8736.17</v>
      </c>
      <c r="Z63" s="37" t="n">
        <v>32046.23</v>
      </c>
      <c r="AA63" s="18" t="n">
        <v>6997.18</v>
      </c>
      <c r="AB63" s="19" t="n">
        <v>7174.62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영업이익</t>
        </is>
      </c>
      <c r="E64" s="18" t="n">
        <v>5676.2</v>
      </c>
      <c r="F64" s="9" t="n"/>
      <c r="G64" s="18" t="n">
        <v>17067.12</v>
      </c>
      <c r="H64" s="18" t="n">
        <v>20418.61</v>
      </c>
      <c r="I64" s="18" t="n">
        <v>21943.45</v>
      </c>
      <c r="J64" s="18" t="n">
        <v>12511.6</v>
      </c>
      <c r="K64" s="37" t="n">
        <v>71940.78</v>
      </c>
      <c r="L64" s="18" t="n">
        <v>18572.56</v>
      </c>
      <c r="M64" s="18" t="n">
        <v>30110.79</v>
      </c>
      <c r="N64" s="18" t="n">
        <v>16380.17</v>
      </c>
      <c r="O64" s="18" t="n">
        <v>10540.78</v>
      </c>
      <c r="P64" s="37" t="n">
        <v>75604.3</v>
      </c>
      <c r="Q64" s="18" t="n">
        <v>8945.120000000001</v>
      </c>
      <c r="R64" s="18" t="n">
        <v>14981.32</v>
      </c>
      <c r="S64" s="18" t="n">
        <v>15196.14</v>
      </c>
      <c r="T64" s="18" t="n">
        <v>2674.69</v>
      </c>
      <c r="U64" s="37" t="n">
        <v>41797.27</v>
      </c>
      <c r="V64" s="18" t="n">
        <v>11040.83</v>
      </c>
      <c r="W64" s="18" t="n">
        <v>15550.81</v>
      </c>
      <c r="X64" s="18" t="n">
        <v>19253.6</v>
      </c>
      <c r="Y64" s="18" t="n">
        <v>13664.24</v>
      </c>
      <c r="Z64" s="37" t="n">
        <v>59509.48</v>
      </c>
      <c r="AA64" s="18" t="n">
        <v>16858</v>
      </c>
      <c r="AB64" s="19" t="n">
        <v>19344.28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기타영업외수익</t>
        </is>
      </c>
      <c r="E65" s="18" t="n">
        <v>-1982.39</v>
      </c>
      <c r="F65" s="9" t="n"/>
      <c r="G65" s="18" t="n">
        <v>2048.08</v>
      </c>
      <c r="H65" s="18" t="n">
        <v>3977.75</v>
      </c>
      <c r="I65" s="18" t="n">
        <v>2792.89</v>
      </c>
      <c r="J65" s="18" t="n">
        <v>-2397.41</v>
      </c>
      <c r="K65" s="37" t="n">
        <v>6421.31</v>
      </c>
      <c r="L65" s="18" t="n">
        <v>3889.21</v>
      </c>
      <c r="M65" s="18" t="n">
        <v>461.53</v>
      </c>
      <c r="N65" s="18" t="n">
        <v>997.5</v>
      </c>
      <c r="O65" s="18" t="n">
        <v>131.55</v>
      </c>
      <c r="P65" s="37" t="n">
        <v>5479.79</v>
      </c>
      <c r="Q65" s="18" t="n">
        <v>991.03</v>
      </c>
      <c r="R65" s="18" t="n">
        <v>4795.98</v>
      </c>
      <c r="S65" s="18" t="n">
        <v>-3725.25</v>
      </c>
      <c r="T65" s="18" t="n">
        <v>32623.98</v>
      </c>
      <c r="U65" s="37" t="n">
        <v>34685.74</v>
      </c>
      <c r="V65" s="18" t="n">
        <v>1593.22</v>
      </c>
      <c r="W65" s="18" t="n">
        <v>143.84</v>
      </c>
      <c r="X65" s="18" t="n">
        <v>2014.11</v>
      </c>
      <c r="Y65" s="18" t="n">
        <v>3097.51</v>
      </c>
      <c r="Z65" s="37" t="n">
        <v>6848.68</v>
      </c>
      <c r="AA65" s="18" t="n">
        <v>5906.98</v>
      </c>
      <c r="AB65" s="19" t="n">
        <v>2436.74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기타영업외비용</t>
        </is>
      </c>
      <c r="E66" s="18" t="n">
        <v>94171.72</v>
      </c>
      <c r="F66" s="9" t="n"/>
      <c r="G66" s="18" t="n">
        <v>559.4</v>
      </c>
      <c r="H66" s="18" t="n">
        <v>954.86</v>
      </c>
      <c r="I66" s="18" t="n">
        <v>2135.95</v>
      </c>
      <c r="J66" s="18" t="n">
        <v>5950.42</v>
      </c>
      <c r="K66" s="37" t="n">
        <v>9600.629999999999</v>
      </c>
      <c r="L66" s="18" t="n">
        <v>957.99</v>
      </c>
      <c r="M66" s="18" t="n">
        <v>788.1900000000001</v>
      </c>
      <c r="N66" s="18" t="n">
        <v>2334.7</v>
      </c>
      <c r="O66" s="18" t="n">
        <v>320.23</v>
      </c>
      <c r="P66" s="37" t="n">
        <v>4401.11</v>
      </c>
      <c r="Q66" s="18" t="n">
        <v>270.9</v>
      </c>
      <c r="R66" s="18" t="n">
        <v>104.15</v>
      </c>
      <c r="S66" s="18" t="n">
        <v>11067.2</v>
      </c>
      <c r="T66" s="18" t="n">
        <v>-6777.59</v>
      </c>
      <c r="U66" s="37" t="n">
        <v>4664.66</v>
      </c>
      <c r="V66" s="18" t="n">
        <v>265.05</v>
      </c>
      <c r="W66" s="18" t="n">
        <v>23112.98</v>
      </c>
      <c r="X66" s="18" t="n">
        <v>-5542.56</v>
      </c>
      <c r="Y66" s="18" t="n">
        <v>-2183</v>
      </c>
      <c r="Z66" s="37" t="n">
        <v>15652.47</v>
      </c>
      <c r="AA66" s="18" t="n">
        <v>734.25</v>
      </c>
      <c r="AB66" s="19" t="n">
        <v>1439.68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금융수익</t>
        </is>
      </c>
      <c r="E67" s="18" t="n">
        <v>1825.17</v>
      </c>
      <c r="F67" s="9" t="n"/>
      <c r="G67" s="18" t="n">
        <v>647.0700000000001</v>
      </c>
      <c r="H67" s="18" t="n">
        <v>489.27</v>
      </c>
      <c r="I67" s="18" t="n">
        <v>2317.94</v>
      </c>
      <c r="J67" s="18" t="n">
        <v>3911.31</v>
      </c>
      <c r="K67" s="37" t="n">
        <v>7365.59</v>
      </c>
      <c r="L67" s="18" t="n">
        <v>2818.94</v>
      </c>
      <c r="M67" s="18" t="n">
        <v>6445.47</v>
      </c>
      <c r="N67" s="18" t="n">
        <v>2389.24</v>
      </c>
      <c r="O67" s="18" t="n">
        <v>3986.4</v>
      </c>
      <c r="P67" s="37" t="n">
        <v>15640.05</v>
      </c>
      <c r="Q67" s="18" t="n">
        <v>2020.78</v>
      </c>
      <c r="R67" s="18" t="n">
        <v>3330.72</v>
      </c>
      <c r="S67" s="18" t="n">
        <v>6844.19</v>
      </c>
      <c r="T67" s="18" t="n">
        <v>-2826.1</v>
      </c>
      <c r="U67" s="37" t="n">
        <v>9369.59</v>
      </c>
      <c r="V67" s="18" t="n">
        <v>874.47</v>
      </c>
      <c r="W67" s="18" t="n">
        <v>25180.09</v>
      </c>
      <c r="X67" s="18" t="n">
        <v>-7240.05</v>
      </c>
      <c r="Y67" s="18" t="n">
        <v>-4341.61</v>
      </c>
      <c r="Z67" s="37" t="n">
        <v>14472.9</v>
      </c>
      <c r="AA67" s="18" t="n">
        <v>4360.43</v>
      </c>
      <c r="AB67" s="19" t="n">
        <v>2235.5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금융비용</t>
        </is>
      </c>
      <c r="E68" s="18" t="n">
        <v>6393.29</v>
      </c>
      <c r="F68" s="9" t="n"/>
      <c r="G68" s="18" t="n">
        <v>6772.63</v>
      </c>
      <c r="H68" s="18" t="n">
        <v>9834.790000000001</v>
      </c>
      <c r="I68" s="18" t="n">
        <v>14413.68</v>
      </c>
      <c r="J68" s="18" t="n">
        <v>10309.72</v>
      </c>
      <c r="K68" s="37" t="n">
        <v>41330.82</v>
      </c>
      <c r="L68" s="18" t="n">
        <v>9320.040000000001</v>
      </c>
      <c r="M68" s="18" t="n">
        <v>9000.030000000001</v>
      </c>
      <c r="N68" s="18" t="n">
        <v>7224.79</v>
      </c>
      <c r="O68" s="18" t="n">
        <v>3679.25</v>
      </c>
      <c r="P68" s="37" t="n">
        <v>29224.11</v>
      </c>
      <c r="Q68" s="18" t="n">
        <v>7055.56</v>
      </c>
      <c r="R68" s="18" t="n">
        <v>19617.11</v>
      </c>
      <c r="S68" s="18" t="n">
        <v>-2255.95</v>
      </c>
      <c r="T68" s="18" t="n">
        <v>39122.9</v>
      </c>
      <c r="U68" s="37" t="n">
        <v>63539.62</v>
      </c>
      <c r="V68" s="18" t="n">
        <v>7005.64</v>
      </c>
      <c r="W68" s="18" t="n">
        <v>6043.01</v>
      </c>
      <c r="X68" s="18" t="n">
        <v>4351.29</v>
      </c>
      <c r="Y68" s="18" t="n">
        <v>1843.42</v>
      </c>
      <c r="Z68" s="37" t="n">
        <v>19243.36</v>
      </c>
      <c r="AA68" s="18" t="n">
        <v>12474.26</v>
      </c>
      <c r="AB68" s="19" t="n">
        <v>6465.47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법인세비용차감전계속사업이익</t>
        </is>
      </c>
      <c r="E69" s="18" t="n">
        <v>-95046.03</v>
      </c>
      <c r="F69" s="9" t="n"/>
      <c r="G69" s="18" t="n">
        <v>12430.24</v>
      </c>
      <c r="H69" s="18" t="n">
        <v>14095.99</v>
      </c>
      <c r="I69" s="18" t="n">
        <v>10504.65</v>
      </c>
      <c r="J69" s="18" t="n">
        <v>-2234.65</v>
      </c>
      <c r="K69" s="37" t="n">
        <v>34796.23</v>
      </c>
      <c r="L69" s="18" t="n">
        <v>15002.67</v>
      </c>
      <c r="M69" s="18" t="n">
        <v>27229.57</v>
      </c>
      <c r="N69" s="18" t="n">
        <v>10207.42</v>
      </c>
      <c r="O69" s="18" t="n">
        <v>10659.25</v>
      </c>
      <c r="P69" s="37" t="n">
        <v>63098.91</v>
      </c>
      <c r="Q69" s="18" t="n">
        <v>4630.48</v>
      </c>
      <c r="R69" s="18" t="n">
        <v>3386.76</v>
      </c>
      <c r="S69" s="18" t="n">
        <v>9503.84</v>
      </c>
      <c r="T69" s="18" t="n">
        <v>127.27</v>
      </c>
      <c r="U69" s="37" t="n">
        <v>17648.35</v>
      </c>
      <c r="V69" s="18" t="n">
        <v>6237.82</v>
      </c>
      <c r="W69" s="18" t="n">
        <v>11718.75</v>
      </c>
      <c r="X69" s="18" t="n">
        <v>15218.93</v>
      </c>
      <c r="Y69" s="18" t="n">
        <v>12759.71</v>
      </c>
      <c r="Z69" s="37" t="n">
        <v>45935.21</v>
      </c>
      <c r="AA69" s="18" t="n">
        <v>13916.91</v>
      </c>
      <c r="AB69" s="19" t="n">
        <v>16111.36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</t>
        </is>
      </c>
      <c r="E70" s="18" t="n">
        <v>4318.98</v>
      </c>
      <c r="F70" s="9" t="n"/>
      <c r="G70" s="18" t="n">
        <v>1915.26</v>
      </c>
      <c r="H70" s="18" t="n">
        <v>891.77</v>
      </c>
      <c r="I70" s="18" t="n">
        <v>4095.3</v>
      </c>
      <c r="J70" s="18" t="n">
        <v>-120.01</v>
      </c>
      <c r="K70" s="37" t="n">
        <v>6782.32</v>
      </c>
      <c r="L70" s="18" t="n">
        <v>-5575.53</v>
      </c>
      <c r="M70" s="18" t="n">
        <v>5773.17</v>
      </c>
      <c r="N70" s="18" t="n">
        <v>4472.04</v>
      </c>
      <c r="O70" s="18" t="n">
        <v>880.48</v>
      </c>
      <c r="P70" s="37" t="n">
        <v>5550.16</v>
      </c>
      <c r="Q70" s="18" t="n">
        <v>297.44</v>
      </c>
      <c r="R70" s="18" t="n">
        <v>377.92</v>
      </c>
      <c r="S70" s="18" t="n">
        <v>117.76</v>
      </c>
      <c r="T70" s="18" t="n">
        <v>-16.23</v>
      </c>
      <c r="U70" s="37" t="n">
        <v>776.89</v>
      </c>
      <c r="V70" s="18" t="n">
        <v>1951.29</v>
      </c>
      <c r="W70" s="18" t="n">
        <v>3219.11</v>
      </c>
      <c r="X70" s="18" t="n">
        <v>4164.34</v>
      </c>
      <c r="Y70" s="18" t="n">
        <v>-910.37</v>
      </c>
      <c r="Z70" s="37" t="n">
        <v>8424.370000000001</v>
      </c>
      <c r="AA70" s="18" t="n">
        <v>4061.06</v>
      </c>
      <c r="AB70" s="19" t="n">
        <v>2322.1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당기순이익</t>
        </is>
      </c>
      <c r="E71" s="18" t="n">
        <v>-99365.00999999999</v>
      </c>
      <c r="F71" s="9" t="n"/>
      <c r="G71" s="18" t="n">
        <v>10514.98</v>
      </c>
      <c r="H71" s="18" t="n">
        <v>13204.22</v>
      </c>
      <c r="I71" s="18" t="n">
        <v>6409.34</v>
      </c>
      <c r="J71" s="18" t="n">
        <v>-2114.64</v>
      </c>
      <c r="K71" s="37" t="n">
        <v>28013.9</v>
      </c>
      <c r="L71" s="18" t="n">
        <v>20578.21</v>
      </c>
      <c r="M71" s="18" t="n">
        <v>21456.4</v>
      </c>
      <c r="N71" s="18" t="n">
        <v>5735.38</v>
      </c>
      <c r="O71" s="18" t="n">
        <v>9778.780000000001</v>
      </c>
      <c r="P71" s="37" t="n">
        <v>57548.77</v>
      </c>
      <c r="Q71" s="18" t="n">
        <v>4333.03</v>
      </c>
      <c r="R71" s="18" t="n">
        <v>3008.84</v>
      </c>
      <c r="S71" s="18" t="n">
        <v>9386.09</v>
      </c>
      <c r="T71" s="18" t="n">
        <v>143.5</v>
      </c>
      <c r="U71" s="37" t="n">
        <v>16871.46</v>
      </c>
      <c r="V71" s="18" t="n">
        <v>4286.53</v>
      </c>
      <c r="W71" s="18" t="n">
        <v>8499.639999999999</v>
      </c>
      <c r="X71" s="18" t="n">
        <v>11054.59</v>
      </c>
      <c r="Y71" s="18" t="n">
        <v>13670.07</v>
      </c>
      <c r="Z71" s="37" t="n">
        <v>37510.83</v>
      </c>
      <c r="AA71" s="18" t="n">
        <v>9855.85</v>
      </c>
      <c r="AB71" s="19" t="n">
        <v>13789.27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총포괄손익</t>
        </is>
      </c>
      <c r="E72" s="18" t="n">
        <v>-70774.52</v>
      </c>
      <c r="F72" s="9" t="n"/>
      <c r="G72" s="18" t="n">
        <v>10514.98</v>
      </c>
      <c r="H72" s="18" t="n">
        <v>13204.22</v>
      </c>
      <c r="I72" s="18" t="n">
        <v>6409.34</v>
      </c>
      <c r="J72" s="18" t="n">
        <v>-2524.83</v>
      </c>
      <c r="K72" s="37" t="n">
        <v>27603.71</v>
      </c>
      <c r="L72" s="18" t="n">
        <v>20578.21</v>
      </c>
      <c r="M72" s="18" t="n">
        <v>21456.4</v>
      </c>
      <c r="N72" s="18" t="n">
        <v>5735.38</v>
      </c>
      <c r="O72" s="18" t="n">
        <v>7552.92</v>
      </c>
      <c r="P72" s="37" t="n">
        <v>55322.91</v>
      </c>
      <c r="Q72" s="18" t="n">
        <v>4333.03</v>
      </c>
      <c r="R72" s="18" t="n">
        <v>3008.84</v>
      </c>
      <c r="S72" s="18" t="n">
        <v>9386.09</v>
      </c>
      <c r="T72" s="18" t="n">
        <v>-2208.28</v>
      </c>
      <c r="U72" s="37" t="n">
        <v>14519.68</v>
      </c>
      <c r="V72" s="18" t="n">
        <v>4286.05</v>
      </c>
      <c r="W72" s="18" t="n">
        <v>8493.219999999999</v>
      </c>
      <c r="X72" s="18" t="n">
        <v>11056.26</v>
      </c>
      <c r="Y72" s="18" t="n">
        <v>36315.78</v>
      </c>
      <c r="Z72" s="37" t="n">
        <v>60151.31</v>
      </c>
      <c r="AA72" s="18" t="n">
        <v>9858.51</v>
      </c>
      <c r="AB72" s="19" t="n">
        <v>13790.41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(지배주주지분)당기순이익</t>
        </is>
      </c>
      <c r="E73" s="18" t="n">
        <v>-65081.48</v>
      </c>
      <c r="F73" s="9" t="n"/>
      <c r="G73" s="18" t="n">
        <v>8944.93</v>
      </c>
      <c r="H73" s="18" t="n">
        <v>9307</v>
      </c>
      <c r="I73" s="18" t="n">
        <v>4205.36</v>
      </c>
      <c r="J73" s="18" t="n">
        <v>-204</v>
      </c>
      <c r="K73" s="37" t="n">
        <v>22253.29</v>
      </c>
      <c r="L73" s="18" t="n">
        <v>20477.47</v>
      </c>
      <c r="M73" s="18" t="n">
        <v>21349.78</v>
      </c>
      <c r="N73" s="18" t="n">
        <v>5724.46</v>
      </c>
      <c r="O73" s="18" t="n">
        <v>9923.76</v>
      </c>
      <c r="P73" s="37" t="n">
        <v>57475.47</v>
      </c>
      <c r="Q73" s="18" t="n">
        <v>4114.33</v>
      </c>
      <c r="R73" s="18" t="n">
        <v>2793.27</v>
      </c>
      <c r="S73" s="18" t="n">
        <v>9105.780000000001</v>
      </c>
      <c r="T73" s="18" t="n">
        <v>376.53</v>
      </c>
      <c r="U73" s="37" t="n">
        <v>16389.91</v>
      </c>
      <c r="V73" s="18" t="n">
        <v>4392.6</v>
      </c>
      <c r="W73" s="18" t="n">
        <v>8540.620000000001</v>
      </c>
      <c r="X73" s="18" t="n">
        <v>11192.8</v>
      </c>
      <c r="Y73" s="18" t="n">
        <v>13670.08</v>
      </c>
      <c r="Z73" s="37" t="n">
        <v>37796.1</v>
      </c>
      <c r="AA73" s="18" t="n">
        <v>9855.85</v>
      </c>
      <c r="AB73" s="19" t="n">
        <v>13789.27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(비지배주주지분)당기순이익</t>
        </is>
      </c>
      <c r="E74" s="18" t="n">
        <v>-34283.52</v>
      </c>
      <c r="F74" s="9" t="n"/>
      <c r="G74" s="18" t="n">
        <v>1570.05</v>
      </c>
      <c r="H74" s="18" t="n">
        <v>3897.21</v>
      </c>
      <c r="I74" s="18" t="n">
        <v>2203.99</v>
      </c>
      <c r="J74" s="18" t="n">
        <v>-1910.64</v>
      </c>
      <c r="K74" s="37" t="n">
        <v>5760.61</v>
      </c>
      <c r="L74" s="18" t="n">
        <v>100.74</v>
      </c>
      <c r="M74" s="18" t="n">
        <v>106.63</v>
      </c>
      <c r="N74" s="18" t="n">
        <v>10.92</v>
      </c>
      <c r="O74" s="18" t="n">
        <v>-144.98</v>
      </c>
      <c r="P74" s="37" t="n">
        <v>73.31</v>
      </c>
      <c r="Q74" s="18" t="n">
        <v>218.7</v>
      </c>
      <c r="R74" s="18" t="n">
        <v>215.57</v>
      </c>
      <c r="S74" s="18" t="n">
        <v>280.31</v>
      </c>
      <c r="T74" s="18" t="n">
        <v>-233.03</v>
      </c>
      <c r="U74" s="37" t="n">
        <v>481.55</v>
      </c>
      <c r="V74" s="18" t="n">
        <v>-106.07</v>
      </c>
      <c r="W74" s="18" t="n">
        <v>-40.98</v>
      </c>
      <c r="X74" s="18" t="n">
        <v>-138.21</v>
      </c>
      <c r="Y74" s="18" t="n">
        <v>0</v>
      </c>
      <c r="Z74" s="37" t="n">
        <v>-285.26</v>
      </c>
      <c r="AA74" s="18" t="n">
        <v>0</v>
      </c>
      <c r="AB74" s="19" t="n">
        <v>0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금융손익</t>
        </is>
      </c>
      <c r="E75" s="18" t="n">
        <v>-4568.12</v>
      </c>
      <c r="F75" s="9" t="n"/>
      <c r="G75" s="18" t="n">
        <v>-6125.56</v>
      </c>
      <c r="H75" s="18" t="n">
        <v>-9345.52</v>
      </c>
      <c r="I75" s="18" t="n">
        <v>-12095.74</v>
      </c>
      <c r="J75" s="18" t="n">
        <v>-6398.41</v>
      </c>
      <c r="K75" s="37" t="n">
        <v>-33965.23</v>
      </c>
      <c r="L75" s="18" t="n">
        <v>-6501.1</v>
      </c>
      <c r="M75" s="18" t="n">
        <v>-2554.56</v>
      </c>
      <c r="N75" s="18" t="n">
        <v>-4835.55</v>
      </c>
      <c r="O75" s="18" t="n">
        <v>307.15</v>
      </c>
      <c r="P75" s="37" t="n">
        <v>-13584.06</v>
      </c>
      <c r="Q75" s="18" t="n">
        <v>-5034.78</v>
      </c>
      <c r="R75" s="18" t="n">
        <v>-16286.39</v>
      </c>
      <c r="S75" s="18" t="n">
        <v>9100.139999999999</v>
      </c>
      <c r="T75" s="18" t="n">
        <v>-41949</v>
      </c>
      <c r="U75" s="37" t="n">
        <v>-54170.03</v>
      </c>
      <c r="V75" s="18" t="n">
        <v>-6131.17</v>
      </c>
      <c r="W75" s="18" t="n">
        <v>19137.08</v>
      </c>
      <c r="X75" s="18" t="n">
        <v>-11591.34</v>
      </c>
      <c r="Y75" s="18" t="n">
        <v>-6185.03</v>
      </c>
      <c r="Z75" s="37" t="n">
        <v>-4770.46</v>
      </c>
      <c r="AA75" s="18" t="n">
        <v>-8113.83</v>
      </c>
      <c r="AB75" s="19" t="n">
        <v>-4229.97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기타영업외손익</t>
        </is>
      </c>
      <c r="E76" s="18" t="n">
        <v>-96154.11</v>
      </c>
      <c r="F76" s="9" t="n"/>
      <c r="G76" s="18" t="n">
        <v>1488.68</v>
      </c>
      <c r="H76" s="18" t="n">
        <v>3022.89</v>
      </c>
      <c r="I76" s="18" t="n">
        <v>656.9400000000001</v>
      </c>
      <c r="J76" s="18" t="n">
        <v>-8347.83</v>
      </c>
      <c r="K76" s="37" t="n">
        <v>-3179.32</v>
      </c>
      <c r="L76" s="18" t="n">
        <v>2931.22</v>
      </c>
      <c r="M76" s="18" t="n">
        <v>-326.66</v>
      </c>
      <c r="N76" s="18" t="n">
        <v>-1337.2</v>
      </c>
      <c r="O76" s="18" t="n">
        <v>-188.68</v>
      </c>
      <c r="P76" s="37" t="n">
        <v>1078.68</v>
      </c>
      <c r="Q76" s="18" t="n">
        <v>720.13</v>
      </c>
      <c r="R76" s="18" t="n">
        <v>4691.83</v>
      </c>
      <c r="S76" s="18" t="n">
        <v>-14792.45</v>
      </c>
      <c r="T76" s="18" t="n">
        <v>39401.57</v>
      </c>
      <c r="U76" s="37" t="n">
        <v>30021.08</v>
      </c>
      <c r="V76" s="18" t="n">
        <v>1328.17</v>
      </c>
      <c r="W76" s="18" t="n">
        <v>-22969.14</v>
      </c>
      <c r="X76" s="18" t="n">
        <v>7556.67</v>
      </c>
      <c r="Y76" s="18" t="n">
        <v>5280.51</v>
      </c>
      <c r="Z76" s="37" t="n">
        <v>-8803.790000000001</v>
      </c>
      <c r="AA76" s="18" t="n">
        <v>5172.73</v>
      </c>
      <c r="AB76" s="19" t="n">
        <v>997.0599999999999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계속사업이익</t>
        </is>
      </c>
      <c r="E77" s="18" t="n">
        <v>-99365.00999999999</v>
      </c>
      <c r="F77" s="9" t="n"/>
      <c r="G77" s="18" t="n">
        <v>10514.98</v>
      </c>
      <c r="H77" s="18" t="n">
        <v>13204.22</v>
      </c>
      <c r="I77" s="18" t="n">
        <v>6409.34</v>
      </c>
      <c r="J77" s="18" t="n">
        <v>-2114.64</v>
      </c>
      <c r="K77" s="37" t="n">
        <v>28013.9</v>
      </c>
      <c r="L77" s="18" t="n">
        <v>20578.21</v>
      </c>
      <c r="M77" s="18" t="n">
        <v>21456.4</v>
      </c>
      <c r="N77" s="18" t="n">
        <v>5735.38</v>
      </c>
      <c r="O77" s="18" t="n">
        <v>9778.780000000001</v>
      </c>
      <c r="P77" s="37" t="n">
        <v>57548.77</v>
      </c>
      <c r="Q77" s="18" t="n">
        <v>4333.03</v>
      </c>
      <c r="R77" s="18" t="n">
        <v>3008.84</v>
      </c>
      <c r="S77" s="18" t="n">
        <v>9386.09</v>
      </c>
      <c r="T77" s="18" t="n">
        <v>143.5</v>
      </c>
      <c r="U77" s="37" t="n">
        <v>16871.46</v>
      </c>
      <c r="V77" s="18" t="n">
        <v>4286.53</v>
      </c>
      <c r="W77" s="18" t="n">
        <v>8499.639999999999</v>
      </c>
      <c r="X77" s="18" t="n">
        <v>11054.59</v>
      </c>
      <c r="Y77" s="18" t="n">
        <v>13670.07</v>
      </c>
      <c r="Z77" s="37" t="n">
        <v>37510.83</v>
      </c>
      <c r="AA77" s="18" t="n">
        <v>9855.85</v>
      </c>
      <c r="AB77" s="19" t="n">
        <v>13789.27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이자수익</t>
        </is>
      </c>
      <c r="F78" s="9" t="n"/>
      <c r="G78" s="18" t="n">
        <v>107.55</v>
      </c>
      <c r="H78" s="18" t="n">
        <v>363.74</v>
      </c>
      <c r="I78" s="18" t="n">
        <v>1153.6</v>
      </c>
      <c r="J78" s="18" t="n">
        <v>3024.46</v>
      </c>
      <c r="K78" s="37" t="n">
        <v>4649.35</v>
      </c>
      <c r="L78" s="18" t="n">
        <v>1742.17</v>
      </c>
      <c r="M78" s="18" t="n">
        <v>1768.46</v>
      </c>
      <c r="N78" s="18" t="n">
        <v>1602.11</v>
      </c>
      <c r="O78" s="18" t="n">
        <v>1048.26</v>
      </c>
      <c r="P78" s="37" t="n">
        <v>6161</v>
      </c>
      <c r="Q78" s="18" t="n">
        <v>1195.24</v>
      </c>
      <c r="R78" s="18" t="n">
        <v>1124.42</v>
      </c>
      <c r="S78" s="18" t="n">
        <v>1054.47</v>
      </c>
      <c r="T78" s="18" t="n">
        <v>356.89</v>
      </c>
      <c r="U78" s="37" t="n">
        <v>3731.02</v>
      </c>
      <c r="V78" s="18" t="n">
        <v>688.58</v>
      </c>
      <c r="W78" s="18" t="n">
        <v>1221.79</v>
      </c>
      <c r="X78" s="18" t="n">
        <v>1208.6</v>
      </c>
      <c r="Y78" s="18" t="n">
        <v>13.2</v>
      </c>
      <c r="Z78" s="37" t="n">
        <v>3132.17</v>
      </c>
      <c r="AA78" s="18" t="n">
        <v>531.39</v>
      </c>
      <c r="AB78" s="19" t="n">
        <v>245.3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이자비용</t>
        </is>
      </c>
      <c r="F79" s="9" t="n"/>
      <c r="G79" s="18" t="n">
        <v>5459.34</v>
      </c>
      <c r="H79" s="18" t="n">
        <v>5301.02</v>
      </c>
      <c r="I79" s="18" t="n">
        <v>6621.83</v>
      </c>
      <c r="J79" s="18" t="n">
        <v>9052.17</v>
      </c>
      <c r="K79" s="37" t="n">
        <v>26434.36</v>
      </c>
      <c r="L79" s="18" t="n">
        <v>6454.74</v>
      </c>
      <c r="M79" s="18" t="n">
        <v>7168.08</v>
      </c>
      <c r="N79" s="18" t="n">
        <v>5780.15</v>
      </c>
      <c r="O79" s="18" t="n">
        <v>2303.08</v>
      </c>
      <c r="P79" s="37" t="n">
        <v>21706.05</v>
      </c>
      <c r="Q79" s="18" t="n">
        <v>5842.59</v>
      </c>
      <c r="R79" s="18" t="n">
        <v>5997.68</v>
      </c>
      <c r="S79" s="18" t="n">
        <v>5127.82</v>
      </c>
      <c r="T79" s="18" t="n">
        <v>3365.59</v>
      </c>
      <c r="U79" s="37" t="n">
        <v>20333.68</v>
      </c>
      <c r="V79" s="18" t="n">
        <v>4729.36</v>
      </c>
      <c r="W79" s="18" t="n">
        <v>5227.61</v>
      </c>
      <c r="X79" s="18" t="n">
        <v>3344.62</v>
      </c>
      <c r="Y79" s="18" t="n">
        <v>-698.1</v>
      </c>
      <c r="Z79" s="37" t="n">
        <v>12603.49</v>
      </c>
      <c r="AA79" s="18" t="n">
        <v>1156.46</v>
      </c>
      <c r="AB79" s="19" t="n">
        <v>1219.55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외환차익</t>
        </is>
      </c>
      <c r="F80" s="9" t="n"/>
      <c r="G80" s="18" t="n">
        <v>264.03</v>
      </c>
      <c r="H80" s="18" t="n">
        <v>335.75</v>
      </c>
      <c r="I80" s="18" t="n">
        <v>733.52</v>
      </c>
      <c r="J80" s="18" t="n">
        <v>298.4</v>
      </c>
      <c r="K80" s="37" t="n">
        <v>1631.7</v>
      </c>
      <c r="L80" s="18" t="n">
        <v>725.77</v>
      </c>
      <c r="M80" s="18" t="n">
        <v>683.7</v>
      </c>
      <c r="N80" s="18" t="n">
        <v>710.29</v>
      </c>
      <c r="O80" s="18" t="n">
        <v>186.15</v>
      </c>
      <c r="P80" s="37" t="n">
        <v>2305.91</v>
      </c>
      <c r="Q80" s="18" t="n">
        <v>668.04</v>
      </c>
      <c r="R80" s="18" t="n">
        <v>261.77</v>
      </c>
      <c r="S80" s="18" t="n">
        <v>55.19</v>
      </c>
      <c r="T80" s="18" t="n">
        <v>333.72</v>
      </c>
      <c r="U80" s="37" t="n">
        <v>1318.72</v>
      </c>
      <c r="V80" s="18" t="n">
        <v>7.55</v>
      </c>
      <c r="W80" s="18" t="n">
        <v>41.3</v>
      </c>
      <c r="X80" s="18" t="n">
        <v>72.90000000000001</v>
      </c>
      <c r="Y80" s="18" t="n">
        <v>105.59</v>
      </c>
      <c r="Z80" s="37" t="n">
        <v>227.34</v>
      </c>
      <c r="AA80" s="18" t="n">
        <v>44.56</v>
      </c>
      <c r="AB80" s="19" t="n">
        <v>2.99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외환차손</t>
        </is>
      </c>
      <c r="F81" s="9" t="n"/>
      <c r="G81" s="18" t="n">
        <v>271.32</v>
      </c>
      <c r="H81" s="18" t="n">
        <v>215.28</v>
      </c>
      <c r="I81" s="18" t="n">
        <v>23.69</v>
      </c>
      <c r="J81" s="18" t="n">
        <v>973.46</v>
      </c>
      <c r="K81" s="37" t="n">
        <v>1483.75</v>
      </c>
      <c r="L81" s="18" t="n">
        <v>346.46</v>
      </c>
      <c r="M81" s="18" t="n">
        <v>479.53</v>
      </c>
      <c r="N81" s="18" t="n">
        <v>83.67</v>
      </c>
      <c r="O81" s="18" t="n">
        <v>369.79</v>
      </c>
      <c r="P81" s="37" t="n">
        <v>1279.45</v>
      </c>
      <c r="Q81" s="18" t="n">
        <v>3.48</v>
      </c>
      <c r="R81" s="18" t="n">
        <v>177.43</v>
      </c>
      <c r="S81" s="18" t="n">
        <v>1.89</v>
      </c>
      <c r="T81" s="18" t="n">
        <v>18.85</v>
      </c>
      <c r="U81" s="37" t="n">
        <v>201.65</v>
      </c>
      <c r="V81" s="18" t="n">
        <v>99.62</v>
      </c>
      <c r="W81" s="18" t="n">
        <v>0.8100000000000001</v>
      </c>
      <c r="X81" s="18" t="n">
        <v>355.32</v>
      </c>
      <c r="Y81" s="18" t="n">
        <v>18.56</v>
      </c>
      <c r="Z81" s="37" t="n">
        <v>474.31</v>
      </c>
      <c r="AA81" s="18" t="n">
        <v>3.78</v>
      </c>
      <c r="AB81" s="19" t="n">
        <v>26.99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외화환산이익</t>
        </is>
      </c>
      <c r="F82" s="9" t="n"/>
      <c r="G82" s="18" t="n">
        <v>13.66</v>
      </c>
      <c r="H82" s="18" t="n">
        <v>44.61</v>
      </c>
      <c r="I82" s="18" t="n">
        <v>366.32</v>
      </c>
      <c r="K82" s="9" t="n"/>
      <c r="L82" s="18" t="n">
        <v>45.29</v>
      </c>
      <c r="M82" s="18" t="n">
        <v>27.94</v>
      </c>
      <c r="N82" s="18" t="n">
        <v>76.84</v>
      </c>
      <c r="O82" s="18" t="n">
        <v>-136.65</v>
      </c>
      <c r="P82" s="37" t="n">
        <v>13.42</v>
      </c>
      <c r="Q82" s="18" t="n">
        <v>112.9</v>
      </c>
      <c r="R82" s="18" t="n">
        <v>-2.46</v>
      </c>
      <c r="S82" s="18" t="n">
        <v>-110.42</v>
      </c>
      <c r="T82" s="18" t="n">
        <v>413.08</v>
      </c>
      <c r="U82" s="37" t="n">
        <v>413.1</v>
      </c>
      <c r="V82" s="18" t="n">
        <v>150.42</v>
      </c>
      <c r="W82" s="18" t="n">
        <v>-150.42</v>
      </c>
      <c r="X82" s="18" t="n">
        <v>28.99</v>
      </c>
      <c r="Y82" s="18" t="n">
        <v>7.82</v>
      </c>
      <c r="Z82" s="37" t="n">
        <v>36.81</v>
      </c>
      <c r="AA82" s="18" t="n">
        <v>220.25</v>
      </c>
      <c r="AB82" s="19" t="n">
        <v>74.95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외화환산손실</t>
        </is>
      </c>
      <c r="F83" s="9" t="n"/>
      <c r="G83" s="18" t="n">
        <v>31.22</v>
      </c>
      <c r="H83" s="18" t="n">
        <v>-25.39</v>
      </c>
      <c r="I83" s="18" t="n">
        <v>-5.23</v>
      </c>
      <c r="J83" s="18" t="n">
        <v>493.63</v>
      </c>
      <c r="K83" s="37" t="n">
        <v>494.23</v>
      </c>
      <c r="L83" s="18" t="n">
        <v>16.6</v>
      </c>
      <c r="M83" s="18" t="n">
        <v>-16.59</v>
      </c>
      <c r="N83" s="18" t="n">
        <v>0.05</v>
      </c>
      <c r="O83" s="18" t="n">
        <v>298.45</v>
      </c>
      <c r="P83" s="37" t="n">
        <v>298.51</v>
      </c>
      <c r="Q83" s="18" t="n">
        <v>0</v>
      </c>
      <c r="R83" s="18" t="n">
        <v>0.71</v>
      </c>
      <c r="S83" s="18" t="n">
        <v>440.9</v>
      </c>
      <c r="T83" s="18" t="n">
        <v>-435.37</v>
      </c>
      <c r="U83" s="37" t="n">
        <v>6.24</v>
      </c>
      <c r="V83" s="18" t="n">
        <v>9.66</v>
      </c>
      <c r="W83" s="18" t="n">
        <v>770.5</v>
      </c>
      <c r="X83" s="18" t="n">
        <v>-634.73</v>
      </c>
      <c r="Y83" s="18" t="n">
        <v>-55.04</v>
      </c>
      <c r="Z83" s="37" t="n">
        <v>90.39</v>
      </c>
      <c r="AA83" s="18" t="n">
        <v>3642</v>
      </c>
      <c r="AB83" s="19" t="n">
        <v>1407.72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이자손익</t>
        </is>
      </c>
      <c r="F84" s="9" t="n"/>
      <c r="G84" s="18" t="n">
        <v>-5351.79</v>
      </c>
      <c r="H84" s="18" t="n">
        <v>-4937.28</v>
      </c>
      <c r="I84" s="18" t="n">
        <v>-5468.23</v>
      </c>
      <c r="J84" s="18" t="n">
        <v>-6027.71</v>
      </c>
      <c r="K84" s="37" t="n">
        <v>-21785.01</v>
      </c>
      <c r="L84" s="18" t="n">
        <v>-4712.57</v>
      </c>
      <c r="M84" s="18" t="n">
        <v>-5399.62</v>
      </c>
      <c r="N84" s="18" t="n">
        <v>-4178.04</v>
      </c>
      <c r="O84" s="18" t="n">
        <v>-1254.82</v>
      </c>
      <c r="P84" s="37" t="n">
        <v>-15545.05</v>
      </c>
      <c r="Q84" s="18" t="n">
        <v>-4647.35</v>
      </c>
      <c r="R84" s="18" t="n">
        <v>-4873.26</v>
      </c>
      <c r="S84" s="18" t="n">
        <v>-4073.35</v>
      </c>
      <c r="T84" s="18" t="n">
        <v>-3008.7</v>
      </c>
      <c r="U84" s="37" t="n">
        <v>-16602.66</v>
      </c>
      <c r="V84" s="18" t="n">
        <v>-4040.78</v>
      </c>
      <c r="W84" s="18" t="n">
        <v>-4005.82</v>
      </c>
      <c r="X84" s="18" t="n">
        <v>-2136.02</v>
      </c>
      <c r="Y84" s="18" t="n">
        <v>711.3</v>
      </c>
      <c r="Z84" s="37" t="n">
        <v>-9471.32</v>
      </c>
      <c r="AA84" s="18" t="n">
        <v>-625.0700000000001</v>
      </c>
      <c r="AB84" s="19" t="n">
        <v>-974.25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파생상품이익</t>
        </is>
      </c>
      <c r="F85" s="9" t="n"/>
      <c r="K85" s="9" t="n"/>
      <c r="M85" s="18" t="n">
        <v>3965.37</v>
      </c>
      <c r="N85" s="18" t="n">
        <v>0</v>
      </c>
      <c r="O85" s="18" t="n">
        <v>2778.29</v>
      </c>
      <c r="P85" s="9" t="n"/>
      <c r="Q85" s="18" t="n">
        <v>44.6</v>
      </c>
      <c r="R85" s="18" t="n">
        <v>1946.99</v>
      </c>
      <c r="S85" s="18" t="n">
        <v>5842.96</v>
      </c>
      <c r="T85" s="18" t="n">
        <v>-3927.8</v>
      </c>
      <c r="U85" s="37" t="n">
        <v>3906.75</v>
      </c>
      <c r="V85" s="18" t="n">
        <v>27.91</v>
      </c>
      <c r="W85" s="18" t="n">
        <v>24067.42</v>
      </c>
      <c r="X85" s="18" t="n">
        <v>-8550.540000000001</v>
      </c>
      <c r="Y85" s="18" t="n">
        <v>-4468.24</v>
      </c>
      <c r="Z85" s="37" t="n">
        <v>11076.55</v>
      </c>
      <c r="AA85" s="18" t="n">
        <v>3564.22</v>
      </c>
      <c r="AB85" s="19" t="n">
        <v>1912.26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파생상품손실</t>
        </is>
      </c>
      <c r="F86" s="9" t="n"/>
      <c r="K86" s="9" t="n"/>
      <c r="P86" s="9" t="n"/>
      <c r="R86" s="18" t="n">
        <v>12350.71</v>
      </c>
      <c r="S86" s="18" t="n">
        <v>-8632.450000000001</v>
      </c>
      <c r="T86" s="18" t="n">
        <v>36007.01</v>
      </c>
      <c r="U86" s="9" t="n"/>
      <c r="V86" s="18" t="n">
        <v>1333.85</v>
      </c>
      <c r="W86" s="18" t="n">
        <v>-1008.96</v>
      </c>
      <c r="X86" s="18" t="n">
        <v>403.14</v>
      </c>
      <c r="Y86" s="18" t="n">
        <v>1244.24</v>
      </c>
      <c r="Z86" s="37" t="n">
        <v>1972.27</v>
      </c>
      <c r="AA86" s="18" t="n">
        <v>6841.73</v>
      </c>
      <c r="AB86" s="19" t="n">
        <v>2975.39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영업활동으로인한현금흐름</t>
        </is>
      </c>
      <c r="E87" s="18" t="n">
        <v>109667.02</v>
      </c>
      <c r="F87" s="9" t="n"/>
      <c r="G87" s="18" t="n">
        <v>50479.39</v>
      </c>
      <c r="H87" s="18" t="n">
        <v>-14215.49</v>
      </c>
      <c r="I87" s="18" t="n">
        <v>-29519.19</v>
      </c>
      <c r="J87" s="18" t="n">
        <v>61845.53</v>
      </c>
      <c r="K87" s="37" t="n">
        <v>68590.24000000001</v>
      </c>
      <c r="L87" s="18" t="n">
        <v>-54654.15</v>
      </c>
      <c r="M87" s="18" t="n">
        <v>-74651.11</v>
      </c>
      <c r="N87" s="18" t="n">
        <v>-810.9</v>
      </c>
      <c r="O87" s="18" t="n">
        <v>-8086.96</v>
      </c>
      <c r="P87" s="37" t="n">
        <v>-138203.12</v>
      </c>
      <c r="Q87" s="18" t="n">
        <v>10160.89</v>
      </c>
      <c r="R87" s="18" t="n">
        <v>51876.63</v>
      </c>
      <c r="S87" s="18" t="n">
        <v>46189.15</v>
      </c>
      <c r="T87" s="18" t="n">
        <v>27140.66</v>
      </c>
      <c r="U87" s="37" t="n">
        <v>135367.33</v>
      </c>
      <c r="V87" s="18" t="n">
        <v>52382.12</v>
      </c>
      <c r="W87" s="18" t="n">
        <v>46463.12</v>
      </c>
      <c r="X87" s="18" t="n">
        <v>-115850.39</v>
      </c>
      <c r="Y87" s="18" t="n">
        <v>-22763.08</v>
      </c>
      <c r="Z87" s="37" t="n">
        <v>-39768.23</v>
      </c>
      <c r="AA87" s="18" t="n">
        <v>40909.22</v>
      </c>
      <c r="AB87" s="19" t="n">
        <v>11471.72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이자수취(CF)</t>
        </is>
      </c>
      <c r="E88" s="18" t="n">
        <v>-18.04</v>
      </c>
      <c r="F88" s="9" t="n"/>
      <c r="G88" s="18" t="n">
        <v>23.92</v>
      </c>
      <c r="H88" s="18" t="n">
        <v>807.88</v>
      </c>
      <c r="I88" s="18" t="n">
        <v>746.95</v>
      </c>
      <c r="J88" s="18" t="n">
        <v>2820.63</v>
      </c>
      <c r="K88" s="37" t="n">
        <v>4399.38</v>
      </c>
      <c r="L88" s="18" t="n">
        <v>1046.13</v>
      </c>
      <c r="M88" s="18" t="n">
        <v>1276.14</v>
      </c>
      <c r="N88" s="18" t="n">
        <v>922.7</v>
      </c>
      <c r="O88" s="18" t="n">
        <v>1629.81</v>
      </c>
      <c r="P88" s="37" t="n">
        <v>4874.78</v>
      </c>
      <c r="Q88" s="18" t="n">
        <v>1307.99</v>
      </c>
      <c r="R88" s="18" t="n">
        <v>756.02</v>
      </c>
      <c r="S88" s="18" t="n">
        <v>1059.3</v>
      </c>
      <c r="T88" s="18" t="n">
        <v>2240.65</v>
      </c>
      <c r="U88" s="37" t="n">
        <v>5363.96</v>
      </c>
      <c r="V88" s="18" t="n">
        <v>504.61</v>
      </c>
      <c r="W88" s="18" t="n">
        <v>941.35</v>
      </c>
      <c r="X88" s="18" t="n">
        <v>1555.63</v>
      </c>
      <c r="Y88" s="18" t="n">
        <v>262.04</v>
      </c>
      <c r="Z88" s="37" t="n">
        <v>3263.63</v>
      </c>
      <c r="AA88" s="18" t="n">
        <v>353.1</v>
      </c>
      <c r="AB88" s="19" t="n">
        <v>293.11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이자지급(CF)</t>
        </is>
      </c>
      <c r="E89" s="18" t="n">
        <v>-3319.43</v>
      </c>
      <c r="F89" s="9" t="n"/>
      <c r="G89" s="18" t="n">
        <v>-2855.98</v>
      </c>
      <c r="H89" s="18" t="n">
        <v>-2909.45</v>
      </c>
      <c r="I89" s="18" t="n">
        <v>-2799.57</v>
      </c>
      <c r="J89" s="18" t="n">
        <v>-2359.92</v>
      </c>
      <c r="K89" s="37" t="n">
        <v>-10924.92</v>
      </c>
      <c r="L89" s="18" t="n">
        <v>-1442.42</v>
      </c>
      <c r="M89" s="18" t="n">
        <v>-1872.68</v>
      </c>
      <c r="P89" s="9" t="n"/>
      <c r="U89" s="9" t="n"/>
      <c r="V89" s="18" t="n">
        <v>-2303.75</v>
      </c>
      <c r="W89" s="18" t="n">
        <v>-2688.09</v>
      </c>
      <c r="X89" s="18" t="n">
        <v>-3220.76</v>
      </c>
      <c r="Y89" s="18" t="n">
        <v>-2384.12</v>
      </c>
      <c r="Z89" s="37" t="n">
        <v>-10596.72</v>
      </c>
      <c r="AA89" s="18" t="n">
        <v>-2445.21</v>
      </c>
      <c r="AB89" s="19" t="n">
        <v>-2491.07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배당금수취(CF)</t>
        </is>
      </c>
      <c r="E90" s="18" t="n">
        <v>0</v>
      </c>
      <c r="F90" s="9" t="n"/>
      <c r="G90" s="18" t="n">
        <v>10.89</v>
      </c>
      <c r="H90" s="18" t="n">
        <v>0</v>
      </c>
      <c r="I90" s="18" t="n">
        <v>0</v>
      </c>
      <c r="J90" s="18" t="n">
        <v>0</v>
      </c>
      <c r="K90" s="37" t="n">
        <v>10.89</v>
      </c>
      <c r="N90" s="18" t="n">
        <v>0</v>
      </c>
      <c r="O90" s="18" t="n">
        <v>0</v>
      </c>
      <c r="P90" s="9" t="n"/>
      <c r="S90" s="18" t="n">
        <v>0</v>
      </c>
      <c r="T90" s="18" t="n">
        <v>0</v>
      </c>
      <c r="U90" s="9" t="n"/>
      <c r="X90" s="18" t="n">
        <v>0</v>
      </c>
      <c r="Y90" s="18" t="n">
        <v>0</v>
      </c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법인세납부(CF)</t>
        </is>
      </c>
      <c r="E91" s="18" t="n">
        <v>-1.07</v>
      </c>
      <c r="F91" s="9" t="n"/>
      <c r="G91" s="18" t="n">
        <v>-8712.58</v>
      </c>
      <c r="H91" s="18" t="n">
        <v>-1082.93</v>
      </c>
      <c r="I91" s="18" t="n">
        <v>-3876.62</v>
      </c>
      <c r="J91" s="18" t="n">
        <v>-494.99</v>
      </c>
      <c r="K91" s="37" t="n">
        <v>-14167.12</v>
      </c>
      <c r="L91" s="18" t="n">
        <v>3600.27</v>
      </c>
      <c r="M91" s="18" t="n">
        <v>-1005.48</v>
      </c>
      <c r="N91" s="18" t="n">
        <v>-3613.12</v>
      </c>
      <c r="O91" s="18" t="n">
        <v>1475.75</v>
      </c>
      <c r="P91" s="37" t="n">
        <v>457.42</v>
      </c>
      <c r="Q91" s="18" t="n">
        <v>-10901.66</v>
      </c>
      <c r="R91" s="18" t="n">
        <v>-1547.68</v>
      </c>
      <c r="S91" s="18" t="n">
        <v>-578.3</v>
      </c>
      <c r="T91" s="18" t="n">
        <v>-707.48</v>
      </c>
      <c r="U91" s="37" t="n">
        <v>-13735.12</v>
      </c>
      <c r="V91" s="18" t="n">
        <v>-91.7</v>
      </c>
      <c r="W91" s="18" t="n">
        <v>-210.48</v>
      </c>
      <c r="X91" s="18" t="n">
        <v>-5968.23</v>
      </c>
      <c r="Y91" s="18" t="n">
        <v>-44.38</v>
      </c>
      <c r="Z91" s="37" t="n">
        <v>-6314.79</v>
      </c>
      <c r="AA91" s="18" t="n">
        <v>-5010.02</v>
      </c>
      <c r="AB91" s="19" t="n">
        <v>-1037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투자활동으로인한현금흐름</t>
        </is>
      </c>
      <c r="E92" s="18" t="n">
        <v>-5954.87</v>
      </c>
      <c r="F92" s="9" t="n"/>
      <c r="G92" s="18" t="n">
        <v>-62731.04</v>
      </c>
      <c r="H92" s="18" t="n">
        <v>12913.48</v>
      </c>
      <c r="I92" s="18" t="n">
        <v>-351955.98</v>
      </c>
      <c r="J92" s="18" t="n">
        <v>70693.25999999999</v>
      </c>
      <c r="K92" s="37" t="n">
        <v>-331080.28</v>
      </c>
      <c r="L92" s="18" t="n">
        <v>59447.01</v>
      </c>
      <c r="M92" s="18" t="n">
        <v>38092.13</v>
      </c>
      <c r="N92" s="18" t="n">
        <v>-27759.22</v>
      </c>
      <c r="O92" s="18" t="n">
        <v>-43040.19</v>
      </c>
      <c r="P92" s="37" t="n">
        <v>26739.73</v>
      </c>
      <c r="Q92" s="18" t="n">
        <v>-13325.32</v>
      </c>
      <c r="R92" s="18" t="n">
        <v>-6638.85</v>
      </c>
      <c r="S92" s="18" t="n">
        <v>-42134.45</v>
      </c>
      <c r="T92" s="18" t="n">
        <v>-45777.17</v>
      </c>
      <c r="U92" s="37" t="n">
        <v>-107875.79</v>
      </c>
      <c r="V92" s="18" t="n">
        <v>-31933.43</v>
      </c>
      <c r="W92" s="18" t="n">
        <v>-81340.89</v>
      </c>
      <c r="X92" s="18" t="n">
        <v>85768.94</v>
      </c>
      <c r="Y92" s="18" t="n">
        <v>-8279.35</v>
      </c>
      <c r="Z92" s="37" t="n">
        <v>-35784.73</v>
      </c>
      <c r="AA92" s="18" t="n">
        <v>-23710.95</v>
      </c>
      <c r="AB92" s="19" t="n">
        <v>-11528.62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유형자산의감소</t>
        </is>
      </c>
      <c r="E93" s="18" t="n">
        <v>0</v>
      </c>
      <c r="F93" s="9" t="n"/>
      <c r="I93" s="18" t="n">
        <v>14.67</v>
      </c>
      <c r="J93" s="18" t="n">
        <v>183.87</v>
      </c>
      <c r="K93" s="9" t="n"/>
      <c r="L93" s="18" t="n">
        <v>657.8</v>
      </c>
      <c r="M93" s="18" t="n">
        <v>121.81</v>
      </c>
      <c r="N93" s="18" t="n">
        <v>497.73</v>
      </c>
      <c r="O93" s="18" t="n">
        <v>75.25</v>
      </c>
      <c r="P93" s="37" t="n">
        <v>1352.59</v>
      </c>
      <c r="Q93" s="18" t="n">
        <v>212.35</v>
      </c>
      <c r="R93" s="18" t="n">
        <v>49.69</v>
      </c>
      <c r="S93" s="18" t="n">
        <v>66.52</v>
      </c>
      <c r="T93" s="18" t="n">
        <v>17.87</v>
      </c>
      <c r="U93" s="37" t="n">
        <v>346.43</v>
      </c>
      <c r="V93" s="18" t="n">
        <v>13.66</v>
      </c>
      <c r="W93" s="18" t="n">
        <v>0</v>
      </c>
      <c r="X93" s="18" t="n">
        <v>11.04</v>
      </c>
      <c r="Y93" s="18" t="n">
        <v>233.1</v>
      </c>
      <c r="Z93" s="37" t="n">
        <v>257.8</v>
      </c>
      <c r="AA93" s="18" t="n">
        <v>2.79</v>
      </c>
      <c r="AB93" s="19" t="n">
        <v>29.75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유형자산의증가</t>
        </is>
      </c>
      <c r="E94" s="18" t="n">
        <v>2208.22</v>
      </c>
      <c r="F94" s="9" t="n"/>
      <c r="G94" s="18" t="n">
        <v>1621.17</v>
      </c>
      <c r="H94" s="18" t="n">
        <v>7303.58</v>
      </c>
      <c r="I94" s="18" t="n">
        <v>2215.62</v>
      </c>
      <c r="J94" s="18" t="n">
        <v>104988.88</v>
      </c>
      <c r="K94" s="37" t="n">
        <v>116129.25</v>
      </c>
      <c r="L94" s="18" t="n">
        <v>18328.53</v>
      </c>
      <c r="M94" s="18" t="n">
        <v>22623.63</v>
      </c>
      <c r="N94" s="18" t="n">
        <v>24593.62</v>
      </c>
      <c r="O94" s="18" t="n">
        <v>45279.4</v>
      </c>
      <c r="P94" s="37" t="n">
        <v>110825.18</v>
      </c>
      <c r="Q94" s="18" t="n">
        <v>28887.93</v>
      </c>
      <c r="R94" s="18" t="n">
        <v>34845.71</v>
      </c>
      <c r="S94" s="18" t="n">
        <v>47319.67</v>
      </c>
      <c r="T94" s="18" t="n">
        <v>40349.99</v>
      </c>
      <c r="U94" s="37" t="n">
        <v>151403.3</v>
      </c>
      <c r="V94" s="18" t="n">
        <v>31875.35</v>
      </c>
      <c r="W94" s="18" t="n">
        <v>11631.93</v>
      </c>
      <c r="X94" s="18" t="n">
        <v>4757.89</v>
      </c>
      <c r="Y94" s="18" t="n">
        <v>10389.96</v>
      </c>
      <c r="Z94" s="37" t="n">
        <v>58655.13</v>
      </c>
      <c r="AA94" s="18" t="n">
        <v>23670.68</v>
      </c>
      <c r="AB94" s="19" t="n">
        <v>11228.93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CAPEX</t>
        </is>
      </c>
      <c r="E95" s="18" t="n">
        <v>2182.76</v>
      </c>
      <c r="F95" s="9" t="n"/>
      <c r="G95" s="18" t="n">
        <v>1921</v>
      </c>
      <c r="H95" s="18" t="n">
        <v>7224.49</v>
      </c>
      <c r="I95" s="18" t="n">
        <v>2341.65</v>
      </c>
      <c r="J95" s="18" t="n">
        <v>107127.96</v>
      </c>
      <c r="K95" s="37" t="n">
        <v>118615.1</v>
      </c>
      <c r="L95" s="18" t="n">
        <v>18904.49</v>
      </c>
      <c r="M95" s="18" t="n">
        <v>22584.45</v>
      </c>
      <c r="N95" s="18" t="n">
        <v>25382.05</v>
      </c>
      <c r="O95" s="18" t="n">
        <v>45451.78</v>
      </c>
      <c r="P95" s="37" t="n">
        <v>112322.77</v>
      </c>
      <c r="Q95" s="18" t="n">
        <v>28905.72</v>
      </c>
      <c r="R95" s="18" t="n">
        <v>34895.24</v>
      </c>
      <c r="S95" s="18" t="n">
        <v>47373.29</v>
      </c>
      <c r="T95" s="18" t="n">
        <v>40471.18</v>
      </c>
      <c r="U95" s="37" t="n">
        <v>151645.43</v>
      </c>
      <c r="V95" s="18" t="n">
        <v>31950.15</v>
      </c>
      <c r="W95" s="18" t="n">
        <v>11635.28</v>
      </c>
      <c r="X95" s="18" t="n">
        <v>5309.22</v>
      </c>
      <c r="Y95" s="18" t="n">
        <v>10676.87</v>
      </c>
      <c r="Z95" s="37" t="n">
        <v>59571.52</v>
      </c>
      <c r="AA95" s="18" t="n">
        <v>23705.77</v>
      </c>
      <c r="AB95" s="19" t="n">
        <v>11228.93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재무활동으로인한현금흐름</t>
        </is>
      </c>
      <c r="E96" s="18" t="n">
        <v>-18440.05</v>
      </c>
      <c r="F96" s="9" t="n"/>
      <c r="G96" s="18" t="n">
        <v>-14760.37</v>
      </c>
      <c r="H96" s="18" t="n">
        <v>-10177.3</v>
      </c>
      <c r="I96" s="18" t="n">
        <v>455157.1</v>
      </c>
      <c r="J96" s="18" t="n">
        <v>-177498.13</v>
      </c>
      <c r="K96" s="37" t="n">
        <v>252721.3</v>
      </c>
      <c r="L96" s="18" t="n">
        <v>-2397.96</v>
      </c>
      <c r="M96" s="18" t="n">
        <v>26115.43</v>
      </c>
      <c r="N96" s="18" t="n">
        <v>25748.45</v>
      </c>
      <c r="O96" s="18" t="n">
        <v>20850.79</v>
      </c>
      <c r="P96" s="37" t="n">
        <v>70316.71000000001</v>
      </c>
      <c r="Q96" s="18" t="n">
        <v>36366.38</v>
      </c>
      <c r="R96" s="18" t="n">
        <v>-37953.64</v>
      </c>
      <c r="S96" s="18" t="n">
        <v>-16047.62</v>
      </c>
      <c r="T96" s="18" t="n">
        <v>16108.79</v>
      </c>
      <c r="U96" s="37" t="n">
        <v>-1526.09</v>
      </c>
      <c r="V96" s="18" t="n">
        <v>38601.9</v>
      </c>
      <c r="W96" s="18" t="n">
        <v>-3382.47</v>
      </c>
      <c r="X96" s="18" t="n">
        <v>-9104.67</v>
      </c>
      <c r="Y96" s="18" t="n">
        <v>1562.48</v>
      </c>
      <c r="Z96" s="37" t="n">
        <v>27677.24</v>
      </c>
      <c r="AA96" s="18" t="n">
        <v>-18125.21</v>
      </c>
      <c r="AB96" s="19" t="n">
        <v>18010.87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차입금의증가</t>
        </is>
      </c>
      <c r="E97" s="18" t="n">
        <v>16611.76</v>
      </c>
      <c r="F97" s="9" t="n"/>
      <c r="G97" s="18" t="n">
        <v>16917.18</v>
      </c>
      <c r="H97" s="18" t="n">
        <v>27542.48</v>
      </c>
      <c r="I97" s="18" t="n">
        <v>8678.5</v>
      </c>
      <c r="J97" s="18" t="n">
        <v>16388.34</v>
      </c>
      <c r="K97" s="37" t="n">
        <v>69526.5</v>
      </c>
      <c r="L97" s="18" t="n">
        <v>22242.5</v>
      </c>
      <c r="M97" s="18" t="n">
        <v>81918.46000000001</v>
      </c>
      <c r="P97" s="9" t="n"/>
      <c r="Q97" s="18" t="n">
        <v>110397.4</v>
      </c>
      <c r="R97" s="18" t="n">
        <v>3325.62</v>
      </c>
      <c r="S97" s="18" t="n">
        <v>16141.89</v>
      </c>
      <c r="T97" s="18" t="n">
        <v>62247.56</v>
      </c>
      <c r="U97" s="37" t="n">
        <v>192112.47</v>
      </c>
      <c r="V97" s="18" t="n">
        <v>57960</v>
      </c>
      <c r="W97" s="18" t="n">
        <v>1940</v>
      </c>
      <c r="X97" s="18" t="n">
        <v>8000</v>
      </c>
      <c r="Y97" s="18" t="n">
        <v>3500</v>
      </c>
      <c r="Z97" s="37" t="n">
        <v>71400</v>
      </c>
      <c r="AA97" s="18" t="n">
        <v>10450</v>
      </c>
      <c r="AB97" s="19" t="n">
        <v>69390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차입금의감소</t>
        </is>
      </c>
      <c r="E98" s="18" t="n">
        <v>34392.43</v>
      </c>
      <c r="F98" s="9" t="n"/>
      <c r="G98" s="18" t="n">
        <v>30975.25</v>
      </c>
      <c r="H98" s="18" t="n">
        <v>37009.47</v>
      </c>
      <c r="I98" s="18" t="n">
        <v>11668</v>
      </c>
      <c r="J98" s="18" t="n">
        <v>151690.86</v>
      </c>
      <c r="K98" s="37" t="n">
        <v>231343.58</v>
      </c>
      <c r="L98" s="18" t="n">
        <v>17648.55</v>
      </c>
      <c r="M98" s="18" t="n">
        <v>54936.66</v>
      </c>
      <c r="N98" s="18" t="n">
        <v>19013.12</v>
      </c>
      <c r="O98" s="18" t="n">
        <v>25807.76</v>
      </c>
      <c r="P98" s="37" t="n">
        <v>117406.09</v>
      </c>
      <c r="Q98" s="18" t="n">
        <v>69876.17999999999</v>
      </c>
      <c r="R98" s="18" t="n">
        <v>37096.55</v>
      </c>
      <c r="S98" s="18" t="n">
        <v>27626.8</v>
      </c>
      <c r="T98" s="18" t="n">
        <v>35644.54</v>
      </c>
      <c r="U98" s="37" t="n">
        <v>170244.07</v>
      </c>
      <c r="V98" s="18" t="n">
        <v>17157.6</v>
      </c>
      <c r="W98" s="18" t="n">
        <v>4097.6</v>
      </c>
      <c r="X98" s="18" t="n">
        <v>10157.6</v>
      </c>
      <c r="Y98" s="18" t="n">
        <v>5657.6</v>
      </c>
      <c r="Z98" s="37" t="n">
        <v>37070.4</v>
      </c>
      <c r="AA98" s="18" t="n">
        <v>27157.6</v>
      </c>
      <c r="AB98" s="19" t="n">
        <v>49997.6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리스부채의상환</t>
        </is>
      </c>
      <c r="E99" s="18" t="n">
        <v>659.38</v>
      </c>
      <c r="F99" s="9" t="n"/>
      <c r="G99" s="18" t="n">
        <v>697.22</v>
      </c>
      <c r="H99" s="18" t="n">
        <v>710.3200000000001</v>
      </c>
      <c r="I99" s="18" t="n">
        <v>865.21</v>
      </c>
      <c r="J99" s="18" t="n">
        <v>740.63</v>
      </c>
      <c r="K99" s="37" t="n">
        <v>3013.38</v>
      </c>
      <c r="L99" s="18" t="n">
        <v>844.49</v>
      </c>
      <c r="M99" s="18" t="n">
        <v>866.38</v>
      </c>
      <c r="N99" s="18" t="n">
        <v>1183.5</v>
      </c>
      <c r="O99" s="18" t="n">
        <v>4029.34</v>
      </c>
      <c r="P99" s="37" t="n">
        <v>6923.71</v>
      </c>
      <c r="Q99" s="18" t="n">
        <v>4154.84</v>
      </c>
      <c r="R99" s="18" t="n">
        <v>4182.7</v>
      </c>
      <c r="S99" s="18" t="n">
        <v>4562.73</v>
      </c>
      <c r="T99" s="18" t="n">
        <v>4259.71</v>
      </c>
      <c r="U99" s="37" t="n">
        <v>17159.98</v>
      </c>
      <c r="V99" s="18" t="n">
        <v>2200.5</v>
      </c>
      <c r="W99" s="18" t="n">
        <v>1215.78</v>
      </c>
      <c r="X99" s="18" t="n">
        <v>2464.15</v>
      </c>
      <c r="Z99" s="9" t="n"/>
      <c r="AA99" s="18" t="n">
        <v>1417.61</v>
      </c>
      <c r="AB99" s="19" t="n">
        <v>1381.53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현금및현금성자산의증감</t>
        </is>
      </c>
      <c r="E100" s="18" t="n">
        <v>170554.29</v>
      </c>
      <c r="F100" s="9" t="n"/>
      <c r="G100" s="18" t="n">
        <v>-54041.49</v>
      </c>
      <c r="H100" s="18" t="n">
        <v>-22888.69</v>
      </c>
      <c r="I100" s="18" t="n">
        <v>147735.41</v>
      </c>
      <c r="J100" s="18" t="n">
        <v>-90836.78999999999</v>
      </c>
      <c r="K100" s="37" t="n">
        <v>-20031.56</v>
      </c>
      <c r="L100" s="18" t="n">
        <v>4818.53</v>
      </c>
      <c r="M100" s="18" t="n">
        <v>-20842.58</v>
      </c>
      <c r="N100" s="18" t="n">
        <v>-5566.52</v>
      </c>
      <c r="O100" s="18" t="n">
        <v>-60987.82</v>
      </c>
      <c r="P100" s="37" t="n">
        <v>-82578.39</v>
      </c>
      <c r="Q100" s="18" t="n">
        <v>66516.81</v>
      </c>
      <c r="R100" s="18" t="n">
        <v>14565.13</v>
      </c>
      <c r="S100" s="18" t="n">
        <v>-24537.23</v>
      </c>
      <c r="T100" s="18" t="n">
        <v>-30434.08</v>
      </c>
      <c r="U100" s="37" t="n">
        <v>26110.63</v>
      </c>
      <c r="V100" s="18" t="n">
        <v>59190.87</v>
      </c>
      <c r="W100" s="18" t="n">
        <v>-39187.59</v>
      </c>
      <c r="X100" s="18" t="n">
        <v>-38392.41</v>
      </c>
      <c r="Y100" s="18" t="n">
        <v>-29504.66</v>
      </c>
      <c r="Z100" s="37" t="n">
        <v>-47893.79</v>
      </c>
      <c r="AA100" s="18" t="n">
        <v>-919.7</v>
      </c>
      <c r="AB100" s="19" t="n">
        <v>17949.87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기말현금및현금성자산</t>
        </is>
      </c>
      <c r="E101" s="18" t="n">
        <v>85282.19</v>
      </c>
      <c r="F101" s="9" t="n"/>
      <c r="G101" s="18" t="n">
        <v>69442.91</v>
      </c>
      <c r="H101" s="18" t="n">
        <v>-11409.38</v>
      </c>
      <c r="I101" s="18" t="n">
        <v>74053.47</v>
      </c>
      <c r="J101" s="18" t="n">
        <v>-45877.44</v>
      </c>
      <c r="K101" s="37" t="n">
        <v>86209.56</v>
      </c>
      <c r="L101" s="18" t="n">
        <v>88633.19</v>
      </c>
      <c r="M101" s="18" t="n">
        <v>-10399.04</v>
      </c>
      <c r="N101" s="18" t="n">
        <v>-2744.84</v>
      </c>
      <c r="O101" s="18" t="n">
        <v>-30711.45</v>
      </c>
      <c r="P101" s="37" t="n">
        <v>44777.86</v>
      </c>
      <c r="Q101" s="18" t="n">
        <v>78092.71000000001</v>
      </c>
      <c r="R101" s="18" t="n">
        <v>7280.99</v>
      </c>
      <c r="S101" s="18" t="n">
        <v>-12544.29</v>
      </c>
      <c r="T101" s="18" t="n">
        <v>-1940.92</v>
      </c>
      <c r="U101" s="37" t="n">
        <v>70888.49000000001</v>
      </c>
      <c r="V101" s="18" t="n">
        <v>130079.36</v>
      </c>
      <c r="W101" s="18" t="n">
        <v>-39187.59</v>
      </c>
      <c r="X101" s="18" t="n">
        <v>-38392.41</v>
      </c>
      <c r="Y101" s="18" t="n">
        <v>-29504.65</v>
      </c>
      <c r="Z101" s="37" t="n">
        <v>22994.71</v>
      </c>
      <c r="AA101" s="18" t="n">
        <v>22075</v>
      </c>
      <c r="AB101" s="19" t="n">
        <v>17949.88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무형자산의증가</t>
        </is>
      </c>
      <c r="F102" s="9" t="n"/>
      <c r="G102" s="18" t="n">
        <v>299.83</v>
      </c>
      <c r="I102" s="18" t="n">
        <v>126.03</v>
      </c>
      <c r="J102" s="18" t="n">
        <v>2139.08</v>
      </c>
      <c r="K102" s="9" t="n"/>
      <c r="L102" s="18" t="n">
        <v>575.96</v>
      </c>
      <c r="N102" s="18" t="n">
        <v>788.4299999999999</v>
      </c>
      <c r="O102" s="18" t="n">
        <v>172.38</v>
      </c>
      <c r="P102" s="9" t="n"/>
      <c r="Q102" s="18" t="n">
        <v>17.79</v>
      </c>
      <c r="R102" s="18" t="n">
        <v>49.53</v>
      </c>
      <c r="S102" s="18" t="n">
        <v>53.62</v>
      </c>
      <c r="T102" s="18" t="n">
        <v>121.19</v>
      </c>
      <c r="U102" s="37" t="n">
        <v>242.13</v>
      </c>
      <c r="V102" s="18" t="n">
        <v>74.8</v>
      </c>
      <c r="W102" s="18" t="n">
        <v>3.35</v>
      </c>
      <c r="X102" s="18" t="n">
        <v>551.33</v>
      </c>
      <c r="Y102" s="18" t="n">
        <v>286.91</v>
      </c>
      <c r="Z102" s="37" t="n">
        <v>916.39</v>
      </c>
      <c r="AA102" s="18" t="n">
        <v>35.09</v>
      </c>
      <c r="AB102" s="19" t="n">
        <v>0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무형자산의감소</t>
        </is>
      </c>
      <c r="F103" s="9" t="n"/>
      <c r="K103" s="9" t="n"/>
      <c r="O103" s="18" t="n">
        <v>0</v>
      </c>
      <c r="P103" s="9" t="n"/>
      <c r="S103" s="18" t="n">
        <v>0</v>
      </c>
      <c r="T103" s="18" t="n">
        <v>0</v>
      </c>
      <c r="U103" s="9" t="n"/>
      <c r="X103" s="18" t="n">
        <v>827.97</v>
      </c>
      <c r="Y103" s="18" t="n">
        <v>0</v>
      </c>
      <c r="Z103" s="9" t="n"/>
      <c r="AB103" s="5" t="n"/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사채의감소</t>
        </is>
      </c>
      <c r="F104" s="9" t="n"/>
      <c r="K104" s="9" t="n"/>
      <c r="O104" s="18" t="n">
        <v>0</v>
      </c>
      <c r="P104" s="9" t="n"/>
      <c r="U104" s="9" t="n"/>
      <c r="Z104" s="9" t="n"/>
      <c r="AB104" s="5" t="n"/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SK오션플랜트(별)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299142.43</v>
      </c>
      <c r="F5" s="37" t="n">
        <v>299142.43</v>
      </c>
      <c r="G5" s="18" t="n">
        <v>350443.72</v>
      </c>
      <c r="H5" s="18" t="n">
        <v>368584.84</v>
      </c>
      <c r="I5" s="18" t="n">
        <v>801247.63</v>
      </c>
      <c r="J5" s="18" t="n">
        <v>629263.16</v>
      </c>
      <c r="K5" s="37" t="n">
        <v>629263.16</v>
      </c>
      <c r="L5" s="18" t="n">
        <v>728512.45</v>
      </c>
      <c r="M5" s="18" t="n">
        <v>775578.4</v>
      </c>
      <c r="N5" s="18" t="n">
        <v>807785.55</v>
      </c>
      <c r="O5" s="18" t="n">
        <v>764532.96</v>
      </c>
      <c r="P5" s="37" t="n">
        <v>764532.96</v>
      </c>
      <c r="Q5" s="18" t="n">
        <v>759392.4399999999</v>
      </c>
      <c r="R5" s="18" t="n">
        <v>686506.42</v>
      </c>
      <c r="S5" s="18" t="n">
        <v>564935.34</v>
      </c>
      <c r="T5" s="18" t="n">
        <v>581139.84</v>
      </c>
      <c r="U5" s="37" t="n">
        <v>581139.84</v>
      </c>
      <c r="V5" s="18" t="n">
        <v>532993.9</v>
      </c>
      <c r="W5" s="18" t="n">
        <v>443460.61</v>
      </c>
      <c r="X5" s="18" t="n">
        <v>283860.4</v>
      </c>
      <c r="Y5" s="18" t="n">
        <v>223564.26</v>
      </c>
      <c r="Z5" s="37" t="n">
        <v>223564.26</v>
      </c>
      <c r="AA5" s="18" t="n">
        <v>220144.37</v>
      </c>
      <c r="AB5" s="19" t="n">
        <v>254844.88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92503.53</v>
      </c>
      <c r="F6" s="37" t="n">
        <v>92503.53</v>
      </c>
      <c r="G6" s="18" t="n">
        <v>66938.69</v>
      </c>
      <c r="H6" s="18" t="n">
        <v>51300.01</v>
      </c>
      <c r="I6" s="18" t="n">
        <v>124061.7</v>
      </c>
      <c r="J6" s="18" t="n">
        <v>78620.87</v>
      </c>
      <c r="K6" s="37" t="n">
        <v>78620.87</v>
      </c>
      <c r="L6" s="18" t="n">
        <v>80961.64999999999</v>
      </c>
      <c r="M6" s="18" t="n">
        <v>73448</v>
      </c>
      <c r="N6" s="18" t="n">
        <v>75394.88</v>
      </c>
      <c r="O6" s="18" t="n">
        <v>32987.38</v>
      </c>
      <c r="P6" s="37" t="n">
        <v>32987.38</v>
      </c>
      <c r="Q6" s="18" t="n">
        <v>47444.2</v>
      </c>
      <c r="R6" s="18" t="n">
        <v>49174.34</v>
      </c>
      <c r="S6" s="18" t="n">
        <v>36981.76</v>
      </c>
      <c r="T6" s="18" t="n">
        <v>47653.33</v>
      </c>
      <c r="U6" s="37" t="n">
        <v>47653.33</v>
      </c>
      <c r="V6" s="18" t="n">
        <v>113568.03</v>
      </c>
      <c r="W6" s="18" t="n">
        <v>82238.32000000001</v>
      </c>
      <c r="X6" s="18" t="n">
        <v>52301.01</v>
      </c>
      <c r="Y6" s="18" t="n">
        <v>20564.23</v>
      </c>
      <c r="Z6" s="37" t="n">
        <v>20564.23</v>
      </c>
      <c r="AA6" s="18" t="n">
        <v>21641.86</v>
      </c>
      <c r="AB6" s="19" t="n">
        <v>38121.56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31041.05</v>
      </c>
      <c r="F7" s="37" t="n">
        <v>31041.05</v>
      </c>
      <c r="G7" s="18" t="n">
        <v>43815.74</v>
      </c>
      <c r="H7" s="18" t="n">
        <v>54928.47</v>
      </c>
      <c r="I7" s="18" t="n">
        <v>35339.59</v>
      </c>
      <c r="J7" s="18" t="n">
        <v>63084.24</v>
      </c>
      <c r="K7" s="37" t="n">
        <v>63084.24</v>
      </c>
      <c r="L7" s="18" t="n">
        <v>70402.24000000001</v>
      </c>
      <c r="M7" s="18" t="n">
        <v>34657.77</v>
      </c>
      <c r="N7" s="18" t="n">
        <v>46674.39</v>
      </c>
      <c r="O7" s="18" t="n">
        <v>16209.49</v>
      </c>
      <c r="P7" s="37" t="n">
        <v>16209.49</v>
      </c>
      <c r="Q7" s="18" t="n">
        <v>10139.24</v>
      </c>
      <c r="R7" s="18" t="n">
        <v>9121.51</v>
      </c>
      <c r="S7" s="18" t="n">
        <v>7808.47</v>
      </c>
      <c r="T7" s="18" t="n">
        <v>11901.92</v>
      </c>
      <c r="U7" s="37" t="n">
        <v>11901.92</v>
      </c>
      <c r="V7" s="18" t="n">
        <v>35648.79</v>
      </c>
      <c r="W7" s="18" t="n">
        <v>21702.97</v>
      </c>
      <c r="X7" s="18" t="n">
        <v>45663.54</v>
      </c>
      <c r="Y7" s="18" t="n">
        <v>48208.07</v>
      </c>
      <c r="Z7" s="37" t="n">
        <v>48208.07</v>
      </c>
      <c r="AA7" s="18" t="n">
        <v>11862.38</v>
      </c>
      <c r="AB7" s="19" t="n">
        <v>47732.07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계약자산</t>
        </is>
      </c>
      <c r="E8" s="18" t="n">
        <v>72817.50999999999</v>
      </c>
      <c r="F8" s="37" t="n">
        <v>72817.50999999999</v>
      </c>
      <c r="G8" s="18" t="n">
        <v>81900.66</v>
      </c>
      <c r="H8" s="18" t="n">
        <v>86017.25999999999</v>
      </c>
      <c r="I8" s="18" t="n">
        <v>124483.76</v>
      </c>
      <c r="J8" s="18" t="n">
        <v>159062.59</v>
      </c>
      <c r="K8" s="37" t="n">
        <v>159062.59</v>
      </c>
      <c r="L8" s="18" t="n">
        <v>180472.08</v>
      </c>
      <c r="M8" s="18" t="n">
        <v>213390.01</v>
      </c>
      <c r="N8" s="18" t="n">
        <v>213858.72</v>
      </c>
      <c r="O8" s="18" t="n">
        <v>202764.67</v>
      </c>
      <c r="P8" s="37" t="n">
        <v>202764.67</v>
      </c>
      <c r="Q8" s="18" t="n">
        <v>181124.71</v>
      </c>
      <c r="R8" s="18" t="n">
        <v>109119.83</v>
      </c>
      <c r="S8" s="18" t="n">
        <v>90661.55</v>
      </c>
      <c r="T8" s="18" t="n">
        <v>56307.14</v>
      </c>
      <c r="U8" s="37" t="n">
        <v>56307.14</v>
      </c>
      <c r="V8" s="18" t="n">
        <v>31227.03</v>
      </c>
      <c r="W8" s="18" t="n">
        <v>16484.28</v>
      </c>
      <c r="X8" s="18" t="n">
        <v>50129.15</v>
      </c>
      <c r="Y8" s="18" t="n">
        <v>78610.16</v>
      </c>
      <c r="Z8" s="37" t="n">
        <v>78610.16</v>
      </c>
      <c r="AA8" s="18" t="n">
        <v>144185.62</v>
      </c>
      <c r="AB8" s="19" t="n">
        <v>121203.98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기타유동금융자산</t>
        </is>
      </c>
      <c r="E9" s="18" t="n">
        <v>24392.37</v>
      </c>
      <c r="F9" s="37" t="n">
        <v>24392.37</v>
      </c>
      <c r="G9" s="18" t="n">
        <v>84104.66</v>
      </c>
      <c r="H9" s="18" t="n">
        <v>58894.17</v>
      </c>
      <c r="I9" s="18" t="n">
        <v>392971.61</v>
      </c>
      <c r="J9" s="18" t="n">
        <v>146388.21</v>
      </c>
      <c r="K9" s="37" t="n">
        <v>146388.21</v>
      </c>
      <c r="L9" s="18" t="n">
        <v>59996.6</v>
      </c>
      <c r="M9" s="18" t="n">
        <v>70838.83</v>
      </c>
      <c r="N9" s="18" t="n">
        <v>70634.64999999999</v>
      </c>
      <c r="O9" s="18" t="n">
        <v>81958.25999999999</v>
      </c>
      <c r="P9" s="37" t="n">
        <v>81958.25999999999</v>
      </c>
      <c r="Q9" s="18" t="n">
        <v>40782.18</v>
      </c>
      <c r="R9" s="18" t="n">
        <v>35788.42</v>
      </c>
      <c r="S9" s="18" t="n">
        <v>34019.85</v>
      </c>
      <c r="T9" s="18" t="n">
        <v>30684.15</v>
      </c>
      <c r="U9" s="37" t="n">
        <v>30684.15</v>
      </c>
      <c r="V9" s="18" t="n">
        <v>30676.64</v>
      </c>
      <c r="W9" s="18" t="n">
        <v>93486.32000000001</v>
      </c>
      <c r="X9" s="18" t="n">
        <v>8007.72</v>
      </c>
      <c r="Y9" s="18" t="n">
        <v>864.53</v>
      </c>
      <c r="Z9" s="37" t="n">
        <v>864.53</v>
      </c>
      <c r="AA9" s="18" t="n">
        <v>911.83</v>
      </c>
      <c r="AB9" s="19" t="n">
        <v>1284.31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28886.75</v>
      </c>
      <c r="F10" s="37" t="n">
        <v>28886.75</v>
      </c>
      <c r="G10" s="18" t="n">
        <v>19725.03</v>
      </c>
      <c r="H10" s="18" t="n">
        <v>8243.66</v>
      </c>
      <c r="I10" s="18" t="n">
        <v>2920.2</v>
      </c>
      <c r="J10" s="18" t="n">
        <v>7644.01</v>
      </c>
      <c r="K10" s="37" t="n">
        <v>7644.01</v>
      </c>
      <c r="L10" s="18" t="n">
        <v>9323.68</v>
      </c>
      <c r="M10" s="18" t="n">
        <v>9820</v>
      </c>
      <c r="N10" s="18" t="n">
        <v>4843.46</v>
      </c>
      <c r="O10" s="18" t="n">
        <v>2385.47</v>
      </c>
      <c r="P10" s="37" t="n">
        <v>2385.47</v>
      </c>
      <c r="Q10" s="18" t="n">
        <v>8556.809999999999</v>
      </c>
      <c r="R10" s="18" t="n">
        <v>3192.24</v>
      </c>
      <c r="S10" s="18" t="n">
        <v>4704.13</v>
      </c>
      <c r="T10" s="18" t="n">
        <v>9079.02</v>
      </c>
      <c r="U10" s="37" t="n">
        <v>9079.02</v>
      </c>
      <c r="V10" s="18" t="n">
        <v>6974.63</v>
      </c>
      <c r="W10" s="18" t="n">
        <v>4681.34</v>
      </c>
      <c r="X10" s="18" t="n">
        <v>7342.51</v>
      </c>
      <c r="Y10" s="18" t="n">
        <v>4189.99</v>
      </c>
      <c r="Z10" s="37" t="n">
        <v>4189.99</v>
      </c>
      <c r="AA10" s="18" t="n">
        <v>1290.08</v>
      </c>
      <c r="AB10" s="19" t="n">
        <v>5265.21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기타유동자산</t>
        </is>
      </c>
      <c r="E11" s="18" t="n">
        <v>49501.21</v>
      </c>
      <c r="F11" s="37" t="n">
        <v>49501.21</v>
      </c>
      <c r="G11" s="18" t="n">
        <v>53958.95</v>
      </c>
      <c r="H11" s="18" t="n">
        <v>109201.27</v>
      </c>
      <c r="I11" s="18" t="n">
        <v>121470.76</v>
      </c>
      <c r="J11" s="18" t="n">
        <v>174463.24</v>
      </c>
      <c r="K11" s="37" t="n">
        <v>174463.24</v>
      </c>
      <c r="L11" s="18" t="n">
        <v>327356.19</v>
      </c>
      <c r="M11" s="18" t="n">
        <v>373423.79</v>
      </c>
      <c r="N11" s="18" t="n">
        <v>396379.46</v>
      </c>
      <c r="O11" s="18" t="n">
        <v>428227.69</v>
      </c>
      <c r="P11" s="37" t="n">
        <v>428227.69</v>
      </c>
      <c r="Q11" s="18" t="n">
        <v>471169.03</v>
      </c>
      <c r="R11" s="18" t="n">
        <v>478290.54</v>
      </c>
      <c r="S11" s="18" t="n">
        <v>390759.58</v>
      </c>
      <c r="T11" s="18" t="n">
        <v>406845.25</v>
      </c>
      <c r="U11" s="37" t="n">
        <v>406845.25</v>
      </c>
      <c r="V11" s="18" t="n">
        <v>298104.78</v>
      </c>
      <c r="W11" s="18" t="n">
        <v>223970.23</v>
      </c>
      <c r="X11" s="18" t="n">
        <v>114706.68</v>
      </c>
      <c r="Y11" s="18" t="n">
        <v>63802.37</v>
      </c>
      <c r="Z11" s="37" t="n">
        <v>63802.37</v>
      </c>
      <c r="AA11" s="18" t="n">
        <v>34497.78</v>
      </c>
      <c r="AB11" s="19" t="n">
        <v>36416.8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비유동자산</t>
        </is>
      </c>
      <c r="E12" s="18" t="n">
        <v>323883.05</v>
      </c>
      <c r="F12" s="37" t="n">
        <v>323883.05</v>
      </c>
      <c r="G12" s="18" t="n">
        <v>326314.39</v>
      </c>
      <c r="H12" s="18" t="n">
        <v>338184.46</v>
      </c>
      <c r="I12" s="18" t="n">
        <v>351706.61</v>
      </c>
      <c r="J12" s="18" t="n">
        <v>560802.89</v>
      </c>
      <c r="K12" s="37" t="n">
        <v>560802.89</v>
      </c>
      <c r="L12" s="18" t="n">
        <v>583794.86</v>
      </c>
      <c r="M12" s="18" t="n">
        <v>567715.7</v>
      </c>
      <c r="N12" s="18" t="n">
        <v>594332.38</v>
      </c>
      <c r="O12" s="18" t="n">
        <v>609927.4399999999</v>
      </c>
      <c r="P12" s="37" t="n">
        <v>609927.4399999999</v>
      </c>
      <c r="Q12" s="18" t="n">
        <v>672472.66</v>
      </c>
      <c r="R12" s="18" t="n">
        <v>690443.91</v>
      </c>
      <c r="S12" s="18" t="n">
        <v>744871.47</v>
      </c>
      <c r="T12" s="18" t="n">
        <v>782602.54</v>
      </c>
      <c r="U12" s="37" t="n">
        <v>782602.54</v>
      </c>
      <c r="V12" s="18" t="n">
        <v>797871.5699999999</v>
      </c>
      <c r="W12" s="18" t="n">
        <v>799950.83</v>
      </c>
      <c r="X12" s="18" t="n">
        <v>817544.5600000001</v>
      </c>
      <c r="Y12" s="18" t="n">
        <v>858167.5699999999</v>
      </c>
      <c r="Z12" s="37" t="n">
        <v>858167.5699999999</v>
      </c>
      <c r="AA12" s="18" t="n">
        <v>878693.55</v>
      </c>
      <c r="AB12" s="19" t="n">
        <v>892851.85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장기금융자산</t>
        </is>
      </c>
      <c r="E13" s="18" t="n">
        <v>5722.77</v>
      </c>
      <c r="F13" s="37" t="n">
        <v>5722.77</v>
      </c>
      <c r="G13" s="18" t="n">
        <v>6716.28</v>
      </c>
      <c r="H13" s="18" t="n">
        <v>12018.19</v>
      </c>
      <c r="I13" s="18" t="n">
        <v>15553.39</v>
      </c>
      <c r="J13" s="18" t="n">
        <v>78964.61</v>
      </c>
      <c r="K13" s="37" t="n">
        <v>78964.61</v>
      </c>
      <c r="L13" s="18" t="n">
        <v>86346.38</v>
      </c>
      <c r="M13" s="18" t="n">
        <v>52289.95</v>
      </c>
      <c r="N13" s="18" t="n">
        <v>52306.15</v>
      </c>
      <c r="O13" s="18" t="n">
        <v>13781.84</v>
      </c>
      <c r="P13" s="37" t="n">
        <v>13781.84</v>
      </c>
      <c r="Q13" s="18" t="n">
        <v>39388.36</v>
      </c>
      <c r="R13" s="18" t="n">
        <v>13836.26</v>
      </c>
      <c r="S13" s="18" t="n">
        <v>16041.29</v>
      </c>
      <c r="T13" s="18" t="n">
        <v>13916.91</v>
      </c>
      <c r="U13" s="37" t="n">
        <v>13916.91</v>
      </c>
      <c r="V13" s="18" t="n">
        <v>13914.88</v>
      </c>
      <c r="W13" s="18" t="n">
        <v>13851.17</v>
      </c>
      <c r="X13" s="18" t="n">
        <v>13911.05</v>
      </c>
      <c r="Y13" s="18" t="n">
        <v>21144.08</v>
      </c>
      <c r="Z13" s="37" t="n">
        <v>21144.08</v>
      </c>
      <c r="AA13" s="18" t="n">
        <v>24857.11</v>
      </c>
      <c r="AB13" s="19" t="n">
        <v>26500.93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투자자산</t>
        </is>
      </c>
      <c r="E14" s="18" t="n">
        <v>72267.67999999999</v>
      </c>
      <c r="F14" s="37" t="n">
        <v>72267.67999999999</v>
      </c>
      <c r="G14" s="18" t="n">
        <v>75700.23</v>
      </c>
      <c r="H14" s="18" t="n">
        <v>87603.38</v>
      </c>
      <c r="I14" s="18" t="n">
        <v>94431.33</v>
      </c>
      <c r="J14" s="18" t="n">
        <v>195967.96</v>
      </c>
      <c r="K14" s="37" t="n">
        <v>195967.96</v>
      </c>
      <c r="L14" s="18" t="n">
        <v>207155.96</v>
      </c>
      <c r="M14" s="18" t="n">
        <v>176011</v>
      </c>
      <c r="N14" s="18" t="n">
        <v>52306.15</v>
      </c>
      <c r="O14" s="18" t="n">
        <v>13781.84</v>
      </c>
      <c r="P14" s="37" t="n">
        <v>13781.84</v>
      </c>
      <c r="Q14" s="18" t="n">
        <v>166389.13</v>
      </c>
      <c r="R14" s="18" t="n">
        <v>148947.35</v>
      </c>
      <c r="S14" s="18" t="n">
        <v>156991.66</v>
      </c>
      <c r="T14" s="18" t="n">
        <v>160226.41</v>
      </c>
      <c r="U14" s="37" t="n">
        <v>160226.41</v>
      </c>
      <c r="V14" s="18" t="n">
        <v>155863.18</v>
      </c>
      <c r="W14" s="18" t="n">
        <v>144553.19</v>
      </c>
      <c r="X14" s="18" t="n">
        <v>145036.2</v>
      </c>
      <c r="Y14" s="18" t="n">
        <v>172319.17</v>
      </c>
      <c r="Z14" s="37" t="n">
        <v>172319.17</v>
      </c>
      <c r="AA14" s="18" t="n">
        <v>175674.42</v>
      </c>
      <c r="AB14" s="19" t="n">
        <v>181551.33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유형자산</t>
        </is>
      </c>
      <c r="E15" s="18" t="n">
        <v>248537.16</v>
      </c>
      <c r="F15" s="37" t="n">
        <v>248537.16</v>
      </c>
      <c r="G15" s="18" t="n">
        <v>247232.46</v>
      </c>
      <c r="H15" s="18" t="n">
        <v>246880.8</v>
      </c>
      <c r="I15" s="18" t="n">
        <v>254024.67</v>
      </c>
      <c r="J15" s="18" t="n">
        <v>358317.12</v>
      </c>
      <c r="K15" s="37" t="n">
        <v>358317.12</v>
      </c>
      <c r="L15" s="18" t="n">
        <v>369878.47</v>
      </c>
      <c r="M15" s="18" t="n">
        <v>385847.21</v>
      </c>
      <c r="N15" s="18" t="n">
        <v>410731.25</v>
      </c>
      <c r="O15" s="18" t="n">
        <v>468184.9</v>
      </c>
      <c r="P15" s="37" t="n">
        <v>468184.9</v>
      </c>
      <c r="Q15" s="18" t="n">
        <v>498549.49</v>
      </c>
      <c r="R15" s="18" t="n">
        <v>534970.76</v>
      </c>
      <c r="S15" s="18" t="n">
        <v>580788.48</v>
      </c>
      <c r="T15" s="18" t="n">
        <v>613992.77</v>
      </c>
      <c r="U15" s="37" t="n">
        <v>613992.77</v>
      </c>
      <c r="V15" s="18" t="n">
        <v>634090.52</v>
      </c>
      <c r="W15" s="18" t="n">
        <v>647704.91</v>
      </c>
      <c r="X15" s="18" t="n">
        <v>664360.24</v>
      </c>
      <c r="Y15" s="18" t="n">
        <v>680300.61</v>
      </c>
      <c r="Z15" s="37" t="n">
        <v>680300.61</v>
      </c>
      <c r="AA15" s="18" t="n">
        <v>697505.39</v>
      </c>
      <c r="AB15" s="5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무형자산</t>
        </is>
      </c>
      <c r="E16" s="18" t="n">
        <v>2395.75</v>
      </c>
      <c r="F16" s="37" t="n">
        <v>2395.75</v>
      </c>
      <c r="G16" s="18" t="n">
        <v>2768.98</v>
      </c>
      <c r="H16" s="18" t="n">
        <v>2738.51</v>
      </c>
      <c r="I16" s="18" t="n">
        <v>2639.47</v>
      </c>
      <c r="J16" s="18" t="n">
        <v>4832.63</v>
      </c>
      <c r="K16" s="37" t="n">
        <v>4832.63</v>
      </c>
      <c r="L16" s="18" t="n">
        <v>5313.32</v>
      </c>
      <c r="M16" s="18" t="n">
        <v>5141.4</v>
      </c>
      <c r="P16" s="9" t="n"/>
      <c r="Q16" s="18" t="n">
        <v>5122.49</v>
      </c>
      <c r="R16" s="18" t="n">
        <v>3400.81</v>
      </c>
      <c r="S16" s="18" t="n">
        <v>3203.98</v>
      </c>
      <c r="T16" s="18" t="n">
        <v>3177.48</v>
      </c>
      <c r="U16" s="37" t="n">
        <v>3177.48</v>
      </c>
      <c r="V16" s="18" t="n">
        <v>2974.88</v>
      </c>
      <c r="W16" s="18" t="n">
        <v>2788.2</v>
      </c>
      <c r="X16" s="18" t="n">
        <v>2331.3</v>
      </c>
      <c r="Y16" s="18" t="n">
        <v>2454.15</v>
      </c>
      <c r="Z16" s="37" t="n">
        <v>2454.15</v>
      </c>
      <c r="AA16" s="18" t="n">
        <v>2265.7</v>
      </c>
      <c r="AB16" s="19" t="n">
        <v>2099.18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66544.91</v>
      </c>
      <c r="F17" s="37" t="n">
        <v>66544.91</v>
      </c>
      <c r="G17" s="18" t="n">
        <v>68983.95</v>
      </c>
      <c r="H17" s="18" t="n">
        <v>75585.19</v>
      </c>
      <c r="I17" s="18" t="n">
        <v>78877.94</v>
      </c>
      <c r="J17" s="18" t="n">
        <v>117003.35</v>
      </c>
      <c r="K17" s="37" t="n">
        <v>117003.35</v>
      </c>
      <c r="L17" s="18" t="n">
        <v>120809.58</v>
      </c>
      <c r="M17" s="18" t="n">
        <v>123721.05</v>
      </c>
      <c r="P17" s="9" t="n"/>
      <c r="Q17" s="18" t="n">
        <v>127000.77</v>
      </c>
      <c r="R17" s="18" t="n">
        <v>133054.05</v>
      </c>
      <c r="S17" s="18" t="n">
        <v>140950.37</v>
      </c>
      <c r="T17" s="18" t="n">
        <v>134472.94</v>
      </c>
      <c r="U17" s="37" t="n">
        <v>134472.94</v>
      </c>
      <c r="V17" s="18" t="n">
        <v>131488.04</v>
      </c>
      <c r="W17" s="18" t="n">
        <v>130326.08</v>
      </c>
      <c r="X17" s="18" t="n">
        <v>129777.22</v>
      </c>
      <c r="Y17" s="18" t="n">
        <v>151175.09</v>
      </c>
      <c r="Z17" s="37" t="n">
        <v>151175.09</v>
      </c>
      <c r="AA17" s="18" t="n">
        <v>150817.31</v>
      </c>
      <c r="AB17" s="19" t="n">
        <v>155050.4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이연법인세자산</t>
        </is>
      </c>
      <c r="E18" s="18" t="n">
        <v>198.33</v>
      </c>
      <c r="F18" s="37" t="n">
        <v>198.33</v>
      </c>
      <c r="G18" s="18" t="n">
        <v>248.59</v>
      </c>
      <c r="H18" s="18" t="n">
        <v>497.14</v>
      </c>
      <c r="K18" s="9" t="n"/>
      <c r="O18" s="18" t="n">
        <v>1109.32</v>
      </c>
      <c r="P18" s="37" t="n">
        <v>1109.32</v>
      </c>
      <c r="Q18" s="18" t="n">
        <v>920.51</v>
      </c>
      <c r="R18" s="18" t="n">
        <v>1149.34</v>
      </c>
      <c r="S18" s="18" t="n">
        <v>1615.44</v>
      </c>
      <c r="T18" s="18" t="n">
        <v>2472.6</v>
      </c>
      <c r="U18" s="37" t="n">
        <v>2472.6</v>
      </c>
      <c r="V18" s="18" t="n">
        <v>2886.7</v>
      </c>
      <c r="W18" s="18" t="n">
        <v>3702.42</v>
      </c>
      <c r="X18" s="18" t="n">
        <v>4483.93</v>
      </c>
      <c r="Y18" s="18" t="n">
        <v>2316.66</v>
      </c>
      <c r="Z18" s="37" t="n">
        <v>2316.66</v>
      </c>
      <c r="AA18" s="18" t="n">
        <v>2252.36</v>
      </c>
      <c r="AB18" s="19" t="n">
        <v>2252.62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자산총계</t>
        </is>
      </c>
      <c r="E19" s="18" t="n">
        <v>623025.48</v>
      </c>
      <c r="F19" s="37" t="n">
        <v>623025.48</v>
      </c>
      <c r="G19" s="18" t="n">
        <v>676758.11</v>
      </c>
      <c r="H19" s="18" t="n">
        <v>706769.3</v>
      </c>
      <c r="I19" s="18" t="n">
        <v>1152954.23</v>
      </c>
      <c r="J19" s="18" t="n">
        <v>1190066.05</v>
      </c>
      <c r="K19" s="37" t="n">
        <v>1190066.05</v>
      </c>
      <c r="L19" s="18" t="n">
        <v>1312307.31</v>
      </c>
      <c r="M19" s="18" t="n">
        <v>1343294.1</v>
      </c>
      <c r="N19" s="18" t="n">
        <v>1402117.93</v>
      </c>
      <c r="O19" s="18" t="n">
        <v>1374460.4</v>
      </c>
      <c r="P19" s="37" t="n">
        <v>1374460.4</v>
      </c>
      <c r="Q19" s="18" t="n">
        <v>1431865.1</v>
      </c>
      <c r="R19" s="18" t="n">
        <v>1376950.33</v>
      </c>
      <c r="S19" s="18" t="n">
        <v>1309806.81</v>
      </c>
      <c r="T19" s="18" t="n">
        <v>1363742.38</v>
      </c>
      <c r="U19" s="37" t="n">
        <v>1363742.38</v>
      </c>
      <c r="V19" s="18" t="n">
        <v>1330865.46</v>
      </c>
      <c r="W19" s="18" t="n">
        <v>1243411.44</v>
      </c>
      <c r="X19" s="18" t="n">
        <v>1101404.96</v>
      </c>
      <c r="Y19" s="18" t="n">
        <v>1081731.83</v>
      </c>
      <c r="Z19" s="37" t="n">
        <v>1081731.83</v>
      </c>
      <c r="AA19" s="18" t="n">
        <v>1098837.92</v>
      </c>
      <c r="AB19" s="19" t="n">
        <v>1147696.73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유동부채</t>
        </is>
      </c>
      <c r="E20" s="18" t="n">
        <v>404183.81</v>
      </c>
      <c r="F20" s="37" t="n">
        <v>404183.81</v>
      </c>
      <c r="G20" s="18" t="n">
        <v>481767.02</v>
      </c>
      <c r="H20" s="18" t="n">
        <v>503437.45</v>
      </c>
      <c r="I20" s="18" t="n">
        <v>613531.35</v>
      </c>
      <c r="J20" s="18" t="n">
        <v>616965.15</v>
      </c>
      <c r="K20" s="37" t="n">
        <v>616965.15</v>
      </c>
      <c r="L20" s="18" t="n">
        <v>750713.1899999999</v>
      </c>
      <c r="M20" s="18" t="n">
        <v>755777.75</v>
      </c>
      <c r="N20" s="18" t="n">
        <v>685140.85</v>
      </c>
      <c r="O20" s="18" t="n">
        <v>632522.02</v>
      </c>
      <c r="P20" s="37" t="n">
        <v>632522.02</v>
      </c>
      <c r="Q20" s="18" t="n">
        <v>687950.7</v>
      </c>
      <c r="R20" s="18" t="n">
        <v>648829.09</v>
      </c>
      <c r="S20" s="18" t="n">
        <v>573648.11</v>
      </c>
      <c r="T20" s="18" t="n">
        <v>591324.71</v>
      </c>
      <c r="U20" s="37" t="n">
        <v>591324.71</v>
      </c>
      <c r="V20" s="18" t="n">
        <v>513038.55</v>
      </c>
      <c r="W20" s="18" t="n">
        <v>415056.46</v>
      </c>
      <c r="X20" s="18" t="n">
        <v>236963.07</v>
      </c>
      <c r="Y20" s="18" t="n">
        <v>185939.85</v>
      </c>
      <c r="Z20" s="37" t="n">
        <v>185939.85</v>
      </c>
      <c r="AA20" s="18" t="n">
        <v>188020.89</v>
      </c>
      <c r="AB20" s="19" t="n">
        <v>221996.84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매입채무및기타채무</t>
        </is>
      </c>
      <c r="E21" s="18" t="n">
        <v>84783.17</v>
      </c>
      <c r="F21" s="37" t="n">
        <v>84783.17</v>
      </c>
      <c r="G21" s="18" t="n">
        <v>91898.84</v>
      </c>
      <c r="H21" s="18" t="n">
        <v>76595.64</v>
      </c>
      <c r="I21" s="18" t="n">
        <v>78425.49000000001</v>
      </c>
      <c r="J21" s="18" t="n">
        <v>89098.99000000001</v>
      </c>
      <c r="K21" s="37" t="n">
        <v>89098.99000000001</v>
      </c>
      <c r="L21" s="18" t="n">
        <v>144120.81</v>
      </c>
      <c r="M21" s="18" t="n">
        <v>86046.78999999999</v>
      </c>
      <c r="N21" s="18" t="n">
        <v>23174.67</v>
      </c>
      <c r="O21" s="18" t="n">
        <v>18594.06</v>
      </c>
      <c r="P21" s="37" t="n">
        <v>18594.06</v>
      </c>
      <c r="Q21" s="18" t="n">
        <v>59808.32</v>
      </c>
      <c r="R21" s="18" t="n">
        <v>57087.28</v>
      </c>
      <c r="S21" s="18" t="n">
        <v>52830.67</v>
      </c>
      <c r="T21" s="18" t="n">
        <v>77192.17999999999</v>
      </c>
      <c r="U21" s="37" t="n">
        <v>77192.17999999999</v>
      </c>
      <c r="V21" s="18" t="n">
        <v>87018.05</v>
      </c>
      <c r="W21" s="18" t="n">
        <v>67373.53999999999</v>
      </c>
      <c r="X21" s="18" t="n">
        <v>76866.24000000001</v>
      </c>
      <c r="Y21" s="18" t="n">
        <v>68134.92999999999</v>
      </c>
      <c r="Z21" s="37" t="n">
        <v>68134.92999999999</v>
      </c>
      <c r="AA21" s="18" t="n">
        <v>80435.57000000001</v>
      </c>
      <c r="AB21" s="19" t="n">
        <v>77121.99000000001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단기차입금</t>
        </is>
      </c>
      <c r="E22" s="18" t="n">
        <v>123707.48</v>
      </c>
      <c r="F22" s="37" t="n">
        <v>123707.48</v>
      </c>
      <c r="G22" s="18" t="n">
        <v>150950.37</v>
      </c>
      <c r="H22" s="18" t="n">
        <v>144586.53</v>
      </c>
      <c r="I22" s="18" t="n">
        <v>142895.26</v>
      </c>
      <c r="J22" s="18" t="n">
        <v>51224.4</v>
      </c>
      <c r="K22" s="37" t="n">
        <v>51224.4</v>
      </c>
      <c r="L22" s="18" t="n">
        <v>57284.35</v>
      </c>
      <c r="M22" s="18" t="n">
        <v>69326.45</v>
      </c>
      <c r="N22" s="18" t="n">
        <v>87492.75999999999</v>
      </c>
      <c r="O22" s="18" t="n">
        <v>71474.12</v>
      </c>
      <c r="P22" s="37" t="n">
        <v>71474.12</v>
      </c>
      <c r="Q22" s="18" t="n">
        <v>101202.93</v>
      </c>
      <c r="R22" s="18" t="n">
        <v>93739.60000000001</v>
      </c>
      <c r="S22" s="18" t="n">
        <v>83762.3</v>
      </c>
      <c r="T22" s="18" t="n">
        <v>76470.39999999999</v>
      </c>
      <c r="U22" s="37" t="n">
        <v>76470.39999999999</v>
      </c>
      <c r="V22" s="18" t="n">
        <v>75720.39999999999</v>
      </c>
      <c r="W22" s="18" t="n">
        <v>74970.39999999999</v>
      </c>
      <c r="X22" s="18" t="n">
        <v>78670.39999999999</v>
      </c>
      <c r="Y22" s="18" t="n">
        <v>77476.23</v>
      </c>
      <c r="Z22" s="37" t="n">
        <v>77476.23</v>
      </c>
      <c r="AA22" s="18" t="n">
        <v>55618.63</v>
      </c>
      <c r="AB22" s="19" t="n">
        <v>80761.03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기타유동금융부채</t>
        </is>
      </c>
      <c r="E23" s="18" t="n">
        <v>2081.03</v>
      </c>
      <c r="F23" s="37" t="n">
        <v>2081.03</v>
      </c>
      <c r="G23" s="18" t="n">
        <v>2412.85</v>
      </c>
      <c r="H23" s="18" t="n">
        <v>3948.71</v>
      </c>
      <c r="I23" s="18" t="n">
        <v>8312.440000000001</v>
      </c>
      <c r="J23" s="18" t="n">
        <v>17117.74</v>
      </c>
      <c r="K23" s="37" t="n">
        <v>17117.74</v>
      </c>
      <c r="L23" s="18" t="n">
        <v>17449.98</v>
      </c>
      <c r="M23" s="18" t="n">
        <v>12063.34</v>
      </c>
      <c r="N23" s="18" t="n">
        <v>12139.9</v>
      </c>
      <c r="O23" s="18" t="n">
        <v>9465.959999999999</v>
      </c>
      <c r="P23" s="37" t="n">
        <v>9465.959999999999</v>
      </c>
      <c r="Q23" s="18" t="n">
        <v>9433.360000000001</v>
      </c>
      <c r="R23" s="18" t="n">
        <v>11236.93</v>
      </c>
      <c r="S23" s="18" t="n">
        <v>7352.58</v>
      </c>
      <c r="T23" s="18" t="n">
        <v>20961.73</v>
      </c>
      <c r="U23" s="37" t="n">
        <v>20961.73</v>
      </c>
      <c r="V23" s="18" t="n">
        <v>22829.55</v>
      </c>
      <c r="W23" s="18" t="n">
        <v>2762.83</v>
      </c>
      <c r="X23" s="18" t="n">
        <v>10815.5</v>
      </c>
      <c r="Y23" s="18" t="n">
        <v>13284.83</v>
      </c>
      <c r="Z23" s="37" t="n">
        <v>13284.83</v>
      </c>
      <c r="AA23" s="18" t="n">
        <v>14884.66</v>
      </c>
      <c r="AB23" s="19" t="n">
        <v>15782.16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단기금융부채</t>
        </is>
      </c>
      <c r="E24" s="18" t="n">
        <v>5612.92</v>
      </c>
      <c r="F24" s="37" t="n">
        <v>5612.92</v>
      </c>
      <c r="G24" s="18" t="n">
        <v>5953.99</v>
      </c>
      <c r="H24" s="18" t="n">
        <v>7526.79</v>
      </c>
      <c r="I24" s="18" t="n">
        <v>12015.42</v>
      </c>
      <c r="J24" s="18" t="n">
        <v>20822.47</v>
      </c>
      <c r="K24" s="37" t="n">
        <v>20822.47</v>
      </c>
      <c r="L24" s="18" t="n">
        <v>21210.39</v>
      </c>
      <c r="M24" s="18" t="n">
        <v>16051.38</v>
      </c>
      <c r="N24" s="18" t="n">
        <v>16094.09</v>
      </c>
      <c r="O24" s="18" t="n">
        <v>26533.1</v>
      </c>
      <c r="P24" s="37" t="n">
        <v>26533.1</v>
      </c>
      <c r="Q24" s="18" t="n">
        <v>24478.31</v>
      </c>
      <c r="R24" s="18" t="n">
        <v>23087.74</v>
      </c>
      <c r="S24" s="18" t="n">
        <v>21630.33</v>
      </c>
      <c r="T24" s="18" t="n">
        <v>26210.71</v>
      </c>
      <c r="U24" s="37" t="n">
        <v>26210.71</v>
      </c>
      <c r="V24" s="18" t="n">
        <v>27334.79</v>
      </c>
      <c r="W24" s="18" t="n">
        <v>7449.14</v>
      </c>
      <c r="X24" s="18" t="n">
        <v>23070.82</v>
      </c>
      <c r="Y24" s="18" t="n">
        <v>18397.18</v>
      </c>
      <c r="Z24" s="37" t="n">
        <v>18397.18</v>
      </c>
      <c r="AA24" s="18" t="n">
        <v>19305.98</v>
      </c>
      <c r="AB24" s="19" t="n">
        <v>19380.51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유동리스부채</t>
        </is>
      </c>
      <c r="E25" s="18" t="n">
        <v>3531.89</v>
      </c>
      <c r="F25" s="37" t="n">
        <v>3531.89</v>
      </c>
      <c r="G25" s="18" t="n">
        <v>3541.14</v>
      </c>
      <c r="H25" s="18" t="n">
        <v>3578.08</v>
      </c>
      <c r="I25" s="18" t="n">
        <v>3702.98</v>
      </c>
      <c r="J25" s="18" t="n">
        <v>3704.73</v>
      </c>
      <c r="K25" s="37" t="n">
        <v>3704.73</v>
      </c>
      <c r="L25" s="18" t="n">
        <v>3760.41</v>
      </c>
      <c r="M25" s="18" t="n">
        <v>3988.04</v>
      </c>
      <c r="N25" s="18" t="n">
        <v>3954.19</v>
      </c>
      <c r="O25" s="18" t="n">
        <v>17067.14</v>
      </c>
      <c r="P25" s="37" t="n">
        <v>17067.14</v>
      </c>
      <c r="Q25" s="18" t="n">
        <v>15044.95</v>
      </c>
      <c r="R25" s="18" t="n">
        <v>11850.81</v>
      </c>
      <c r="S25" s="18" t="n">
        <v>8554.66</v>
      </c>
      <c r="T25" s="18" t="n">
        <v>5248.98</v>
      </c>
      <c r="U25" s="37" t="n">
        <v>5248.98</v>
      </c>
      <c r="V25" s="18" t="n">
        <v>4505.24</v>
      </c>
      <c r="W25" s="18" t="n">
        <v>4686.31</v>
      </c>
      <c r="X25" s="18" t="n">
        <v>12255.32</v>
      </c>
      <c r="Y25" s="18" t="n">
        <v>5112.35</v>
      </c>
      <c r="Z25" s="37" t="n">
        <v>5112.35</v>
      </c>
      <c r="AA25" s="18" t="n">
        <v>4421.32</v>
      </c>
      <c r="AB25" s="19" t="n">
        <v>3598.35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리스부채</t>
        </is>
      </c>
      <c r="E26" s="18" t="n">
        <v>15215.05</v>
      </c>
      <c r="F26" s="37" t="n">
        <v>15215.05</v>
      </c>
      <c r="G26" s="18" t="n">
        <v>14589.28</v>
      </c>
      <c r="H26" s="18" t="n">
        <v>14035.31</v>
      </c>
      <c r="I26" s="18" t="n">
        <v>13832.96</v>
      </c>
      <c r="J26" s="18" t="n">
        <v>13282.59</v>
      </c>
      <c r="K26" s="37" t="n">
        <v>13282.59</v>
      </c>
      <c r="L26" s="18" t="n">
        <v>12839.85</v>
      </c>
      <c r="M26" s="18" t="n">
        <v>12803.48</v>
      </c>
      <c r="N26" s="18" t="n">
        <v>11955.34</v>
      </c>
      <c r="O26" s="18" t="n">
        <v>25473.55</v>
      </c>
      <c r="P26" s="37" t="n">
        <v>25473.55</v>
      </c>
      <c r="Q26" s="18" t="n">
        <v>21448.4</v>
      </c>
      <c r="R26" s="18" t="n">
        <v>17358.14</v>
      </c>
      <c r="S26" s="18" t="n">
        <v>13098.97</v>
      </c>
      <c r="T26" s="18" t="n">
        <v>8974.629999999999</v>
      </c>
      <c r="U26" s="37" t="n">
        <v>8974.629999999999</v>
      </c>
      <c r="V26" s="18" t="n">
        <v>8174.27</v>
      </c>
      <c r="W26" s="18" t="n">
        <v>8124.64</v>
      </c>
      <c r="X26" s="18" t="n">
        <v>14858.81</v>
      </c>
      <c r="Y26" s="18" t="n">
        <v>7427.13</v>
      </c>
      <c r="Z26" s="37" t="n">
        <v>7427.13</v>
      </c>
      <c r="AA26" s="18" t="n">
        <v>6817.56</v>
      </c>
      <c r="AB26" s="19" t="n">
        <v>5751.82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당기법인세부채(미지급법인세)</t>
        </is>
      </c>
      <c r="E27" s="18" t="n">
        <v>12410.34</v>
      </c>
      <c r="F27" s="37" t="n">
        <v>12410.34</v>
      </c>
      <c r="G27" s="18" t="n">
        <v>5353.74</v>
      </c>
      <c r="H27" s="18" t="n">
        <v>5411.13</v>
      </c>
      <c r="I27" s="18" t="n">
        <v>7156.35</v>
      </c>
      <c r="J27" s="18" t="n">
        <v>4742.2</v>
      </c>
      <c r="K27" s="37" t="n">
        <v>4742.2</v>
      </c>
      <c r="L27" s="18" t="n">
        <v>2812.25</v>
      </c>
      <c r="M27" s="18" t="n">
        <v>7473.73</v>
      </c>
      <c r="N27" s="18" t="n">
        <v>6412.71</v>
      </c>
      <c r="O27" s="18" t="n">
        <v>12196.48</v>
      </c>
      <c r="P27" s="37" t="n">
        <v>12196.48</v>
      </c>
      <c r="Q27" s="18" t="n">
        <v>1471.09</v>
      </c>
      <c r="R27" s="18" t="n">
        <v>191.61</v>
      </c>
      <c r="T27" s="18" t="n">
        <v>100.34</v>
      </c>
      <c r="U27" s="37" t="n">
        <v>100.34</v>
      </c>
      <c r="V27" s="18" t="n">
        <v>2397.48</v>
      </c>
      <c r="W27" s="18" t="n">
        <v>5571.37</v>
      </c>
      <c r="X27" s="18" t="n">
        <v>5235.42</v>
      </c>
      <c r="Y27" s="18" t="n">
        <v>6086.6</v>
      </c>
      <c r="Z27" s="37" t="n">
        <v>6086.6</v>
      </c>
      <c r="AA27" s="18" t="n">
        <v>3778.91</v>
      </c>
      <c r="AB27" s="19" t="n">
        <v>4956.45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계약부채</t>
        </is>
      </c>
      <c r="E28" s="18" t="n">
        <v>143912.69</v>
      </c>
      <c r="F28" s="37" t="n">
        <v>143912.69</v>
      </c>
      <c r="G28" s="18" t="n">
        <v>200140.1</v>
      </c>
      <c r="H28" s="18" t="n">
        <v>241216.67</v>
      </c>
      <c r="I28" s="18" t="n">
        <v>214960.1</v>
      </c>
      <c r="J28" s="18" t="n">
        <v>333193.78</v>
      </c>
      <c r="K28" s="37" t="n">
        <v>333193.78</v>
      </c>
      <c r="L28" s="18" t="n">
        <v>375814.96</v>
      </c>
      <c r="M28" s="18" t="n">
        <v>425361.31</v>
      </c>
      <c r="N28" s="18" t="n">
        <v>414943.03</v>
      </c>
      <c r="O28" s="18" t="n">
        <v>415978.96</v>
      </c>
      <c r="P28" s="37" t="n">
        <v>415978.96</v>
      </c>
      <c r="Q28" s="18" t="n">
        <v>462479.51</v>
      </c>
      <c r="R28" s="18" t="n">
        <v>435665.26</v>
      </c>
      <c r="S28" s="18" t="n">
        <v>375239.25</v>
      </c>
      <c r="T28" s="18" t="n">
        <v>368815.63</v>
      </c>
      <c r="U28" s="37" t="n">
        <v>368815.63</v>
      </c>
      <c r="V28" s="18" t="n">
        <v>277695.43</v>
      </c>
      <c r="W28" s="18" t="n">
        <v>222104.73</v>
      </c>
      <c r="X28" s="18" t="n">
        <v>47771.86</v>
      </c>
      <c r="Y28" s="18" t="n">
        <v>8943.18</v>
      </c>
      <c r="Z28" s="37" t="n">
        <v>8943.18</v>
      </c>
      <c r="AA28" s="18" t="n">
        <v>21007.95</v>
      </c>
      <c r="AB28" s="19" t="n">
        <v>32548.73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기타유동부채</t>
        </is>
      </c>
      <c r="E29" s="18" t="n">
        <v>2401.99</v>
      </c>
      <c r="F29" s="37" t="n">
        <v>2401.99</v>
      </c>
      <c r="G29" s="18" t="n">
        <v>3409.29</v>
      </c>
      <c r="H29" s="18" t="n">
        <v>3489.66</v>
      </c>
      <c r="I29" s="18" t="n">
        <v>2175.58</v>
      </c>
      <c r="J29" s="18" t="n">
        <v>1656.59</v>
      </c>
      <c r="K29" s="37" t="n">
        <v>1656.59</v>
      </c>
      <c r="L29" s="18" t="n">
        <v>3932.95</v>
      </c>
      <c r="M29" s="18" t="n">
        <v>3082.55</v>
      </c>
      <c r="N29" s="18" t="n">
        <v>3617.65</v>
      </c>
      <c r="O29" s="18" t="n">
        <v>4093.34</v>
      </c>
      <c r="P29" s="37" t="n">
        <v>4093.34</v>
      </c>
      <c r="Q29" s="18" t="n">
        <v>2917.81</v>
      </c>
      <c r="R29" s="18" t="n">
        <v>2571.74</v>
      </c>
      <c r="S29" s="18" t="n">
        <v>2774.02</v>
      </c>
      <c r="T29" s="18" t="n">
        <v>439.28</v>
      </c>
      <c r="U29" s="37" t="n">
        <v>439.28</v>
      </c>
      <c r="V29" s="18" t="n">
        <v>783.92</v>
      </c>
      <c r="W29" s="18" t="n">
        <v>779.22</v>
      </c>
      <c r="X29" s="18" t="n">
        <v>779.27</v>
      </c>
      <c r="Y29" s="18" t="n">
        <v>898.01</v>
      </c>
      <c r="Z29" s="37" t="n">
        <v>898.01</v>
      </c>
      <c r="AA29" s="18" t="n">
        <v>772.25</v>
      </c>
      <c r="AB29" s="19" t="n">
        <v>771.61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유동성장기부채</t>
        </is>
      </c>
      <c r="E30" s="18" t="n">
        <v>31355.22</v>
      </c>
      <c r="F30" s="37" t="n">
        <v>31355.22</v>
      </c>
      <c r="G30" s="18" t="n">
        <v>24060.69</v>
      </c>
      <c r="H30" s="18" t="n">
        <v>24611.02</v>
      </c>
      <c r="I30" s="18" t="n">
        <v>155903.16</v>
      </c>
      <c r="J30" s="18" t="n">
        <v>116226.72</v>
      </c>
      <c r="K30" s="37" t="n">
        <v>116226.72</v>
      </c>
      <c r="L30" s="18" t="n">
        <v>145537.48</v>
      </c>
      <c r="M30" s="18" t="n">
        <v>148435.53</v>
      </c>
      <c r="N30" s="18" t="n">
        <v>33862.34</v>
      </c>
      <c r="O30" s="18" t="n">
        <v>34721.46</v>
      </c>
      <c r="P30" s="37" t="n">
        <v>34721.46</v>
      </c>
      <c r="Q30" s="18" t="n">
        <v>35592.73</v>
      </c>
      <c r="R30" s="18" t="n">
        <v>36485.86</v>
      </c>
      <c r="S30" s="18" t="n">
        <v>37411.55</v>
      </c>
      <c r="T30" s="18" t="n">
        <v>38360.72</v>
      </c>
      <c r="U30" s="37" t="n">
        <v>38360.72</v>
      </c>
      <c r="V30" s="18" t="n">
        <v>39312.64</v>
      </c>
      <c r="W30" s="18" t="n">
        <v>28275.57</v>
      </c>
      <c r="X30" s="18" t="n">
        <v>0</v>
      </c>
      <c r="Y30" s="18" t="n">
        <v>0</v>
      </c>
      <c r="Z30" s="37" t="n">
        <v>0</v>
      </c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비유동부채</t>
        </is>
      </c>
      <c r="E31" s="18" t="n">
        <v>62973.83</v>
      </c>
      <c r="F31" s="37" t="n">
        <v>62973.83</v>
      </c>
      <c r="G31" s="18" t="n">
        <v>22029.66</v>
      </c>
      <c r="H31" s="18" t="n">
        <v>20051.61</v>
      </c>
      <c r="I31" s="18" t="n">
        <v>19042.53</v>
      </c>
      <c r="J31" s="18" t="n">
        <v>51410.65</v>
      </c>
      <c r="K31" s="37" t="n">
        <v>51410.65</v>
      </c>
      <c r="L31" s="18" t="n">
        <v>19426.4</v>
      </c>
      <c r="M31" s="18" t="n">
        <v>23961.86</v>
      </c>
      <c r="N31" s="18" t="n">
        <v>27860.23</v>
      </c>
      <c r="O31" s="18" t="n">
        <v>45089.58</v>
      </c>
      <c r="P31" s="37" t="n">
        <v>45089.58</v>
      </c>
      <c r="Q31" s="18" t="n">
        <v>42915.26</v>
      </c>
      <c r="R31" s="18" t="n">
        <v>24292.81</v>
      </c>
      <c r="S31" s="18" t="n">
        <v>23182.15</v>
      </c>
      <c r="T31" s="18" t="n">
        <v>61373.11</v>
      </c>
      <c r="U31" s="37" t="n">
        <v>61373.11</v>
      </c>
      <c r="V31" s="18" t="n">
        <v>102354.22</v>
      </c>
      <c r="W31" s="18" t="n">
        <v>90519.55</v>
      </c>
      <c r="X31" s="18" t="n">
        <v>85201.21000000001</v>
      </c>
      <c r="Y31" s="18" t="n">
        <v>78842.17</v>
      </c>
      <c r="Z31" s="37" t="n">
        <v>78842.17</v>
      </c>
      <c r="AA31" s="18" t="n">
        <v>83999.72</v>
      </c>
      <c r="AB31" s="19" t="n">
        <v>85092.17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장기차입금</t>
        </is>
      </c>
      <c r="E32" s="18" t="n">
        <v>44044.1</v>
      </c>
      <c r="F32" s="37" t="n">
        <v>44044.1</v>
      </c>
      <c r="G32" s="18" t="n">
        <v>3559.59</v>
      </c>
      <c r="H32" s="18" t="n">
        <v>2783.4</v>
      </c>
      <c r="I32" s="18" t="n">
        <v>2323.88</v>
      </c>
      <c r="J32" s="18" t="n">
        <v>7843.03</v>
      </c>
      <c r="K32" s="37" t="n">
        <v>7843.03</v>
      </c>
      <c r="L32" s="18" t="n">
        <v>7239.43</v>
      </c>
      <c r="M32" s="18" t="n">
        <v>12379.13</v>
      </c>
      <c r="N32" s="18" t="n">
        <v>16467.86</v>
      </c>
      <c r="O32" s="18" t="n">
        <v>32866.63</v>
      </c>
      <c r="P32" s="37" t="n">
        <v>32866.63</v>
      </c>
      <c r="Q32" s="18" t="n">
        <v>31759.03</v>
      </c>
      <c r="R32" s="18" t="n">
        <v>10651.43</v>
      </c>
      <c r="S32" s="18" t="n">
        <v>9543.83</v>
      </c>
      <c r="T32" s="18" t="n">
        <v>37504.23</v>
      </c>
      <c r="U32" s="37" t="n">
        <v>37504.23</v>
      </c>
      <c r="V32" s="18" t="n">
        <v>79356.63</v>
      </c>
      <c r="W32" s="18" t="n">
        <v>78249.03</v>
      </c>
      <c r="X32" s="18" t="n">
        <v>72691.42999999999</v>
      </c>
      <c r="Y32" s="18" t="n">
        <v>72028</v>
      </c>
      <c r="Z32" s="37" t="n">
        <v>72028</v>
      </c>
      <c r="AA32" s="18" t="n">
        <v>75670</v>
      </c>
      <c r="AB32" s="19" t="n">
        <v>77075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사채</t>
        </is>
      </c>
      <c r="E33" s="18" t="n">
        <v>4866.18</v>
      </c>
      <c r="F33" s="37" t="n">
        <v>4866.18</v>
      </c>
      <c r="G33" s="18" t="n">
        <v>4882.85</v>
      </c>
      <c r="H33" s="18" t="n">
        <v>4900.06</v>
      </c>
      <c r="I33" s="18" t="n">
        <v>4917.33</v>
      </c>
      <c r="J33" s="18" t="n">
        <v>31435.98</v>
      </c>
      <c r="K33" s="37" t="n">
        <v>31435.98</v>
      </c>
      <c r="P33" s="9" t="n"/>
      <c r="T33" s="18" t="n">
        <v>0</v>
      </c>
      <c r="U33" s="37" t="n">
        <v>0</v>
      </c>
      <c r="Z33" s="9" t="n"/>
      <c r="AB33" s="5" t="n"/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확정급여부채</t>
        </is>
      </c>
      <c r="E34" s="18" t="n">
        <v>2338.48</v>
      </c>
      <c r="F34" s="37" t="n">
        <v>2338.48</v>
      </c>
      <c r="G34" s="18" t="n">
        <v>2539.03</v>
      </c>
      <c r="H34" s="18" t="n">
        <v>1906.44</v>
      </c>
      <c r="I34" s="18" t="n">
        <v>1369.74</v>
      </c>
      <c r="K34" s="9" t="n"/>
      <c r="L34" s="18" t="n">
        <v>495.56</v>
      </c>
      <c r="M34" s="18" t="n">
        <v>17.79</v>
      </c>
      <c r="N34" s="18" t="n">
        <v>392.93</v>
      </c>
      <c r="O34" s="18" t="n">
        <v>2091.43</v>
      </c>
      <c r="P34" s="37" t="n">
        <v>2091.43</v>
      </c>
      <c r="Q34" s="18" t="n">
        <v>2944.49</v>
      </c>
      <c r="R34" s="18" t="n">
        <v>3022.43</v>
      </c>
      <c r="S34" s="18" t="n">
        <v>3802.12</v>
      </c>
      <c r="T34" s="18" t="n">
        <v>5171.38</v>
      </c>
      <c r="U34" s="37" t="n">
        <v>5171.38</v>
      </c>
      <c r="V34" s="18" t="n">
        <v>6856.71</v>
      </c>
      <c r="W34" s="18" t="n">
        <v>7038.85</v>
      </c>
      <c r="X34" s="18" t="n">
        <v>8084.6</v>
      </c>
      <c r="Y34" s="18" t="n">
        <v>4433.73</v>
      </c>
      <c r="Z34" s="37" t="n">
        <v>4433.73</v>
      </c>
      <c r="AA34" s="18" t="n">
        <v>5932.68</v>
      </c>
      <c r="AB34" s="19" t="n">
        <v>5862.61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기타비유동부채</t>
        </is>
      </c>
      <c r="E35" s="18" t="n">
        <v>41.91</v>
      </c>
      <c r="F35" s="37" t="n">
        <v>41.91</v>
      </c>
      <c r="G35" s="18" t="n">
        <v>0.05</v>
      </c>
      <c r="H35" s="18" t="n">
        <v>4.48</v>
      </c>
      <c r="I35" s="18" t="n">
        <v>0.17</v>
      </c>
      <c r="J35" s="18" t="n">
        <v>21.58</v>
      </c>
      <c r="K35" s="37" t="n">
        <v>21.58</v>
      </c>
      <c r="L35" s="18" t="n">
        <v>0.44</v>
      </c>
      <c r="M35" s="18" t="n">
        <v>0.46</v>
      </c>
      <c r="N35" s="18" t="n">
        <v>24.22</v>
      </c>
      <c r="O35" s="18" t="n">
        <v>1725.11</v>
      </c>
      <c r="P35" s="37" t="n">
        <v>1725.11</v>
      </c>
      <c r="Q35" s="18" t="n">
        <v>1659.92</v>
      </c>
      <c r="R35" s="18" t="n">
        <v>1.36</v>
      </c>
      <c r="S35" s="18" t="n">
        <v>1.57</v>
      </c>
      <c r="T35" s="18" t="n">
        <v>62.47</v>
      </c>
      <c r="U35" s="37" t="n">
        <v>62.47</v>
      </c>
      <c r="V35" s="18" t="n">
        <v>0.66</v>
      </c>
      <c r="W35" s="18" t="n">
        <v>0.67</v>
      </c>
      <c r="X35" s="18" t="n">
        <v>0.71</v>
      </c>
      <c r="Y35" s="18" t="n">
        <v>62.83</v>
      </c>
      <c r="Z35" s="37" t="n">
        <v>62.83</v>
      </c>
      <c r="AA35" s="18" t="n">
        <v>0.79</v>
      </c>
      <c r="AB35" s="19" t="n">
        <v>1.08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비유동리스부채</t>
        </is>
      </c>
      <c r="E36" s="18" t="n">
        <v>11683.16</v>
      </c>
      <c r="F36" s="37" t="n">
        <v>11683.16</v>
      </c>
      <c r="G36" s="18" t="n">
        <v>11048.14</v>
      </c>
      <c r="H36" s="18" t="n">
        <v>10457.23</v>
      </c>
      <c r="I36" s="18" t="n">
        <v>10129.98</v>
      </c>
      <c r="J36" s="18" t="n">
        <v>9577.860000000001</v>
      </c>
      <c r="K36" s="37" t="n">
        <v>9577.860000000001</v>
      </c>
      <c r="L36" s="18" t="n">
        <v>9079.440000000001</v>
      </c>
      <c r="M36" s="18" t="n">
        <v>8815.440000000001</v>
      </c>
      <c r="N36" s="18" t="n">
        <v>8001.15</v>
      </c>
      <c r="O36" s="18" t="n">
        <v>8406.41</v>
      </c>
      <c r="P36" s="37" t="n">
        <v>8406.41</v>
      </c>
      <c r="Q36" s="18" t="n">
        <v>6403.45</v>
      </c>
      <c r="R36" s="18" t="n">
        <v>5507.33</v>
      </c>
      <c r="S36" s="18" t="n">
        <v>4544.31</v>
      </c>
      <c r="T36" s="18" t="n">
        <v>3725.65</v>
      </c>
      <c r="U36" s="37" t="n">
        <v>3725.65</v>
      </c>
      <c r="V36" s="18" t="n">
        <v>3669.03</v>
      </c>
      <c r="W36" s="18" t="n">
        <v>3438.33</v>
      </c>
      <c r="X36" s="18" t="n">
        <v>2603.49</v>
      </c>
      <c r="Y36" s="18" t="n">
        <v>2314.78</v>
      </c>
      <c r="Z36" s="37" t="n">
        <v>2314.78</v>
      </c>
      <c r="AA36" s="18" t="n">
        <v>2396.24</v>
      </c>
      <c r="AB36" s="19" t="n">
        <v>2153.47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장기금융부채</t>
        </is>
      </c>
      <c r="E37" s="18" t="n">
        <v>11683.16</v>
      </c>
      <c r="F37" s="37" t="n">
        <v>11683.16</v>
      </c>
      <c r="G37" s="18" t="n">
        <v>11048.14</v>
      </c>
      <c r="H37" s="18" t="n">
        <v>10457.23</v>
      </c>
      <c r="I37" s="18" t="n">
        <v>10129.98</v>
      </c>
      <c r="J37" s="18" t="n">
        <v>9577.860000000001</v>
      </c>
      <c r="K37" s="37" t="n">
        <v>9577.860000000001</v>
      </c>
      <c r="L37" s="18" t="n">
        <v>9079.440000000001</v>
      </c>
      <c r="M37" s="18" t="n">
        <v>8815.440000000001</v>
      </c>
      <c r="N37" s="18" t="n">
        <v>8001.15</v>
      </c>
      <c r="O37" s="18" t="n">
        <v>8406.41</v>
      </c>
      <c r="P37" s="37" t="n">
        <v>8406.41</v>
      </c>
      <c r="Q37" s="18" t="n">
        <v>6551.82</v>
      </c>
      <c r="R37" s="18" t="n">
        <v>10617.59</v>
      </c>
      <c r="S37" s="18" t="n">
        <v>9834.629999999999</v>
      </c>
      <c r="T37" s="18" t="n">
        <v>18635.03</v>
      </c>
      <c r="U37" s="37" t="n">
        <v>18635.03</v>
      </c>
      <c r="V37" s="18" t="n">
        <v>16140.23</v>
      </c>
      <c r="W37" s="18" t="n">
        <v>5231</v>
      </c>
      <c r="X37" s="18" t="n">
        <v>4424.46</v>
      </c>
      <c r="Y37" s="18" t="n">
        <v>2317.6</v>
      </c>
      <c r="Z37" s="37" t="n">
        <v>2317.6</v>
      </c>
      <c r="AA37" s="18" t="n">
        <v>2396.24</v>
      </c>
      <c r="AB37" s="19" t="n">
        <v>2153.47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부채총계</t>
        </is>
      </c>
      <c r="E38" s="18" t="n">
        <v>467157.64</v>
      </c>
      <c r="F38" s="37" t="n">
        <v>467157.64</v>
      </c>
      <c r="G38" s="18" t="n">
        <v>503796.68</v>
      </c>
      <c r="H38" s="18" t="n">
        <v>523489.05</v>
      </c>
      <c r="I38" s="18" t="n">
        <v>632573.88</v>
      </c>
      <c r="J38" s="18" t="n">
        <v>668375.8</v>
      </c>
      <c r="K38" s="37" t="n">
        <v>668375.8</v>
      </c>
      <c r="L38" s="18" t="n">
        <v>770139.59</v>
      </c>
      <c r="M38" s="18" t="n">
        <v>779739.61</v>
      </c>
      <c r="N38" s="18" t="n">
        <v>713001.08</v>
      </c>
      <c r="O38" s="18" t="n">
        <v>677611.6</v>
      </c>
      <c r="P38" s="37" t="n">
        <v>677611.6</v>
      </c>
      <c r="Q38" s="18" t="n">
        <v>730865.96</v>
      </c>
      <c r="R38" s="18" t="n">
        <v>673121.9</v>
      </c>
      <c r="S38" s="18" t="n">
        <v>596830.26</v>
      </c>
      <c r="T38" s="18" t="n">
        <v>652697.8199999999</v>
      </c>
      <c r="U38" s="37" t="n">
        <v>652697.8199999999</v>
      </c>
      <c r="V38" s="18" t="n">
        <v>615392.77</v>
      </c>
      <c r="W38" s="18" t="n">
        <v>505576.02</v>
      </c>
      <c r="X38" s="18" t="n">
        <v>322164.28</v>
      </c>
      <c r="Y38" s="18" t="n">
        <v>264782.02</v>
      </c>
      <c r="Z38" s="37" t="n">
        <v>264782.02</v>
      </c>
      <c r="AA38" s="18" t="n">
        <v>272020.6</v>
      </c>
      <c r="AB38" s="19" t="n">
        <v>307089.01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자본금</t>
        </is>
      </c>
      <c r="E39" s="18" t="n">
        <v>18287.18</v>
      </c>
      <c r="F39" s="37" t="n">
        <v>18287.18</v>
      </c>
      <c r="G39" s="18" t="n">
        <v>18538.34</v>
      </c>
      <c r="H39" s="18" t="n">
        <v>18538.34</v>
      </c>
      <c r="I39" s="18" t="n">
        <v>26617.51</v>
      </c>
      <c r="J39" s="18" t="n">
        <v>26617.51</v>
      </c>
      <c r="K39" s="37" t="n">
        <v>26617.51</v>
      </c>
      <c r="L39" s="18" t="n">
        <v>26617.51</v>
      </c>
      <c r="M39" s="18" t="n">
        <v>26617.51</v>
      </c>
      <c r="N39" s="18" t="n">
        <v>29597.78</v>
      </c>
      <c r="O39" s="18" t="n">
        <v>29597.78</v>
      </c>
      <c r="P39" s="37" t="n">
        <v>29597.78</v>
      </c>
      <c r="Q39" s="18" t="n">
        <v>29597.78</v>
      </c>
      <c r="R39" s="18" t="n">
        <v>29597.78</v>
      </c>
      <c r="S39" s="18" t="n">
        <v>29597.78</v>
      </c>
      <c r="T39" s="18" t="n">
        <v>29597.78</v>
      </c>
      <c r="U39" s="37" t="n">
        <v>29597.78</v>
      </c>
      <c r="V39" s="18" t="n">
        <v>29597.78</v>
      </c>
      <c r="W39" s="18" t="n">
        <v>30090.17</v>
      </c>
      <c r="X39" s="18" t="n">
        <v>31239.06</v>
      </c>
      <c r="Y39" s="18" t="n">
        <v>31239.06</v>
      </c>
      <c r="Z39" s="37" t="n">
        <v>31239.06</v>
      </c>
      <c r="AA39" s="18" t="n">
        <v>31239.06</v>
      </c>
      <c r="AB39" s="19" t="n">
        <v>31239.06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자본잉여금</t>
        </is>
      </c>
      <c r="E40" s="18" t="n">
        <v>88680.25</v>
      </c>
      <c r="F40" s="37" t="n">
        <v>88680.25</v>
      </c>
      <c r="G40" s="18" t="n">
        <v>97794.8</v>
      </c>
      <c r="H40" s="18" t="n">
        <v>97794.8</v>
      </c>
      <c r="I40" s="18" t="n">
        <v>822322.1800000001</v>
      </c>
      <c r="J40" s="18" t="n">
        <v>411084.35</v>
      </c>
      <c r="K40" s="37" t="n">
        <v>411084.35</v>
      </c>
      <c r="L40" s="18" t="n">
        <v>411084.35</v>
      </c>
      <c r="M40" s="18" t="n">
        <v>411084.35</v>
      </c>
      <c r="N40" s="18" t="n">
        <v>534356.95</v>
      </c>
      <c r="O40" s="18" t="n">
        <v>534356.95</v>
      </c>
      <c r="P40" s="37" t="n">
        <v>534356.95</v>
      </c>
      <c r="Q40" s="18" t="n">
        <v>534356.95</v>
      </c>
      <c r="R40" s="18" t="n">
        <v>534356.95</v>
      </c>
      <c r="S40" s="18" t="n">
        <v>534356.95</v>
      </c>
      <c r="T40" s="18" t="n">
        <v>534356.95</v>
      </c>
      <c r="U40" s="37" t="n">
        <v>534356.95</v>
      </c>
      <c r="V40" s="18" t="n">
        <v>534356.95</v>
      </c>
      <c r="W40" s="18" t="n">
        <v>550236.98</v>
      </c>
      <c r="X40" s="18" t="n">
        <v>585403.24</v>
      </c>
      <c r="Y40" s="18" t="n">
        <v>586637.25</v>
      </c>
      <c r="Z40" s="37" t="n">
        <v>586637.25</v>
      </c>
      <c r="AA40" s="18" t="n">
        <v>586637.25</v>
      </c>
      <c r="AB40" s="19" t="n">
        <v>588674.98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기타자본</t>
        </is>
      </c>
      <c r="E41" s="18" t="n">
        <v>6427.52</v>
      </c>
      <c r="F41" s="37" t="n">
        <v>6427.52</v>
      </c>
      <c r="G41" s="18" t="n">
        <v>5330.08</v>
      </c>
      <c r="H41" s="18" t="n">
        <v>5330.08</v>
      </c>
      <c r="I41" s="18" t="n">
        <v>16421.07</v>
      </c>
      <c r="J41" s="18" t="n">
        <v>16999.32</v>
      </c>
      <c r="K41" s="37" t="n">
        <v>16999.32</v>
      </c>
      <c r="L41" s="18" t="n">
        <v>16999.32</v>
      </c>
      <c r="M41" s="18" t="n">
        <v>17036.32</v>
      </c>
      <c r="N41" s="18" t="n">
        <v>10621.33</v>
      </c>
      <c r="O41" s="18" t="n">
        <v>10655.38</v>
      </c>
      <c r="P41" s="37" t="n">
        <v>10655.38</v>
      </c>
      <c r="Q41" s="18" t="n">
        <v>10691.39</v>
      </c>
      <c r="R41" s="18" t="n">
        <v>10727.41</v>
      </c>
      <c r="S41" s="18" t="n">
        <v>10763.42</v>
      </c>
      <c r="T41" s="18" t="n">
        <v>10799.44</v>
      </c>
      <c r="U41" s="37" t="n">
        <v>10799.44</v>
      </c>
      <c r="V41" s="18" t="n">
        <v>10835.45</v>
      </c>
      <c r="W41" s="18" t="n">
        <v>8291.57</v>
      </c>
      <c r="X41" s="18" t="n">
        <v>2343.86</v>
      </c>
      <c r="Y41" s="18" t="n">
        <v>2352.86</v>
      </c>
      <c r="Z41" s="37" t="n">
        <v>2352.86</v>
      </c>
      <c r="AA41" s="18" t="n">
        <v>2361.86</v>
      </c>
      <c r="AB41" s="19" t="n">
        <v>324.13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기타포괄이익누계액</t>
        </is>
      </c>
      <c r="E42" s="18" t="n">
        <v>39992.78</v>
      </c>
      <c r="F42" s="37" t="n">
        <v>39992.78</v>
      </c>
      <c r="G42" s="18" t="n">
        <v>39992.78</v>
      </c>
      <c r="H42" s="18" t="n">
        <v>39992.78</v>
      </c>
      <c r="I42" s="18" t="n">
        <v>39992.78</v>
      </c>
      <c r="J42" s="18" t="n">
        <v>39992.78</v>
      </c>
      <c r="K42" s="37" t="n">
        <v>39992.78</v>
      </c>
      <c r="L42" s="18" t="n">
        <v>39992.78</v>
      </c>
      <c r="M42" s="18" t="n">
        <v>39992.78</v>
      </c>
      <c r="N42" s="18" t="n">
        <v>39992.78</v>
      </c>
      <c r="O42" s="18" t="n">
        <v>39992.78</v>
      </c>
      <c r="P42" s="37" t="n">
        <v>39992.78</v>
      </c>
      <c r="Q42" s="18" t="n">
        <v>39992.78</v>
      </c>
      <c r="R42" s="18" t="n">
        <v>39992.78</v>
      </c>
      <c r="S42" s="18" t="n">
        <v>39992.78</v>
      </c>
      <c r="T42" s="18" t="n">
        <v>39996.39</v>
      </c>
      <c r="U42" s="37" t="n">
        <v>39996.39</v>
      </c>
      <c r="V42" s="18" t="n">
        <v>39995.91</v>
      </c>
      <c r="W42" s="18" t="n">
        <v>39989.48</v>
      </c>
      <c r="X42" s="18" t="n">
        <v>39991.15</v>
      </c>
      <c r="Y42" s="18" t="n">
        <v>64101.29</v>
      </c>
      <c r="Z42" s="37" t="n">
        <v>64101.29</v>
      </c>
      <c r="AA42" s="18" t="n">
        <v>64103.95</v>
      </c>
      <c r="AB42" s="19" t="n">
        <v>64105.09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이익잉여금</t>
        </is>
      </c>
      <c r="E43" s="18" t="n">
        <v>2480.09</v>
      </c>
      <c r="F43" s="37" t="n">
        <v>2480.09</v>
      </c>
      <c r="G43" s="18" t="n">
        <v>11305.44</v>
      </c>
      <c r="H43" s="18" t="n">
        <v>21624.26</v>
      </c>
      <c r="I43" s="18" t="n">
        <v>26111.16</v>
      </c>
      <c r="J43" s="18" t="n">
        <v>26996.3</v>
      </c>
      <c r="K43" s="37" t="n">
        <v>26996.3</v>
      </c>
      <c r="L43" s="18" t="n">
        <v>47473.77</v>
      </c>
      <c r="M43" s="18" t="n">
        <v>68823.55</v>
      </c>
      <c r="N43" s="18" t="n">
        <v>74548</v>
      </c>
      <c r="O43" s="18" t="n">
        <v>82245.91</v>
      </c>
      <c r="P43" s="37" t="n">
        <v>82245.91</v>
      </c>
      <c r="Q43" s="18" t="n">
        <v>86360.24000000001</v>
      </c>
      <c r="R43" s="18" t="n">
        <v>89153.50999999999</v>
      </c>
      <c r="S43" s="18" t="n">
        <v>98265.61</v>
      </c>
      <c r="T43" s="18" t="n">
        <v>96293.99000000001</v>
      </c>
      <c r="U43" s="37" t="n">
        <v>96293.99000000001</v>
      </c>
      <c r="V43" s="18" t="n">
        <v>100686.6</v>
      </c>
      <c r="W43" s="18" t="n">
        <v>109227.22</v>
      </c>
      <c r="X43" s="18" t="n">
        <v>120263.35</v>
      </c>
      <c r="Y43" s="18" t="n">
        <v>132619.34</v>
      </c>
      <c r="Z43" s="37" t="n">
        <v>132619.34</v>
      </c>
      <c r="AA43" s="18" t="n">
        <v>142475.19</v>
      </c>
      <c r="AB43" s="19" t="n">
        <v>156264.46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자본총계</t>
        </is>
      </c>
      <c r="E44" s="18" t="n">
        <v>155867.83</v>
      </c>
      <c r="F44" s="37" t="n">
        <v>155867.83</v>
      </c>
      <c r="G44" s="18" t="n">
        <v>172961.43</v>
      </c>
      <c r="H44" s="18" t="n">
        <v>183280.25</v>
      </c>
      <c r="I44" s="18" t="n">
        <v>520380.35</v>
      </c>
      <c r="J44" s="18" t="n">
        <v>521690.25</v>
      </c>
      <c r="K44" s="37" t="n">
        <v>521690.25</v>
      </c>
      <c r="L44" s="18" t="n">
        <v>542167.72</v>
      </c>
      <c r="M44" s="18" t="n">
        <v>563554.49</v>
      </c>
      <c r="N44" s="18" t="n">
        <v>689116.85</v>
      </c>
      <c r="O44" s="18" t="n">
        <v>696848.8</v>
      </c>
      <c r="P44" s="37" t="n">
        <v>696848.8</v>
      </c>
      <c r="Q44" s="18" t="n">
        <v>700999.15</v>
      </c>
      <c r="R44" s="18" t="n">
        <v>703828.4300000001</v>
      </c>
      <c r="S44" s="18" t="n">
        <v>712976.55</v>
      </c>
      <c r="T44" s="18" t="n">
        <v>711044.5600000001</v>
      </c>
      <c r="U44" s="37" t="n">
        <v>711044.5600000001</v>
      </c>
      <c r="V44" s="18" t="n">
        <v>715472.6899999999</v>
      </c>
      <c r="W44" s="18" t="n">
        <v>737835.4300000001</v>
      </c>
      <c r="X44" s="18" t="n">
        <v>779240.67</v>
      </c>
      <c r="Y44" s="18" t="n">
        <v>816949.8</v>
      </c>
      <c r="Z44" s="37" t="n">
        <v>816949.8</v>
      </c>
      <c r="AA44" s="18" t="n">
        <v>826817.3199999999</v>
      </c>
      <c r="AB44" s="19" t="n">
        <v>840607.72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부채와자본총계</t>
        </is>
      </c>
      <c r="E45" s="18" t="n">
        <v>623025.48</v>
      </c>
      <c r="F45" s="37" t="n">
        <v>623025.48</v>
      </c>
      <c r="G45" s="18" t="n">
        <v>676758.11</v>
      </c>
      <c r="H45" s="18" t="n">
        <v>706769.3</v>
      </c>
      <c r="I45" s="18" t="n">
        <v>1152954.23</v>
      </c>
      <c r="J45" s="18" t="n">
        <v>1190066.05</v>
      </c>
      <c r="K45" s="37" t="n">
        <v>1190066.05</v>
      </c>
      <c r="L45" s="18" t="n">
        <v>1312307.31</v>
      </c>
      <c r="M45" s="18" t="n">
        <v>1343294.1</v>
      </c>
      <c r="N45" s="18" t="n">
        <v>1402117.93</v>
      </c>
      <c r="O45" s="18" t="n">
        <v>1374460.4</v>
      </c>
      <c r="P45" s="37" t="n">
        <v>1374460.4</v>
      </c>
      <c r="Q45" s="18" t="n">
        <v>1431865.1</v>
      </c>
      <c r="R45" s="18" t="n">
        <v>1376950.33</v>
      </c>
      <c r="S45" s="18" t="n">
        <v>1309806.81</v>
      </c>
      <c r="T45" s="18" t="n">
        <v>1363742.38</v>
      </c>
      <c r="U45" s="37" t="n">
        <v>1363742.38</v>
      </c>
      <c r="V45" s="18" t="n">
        <v>1330865.46</v>
      </c>
      <c r="W45" s="18" t="n">
        <v>1243411.44</v>
      </c>
      <c r="X45" s="18" t="n">
        <v>1101404.96</v>
      </c>
      <c r="Y45" s="18" t="n">
        <v>1081731.83</v>
      </c>
      <c r="Z45" s="37" t="n">
        <v>1081731.83</v>
      </c>
      <c r="AA45" s="18" t="n">
        <v>1098837.92</v>
      </c>
      <c r="AB45" s="19" t="n">
        <v>1147696.73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지배주주지분</t>
        </is>
      </c>
      <c r="E46" s="18" t="n">
        <v>155867.83</v>
      </c>
      <c r="F46" s="37" t="n">
        <v>155867.83</v>
      </c>
      <c r="G46" s="18" t="n">
        <v>172961.43</v>
      </c>
      <c r="H46" s="18" t="n">
        <v>183280.25</v>
      </c>
      <c r="I46" s="18" t="n">
        <v>520380.35</v>
      </c>
      <c r="J46" s="18" t="n">
        <v>521690.25</v>
      </c>
      <c r="K46" s="37" t="n">
        <v>521690.25</v>
      </c>
      <c r="L46" s="18" t="n">
        <v>542167.72</v>
      </c>
      <c r="M46" s="18" t="n">
        <v>563554.49</v>
      </c>
      <c r="N46" s="18" t="n">
        <v>689116.85</v>
      </c>
      <c r="O46" s="18" t="n">
        <v>696848.8</v>
      </c>
      <c r="P46" s="37" t="n">
        <v>696848.8</v>
      </c>
      <c r="Q46" s="18" t="n">
        <v>700999.15</v>
      </c>
      <c r="R46" s="18" t="n">
        <v>703828.4300000001</v>
      </c>
      <c r="S46" s="18" t="n">
        <v>712976.55</v>
      </c>
      <c r="T46" s="18" t="n">
        <v>711044.5600000001</v>
      </c>
      <c r="U46" s="37" t="n">
        <v>711044.5600000001</v>
      </c>
      <c r="V46" s="18" t="n">
        <v>715472.6899999999</v>
      </c>
      <c r="W46" s="18" t="n">
        <v>737835.4300000001</v>
      </c>
      <c r="X46" s="18" t="n">
        <v>779240.67</v>
      </c>
      <c r="Y46" s="18" t="n">
        <v>816949.8</v>
      </c>
      <c r="Z46" s="37" t="n">
        <v>816949.8</v>
      </c>
      <c r="AA46" s="18" t="n">
        <v>826817.3199999999</v>
      </c>
      <c r="AB46" s="19" t="n">
        <v>840607.72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총차입금</t>
        </is>
      </c>
      <c r="E47" s="18" t="n">
        <v>203972.98</v>
      </c>
      <c r="F47" s="37" t="n">
        <v>203972.98</v>
      </c>
      <c r="G47" s="18" t="n">
        <v>183453.5</v>
      </c>
      <c r="H47" s="18" t="n">
        <v>176881.01</v>
      </c>
      <c r="I47" s="18" t="n">
        <v>306039.63</v>
      </c>
      <c r="J47" s="18" t="n">
        <v>206730.13</v>
      </c>
      <c r="K47" s="37" t="n">
        <v>206730.13</v>
      </c>
      <c r="L47" s="18" t="n">
        <v>210061.26</v>
      </c>
      <c r="M47" s="18" t="n">
        <v>230141.11</v>
      </c>
      <c r="N47" s="18" t="n">
        <v>137822.96</v>
      </c>
      <c r="O47" s="18" t="n">
        <v>139062.21</v>
      </c>
      <c r="P47" s="37" t="n">
        <v>139062.21</v>
      </c>
      <c r="Q47" s="18" t="n">
        <v>168554.69</v>
      </c>
      <c r="R47" s="18" t="n">
        <v>140876.89</v>
      </c>
      <c r="S47" s="18" t="n">
        <v>130717.68</v>
      </c>
      <c r="T47" s="18" t="n">
        <v>152335.35</v>
      </c>
      <c r="U47" s="37" t="n">
        <v>152335.35</v>
      </c>
      <c r="V47" s="18" t="n">
        <v>194389.67</v>
      </c>
      <c r="W47" s="18" t="n">
        <v>181495</v>
      </c>
      <c r="X47" s="18" t="n">
        <v>151361.83</v>
      </c>
      <c r="Y47" s="18" t="n">
        <v>149504.23</v>
      </c>
      <c r="Z47" s="37" t="n">
        <v>149504.23</v>
      </c>
      <c r="AA47" s="18" t="n">
        <v>131288.63</v>
      </c>
      <c r="AB47" s="19" t="n">
        <v>157836.03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순차입금</t>
        </is>
      </c>
      <c r="E48" s="18" t="n">
        <v>111469.45</v>
      </c>
      <c r="F48" s="37" t="n">
        <v>111469.45</v>
      </c>
      <c r="G48" s="18" t="n">
        <v>116514.81</v>
      </c>
      <c r="H48" s="18" t="n">
        <v>125581</v>
      </c>
      <c r="I48" s="18" t="n">
        <v>181977.93</v>
      </c>
      <c r="J48" s="18" t="n">
        <v>128109.26</v>
      </c>
      <c r="K48" s="37" t="n">
        <v>128109.26</v>
      </c>
      <c r="L48" s="18" t="n">
        <v>129099.61</v>
      </c>
      <c r="M48" s="18" t="n">
        <v>156693.11</v>
      </c>
      <c r="N48" s="18" t="n">
        <v>62428.08</v>
      </c>
      <c r="O48" s="18" t="n">
        <v>106074.83</v>
      </c>
      <c r="P48" s="37" t="n">
        <v>106074.83</v>
      </c>
      <c r="Q48" s="18" t="n">
        <v>121110.49</v>
      </c>
      <c r="R48" s="18" t="n">
        <v>89883.00999999999</v>
      </c>
      <c r="S48" s="18" t="n">
        <v>93735.92</v>
      </c>
      <c r="T48" s="18" t="n">
        <v>86012.99000000001</v>
      </c>
      <c r="U48" s="37" t="n">
        <v>86012.99000000001</v>
      </c>
      <c r="V48" s="18" t="n">
        <v>64027.65</v>
      </c>
      <c r="W48" s="18" t="n">
        <v>98359.52</v>
      </c>
      <c r="X48" s="18" t="n">
        <v>93351.03999999999</v>
      </c>
      <c r="Y48" s="18" t="n">
        <v>121615.09</v>
      </c>
      <c r="Z48" s="37" t="n">
        <v>121615.09</v>
      </c>
      <c r="AA48" s="18" t="n">
        <v>103891.97</v>
      </c>
      <c r="AB48" s="19" t="n">
        <v>114893.53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이자발생자산</t>
        </is>
      </c>
      <c r="E49" s="18" t="n">
        <v>98226.3</v>
      </c>
      <c r="F49" s="37" t="n">
        <v>98226.3</v>
      </c>
      <c r="G49" s="18" t="n">
        <v>73654.97</v>
      </c>
      <c r="H49" s="18" t="n">
        <v>63318.2</v>
      </c>
      <c r="I49" s="18" t="n">
        <v>139615.09</v>
      </c>
      <c r="J49" s="18" t="n">
        <v>157585.48</v>
      </c>
      <c r="K49" s="37" t="n">
        <v>157585.48</v>
      </c>
      <c r="L49" s="18" t="n">
        <v>167308.03</v>
      </c>
      <c r="M49" s="18" t="n">
        <v>125737.95</v>
      </c>
      <c r="N49" s="18" t="n">
        <v>127701.03</v>
      </c>
      <c r="O49" s="18" t="n">
        <v>46769.22</v>
      </c>
      <c r="P49" s="37" t="n">
        <v>46769.22</v>
      </c>
      <c r="Q49" s="18" t="n">
        <v>86832.56</v>
      </c>
      <c r="R49" s="18" t="n">
        <v>64830.14</v>
      </c>
      <c r="S49" s="18" t="n">
        <v>53023.05</v>
      </c>
      <c r="T49" s="18" t="n">
        <v>80239.27</v>
      </c>
      <c r="U49" s="37" t="n">
        <v>80239.27</v>
      </c>
      <c r="V49" s="18" t="n">
        <v>144276.9</v>
      </c>
      <c r="W49" s="18" t="n">
        <v>96986.64999999999</v>
      </c>
      <c r="X49" s="18" t="n">
        <v>71921.84</v>
      </c>
      <c r="Y49" s="18" t="n">
        <v>49033.22</v>
      </c>
      <c r="Z49" s="37" t="n">
        <v>49033.22</v>
      </c>
      <c r="AA49" s="18" t="n">
        <v>52253.77</v>
      </c>
      <c r="AB49" s="19" t="n">
        <v>69443.42999999999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이연법인세부채</t>
        </is>
      </c>
      <c r="F50" s="9" t="n"/>
      <c r="I50" s="18" t="n">
        <v>301.42</v>
      </c>
      <c r="J50" s="18" t="n">
        <v>2532.2</v>
      </c>
      <c r="K50" s="37" t="n">
        <v>2532.2</v>
      </c>
      <c r="L50" s="18" t="n">
        <v>2611.53</v>
      </c>
      <c r="M50" s="18" t="n">
        <v>2749.05</v>
      </c>
      <c r="N50" s="18" t="n">
        <v>2974.07</v>
      </c>
      <c r="P50" s="9" t="n"/>
      <c r="T50" s="18" t="n">
        <v>0</v>
      </c>
      <c r="U50" s="37" t="n">
        <v>0</v>
      </c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단기금융부채(face)</t>
        </is>
      </c>
      <c r="F51" s="9" t="n"/>
      <c r="K51" s="9" t="n"/>
      <c r="N51" s="18" t="n">
        <v>87492.75999999999</v>
      </c>
      <c r="O51" s="18" t="n">
        <v>71474.12</v>
      </c>
      <c r="P51" s="37" t="n">
        <v>71474.12</v>
      </c>
      <c r="Q51" s="18" t="n">
        <v>101202.93</v>
      </c>
      <c r="R51" s="18" t="n">
        <v>93739.60000000001</v>
      </c>
      <c r="S51" s="18" t="n">
        <v>83762.3</v>
      </c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당기법인세자산(선급법인세)</t>
        </is>
      </c>
      <c r="F52" s="9" t="n"/>
      <c r="K52" s="9" t="n"/>
      <c r="P52" s="9" t="n"/>
      <c r="Q52" s="18" t="n">
        <v>176.27</v>
      </c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기타비유동금융부채</t>
        </is>
      </c>
      <c r="F53" s="9" t="n"/>
      <c r="K53" s="9" t="n"/>
      <c r="P53" s="9" t="n"/>
      <c r="Q53" s="18" t="n">
        <v>148.37</v>
      </c>
      <c r="R53" s="18" t="n">
        <v>5110.26</v>
      </c>
      <c r="S53" s="18" t="n">
        <v>132.94</v>
      </c>
      <c r="T53" s="18" t="n">
        <v>14909.38</v>
      </c>
      <c r="U53" s="37" t="n">
        <v>14909.38</v>
      </c>
      <c r="V53" s="18" t="n">
        <v>12471.2</v>
      </c>
      <c r="W53" s="18" t="n">
        <v>1792.67</v>
      </c>
      <c r="X53" s="18" t="n">
        <v>1820.97</v>
      </c>
      <c r="Y53" s="18" t="n">
        <v>2.82</v>
      </c>
      <c r="Z53" s="37" t="n">
        <v>2.82</v>
      </c>
      <c r="AA53" s="18" t="n">
        <v>0</v>
      </c>
      <c r="AB53" s="19" t="n">
        <v>0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유동확정계약자산</t>
        </is>
      </c>
      <c r="F54" s="9" t="n"/>
      <c r="K54" s="9" t="n"/>
      <c r="P54" s="9" t="n"/>
      <c r="R54" s="18" t="n">
        <v>1819.54</v>
      </c>
      <c r="T54" s="18" t="n">
        <v>18669.03</v>
      </c>
      <c r="U54" s="37" t="n">
        <v>18669.03</v>
      </c>
      <c r="V54" s="18" t="n">
        <v>16793.99</v>
      </c>
      <c r="W54" s="18" t="n">
        <v>897.16</v>
      </c>
      <c r="X54" s="18" t="n">
        <v>5709.78</v>
      </c>
      <c r="Y54" s="18" t="n">
        <v>7324.91</v>
      </c>
      <c r="Z54" s="37" t="n">
        <v>7324.91</v>
      </c>
      <c r="AA54" s="18" t="n">
        <v>5754.8</v>
      </c>
      <c r="AB54" s="19" t="n">
        <v>4820.94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단기금융자산</t>
        </is>
      </c>
      <c r="F55" s="9" t="n"/>
      <c r="K55" s="9" t="n"/>
      <c r="P55" s="9" t="n"/>
      <c r="R55" s="18" t="n">
        <v>1819.54</v>
      </c>
      <c r="T55" s="18" t="n">
        <v>18669.03</v>
      </c>
      <c r="U55" s="37" t="n">
        <v>18669.03</v>
      </c>
      <c r="V55" s="18" t="n">
        <v>16793.99</v>
      </c>
      <c r="W55" s="18" t="n">
        <v>897.16</v>
      </c>
      <c r="X55" s="18" t="n">
        <v>5709.78</v>
      </c>
      <c r="Y55" s="18" t="n">
        <v>7324.91</v>
      </c>
      <c r="Z55" s="37" t="n">
        <v>7324.91</v>
      </c>
      <c r="AA55" s="18" t="n">
        <v>5754.8</v>
      </c>
      <c r="AB55" s="19" t="n">
        <v>4820.94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비유동확정계약자산</t>
        </is>
      </c>
      <c r="F56" s="9" t="n"/>
      <c r="K56" s="9" t="n"/>
      <c r="P56" s="9" t="n"/>
      <c r="R56" s="18" t="n">
        <v>2057.04</v>
      </c>
      <c r="T56" s="18" t="n">
        <v>11836.56</v>
      </c>
      <c r="U56" s="37" t="n">
        <v>11836.56</v>
      </c>
      <c r="V56" s="18" t="n">
        <v>10460.26</v>
      </c>
      <c r="W56" s="18" t="n">
        <v>375.94</v>
      </c>
      <c r="X56" s="18" t="n">
        <v>1347.93</v>
      </c>
      <c r="Y56" s="18" t="n">
        <v>0</v>
      </c>
      <c r="Z56" s="37" t="n">
        <v>0</v>
      </c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단기파생상품부채</t>
        </is>
      </c>
      <c r="F57" s="9" t="n"/>
      <c r="K57" s="9" t="n"/>
      <c r="P57" s="9" t="n"/>
      <c r="S57" s="18" t="n">
        <v>5723.09</v>
      </c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장기금융부채(face)</t>
        </is>
      </c>
      <c r="F58" s="9" t="n"/>
      <c r="K58" s="9" t="n"/>
      <c r="P58" s="9" t="n"/>
      <c r="S58" s="18" t="n">
        <v>9543.83</v>
      </c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장기파생상품부채</t>
        </is>
      </c>
      <c r="F59" s="9" t="n"/>
      <c r="K59" s="9" t="n"/>
      <c r="P59" s="9" t="n"/>
      <c r="S59" s="18" t="n">
        <v>5157.38</v>
      </c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단기충당부채</t>
        </is>
      </c>
      <c r="F60" s="9" t="n"/>
      <c r="K60" s="9" t="n"/>
      <c r="P60" s="9" t="n"/>
      <c r="T60" s="18" t="n">
        <v>3735.44</v>
      </c>
      <c r="U60" s="37" t="n">
        <v>3735.44</v>
      </c>
      <c r="V60" s="18" t="n">
        <v>2775.83</v>
      </c>
      <c r="W60" s="18" t="n">
        <v>8532.49</v>
      </c>
      <c r="X60" s="18" t="n">
        <v>4569.07</v>
      </c>
      <c r="Y60" s="18" t="n">
        <v>6003.73</v>
      </c>
      <c r="Z60" s="37" t="n">
        <v>6003.73</v>
      </c>
      <c r="AA60" s="18" t="n">
        <v>7101.6</v>
      </c>
      <c r="AB60" s="19" t="n">
        <v>6456.51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매출액(수익)</t>
        </is>
      </c>
      <c r="E61" s="18" t="n">
        <v>139876.1</v>
      </c>
      <c r="F61" s="9" t="n"/>
      <c r="G61" s="18" t="n">
        <v>164192.02</v>
      </c>
      <c r="H61" s="18" t="n">
        <v>157311.93</v>
      </c>
      <c r="I61" s="18" t="n">
        <v>171439.74</v>
      </c>
      <c r="J61" s="18" t="n">
        <v>161330.69</v>
      </c>
      <c r="K61" s="37" t="n">
        <v>654274.38</v>
      </c>
      <c r="L61" s="18" t="n">
        <v>215639.1</v>
      </c>
      <c r="M61" s="18" t="n">
        <v>256467.19</v>
      </c>
      <c r="N61" s="18" t="n">
        <v>227238.22</v>
      </c>
      <c r="O61" s="18" t="n">
        <v>206675.11</v>
      </c>
      <c r="P61" s="37" t="n">
        <v>906019.62</v>
      </c>
      <c r="Q61" s="18" t="n">
        <v>121212.39</v>
      </c>
      <c r="R61" s="18" t="n">
        <v>162546.69</v>
      </c>
      <c r="S61" s="18" t="n">
        <v>191882.7</v>
      </c>
      <c r="T61" s="18" t="n">
        <v>150776.72</v>
      </c>
      <c r="U61" s="37" t="n">
        <v>626418.5</v>
      </c>
      <c r="V61" s="18" t="n">
        <v>254348.41</v>
      </c>
      <c r="W61" s="18" t="n">
        <v>231148.51</v>
      </c>
      <c r="X61" s="18" t="n">
        <v>281340.75</v>
      </c>
      <c r="Y61" s="18" t="n">
        <v>162077.41</v>
      </c>
      <c r="Z61" s="37" t="n">
        <v>928915.08</v>
      </c>
      <c r="AA61" s="18" t="n">
        <v>172618.61</v>
      </c>
      <c r="AB61" s="19" t="n">
        <v>154356.91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매출원가</t>
        </is>
      </c>
      <c r="E62" s="18" t="n">
        <v>124428.31</v>
      </c>
      <c r="F62" s="9" t="n"/>
      <c r="G62" s="18" t="n">
        <v>148750.03</v>
      </c>
      <c r="H62" s="18" t="n">
        <v>144153.93</v>
      </c>
      <c r="I62" s="18" t="n">
        <v>144456.32</v>
      </c>
      <c r="J62" s="18" t="n">
        <v>139978.52</v>
      </c>
      <c r="K62" s="37" t="n">
        <v>577338.8</v>
      </c>
      <c r="L62" s="18" t="n">
        <v>195030.57</v>
      </c>
      <c r="M62" s="18" t="n">
        <v>223691.33</v>
      </c>
      <c r="N62" s="18" t="n">
        <v>208024.62</v>
      </c>
      <c r="O62" s="18" t="n">
        <v>183653.23</v>
      </c>
      <c r="P62" s="37" t="n">
        <v>810399.75</v>
      </c>
      <c r="Q62" s="18" t="n">
        <v>113213.55</v>
      </c>
      <c r="R62" s="18" t="n">
        <v>146606.88</v>
      </c>
      <c r="S62" s="18" t="n">
        <v>179442.29</v>
      </c>
      <c r="T62" s="18" t="n">
        <v>138706.75</v>
      </c>
      <c r="U62" s="37" t="n">
        <v>577969.47</v>
      </c>
      <c r="V62" s="18" t="n">
        <v>234384.62</v>
      </c>
      <c r="W62" s="18" t="n">
        <v>209232.05</v>
      </c>
      <c r="X62" s="18" t="n">
        <v>250819.97</v>
      </c>
      <c r="Y62" s="18" t="n">
        <v>142117.12</v>
      </c>
      <c r="Z62" s="37" t="n">
        <v>836553.76</v>
      </c>
      <c r="AA62" s="18" t="n">
        <v>151729.05</v>
      </c>
      <c r="AB62" s="19" t="n">
        <v>132693.51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매출총이익</t>
        </is>
      </c>
      <c r="E63" s="18" t="n">
        <v>15447.79</v>
      </c>
      <c r="F63" s="9" t="n"/>
      <c r="G63" s="18" t="n">
        <v>15442</v>
      </c>
      <c r="H63" s="18" t="n">
        <v>13158</v>
      </c>
      <c r="I63" s="18" t="n">
        <v>26983.41</v>
      </c>
      <c r="J63" s="18" t="n">
        <v>21352.17</v>
      </c>
      <c r="K63" s="37" t="n">
        <v>76935.58</v>
      </c>
      <c r="L63" s="18" t="n">
        <v>20608.53</v>
      </c>
      <c r="M63" s="18" t="n">
        <v>32775.85</v>
      </c>
      <c r="N63" s="18" t="n">
        <v>19213.6</v>
      </c>
      <c r="O63" s="18" t="n">
        <v>23021.88</v>
      </c>
      <c r="P63" s="37" t="n">
        <v>95619.86</v>
      </c>
      <c r="Q63" s="18" t="n">
        <v>7998.84</v>
      </c>
      <c r="R63" s="18" t="n">
        <v>15939.82</v>
      </c>
      <c r="S63" s="18" t="n">
        <v>12440.4</v>
      </c>
      <c r="T63" s="18" t="n">
        <v>12069.98</v>
      </c>
      <c r="U63" s="37" t="n">
        <v>48449.04</v>
      </c>
      <c r="V63" s="18" t="n">
        <v>19963.79</v>
      </c>
      <c r="W63" s="18" t="n">
        <v>21916.46</v>
      </c>
      <c r="X63" s="18" t="n">
        <v>30520.79</v>
      </c>
      <c r="Y63" s="18" t="n">
        <v>19960.3</v>
      </c>
      <c r="Z63" s="37" t="n">
        <v>92361.34</v>
      </c>
      <c r="AA63" s="18" t="n">
        <v>20889.56</v>
      </c>
      <c r="AB63" s="19" t="n">
        <v>21663.4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판관비</t>
        </is>
      </c>
      <c r="E64" s="18" t="n">
        <v>3598.95</v>
      </c>
      <c r="F64" s="9" t="n"/>
      <c r="G64" s="18" t="n">
        <v>3421.18</v>
      </c>
      <c r="H64" s="18" t="n">
        <v>3863.38</v>
      </c>
      <c r="I64" s="18" t="n">
        <v>12465.07</v>
      </c>
      <c r="J64" s="18" t="n">
        <v>5585.82</v>
      </c>
      <c r="K64" s="37" t="n">
        <v>25335.45</v>
      </c>
      <c r="L64" s="18" t="n">
        <v>5005.88</v>
      </c>
      <c r="M64" s="18" t="n">
        <v>6409.68</v>
      </c>
      <c r="N64" s="18" t="n">
        <v>5664.04</v>
      </c>
      <c r="O64" s="18" t="n">
        <v>8783.07</v>
      </c>
      <c r="P64" s="37" t="n">
        <v>25862.67</v>
      </c>
      <c r="Q64" s="18" t="n">
        <v>6468.18</v>
      </c>
      <c r="R64" s="18" t="n">
        <v>8062.1</v>
      </c>
      <c r="S64" s="18" t="n">
        <v>6441.26</v>
      </c>
      <c r="T64" s="18" t="n">
        <v>3649.69</v>
      </c>
      <c r="U64" s="37" t="n">
        <v>24621.23</v>
      </c>
      <c r="V64" s="18" t="n">
        <v>6646.65</v>
      </c>
      <c r="W64" s="18" t="n">
        <v>6149.79</v>
      </c>
      <c r="X64" s="18" t="n">
        <v>6379.61</v>
      </c>
      <c r="Y64" s="18" t="n">
        <v>7498.44</v>
      </c>
      <c r="Z64" s="37" t="n">
        <v>26674.49</v>
      </c>
      <c r="AA64" s="18" t="n">
        <v>5432.08</v>
      </c>
      <c r="AB64" s="19" t="n">
        <v>6842.36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영업이익</t>
        </is>
      </c>
      <c r="E65" s="18" t="n">
        <v>11848.84</v>
      </c>
      <c r="F65" s="9" t="n"/>
      <c r="G65" s="18" t="n">
        <v>12020.81</v>
      </c>
      <c r="H65" s="18" t="n">
        <v>9294.620000000001</v>
      </c>
      <c r="I65" s="18" t="n">
        <v>14518.35</v>
      </c>
      <c r="J65" s="18" t="n">
        <v>15766.36</v>
      </c>
      <c r="K65" s="37" t="n">
        <v>51600.14</v>
      </c>
      <c r="L65" s="18" t="n">
        <v>15602.65</v>
      </c>
      <c r="M65" s="18" t="n">
        <v>26366.17</v>
      </c>
      <c r="N65" s="18" t="n">
        <v>13549.56</v>
      </c>
      <c r="O65" s="18" t="n">
        <v>14238.8</v>
      </c>
      <c r="P65" s="37" t="n">
        <v>69757.17999999999</v>
      </c>
      <c r="Q65" s="18" t="n">
        <v>1530.66</v>
      </c>
      <c r="R65" s="18" t="n">
        <v>7877.72</v>
      </c>
      <c r="S65" s="18" t="n">
        <v>5999.15</v>
      </c>
      <c r="T65" s="18" t="n">
        <v>8420.290000000001</v>
      </c>
      <c r="U65" s="37" t="n">
        <v>23827.82</v>
      </c>
      <c r="V65" s="18" t="n">
        <v>13317.14</v>
      </c>
      <c r="W65" s="18" t="n">
        <v>15766.68</v>
      </c>
      <c r="X65" s="18" t="n">
        <v>24141.17</v>
      </c>
      <c r="Y65" s="18" t="n">
        <v>12461.86</v>
      </c>
      <c r="Z65" s="37" t="n">
        <v>65686.85000000001</v>
      </c>
      <c r="AA65" s="18" t="n">
        <v>15457.48</v>
      </c>
      <c r="AB65" s="19" t="n">
        <v>14821.04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기타영업외수익</t>
        </is>
      </c>
      <c r="E66" s="18" t="n">
        <v>-1979.33</v>
      </c>
      <c r="F66" s="9" t="n"/>
      <c r="G66" s="18" t="n">
        <v>1978.33</v>
      </c>
      <c r="H66" s="18" t="n">
        <v>3761.16</v>
      </c>
      <c r="I66" s="18" t="n">
        <v>2568.5</v>
      </c>
      <c r="J66" s="18" t="n">
        <v>-2430.08</v>
      </c>
      <c r="K66" s="37" t="n">
        <v>5877.91</v>
      </c>
      <c r="L66" s="18" t="n">
        <v>3174.41</v>
      </c>
      <c r="M66" s="18" t="n">
        <v>335.85</v>
      </c>
      <c r="N66" s="18" t="n">
        <v>563.12</v>
      </c>
      <c r="O66" s="18" t="n">
        <v>-52.16</v>
      </c>
      <c r="P66" s="37" t="n">
        <v>4021.22</v>
      </c>
      <c r="Q66" s="18" t="n">
        <v>895.17</v>
      </c>
      <c r="R66" s="18" t="n">
        <v>4724.75</v>
      </c>
      <c r="S66" s="18" t="n">
        <v>-3766.29</v>
      </c>
      <c r="T66" s="18" t="n">
        <v>31763.79</v>
      </c>
      <c r="U66" s="37" t="n">
        <v>33617.42</v>
      </c>
      <c r="V66" s="18" t="n">
        <v>1546.76</v>
      </c>
      <c r="W66" s="18" t="n">
        <v>116.65</v>
      </c>
      <c r="X66" s="18" t="n">
        <v>1826.29</v>
      </c>
      <c r="Y66" s="18" t="n">
        <v>2720.59</v>
      </c>
      <c r="Z66" s="37" t="n">
        <v>6210.29</v>
      </c>
      <c r="AA66" s="18" t="n">
        <v>5722.16</v>
      </c>
      <c r="AB66" s="19" t="n">
        <v>1900.52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기타영업외비용</t>
        </is>
      </c>
      <c r="E67" s="18" t="n">
        <v>4550.42</v>
      </c>
      <c r="F67" s="9" t="n"/>
      <c r="G67" s="18" t="n">
        <v>368.41</v>
      </c>
      <c r="H67" s="18" t="n">
        <v>754.96</v>
      </c>
      <c r="I67" s="18" t="n">
        <v>1759.97</v>
      </c>
      <c r="J67" s="18" t="n">
        <v>4250.99</v>
      </c>
      <c r="K67" s="37" t="n">
        <v>7134.33</v>
      </c>
      <c r="L67" s="18" t="n">
        <v>872.72</v>
      </c>
      <c r="M67" s="18" t="n">
        <v>763.1799999999999</v>
      </c>
      <c r="N67" s="18" t="n">
        <v>87.68000000000001</v>
      </c>
      <c r="O67" s="18" t="n">
        <v>457.37</v>
      </c>
      <c r="P67" s="37" t="n">
        <v>2180.95</v>
      </c>
      <c r="Q67" s="18" t="n">
        <v>9</v>
      </c>
      <c r="R67" s="18" t="n">
        <v>58.73</v>
      </c>
      <c r="S67" s="18" t="n">
        <v>10975.35</v>
      </c>
      <c r="T67" s="18" t="n">
        <v>-8809.02</v>
      </c>
      <c r="U67" s="37" t="n">
        <v>2234.06</v>
      </c>
      <c r="V67" s="18" t="n">
        <v>212.99</v>
      </c>
      <c r="W67" s="18" t="n">
        <v>22996.8</v>
      </c>
      <c r="X67" s="18" t="n">
        <v>-5507.03</v>
      </c>
      <c r="Y67" s="18" t="n">
        <v>-2580.9</v>
      </c>
      <c r="Z67" s="37" t="n">
        <v>15121.86</v>
      </c>
      <c r="AA67" s="18" t="n">
        <v>699.09</v>
      </c>
      <c r="AB67" s="19" t="n">
        <v>1418.8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종속기업,공동지배기업및관계기업관련손익</t>
        </is>
      </c>
      <c r="E68" s="18" t="n">
        <v>-56262.57</v>
      </c>
      <c r="F68" s="9" t="n"/>
      <c r="G68" s="18" t="n">
        <v>2572.56</v>
      </c>
      <c r="H68" s="18" t="n">
        <v>6417.23</v>
      </c>
      <c r="I68" s="18" t="n">
        <v>3597.76</v>
      </c>
      <c r="J68" s="18" t="n">
        <v>-3236</v>
      </c>
      <c r="K68" s="37" t="n">
        <v>9351.549999999999</v>
      </c>
      <c r="L68" s="18" t="n">
        <v>2748.08</v>
      </c>
      <c r="M68" s="18" t="n">
        <v>2901.03</v>
      </c>
      <c r="P68" s="9" t="n"/>
      <c r="U68" s="9" t="n"/>
      <c r="V68" s="18" t="n">
        <v>-2984.41</v>
      </c>
      <c r="W68" s="18" t="n">
        <v>-1155.54</v>
      </c>
      <c r="X68" s="18" t="n">
        <v>-5151.88</v>
      </c>
      <c r="Y68" s="18" t="n">
        <v>4376.79</v>
      </c>
      <c r="Z68" s="37" t="n">
        <v>-4915.04</v>
      </c>
      <c r="AA68" s="18" t="n">
        <v>-360.44</v>
      </c>
      <c r="AB68" s="19" t="n">
        <v>4231.95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지분법관련손익</t>
        </is>
      </c>
      <c r="E69" s="18" t="n">
        <v>-56262.57</v>
      </c>
      <c r="F69" s="9" t="n"/>
      <c r="G69" s="18" t="n">
        <v>2572.56</v>
      </c>
      <c r="H69" s="18" t="n">
        <v>6417.23</v>
      </c>
      <c r="I69" s="18" t="n">
        <v>3597.76</v>
      </c>
      <c r="J69" s="18" t="n">
        <v>-3236</v>
      </c>
      <c r="K69" s="37" t="n">
        <v>9351.549999999999</v>
      </c>
      <c r="L69" s="18" t="n">
        <v>2748.08</v>
      </c>
      <c r="M69" s="18" t="n">
        <v>2901.03</v>
      </c>
      <c r="P69" s="9" t="n"/>
      <c r="U69" s="9" t="n"/>
      <c r="V69" s="18" t="n">
        <v>-2984.41</v>
      </c>
      <c r="W69" s="18" t="n">
        <v>-1155.54</v>
      </c>
      <c r="X69" s="18" t="n">
        <v>-5151.88</v>
      </c>
      <c r="Y69" s="18" t="n">
        <v>4376.79</v>
      </c>
      <c r="Z69" s="37" t="n">
        <v>-4915.04</v>
      </c>
      <c r="AA69" s="18" t="n">
        <v>-360.44</v>
      </c>
      <c r="AB69" s="19" t="n">
        <v>4231.95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금융수익</t>
        </is>
      </c>
      <c r="E70" s="18" t="n">
        <v>1802.75</v>
      </c>
      <c r="F70" s="9" t="n"/>
      <c r="G70" s="18" t="n">
        <v>604.8099999999999</v>
      </c>
      <c r="H70" s="18" t="n">
        <v>801.96</v>
      </c>
      <c r="I70" s="18" t="n">
        <v>2154.5</v>
      </c>
      <c r="J70" s="18" t="n">
        <v>5180.6</v>
      </c>
      <c r="K70" s="37" t="n">
        <v>8741.870000000001</v>
      </c>
      <c r="L70" s="18" t="n">
        <v>3282.2</v>
      </c>
      <c r="M70" s="18" t="n">
        <v>6693.35</v>
      </c>
      <c r="N70" s="18" t="n">
        <v>2479.75</v>
      </c>
      <c r="O70" s="18" t="n">
        <v>4042.73</v>
      </c>
      <c r="P70" s="37" t="n">
        <v>16498.03</v>
      </c>
      <c r="Q70" s="18" t="n">
        <v>1926.44</v>
      </c>
      <c r="R70" s="18" t="n">
        <v>3128.82</v>
      </c>
      <c r="S70" s="18" t="n">
        <v>6611.97</v>
      </c>
      <c r="T70" s="18" t="n">
        <v>-3350.62</v>
      </c>
      <c r="U70" s="37" t="n">
        <v>8316.610000000001</v>
      </c>
      <c r="V70" s="18" t="n">
        <v>734.55</v>
      </c>
      <c r="W70" s="18" t="n">
        <v>25117.79</v>
      </c>
      <c r="X70" s="18" t="n">
        <v>-7376.18</v>
      </c>
      <c r="Y70" s="18" t="n">
        <v>-4391.8</v>
      </c>
      <c r="Z70" s="37" t="n">
        <v>14084.36</v>
      </c>
      <c r="AA70" s="18" t="n">
        <v>4348.6</v>
      </c>
      <c r="AB70" s="19" t="n">
        <v>2228.37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금융비용</t>
        </is>
      </c>
      <c r="E71" s="18" t="n">
        <v>5244.35</v>
      </c>
      <c r="F71" s="9" t="n"/>
      <c r="G71" s="18" t="n">
        <v>6067.5</v>
      </c>
      <c r="H71" s="18" t="n">
        <v>8309.41</v>
      </c>
      <c r="I71" s="18" t="n">
        <v>13343.34</v>
      </c>
      <c r="J71" s="18" t="n">
        <v>9160.309999999999</v>
      </c>
      <c r="K71" s="37" t="n">
        <v>36880.56</v>
      </c>
      <c r="L71" s="18" t="n">
        <v>9042.700000000001</v>
      </c>
      <c r="M71" s="18" t="n">
        <v>8410.26</v>
      </c>
      <c r="N71" s="18" t="n">
        <v>6394.13</v>
      </c>
      <c r="O71" s="18" t="n">
        <v>2813.25</v>
      </c>
      <c r="P71" s="37" t="n">
        <v>26660.34</v>
      </c>
      <c r="Q71" s="18" t="n">
        <v>6196.53</v>
      </c>
      <c r="R71" s="18" t="n">
        <v>18731.96</v>
      </c>
      <c r="S71" s="18" t="n">
        <v>-3207.13</v>
      </c>
      <c r="T71" s="18" t="n">
        <v>38325.83</v>
      </c>
      <c r="U71" s="37" t="n">
        <v>60047.19</v>
      </c>
      <c r="V71" s="18" t="n">
        <v>6057.15</v>
      </c>
      <c r="W71" s="18" t="n">
        <v>5089.04</v>
      </c>
      <c r="X71" s="18" t="n">
        <v>3745.96</v>
      </c>
      <c r="Y71" s="18" t="n">
        <v>1168.44</v>
      </c>
      <c r="Z71" s="37" t="n">
        <v>16060.59</v>
      </c>
      <c r="AA71" s="18" t="n">
        <v>11811.9</v>
      </c>
      <c r="AB71" s="19" t="n">
        <v>5760.2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법인세비용차감전계속사업이익</t>
        </is>
      </c>
      <c r="E72" s="18" t="n">
        <v>-54385.07</v>
      </c>
      <c r="F72" s="9" t="n"/>
      <c r="G72" s="18" t="n">
        <v>10740.61</v>
      </c>
      <c r="H72" s="18" t="n">
        <v>11210.59</v>
      </c>
      <c r="I72" s="18" t="n">
        <v>7735.79</v>
      </c>
      <c r="J72" s="18" t="n">
        <v>1869.59</v>
      </c>
      <c r="K72" s="37" t="n">
        <v>31556.58</v>
      </c>
      <c r="L72" s="18" t="n">
        <v>14891.92</v>
      </c>
      <c r="M72" s="18" t="n">
        <v>27122.94</v>
      </c>
      <c r="N72" s="18" t="n">
        <v>10196.5</v>
      </c>
      <c r="O72" s="18" t="n">
        <v>10804.23</v>
      </c>
      <c r="P72" s="37" t="n">
        <v>63015.59</v>
      </c>
      <c r="Q72" s="18" t="n">
        <v>4292.32</v>
      </c>
      <c r="R72" s="18" t="n">
        <v>2998.09</v>
      </c>
      <c r="S72" s="18" t="n">
        <v>8953.25</v>
      </c>
      <c r="T72" s="18" t="n">
        <v>759.01</v>
      </c>
      <c r="U72" s="37" t="n">
        <v>17002.67</v>
      </c>
      <c r="V72" s="18" t="n">
        <v>6343.9</v>
      </c>
      <c r="W72" s="18" t="n">
        <v>11759.73</v>
      </c>
      <c r="X72" s="18" t="n">
        <v>15200.47</v>
      </c>
      <c r="Y72" s="18" t="n">
        <v>16579.89</v>
      </c>
      <c r="Z72" s="37" t="n">
        <v>49883.99</v>
      </c>
      <c r="AA72" s="18" t="n">
        <v>12656.81</v>
      </c>
      <c r="AB72" s="19" t="n">
        <v>16002.89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법인세비용</t>
        </is>
      </c>
      <c r="E73" s="18" t="n">
        <v>9839.82</v>
      </c>
      <c r="F73" s="9" t="n"/>
      <c r="G73" s="18" t="n">
        <v>1915.26</v>
      </c>
      <c r="H73" s="18" t="n">
        <v>891.77</v>
      </c>
      <c r="I73" s="18" t="n">
        <v>3248.88</v>
      </c>
      <c r="J73" s="18" t="n">
        <v>574.26</v>
      </c>
      <c r="K73" s="37" t="n">
        <v>6630.17</v>
      </c>
      <c r="L73" s="18" t="n">
        <v>-5585.55</v>
      </c>
      <c r="M73" s="18" t="n">
        <v>5773.17</v>
      </c>
      <c r="N73" s="18" t="n">
        <v>4472.04</v>
      </c>
      <c r="O73" s="18" t="n">
        <v>880.48</v>
      </c>
      <c r="P73" s="37" t="n">
        <v>5540.14</v>
      </c>
      <c r="Q73" s="18" t="n">
        <v>177.99</v>
      </c>
      <c r="R73" s="18" t="n">
        <v>204.82</v>
      </c>
      <c r="S73" s="18" t="n">
        <v>-158.85</v>
      </c>
      <c r="T73" s="18" t="n">
        <v>375.23</v>
      </c>
      <c r="U73" s="37" t="n">
        <v>599.1900000000001</v>
      </c>
      <c r="V73" s="18" t="n">
        <v>1951.29</v>
      </c>
      <c r="W73" s="18" t="n">
        <v>3219.11</v>
      </c>
      <c r="X73" s="18" t="n">
        <v>4164.34</v>
      </c>
      <c r="Y73" s="18" t="n">
        <v>2759.47</v>
      </c>
      <c r="Z73" s="37" t="n">
        <v>12094.21</v>
      </c>
      <c r="AA73" s="18" t="n">
        <v>2800.96</v>
      </c>
      <c r="AB73" s="19" t="n">
        <v>2213.62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당기순이익</t>
        </is>
      </c>
      <c r="E74" s="18" t="n">
        <v>-64224.89</v>
      </c>
      <c r="F74" s="9" t="n"/>
      <c r="G74" s="18" t="n">
        <v>8825.34</v>
      </c>
      <c r="H74" s="18" t="n">
        <v>10318.82</v>
      </c>
      <c r="I74" s="18" t="n">
        <v>4486.9</v>
      </c>
      <c r="J74" s="18" t="n">
        <v>1295.33</v>
      </c>
      <c r="K74" s="37" t="n">
        <v>24926.39</v>
      </c>
      <c r="L74" s="18" t="n">
        <v>20477.47</v>
      </c>
      <c r="M74" s="18" t="n">
        <v>21349.78</v>
      </c>
      <c r="N74" s="18" t="n">
        <v>5724.46</v>
      </c>
      <c r="O74" s="18" t="n">
        <v>9923.76</v>
      </c>
      <c r="P74" s="37" t="n">
        <v>57475.47</v>
      </c>
      <c r="Q74" s="18" t="n">
        <v>4114.33</v>
      </c>
      <c r="R74" s="18" t="n">
        <v>2793.27</v>
      </c>
      <c r="S74" s="18" t="n">
        <v>9112.1</v>
      </c>
      <c r="T74" s="18" t="n">
        <v>383.78</v>
      </c>
      <c r="U74" s="37" t="n">
        <v>16403.48</v>
      </c>
      <c r="V74" s="18" t="n">
        <v>4392.6</v>
      </c>
      <c r="W74" s="18" t="n">
        <v>8540.620000000001</v>
      </c>
      <c r="X74" s="18" t="n">
        <v>11036.14</v>
      </c>
      <c r="Y74" s="18" t="n">
        <v>13820.42</v>
      </c>
      <c r="Z74" s="37" t="n">
        <v>37789.78</v>
      </c>
      <c r="AA74" s="18" t="n">
        <v>9855.85</v>
      </c>
      <c r="AB74" s="19" t="n">
        <v>13789.27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총포괄손익</t>
        </is>
      </c>
      <c r="E75" s="18" t="n">
        <v>-46491.71</v>
      </c>
      <c r="F75" s="9" t="n"/>
      <c r="G75" s="18" t="n">
        <v>8825.34</v>
      </c>
      <c r="H75" s="18" t="n">
        <v>10318.82</v>
      </c>
      <c r="I75" s="18" t="n">
        <v>4486.9</v>
      </c>
      <c r="J75" s="18" t="n">
        <v>885.14</v>
      </c>
      <c r="K75" s="37" t="n">
        <v>24516.2</v>
      </c>
      <c r="L75" s="18" t="n">
        <v>20477.47</v>
      </c>
      <c r="M75" s="18" t="n">
        <v>21349.78</v>
      </c>
      <c r="N75" s="18" t="n">
        <v>5724.46</v>
      </c>
      <c r="O75" s="18" t="n">
        <v>7697.91</v>
      </c>
      <c r="P75" s="37" t="n">
        <v>55249.62</v>
      </c>
      <c r="Q75" s="18" t="n">
        <v>4114.33</v>
      </c>
      <c r="R75" s="18" t="n">
        <v>2793.27</v>
      </c>
      <c r="S75" s="18" t="n">
        <v>9112.1</v>
      </c>
      <c r="T75" s="18" t="n">
        <v>-1968</v>
      </c>
      <c r="U75" s="37" t="n">
        <v>14051.7</v>
      </c>
      <c r="V75" s="18" t="n">
        <v>4392.12</v>
      </c>
      <c r="W75" s="18" t="n">
        <v>8534.200000000001</v>
      </c>
      <c r="X75" s="18" t="n">
        <v>11037.81</v>
      </c>
      <c r="Y75" s="18" t="n">
        <v>36466.13</v>
      </c>
      <c r="Z75" s="37" t="n">
        <v>60430.26</v>
      </c>
      <c r="AA75" s="18" t="n">
        <v>9858.51</v>
      </c>
      <c r="AB75" s="19" t="n">
        <v>13790.41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금융손익</t>
        </is>
      </c>
      <c r="E76" s="18" t="n">
        <v>-3441.6</v>
      </c>
      <c r="F76" s="9" t="n"/>
      <c r="G76" s="18" t="n">
        <v>-5462.69</v>
      </c>
      <c r="H76" s="18" t="n">
        <v>-7507.45</v>
      </c>
      <c r="I76" s="18" t="n">
        <v>-11188.84</v>
      </c>
      <c r="J76" s="18" t="n">
        <v>-3979.71</v>
      </c>
      <c r="K76" s="37" t="n">
        <v>-28138.69</v>
      </c>
      <c r="L76" s="18" t="n">
        <v>-5760.5</v>
      </c>
      <c r="M76" s="18" t="n">
        <v>-1716.91</v>
      </c>
      <c r="N76" s="18" t="n">
        <v>-3914.38</v>
      </c>
      <c r="O76" s="18" t="n">
        <v>1229.48</v>
      </c>
      <c r="P76" s="37" t="n">
        <v>-10162.31</v>
      </c>
      <c r="Q76" s="18" t="n">
        <v>-4270.09</v>
      </c>
      <c r="R76" s="18" t="n">
        <v>-15603.14</v>
      </c>
      <c r="S76" s="18" t="n">
        <v>9819.1</v>
      </c>
      <c r="T76" s="18" t="n">
        <v>-41676.45</v>
      </c>
      <c r="U76" s="37" t="n">
        <v>-51730.58</v>
      </c>
      <c r="V76" s="18" t="n">
        <v>-5322.6</v>
      </c>
      <c r="W76" s="18" t="n">
        <v>20028.75</v>
      </c>
      <c r="X76" s="18" t="n">
        <v>-11122.14</v>
      </c>
      <c r="Y76" s="18" t="n">
        <v>-5560.24</v>
      </c>
      <c r="Z76" s="37" t="n">
        <v>-1976.23</v>
      </c>
      <c r="AA76" s="18" t="n">
        <v>-7463.3</v>
      </c>
      <c r="AB76" s="19" t="n">
        <v>-3531.83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기타영업외손익</t>
        </is>
      </c>
      <c r="E77" s="18" t="n">
        <v>-6529.75</v>
      </c>
      <c r="F77" s="9" t="n"/>
      <c r="G77" s="18" t="n">
        <v>1609.92</v>
      </c>
      <c r="H77" s="18" t="n">
        <v>3006.2</v>
      </c>
      <c r="I77" s="18" t="n">
        <v>808.53</v>
      </c>
      <c r="J77" s="18" t="n">
        <v>-6681.07</v>
      </c>
      <c r="K77" s="37" t="n">
        <v>-1256.42</v>
      </c>
      <c r="L77" s="18" t="n">
        <v>2301.69</v>
      </c>
      <c r="M77" s="18" t="n">
        <v>-427.33</v>
      </c>
      <c r="N77" s="18" t="n">
        <v>475.44</v>
      </c>
      <c r="O77" s="18" t="n">
        <v>-509.53</v>
      </c>
      <c r="P77" s="37" t="n">
        <v>1840.27</v>
      </c>
      <c r="Q77" s="18" t="n">
        <v>886.17</v>
      </c>
      <c r="R77" s="18" t="n">
        <v>4666.02</v>
      </c>
      <c r="S77" s="18" t="n">
        <v>-14741.64</v>
      </c>
      <c r="T77" s="18" t="n">
        <v>40572.81</v>
      </c>
      <c r="U77" s="37" t="n">
        <v>31383.36</v>
      </c>
      <c r="V77" s="18" t="n">
        <v>1333.77</v>
      </c>
      <c r="W77" s="18" t="n">
        <v>-22880.15</v>
      </c>
      <c r="X77" s="18" t="n">
        <v>7333.32</v>
      </c>
      <c r="Y77" s="18" t="n">
        <v>5301.49</v>
      </c>
      <c r="Z77" s="37" t="n">
        <v>-8911.57</v>
      </c>
      <c r="AA77" s="18" t="n">
        <v>5023.07</v>
      </c>
      <c r="AB77" s="19" t="n">
        <v>481.72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(지배주주지분)당기순이익</t>
        </is>
      </c>
      <c r="E78" s="18" t="n">
        <v>-64224.89</v>
      </c>
      <c r="F78" s="9" t="n"/>
      <c r="G78" s="18" t="n">
        <v>8825.34</v>
      </c>
      <c r="H78" s="18" t="n">
        <v>10318.82</v>
      </c>
      <c r="I78" s="18" t="n">
        <v>4486.9</v>
      </c>
      <c r="J78" s="18" t="n">
        <v>1295.33</v>
      </c>
      <c r="K78" s="37" t="n">
        <v>24926.39</v>
      </c>
      <c r="L78" s="18" t="n">
        <v>20477.47</v>
      </c>
      <c r="M78" s="18" t="n">
        <v>21349.78</v>
      </c>
      <c r="N78" s="18" t="n">
        <v>5724.46</v>
      </c>
      <c r="O78" s="18" t="n">
        <v>9923.76</v>
      </c>
      <c r="P78" s="37" t="n">
        <v>57475.47</v>
      </c>
      <c r="Q78" s="18" t="n">
        <v>4114.33</v>
      </c>
      <c r="R78" s="18" t="n">
        <v>2793.27</v>
      </c>
      <c r="S78" s="18" t="n">
        <v>9112.1</v>
      </c>
      <c r="T78" s="18" t="n">
        <v>383.78</v>
      </c>
      <c r="U78" s="37" t="n">
        <v>16403.48</v>
      </c>
      <c r="V78" s="18" t="n">
        <v>4392.6</v>
      </c>
      <c r="W78" s="18" t="n">
        <v>8540.620000000001</v>
      </c>
      <c r="X78" s="18" t="n">
        <v>11036.14</v>
      </c>
      <c r="Y78" s="18" t="n">
        <v>13820.42</v>
      </c>
      <c r="Z78" s="37" t="n">
        <v>37789.78</v>
      </c>
      <c r="AA78" s="18" t="n">
        <v>9855.85</v>
      </c>
      <c r="AB78" s="19" t="n">
        <v>13789.27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계속사업이익</t>
        </is>
      </c>
      <c r="E79" s="18" t="n">
        <v>-64224.89</v>
      </c>
      <c r="F79" s="9" t="n"/>
      <c r="G79" s="18" t="n">
        <v>8825.34</v>
      </c>
      <c r="H79" s="18" t="n">
        <v>10318.82</v>
      </c>
      <c r="I79" s="18" t="n">
        <v>4486.9</v>
      </c>
      <c r="J79" s="18" t="n">
        <v>1295.33</v>
      </c>
      <c r="K79" s="37" t="n">
        <v>24926.39</v>
      </c>
      <c r="L79" s="18" t="n">
        <v>20477.47</v>
      </c>
      <c r="M79" s="18" t="n">
        <v>21349.78</v>
      </c>
      <c r="N79" s="18" t="n">
        <v>5724.46</v>
      </c>
      <c r="O79" s="18" t="n">
        <v>9923.76</v>
      </c>
      <c r="P79" s="37" t="n">
        <v>57475.47</v>
      </c>
      <c r="Q79" s="18" t="n">
        <v>4114.33</v>
      </c>
      <c r="R79" s="18" t="n">
        <v>2793.27</v>
      </c>
      <c r="S79" s="18" t="n">
        <v>9112.1</v>
      </c>
      <c r="T79" s="18" t="n">
        <v>383.78</v>
      </c>
      <c r="U79" s="37" t="n">
        <v>16403.48</v>
      </c>
      <c r="V79" s="18" t="n">
        <v>4392.6</v>
      </c>
      <c r="W79" s="18" t="n">
        <v>8540.620000000001</v>
      </c>
      <c r="X79" s="18" t="n">
        <v>11036.14</v>
      </c>
      <c r="Y79" s="18" t="n">
        <v>13820.42</v>
      </c>
      <c r="Z79" s="37" t="n">
        <v>37789.78</v>
      </c>
      <c r="AA79" s="18" t="n">
        <v>9855.85</v>
      </c>
      <c r="AB79" s="19" t="n">
        <v>13789.27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영업활동으로인한현금흐름</t>
        </is>
      </c>
      <c r="E80" s="18" t="n">
        <v>104915.32</v>
      </c>
      <c r="F80" s="9" t="n"/>
      <c r="G80" s="18" t="n">
        <v>50082.93</v>
      </c>
      <c r="H80" s="18" t="n">
        <v>-19313.15</v>
      </c>
      <c r="I80" s="18" t="n">
        <v>-35636.61</v>
      </c>
      <c r="J80" s="18" t="n">
        <v>55677.87</v>
      </c>
      <c r="K80" s="37" t="n">
        <v>50811.04</v>
      </c>
      <c r="L80" s="18" t="n">
        <v>-58562.06</v>
      </c>
      <c r="M80" s="18" t="n">
        <v>-67842.08</v>
      </c>
      <c r="N80" s="18" t="n">
        <v>7481.01</v>
      </c>
      <c r="O80" s="18" t="n">
        <v>-40593.86</v>
      </c>
      <c r="P80" s="37" t="n">
        <v>-159516.99</v>
      </c>
      <c r="Q80" s="18" t="n">
        <v>2781.33</v>
      </c>
      <c r="R80" s="18" t="n">
        <v>40365.79</v>
      </c>
      <c r="S80" s="18" t="n">
        <v>45308.5</v>
      </c>
      <c r="T80" s="18" t="n">
        <v>39715.04</v>
      </c>
      <c r="U80" s="37" t="n">
        <v>128170.66</v>
      </c>
      <c r="V80" s="18" t="n">
        <v>58823.76</v>
      </c>
      <c r="W80" s="18" t="n">
        <v>46427.38</v>
      </c>
      <c r="X80" s="18" t="n">
        <v>-103023.7</v>
      </c>
      <c r="Y80" s="18" t="n">
        <v>-24193.89</v>
      </c>
      <c r="Z80" s="37" t="n">
        <v>-21966.45</v>
      </c>
      <c r="AA80" s="18" t="n">
        <v>47146.43</v>
      </c>
      <c r="AB80" s="19" t="n">
        <v>3798.17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이자수취(CF)</t>
        </is>
      </c>
      <c r="E81" s="18" t="n">
        <v>-22.93</v>
      </c>
      <c r="F81" s="9" t="n"/>
      <c r="G81" s="18" t="n">
        <v>20.86</v>
      </c>
      <c r="H81" s="18" t="n">
        <v>805.35</v>
      </c>
      <c r="I81" s="18" t="n">
        <v>744.5599999999999</v>
      </c>
      <c r="J81" s="18" t="n">
        <v>2884.1</v>
      </c>
      <c r="K81" s="37" t="n">
        <v>4454.87</v>
      </c>
      <c r="L81" s="18" t="n">
        <v>1515.85</v>
      </c>
      <c r="M81" s="18" t="n">
        <v>1530.91</v>
      </c>
      <c r="N81" s="18" t="n">
        <v>1051.36</v>
      </c>
      <c r="O81" s="18" t="n">
        <v>1686.35</v>
      </c>
      <c r="P81" s="37" t="n">
        <v>5784.47</v>
      </c>
      <c r="Q81" s="18" t="n">
        <v>1216.13</v>
      </c>
      <c r="R81" s="18" t="n">
        <v>587.87</v>
      </c>
      <c r="S81" s="18" t="n">
        <v>829.11</v>
      </c>
      <c r="T81" s="18" t="n">
        <v>2076.27</v>
      </c>
      <c r="U81" s="37" t="n">
        <v>4709.38</v>
      </c>
      <c r="V81" s="18" t="n">
        <v>419.49</v>
      </c>
      <c r="W81" s="18" t="n">
        <v>870.4299999999999</v>
      </c>
      <c r="X81" s="18" t="n">
        <v>1492.4</v>
      </c>
      <c r="Y81" s="18" t="n">
        <v>218.09</v>
      </c>
      <c r="Z81" s="37" t="n">
        <v>3000.41</v>
      </c>
      <c r="AA81" s="18" t="n">
        <v>345.26</v>
      </c>
      <c r="AB81" s="19" t="n">
        <v>287.05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이자지급(CF)</t>
        </is>
      </c>
      <c r="E82" s="18" t="n">
        <v>-2461.33</v>
      </c>
      <c r="F82" s="9" t="n"/>
      <c r="G82" s="18" t="n">
        <v>-2034.19</v>
      </c>
      <c r="H82" s="18" t="n">
        <v>-1927.47</v>
      </c>
      <c r="I82" s="18" t="n">
        <v>-1978.49</v>
      </c>
      <c r="J82" s="18" t="n">
        <v>-2043.18</v>
      </c>
      <c r="K82" s="37" t="n">
        <v>-7983.33</v>
      </c>
      <c r="L82" s="18" t="n">
        <v>-1199.35</v>
      </c>
      <c r="M82" s="18" t="n">
        <v>-1283.53</v>
      </c>
      <c r="P82" s="9" t="n"/>
      <c r="U82" s="9" t="n"/>
      <c r="V82" s="18" t="n">
        <v>-1527.5</v>
      </c>
      <c r="W82" s="18" t="n">
        <v>-1951.13</v>
      </c>
      <c r="X82" s="18" t="n">
        <v>-2513.45</v>
      </c>
      <c r="Y82" s="18" t="n">
        <v>-1625.14</v>
      </c>
      <c r="Z82" s="37" t="n">
        <v>-7617.22</v>
      </c>
      <c r="AA82" s="18" t="n">
        <v>-1781.71</v>
      </c>
      <c r="AB82" s="19" t="n">
        <v>-1796.87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배당금수취(CF)</t>
        </is>
      </c>
      <c r="E83" s="18" t="n">
        <v>0</v>
      </c>
      <c r="F83" s="9" t="n"/>
      <c r="G83" s="18" t="n">
        <v>10.89</v>
      </c>
      <c r="H83" s="18" t="n">
        <v>0</v>
      </c>
      <c r="I83" s="18" t="n">
        <v>0</v>
      </c>
      <c r="J83" s="18" t="n">
        <v>0</v>
      </c>
      <c r="K83" s="37" t="n">
        <v>10.89</v>
      </c>
      <c r="N83" s="18" t="n">
        <v>0</v>
      </c>
      <c r="O83" s="18" t="n">
        <v>0</v>
      </c>
      <c r="P83" s="9" t="n"/>
      <c r="S83" s="18" t="n">
        <v>0</v>
      </c>
      <c r="T83" s="18" t="n">
        <v>0</v>
      </c>
      <c r="U83" s="9" t="n"/>
      <c r="X83" s="18" t="n">
        <v>0</v>
      </c>
      <c r="Y83" s="18" t="n">
        <v>0</v>
      </c>
      <c r="Z83" s="9" t="n"/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법인세납부(CF)</t>
        </is>
      </c>
      <c r="E84" s="18" t="n">
        <v>-1.07</v>
      </c>
      <c r="F84" s="9" t="n"/>
      <c r="G84" s="18" t="n">
        <v>-8712.58</v>
      </c>
      <c r="H84" s="18" t="n">
        <v>-1082.94</v>
      </c>
      <c r="I84" s="18" t="n">
        <v>-3876.61</v>
      </c>
      <c r="J84" s="18" t="n">
        <v>-494.99</v>
      </c>
      <c r="K84" s="37" t="n">
        <v>-14167.12</v>
      </c>
      <c r="L84" s="18" t="n">
        <v>3734.93</v>
      </c>
      <c r="M84" s="18" t="n">
        <v>-984</v>
      </c>
      <c r="N84" s="18" t="n">
        <v>-3613.12</v>
      </c>
      <c r="O84" s="18" t="n">
        <v>1475.75</v>
      </c>
      <c r="P84" s="37" t="n">
        <v>613.5599999999999</v>
      </c>
      <c r="Q84" s="18" t="n">
        <v>-10901.66</v>
      </c>
      <c r="R84" s="18" t="n">
        <v>-1547.68</v>
      </c>
      <c r="S84" s="18" t="n">
        <v>-578.3</v>
      </c>
      <c r="T84" s="18" t="n">
        <v>-366.72</v>
      </c>
      <c r="U84" s="37" t="n">
        <v>-13394.36</v>
      </c>
      <c r="V84" s="18" t="n">
        <v>-79.06999999999999</v>
      </c>
      <c r="W84" s="18" t="n">
        <v>-189.11</v>
      </c>
      <c r="X84" s="18" t="n">
        <v>-5959.03</v>
      </c>
      <c r="Y84" s="18" t="n">
        <v>-38.63</v>
      </c>
      <c r="Z84" s="37" t="n">
        <v>-6265.84</v>
      </c>
      <c r="AA84" s="18" t="n">
        <v>-5047.06</v>
      </c>
      <c r="AB84" s="19" t="n">
        <v>-1036.34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투자활동으로인한현금흐름</t>
        </is>
      </c>
      <c r="E85" s="18" t="n">
        <v>-4782.37</v>
      </c>
      <c r="F85" s="9" t="n"/>
      <c r="G85" s="18" t="n">
        <v>-61649.25</v>
      </c>
      <c r="H85" s="18" t="n">
        <v>11482.7</v>
      </c>
      <c r="I85" s="18" t="n">
        <v>-348045.92</v>
      </c>
      <c r="J85" s="18" t="n">
        <v>28118.41</v>
      </c>
      <c r="K85" s="37" t="n">
        <v>-370094.06</v>
      </c>
      <c r="L85" s="18" t="n">
        <v>62372.9</v>
      </c>
      <c r="M85" s="18" t="n">
        <v>42886.86</v>
      </c>
      <c r="N85" s="18" t="n">
        <v>-26921.91</v>
      </c>
      <c r="O85" s="18" t="n">
        <v>2279.26</v>
      </c>
      <c r="P85" s="37" t="n">
        <v>80617.11</v>
      </c>
      <c r="Q85" s="18" t="n">
        <v>-12925.9</v>
      </c>
      <c r="R85" s="18" t="n">
        <v>-5894.5</v>
      </c>
      <c r="S85" s="18" t="n">
        <v>-41714.11</v>
      </c>
      <c r="T85" s="18" t="n">
        <v>-45838.87</v>
      </c>
      <c r="U85" s="37" t="n">
        <v>-106373.38</v>
      </c>
      <c r="V85" s="18" t="n">
        <v>-31914.2</v>
      </c>
      <c r="W85" s="18" t="n">
        <v>-74048.09</v>
      </c>
      <c r="X85" s="18" t="n">
        <v>76528.94</v>
      </c>
      <c r="Y85" s="18" t="n">
        <v>-9506.059999999999</v>
      </c>
      <c r="Z85" s="37" t="n">
        <v>-38939.41</v>
      </c>
      <c r="AA85" s="18" t="n">
        <v>-22855.66</v>
      </c>
      <c r="AB85" s="19" t="n">
        <v>-11139.02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유형자산의감소</t>
        </is>
      </c>
      <c r="E86" s="18" t="n">
        <v>0</v>
      </c>
      <c r="F86" s="9" t="n"/>
      <c r="I86" s="18" t="n">
        <v>14.29</v>
      </c>
      <c r="J86" s="18" t="n">
        <v>181</v>
      </c>
      <c r="K86" s="9" t="n"/>
      <c r="L86" s="18" t="n">
        <v>55.7</v>
      </c>
      <c r="M86" s="18" t="n">
        <v>7.6</v>
      </c>
      <c r="N86" s="18" t="n">
        <v>67.91</v>
      </c>
      <c r="O86" s="18" t="n">
        <v>45.12</v>
      </c>
      <c r="P86" s="37" t="n">
        <v>176.33</v>
      </c>
      <c r="Q86" s="18" t="n">
        <v>1.3</v>
      </c>
      <c r="R86" s="18" t="n">
        <v>48.57</v>
      </c>
      <c r="S86" s="18" t="n">
        <v>25.56</v>
      </c>
      <c r="T86" s="18" t="n">
        <v>3.06</v>
      </c>
      <c r="U86" s="37" t="n">
        <v>78.48999999999999</v>
      </c>
      <c r="V86" s="18" t="n">
        <v>13.66</v>
      </c>
      <c r="W86" s="18" t="n">
        <v>0</v>
      </c>
      <c r="X86" s="18" t="n">
        <v>10.82</v>
      </c>
      <c r="Y86" s="18" t="n">
        <v>231.81</v>
      </c>
      <c r="Z86" s="37" t="n">
        <v>256.29</v>
      </c>
      <c r="AA86" s="18" t="n">
        <v>2.79</v>
      </c>
      <c r="AB86" s="19" t="n">
        <v>0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유형자산의증가</t>
        </is>
      </c>
      <c r="E87" s="18" t="n">
        <v>1068.23</v>
      </c>
      <c r="F87" s="9" t="n"/>
      <c r="G87" s="18" t="n">
        <v>589.38</v>
      </c>
      <c r="H87" s="18" t="n">
        <v>2678.14</v>
      </c>
      <c r="I87" s="18" t="n">
        <v>4269.05</v>
      </c>
      <c r="J87" s="18" t="n">
        <v>104784.39</v>
      </c>
      <c r="K87" s="37" t="n">
        <v>112320.96</v>
      </c>
      <c r="L87" s="18" t="n">
        <v>15294.55</v>
      </c>
      <c r="M87" s="18" t="n">
        <v>16893.33</v>
      </c>
      <c r="N87" s="18" t="n">
        <v>23570.93</v>
      </c>
      <c r="O87" s="18" t="n">
        <v>44489.83</v>
      </c>
      <c r="P87" s="37" t="n">
        <v>100248.64</v>
      </c>
      <c r="Q87" s="18" t="n">
        <v>28376.95</v>
      </c>
      <c r="R87" s="18" t="n">
        <v>34112.23</v>
      </c>
      <c r="S87" s="18" t="n">
        <v>46826.21</v>
      </c>
      <c r="T87" s="18" t="n">
        <v>40330.29</v>
      </c>
      <c r="U87" s="37" t="n">
        <v>149645.68</v>
      </c>
      <c r="V87" s="18" t="n">
        <v>31856.12</v>
      </c>
      <c r="W87" s="18" t="n">
        <v>11339.13</v>
      </c>
      <c r="X87" s="18" t="n">
        <v>4396.32</v>
      </c>
      <c r="Y87" s="18" t="n">
        <v>9476.139999999999</v>
      </c>
      <c r="Z87" s="37" t="n">
        <v>57067.71</v>
      </c>
      <c r="AA87" s="18" t="n">
        <v>22815.38</v>
      </c>
      <c r="AB87" s="19" t="n">
        <v>10809.59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CAPEX</t>
        </is>
      </c>
      <c r="E88" s="18" t="n">
        <v>1035.27</v>
      </c>
      <c r="F88" s="9" t="n"/>
      <c r="G88" s="18" t="n">
        <v>889.21</v>
      </c>
      <c r="H88" s="18" t="n">
        <v>2599.05</v>
      </c>
      <c r="I88" s="18" t="n">
        <v>4395.08</v>
      </c>
      <c r="J88" s="18" t="n">
        <v>106923.47</v>
      </c>
      <c r="K88" s="37" t="n">
        <v>114806.81</v>
      </c>
      <c r="L88" s="18" t="n">
        <v>15865.51</v>
      </c>
      <c r="M88" s="18" t="n">
        <v>16854.15</v>
      </c>
      <c r="N88" s="18" t="n">
        <v>24359.36</v>
      </c>
      <c r="O88" s="18" t="n">
        <v>44662.21</v>
      </c>
      <c r="P88" s="37" t="n">
        <v>101741.23</v>
      </c>
      <c r="Q88" s="18" t="n">
        <v>28380.25</v>
      </c>
      <c r="R88" s="18" t="n">
        <v>34149.77</v>
      </c>
      <c r="S88" s="18" t="n">
        <v>46894.31</v>
      </c>
      <c r="T88" s="18" t="n">
        <v>40439.48</v>
      </c>
      <c r="U88" s="37" t="n">
        <v>149863.81</v>
      </c>
      <c r="V88" s="18" t="n">
        <v>31930.92</v>
      </c>
      <c r="W88" s="18" t="n">
        <v>11342.48</v>
      </c>
      <c r="X88" s="18" t="n">
        <v>4947.65</v>
      </c>
      <c r="Y88" s="18" t="n">
        <v>9763.049999999999</v>
      </c>
      <c r="Z88" s="37" t="n">
        <v>57984.1</v>
      </c>
      <c r="AA88" s="18" t="n">
        <v>22850.47</v>
      </c>
      <c r="AB88" s="19" t="n">
        <v>10809.59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재무활동으로인한현금흐름</t>
        </is>
      </c>
      <c r="E89" s="18" t="n">
        <v>-17687.35</v>
      </c>
      <c r="F89" s="9" t="n"/>
      <c r="G89" s="18" t="n">
        <v>-13981.08</v>
      </c>
      <c r="H89" s="18" t="n">
        <v>-7878.15</v>
      </c>
      <c r="I89" s="18" t="n">
        <v>456072.67</v>
      </c>
      <c r="J89" s="18" t="n">
        <v>-128377.69</v>
      </c>
      <c r="K89" s="37" t="n">
        <v>305835.75</v>
      </c>
      <c r="L89" s="18" t="n">
        <v>-1500.8</v>
      </c>
      <c r="M89" s="18" t="n">
        <v>17399.09</v>
      </c>
      <c r="N89" s="18" t="n">
        <v>21310.93</v>
      </c>
      <c r="O89" s="18" t="n">
        <v>-3657.79</v>
      </c>
      <c r="P89" s="37" t="n">
        <v>33551.43</v>
      </c>
      <c r="Q89" s="18" t="n">
        <v>24488.57</v>
      </c>
      <c r="R89" s="18" t="n">
        <v>-32737.81</v>
      </c>
      <c r="S89" s="18" t="n">
        <v>-15330.67</v>
      </c>
      <c r="T89" s="18" t="n">
        <v>16390.74</v>
      </c>
      <c r="U89" s="37" t="n">
        <v>-7189.17</v>
      </c>
      <c r="V89" s="18" t="n">
        <v>38914.23</v>
      </c>
      <c r="W89" s="18" t="n">
        <v>-3045.44</v>
      </c>
      <c r="X89" s="18" t="n">
        <v>-4027.08</v>
      </c>
      <c r="Y89" s="18" t="n">
        <v>1990.16</v>
      </c>
      <c r="Z89" s="37" t="n">
        <v>33831.87</v>
      </c>
      <c r="AA89" s="18" t="n">
        <v>-23213.72</v>
      </c>
      <c r="AB89" s="19" t="n">
        <v>23823.85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차입금의증가</t>
        </is>
      </c>
      <c r="E90" s="18" t="n">
        <v>16611.76</v>
      </c>
      <c r="F90" s="9" t="n"/>
      <c r="G90" s="18" t="n">
        <v>16917.18</v>
      </c>
      <c r="H90" s="18" t="n">
        <v>18042.48</v>
      </c>
      <c r="I90" s="18" t="n">
        <v>8678.5</v>
      </c>
      <c r="J90" s="18" t="n">
        <v>16388.34</v>
      </c>
      <c r="K90" s="37" t="n">
        <v>60026.5</v>
      </c>
      <c r="L90" s="18" t="n">
        <v>22242.5</v>
      </c>
      <c r="M90" s="18" t="n">
        <v>29118.46</v>
      </c>
      <c r="P90" s="9" t="n"/>
      <c r="Q90" s="18" t="n">
        <v>80397.39999999999</v>
      </c>
      <c r="R90" s="18" t="n">
        <v>3325.62</v>
      </c>
      <c r="S90" s="18" t="n">
        <v>16141.89</v>
      </c>
      <c r="T90" s="18" t="n">
        <v>52247.56</v>
      </c>
      <c r="U90" s="37" t="n">
        <v>152112.47</v>
      </c>
      <c r="V90" s="18" t="n">
        <v>57960</v>
      </c>
      <c r="W90" s="18" t="n">
        <v>1940</v>
      </c>
      <c r="X90" s="18" t="n">
        <v>8000</v>
      </c>
      <c r="Y90" s="18" t="n">
        <v>0</v>
      </c>
      <c r="Z90" s="37" t="n">
        <v>67900</v>
      </c>
      <c r="AA90" s="18" t="n">
        <v>5000</v>
      </c>
      <c r="AB90" s="19" t="n">
        <v>73440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차입금의감소</t>
        </is>
      </c>
      <c r="E91" s="18" t="n">
        <v>33587.74</v>
      </c>
      <c r="F91" s="9" t="n"/>
      <c r="G91" s="18" t="n">
        <v>30158.8</v>
      </c>
      <c r="H91" s="18" t="n">
        <v>25182.52</v>
      </c>
      <c r="I91" s="18" t="n">
        <v>10829.28</v>
      </c>
      <c r="J91" s="18" t="n">
        <v>102540.06</v>
      </c>
      <c r="K91" s="37" t="n">
        <v>168710.66</v>
      </c>
      <c r="L91" s="18" t="n">
        <v>16786.15</v>
      </c>
      <c r="M91" s="18" t="n">
        <v>11936.66</v>
      </c>
      <c r="N91" s="18" t="n">
        <v>19013.12</v>
      </c>
      <c r="O91" s="18" t="n">
        <v>59807.77</v>
      </c>
      <c r="P91" s="37" t="n">
        <v>107543.7</v>
      </c>
      <c r="Q91" s="18" t="n">
        <v>51776.18</v>
      </c>
      <c r="R91" s="18" t="n">
        <v>31896.55</v>
      </c>
      <c r="S91" s="18" t="n">
        <v>27226.8</v>
      </c>
      <c r="T91" s="18" t="n">
        <v>25344.54</v>
      </c>
      <c r="U91" s="37" t="n">
        <v>136244.07</v>
      </c>
      <c r="V91" s="18" t="n">
        <v>16857.6</v>
      </c>
      <c r="W91" s="18" t="n">
        <v>3797.6</v>
      </c>
      <c r="X91" s="18" t="n">
        <v>9857.6</v>
      </c>
      <c r="Y91" s="18" t="n">
        <v>1857.6</v>
      </c>
      <c r="Z91" s="37" t="n">
        <v>32370.4</v>
      </c>
      <c r="AA91" s="18" t="n">
        <v>26857.6</v>
      </c>
      <c r="AB91" s="19" t="n">
        <v>48297.6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리스부채의상환</t>
        </is>
      </c>
      <c r="E92" s="18" t="n">
        <v>711.38</v>
      </c>
      <c r="F92" s="9" t="n"/>
      <c r="G92" s="18" t="n">
        <v>734.38</v>
      </c>
      <c r="H92" s="18" t="n">
        <v>738.12</v>
      </c>
      <c r="I92" s="18" t="n">
        <v>788.36</v>
      </c>
      <c r="J92" s="18" t="n">
        <v>770.98</v>
      </c>
      <c r="K92" s="37" t="n">
        <v>3031.84</v>
      </c>
      <c r="L92" s="18" t="n">
        <v>809.73</v>
      </c>
      <c r="M92" s="18" t="n">
        <v>867.59</v>
      </c>
      <c r="N92" s="18" t="n">
        <v>921.02</v>
      </c>
      <c r="O92" s="18" t="n">
        <v>4037.92</v>
      </c>
      <c r="P92" s="37" t="n">
        <v>6636.26</v>
      </c>
      <c r="Q92" s="18" t="n">
        <v>4132.65</v>
      </c>
      <c r="R92" s="18" t="n">
        <v>4166.87</v>
      </c>
      <c r="S92" s="18" t="n">
        <v>4245.77</v>
      </c>
      <c r="T92" s="18" t="n">
        <v>4277.76</v>
      </c>
      <c r="U92" s="37" t="n">
        <v>16823.05</v>
      </c>
      <c r="V92" s="18" t="n">
        <v>2188.17</v>
      </c>
      <c r="W92" s="18" t="n">
        <v>1178.75</v>
      </c>
      <c r="X92" s="18" t="n">
        <v>2145.55</v>
      </c>
      <c r="Z92" s="9" t="n"/>
      <c r="AA92" s="18" t="n">
        <v>1356.12</v>
      </c>
      <c r="AB92" s="19" t="n">
        <v>1318.55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현금및현금성자산의증감</t>
        </is>
      </c>
      <c r="E93" s="18" t="n">
        <v>164901.26</v>
      </c>
      <c r="F93" s="9" t="n"/>
      <c r="G93" s="18" t="n">
        <v>-51112.25</v>
      </c>
      <c r="H93" s="18" t="n">
        <v>-31347.27</v>
      </c>
      <c r="I93" s="18" t="n">
        <v>145151.83</v>
      </c>
      <c r="J93" s="18" t="n">
        <v>-90022.24000000001</v>
      </c>
      <c r="K93" s="37" t="n">
        <v>-27329.93</v>
      </c>
      <c r="L93" s="18" t="n">
        <v>4650.82</v>
      </c>
      <c r="M93" s="18" t="n">
        <v>-15069.79</v>
      </c>
      <c r="N93" s="18" t="n">
        <v>3816.92</v>
      </c>
      <c r="O93" s="18" t="n">
        <v>-84379.89999999999</v>
      </c>
      <c r="P93" s="37" t="n">
        <v>-90981.95</v>
      </c>
      <c r="Q93" s="18" t="n">
        <v>28800.82</v>
      </c>
      <c r="R93" s="18" t="n">
        <v>3463.63</v>
      </c>
      <c r="S93" s="18" t="n">
        <v>-23928.87</v>
      </c>
      <c r="T93" s="18" t="n">
        <v>6330.37</v>
      </c>
      <c r="U93" s="37" t="n">
        <v>14665.95</v>
      </c>
      <c r="V93" s="18" t="n">
        <v>65914.7</v>
      </c>
      <c r="W93" s="18" t="n">
        <v>-31329.71</v>
      </c>
      <c r="X93" s="18" t="n">
        <v>-29937.31</v>
      </c>
      <c r="Y93" s="18" t="n">
        <v>-31736.78</v>
      </c>
      <c r="Z93" s="37" t="n">
        <v>-27089.1</v>
      </c>
      <c r="AA93" s="18" t="n">
        <v>1077.64</v>
      </c>
      <c r="AB93" s="19" t="n">
        <v>16479.69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기말현금및현금성자산</t>
        </is>
      </c>
      <c r="E94" s="18" t="n">
        <v>82455.67</v>
      </c>
      <c r="F94" s="9" t="n"/>
      <c r="G94" s="18" t="n">
        <v>66938.69</v>
      </c>
      <c r="H94" s="18" t="n">
        <v>-15638.68</v>
      </c>
      <c r="I94" s="18" t="n">
        <v>72761.69</v>
      </c>
      <c r="J94" s="18" t="n">
        <v>-45440.83</v>
      </c>
      <c r="K94" s="37" t="n">
        <v>78620.87</v>
      </c>
      <c r="L94" s="18" t="n">
        <v>80961.64999999999</v>
      </c>
      <c r="M94" s="18" t="n">
        <v>-7513.65</v>
      </c>
      <c r="N94" s="18" t="n">
        <v>1946.88</v>
      </c>
      <c r="O94" s="18" t="n">
        <v>-42407.5</v>
      </c>
      <c r="P94" s="37" t="n">
        <v>32987.38</v>
      </c>
      <c r="Q94" s="18" t="n">
        <v>47444.2</v>
      </c>
      <c r="R94" s="18" t="n">
        <v>1730.14</v>
      </c>
      <c r="S94" s="18" t="n">
        <v>-12192.58</v>
      </c>
      <c r="T94" s="18" t="n">
        <v>10671.57</v>
      </c>
      <c r="U94" s="37" t="n">
        <v>47653.33</v>
      </c>
      <c r="V94" s="18" t="n">
        <v>113568.03</v>
      </c>
      <c r="W94" s="18" t="n">
        <v>-31329.71</v>
      </c>
      <c r="X94" s="18" t="n">
        <v>-29937.31</v>
      </c>
      <c r="Y94" s="18" t="n">
        <v>-31736.78</v>
      </c>
      <c r="Z94" s="37" t="n">
        <v>20564.23</v>
      </c>
      <c r="AA94" s="18" t="n">
        <v>21641.86</v>
      </c>
      <c r="AB94" s="19" t="n">
        <v>16479.7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무형자산의증가</t>
        </is>
      </c>
      <c r="F95" s="9" t="n"/>
      <c r="G95" s="18" t="n">
        <v>299.83</v>
      </c>
      <c r="I95" s="18" t="n">
        <v>126.03</v>
      </c>
      <c r="J95" s="18" t="n">
        <v>2139.08</v>
      </c>
      <c r="K95" s="9" t="n"/>
      <c r="L95" s="18" t="n">
        <v>570.96</v>
      </c>
      <c r="N95" s="18" t="n">
        <v>788.4299999999999</v>
      </c>
      <c r="O95" s="18" t="n">
        <v>172.38</v>
      </c>
      <c r="P95" s="9" t="n"/>
      <c r="Q95" s="18" t="n">
        <v>3.3</v>
      </c>
      <c r="R95" s="18" t="n">
        <v>37.54</v>
      </c>
      <c r="S95" s="18" t="n">
        <v>68.09999999999999</v>
      </c>
      <c r="T95" s="18" t="n">
        <v>109.19</v>
      </c>
      <c r="U95" s="37" t="n">
        <v>218.13</v>
      </c>
      <c r="V95" s="18" t="n">
        <v>74.8</v>
      </c>
      <c r="W95" s="18" t="n">
        <v>3.35</v>
      </c>
      <c r="X95" s="18" t="n">
        <v>551.33</v>
      </c>
      <c r="Y95" s="18" t="n">
        <v>286.91</v>
      </c>
      <c r="Z95" s="37" t="n">
        <v>916.39</v>
      </c>
      <c r="AA95" s="18" t="n">
        <v>35.09</v>
      </c>
      <c r="AB95" s="19" t="n">
        <v>0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무형자산의감소</t>
        </is>
      </c>
      <c r="F96" s="9" t="n"/>
      <c r="K96" s="9" t="n"/>
      <c r="O96" s="18" t="n">
        <v>0</v>
      </c>
      <c r="P96" s="9" t="n"/>
      <c r="S96" s="18" t="n">
        <v>0</v>
      </c>
      <c r="T96" s="18" t="n">
        <v>0</v>
      </c>
      <c r="U96" s="9" t="n"/>
      <c r="X96" s="18" t="n">
        <v>827.97</v>
      </c>
      <c r="Y96" s="18" t="n">
        <v>0</v>
      </c>
      <c r="Z96" s="9" t="n"/>
      <c r="AB96" s="5" t="n"/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사채의감소</t>
        </is>
      </c>
      <c r="F97" s="9" t="n"/>
      <c r="K97" s="9" t="n"/>
      <c r="O97" s="18" t="n">
        <v>0</v>
      </c>
      <c r="P97" s="9" t="n"/>
      <c r="U97" s="9" t="n"/>
      <c r="Z97" s="9" t="n"/>
      <c r="AB97" s="5" t="n"/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SUM(G7:J7)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SUM(L7:O7)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IFERROR((AB27*변수!$D$53-AB25*변수!$D$54)/4,"")</f>
        <v/>
      </c>
      <c r="AD12" s="20">
        <f>IFERROR((AC27*변수!$D$53-AC25*변수!$D$54)/4,"")</f>
        <v/>
      </c>
      <c r="AE12" s="38">
        <f>SUM(AA12:AD12)</f>
        <v/>
      </c>
      <c r="AF12" s="20">
        <f>IFERROR((AD27*변수!$D$53-AD25*변수!$D$54)/4,"")</f>
        <v/>
      </c>
      <c r="AG12" s="20">
        <f>IFERROR((AF27*변수!$D$53-AF25*변수!$D$54)/4,"")</f>
        <v/>
      </c>
      <c r="AH12" s="20">
        <f>IFERROR((AG27*변수!$D$53-AG25*변수!$D$54)/4,"")</f>
        <v/>
      </c>
      <c r="AI12" s="20">
        <f>IFERROR((AH27*변수!$D$53-AH25*변수!$D$54)/4,"")</f>
        <v/>
      </c>
      <c r="AJ12" s="38">
        <f>SUM(AF12:AI12)</f>
        <v/>
      </c>
      <c r="AK12" s="20">
        <f>IFERROR((AI27*변수!$D$53-AI25*변수!$D$54)/4,"")</f>
        <v/>
      </c>
      <c r="AL12" s="20">
        <f>IFERROR((AK27*변수!$D$53-AK25*변수!$D$54)/4,"")</f>
        <v/>
      </c>
      <c r="AM12" s="20">
        <f>IFERROR((AL27*변수!$D$53-AL25*변수!$D$54)/4,"")</f>
        <v/>
      </c>
      <c r="AN12" s="20">
        <f>IFERROR((AM27*변수!$D$53-AM25*변수!$D$54)/4,"")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 t="n"/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 t="n"/>
      <c r="H14" s="18" t="n"/>
      <c r="I14" s="18" t="n"/>
      <c r="J14" s="18" t="n"/>
      <c r="K14" s="37">
        <f>SUM(G14:J14)</f>
        <v/>
      </c>
      <c r="L14" s="18" t="n"/>
      <c r="M14" s="18" t="n"/>
      <c r="N14" s="18" t="n"/>
      <c r="O14" s="18" t="n"/>
      <c r="P14" s="37">
        <f>SUM(L14:O14)</f>
        <v/>
      </c>
      <c r="Q14" s="18" t="n"/>
      <c r="R14" s="18">
        <f>IFERROR((VLOOKUP("파생상품이익",BS연결,MATCH(R$1,BS연결H,0),0)-VLOOKUP("파생상품손실",BS연결,MATCH(R$1,BS연결H,0),0))/100,"")</f>
        <v/>
      </c>
      <c r="S14" s="18">
        <f>IFERROR((VLOOKUP("파생상품이익",BS연결,MATCH(S$1,BS연결H,0),0)-VLOOKUP("파생상품손실",BS연결,MATCH(S$1,BS연결H,0),0))/100,"")</f>
        <v/>
      </c>
      <c r="T14" s="18">
        <f>IFERROR((VLOOKUP("파생상품이익",BS연결,MATCH(T$1,BS연결H,0),0)-VLOOKUP("파생상품손실",BS연결,MATCH(T$1,BS연결H,0),0))/100,"")</f>
        <v/>
      </c>
      <c r="U14" s="37">
        <f>SUM(Q14:T14)</f>
        <v/>
      </c>
      <c r="V14" s="18">
        <f>IFERROR((VLOOKUP("파생상품이익",BS연결,MATCH(V$1,BS연결H,0),0)-VLOOKUP("파생상품손실",BS연결,MATCH(V$1,BS연결H,0),0))/100,"")</f>
        <v/>
      </c>
      <c r="W14" s="18">
        <f>IFERROR((VLOOKUP("파생상품이익",BS연결,MATCH(W$1,BS연결H,0),0)-VLOOKUP("파생상품손실",BS연결,MATCH(W$1,BS연결H,0),0))/100,"")</f>
        <v/>
      </c>
      <c r="X14" s="18">
        <f>IFERROR((VLOOKUP("파생상품이익",BS연결,MATCH(X$1,BS연결H,0),0)-VLOOKUP("파생상품손실",BS연결,MATCH(X$1,BS연결H,0),0))/100,"")</f>
        <v/>
      </c>
      <c r="Y14" s="18">
        <f>IFERROR((VLOOKUP("파생상품이익",BS연결,MATCH(Y$1,BS연결H,0),0)-VLOOKUP("파생상품손실",BS연결,MATCH(Y$1,BS연결H,0),0))/100,"")</f>
        <v/>
      </c>
      <c r="Z14" s="37">
        <f>SUM(V14:Y14)</f>
        <v/>
      </c>
      <c r="AA14" s="18">
        <f>IFERROR((VLOOKUP("파생상품이익",BS연결,MATCH(AA$1,BS연결H,0),0)-VLOOKUP("파생상품손실",BS연결,MATCH(AA$1,BS연결H,0),0))/100,"")</f>
        <v/>
      </c>
      <c r="AB14" s="19">
        <f>IFERROR((VLOOKUP("파생상품이익",BS연결,MATCH(AB$1,BS연결H,0),0)-VLOOKUP("파생상품손실",BS연결,MATCH(AB$1,BS연결H,0),0))/100,"")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 t="n"/>
      <c r="H15" s="18" t="n"/>
      <c r="I15" s="18" t="n"/>
      <c r="J15" s="18" t="n"/>
      <c r="K15" s="37">
        <f>SUM(G15:J15)</f>
        <v/>
      </c>
      <c r="L15" s="18" t="n"/>
      <c r="M15" s="18" t="n"/>
      <c r="N15" s="18" t="n"/>
      <c r="O15" s="18" t="n"/>
      <c r="P15" s="37">
        <f>SUM(L15:O15)</f>
        <v/>
      </c>
      <c r="Q15" s="18" t="n"/>
      <c r="R15" s="18">
        <f>IFERROR(R11-R12-R13-R14,"")</f>
        <v/>
      </c>
      <c r="S15" s="18">
        <f>IFERROR(S11-S12-S13-S14,"")</f>
        <v/>
      </c>
      <c r="T15" s="18">
        <f>IFERROR(T11-T12-T13-T14,"")</f>
        <v/>
      </c>
      <c r="U15" s="37">
        <f>SUM(Q15:T15)</f>
        <v/>
      </c>
      <c r="V15" s="18">
        <f>IFERROR(V11-V12-V13-V14,"")</f>
        <v/>
      </c>
      <c r="W15" s="18">
        <f>IFERROR(W11-W12-W13-W14,"")</f>
        <v/>
      </c>
      <c r="X15" s="18">
        <f>IFERROR(X11-X12-X13-X14,"")</f>
        <v/>
      </c>
      <c r="Y15" s="18">
        <f>IFERROR(Y11-Y12-Y13-Y14,"")</f>
        <v/>
      </c>
      <c r="Z15" s="37">
        <f>SUM(V15:Y15)</f>
        <v/>
      </c>
      <c r="AA15" s="18">
        <f>IFERROR(AA11-AA12-AA13-AA14,"")</f>
        <v/>
      </c>
      <c r="AB15" s="19">
        <f>IFERROR(AB11-AB12-AB13-AB14,"")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세전이익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법인세비용차감전계속사업이익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IFERROR(AC9+AC11+AC16,"")</f>
        <v/>
      </c>
      <c r="AD17" s="20">
        <f>IFERROR(AD9+AD11+AD16,"")</f>
        <v/>
      </c>
      <c r="AE17" s="38">
        <f>SUM(AA17:AD17)</f>
        <v/>
      </c>
      <c r="AF17" s="20">
        <f>IFERROR(AF9+AF11+AF16,"")</f>
        <v/>
      </c>
      <c r="AG17" s="20">
        <f>IFERROR(AG9+AG11+AG16,"")</f>
        <v/>
      </c>
      <c r="AH17" s="20">
        <f>IFERROR(AH9+AH11+AH16,"")</f>
        <v/>
      </c>
      <c r="AI17" s="20">
        <f>IFERROR(AI9+AI11+AI16,"")</f>
        <v/>
      </c>
      <c r="AJ17" s="38">
        <f>SUM(AF17:AI17)</f>
        <v/>
      </c>
      <c r="AK17" s="20">
        <f>IFERROR(AK9+AK11+AK16,"")</f>
        <v/>
      </c>
      <c r="AL17" s="20">
        <f>IFERROR(AL9+AL11+AL16,"")</f>
        <v/>
      </c>
      <c r="AM17" s="20">
        <f>IFERROR(AM9+AM11+AM16,"")</f>
        <v/>
      </c>
      <c r="AN17" s="20">
        <f>IFERROR(AN9+AN11+AN16,"")</f>
        <v/>
      </c>
      <c r="AO17" s="38">
        <f>SUM(AK17:AN17)</f>
        <v/>
      </c>
    </row>
    <row r="18">
      <c r="A18" s="12" t="inlineStr">
        <is>
          <t>법인세비용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SUM(L18:O18)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IFERROR(MAX(AC17,0)*변수!AC28,"")</f>
        <v/>
      </c>
      <c r="AD18" s="20">
        <f>IFERROR(MAX(AD17,0)*변수!AD28,"")</f>
        <v/>
      </c>
      <c r="AE18" s="38">
        <f>SUM(AA18:AD18)</f>
        <v/>
      </c>
      <c r="AF18" s="20">
        <f>IFERROR(MAX(AF17,0)*변수!AF28,"")</f>
        <v/>
      </c>
      <c r="AG18" s="20">
        <f>IFERROR(MAX(AG17,0)*변수!AG28,"")</f>
        <v/>
      </c>
      <c r="AH18" s="20">
        <f>IFERROR(MAX(AH17,0)*변수!AH28,"")</f>
        <v/>
      </c>
      <c r="AI18" s="20">
        <f>IFERROR(MAX(AI17,0)*변수!AI28,"")</f>
        <v/>
      </c>
      <c r="AJ18" s="38">
        <f>SUM(AF18:AI18)</f>
        <v/>
      </c>
      <c r="AK18" s="20">
        <f>IFERROR(MAX(AK17,0)*변수!AK28,"")</f>
        <v/>
      </c>
      <c r="AL18" s="20">
        <f>IFERROR(MAX(AL17,0)*변수!AL28,"")</f>
        <v/>
      </c>
      <c r="AM18" s="20">
        <f>IFERROR(MAX(AM17,0)*변수!AM28,"")</f>
        <v/>
      </c>
      <c r="AN18" s="20">
        <f>IFERROR(MAX(AN17,0)*변수!AN28,"")</f>
        <v/>
      </c>
      <c r="AO18" s="38">
        <f>SUM(AK18:AN18)</f>
        <v/>
      </c>
    </row>
    <row r="19">
      <c r="A19" s="12" t="inlineStr">
        <is>
          <t>당기순이익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당기순이익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SUM(V19:Y19)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IFERROR(AC17-AC18,"")</f>
        <v/>
      </c>
      <c r="AD19" s="20">
        <f>IFERROR(AD17-AD18,"")</f>
        <v/>
      </c>
      <c r="AE19" s="38">
        <f>SUM(AA19:AD19)</f>
        <v/>
      </c>
      <c r="AF19" s="20">
        <f>IFERROR(AF17-AF18,"")</f>
        <v/>
      </c>
      <c r="AG19" s="20">
        <f>IFERROR(AG17-AG18,"")</f>
        <v/>
      </c>
      <c r="AH19" s="20">
        <f>IFERROR(AH17-AH18,"")</f>
        <v/>
      </c>
      <c r="AI19" s="20">
        <f>IFERROR(AI17-AI18,"")</f>
        <v/>
      </c>
      <c r="AJ19" s="38">
        <f>SUM(AF19:AI19)</f>
        <v/>
      </c>
      <c r="AK19" s="20">
        <f>IFERROR(AK17-AK18,"")</f>
        <v/>
      </c>
      <c r="AL19" s="20">
        <f>IFERROR(AL17-AL18,"")</f>
        <v/>
      </c>
      <c r="AM19" s="20">
        <f>IFERROR(AM17-AM18,"")</f>
        <v/>
      </c>
      <c r="AN19" s="20">
        <f>IFERROR(AN17-AN18,"")</f>
        <v/>
      </c>
      <c r="AO19" s="38">
        <f>SUM(AK19:AN19)</f>
        <v/>
      </c>
    </row>
    <row r="20">
      <c r="A20" s="12" t="inlineStr">
        <is>
          <t>지배주주순이익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(지배주주지분)당기순이익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IFERROR(AC19*변수!AC29,"")</f>
        <v/>
      </c>
      <c r="AD20" s="20">
        <f>IFERROR(AD19*변수!AD29,"")</f>
        <v/>
      </c>
      <c r="AE20" s="38">
        <f>SUM(AA20:AD20)</f>
        <v/>
      </c>
      <c r="AF20" s="20">
        <f>IFERROR(AF19*변수!AF29,"")</f>
        <v/>
      </c>
      <c r="AG20" s="20">
        <f>IFERROR(AG19*변수!AG29,"")</f>
        <v/>
      </c>
      <c r="AH20" s="20">
        <f>IFERROR(AH19*변수!AH29,"")</f>
        <v/>
      </c>
      <c r="AI20" s="20">
        <f>IFERROR(AI19*변수!AI29,"")</f>
        <v/>
      </c>
      <c r="AJ20" s="38">
        <f>SUM(AF20:AI20)</f>
        <v/>
      </c>
      <c r="AK20" s="20">
        <f>IFERROR(AK19*변수!AK29,"")</f>
        <v/>
      </c>
      <c r="AL20" s="20">
        <f>IFERROR(AL19*변수!AL29,"")</f>
        <v/>
      </c>
      <c r="AM20" s="20">
        <f>IFERROR(AM19*변수!AM29,"")</f>
        <v/>
      </c>
      <c r="AN20" s="20">
        <f>IFERROR(AN19*변수!AN29,"")</f>
        <v/>
      </c>
      <c r="AO20" s="38">
        <f>SUM(AK20:AN20)</f>
        <v/>
      </c>
    </row>
    <row r="21">
      <c r="A21" s="12" t="inlineStr">
        <is>
          <t>자산총계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자산총계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IFERROR(AC22+AC23,"")</f>
        <v/>
      </c>
      <c r="AD21" s="20">
        <f>IFERROR(AD22+AD23,"")</f>
        <v/>
      </c>
      <c r="AE21" s="38">
        <f>AD21</f>
        <v/>
      </c>
      <c r="AF21" s="20">
        <f>IFERROR(AF22+AF23,"")</f>
        <v/>
      </c>
      <c r="AG21" s="20">
        <f>IFERROR(AG22+AG23,"")</f>
        <v/>
      </c>
      <c r="AH21" s="20">
        <f>IFERROR(AH22+AH23,"")</f>
        <v/>
      </c>
      <c r="AI21" s="20">
        <f>IFERROR(AI22+AI23,"")</f>
        <v/>
      </c>
      <c r="AJ21" s="38">
        <f>AI21</f>
        <v/>
      </c>
      <c r="AK21" s="20">
        <f>IFERROR(AK22+AK23,"")</f>
        <v/>
      </c>
      <c r="AL21" s="20">
        <f>IFERROR(AL22+AL23,"")</f>
        <v/>
      </c>
      <c r="AM21" s="20">
        <f>IFERROR(AM22+AM23,"")</f>
        <v/>
      </c>
      <c r="AN21" s="20">
        <f>IFERROR(AN22+AN23,"")</f>
        <v/>
      </c>
      <c r="AO21" s="38">
        <f>AN21</f>
        <v/>
      </c>
    </row>
    <row r="22">
      <c r="A22" s="12" t="inlineStr">
        <is>
          <t>부채총계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부채총계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IFERROR(AB22*(1+변수!AC30),"")</f>
        <v/>
      </c>
      <c r="AD22" s="20">
        <f>IFERROR(AC22*(1+변수!AD30),"")</f>
        <v/>
      </c>
      <c r="AE22" s="38">
        <f>AD22</f>
        <v/>
      </c>
      <c r="AF22" s="20">
        <f>IFERROR(AD22*(1+변수!AF30),"")</f>
        <v/>
      </c>
      <c r="AG22" s="20">
        <f>IFERROR(AF22*(1+변수!AG30),"")</f>
        <v/>
      </c>
      <c r="AH22" s="20">
        <f>IFERROR(AG22*(1+변수!AH30),"")</f>
        <v/>
      </c>
      <c r="AI22" s="20">
        <f>IFERROR(AH22*(1+변수!AI30),"")</f>
        <v/>
      </c>
      <c r="AJ22" s="38">
        <f>AI22</f>
        <v/>
      </c>
      <c r="AK22" s="20">
        <f>IFERROR(AI22*(1+변수!AK30),"")</f>
        <v/>
      </c>
      <c r="AL22" s="20">
        <f>IFERROR(AK22*(1+변수!AL30),"")</f>
        <v/>
      </c>
      <c r="AM22" s="20">
        <f>IFERROR(AL22*(1+변수!AM30),"")</f>
        <v/>
      </c>
      <c r="AN22" s="20">
        <f>IFERROR(AM22*(1+변수!AN30),"")</f>
        <v/>
      </c>
      <c r="AO22" s="38">
        <f>AN22</f>
        <v/>
      </c>
    </row>
    <row r="23">
      <c r="A23" s="12" t="inlineStr">
        <is>
          <t>자본총계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자본총계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IFERROR(AB23+AC19-변수!AC31,"")</f>
        <v/>
      </c>
      <c r="AD23" s="20">
        <f>IFERROR(AC23+AD19-변수!AD31,"")</f>
        <v/>
      </c>
      <c r="AE23" s="38">
        <f>AD23</f>
        <v/>
      </c>
      <c r="AF23" s="20">
        <f>IFERROR(AD23+AF19-변수!AF31,"")</f>
        <v/>
      </c>
      <c r="AG23" s="20">
        <f>IFERROR(AF23+AG19-변수!AG31,"")</f>
        <v/>
      </c>
      <c r="AH23" s="20">
        <f>IFERROR(AG23+AH19-변수!AH31,"")</f>
        <v/>
      </c>
      <c r="AI23" s="20">
        <f>IFERROR(AH23+AI19-변수!AI31,"")</f>
        <v/>
      </c>
      <c r="AJ23" s="38">
        <f>AI23</f>
        <v/>
      </c>
      <c r="AK23" s="20">
        <f>IFERROR(AI23+AK19-변수!AK31,"")</f>
        <v/>
      </c>
      <c r="AL23" s="20">
        <f>IFERROR(AK23+AL19-변수!AL31,"")</f>
        <v/>
      </c>
      <c r="AM23" s="20">
        <f>IFERROR(AL23+AM19-변수!AM31,"")</f>
        <v/>
      </c>
      <c r="AN23" s="20">
        <f>IFERROR(AM23+AN19-변수!AN31,"")</f>
        <v/>
      </c>
      <c r="AO23" s="38">
        <f>AN23</f>
        <v/>
      </c>
    </row>
    <row r="24">
      <c r="A24" s="12" t="inlineStr">
        <is>
          <t>지배주주지분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지배주주지분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IFERROR(AB24+AC20-변수!AC32,"")</f>
        <v/>
      </c>
      <c r="AD24" s="20">
        <f>IFERROR(AC24+AD20-변수!AD32,"")</f>
        <v/>
      </c>
      <c r="AE24" s="38">
        <f>AD24</f>
        <v/>
      </c>
      <c r="AF24" s="20">
        <f>IFERROR(AD24+AF20-변수!AF32,"")</f>
        <v/>
      </c>
      <c r="AG24" s="20">
        <f>IFERROR(AF24+AG20-변수!AG32,"")</f>
        <v/>
      </c>
      <c r="AH24" s="20">
        <f>IFERROR(AG24+AH20-변수!AH32,"")</f>
        <v/>
      </c>
      <c r="AI24" s="20">
        <f>IFERROR(AH24+AI20-변수!AI32,"")</f>
        <v/>
      </c>
      <c r="AJ24" s="38">
        <f>AI24</f>
        <v/>
      </c>
      <c r="AK24" s="20">
        <f>IFERROR(AI24+AK20-변수!AK32,"")</f>
        <v/>
      </c>
      <c r="AL24" s="20">
        <f>IFERROR(AK24+AL20-변수!AL32,"")</f>
        <v/>
      </c>
      <c r="AM24" s="20">
        <f>IFERROR(AL24+AM20-변수!AM32,"")</f>
        <v/>
      </c>
      <c r="AN24" s="20">
        <f>IFERROR(AM24+AN20-변수!AN32,"")</f>
        <v/>
      </c>
      <c r="AO24" s="38">
        <f>AN24</f>
        <v/>
      </c>
    </row>
    <row r="25">
      <c r="A25" s="12" t="inlineStr">
        <is>
          <t>총차입금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총차입금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IFERROR(AB25*(1+변수!AC33),"")</f>
        <v/>
      </c>
      <c r="AD25" s="20">
        <f>IFERROR(AC25*(1+변수!AD33),"")</f>
        <v/>
      </c>
      <c r="AE25" s="38">
        <f>AD25</f>
        <v/>
      </c>
      <c r="AF25" s="20">
        <f>IFERROR(AD25*(1+변수!AF33),"")</f>
        <v/>
      </c>
      <c r="AG25" s="20">
        <f>IFERROR(AF25*(1+변수!AG33),"")</f>
        <v/>
      </c>
      <c r="AH25" s="20">
        <f>IFERROR(AG25*(1+변수!AH33),"")</f>
        <v/>
      </c>
      <c r="AI25" s="20">
        <f>IFERROR(AH25*(1+변수!AI33),"")</f>
        <v/>
      </c>
      <c r="AJ25" s="38">
        <f>AI25</f>
        <v/>
      </c>
      <c r="AK25" s="20">
        <f>IFERROR(AI25*(1+변수!AK33),"")</f>
        <v/>
      </c>
      <c r="AL25" s="20">
        <f>IFERROR(AK25*(1+변수!AL33),"")</f>
        <v/>
      </c>
      <c r="AM25" s="20">
        <f>IFERROR(AL25*(1+변수!AM33),"")</f>
        <v/>
      </c>
      <c r="AN25" s="20">
        <f>IFERROR(AM25*(1+변수!AN33),"")</f>
        <v/>
      </c>
      <c r="AO25" s="38">
        <f>AN25</f>
        <v/>
      </c>
    </row>
    <row r="26">
      <c r="A26" s="12" t="inlineStr">
        <is>
          <t>순차입금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순차입금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IFERROR(AB26*(1+변수!AC34),"")</f>
        <v/>
      </c>
      <c r="AD26" s="20">
        <f>IFERROR(AC26*(1+변수!AD34),"")</f>
        <v/>
      </c>
      <c r="AE26" s="38">
        <f>AD26</f>
        <v/>
      </c>
      <c r="AF26" s="20">
        <f>IFERROR(AD26*(1+변수!AF34),"")</f>
        <v/>
      </c>
      <c r="AG26" s="20">
        <f>IFERROR(AF26*(1+변수!AG34),"")</f>
        <v/>
      </c>
      <c r="AH26" s="20">
        <f>IFERROR(AG26*(1+변수!AH34),"")</f>
        <v/>
      </c>
      <c r="AI26" s="20">
        <f>IFERROR(AH26*(1+변수!AI34),"")</f>
        <v/>
      </c>
      <c r="AJ26" s="38">
        <f>AI26</f>
        <v/>
      </c>
      <c r="AK26" s="20">
        <f>IFERROR(AI26*(1+변수!AK34),"")</f>
        <v/>
      </c>
      <c r="AL26" s="20">
        <f>IFERROR(AK26*(1+변수!AL34),"")</f>
        <v/>
      </c>
      <c r="AM26" s="20">
        <f>IFERROR(AL26*(1+변수!AM34),"")</f>
        <v/>
      </c>
      <c r="AN26" s="20">
        <f>IFERROR(AM26*(1+변수!AN34),"")</f>
        <v/>
      </c>
      <c r="AO26" s="38">
        <f>AN26</f>
        <v/>
      </c>
    </row>
    <row r="27">
      <c r="A27" s="12" t="inlineStr">
        <is>
          <t>이자발생자산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이자발생자산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현금및현금성자산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현금및현금성자산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 t="n"/>
      <c r="AD28" s="20" t="n"/>
      <c r="AE28" s="38">
        <f>AD28</f>
        <v/>
      </c>
      <c r="AF28" s="20" t="n"/>
      <c r="AG28" s="20" t="n"/>
      <c r="AH28" s="20" t="n"/>
      <c r="AI28" s="20" t="n"/>
      <c r="AJ28" s="38">
        <f>AI28</f>
        <v/>
      </c>
      <c r="AK28" s="20" t="n"/>
      <c r="AL28" s="20" t="n"/>
      <c r="AM28" s="20" t="n"/>
      <c r="AN28" s="20" t="n"/>
      <c r="AO28" s="38">
        <f>AN28</f>
        <v/>
      </c>
    </row>
    <row r="29">
      <c r="A29" s="12" t="inlineStr">
        <is>
          <t>CAPEX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CAPEX</t>
        </is>
      </c>
      <c r="E29" s="18">
        <f>IFERROR(VLOOKUP($D29,BS연결,MATCH(E$1,BS연결H,0),0)/100,"")</f>
        <v/>
      </c>
      <c r="F29" s="37" t="n"/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IFERROR(X29*(1+변수!AC37),"")</f>
        <v/>
      </c>
      <c r="AD29" s="20">
        <f>IFERROR(Y29*(1+변수!AD37),"")</f>
        <v/>
      </c>
      <c r="AE29" s="38">
        <f>SUM(AA29:AD29)</f>
        <v/>
      </c>
      <c r="AF29" s="20">
        <f>IFERROR(AA29*(1+변수!AF37),"")</f>
        <v/>
      </c>
      <c r="AG29" s="20">
        <f>IFERROR(AB29*(1+변수!AG37),"")</f>
        <v/>
      </c>
      <c r="AH29" s="20">
        <f>IFERROR(AC29*(1+변수!AH37),"")</f>
        <v/>
      </c>
      <c r="AI29" s="20">
        <f>IFERROR(AD29*(1+변수!AI37),"")</f>
        <v/>
      </c>
      <c r="AJ29" s="38">
        <f>SUM(AF29:AI29)</f>
        <v/>
      </c>
      <c r="AK29" s="20">
        <f>IFERROR(AF29*(1+변수!AK37),"")</f>
        <v/>
      </c>
      <c r="AL29" s="20">
        <f>IFERROR(AG29*(1+변수!AL37),"")</f>
        <v/>
      </c>
      <c r="AM29" s="20">
        <f>IFERROR(AH29*(1+변수!AM37),"")</f>
        <v/>
      </c>
      <c r="AN29" s="20">
        <f>IFERROR(AI29*(1+변수!AN37),"")</f>
        <v/>
      </c>
      <c r="AO29" s="38">
        <f>SUM(AK29:AN29)</f>
        <v/>
      </c>
    </row>
    <row r="30">
      <c r="A30" s="12" t="inlineStr">
        <is>
          <t>영업활동현금흐름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영업활동으로인한현금흐름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SUM(AA30:AD30)</f>
        <v/>
      </c>
      <c r="AF30" s="20" t="n"/>
      <c r="AG30" s="20" t="n"/>
      <c r="AH30" s="20" t="n"/>
      <c r="AI30" s="20" t="n"/>
      <c r="AJ30" s="38">
        <f>SUM(AF30:AI30)</f>
        <v/>
      </c>
      <c r="AK30" s="20" t="n"/>
      <c r="AL30" s="20" t="n"/>
      <c r="AM30" s="20" t="n"/>
      <c r="AN30" s="20" t="n"/>
      <c r="AO30" s="38">
        <f>SUM(AK30:AN30)</f>
        <v/>
      </c>
    </row>
    <row r="31">
      <c r="A31" s="12" t="inlineStr">
        <is>
          <t>주식수</t>
        </is>
      </c>
      <c r="B31" t="inlineStr">
        <is>
          <t>주당</t>
        </is>
      </c>
      <c r="C31" t="inlineStr">
        <is>
          <t>백만주</t>
        </is>
      </c>
      <c r="D31" t="inlineStr">
        <is>
          <t>유통주식수</t>
        </is>
      </c>
      <c r="E31" s="27" t="n">
        <v>36.574</v>
      </c>
      <c r="F31" s="28">
        <f>E31</f>
        <v/>
      </c>
      <c r="G31" s="27" t="n">
        <v>37.077</v>
      </c>
      <c r="H31" s="27" t="n">
        <v>37.077</v>
      </c>
      <c r="I31" s="27" t="n">
        <v>37.077</v>
      </c>
      <c r="J31" s="27" t="n">
        <v>53.235</v>
      </c>
      <c r="K31" s="28">
        <f>J31</f>
        <v/>
      </c>
      <c r="L31" s="27" t="n">
        <v>53.235</v>
      </c>
      <c r="M31" s="27" t="n">
        <v>53.235</v>
      </c>
      <c r="N31" s="27" t="n">
        <v>59.196</v>
      </c>
      <c r="O31" s="27" t="n">
        <v>59.196</v>
      </c>
      <c r="P31" s="28">
        <f>O31</f>
        <v/>
      </c>
      <c r="Q31" s="27" t="n">
        <v>59.196</v>
      </c>
      <c r="R31" s="27" t="n">
        <v>59.196</v>
      </c>
      <c r="S31" s="27" t="n">
        <v>59.196</v>
      </c>
      <c r="T31" s="27" t="n">
        <v>59.196</v>
      </c>
      <c r="U31" s="28">
        <f>T31</f>
        <v/>
      </c>
      <c r="V31" s="27" t="n">
        <v>59.196</v>
      </c>
      <c r="W31" s="27" t="n">
        <v>60.18</v>
      </c>
      <c r="X31" s="27" t="n">
        <v>62.478</v>
      </c>
      <c r="Y31" s="27" t="n">
        <v>62.478</v>
      </c>
      <c r="Z31" s="28">
        <f>Y31</f>
        <v/>
      </c>
      <c r="AA31" s="27" t="n">
        <v>62.478</v>
      </c>
      <c r="AB31" s="29" t="n">
        <v>62.478</v>
      </c>
      <c r="AC31" s="33">
        <f>IFERROR(AB31*(1+변수!AC39),"")</f>
        <v/>
      </c>
      <c r="AD31" s="33">
        <f>IFERROR(AC31*(1+변수!AD39),"")</f>
        <v/>
      </c>
      <c r="AE31" s="31">
        <f>AD31</f>
        <v/>
      </c>
      <c r="AF31" s="33">
        <f>IFERROR(AD31*(1+변수!AF39),"")</f>
        <v/>
      </c>
      <c r="AG31" s="33">
        <f>IFERROR(AF31*(1+변수!AG39),"")</f>
        <v/>
      </c>
      <c r="AH31" s="33">
        <f>IFERROR(AG31*(1+변수!AH39),"")</f>
        <v/>
      </c>
      <c r="AI31" s="33">
        <f>IFERROR(AH31*(1+변수!AI39),"")</f>
        <v/>
      </c>
      <c r="AJ31" s="31">
        <f>AI31</f>
        <v/>
      </c>
      <c r="AK31" s="33">
        <f>IFERROR(AI31*(1+변수!AK39),"")</f>
        <v/>
      </c>
      <c r="AL31" s="33">
        <f>IFERROR(AK31*(1+변수!AL39),"")</f>
        <v/>
      </c>
      <c r="AM31" s="33">
        <f>IFERROR(AL31*(1+변수!AM39),"")</f>
        <v/>
      </c>
      <c r="AN31" s="33">
        <f>IFERROR(AM31*(1+변수!AN39),"")</f>
        <v/>
      </c>
      <c r="AO31" s="31">
        <f>AN31</f>
        <v/>
      </c>
    </row>
    <row r="32">
      <c r="A32" s="12" t="inlineStr">
        <is>
          <t>EPS</t>
        </is>
      </c>
      <c r="B32" t="inlineStr">
        <is>
          <t>주당</t>
        </is>
      </c>
      <c r="C32" t="inlineStr">
        <is>
          <t>원</t>
        </is>
      </c>
      <c r="D32" t="inlineStr">
        <is>
          <t>EPS</t>
        </is>
      </c>
      <c r="E32" s="18">
        <f>IFERROR(E20*100/E31,"")</f>
        <v/>
      </c>
      <c r="F32" s="37" t="n"/>
      <c r="G32" s="18">
        <f>IFERROR(G20*100/G31,"")</f>
        <v/>
      </c>
      <c r="H32" s="18">
        <f>IFERROR(H20*100/H31,"")</f>
        <v/>
      </c>
      <c r="I32" s="18">
        <f>IFERROR(I20*100/I31,"")</f>
        <v/>
      </c>
      <c r="J32" s="18">
        <f>IFERROR(J20*100/J31,"")</f>
        <v/>
      </c>
      <c r="K32" s="37">
        <f>SUM(G32:J32)</f>
        <v/>
      </c>
      <c r="L32" s="18">
        <f>IFERROR(L20*100/L31,"")</f>
        <v/>
      </c>
      <c r="M32" s="18">
        <f>IFERROR(M20*100/M31,"")</f>
        <v/>
      </c>
      <c r="N32" s="18">
        <f>IFERROR(N20*100/N31,"")</f>
        <v/>
      </c>
      <c r="O32" s="18">
        <f>IFERROR(O20*100/O31,"")</f>
        <v/>
      </c>
      <c r="P32" s="37">
        <f>SUM(L32:O32)</f>
        <v/>
      </c>
      <c r="Q32" s="18">
        <f>IFERROR(Q20*100/Q31,"")</f>
        <v/>
      </c>
      <c r="R32" s="18">
        <f>IFERROR(R20*100/R31,"")</f>
        <v/>
      </c>
      <c r="S32" s="18">
        <f>IFERROR(S20*100/S31,"")</f>
        <v/>
      </c>
      <c r="T32" s="18">
        <f>IFERROR(T20*100/T31,"")</f>
        <v/>
      </c>
      <c r="U32" s="37">
        <f>SUM(Q32:T32)</f>
        <v/>
      </c>
      <c r="V32" s="18">
        <f>IFERROR(V20*100/V31,"")</f>
        <v/>
      </c>
      <c r="W32" s="18">
        <f>IFERROR(W20*100/W31,"")</f>
        <v/>
      </c>
      <c r="X32" s="18">
        <f>IFERROR(X20*100/X31,"")</f>
        <v/>
      </c>
      <c r="Y32" s="18">
        <f>IFERROR(Y20*100/Y31,"")</f>
        <v/>
      </c>
      <c r="Z32" s="37">
        <f>SUM(V32:Y32)</f>
        <v/>
      </c>
      <c r="AA32" s="18">
        <f>IFERROR(AA20*100/AA31,"")</f>
        <v/>
      </c>
      <c r="AB32" s="19">
        <f>IFERROR(AB20*100/AB31,"")</f>
        <v/>
      </c>
      <c r="AC32" s="20">
        <f>IFERROR(AC20*100/AC31,"")</f>
        <v/>
      </c>
      <c r="AD32" s="20">
        <f>IFERROR(AD20*100/AD31,"")</f>
        <v/>
      </c>
      <c r="AE32" s="38">
        <f>SUM(AA32:AD32)</f>
        <v/>
      </c>
      <c r="AF32" s="20">
        <f>IFERROR(AF20*100/AF31,"")</f>
        <v/>
      </c>
      <c r="AG32" s="20">
        <f>IFERROR(AG20*100/AG31,"")</f>
        <v/>
      </c>
      <c r="AH32" s="20">
        <f>IFERROR(AH20*100/AH31,"")</f>
        <v/>
      </c>
      <c r="AI32" s="20">
        <f>IFERROR(AI20*100/AI31,"")</f>
        <v/>
      </c>
      <c r="AJ32" s="38">
        <f>SUM(AF32:AI32)</f>
        <v/>
      </c>
      <c r="AK32" s="20">
        <f>IFERROR(AK20*100/AK31,"")</f>
        <v/>
      </c>
      <c r="AL32" s="20">
        <f>IFERROR(AL20*100/AL31,"")</f>
        <v/>
      </c>
      <c r="AM32" s="20">
        <f>IFERROR(AM20*100/AM31,"")</f>
        <v/>
      </c>
      <c r="AN32" s="20">
        <f>IFERROR(AN20*100/AN31,"")</f>
        <v/>
      </c>
      <c r="AO32" s="38">
        <f>SUM(AK32:AN32)</f>
        <v/>
      </c>
    </row>
    <row r="33">
      <c r="A33" s="12" t="inlineStr">
        <is>
          <t>BPS</t>
        </is>
      </c>
      <c r="B33" t="inlineStr">
        <is>
          <t>주당</t>
        </is>
      </c>
      <c r="C33" t="inlineStr">
        <is>
          <t>원</t>
        </is>
      </c>
      <c r="D33" t="inlineStr">
        <is>
          <t>BPS</t>
        </is>
      </c>
      <c r="E33" s="18">
        <f>IFERROR(E24*100/E31,"")</f>
        <v/>
      </c>
      <c r="F33" s="37">
        <f>E33</f>
        <v/>
      </c>
      <c r="G33" s="18">
        <f>IFERROR(G24*100/G31,"")</f>
        <v/>
      </c>
      <c r="H33" s="18">
        <f>IFERROR(H24*100/H31,"")</f>
        <v/>
      </c>
      <c r="I33" s="18">
        <f>IFERROR(I24*100/I31,"")</f>
        <v/>
      </c>
      <c r="J33" s="18">
        <f>IFERROR(J24*100/J31,"")</f>
        <v/>
      </c>
      <c r="K33" s="37">
        <f>J33</f>
        <v/>
      </c>
      <c r="L33" s="18">
        <f>IFERROR(L24*100/L31,"")</f>
        <v/>
      </c>
      <c r="M33" s="18">
        <f>IFERROR(M24*100/M31,"")</f>
        <v/>
      </c>
      <c r="N33" s="18">
        <f>IFERROR(N24*100/N31,"")</f>
        <v/>
      </c>
      <c r="O33" s="18">
        <f>IFERROR(O24*100/O31,"")</f>
        <v/>
      </c>
      <c r="P33" s="37">
        <f>O33</f>
        <v/>
      </c>
      <c r="Q33" s="18">
        <f>IFERROR(Q24*100/Q31,"")</f>
        <v/>
      </c>
      <c r="R33" s="18">
        <f>IFERROR(R24*100/R31,"")</f>
        <v/>
      </c>
      <c r="S33" s="18">
        <f>IFERROR(S24*100/S31,"")</f>
        <v/>
      </c>
      <c r="T33" s="18">
        <f>IFERROR(T24*100/T31,"")</f>
        <v/>
      </c>
      <c r="U33" s="37">
        <f>T33</f>
        <v/>
      </c>
      <c r="V33" s="18">
        <f>IFERROR(V24*100/V31,"")</f>
        <v/>
      </c>
      <c r="W33" s="18">
        <f>IFERROR(W24*100/W31,"")</f>
        <v/>
      </c>
      <c r="X33" s="18">
        <f>IFERROR(X24*100/X31,"")</f>
        <v/>
      </c>
      <c r="Y33" s="18">
        <f>IFERROR(Y24*100/Y31,"")</f>
        <v/>
      </c>
      <c r="Z33" s="37">
        <f>Y33</f>
        <v/>
      </c>
      <c r="AA33" s="18">
        <f>IFERROR(AA24*100/AA31,"")</f>
        <v/>
      </c>
      <c r="AB33" s="19">
        <f>IFERROR(AB24*100/AB31,"")</f>
        <v/>
      </c>
      <c r="AC33" s="20">
        <f>IFERROR(AC24*100/AC31,"")</f>
        <v/>
      </c>
      <c r="AD33" s="20">
        <f>IFERROR(AD24*100/AD31,"")</f>
        <v/>
      </c>
      <c r="AE33" s="38">
        <f>AD33</f>
        <v/>
      </c>
      <c r="AF33" s="20">
        <f>IFERROR(AF24*100/AF31,"")</f>
        <v/>
      </c>
      <c r="AG33" s="20">
        <f>IFERROR(AG24*100/AG31,"")</f>
        <v/>
      </c>
      <c r="AH33" s="20">
        <f>IFERROR(AH24*100/AH31,"")</f>
        <v/>
      </c>
      <c r="AI33" s="20">
        <f>IFERROR(AI24*100/AI31,"")</f>
        <v/>
      </c>
      <c r="AJ33" s="38">
        <f>AI33</f>
        <v/>
      </c>
      <c r="AK33" s="20">
        <f>IFERROR(AK24*100/AK31,"")</f>
        <v/>
      </c>
      <c r="AL33" s="20">
        <f>IFERROR(AL24*100/AL31,"")</f>
        <v/>
      </c>
      <c r="AM33" s="20">
        <f>IFERROR(AM24*100/AM31,"")</f>
        <v/>
      </c>
      <c r="AN33" s="20">
        <f>IFERROR(AN24*100/AN31,"")</f>
        <v/>
      </c>
      <c r="AO33" s="38">
        <f>AN33</f>
        <v/>
      </c>
    </row>
    <row r="34">
      <c r="A34" s="12" t="inlineStr">
        <is>
          <t>DPS</t>
        </is>
      </c>
      <c r="B34" t="inlineStr">
        <is>
          <t>주당</t>
        </is>
      </c>
      <c r="C34" t="inlineStr">
        <is>
          <t>원</t>
        </is>
      </c>
      <c r="D34" t="inlineStr">
        <is>
          <t>DPS(보통주)</t>
        </is>
      </c>
      <c r="E34" s="18" t="n">
        <v>0</v>
      </c>
      <c r="F34" s="37" t="n">
        <v>0</v>
      </c>
      <c r="G34" s="18" t="n"/>
      <c r="H34" s="18" t="n"/>
      <c r="I34" s="18" t="n"/>
      <c r="J34" s="18" t="n">
        <v>0</v>
      </c>
      <c r="K34" s="37">
        <f>SUM(G34:J34)</f>
        <v/>
      </c>
      <c r="L34" s="18" t="n"/>
      <c r="M34" s="18" t="n"/>
      <c r="N34" s="18" t="n"/>
      <c r="O34" s="18" t="n">
        <v>0</v>
      </c>
      <c r="P34" s="37">
        <f>SUM(L34:O34)</f>
        <v/>
      </c>
      <c r="Q34" s="18" t="n"/>
      <c r="R34" s="18" t="n"/>
      <c r="S34" s="18" t="n"/>
      <c r="T34" s="18" t="n">
        <v>0</v>
      </c>
      <c r="U34" s="37">
        <f>SUM(Q34:T34)</f>
        <v/>
      </c>
      <c r="V34" s="18" t="n"/>
      <c r="W34" s="18" t="n"/>
      <c r="X34" s="18" t="n"/>
      <c r="Y34" s="18" t="n">
        <v>0</v>
      </c>
      <c r="Z34" s="37">
        <f>SUM(V34:Y34)</f>
        <v/>
      </c>
      <c r="AA34" s="18" t="n"/>
      <c r="AB34" s="19" t="n"/>
      <c r="AC34" s="20" t="n"/>
      <c r="AD34" s="20">
        <f>변수!AD40</f>
        <v/>
      </c>
      <c r="AE34" s="38">
        <f>SUM(AA34:AD34)</f>
        <v/>
      </c>
      <c r="AF34" s="20" t="n"/>
      <c r="AG34" s="20" t="n"/>
      <c r="AH34" s="20" t="n"/>
      <c r="AI34" s="20">
        <f>변수!AI40</f>
        <v/>
      </c>
      <c r="AJ34" s="38">
        <f>SUM(AF34:AI34)</f>
        <v/>
      </c>
      <c r="AK34" s="20" t="n"/>
      <c r="AL34" s="20" t="n"/>
      <c r="AM34" s="20" t="n"/>
      <c r="AN34" s="20">
        <f>변수!AN40</f>
        <v/>
      </c>
      <c r="AO34" s="38">
        <f>SUM(AK34:AN34)</f>
        <v/>
      </c>
    </row>
    <row r="35">
      <c r="A35" s="12" t="inlineStr">
        <is>
          <t>PER</t>
        </is>
      </c>
      <c r="B35" t="inlineStr">
        <is>
          <t>주당</t>
        </is>
      </c>
      <c r="C35" t="inlineStr">
        <is>
          <t>배</t>
        </is>
      </c>
      <c r="D35" t="inlineStr">
        <is>
          <t>PER</t>
        </is>
      </c>
      <c r="E35" s="13" t="n"/>
      <c r="F35" s="14">
        <f>E35</f>
        <v/>
      </c>
      <c r="G35" s="13" t="n"/>
      <c r="H35" s="13" t="n"/>
      <c r="I35" s="13" t="n"/>
      <c r="J35" s="13">
        <f>IFERROR(변수!J18/(G32+H32+I32+J32),"")</f>
        <v/>
      </c>
      <c r="K35" s="14">
        <f>J35</f>
        <v/>
      </c>
      <c r="L35" s="13">
        <f>IFERROR(변수!L18/(H32+I32+J32+L32),"")</f>
        <v/>
      </c>
      <c r="M35" s="13">
        <f>IFERROR(변수!M18/(I32+J32+L32+M32),"")</f>
        <v/>
      </c>
      <c r="N35" s="13">
        <f>IFERROR(변수!N18/(J32+L32+M32+N32),"")</f>
        <v/>
      </c>
      <c r="O35" s="13">
        <f>IFERROR(변수!O18/(L32+M32+N32+O32),"")</f>
        <v/>
      </c>
      <c r="P35" s="14">
        <f>O35</f>
        <v/>
      </c>
      <c r="Q35" s="13">
        <f>IFERROR(변수!Q18/(M32+N32+O32+Q32),"")</f>
        <v/>
      </c>
      <c r="R35" s="13">
        <f>IFERROR(변수!R18/(N32+O32+Q32+R32),"")</f>
        <v/>
      </c>
      <c r="S35" s="13">
        <f>IFERROR(변수!S18/(O32+Q32+R32+S32),"")</f>
        <v/>
      </c>
      <c r="T35" s="13">
        <f>IFERROR(변수!T18/(Q32+R32+S32+T32),"")</f>
        <v/>
      </c>
      <c r="U35" s="14">
        <f>T35</f>
        <v/>
      </c>
      <c r="V35" s="13">
        <f>IFERROR(변수!V18/(R32+S32+T32+V32),"")</f>
        <v/>
      </c>
      <c r="W35" s="13">
        <f>IFERROR(변수!W18/(S32+T32+V32+W32),"")</f>
        <v/>
      </c>
      <c r="X35" s="13">
        <f>IFERROR(변수!X18/(T32+V32+W32+X32),"")</f>
        <v/>
      </c>
      <c r="Y35" s="13">
        <f>IFERROR(변수!Y18/(V32+W32+X32+Y32),"")</f>
        <v/>
      </c>
      <c r="Z35" s="14">
        <f>Y35</f>
        <v/>
      </c>
      <c r="AA35" s="13">
        <f>IFERROR(변수!AA18/(W32+X32+Y32+AA32),"")</f>
        <v/>
      </c>
      <c r="AB35" s="15">
        <f>IFERROR(변수!AB18/(X32+Y32+AA32+AB32),"")</f>
        <v/>
      </c>
      <c r="AC35" s="39">
        <f>IFERROR(변수!$D$43/(Y32+AA32+AB32+AC32),"")</f>
        <v/>
      </c>
      <c r="AD35" s="39">
        <f>IFERROR(변수!$D$43/(AA32+AB32+AC32+AD32),"")</f>
        <v/>
      </c>
      <c r="AE35" s="40">
        <f>AD35</f>
        <v/>
      </c>
      <c r="AF35" s="39">
        <f>IFERROR(변수!$D$43/(AB32+AC32+AD32+AF32),"")</f>
        <v/>
      </c>
      <c r="AG35" s="39">
        <f>IFERROR(변수!$D$43/(AC32+AD32+AF32+AG32),"")</f>
        <v/>
      </c>
      <c r="AH35" s="39">
        <f>IFERROR(변수!$D$43/(AD32+AF32+AG32+AH32),"")</f>
        <v/>
      </c>
      <c r="AI35" s="39">
        <f>IFERROR(변수!$D$43/(AF32+AG32+AH32+AI32),"")</f>
        <v/>
      </c>
      <c r="AJ35" s="40">
        <f>AI35</f>
        <v/>
      </c>
      <c r="AK35" s="39">
        <f>IFERROR(변수!$D$43/(AG32+AH32+AI32+AK32),"")</f>
        <v/>
      </c>
      <c r="AL35" s="39">
        <f>IFERROR(변수!$D$43/(AH32+AI32+AK32+AL32),"")</f>
        <v/>
      </c>
      <c r="AM35" s="39">
        <f>IFERROR(변수!$D$43/(AI32+AK32+AL32+AM32),"")</f>
        <v/>
      </c>
      <c r="AN35" s="39">
        <f>IFERROR(변수!$D$43/(AK32+AL32+AM32+AN32),"")</f>
        <v/>
      </c>
      <c r="AO35" s="40">
        <f>AN35</f>
        <v/>
      </c>
    </row>
    <row r="36">
      <c r="A36" s="12" t="inlineStr">
        <is>
          <t>PBR</t>
        </is>
      </c>
      <c r="B36" t="inlineStr">
        <is>
          <t>주당</t>
        </is>
      </c>
      <c r="C36" t="inlineStr">
        <is>
          <t>배</t>
        </is>
      </c>
      <c r="D36" t="inlineStr">
        <is>
          <t>PBR</t>
        </is>
      </c>
      <c r="E36" s="13">
        <f>IFERROR(변수!E18/E33,"")</f>
        <v/>
      </c>
      <c r="F36" s="14">
        <f>E36</f>
        <v/>
      </c>
      <c r="G36" s="13">
        <f>IFERROR(변수!G18/G33,"")</f>
        <v/>
      </c>
      <c r="H36" s="13">
        <f>IFERROR(변수!H18/H33,"")</f>
        <v/>
      </c>
      <c r="I36" s="13">
        <f>IFERROR(변수!I18/I33,"")</f>
        <v/>
      </c>
      <c r="J36" s="13">
        <f>IFERROR(변수!J18/J33,"")</f>
        <v/>
      </c>
      <c r="K36" s="14">
        <f>J36</f>
        <v/>
      </c>
      <c r="L36" s="13">
        <f>IFERROR(변수!L18/L33,"")</f>
        <v/>
      </c>
      <c r="M36" s="13">
        <f>IFERROR(변수!M18/M33,"")</f>
        <v/>
      </c>
      <c r="N36" s="13">
        <f>IFERROR(변수!N18/N33,"")</f>
        <v/>
      </c>
      <c r="O36" s="13">
        <f>IFERROR(변수!O18/O33,"")</f>
        <v/>
      </c>
      <c r="P36" s="14">
        <f>O36</f>
        <v/>
      </c>
      <c r="Q36" s="13">
        <f>IFERROR(변수!Q18/Q33,"")</f>
        <v/>
      </c>
      <c r="R36" s="13">
        <f>IFERROR(변수!R18/R33,"")</f>
        <v/>
      </c>
      <c r="S36" s="13">
        <f>IFERROR(변수!S18/S33,"")</f>
        <v/>
      </c>
      <c r="T36" s="13">
        <f>IFERROR(변수!T18/T33,"")</f>
        <v/>
      </c>
      <c r="U36" s="14">
        <f>T36</f>
        <v/>
      </c>
      <c r="V36" s="13">
        <f>IFERROR(변수!V18/V33,"")</f>
        <v/>
      </c>
      <c r="W36" s="13">
        <f>IFERROR(변수!W18/W33,"")</f>
        <v/>
      </c>
      <c r="X36" s="13">
        <f>IFERROR(변수!X18/X33,"")</f>
        <v/>
      </c>
      <c r="Y36" s="13">
        <f>IFERROR(변수!Y18/Y33,"")</f>
        <v/>
      </c>
      <c r="Z36" s="14">
        <f>Y36</f>
        <v/>
      </c>
      <c r="AA36" s="13">
        <f>IFERROR(변수!AA18/AA33,"")</f>
        <v/>
      </c>
      <c r="AB36" s="15">
        <f>IFERROR(변수!AB18/AB33,"")</f>
        <v/>
      </c>
      <c r="AC36" s="39">
        <f>IFERROR(변수!$D$43/AC33,"")</f>
        <v/>
      </c>
      <c r="AD36" s="39">
        <f>IFERROR(변수!$D$43/AD33,"")</f>
        <v/>
      </c>
      <c r="AE36" s="40">
        <f>AD36</f>
        <v/>
      </c>
      <c r="AF36" s="39">
        <f>IFERROR(변수!$D$43/AF33,"")</f>
        <v/>
      </c>
      <c r="AG36" s="39">
        <f>IFERROR(변수!$D$43/AG33,"")</f>
        <v/>
      </c>
      <c r="AH36" s="39">
        <f>IFERROR(변수!$D$43/AH33,"")</f>
        <v/>
      </c>
      <c r="AI36" s="39">
        <f>IFERROR(변수!$D$43/AI33,"")</f>
        <v/>
      </c>
      <c r="AJ36" s="40">
        <f>AI36</f>
        <v/>
      </c>
      <c r="AK36" s="39">
        <f>IFERROR(변수!$D$43/AK33,"")</f>
        <v/>
      </c>
      <c r="AL36" s="39">
        <f>IFERROR(변수!$D$43/AL33,"")</f>
        <v/>
      </c>
      <c r="AM36" s="39">
        <f>IFERROR(변수!$D$43/AM33,"")</f>
        <v/>
      </c>
      <c r="AN36" s="39">
        <f>IFERROR(변수!$D$43/AN33,"")</f>
        <v/>
      </c>
      <c r="AO36" s="40">
        <f>AN36</f>
        <v/>
      </c>
    </row>
    <row r="37">
      <c r="A37" s="12" t="inlineStr">
        <is>
          <t>매출전사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매출 전사(부문 미분리)</t>
        </is>
      </c>
      <c r="E37" s="18" t="n">
        <v>1519.17</v>
      </c>
      <c r="F37" s="37" t="n"/>
      <c r="G37" s="18" t="n">
        <v>1709.84</v>
      </c>
      <c r="H37" s="18" t="n">
        <v>1695.61</v>
      </c>
      <c r="I37" s="18" t="n">
        <v>1847.52</v>
      </c>
      <c r="J37" s="18" t="n">
        <v>1665.33</v>
      </c>
      <c r="K37" s="37">
        <f>SUM(G37:J37)</f>
        <v/>
      </c>
      <c r="L37" s="18" t="n">
        <v>2197</v>
      </c>
      <c r="M37" s="18" t="n">
        <v>2579.42</v>
      </c>
      <c r="N37" s="18" t="n">
        <v>2369.97</v>
      </c>
      <c r="O37" s="18" t="n">
        <v>2111.98</v>
      </c>
      <c r="P37" s="37">
        <f>SUM(L37:O37)</f>
        <v/>
      </c>
      <c r="Q37" s="18" t="n">
        <v>1270.82</v>
      </c>
      <c r="R37" s="18" t="n">
        <v>1733.57</v>
      </c>
      <c r="S37" s="18" t="n">
        <v>1991.83</v>
      </c>
      <c r="T37" s="18" t="n">
        <v>1629.94</v>
      </c>
      <c r="U37" s="37">
        <f>SUM(Q37:T37)</f>
        <v/>
      </c>
      <c r="V37" s="18" t="n">
        <v>2571.36</v>
      </c>
      <c r="W37" s="18" t="n">
        <v>2406.25</v>
      </c>
      <c r="X37" s="18" t="n">
        <v>2931.56</v>
      </c>
      <c r="Y37" s="18" t="n">
        <v>1744.72</v>
      </c>
      <c r="Z37" s="37">
        <f>SUM(V37:Y37)</f>
        <v/>
      </c>
      <c r="AA37" s="18" t="n">
        <v>1746.56</v>
      </c>
      <c r="AB37" s="19" t="n">
        <v>1704.84</v>
      </c>
      <c r="AC37" s="20">
        <f>IFERROR(AC5,"")</f>
        <v/>
      </c>
      <c r="AD37" s="20">
        <f>IFERROR(AD5,"")</f>
        <v/>
      </c>
      <c r="AE37" s="38">
        <f>SUM(AA37:AD37)</f>
        <v/>
      </c>
      <c r="AF37" s="20">
        <f>IFERROR(AF5,"")</f>
        <v/>
      </c>
      <c r="AG37" s="20">
        <f>IFERROR(AG5,"")</f>
        <v/>
      </c>
      <c r="AH37" s="20">
        <f>IFERROR(AH5,"")</f>
        <v/>
      </c>
      <c r="AI37" s="20">
        <f>IFERROR(AI5,"")</f>
        <v/>
      </c>
      <c r="AJ37" s="38">
        <f>SUM(AF37:AI37)</f>
        <v/>
      </c>
      <c r="AK37" s="20">
        <f>IFERROR(AK5,"")</f>
        <v/>
      </c>
      <c r="AL37" s="20">
        <f>IFERROR(AL5,"")</f>
        <v/>
      </c>
      <c r="AM37" s="20">
        <f>IFERROR(AM5,"")</f>
        <v/>
      </c>
      <c r="AN37" s="20">
        <f>IFERROR(AN5,"")</f>
        <v/>
      </c>
      <c r="AO37" s="38">
        <f>SUM(AK37:AN37)</f>
        <v/>
      </c>
    </row>
    <row r="38">
      <c r="A38" s="12" t="inlineStr">
        <is>
          <t>OP전사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OP 전사(부문 미분리)</t>
        </is>
      </c>
      <c r="E38" s="18" t="n">
        <v>56.76</v>
      </c>
      <c r="F38" s="37" t="n"/>
      <c r="G38" s="18" t="n">
        <v>170.67</v>
      </c>
      <c r="H38" s="18" t="n">
        <v>204.19</v>
      </c>
      <c r="I38" s="18" t="n">
        <v>219.43</v>
      </c>
      <c r="J38" s="18" t="n">
        <v>125.12</v>
      </c>
      <c r="K38" s="37">
        <f>SUM(G38:J38)</f>
        <v/>
      </c>
      <c r="L38" s="18" t="n">
        <v>185.73</v>
      </c>
      <c r="M38" s="18" t="n">
        <v>301.11</v>
      </c>
      <c r="N38" s="18" t="n">
        <v>163.8</v>
      </c>
      <c r="O38" s="18" t="n">
        <v>105.41</v>
      </c>
      <c r="P38" s="37">
        <f>SUM(L38:O38)</f>
        <v/>
      </c>
      <c r="Q38" s="18" t="n">
        <v>89.45</v>
      </c>
      <c r="R38" s="18" t="n">
        <v>149.81</v>
      </c>
      <c r="S38" s="18" t="n">
        <v>151.96</v>
      </c>
      <c r="T38" s="18" t="n">
        <v>26.75</v>
      </c>
      <c r="U38" s="37">
        <f>SUM(Q38:T38)</f>
        <v/>
      </c>
      <c r="V38" s="18" t="n">
        <v>110.41</v>
      </c>
      <c r="W38" s="18" t="n">
        <v>155.51</v>
      </c>
      <c r="X38" s="18" t="n">
        <v>192.54</v>
      </c>
      <c r="Y38" s="18" t="n">
        <v>136.64</v>
      </c>
      <c r="Z38" s="37">
        <f>SUM(V38:Y38)</f>
        <v/>
      </c>
      <c r="AA38" s="18" t="n">
        <v>168.58</v>
      </c>
      <c r="AB38" s="19" t="n">
        <v>193.44</v>
      </c>
      <c r="AC38" s="20">
        <f>IFERROR(AC9,"")</f>
        <v/>
      </c>
      <c r="AD38" s="20">
        <f>IFERROR(AD9,"")</f>
        <v/>
      </c>
      <c r="AE38" s="38">
        <f>SUM(AA38:AD38)</f>
        <v/>
      </c>
      <c r="AF38" s="20">
        <f>IFERROR(AF9,"")</f>
        <v/>
      </c>
      <c r="AG38" s="20">
        <f>IFERROR(AG9,"")</f>
        <v/>
      </c>
      <c r="AH38" s="20">
        <f>IFERROR(AH9,"")</f>
        <v/>
      </c>
      <c r="AI38" s="20">
        <f>IFERROR(AI9,"")</f>
        <v/>
      </c>
      <c r="AJ38" s="38">
        <f>SUM(AF38:AI38)</f>
        <v/>
      </c>
      <c r="AK38" s="20">
        <f>IFERROR(AK9,"")</f>
        <v/>
      </c>
      <c r="AL38" s="20">
        <f>IFERROR(AL9,"")</f>
        <v/>
      </c>
      <c r="AM38" s="20">
        <f>IFERROR(AM9,"")</f>
        <v/>
      </c>
      <c r="AN38" s="20">
        <f>IFERROR(AN9,"")</f>
        <v/>
      </c>
      <c r="AO38" s="38">
        <f>SUM(AK38:AN38)</f>
        <v/>
      </c>
    </row>
    <row r="39">
      <c r="B39" s="2" t="inlineStr">
        <is>
          <t>비율(참고)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NPM</t>
        </is>
      </c>
      <c r="C40" t="inlineStr">
        <is>
          <t>%</t>
        </is>
      </c>
      <c r="D40" t="inlineStr">
        <is>
          <t>지배주주순이익 / 매출액</t>
        </is>
      </c>
      <c r="E40" s="21">
        <f>IFERROR(E20/E5,"")</f>
        <v/>
      </c>
      <c r="F40" s="22">
        <f>IFERROR(F20/F5,"")</f>
        <v/>
      </c>
      <c r="G40" s="21">
        <f>IFERROR(G20/G5,"")</f>
        <v/>
      </c>
      <c r="H40" s="21">
        <f>IFERROR(H20/H5,"")</f>
        <v/>
      </c>
      <c r="I40" s="21">
        <f>IFERROR(I20/I5,"")</f>
        <v/>
      </c>
      <c r="J40" s="21">
        <f>IFERROR(J20/J5,"")</f>
        <v/>
      </c>
      <c r="K40" s="22">
        <f>IFERROR(K20/K5,"")</f>
        <v/>
      </c>
      <c r="L40" s="21">
        <f>IFERROR(L20/L5,"")</f>
        <v/>
      </c>
      <c r="M40" s="21">
        <f>IFERROR(M20/M5,"")</f>
        <v/>
      </c>
      <c r="N40" s="21">
        <f>IFERROR(N20/N5,"")</f>
        <v/>
      </c>
      <c r="O40" s="21">
        <f>IFERROR(O20/O5,"")</f>
        <v/>
      </c>
      <c r="P40" s="22">
        <f>IFERROR(P20/P5,"")</f>
        <v/>
      </c>
      <c r="Q40" s="21">
        <f>IFERROR(Q20/Q5,"")</f>
        <v/>
      </c>
      <c r="R40" s="21">
        <f>IFERROR(R20/R5,"")</f>
        <v/>
      </c>
      <c r="S40" s="21">
        <f>IFERROR(S20/S5,"")</f>
        <v/>
      </c>
      <c r="T40" s="21">
        <f>IFERROR(T20/T5,"")</f>
        <v/>
      </c>
      <c r="U40" s="22">
        <f>IFERROR(U20/U5,"")</f>
        <v/>
      </c>
      <c r="V40" s="21">
        <f>IFERROR(V20/V5,"")</f>
        <v/>
      </c>
      <c r="W40" s="21">
        <f>IFERROR(W20/W5,"")</f>
        <v/>
      </c>
      <c r="X40" s="21">
        <f>IFERROR(X20/X5,"")</f>
        <v/>
      </c>
      <c r="Y40" s="21">
        <f>IFERROR(Y20/Y5,"")</f>
        <v/>
      </c>
      <c r="Z40" s="22">
        <f>IFERROR(Z20/Z5,"")</f>
        <v/>
      </c>
      <c r="AA40" s="21">
        <f>IFERROR(AA20/AA5,"")</f>
        <v/>
      </c>
      <c r="AB40" s="23">
        <f>IFERROR(AB20/AB5,"")</f>
        <v/>
      </c>
      <c r="AC40" s="32">
        <f>IFERROR(AC20/AC5,"")</f>
        <v/>
      </c>
      <c r="AD40" s="32">
        <f>IFERROR(AD20/AD5,"")</f>
        <v/>
      </c>
      <c r="AE40" s="25">
        <f>IFERROR(AE20/AE5,"")</f>
        <v/>
      </c>
      <c r="AF40" s="32">
        <f>IFERROR(AF20/AF5,"")</f>
        <v/>
      </c>
      <c r="AG40" s="32">
        <f>IFERROR(AG20/AG5,"")</f>
        <v/>
      </c>
      <c r="AH40" s="32">
        <f>IFERROR(AH20/AH5,"")</f>
        <v/>
      </c>
      <c r="AI40" s="32">
        <f>IFERROR(AI20/AI5,"")</f>
        <v/>
      </c>
      <c r="AJ40" s="25">
        <f>IFERROR(AJ20/AJ5,"")</f>
        <v/>
      </c>
      <c r="AK40" s="32">
        <f>IFERROR(AK20/AK5,"")</f>
        <v/>
      </c>
      <c r="AL40" s="32">
        <f>IFERROR(AL20/AL5,"")</f>
        <v/>
      </c>
      <c r="AM40" s="32">
        <f>IFERROR(AM20/AM5,"")</f>
        <v/>
      </c>
      <c r="AN40" s="32">
        <f>IFERROR(AN20/AN5,"")</f>
        <v/>
      </c>
      <c r="AO40" s="25">
        <f>IFERROR(AO20/AO5,"")</f>
        <v/>
      </c>
    </row>
    <row r="41">
      <c r="A41" s="12" t="inlineStr">
        <is>
          <t>매출원가율</t>
        </is>
      </c>
      <c r="C41" t="inlineStr">
        <is>
          <t>%</t>
        </is>
      </c>
      <c r="D41" t="inlineStr">
        <is>
          <t>매출원가 / 매출액</t>
        </is>
      </c>
      <c r="E41" s="21">
        <f>IFERROR(E6/E5,"")</f>
        <v/>
      </c>
      <c r="F41" s="22">
        <f>IFERROR(F6/F5,"")</f>
        <v/>
      </c>
      <c r="G41" s="21">
        <f>IFERROR(G6/G5,"")</f>
        <v/>
      </c>
      <c r="H41" s="21">
        <f>IFERROR(H6/H5,"")</f>
        <v/>
      </c>
      <c r="I41" s="21">
        <f>IFERROR(I6/I5,"")</f>
        <v/>
      </c>
      <c r="J41" s="21">
        <f>IFERROR(J6/J5,"")</f>
        <v/>
      </c>
      <c r="K41" s="22">
        <f>IFERROR(K6/K5,"")</f>
        <v/>
      </c>
      <c r="L41" s="21">
        <f>IFERROR(L6/L5,"")</f>
        <v/>
      </c>
      <c r="M41" s="21">
        <f>IFERROR(M6/M5,"")</f>
        <v/>
      </c>
      <c r="N41" s="21">
        <f>IFERROR(N6/N5,"")</f>
        <v/>
      </c>
      <c r="O41" s="21">
        <f>IFERROR(O6/O5,"")</f>
        <v/>
      </c>
      <c r="P41" s="22">
        <f>IFERROR(P6/P5,"")</f>
        <v/>
      </c>
      <c r="Q41" s="21">
        <f>IFERROR(Q6/Q5,"")</f>
        <v/>
      </c>
      <c r="R41" s="21">
        <f>IFERROR(R6/R5,"")</f>
        <v/>
      </c>
      <c r="S41" s="21">
        <f>IFERROR(S6/S5,"")</f>
        <v/>
      </c>
      <c r="T41" s="21">
        <f>IFERROR(T6/T5,"")</f>
        <v/>
      </c>
      <c r="U41" s="22">
        <f>IFERROR(U6/U5,"")</f>
        <v/>
      </c>
      <c r="V41" s="21">
        <f>IFERROR(V6/V5,"")</f>
        <v/>
      </c>
      <c r="W41" s="21">
        <f>IFERROR(W6/W5,"")</f>
        <v/>
      </c>
      <c r="X41" s="21">
        <f>IFERROR(X6/X5,"")</f>
        <v/>
      </c>
      <c r="Y41" s="21">
        <f>IFERROR(Y6/Y5,"")</f>
        <v/>
      </c>
      <c r="Z41" s="22">
        <f>IFERROR(Z6/Z5,"")</f>
        <v/>
      </c>
      <c r="AA41" s="21">
        <f>IFERROR(AA6/AA5,"")</f>
        <v/>
      </c>
      <c r="AB41" s="23">
        <f>IFERROR(AB6/AB5,"")</f>
        <v/>
      </c>
      <c r="AC41" s="32">
        <f>IFERROR(AC6/AC5,"")</f>
        <v/>
      </c>
      <c r="AD41" s="32">
        <f>IFERROR(AD6/AD5,"")</f>
        <v/>
      </c>
      <c r="AE41" s="25">
        <f>IFERROR(AE6/AE5,"")</f>
        <v/>
      </c>
      <c r="AF41" s="32">
        <f>IFERROR(AF6/AF5,"")</f>
        <v/>
      </c>
      <c r="AG41" s="32">
        <f>IFERROR(AG6/AG5,"")</f>
        <v/>
      </c>
      <c r="AH41" s="32">
        <f>IFERROR(AH6/AH5,"")</f>
        <v/>
      </c>
      <c r="AI41" s="32">
        <f>IFERROR(AI6/AI5,"")</f>
        <v/>
      </c>
      <c r="AJ41" s="25">
        <f>IFERROR(AJ6/AJ5,"")</f>
        <v/>
      </c>
      <c r="AK41" s="32">
        <f>IFERROR(AK6/AK5,"")</f>
        <v/>
      </c>
      <c r="AL41" s="32">
        <f>IFERROR(AL6/AL5,"")</f>
        <v/>
      </c>
      <c r="AM41" s="32">
        <f>IFERROR(AM6/AM5,"")</f>
        <v/>
      </c>
      <c r="AN41" s="32">
        <f>IFERROR(AN6/AN5,"")</f>
        <v/>
      </c>
      <c r="AO41" s="25">
        <f>IFERROR(AO6/AO5,"")</f>
        <v/>
      </c>
    </row>
    <row r="42">
      <c r="A42" s="12" t="inlineStr">
        <is>
          <t>판관비율</t>
        </is>
      </c>
      <c r="C42" t="inlineStr">
        <is>
          <t>%</t>
        </is>
      </c>
      <c r="D42" t="inlineStr">
        <is>
          <t>판관비 / 매출액</t>
        </is>
      </c>
      <c r="E42" s="21">
        <f>IFERROR(E8/E5,"")</f>
        <v/>
      </c>
      <c r="F42" s="22">
        <f>IFERROR(F8/F5,"")</f>
        <v/>
      </c>
      <c r="G42" s="21">
        <f>IFERROR(G8/G5,"")</f>
        <v/>
      </c>
      <c r="H42" s="21">
        <f>IFERROR(H8/H5,"")</f>
        <v/>
      </c>
      <c r="I42" s="21">
        <f>IFERROR(I8/I5,"")</f>
        <v/>
      </c>
      <c r="J42" s="21">
        <f>IFERROR(J8/J5,"")</f>
        <v/>
      </c>
      <c r="K42" s="22">
        <f>IFERROR(K8/K5,"")</f>
        <v/>
      </c>
      <c r="L42" s="21">
        <f>IFERROR(L8/L5,"")</f>
        <v/>
      </c>
      <c r="M42" s="21">
        <f>IFERROR(M8/M5,"")</f>
        <v/>
      </c>
      <c r="N42" s="21">
        <f>IFERROR(N8/N5,"")</f>
        <v/>
      </c>
      <c r="O42" s="21">
        <f>IFERROR(O8/O5,"")</f>
        <v/>
      </c>
      <c r="P42" s="22">
        <f>IFERROR(P8/P5,"")</f>
        <v/>
      </c>
      <c r="Q42" s="21">
        <f>IFERROR(Q8/Q5,"")</f>
        <v/>
      </c>
      <c r="R42" s="21">
        <f>IFERROR(R8/R5,"")</f>
        <v/>
      </c>
      <c r="S42" s="21">
        <f>IFERROR(S8/S5,"")</f>
        <v/>
      </c>
      <c r="T42" s="21">
        <f>IFERROR(T8/T5,"")</f>
        <v/>
      </c>
      <c r="U42" s="22">
        <f>IFERROR(U8/U5,"")</f>
        <v/>
      </c>
      <c r="V42" s="21">
        <f>IFERROR(V8/V5,"")</f>
        <v/>
      </c>
      <c r="W42" s="21">
        <f>IFERROR(W8/W5,"")</f>
        <v/>
      </c>
      <c r="X42" s="21">
        <f>IFERROR(X8/X5,"")</f>
        <v/>
      </c>
      <c r="Y42" s="21">
        <f>IFERROR(Y8/Y5,"")</f>
        <v/>
      </c>
      <c r="Z42" s="22">
        <f>IFERROR(Z8/Z5,"")</f>
        <v/>
      </c>
      <c r="AA42" s="21">
        <f>IFERROR(AA8/AA5,"")</f>
        <v/>
      </c>
      <c r="AB42" s="23">
        <f>IFERROR(AB8/AB5,"")</f>
        <v/>
      </c>
      <c r="AC42" s="32">
        <f>IFERROR(AC8/AC5,"")</f>
        <v/>
      </c>
      <c r="AD42" s="32">
        <f>IFERROR(AD8/AD5,"")</f>
        <v/>
      </c>
      <c r="AE42" s="25">
        <f>IFERROR(AE8/AE5,"")</f>
        <v/>
      </c>
      <c r="AF42" s="32">
        <f>IFERROR(AF8/AF5,"")</f>
        <v/>
      </c>
      <c r="AG42" s="32">
        <f>IFERROR(AG8/AG5,"")</f>
        <v/>
      </c>
      <c r="AH42" s="32">
        <f>IFERROR(AH8/AH5,"")</f>
        <v/>
      </c>
      <c r="AI42" s="32">
        <f>IFERROR(AI8/AI5,"")</f>
        <v/>
      </c>
      <c r="AJ42" s="25">
        <f>IFERROR(AJ8/AJ5,"")</f>
        <v/>
      </c>
      <c r="AK42" s="32">
        <f>IFERROR(AK8/AK5,"")</f>
        <v/>
      </c>
      <c r="AL42" s="32">
        <f>IFERROR(AL8/AL5,"")</f>
        <v/>
      </c>
      <c r="AM42" s="32">
        <f>IFERROR(AM8/AM5,"")</f>
        <v/>
      </c>
      <c r="AN42" s="32">
        <f>IFERROR(AN8/AN5,"")</f>
        <v/>
      </c>
      <c r="AO42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변수!D43</f>
        <v/>
      </c>
      <c r="W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27">
        <f>IFERROR(VLOOKUP($A31,subQ,MATCH(I$1,SUBQH,0),0),"")</f>
        <v/>
      </c>
      <c r="J31" s="27">
        <f>IFERROR(VLOOKUP($A31,subQ,MATCH(J$1,SUBQH,0),0),"")</f>
        <v/>
      </c>
      <c r="K31" s="27">
        <f>IFERROR(VLOOKUP($A31,subQ,MATCH(K$1,SUBQH,0),0),"")</f>
        <v/>
      </c>
      <c r="L31" s="27">
        <f>IFERROR(VLOOKUP($A31,subQ,MATCH(L$1,SUBQH,0),0),"")</f>
        <v/>
      </c>
      <c r="M31" s="27">
        <f>IFERROR(VLOOKUP($A31,subQ,MATCH(M$1,SUBQH,0),0),"")</f>
        <v/>
      </c>
      <c r="N31" s="27">
        <f>IFERROR(VLOOKUP($A31,subQ,MATCH(N$1,SUBQH,0),0),"")</f>
        <v/>
      </c>
      <c r="O31" s="27">
        <f>IFERROR(VLOOKUP($A31,subQ,MATCH(O$1,SUBQH,0),0),"")</f>
        <v/>
      </c>
      <c r="P31" s="27">
        <f>IFERROR(VLOOKUP($A31,subQ,MATCH(P$1,SUBQH,0),0),"")</f>
        <v/>
      </c>
      <c r="Q31" s="27">
        <f>IFERROR(VLOOKUP($A31,subQ,MATCH(Q$1,SUBQH,0),0),"")</f>
        <v/>
      </c>
      <c r="R31" s="27">
        <f>IFERROR(VLOOKUP($A31,subQ,MATCH(R$1,SUBQH,0),0),"")</f>
        <v/>
      </c>
      <c r="S31" s="27">
        <f>IFERROR(VLOOKUP($A31,subQ,MATCH(S$1,SUBQH,0),0),"")</f>
        <v/>
      </c>
      <c r="T31" s="27">
        <f>IFERROR(VLOOKUP($A31,subQ,MATCH(T$1,SUBQH,0),0),"")</f>
        <v/>
      </c>
      <c r="U31" s="27">
        <f>IFERROR(VLOOKUP($A31,subQ,MATCH(U$1,SUBQH,0),0),"")</f>
        <v/>
      </c>
      <c r="V31" s="27">
        <f>IFERROR(VLOOKUP($A31,subQ,MATCH(V$1,SUBQH,0),0),"")</f>
        <v/>
      </c>
      <c r="W31" s="47">
        <f>IFERROR(VLOOKUP($A31,subQ,MATCH(W$1,SUBQH,0),0),"")</f>
        <v/>
      </c>
      <c r="X31" s="33">
        <f>IFERROR(VLOOKUP($A31,subQ,MATCH(X$1,SUBQH,0),0),"")</f>
        <v/>
      </c>
      <c r="Y31" s="33">
        <f>IFERROR(VLOOKUP($A31,subQ,MATCH(Y$1,SUBQH,0),0),"")</f>
        <v/>
      </c>
      <c r="Z31" s="33">
        <f>IFERROR(VLOOKUP($A31,subQ,MATCH(Z$1,SUBQH,0),0),"")</f>
        <v/>
      </c>
      <c r="AA31" s="33">
        <f>IFERROR(VLOOKUP($A31,subQ,MATCH(AA$1,SUBQH,0),0),"")</f>
        <v/>
      </c>
      <c r="AB31" s="33">
        <f>IFERROR(VLOOKUP($A31,subQ,MATCH(AB$1,SUBQH,0),0),"")</f>
        <v/>
      </c>
      <c r="AC31" s="33">
        <f>IFERROR(VLOOKUP($A31,subQ,MATCH(AC$1,SUBQH,0),0),"")</f>
        <v/>
      </c>
      <c r="AD31" s="33">
        <f>IFERROR(VLOOKUP($A31,subQ,MATCH(AD$1,SUBQH,0),0),"")</f>
        <v/>
      </c>
      <c r="AE31" s="33">
        <f>IFERROR(VLOOKUP($A31,subQ,MATCH(AE$1,SUBQH,0),0),"")</f>
        <v/>
      </c>
      <c r="AF31" s="33">
        <f>IFERROR(VLOOKUP($A31,subQ,MATCH(AF$1,SUBQH,0),0),"")</f>
        <v/>
      </c>
      <c r="AG31" s="33">
        <f>IFERROR(VLOOKUP($A31,subQ,MATCH(AG$1,SUBQH,0),0),"")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8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8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5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21">
        <f>IFERROR(VLOOKUP($A39,subQ,MATCH(I$1,SUBQH,0),0),"")</f>
        <v/>
      </c>
      <c r="J39" s="21">
        <f>IFERROR(VLOOKUP($A39,subQ,MATCH(J$1,SUBQH,0),0),"")</f>
        <v/>
      </c>
      <c r="K39" s="21">
        <f>IFERROR(VLOOKUP($A39,subQ,MATCH(K$1,SUBQH,0),0),"")</f>
        <v/>
      </c>
      <c r="L39" s="21">
        <f>IFERROR(VLOOKUP($A39,subQ,MATCH(L$1,SUBQH,0),0),"")</f>
        <v/>
      </c>
      <c r="M39" s="21">
        <f>IFERROR(VLOOKUP($A39,subQ,MATCH(M$1,SUBQH,0),0),"")</f>
        <v/>
      </c>
      <c r="N39" s="21">
        <f>IFERROR(VLOOKUP($A39,subQ,MATCH(N$1,SUBQH,0),0),"")</f>
        <v/>
      </c>
      <c r="O39" s="21">
        <f>IFERROR(VLOOKUP($A39,subQ,MATCH(O$1,SUBQH,0),0),"")</f>
        <v/>
      </c>
      <c r="P39" s="21">
        <f>IFERROR(VLOOKUP($A39,subQ,MATCH(P$1,SUBQH,0),0),"")</f>
        <v/>
      </c>
      <c r="Q39" s="21">
        <f>IFERROR(VLOOKUP($A39,subQ,MATCH(Q$1,SUBQH,0),0),"")</f>
        <v/>
      </c>
      <c r="R39" s="21">
        <f>IFERROR(VLOOKUP($A39,subQ,MATCH(R$1,SUBQH,0),0),"")</f>
        <v/>
      </c>
      <c r="S39" s="21">
        <f>IFERROR(VLOOKUP($A39,subQ,MATCH(S$1,SUBQH,0),0),"")</f>
        <v/>
      </c>
      <c r="T39" s="21">
        <f>IFERROR(VLOOKUP($A39,subQ,MATCH(T$1,SUBQH,0),0),"")</f>
        <v/>
      </c>
      <c r="U39" s="21">
        <f>IFERROR(VLOOKUP($A39,subQ,MATCH(U$1,SUBQH,0),0),"")</f>
        <v/>
      </c>
      <c r="V39" s="21">
        <f>IFERROR(VLOOKUP($A39,subQ,MATCH(V$1,SUBQH,0),0),"")</f>
        <v/>
      </c>
      <c r="W39" s="46">
        <f>IFERROR(VLOOKUP($A39,subQ,MATCH(W$1,SUBQH,0),0),"")</f>
        <v/>
      </c>
      <c r="X39" s="32">
        <f>IFERROR(VLOOKUP($A39,subQ,MATCH(X$1,SUBQH,0),0),"")</f>
        <v/>
      </c>
      <c r="Y39" s="32">
        <f>IFERROR(VLOOKUP($A39,subQ,MATCH(Y$1,SUBQH,0),0),"")</f>
        <v/>
      </c>
      <c r="Z39" s="32">
        <f>IFERROR(VLOOKUP($A39,subQ,MATCH(Z$1,SUBQH,0),0),"")</f>
        <v/>
      </c>
      <c r="AA39" s="32">
        <f>IFERROR(VLOOKUP($A39,subQ,MATCH(AA$1,SUBQH,0),0),"")</f>
        <v/>
      </c>
      <c r="AB39" s="32">
        <f>IFERROR(VLOOKUP($A39,subQ,MATCH(AB$1,SUBQH,0),0),"")</f>
        <v/>
      </c>
      <c r="AC39" s="32">
        <f>IFERROR(VLOOKUP($A39,subQ,MATCH(AC$1,SUBQH,0),0),"")</f>
        <v/>
      </c>
      <c r="AD39" s="32">
        <f>IFERROR(VLOOKUP($A39,subQ,MATCH(AD$1,SUBQH,0),0),"")</f>
        <v/>
      </c>
      <c r="AE39" s="32">
        <f>IFERROR(VLOOKUP($A39,subQ,MATCH(AE$1,SUBQH,0),0),"")</f>
        <v/>
      </c>
      <c r="AF39" s="32">
        <f>IFERROR(VLOOKUP($A39,subQ,MATCH(AF$1,SUBQH,0),0),"")</f>
        <v/>
      </c>
      <c r="AG39" s="32">
        <f>IFERROR(VLOOKUP($A39,subQ,MATCH(AG$1,SUBQH,0),0),"")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I40" s="21">
        <f>IFERROR(I5/E5-1,"")</f>
        <v/>
      </c>
      <c r="J40" s="21">
        <f>IFERROR(J5/F5-1,"")</f>
        <v/>
      </c>
      <c r="K40" s="21">
        <f>IFERROR(K5/G5-1,"")</f>
        <v/>
      </c>
      <c r="L40" s="21">
        <f>IFERROR(L5/H5-1,"")</f>
        <v/>
      </c>
      <c r="M40" s="21">
        <f>IFERROR(M5/I5-1,"")</f>
        <v/>
      </c>
      <c r="N40" s="21">
        <f>IFERROR(N5/J5-1,"")</f>
        <v/>
      </c>
      <c r="O40" s="21">
        <f>IFERROR(O5/K5-1,"")</f>
        <v/>
      </c>
      <c r="P40" s="21">
        <f>IFERROR(P5/L5-1,"")</f>
        <v/>
      </c>
      <c r="Q40" s="21">
        <f>IFERROR(Q5/M5-1,"")</f>
        <v/>
      </c>
      <c r="R40" s="21">
        <f>IFERROR(R5/N5-1,"")</f>
        <v/>
      </c>
      <c r="S40" s="21">
        <f>IFERROR(S5/O5-1,"")</f>
        <v/>
      </c>
      <c r="T40" s="21">
        <f>IFERROR(T5/P5-1,"")</f>
        <v/>
      </c>
      <c r="U40" s="21">
        <f>IFERROR(U5/Q5-1,"")</f>
        <v/>
      </c>
      <c r="V40" s="21">
        <f>IFERROR(V5/R5-1,"")</f>
        <v/>
      </c>
      <c r="W40" s="46">
        <f>IFERROR(W5/S5-1,"")</f>
        <v/>
      </c>
      <c r="X40" s="32">
        <f>IFERROR(X5/T5-1,"")</f>
        <v/>
      </c>
      <c r="Y40" s="32">
        <f>IFERROR(Y5/U5-1,"")</f>
        <v/>
      </c>
      <c r="Z40" s="32">
        <f>IFERROR(Z5/V5-1,"")</f>
        <v/>
      </c>
      <c r="AA40" s="32">
        <f>IFERROR(AA5/W5-1,"")</f>
        <v/>
      </c>
      <c r="AB40" s="32">
        <f>IFERROR(AB5/X5-1,"")</f>
        <v/>
      </c>
      <c r="AC40" s="32">
        <f>IFERROR(AC5/Y5-1,"")</f>
        <v/>
      </c>
      <c r="AD40" s="32">
        <f>IFERROR(AD5/Z5-1,"")</f>
        <v/>
      </c>
      <c r="AE40" s="32">
        <f>IFERROR(AE5/AA5-1,"")</f>
        <v/>
      </c>
      <c r="AF40" s="32">
        <f>IFERROR(AF5/AB5-1,"")</f>
        <v/>
      </c>
      <c r="AG40" s="32">
        <f>IFERROR(AG5/AC5-1,"")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I41" s="21">
        <f>IFERROR(I9/E9-1,"")</f>
        <v/>
      </c>
      <c r="J41" s="21">
        <f>IFERROR(J9/F9-1,"")</f>
        <v/>
      </c>
      <c r="K41" s="21">
        <f>IFERROR(K9/G9-1,"")</f>
        <v/>
      </c>
      <c r="L41" s="21">
        <f>IFERROR(L9/H9-1,"")</f>
        <v/>
      </c>
      <c r="M41" s="21">
        <f>IFERROR(M9/I9-1,"")</f>
        <v/>
      </c>
      <c r="N41" s="21">
        <f>IFERROR(N9/J9-1,"")</f>
        <v/>
      </c>
      <c r="O41" s="21">
        <f>IFERROR(O9/K9-1,"")</f>
        <v/>
      </c>
      <c r="P41" s="21">
        <f>IFERROR(P9/L9-1,"")</f>
        <v/>
      </c>
      <c r="Q41" s="21">
        <f>IFERROR(Q9/M9-1,"")</f>
        <v/>
      </c>
      <c r="R41" s="21">
        <f>IFERROR(R9/N9-1,"")</f>
        <v/>
      </c>
      <c r="S41" s="21">
        <f>IFERROR(S9/O9-1,"")</f>
        <v/>
      </c>
      <c r="T41" s="21">
        <f>IFERROR(T9/P9-1,"")</f>
        <v/>
      </c>
      <c r="U41" s="21">
        <f>IFERROR(U9/Q9-1,"")</f>
        <v/>
      </c>
      <c r="V41" s="21">
        <f>IFERROR(V9/R9-1,"")</f>
        <v/>
      </c>
      <c r="W41" s="46">
        <f>IFERROR(W9/S9-1,"")</f>
        <v/>
      </c>
      <c r="X41" s="32">
        <f>IFERROR(X9/T9-1,"")</f>
        <v/>
      </c>
      <c r="Y41" s="32">
        <f>IFERROR(Y9/U9-1,"")</f>
        <v/>
      </c>
      <c r="Z41" s="32">
        <f>IFERROR(Z9/V9-1,"")</f>
        <v/>
      </c>
      <c r="AA41" s="32">
        <f>IFERROR(AA9/W9-1,"")</f>
        <v/>
      </c>
      <c r="AB41" s="32">
        <f>IFERROR(AB9/X9-1,"")</f>
        <v/>
      </c>
      <c r="AC41" s="32">
        <f>IFERROR(AC9/Y9-1,"")</f>
        <v/>
      </c>
      <c r="AD41" s="32">
        <f>IFERROR(AD9/Z9-1,"")</f>
        <v/>
      </c>
      <c r="AE41" s="32">
        <f>IFERROR(AE9/AA9-1,"")</f>
        <v/>
      </c>
      <c r="AF41" s="32">
        <f>IFERROR(AF9/AB9-1,"")</f>
        <v/>
      </c>
      <c r="AG41" s="32">
        <f>IFERROR(AG9/AC9-1,"")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I42" s="21">
        <f>IFERROR(I20/E20-1,"")</f>
        <v/>
      </c>
      <c r="J42" s="21">
        <f>IFERROR(J20/F20-1,"")</f>
        <v/>
      </c>
      <c r="K42" s="21">
        <f>IFERROR(K20/G20-1,"")</f>
        <v/>
      </c>
      <c r="L42" s="21">
        <f>IFERROR(L20/H20-1,"")</f>
        <v/>
      </c>
      <c r="M42" s="21">
        <f>IFERROR(M20/I20-1,"")</f>
        <v/>
      </c>
      <c r="N42" s="21">
        <f>IFERROR(N20/J20-1,"")</f>
        <v/>
      </c>
      <c r="O42" s="21">
        <f>IFERROR(O20/K20-1,"")</f>
        <v/>
      </c>
      <c r="P42" s="21">
        <f>IFERROR(P20/L20-1,"")</f>
        <v/>
      </c>
      <c r="Q42" s="21">
        <f>IFERROR(Q20/M20-1,"")</f>
        <v/>
      </c>
      <c r="R42" s="21">
        <f>IFERROR(R20/N20-1,"")</f>
        <v/>
      </c>
      <c r="S42" s="21">
        <f>IFERROR(S20/O20-1,"")</f>
        <v/>
      </c>
      <c r="T42" s="21">
        <f>IFERROR(T20/P20-1,"")</f>
        <v/>
      </c>
      <c r="U42" s="21">
        <f>IFERROR(U20/Q20-1,"")</f>
        <v/>
      </c>
      <c r="V42" s="21">
        <f>IFERROR(V20/R20-1,"")</f>
        <v/>
      </c>
      <c r="W42" s="46">
        <f>IFERROR(W20/S20-1,"")</f>
        <v/>
      </c>
      <c r="X42" s="32">
        <f>IFERROR(X20/T20-1,"")</f>
        <v/>
      </c>
      <c r="Y42" s="32">
        <f>IFERROR(Y20/U20-1,"")</f>
        <v/>
      </c>
      <c r="Z42" s="32">
        <f>IFERROR(Z20/V20-1,"")</f>
        <v/>
      </c>
      <c r="AA42" s="32">
        <f>IFERROR(AA20/W20-1,"")</f>
        <v/>
      </c>
      <c r="AB42" s="32">
        <f>IFERROR(AB20/X20-1,"")</f>
        <v/>
      </c>
      <c r="AC42" s="32">
        <f>IFERROR(AC20/Y20-1,"")</f>
        <v/>
      </c>
      <c r="AD42" s="32">
        <f>IFERROR(AD20/Z20-1,"")</f>
        <v/>
      </c>
      <c r="AE42" s="32">
        <f>IFERROR(AE20/AA20-1,"")</f>
        <v/>
      </c>
      <c r="AF42" s="32">
        <f>IFERROR(AF20/AB20-1,"")</f>
        <v/>
      </c>
      <c r="AG42" s="32">
        <f>IFERROR(AG20/AC20-1,"")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변수!D43</f>
        <v/>
      </c>
      <c r="I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47">
        <f>IFERROR(VLOOKUP($A31,subQ,MATCH(I$1,SUBQH,0),0),"")</f>
        <v/>
      </c>
      <c r="J31" s="33">
        <f>IFERROR(VLOOKUP($A31,subQ,MATCH(J$1,SUBQH,0),0),"")</f>
        <v/>
      </c>
      <c r="K31" s="33">
        <f>IFERROR(VLOOKUP($A31,subQ,MATCH(K$1,SUBQH,0),0),"")</f>
        <v/>
      </c>
      <c r="L31" s="33">
        <f>IFERROR(VLOOKUP($A31,subQ,MATCH(L$1,SUBQH,0),0),"")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8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8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5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46">
        <f>IFERROR(VLOOKUP($A39,subQ,MATCH(I$1,SUBQH,0),0),"")</f>
        <v/>
      </c>
      <c r="J39" s="32">
        <f>IFERROR(VLOOKUP($A39,subQ,MATCH(J$1,SUBQH,0),0),"")</f>
        <v/>
      </c>
      <c r="K39" s="32">
        <f>IFERROR(VLOOKUP($A39,subQ,MATCH(K$1,SUBQH,0),0),"")</f>
        <v/>
      </c>
      <c r="L39" s="32">
        <f>IFERROR(VLOOKUP($A39,subQ,MATCH(L$1,SUBQH,0),0),"")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F40" s="21">
        <f>IFERROR(F5/E5-1,"")</f>
        <v/>
      </c>
      <c r="G40" s="21">
        <f>IFERROR(G5/F5-1,"")</f>
        <v/>
      </c>
      <c r="H40" s="21">
        <f>IFERROR(H5/G5-1,"")</f>
        <v/>
      </c>
      <c r="I40" s="46">
        <f>IFERROR(I5/H5-1,"")</f>
        <v/>
      </c>
      <c r="J40" s="32">
        <f>IFERROR(J5/I5-1,"")</f>
        <v/>
      </c>
      <c r="K40" s="32">
        <f>IFERROR(K5/J5-1,"")</f>
        <v/>
      </c>
      <c r="L40" s="32">
        <f>IFERROR(L5/K5-1,"")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F41" s="21">
        <f>IFERROR(F9/E9-1,"")</f>
        <v/>
      </c>
      <c r="G41" s="21">
        <f>IFERROR(G9/F9-1,"")</f>
        <v/>
      </c>
      <c r="H41" s="21">
        <f>IFERROR(H9/G9-1,"")</f>
        <v/>
      </c>
      <c r="I41" s="46">
        <f>IFERROR(I9/H9-1,"")</f>
        <v/>
      </c>
      <c r="J41" s="32">
        <f>IFERROR(J9/I9-1,"")</f>
        <v/>
      </c>
      <c r="K41" s="32">
        <f>IFERROR(K9/J9-1,"")</f>
        <v/>
      </c>
      <c r="L41" s="32">
        <f>IFERROR(L9/K9-1,"")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F42" s="21">
        <f>IFERROR(F20/E20-1,"")</f>
        <v/>
      </c>
      <c r="G42" s="21">
        <f>IFERROR(G20/F20-1,"")</f>
        <v/>
      </c>
      <c r="H42" s="21">
        <f>IFERROR(H20/G20-1,"")</f>
        <v/>
      </c>
      <c r="I42" s="46">
        <f>IFERROR(I20/H20-1,"")</f>
        <v/>
      </c>
      <c r="J42" s="32">
        <f>IFERROR(J20/I20-1,"")</f>
        <v/>
      </c>
      <c r="K42" s="32">
        <f>IFERROR(K20/J20-1,"")</f>
        <v/>
      </c>
      <c r="L42" s="32">
        <f>IFERROR(L20/K20-1,"")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변수!D43</f>
        <v/>
      </c>
    </row>
    <row r="2">
      <c r="B2" s="1" t="inlineStr">
        <is>
          <t>기준일</t>
        </is>
      </c>
      <c r="C2">
        <f>변수!D44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IFERROR(E7*변수!D49+F7*(1-변수!D49),"")</f>
        <v/>
      </c>
    </row>
    <row r="15">
      <c r="C15" t="inlineStr">
        <is>
          <t>적정가치 @PER_lo</t>
        </is>
      </c>
      <c r="D15" s="27">
        <f>변수!D46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변수!D47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변수!D48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변수!D45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663.5</v>
      </c>
    </row>
    <row r="30">
      <c r="C30" s="2" t="inlineStr">
        <is>
          <t>bps_latest</t>
        </is>
      </c>
      <c r="D30" t="n">
        <v>13415.9</v>
      </c>
    </row>
    <row r="31">
      <c r="C31" s="2" t="inlineStr">
        <is>
          <t>per_now</t>
        </is>
      </c>
      <c r="D31" t="n">
        <v>16.71</v>
      </c>
    </row>
    <row r="32">
      <c r="C32" s="2" t="inlineStr">
        <is>
          <t>pbr_now</t>
        </is>
      </c>
      <c r="D32" t="n">
        <v>0.83</v>
      </c>
    </row>
    <row r="33">
      <c r="C33" s="2" t="inlineStr">
        <is>
          <t>roe_fwd</t>
        </is>
      </c>
      <c r="D33" t="n">
        <v>0.0495</v>
      </c>
    </row>
    <row r="34">
      <c r="C34" s="2" t="inlineStr">
        <is>
          <t>fair_pbr</t>
        </is>
      </c>
      <c r="D34" t="n">
        <v>0.55</v>
      </c>
    </row>
    <row r="35">
      <c r="C35" s="2" t="inlineStr">
        <is>
          <t>fair_value_pbr</t>
        </is>
      </c>
      <c r="D35" t="n">
        <v>7400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변수!D56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2026-10-14T00:00:00Z</dcterms:created>
  <dcterms:modified xsi:type="dcterms:W3CDTF">2026-10-14T00:00:00Z</dcterms:modified>
</cp:coreProperties>
</file>