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모델값 역산(implied): v / 매출액
매출액 × 판관비율 4.11%(최근 4분기 중위)</t>
      </text>
    </comment>
    <comment ref="AD22" authorId="0" shapeId="0">
      <text>
        <t>모델값 역산(implied): v / 매출액
매출액 × 판관비율 4.11%(최근 4분기 중위)</t>
      </text>
    </comment>
    <comment ref="AF22" authorId="0" shapeId="0">
      <text>
        <t>모델값 역산(implied): v / 매출액
매출액 × 판관비율 4.11%(최근 4분기 중위)</t>
      </text>
    </comment>
    <comment ref="AG22" authorId="0" shapeId="0">
      <text>
        <t>모델값 역산(implied): v / 매출액
매출액 × 판관비율 4.11%(최근 4분기 중위)</t>
      </text>
    </comment>
    <comment ref="AH22" authorId="0" shapeId="0">
      <text>
        <t>모델값 역산(implied): v / 매출액
매출액 × 판관비율 4.11%(최근 4분기 중위)</t>
      </text>
    </comment>
    <comment ref="AI22" authorId="0" shapeId="0">
      <text>
        <t>모델값 역산(implied): v / 매출액
매출액 × 판관비율 4.11%(최근 4분기 중위)</t>
      </text>
    </comment>
    <comment ref="AK22" authorId="0" shapeId="0">
      <text>
        <t>모델값 역산(implied): v / 매출액
매출액 × 판관비율 4.11%(최근 4분기 중위)</t>
      </text>
    </comment>
    <comment ref="AL22" authorId="0" shapeId="0">
      <text>
        <t>모델값 역산(implied): v / 매출액
매출액 × 판관비율 4.11%(최근 4분기 중위)</t>
      </text>
    </comment>
    <comment ref="AM22" authorId="0" shapeId="0">
      <text>
        <t>모델값 역산(implied): v / 매출액
매출액 × 판관비율 4.11%(최근 4분기 중위)</t>
      </text>
    </comment>
    <comment ref="AN22" authorId="0" shapeId="0">
      <text>
        <t>모델값 역산(implied): v / 매출액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v / 전년동기 − 1
최근 8분기 OPM 중위 7.1% 유지(클립 −20~40%)</t>
      </text>
    </comment>
    <comment ref="AD24" authorId="0" shapeId="0">
      <text>
        <t>모델값 역산(implied): v / 전년동기 − 1
최근 8분기 OPM 중위 7.1% 유지(클립 −20~40%)</t>
      </text>
    </comment>
    <comment ref="AF24" authorId="0" shapeId="0">
      <text>
        <t>모델값 역산(implied): v / 전년동기 − 1
최근 8분기 OPM 중위 7.1% 유지(클립 −20~40%)</t>
      </text>
    </comment>
    <comment ref="AG24" authorId="0" shapeId="0">
      <text>
        <t>모델값 역산(implied): v / 전년동기 − 1
최근 8분기 OPM 중위 7.1% 유지(클립 −20~40%)</t>
      </text>
    </comment>
    <comment ref="AH24" authorId="0" shapeId="0">
      <text>
        <t>모델값 역산(implied): v / 전년동기 − 1
최근 8분기 OPM 중위 7.1% 유지(클립 −20~40%)</t>
      </text>
    </comment>
    <comment ref="AI24" authorId="0" shapeId="0">
      <text>
        <t>모델값 역산(implied): v / 전년동기 − 1
최근 8분기 OPM 중위 7.1% 유지(클립 −20~40%)</t>
      </text>
    </comment>
    <comment ref="AK24" authorId="0" shapeId="0">
      <text>
        <t>모델값 역산(implied): v / 전년동기 − 1
최근 8분기 OPM 중위 7.1% 유지(클립 −20~40%)</t>
      </text>
    </comment>
    <comment ref="AL24" authorId="0" shapeId="0">
      <text>
        <t>모델값 역산(implied): v / 전년동기 − 1
최근 8분기 OPM 중위 7.1% 유지(클립 −20~40%)</t>
      </text>
    </comment>
    <comment ref="AM24" authorId="0" shapeId="0">
      <text>
        <t>모델값 역산(implied): v / 전년동기 − 1
최근 8분기 OPM 중위 7.1% 유지(클립 −20~40%)</t>
      </text>
    </comment>
    <comment ref="AN24" authorId="0" shapeId="0">
      <text>
        <t>모델값 역산(implied): v / 전년동기 − 1
최근 8분기 OPM 중위 7.1% 유지(클립 −20~40%)</t>
      </text>
    </comment>
    <comment ref="AC25" authorId="0" shapeId="0">
      <text>
        <t>모델값 역산(implied): 모델 v 그대로
이자손익 = 이자발생자산 713억 × 3.98% − 총차입금 2150억 × 5.10% (연율, CF 실측) ÷ 4; 환·평가손익 0 가정</t>
      </text>
    </comment>
    <comment ref="AD25" authorId="0" shapeId="0">
      <text>
        <t>모델값 역산(implied): 모델 v 그대로
이자손익 = 이자발생자산 858억 × 3.98% − 총차입금 2150억 × 5.10% (연율, CF 실측) ÷ 4; 환·평가손익 0 가정</t>
      </text>
    </comment>
    <comment ref="AF25" authorId="0" shapeId="0">
      <text>
        <t>모델값 역산(implied): 모델 v 그대로
이자손익 = 이자발생자산 938억 × 3.98% − 총차입금 2150억 × 5.10% (연율, CF 실측) ÷ 4; 환·평가손익 0 가정</t>
      </text>
    </comment>
    <comment ref="AG25" authorId="0" shapeId="0">
      <text>
        <t>모델값 역산(implied): 모델 v 그대로
이자손익 = 이자발생자산 1019억 × 3.98% − 총차입금 2150억 × 5.10% (연율, CF 실측) ÷ 4; 환·평가손익 0 가정</t>
      </text>
    </comment>
    <comment ref="AH25" authorId="0" shapeId="0">
      <text>
        <t>모델값 역산(implied): 모델 v 그대로
이자손익 = 이자발생자산 1098억 × 3.98% − 총차입금 2150억 × 5.10% (연율, CF 실측) ÷ 4; 환·평가손익 0 가정</t>
      </text>
    </comment>
    <comment ref="AI25" authorId="0" shapeId="0">
      <text>
        <t>모델값 역산(implied): 모델 v 그대로
이자손익 = 이자발생자산 1241억 × 3.98% − 총차입금 2150억 × 5.10% (연율, CF 실측) ÷ 4; 환·평가손익 0 가정</t>
      </text>
    </comment>
    <comment ref="AK25" authorId="0" shapeId="0">
      <text>
        <t>모델값 역산(implied): 모델 v 그대로
이자손익 = 이자발생자산 1322억 × 3.98% − 총차입금 2150억 × 5.10% (연율, CF 실측) ÷ 4; 환·평가손익 0 가정</t>
      </text>
    </comment>
    <comment ref="AL25" authorId="0" shapeId="0">
      <text>
        <t>모델값 역산(implied): 모델 v 그대로
이자손익 = 이자발생자산 1403억 × 3.98% − 총차입금 2150억 × 5.10% (연율, CF 실측) ÷ 4; 환·평가손익 0 가정</t>
      </text>
    </comment>
    <comment ref="AM25" authorId="0" shapeId="0">
      <text>
        <t>모델값 역산(implied): 모델 v 그대로
이자손익 = 이자발생자산 1483억 × 3.98% − 총차입금 2150억 × 5.10% (연율, CF 실측) ÷ 4; 환·평가손익 0 가정</t>
      </text>
    </comment>
    <comment ref="AN25" authorId="0" shapeId="0">
      <text>
        <t>모델값 역산(implied): 모델 v 그대로
이자손익 = 이자발생자산 1627억 × 3.98% − 총차입금 2150억 × 5.10%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18.3%(최근 12분기 유효세율 18.3% → 5~27% 클립)</t>
      </text>
    </comment>
    <comment ref="AD27" authorId="0" shapeId="0">
      <text>
        <t>모델값 역산(implied): v / 세전이익
max(세전, 0) × 세율 18.3%(최근 12분기 유효세율 18.3% → 5~27% 클립)</t>
      </text>
    </comment>
    <comment ref="AF27" authorId="0" shapeId="0">
      <text>
        <t>모델값 역산(implied): v / 세전이익
max(세전, 0) × 세율 18.3%(최근 12분기 유효세율 18.3% → 5~27% 클립)</t>
      </text>
    </comment>
    <comment ref="AG27" authorId="0" shapeId="0">
      <text>
        <t>모델값 역산(implied): v / 세전이익
max(세전, 0) × 세율 18.3%(최근 12분기 유효세율 18.3% → 5~27% 클립)</t>
      </text>
    </comment>
    <comment ref="AH27" authorId="0" shapeId="0">
      <text>
        <t>모델값 역산(implied): v / 세전이익
max(세전, 0) × 세율 18.3%(최근 12분기 유효세율 18.3% → 5~27% 클립)</t>
      </text>
    </comment>
    <comment ref="AI27" authorId="0" shapeId="0">
      <text>
        <t>모델값 역산(implied): v / 세전이익
max(세전, 0) × 세율 18.3%(최근 12분기 유효세율 18.3% → 5~27% 클립)</t>
      </text>
    </comment>
    <comment ref="AK27" authorId="0" shapeId="0">
      <text>
        <t>모델값 역산(implied): v / 세전이익
max(세전, 0) × 세율 18.3%(최근 12분기 유효세율 18.3% → 5~27% 클립)</t>
      </text>
    </comment>
    <comment ref="AL27" authorId="0" shapeId="0">
      <text>
        <t>모델값 역산(implied): v / 세전이익
max(세전, 0) × 세율 18.3%(최근 12분기 유효세율 18.3% → 5~27% 클립)</t>
      </text>
    </comment>
    <comment ref="AM27" authorId="0" shapeId="0">
      <text>
        <t>모델값 역산(implied): v / 세전이익
max(세전, 0) × 세율 18.3%(최근 12분기 유효세율 18.3% → 5~27% 클립)</t>
      </text>
    </comment>
    <comment ref="AN27" authorId="0" shapeId="0">
      <text>
        <t>모델값 역산(implied): v / 세전이익
max(세전, 0) × 세율 18.3%(최근 12분기 유효세율 18.3%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유지(클립 −20~40%)
[yoy]</t>
      </text>
    </comment>
    <comment ref="AD10" authorId="0" shapeId="0">
      <text>
        <t>추정: 최근 8분기 OPM 중위 7.1% 유지(클립 −20~40%)
[yoy]</t>
      </text>
    </comment>
    <comment ref="AF10" authorId="0" shapeId="0">
      <text>
        <t>추정: 최근 8분기 OPM 중위 7.1% 유지(클립 −20~40%)
[yoy]</t>
      </text>
    </comment>
    <comment ref="AG10" authorId="0" shapeId="0">
      <text>
        <t>추정: 최근 8분기 OPM 중위 7.1% 유지(클립 −20~40%)
[yoy]</t>
      </text>
    </comment>
    <comment ref="AH10" authorId="0" shapeId="0">
      <text>
        <t>추정: 최근 8분기 OPM 중위 7.1% 유지(클립 −20~40%)
[yoy]</t>
      </text>
    </comment>
    <comment ref="AI10" authorId="0" shapeId="0">
      <text>
        <t>추정: 최근 8분기 OPM 중위 7.1% 유지(클립 −20~40%)
[yoy]</t>
      </text>
    </comment>
    <comment ref="AK10" authorId="0" shapeId="0">
      <text>
        <t>추정: 최근 8분기 OPM 중위 7.1% 유지(클립 −20~40%)
[yoy]</t>
      </text>
    </comment>
    <comment ref="AL10" authorId="0" shapeId="0">
      <text>
        <t>추정: 최근 8분기 OPM 중위 7.1% 유지(클립 −20~40%)
[yoy]</t>
      </text>
    </comment>
    <comment ref="AM10" authorId="0" shapeId="0">
      <text>
        <t>추정: 최근 8분기 OPM 중위 7.1% 유지(클립 −20~40%)
[yoy]</t>
      </text>
    </comment>
    <comment ref="AN10" authorId="0" shapeId="0">
      <text>
        <t>추정: 최근 8분기 OPM 중위 7.1% 유지(클립 −20~40%)
[yoy]</t>
      </text>
    </comment>
    <comment ref="AC11" authorId="0" shapeId="0">
      <text>
        <t>추정: 이자손익 = 이자발생자산 713억 × 3.98% − 총차입금 2150억 × 5.10% (연율, CF 실측) ÷ 4; 환·평가손익 0 가정
[abs]</t>
      </text>
    </comment>
    <comment ref="AD11" authorId="0" shapeId="0">
      <text>
        <t>추정: 이자손익 = 이자발생자산 858억 × 3.98% − 총차입금 2150억 × 5.10% (연율, CF 실측) ÷ 4; 환·평가손익 0 가정
[abs]</t>
      </text>
    </comment>
    <comment ref="AF11" authorId="0" shapeId="0">
      <text>
        <t>추정: 이자손익 = 이자발생자산 938억 × 3.98% − 총차입금 2150억 × 5.10% (연율, CF 실측) ÷ 4; 환·평가손익 0 가정
[abs]</t>
      </text>
    </comment>
    <comment ref="AG11" authorId="0" shapeId="0">
      <text>
        <t>추정: 이자손익 = 이자발생자산 1019억 × 3.98% − 총차입금 2150억 × 5.10% (연율, CF 실측) ÷ 4; 환·평가손익 0 가정
[abs]</t>
      </text>
    </comment>
    <comment ref="AH11" authorId="0" shapeId="0">
      <text>
        <t>추정: 이자손익 = 이자발생자산 1098억 × 3.98% − 총차입금 2150억 × 5.10% (연율, CF 실측) ÷ 4; 환·평가손익 0 가정
[abs]</t>
      </text>
    </comment>
    <comment ref="AI11" authorId="0" shapeId="0">
      <text>
        <t>추정: 이자손익 = 이자발생자산 1241억 × 3.98% − 총차입금 2150억 × 5.10% (연율, CF 실측) ÷ 4; 환·평가손익 0 가정
[abs]</t>
      </text>
    </comment>
    <comment ref="AK11" authorId="0" shapeId="0">
      <text>
        <t>추정: 이자손익 = 이자발생자산 1322억 × 3.98% − 총차입금 2150억 × 5.10% (연율, CF 실측) ÷ 4; 환·평가손익 0 가정
[abs]</t>
      </text>
    </comment>
    <comment ref="AL11" authorId="0" shapeId="0">
      <text>
        <t>추정: 이자손익 = 이자발생자산 1403억 × 3.98% − 총차입금 2150억 × 5.10% (연율, CF 실측) ÷ 4; 환·평가손익 0 가정
[abs]</t>
      </text>
    </comment>
    <comment ref="AM11" authorId="0" shapeId="0">
      <text>
        <t>추정: 이자손익 = 이자발생자산 1483억 × 3.98% − 총차입금 2150억 × 5.10% (연율, CF 실측) ÷ 4; 환·평가손익 0 가정
[abs]</t>
      </text>
    </comment>
    <comment ref="AN11" authorId="0" shapeId="0">
      <text>
        <t>추정: 이자손익 = 이자발생자산 1627억 × 3.98% − 총차입금 2150억 × 5.10%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18.3%(최근 12분기 유효세율 18.3% → 5~27% 클립)
[ratio]</t>
      </text>
    </comment>
    <comment ref="AD14" authorId="0" shapeId="0">
      <text>
        <t>추정: max(세전, 0) × 세율 18.3%(최근 12분기 유효세율 18.3% → 5~27% 클립)
[ratio]</t>
      </text>
    </comment>
    <comment ref="AF14" authorId="0" shapeId="0">
      <text>
        <t>추정: max(세전, 0) × 세율 18.3%(최근 12분기 유효세율 18.3% → 5~27% 클립)
[ratio]</t>
      </text>
    </comment>
    <comment ref="AG14" authorId="0" shapeId="0">
      <text>
        <t>추정: max(세전, 0) × 세율 18.3%(최근 12분기 유효세율 18.3% → 5~27% 클립)
[ratio]</t>
      </text>
    </comment>
    <comment ref="AH14" authorId="0" shapeId="0">
      <text>
        <t>추정: max(세전, 0) × 세율 18.3%(최근 12분기 유효세율 18.3% → 5~27% 클립)
[ratio]</t>
      </text>
    </comment>
    <comment ref="AI14" authorId="0" shapeId="0">
      <text>
        <t>추정: max(세전, 0) × 세율 18.3%(최근 12분기 유효세율 18.3% → 5~27% 클립)
[ratio]</t>
      </text>
    </comment>
    <comment ref="AK14" authorId="0" shapeId="0">
      <text>
        <t>추정: max(세전, 0) × 세율 18.3%(최근 12분기 유효세율 18.3% → 5~27% 클립)
[ratio]</t>
      </text>
    </comment>
    <comment ref="AL14" authorId="0" shapeId="0">
      <text>
        <t>추정: max(세전, 0) × 세율 18.3%(최근 12분기 유효세율 18.3% → 5~27% 클립)
[ratio]</t>
      </text>
    </comment>
    <comment ref="AM14" authorId="0" shapeId="0">
      <text>
        <t>추정: max(세전, 0) × 세율 18.3%(최근 12분기 유효세율 18.3% → 5~27% 클립)
[ratio]</t>
      </text>
    </comment>
    <comment ref="AN14" authorId="0" shapeId="0">
      <text>
        <t>추정: max(세전, 0) × 세율 18.3%(최근 12분기 유효세율 18.3%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assets/models/100090.json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-0.054852</v>
      </c>
      <c r="AD21" s="24" t="n">
        <v>-0.054851</v>
      </c>
      <c r="AE21" s="25" t="n"/>
      <c r="AF21" s="24" t="n">
        <v>-0.054851</v>
      </c>
      <c r="AG21" s="24" t="n">
        <v>-0.054852</v>
      </c>
      <c r="AH21" s="24" t="n">
        <v>-0.027426</v>
      </c>
      <c r="AI21" s="24" t="n">
        <v>-0.027428</v>
      </c>
      <c r="AJ21" s="25" t="n"/>
      <c r="AK21" s="24" t="n">
        <v>-0.027424</v>
      </c>
      <c r="AL21" s="24" t="n">
        <v>-0.027425</v>
      </c>
      <c r="AM21" s="24" t="n">
        <v>-0.013712</v>
      </c>
      <c r="AN21" s="24" t="n">
        <v>-0.013711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0.041072</v>
      </c>
      <c r="AD22" s="24" t="n">
        <v>0.041073</v>
      </c>
      <c r="AE22" s="25">
        <f>IFERROR(subQ!AE8/subQ!AE5,"")</f>
        <v/>
      </c>
      <c r="AF22" s="24" t="n">
        <v>0.041072</v>
      </c>
      <c r="AG22" s="24" t="n">
        <v>0.041072</v>
      </c>
      <c r="AH22" s="24" t="n">
        <v>0.041072</v>
      </c>
      <c r="AI22" s="24" t="n">
        <v>0.041071</v>
      </c>
      <c r="AJ22" s="25">
        <f>IFERROR(subQ!AJ8/subQ!AJ5,"")</f>
        <v/>
      </c>
      <c r="AK22" s="24" t="n">
        <v>0.041072</v>
      </c>
      <c r="AL22" s="24" t="n">
        <v>0.041075</v>
      </c>
      <c r="AM22" s="24" t="n">
        <v>0.041071</v>
      </c>
      <c r="AN22" s="24" t="n">
        <v>0.041073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0.07098400000000001</v>
      </c>
      <c r="AD23" s="24" t="n">
        <v>0.070988</v>
      </c>
      <c r="AE23" s="25">
        <f>IFERROR(subQ!AE9/subQ!AE5,"")</f>
        <v/>
      </c>
      <c r="AF23" s="24" t="n">
        <v>0.07098500000000001</v>
      </c>
      <c r="AG23" s="24" t="n">
        <v>0.07098500000000001</v>
      </c>
      <c r="AH23" s="24" t="n">
        <v>0.07098599999999999</v>
      </c>
      <c r="AI23" s="24" t="n">
        <v>0.070982</v>
      </c>
      <c r="AJ23" s="25">
        <f>IFERROR(subQ!AJ9/subQ!AJ5,"")</f>
        <v/>
      </c>
      <c r="AK23" s="24" t="n">
        <v>0.070981</v>
      </c>
      <c r="AL23" s="24" t="n">
        <v>0.070983</v>
      </c>
      <c r="AM23" s="24" t="n">
        <v>0.070983</v>
      </c>
      <c r="AN23" s="24" t="n">
        <v>0.070982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0.08067000000000001</v>
      </c>
      <c r="AD24" s="24" t="n">
        <v>-0.09323099999999999</v>
      </c>
      <c r="AE24" s="25" t="n"/>
      <c r="AF24" s="24" t="n">
        <v>-0.264249</v>
      </c>
      <c r="AG24" s="24" t="n">
        <v>-0.374449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-20.34</v>
      </c>
      <c r="AD25" s="29" t="n">
        <v>-18.91</v>
      </c>
      <c r="AE25" s="30">
        <f>subQ!AE11</f>
        <v/>
      </c>
      <c r="AF25" s="29" t="n">
        <v>-18.11</v>
      </c>
      <c r="AG25" s="29" t="n">
        <v>-17.3</v>
      </c>
      <c r="AH25" s="29" t="n">
        <v>-16.52</v>
      </c>
      <c r="AI25" s="29" t="n">
        <v>-15.09</v>
      </c>
      <c r="AJ25" s="30">
        <f>subQ!AJ11</f>
        <v/>
      </c>
      <c r="AK25" s="29" t="n">
        <v>-14.29</v>
      </c>
      <c r="AL25" s="29" t="n">
        <v>-13.48</v>
      </c>
      <c r="AM25" s="29" t="n">
        <v>-12.69</v>
      </c>
      <c r="AN25" s="29" t="n">
        <v>-11.26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0.182885</v>
      </c>
      <c r="AD27" s="24" t="n">
        <v>0.182883</v>
      </c>
      <c r="AE27" s="25">
        <f>IFERROR(subQ!AE14/subQ!AE13,"")</f>
        <v/>
      </c>
      <c r="AF27" s="24" t="n">
        <v>0.182901</v>
      </c>
      <c r="AG27" s="24" t="n">
        <v>0.182839</v>
      </c>
      <c r="AH27" s="24" t="n">
        <v>0.182869</v>
      </c>
      <c r="AI27" s="24" t="n">
        <v>0.182886</v>
      </c>
      <c r="AJ27" s="25">
        <f>IFERROR(subQ!AJ14/subQ!AJ13,"")</f>
        <v/>
      </c>
      <c r="AK27" s="24" t="n">
        <v>0.182904</v>
      </c>
      <c r="AL27" s="24" t="n">
        <v>0.182897</v>
      </c>
      <c r="AM27" s="24" t="n">
        <v>0.182862</v>
      </c>
      <c r="AN27" s="24" t="n">
        <v>0.182916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0.0033</v>
      </c>
      <c r="AD30" s="29" t="n">
        <v>0</v>
      </c>
      <c r="AE30" s="30" t="n"/>
      <c r="AF30" s="29" t="n">
        <v>0</v>
      </c>
      <c r="AG30" s="29" t="n">
        <v>0</v>
      </c>
      <c r="AH30" s="29" t="n">
        <v>0</v>
      </c>
      <c r="AI30" s="29" t="n">
        <v>0</v>
      </c>
      <c r="AJ30" s="30" t="n"/>
      <c r="AK30" s="29" t="n">
        <v>0</v>
      </c>
      <c r="AL30" s="29" t="n">
        <v>-0.01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0.0033</v>
      </c>
      <c r="AD31" s="29" t="n">
        <v>0</v>
      </c>
      <c r="AE31" s="30" t="n"/>
      <c r="AF31" s="29" t="n">
        <v>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-0.01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-0.084665</v>
      </c>
      <c r="AD33" s="24" t="n">
        <v>-0.051476</v>
      </c>
      <c r="AE33" s="25" t="n"/>
      <c r="AF33" s="24" t="n">
        <v>-0.054784</v>
      </c>
      <c r="AG33" s="24" t="n">
        <v>-0.056799</v>
      </c>
      <c r="AH33" s="24" t="n">
        <v>-0.1084</v>
      </c>
      <c r="AI33" s="24" t="n">
        <v>-0.068699</v>
      </c>
      <c r="AJ33" s="25" t="n"/>
      <c r="AK33" s="24" t="n">
        <v>-0.074462</v>
      </c>
      <c r="AL33" s="24" t="n">
        <v>-0.078902</v>
      </c>
      <c r="AM33" s="24" t="n">
        <v>-0.154195</v>
      </c>
      <c r="AN33" s="24" t="n">
        <v>-0.104675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0.20196</v>
      </c>
      <c r="AD34" s="24" t="n">
        <v>0.09350899999999999</v>
      </c>
      <c r="AE34" s="25" t="n"/>
      <c r="AF34" s="24" t="n">
        <v>0.086324</v>
      </c>
      <c r="AG34" s="24" t="n">
        <v>0.077874</v>
      </c>
      <c r="AH34" s="24" t="n">
        <v>0.130051</v>
      </c>
      <c r="AI34" s="24" t="n">
        <v>0.065029</v>
      </c>
      <c r="AJ34" s="25" t="n"/>
      <c r="AK34" s="24" t="n">
        <v>0.061634</v>
      </c>
      <c r="AL34" s="24" t="n">
        <v>0.056936</v>
      </c>
      <c r="AM34" s="24" t="n">
        <v>0.096969</v>
      </c>
      <c r="AN34" s="24" t="n">
        <v>0.050755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-0.744833</v>
      </c>
      <c r="AD40" s="24" t="n">
        <v>-0.528597</v>
      </c>
      <c r="AE40" s="25" t="n"/>
      <c r="AF40" s="24" t="n">
        <v>-0.431763</v>
      </c>
      <c r="AG40" s="24" t="n">
        <v>-0.286421</v>
      </c>
      <c r="AH40" s="24" t="n">
        <v>0.349104</v>
      </c>
      <c r="AI40" s="24" t="n">
        <v>0.200511</v>
      </c>
      <c r="AJ40" s="25" t="n"/>
      <c r="AK40" s="24" t="n">
        <v>0.153563</v>
      </c>
      <c r="AL40" s="24" t="n">
        <v>-0.0005330000000000001</v>
      </c>
      <c r="AM40" s="24" t="n">
        <v>-0.006376</v>
      </c>
      <c r="AN40" s="24" t="n">
        <v>-0.010106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-0.519774</v>
      </c>
      <c r="AD41" s="24" t="n">
        <v>-0.461538</v>
      </c>
      <c r="AE41" s="25" t="n"/>
      <c r="AF41" s="24" t="n">
        <v>-0.450331</v>
      </c>
      <c r="AG41" s="24" t="n">
        <v>-0.460526</v>
      </c>
      <c r="AH41" s="24" t="n">
        <v>-0.047059</v>
      </c>
      <c r="AI41" s="24" t="n">
        <v>-0.047619</v>
      </c>
      <c r="AJ41" s="25" t="n"/>
      <c r="AK41" s="24" t="n">
        <v>-0.036145</v>
      </c>
      <c r="AL41" s="24" t="n">
        <v>-0.036585</v>
      </c>
      <c r="AM41" s="24" t="n">
        <v>-0.037037</v>
      </c>
      <c r="AN41" s="24" t="n">
        <v>-0.0375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0.07098400000000001</v>
      </c>
      <c r="AD43" s="24" t="n">
        <v>0.070988</v>
      </c>
      <c r="AE43" s="25">
        <f>IFERROR(subQ!AE34/subQ!AE33,"")</f>
        <v/>
      </c>
      <c r="AF43" s="24" t="n">
        <v>0.07098500000000001</v>
      </c>
      <c r="AG43" s="24" t="n">
        <v>0.07098500000000001</v>
      </c>
      <c r="AH43" s="24" t="n">
        <v>0.07098599999999999</v>
      </c>
      <c r="AI43" s="24" t="n">
        <v>0.070982</v>
      </c>
      <c r="AJ43" s="25">
        <f>IFERROR(subQ!AJ34/subQ!AJ33,"")</f>
        <v/>
      </c>
      <c r="AK43" s="24" t="n">
        <v>0.070981</v>
      </c>
      <c r="AL43" s="24" t="n">
        <v>0.070983</v>
      </c>
      <c r="AM43" s="24" t="n">
        <v>0.070983</v>
      </c>
      <c r="AN43" s="24" t="n">
        <v>0.070982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11550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31.7배가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0.1829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0.0411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4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4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4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4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4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4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4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4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4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4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4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4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4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4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4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4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4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4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4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4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4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4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4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4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4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4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4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4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4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4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4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4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4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4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4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4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4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4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4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4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4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4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4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4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4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4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4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4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4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4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4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4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4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4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4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4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4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4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4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4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4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4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4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4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4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4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4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4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4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4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4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4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4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4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4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4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4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4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4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4" t="n">
        <v>66086.78999999999</v>
      </c>
      <c r="L21" s="18" t="n">
        <v>71284.35000000001</v>
      </c>
      <c r="M21" s="18" t="n">
        <v>122326.45</v>
      </c>
      <c r="N21" s="18" t="n">
        <v>140492.76</v>
      </c>
      <c r="O21" s="18" t="n">
        <v>124474.12</v>
      </c>
      <c r="P21" s="34" t="n">
        <v>124474.12</v>
      </c>
      <c r="Q21" s="18" t="n">
        <v>137402.93</v>
      </c>
      <c r="R21" s="18" t="n">
        <v>124939.6</v>
      </c>
      <c r="T21" s="18" t="n">
        <v>107670.4</v>
      </c>
      <c r="U21" s="34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4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4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4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4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4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4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4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4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4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4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4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4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4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4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4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4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4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4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4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4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4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4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4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4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4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4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4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4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4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4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4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4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4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4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4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4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4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111291.9</v>
      </c>
      <c r="K29" s="34" t="n">
        <v>111291.9</v>
      </c>
      <c r="L29" s="18" t="n">
        <v>145537.48</v>
      </c>
      <c r="M29" s="18" t="n">
        <v>148435.53</v>
      </c>
      <c r="N29" s="18" t="n">
        <v>33862.34</v>
      </c>
      <c r="O29" s="18" t="n">
        <v>34721.46</v>
      </c>
      <c r="P29" s="34" t="n">
        <v>34721.46</v>
      </c>
      <c r="Q29" s="18" t="n">
        <v>35592.73</v>
      </c>
      <c r="R29" s="18" t="n">
        <v>36485.86</v>
      </c>
      <c r="S29" s="18" t="n">
        <v>37411.55</v>
      </c>
      <c r="T29" s="18" t="n">
        <v>38360.72</v>
      </c>
      <c r="U29" s="34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4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4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4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4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4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4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4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4" t="n">
        <v>32866.63</v>
      </c>
      <c r="Q31" s="18" t="n">
        <v>60459.03</v>
      </c>
      <c r="R31" s="18" t="n">
        <v>39151.43</v>
      </c>
      <c r="T31" s="18" t="n">
        <v>65304.23</v>
      </c>
      <c r="U31" s="34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4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2338.48</v>
      </c>
      <c r="F32" s="34" t="n">
        <v>2338.48</v>
      </c>
      <c r="G32" s="18" t="n">
        <v>2539.03</v>
      </c>
      <c r="H32" s="18" t="n">
        <v>1906.44</v>
      </c>
      <c r="I32" s="18" t="n">
        <v>1369.74</v>
      </c>
      <c r="K32" s="9" t="n"/>
      <c r="L32" s="18" t="n">
        <v>495.56</v>
      </c>
      <c r="M32" s="18" t="n">
        <v>17.79</v>
      </c>
      <c r="N32" s="18" t="n">
        <v>392.93</v>
      </c>
      <c r="O32" s="18" t="n">
        <v>2091.43</v>
      </c>
      <c r="P32" s="34" t="n">
        <v>2091.43</v>
      </c>
      <c r="Q32" s="18" t="n">
        <v>2944.49</v>
      </c>
      <c r="R32" s="18" t="n">
        <v>3022.43</v>
      </c>
      <c r="S32" s="18" t="n">
        <v>3802.12</v>
      </c>
      <c r="T32" s="18" t="n">
        <v>5171.38</v>
      </c>
      <c r="U32" s="34" t="n">
        <v>5171.38</v>
      </c>
      <c r="V32" s="18" t="n">
        <v>6856.71</v>
      </c>
      <c r="W32" s="18" t="n">
        <v>7038.85</v>
      </c>
      <c r="X32" s="18" t="n">
        <v>8084.6</v>
      </c>
      <c r="Y32" s="18" t="n">
        <v>4433.73</v>
      </c>
      <c r="Z32" s="34" t="n">
        <v>4433.73</v>
      </c>
      <c r="AA32" s="18" t="n">
        <v>5932.68</v>
      </c>
      <c r="AB32" s="19" t="n">
        <v>5862.61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42.91</v>
      </c>
      <c r="F33" s="34" t="n">
        <v>42.91</v>
      </c>
      <c r="G33" s="18" t="n">
        <v>0.05</v>
      </c>
      <c r="H33" s="18" t="n">
        <v>4.48</v>
      </c>
      <c r="I33" s="18" t="n">
        <v>0.17</v>
      </c>
      <c r="J33" s="18" t="n">
        <v>21.58</v>
      </c>
      <c r="K33" s="34" t="n">
        <v>21.58</v>
      </c>
      <c r="L33" s="18" t="n">
        <v>0.44</v>
      </c>
      <c r="M33" s="18" t="n">
        <v>0.46</v>
      </c>
      <c r="N33" s="18" t="n">
        <v>24.22</v>
      </c>
      <c r="O33" s="18" t="n">
        <v>1725.11</v>
      </c>
      <c r="P33" s="34" t="n">
        <v>1725.11</v>
      </c>
      <c r="Q33" s="18" t="n">
        <v>1659.92</v>
      </c>
      <c r="R33" s="18" t="n">
        <v>1.36</v>
      </c>
      <c r="S33" s="18" t="n">
        <v>1.57</v>
      </c>
      <c r="T33" s="18" t="n">
        <v>62.47</v>
      </c>
      <c r="U33" s="34" t="n">
        <v>62.47</v>
      </c>
      <c r="V33" s="18" t="n">
        <v>0.66</v>
      </c>
      <c r="W33" s="18" t="n">
        <v>0.67</v>
      </c>
      <c r="X33" s="18" t="n">
        <v>0.71</v>
      </c>
      <c r="Y33" s="18" t="n">
        <v>62.83</v>
      </c>
      <c r="Z33" s="34" t="n">
        <v>62.83</v>
      </c>
      <c r="AA33" s="18" t="n">
        <v>0.79</v>
      </c>
      <c r="AB33" s="19" t="n">
        <v>1.08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11396.83</v>
      </c>
      <c r="F34" s="34" t="n">
        <v>11396.83</v>
      </c>
      <c r="G34" s="18" t="n">
        <v>9754.860000000001</v>
      </c>
      <c r="H34" s="18" t="n">
        <v>10487.2</v>
      </c>
      <c r="I34" s="18" t="n">
        <v>10239.27</v>
      </c>
      <c r="J34" s="18" t="n">
        <v>9707.219999999999</v>
      </c>
      <c r="K34" s="34" t="n">
        <v>9707.219999999999</v>
      </c>
      <c r="L34" s="18" t="n">
        <v>10059.59</v>
      </c>
      <c r="M34" s="18" t="n">
        <v>9869.9</v>
      </c>
      <c r="N34" s="18" t="n">
        <v>8638.1</v>
      </c>
      <c r="O34" s="18" t="n">
        <v>9187.450000000001</v>
      </c>
      <c r="P34" s="34" t="n">
        <v>9187.450000000001</v>
      </c>
      <c r="Q34" s="18" t="n">
        <v>7162.15</v>
      </c>
      <c r="R34" s="18" t="n">
        <v>6254.38</v>
      </c>
      <c r="S34" s="18" t="n">
        <v>5019.11</v>
      </c>
      <c r="T34" s="18" t="n">
        <v>4175.97</v>
      </c>
      <c r="U34" s="34" t="n">
        <v>4175.97</v>
      </c>
      <c r="V34" s="18" t="n">
        <v>4123.92</v>
      </c>
      <c r="W34" s="18" t="n">
        <v>4075.48</v>
      </c>
      <c r="X34" s="18" t="n">
        <v>3035.64</v>
      </c>
      <c r="Y34" s="18" t="n">
        <v>2138.42</v>
      </c>
      <c r="Z34" s="34" t="n">
        <v>2138.42</v>
      </c>
      <c r="AA34" s="18" t="n">
        <v>2823.76</v>
      </c>
      <c r="AB34" s="19" t="n">
        <v>2526.79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11396.83</v>
      </c>
      <c r="F35" s="34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4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4" t="n">
        <v>9187.450000000001</v>
      </c>
      <c r="Q35" s="18" t="n">
        <v>7310.52</v>
      </c>
      <c r="R35" s="18" t="n">
        <v>11364.64</v>
      </c>
      <c r="S35" s="18" t="n">
        <v>10309.43</v>
      </c>
      <c r="T35" s="18" t="n">
        <v>19085.35</v>
      </c>
      <c r="U35" s="34" t="n">
        <v>19085.35</v>
      </c>
      <c r="V35" s="18" t="n">
        <v>16595.12</v>
      </c>
      <c r="W35" s="18" t="n">
        <v>5868.15</v>
      </c>
      <c r="X35" s="18" t="n">
        <v>4856.61</v>
      </c>
      <c r="Y35" s="18" t="n">
        <v>2141.24</v>
      </c>
      <c r="Z35" s="34" t="n">
        <v>2141.24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559312.17</v>
      </c>
      <c r="F36" s="34" t="n">
        <v>559312.17</v>
      </c>
      <c r="G36" s="18" t="n">
        <v>587682.45</v>
      </c>
      <c r="H36" s="18" t="n">
        <v>604380.4</v>
      </c>
      <c r="I36" s="18" t="n">
        <v>712166.52</v>
      </c>
      <c r="J36" s="18" t="n">
        <v>694046.4300000001</v>
      </c>
      <c r="K36" s="34" t="n">
        <v>694046.4300000001</v>
      </c>
      <c r="L36" s="18" t="n">
        <v>791576.47</v>
      </c>
      <c r="M36" s="18" t="n">
        <v>833633.15</v>
      </c>
      <c r="N36" s="18" t="n">
        <v>751131.92</v>
      </c>
      <c r="O36" s="18" t="n">
        <v>733064.71</v>
      </c>
      <c r="P36" s="34" t="n">
        <v>733064.71</v>
      </c>
      <c r="Q36" s="18" t="n">
        <v>803045.85</v>
      </c>
      <c r="R36" s="18" t="n">
        <v>741723.87</v>
      </c>
      <c r="S36" s="18" t="n">
        <v>661227.9399999999</v>
      </c>
      <c r="T36" s="18" t="n">
        <v>708435.87</v>
      </c>
      <c r="U36" s="34" t="n">
        <v>708435.87</v>
      </c>
      <c r="V36" s="18" t="n">
        <v>674343.9399999999</v>
      </c>
      <c r="W36" s="18" t="n">
        <v>576043.01</v>
      </c>
      <c r="X36" s="18" t="n">
        <v>381618.22</v>
      </c>
      <c r="Y36" s="18" t="n">
        <v>333697.24</v>
      </c>
      <c r="Z36" s="34" t="n">
        <v>333697.24</v>
      </c>
      <c r="AA36" s="18" t="n">
        <v>331643.78</v>
      </c>
      <c r="AB36" s="19" t="n">
        <v>371575.99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140418.38</v>
      </c>
      <c r="F37" s="34" t="n">
        <v>140418.38</v>
      </c>
      <c r="G37" s="18" t="n">
        <v>159131.6</v>
      </c>
      <c r="H37" s="18" t="n">
        <v>168289.22</v>
      </c>
      <c r="I37" s="18" t="n">
        <v>505367.75</v>
      </c>
      <c r="J37" s="18" t="n">
        <v>520772.31</v>
      </c>
      <c r="K37" s="34" t="n">
        <v>520772.31</v>
      </c>
      <c r="L37" s="18" t="n">
        <v>541233.87</v>
      </c>
      <c r="M37" s="18" t="n">
        <v>562588.72</v>
      </c>
      <c r="N37" s="18" t="n">
        <v>686888.55</v>
      </c>
      <c r="O37" s="18" t="n">
        <v>694620.51</v>
      </c>
      <c r="P37" s="34" t="n">
        <v>694620.51</v>
      </c>
      <c r="Q37" s="18" t="n">
        <v>698770.85</v>
      </c>
      <c r="R37" s="18" t="n">
        <v>701600.13</v>
      </c>
      <c r="S37" s="18" t="n">
        <v>710741.92</v>
      </c>
      <c r="T37" s="18" t="n">
        <v>708802.7</v>
      </c>
      <c r="U37" s="34" t="n">
        <v>708802.7</v>
      </c>
      <c r="V37" s="18" t="n">
        <v>713230.83</v>
      </c>
      <c r="W37" s="18" t="n">
        <v>735593.5600000001</v>
      </c>
      <c r="X37" s="18" t="n">
        <v>777114.22</v>
      </c>
      <c r="Y37" s="18" t="n">
        <v>814544.41</v>
      </c>
      <c r="Z37" s="34" t="n">
        <v>814544.41</v>
      </c>
      <c r="AA37" s="18" t="n">
        <v>824411.9300000001</v>
      </c>
      <c r="AB37" s="19" t="n">
        <v>838202.33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18287.18</v>
      </c>
      <c r="F38" s="34" t="n">
        <v>18287.18</v>
      </c>
      <c r="G38" s="18" t="n">
        <v>18538.34</v>
      </c>
      <c r="H38" s="18" t="n">
        <v>18538.34</v>
      </c>
      <c r="I38" s="18" t="n">
        <v>26617.51</v>
      </c>
      <c r="J38" s="18" t="n">
        <v>26617.51</v>
      </c>
      <c r="K38" s="34" t="n">
        <v>26617.51</v>
      </c>
      <c r="L38" s="18" t="n">
        <v>26617.51</v>
      </c>
      <c r="M38" s="18" t="n">
        <v>26617.51</v>
      </c>
      <c r="N38" s="18" t="n">
        <v>29597.78</v>
      </c>
      <c r="O38" s="18" t="n">
        <v>29597.78</v>
      </c>
      <c r="P38" s="34" t="n">
        <v>29597.78</v>
      </c>
      <c r="Q38" s="18" t="n">
        <v>29597.78</v>
      </c>
      <c r="R38" s="18" t="n">
        <v>29597.78</v>
      </c>
      <c r="S38" s="18" t="n">
        <v>29597.78</v>
      </c>
      <c r="T38" s="18" t="n">
        <v>29597.78</v>
      </c>
      <c r="U38" s="34" t="n">
        <v>29597.78</v>
      </c>
      <c r="V38" s="18" t="n">
        <v>29597.78</v>
      </c>
      <c r="W38" s="18" t="n">
        <v>30090.17</v>
      </c>
      <c r="X38" s="18" t="n">
        <v>31239.06</v>
      </c>
      <c r="Y38" s="18" t="n">
        <v>31239.06</v>
      </c>
      <c r="Z38" s="34" t="n">
        <v>31239.06</v>
      </c>
      <c r="AA38" s="18" t="n">
        <v>31239.06</v>
      </c>
      <c r="AB38" s="19" t="n">
        <v>31239.06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88680.25</v>
      </c>
      <c r="F39" s="34" t="n">
        <v>88680.25</v>
      </c>
      <c r="G39" s="18" t="n">
        <v>97794.8</v>
      </c>
      <c r="H39" s="18" t="n">
        <v>97794.8</v>
      </c>
      <c r="I39" s="18" t="n">
        <v>822322.1800000001</v>
      </c>
      <c r="J39" s="18" t="n">
        <v>416199.82</v>
      </c>
      <c r="K39" s="34" t="n">
        <v>416199.82</v>
      </c>
      <c r="L39" s="18" t="n">
        <v>416199.82</v>
      </c>
      <c r="M39" s="18" t="n">
        <v>416199.82</v>
      </c>
      <c r="N39" s="18" t="n">
        <v>538209.9</v>
      </c>
      <c r="O39" s="18" t="n">
        <v>538209.9</v>
      </c>
      <c r="P39" s="34" t="n">
        <v>538209.9</v>
      </c>
      <c r="Q39" s="18" t="n">
        <v>538209.9</v>
      </c>
      <c r="R39" s="18" t="n">
        <v>538209.9</v>
      </c>
      <c r="S39" s="18" t="n">
        <v>538209.9</v>
      </c>
      <c r="T39" s="18" t="n">
        <v>538209.9</v>
      </c>
      <c r="U39" s="34" t="n">
        <v>538209.9</v>
      </c>
      <c r="V39" s="18" t="n">
        <v>538209.9</v>
      </c>
      <c r="W39" s="18" t="n">
        <v>554089.9300000001</v>
      </c>
      <c r="X39" s="18" t="n">
        <v>589256.1899999999</v>
      </c>
      <c r="Y39" s="18" t="n">
        <v>590490.2</v>
      </c>
      <c r="Z39" s="34" t="n">
        <v>590490.2</v>
      </c>
      <c r="AA39" s="18" t="n">
        <v>590490.2</v>
      </c>
      <c r="AB39" s="19" t="n">
        <v>592527.9300000001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-5324.1</v>
      </c>
      <c r="F40" s="34" t="n">
        <v>-5324.1</v>
      </c>
      <c r="G40" s="18" t="n">
        <v>-6476.97</v>
      </c>
      <c r="H40" s="18" t="n">
        <v>-6532.66</v>
      </c>
      <c r="I40" s="18" t="n">
        <v>4724.61</v>
      </c>
      <c r="J40" s="18" t="n">
        <v>15781.38</v>
      </c>
      <c r="K40" s="34" t="n">
        <v>15781.38</v>
      </c>
      <c r="L40" s="18" t="n">
        <v>15765.47</v>
      </c>
      <c r="M40" s="18" t="n">
        <v>15770.54</v>
      </c>
      <c r="N40" s="18" t="n">
        <v>9355.559999999999</v>
      </c>
      <c r="O40" s="18" t="n">
        <v>9389.610000000001</v>
      </c>
      <c r="P40" s="34" t="n">
        <v>9389.610000000001</v>
      </c>
      <c r="Q40" s="18" t="n">
        <v>9425.620000000001</v>
      </c>
      <c r="R40" s="18" t="n">
        <v>9461.629999999999</v>
      </c>
      <c r="S40" s="18" t="n">
        <v>9497.65</v>
      </c>
      <c r="T40" s="18" t="n">
        <v>9533.66</v>
      </c>
      <c r="U40" s="34" t="n">
        <v>9533.66</v>
      </c>
      <c r="V40" s="18" t="n">
        <v>9569.68</v>
      </c>
      <c r="W40" s="18" t="n">
        <v>7025.8</v>
      </c>
      <c r="X40" s="18" t="n">
        <v>1036.82</v>
      </c>
      <c r="Y40" s="18" t="n">
        <v>917.23</v>
      </c>
      <c r="Z40" s="34" t="n">
        <v>917.23</v>
      </c>
      <c r="AA40" s="18" t="n">
        <v>926.24</v>
      </c>
      <c r="AB40" s="19" t="n">
        <v>-1111.5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39992.78</v>
      </c>
      <c r="F41" s="34" t="n">
        <v>39992.78</v>
      </c>
      <c r="G41" s="18" t="n">
        <v>39992.78</v>
      </c>
      <c r="H41" s="18" t="n">
        <v>39992.78</v>
      </c>
      <c r="I41" s="18" t="n">
        <v>39992.78</v>
      </c>
      <c r="J41" s="18" t="n">
        <v>39992.78</v>
      </c>
      <c r="K41" s="34" t="n">
        <v>39992.78</v>
      </c>
      <c r="L41" s="18" t="n">
        <v>39992.78</v>
      </c>
      <c r="M41" s="18" t="n">
        <v>39992.78</v>
      </c>
      <c r="N41" s="18" t="n">
        <v>39992.78</v>
      </c>
      <c r="O41" s="18" t="n">
        <v>39992.78</v>
      </c>
      <c r="P41" s="34" t="n">
        <v>39992.78</v>
      </c>
      <c r="Q41" s="18" t="n">
        <v>39992.78</v>
      </c>
      <c r="R41" s="18" t="n">
        <v>39992.78</v>
      </c>
      <c r="S41" s="18" t="n">
        <v>39992.78</v>
      </c>
      <c r="T41" s="18" t="n">
        <v>39996.39</v>
      </c>
      <c r="U41" s="34" t="n">
        <v>39996.39</v>
      </c>
      <c r="V41" s="18" t="n">
        <v>39995.91</v>
      </c>
      <c r="W41" s="18" t="n">
        <v>39989.48</v>
      </c>
      <c r="X41" s="18" t="n">
        <v>39991.15</v>
      </c>
      <c r="Y41" s="18" t="n">
        <v>64101.29</v>
      </c>
      <c r="Z41" s="34" t="n">
        <v>64101.29</v>
      </c>
      <c r="AA41" s="18" t="n">
        <v>64103.95</v>
      </c>
      <c r="AB41" s="19" t="n">
        <v>64105.09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-1217.74</v>
      </c>
      <c r="F42" s="34" t="n">
        <v>-1217.74</v>
      </c>
      <c r="G42" s="18" t="n">
        <v>9282.66</v>
      </c>
      <c r="H42" s="18" t="n">
        <v>18495.96</v>
      </c>
      <c r="I42" s="18" t="n">
        <v>22795.02</v>
      </c>
      <c r="J42" s="18" t="n">
        <v>22180.83</v>
      </c>
      <c r="K42" s="34" t="n">
        <v>22180.83</v>
      </c>
      <c r="L42" s="18" t="n">
        <v>42658.3</v>
      </c>
      <c r="M42" s="18" t="n">
        <v>64008.08</v>
      </c>
      <c r="N42" s="18" t="n">
        <v>69732.53</v>
      </c>
      <c r="O42" s="18" t="n">
        <v>77430.44</v>
      </c>
      <c r="P42" s="34" t="n">
        <v>77430.44</v>
      </c>
      <c r="Q42" s="18" t="n">
        <v>81544.77</v>
      </c>
      <c r="R42" s="18" t="n">
        <v>84338.03999999999</v>
      </c>
      <c r="S42" s="18" t="n">
        <v>93443.81</v>
      </c>
      <c r="T42" s="18" t="n">
        <v>91464.96000000001</v>
      </c>
      <c r="U42" s="34" t="n">
        <v>91464.96000000001</v>
      </c>
      <c r="V42" s="18" t="n">
        <v>95857.56</v>
      </c>
      <c r="W42" s="18" t="n">
        <v>104398.18</v>
      </c>
      <c r="X42" s="18" t="n">
        <v>115590.98</v>
      </c>
      <c r="Y42" s="18" t="n">
        <v>127796.63</v>
      </c>
      <c r="Z42" s="34" t="n">
        <v>127796.63</v>
      </c>
      <c r="AA42" s="18" t="n">
        <v>137652.48</v>
      </c>
      <c r="AB42" s="19" t="n">
        <v>151441.74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39661.64</v>
      </c>
      <c r="F43" s="34" t="n">
        <v>39661.64</v>
      </c>
      <c r="G43" s="18" t="n">
        <v>41231.69</v>
      </c>
      <c r="H43" s="18" t="n">
        <v>45128.9</v>
      </c>
      <c r="I43" s="18" t="n">
        <v>47332.89</v>
      </c>
      <c r="J43" s="18" t="n">
        <v>5185.19</v>
      </c>
      <c r="K43" s="34" t="n">
        <v>5185.19</v>
      </c>
      <c r="L43" s="18" t="n">
        <v>4216.97</v>
      </c>
      <c r="M43" s="18" t="n">
        <v>4355.52</v>
      </c>
      <c r="N43" s="18" t="n">
        <v>4366.44</v>
      </c>
      <c r="O43" s="18" t="n">
        <v>4221.46</v>
      </c>
      <c r="P43" s="34" t="n">
        <v>4221.46</v>
      </c>
      <c r="Q43" s="18" t="n">
        <v>4440.16</v>
      </c>
      <c r="R43" s="18" t="n">
        <v>4655.73</v>
      </c>
      <c r="S43" s="18" t="n">
        <v>4936.04</v>
      </c>
      <c r="T43" s="18" t="n">
        <v>4703</v>
      </c>
      <c r="U43" s="34" t="n">
        <v>4703</v>
      </c>
      <c r="V43" s="18" t="n">
        <v>4596.93</v>
      </c>
      <c r="W43" s="18" t="n">
        <v>4555.95</v>
      </c>
      <c r="X43" s="18" t="n">
        <v>0</v>
      </c>
      <c r="Y43" s="18" t="n">
        <v>0</v>
      </c>
      <c r="Z43" s="34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180080.02</v>
      </c>
      <c r="F44" s="34" t="n">
        <v>180080.02</v>
      </c>
      <c r="G44" s="18" t="n">
        <v>200363.29</v>
      </c>
      <c r="H44" s="18" t="n">
        <v>213418.12</v>
      </c>
      <c r="I44" s="18" t="n">
        <v>552700.63</v>
      </c>
      <c r="J44" s="18" t="n">
        <v>525957.5</v>
      </c>
      <c r="K44" s="34" t="n">
        <v>525957.5</v>
      </c>
      <c r="L44" s="18" t="n">
        <v>545450.83</v>
      </c>
      <c r="M44" s="18" t="n">
        <v>566944.24</v>
      </c>
      <c r="N44" s="18" t="n">
        <v>691254.99</v>
      </c>
      <c r="O44" s="18" t="n">
        <v>698841.96</v>
      </c>
      <c r="P44" s="34" t="n">
        <v>698841.96</v>
      </c>
      <c r="Q44" s="18" t="n">
        <v>703211.01</v>
      </c>
      <c r="R44" s="18" t="n">
        <v>706255.86</v>
      </c>
      <c r="S44" s="18" t="n">
        <v>715677.96</v>
      </c>
      <c r="T44" s="18" t="n">
        <v>713505.7</v>
      </c>
      <c r="U44" s="34" t="n">
        <v>713505.7</v>
      </c>
      <c r="V44" s="18" t="n">
        <v>717827.76</v>
      </c>
      <c r="W44" s="18" t="n">
        <v>740149.52</v>
      </c>
      <c r="X44" s="18" t="n">
        <v>777114.22</v>
      </c>
      <c r="Y44" s="18" t="n">
        <v>814544.41</v>
      </c>
      <c r="Z44" s="34" t="n">
        <v>814544.41</v>
      </c>
      <c r="AA44" s="18" t="n">
        <v>824411.9300000001</v>
      </c>
      <c r="AB44" s="19" t="n">
        <v>838202.33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739392.1899999999</v>
      </c>
      <c r="F45" s="34" t="n">
        <v>739392.1899999999</v>
      </c>
      <c r="G45" s="18" t="n">
        <v>788045.74</v>
      </c>
      <c r="H45" s="18" t="n">
        <v>817798.51</v>
      </c>
      <c r="I45" s="18" t="n">
        <v>1264867.15</v>
      </c>
      <c r="J45" s="18" t="n">
        <v>1220003.93</v>
      </c>
      <c r="K45" s="34" t="n">
        <v>1220003.93</v>
      </c>
      <c r="L45" s="18" t="n">
        <v>1337027.3</v>
      </c>
      <c r="M45" s="18" t="n">
        <v>1400577.39</v>
      </c>
      <c r="N45" s="18" t="n">
        <v>1442386.91</v>
      </c>
      <c r="O45" s="18" t="n">
        <v>1431906.67</v>
      </c>
      <c r="P45" s="34" t="n">
        <v>1431906.67</v>
      </c>
      <c r="Q45" s="18" t="n">
        <v>1506256.86</v>
      </c>
      <c r="R45" s="18" t="n">
        <v>1447979.73</v>
      </c>
      <c r="S45" s="18" t="n">
        <v>1376905.9</v>
      </c>
      <c r="T45" s="18" t="n">
        <v>1421941.57</v>
      </c>
      <c r="U45" s="34" t="n">
        <v>1421941.57</v>
      </c>
      <c r="V45" s="18" t="n">
        <v>1392171.7</v>
      </c>
      <c r="W45" s="18" t="n">
        <v>1316192.53</v>
      </c>
      <c r="X45" s="18" t="n">
        <v>1158732.43</v>
      </c>
      <c r="Y45" s="18" t="n">
        <v>1148241.65</v>
      </c>
      <c r="Z45" s="34" t="n">
        <v>1148241.65</v>
      </c>
      <c r="AA45" s="18" t="n">
        <v>1156055.71</v>
      </c>
      <c r="AB45" s="19" t="n">
        <v>1209778.32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278482.72</v>
      </c>
      <c r="F46" s="34" t="n">
        <v>278482.72</v>
      </c>
      <c r="G46" s="18" t="n">
        <v>257279.32</v>
      </c>
      <c r="H46" s="18" t="n">
        <v>248513.35</v>
      </c>
      <c r="I46" s="18" t="n">
        <v>376745.98</v>
      </c>
      <c r="J46" s="18" t="n">
        <v>216657.7</v>
      </c>
      <c r="K46" s="34" t="n">
        <v>216657.7</v>
      </c>
      <c r="L46" s="18" t="n">
        <v>224061.26</v>
      </c>
      <c r="M46" s="18" t="n">
        <v>283141.11</v>
      </c>
      <c r="N46" s="18" t="n">
        <v>190822.96</v>
      </c>
      <c r="O46" s="18" t="n">
        <v>192062.21</v>
      </c>
      <c r="P46" s="34" t="n">
        <v>192062.21</v>
      </c>
      <c r="Q46" s="18" t="n">
        <v>233454.69</v>
      </c>
      <c r="R46" s="18" t="n">
        <v>200576.89</v>
      </c>
      <c r="S46" s="18" t="n">
        <v>37411.55</v>
      </c>
      <c r="T46" s="18" t="n">
        <v>211335.35</v>
      </c>
      <c r="U46" s="34" t="n">
        <v>211335.35</v>
      </c>
      <c r="V46" s="18" t="n">
        <v>253089.67</v>
      </c>
      <c r="W46" s="18" t="n">
        <v>239895</v>
      </c>
      <c r="X46" s="18" t="n">
        <v>209461.83</v>
      </c>
      <c r="Y46" s="18" t="n">
        <v>207304.23</v>
      </c>
      <c r="Z46" s="34" t="n">
        <v>207304.23</v>
      </c>
      <c r="AA46" s="18" t="n">
        <v>194238.63</v>
      </c>
      <c r="AB46" s="19" t="n">
        <v>215036.03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182010.35</v>
      </c>
      <c r="F47" s="34" t="n">
        <v>182010.35</v>
      </c>
      <c r="G47" s="18" t="n">
        <v>187836.41</v>
      </c>
      <c r="H47" s="18" t="n">
        <v>190479.82</v>
      </c>
      <c r="I47" s="18" t="n">
        <v>244658.98</v>
      </c>
      <c r="J47" s="18" t="n">
        <v>130448.14</v>
      </c>
      <c r="K47" s="34" t="n">
        <v>130448.14</v>
      </c>
      <c r="L47" s="18" t="n">
        <v>135428.07</v>
      </c>
      <c r="M47" s="18" t="n">
        <v>204906.96</v>
      </c>
      <c r="N47" s="18" t="n">
        <v>115333.65</v>
      </c>
      <c r="O47" s="18" t="n">
        <v>147284.35</v>
      </c>
      <c r="P47" s="34" t="n">
        <v>147284.35</v>
      </c>
      <c r="Q47" s="18" t="n">
        <v>155361.98</v>
      </c>
      <c r="R47" s="18" t="n">
        <v>113383.65</v>
      </c>
      <c r="S47" s="18" t="n">
        <v>-35417.86</v>
      </c>
      <c r="T47" s="18" t="n">
        <v>121777.83</v>
      </c>
      <c r="U47" s="34" t="n">
        <v>121777.83</v>
      </c>
      <c r="V47" s="18" t="n">
        <v>106216.32</v>
      </c>
      <c r="W47" s="18" t="n">
        <v>148106.07</v>
      </c>
      <c r="X47" s="18" t="n">
        <v>151252.69</v>
      </c>
      <c r="Y47" s="18" t="n">
        <v>176984.61</v>
      </c>
      <c r="Z47" s="34" t="n">
        <v>176984.61</v>
      </c>
      <c r="AA47" s="18" t="n">
        <v>166408.83</v>
      </c>
      <c r="AB47" s="19" t="n">
        <v>170190.21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102195.23</v>
      </c>
      <c r="F48" s="34" t="n">
        <v>102195.23</v>
      </c>
      <c r="G48" s="18" t="n">
        <v>76159.28999999999</v>
      </c>
      <c r="H48" s="18" t="n">
        <v>69951.82000000001</v>
      </c>
      <c r="I48" s="18" t="n">
        <v>147665.36</v>
      </c>
      <c r="J48" s="18" t="n">
        <v>165228.76</v>
      </c>
      <c r="K48" s="34" t="n">
        <v>165228.76</v>
      </c>
      <c r="L48" s="18" t="n">
        <v>174979.61</v>
      </c>
      <c r="M48" s="18" t="n">
        <v>130524.15</v>
      </c>
      <c r="N48" s="18" t="n">
        <v>127795.51</v>
      </c>
      <c r="O48" s="18" t="n">
        <v>58559.75</v>
      </c>
      <c r="P48" s="34" t="n">
        <v>58559.75</v>
      </c>
      <c r="Q48" s="18" t="n">
        <v>117481.12</v>
      </c>
      <c r="R48" s="18" t="n">
        <v>101029.55</v>
      </c>
      <c r="S48" s="18" t="n">
        <v>88870.75</v>
      </c>
      <c r="T48" s="18" t="n">
        <v>103474.48</v>
      </c>
      <c r="U48" s="34" t="n">
        <v>103474.48</v>
      </c>
      <c r="V48" s="18" t="n">
        <v>160788.28</v>
      </c>
      <c r="W48" s="18" t="n">
        <v>105640.15</v>
      </c>
      <c r="X48" s="18" t="n">
        <v>72120.24000000001</v>
      </c>
      <c r="Y48" s="18" t="n">
        <v>51463.75</v>
      </c>
      <c r="Z48" s="34" t="n">
        <v>51463.75</v>
      </c>
      <c r="AA48" s="18" t="n">
        <v>52686.96</v>
      </c>
      <c r="AB48" s="19" t="n">
        <v>71346.8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G49" s="18" t="n">
        <v>0.39</v>
      </c>
      <c r="H49" s="18" t="n">
        <v>0.83</v>
      </c>
      <c r="K49" s="9" t="n"/>
      <c r="L49" s="18" t="n">
        <v>5.11</v>
      </c>
      <c r="M49" s="18" t="n">
        <v>17.07</v>
      </c>
      <c r="N49" s="18" t="n">
        <v>24.38</v>
      </c>
      <c r="P49" s="9" t="n"/>
      <c r="Q49" s="18" t="n">
        <v>176.27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4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4" t="n">
        <v>0</v>
      </c>
      <c r="Y50" s="18" t="n">
        <v>3655.27</v>
      </c>
      <c r="Z50" s="34" t="n">
        <v>3655.27</v>
      </c>
      <c r="AA50" s="18" t="n">
        <v>4915.37</v>
      </c>
      <c r="AB50" s="19" t="n">
        <v>4971.19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J51" s="18" t="n">
        <v>31435.98</v>
      </c>
      <c r="K51" s="34" t="n">
        <v>31435.98</v>
      </c>
      <c r="P51" s="9" t="n"/>
      <c r="T51" s="18" t="n">
        <v>0</v>
      </c>
      <c r="U51" s="34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140492.76</v>
      </c>
      <c r="O52" s="18" t="n">
        <v>124474.12</v>
      </c>
      <c r="P52" s="34" t="n">
        <v>124474.12</v>
      </c>
      <c r="Q52" s="18" t="n">
        <v>137402.93</v>
      </c>
      <c r="R52" s="18" t="n">
        <v>124939.6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4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4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4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4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4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4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4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4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4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4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4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4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4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4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4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4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4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4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4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4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4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4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4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4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4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4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4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4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4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4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4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4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4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4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4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4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4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4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4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4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4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4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4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4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4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4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4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4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4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4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4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4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4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4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4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4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4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4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4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4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4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4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4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4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4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4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4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4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4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4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4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4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4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4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4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4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4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4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4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4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4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K78" s="9" t="n"/>
      <c r="P78" s="9" t="n"/>
      <c r="U78" s="9" t="n"/>
      <c r="V78" s="18" t="n">
        <v>688.58</v>
      </c>
      <c r="W78" s="18" t="n">
        <v>1221.79</v>
      </c>
      <c r="X78" s="18" t="n">
        <v>1208.6</v>
      </c>
      <c r="Y78" s="18" t="n">
        <v>13.2</v>
      </c>
      <c r="Z78" s="34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K79" s="9" t="n"/>
      <c r="P79" s="9" t="n"/>
      <c r="U79" s="9" t="n"/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4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K80" s="9" t="n"/>
      <c r="P80" s="9" t="n"/>
      <c r="U80" s="9" t="n"/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4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K81" s="9" t="n"/>
      <c r="P81" s="9" t="n"/>
      <c r="U81" s="9" t="n"/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4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K82" s="9" t="n"/>
      <c r="P82" s="9" t="n"/>
      <c r="U82" s="9" t="n"/>
      <c r="V82" s="18" t="n">
        <v>150.42</v>
      </c>
      <c r="W82" s="18" t="n">
        <v>-150.42</v>
      </c>
      <c r="X82" s="18" t="n">
        <v>28.99</v>
      </c>
      <c r="Y82" s="18" t="n">
        <v>7.82</v>
      </c>
      <c r="Z82" s="34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K83" s="9" t="n"/>
      <c r="P83" s="9" t="n"/>
      <c r="U83" s="9" t="n"/>
      <c r="V83" s="18" t="n">
        <v>9.66</v>
      </c>
      <c r="W83" s="18" t="n">
        <v>770.5</v>
      </c>
      <c r="X83" s="18" t="n">
        <v>-634.73</v>
      </c>
      <c r="Y83" s="18" t="n">
        <v>-55.04</v>
      </c>
      <c r="Z83" s="34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파생상품이익</t>
        </is>
      </c>
      <c r="F84" s="9" t="n"/>
      <c r="K84" s="9" t="n"/>
      <c r="P84" s="9" t="n"/>
      <c r="U84" s="9" t="n"/>
      <c r="V84" s="18" t="n">
        <v>27.91</v>
      </c>
      <c r="W84" s="18" t="n">
        <v>24067.42</v>
      </c>
      <c r="X84" s="18" t="n">
        <v>-8550.540000000001</v>
      </c>
      <c r="Y84" s="18" t="n">
        <v>-4468.24</v>
      </c>
      <c r="Z84" s="34" t="n">
        <v>11076.55</v>
      </c>
      <c r="AA84" s="18" t="n">
        <v>3564.22</v>
      </c>
      <c r="AB84" s="19" t="n">
        <v>1912.26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V85" s="18" t="n">
        <v>1333.85</v>
      </c>
      <c r="W85" s="18" t="n">
        <v>-1008.96</v>
      </c>
      <c r="X85" s="18" t="n">
        <v>403.14</v>
      </c>
      <c r="Y85" s="18" t="n">
        <v>1244.24</v>
      </c>
      <c r="Z85" s="34" t="n">
        <v>1972.27</v>
      </c>
      <c r="AA85" s="18" t="n">
        <v>6841.73</v>
      </c>
      <c r="AB85" s="19" t="n">
        <v>2975.39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K86" s="9" t="n"/>
      <c r="P86" s="9" t="n"/>
      <c r="U86" s="9" t="n"/>
      <c r="V86" s="18" t="n">
        <v>-4040.78</v>
      </c>
      <c r="W86" s="18" t="n">
        <v>-4005.82</v>
      </c>
      <c r="X86" s="18" t="n">
        <v>-2136.02</v>
      </c>
      <c r="Y86" s="18" t="n">
        <v>711.3</v>
      </c>
      <c r="Z86" s="34" t="n">
        <v>-9471.32</v>
      </c>
      <c r="AA86" s="18" t="n">
        <v>-625.0700000000001</v>
      </c>
      <c r="AB86" s="19" t="n">
        <v>-974.25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4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4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4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4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4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4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4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4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4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4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4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4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4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4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4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4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4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4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4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4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4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4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4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4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4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4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4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4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4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4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4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4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4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4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4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4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4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4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4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4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4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4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4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4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4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4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4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4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4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4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4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4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4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4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4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4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4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4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4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4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4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4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4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4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4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4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4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4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4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4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4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4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4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4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4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4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4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4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4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4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4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4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4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4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4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4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4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4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4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4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4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4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4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4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4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4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4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4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4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4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4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4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4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4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4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4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4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4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4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4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4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4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4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4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4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4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4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4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4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4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4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4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4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4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4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4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4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4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4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4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4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4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4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4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4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4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4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4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4" t="n">
        <v>71474.12</v>
      </c>
      <c r="Q22" s="18" t="n">
        <v>101202.93</v>
      </c>
      <c r="R22" s="18" t="n">
        <v>93739.60000000001</v>
      </c>
      <c r="T22" s="18" t="n">
        <v>76470.39999999999</v>
      </c>
      <c r="U22" s="34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4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4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4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4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4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4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4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4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4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4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4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4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4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4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4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4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4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4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4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4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4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4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4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4" t="n">
        <v>12196.48</v>
      </c>
      <c r="Q27" s="18" t="n">
        <v>1471.09</v>
      </c>
      <c r="R27" s="18" t="n">
        <v>191.61</v>
      </c>
      <c r="T27" s="18" t="n">
        <v>100.34</v>
      </c>
      <c r="U27" s="34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4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4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4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4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4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4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4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4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4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4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4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4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111291.9</v>
      </c>
      <c r="K30" s="34" t="n">
        <v>111291.9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4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4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4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4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4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4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4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4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4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4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4" t="n">
        <v>32866.63</v>
      </c>
      <c r="Q32" s="18" t="n">
        <v>31759.03</v>
      </c>
      <c r="R32" s="18" t="n">
        <v>10651.43</v>
      </c>
      <c r="T32" s="18" t="n">
        <v>37504.23</v>
      </c>
      <c r="U32" s="34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4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4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4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4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4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41.91</v>
      </c>
      <c r="F34" s="34" t="n">
        <v>41.91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4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4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4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4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11683.16</v>
      </c>
      <c r="F35" s="34" t="n">
        <v>11683.16</v>
      </c>
      <c r="G35" s="18" t="n">
        <v>11048.14</v>
      </c>
      <c r="H35" s="18" t="n">
        <v>10457.23</v>
      </c>
      <c r="I35" s="18" t="n">
        <v>10129.98</v>
      </c>
      <c r="J35" s="18" t="n">
        <v>9577.860000000001</v>
      </c>
      <c r="K35" s="34" t="n">
        <v>9577.860000000001</v>
      </c>
      <c r="L35" s="18" t="n">
        <v>9079.440000000001</v>
      </c>
      <c r="M35" s="18" t="n">
        <v>8815.440000000001</v>
      </c>
      <c r="N35" s="18" t="n">
        <v>8001.15</v>
      </c>
      <c r="O35" s="18" t="n">
        <v>8406.41</v>
      </c>
      <c r="P35" s="34" t="n">
        <v>8406.41</v>
      </c>
      <c r="Q35" s="18" t="n">
        <v>6403.45</v>
      </c>
      <c r="R35" s="18" t="n">
        <v>5507.33</v>
      </c>
      <c r="S35" s="18" t="n">
        <v>4544.31</v>
      </c>
      <c r="T35" s="18" t="n">
        <v>3725.65</v>
      </c>
      <c r="U35" s="34" t="n">
        <v>3725.65</v>
      </c>
      <c r="V35" s="18" t="n">
        <v>3669.03</v>
      </c>
      <c r="W35" s="18" t="n">
        <v>3438.33</v>
      </c>
      <c r="X35" s="18" t="n">
        <v>2603.49</v>
      </c>
      <c r="Y35" s="18" t="n">
        <v>2314.78</v>
      </c>
      <c r="Z35" s="34" t="n">
        <v>2314.78</v>
      </c>
      <c r="AA35" s="18" t="n">
        <v>2396.24</v>
      </c>
      <c r="AB35" s="19" t="n">
        <v>2153.47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11683.16</v>
      </c>
      <c r="F36" s="34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4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4" t="n">
        <v>8406.41</v>
      </c>
      <c r="Q36" s="18" t="n">
        <v>6551.82</v>
      </c>
      <c r="R36" s="18" t="n">
        <v>10617.59</v>
      </c>
      <c r="S36" s="18" t="n">
        <v>9834.629999999999</v>
      </c>
      <c r="T36" s="18" t="n">
        <v>18635.03</v>
      </c>
      <c r="U36" s="34" t="n">
        <v>18635.03</v>
      </c>
      <c r="V36" s="18" t="n">
        <v>16140.23</v>
      </c>
      <c r="W36" s="18" t="n">
        <v>5231</v>
      </c>
      <c r="X36" s="18" t="n">
        <v>4424.46</v>
      </c>
      <c r="Y36" s="18" t="n">
        <v>2317.6</v>
      </c>
      <c r="Z36" s="34" t="n">
        <v>2317.6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467157.64</v>
      </c>
      <c r="F37" s="34" t="n">
        <v>467157.64</v>
      </c>
      <c r="G37" s="18" t="n">
        <v>503796.68</v>
      </c>
      <c r="H37" s="18" t="n">
        <v>523489.05</v>
      </c>
      <c r="I37" s="18" t="n">
        <v>632573.88</v>
      </c>
      <c r="J37" s="18" t="n">
        <v>668375.8</v>
      </c>
      <c r="K37" s="34" t="n">
        <v>668375.8</v>
      </c>
      <c r="L37" s="18" t="n">
        <v>770139.59</v>
      </c>
      <c r="M37" s="18" t="n">
        <v>779739.61</v>
      </c>
      <c r="N37" s="18" t="n">
        <v>713001.08</v>
      </c>
      <c r="O37" s="18" t="n">
        <v>677611.6</v>
      </c>
      <c r="P37" s="34" t="n">
        <v>677611.6</v>
      </c>
      <c r="Q37" s="18" t="n">
        <v>730865.96</v>
      </c>
      <c r="R37" s="18" t="n">
        <v>673121.9</v>
      </c>
      <c r="S37" s="18" t="n">
        <v>596830.26</v>
      </c>
      <c r="T37" s="18" t="n">
        <v>652697.8199999999</v>
      </c>
      <c r="U37" s="34" t="n">
        <v>652697.8199999999</v>
      </c>
      <c r="V37" s="18" t="n">
        <v>615392.77</v>
      </c>
      <c r="W37" s="18" t="n">
        <v>505576.02</v>
      </c>
      <c r="X37" s="18" t="n">
        <v>322164.28</v>
      </c>
      <c r="Y37" s="18" t="n">
        <v>264782.02</v>
      </c>
      <c r="Z37" s="34" t="n">
        <v>264782.02</v>
      </c>
      <c r="AA37" s="18" t="n">
        <v>272020.6</v>
      </c>
      <c r="AB37" s="19" t="n">
        <v>307089.01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18287.18</v>
      </c>
      <c r="F38" s="34" t="n">
        <v>18287.18</v>
      </c>
      <c r="G38" s="18" t="n">
        <v>18538.34</v>
      </c>
      <c r="H38" s="18" t="n">
        <v>18538.34</v>
      </c>
      <c r="I38" s="18" t="n">
        <v>26617.51</v>
      </c>
      <c r="J38" s="18" t="n">
        <v>26617.51</v>
      </c>
      <c r="K38" s="34" t="n">
        <v>26617.51</v>
      </c>
      <c r="L38" s="18" t="n">
        <v>26617.51</v>
      </c>
      <c r="M38" s="18" t="n">
        <v>26617.51</v>
      </c>
      <c r="N38" s="18" t="n">
        <v>29597.78</v>
      </c>
      <c r="O38" s="18" t="n">
        <v>29597.78</v>
      </c>
      <c r="P38" s="34" t="n">
        <v>29597.78</v>
      </c>
      <c r="Q38" s="18" t="n">
        <v>29597.78</v>
      </c>
      <c r="R38" s="18" t="n">
        <v>29597.78</v>
      </c>
      <c r="S38" s="18" t="n">
        <v>29597.78</v>
      </c>
      <c r="T38" s="18" t="n">
        <v>29597.78</v>
      </c>
      <c r="U38" s="34" t="n">
        <v>29597.78</v>
      </c>
      <c r="V38" s="18" t="n">
        <v>29597.78</v>
      </c>
      <c r="W38" s="18" t="n">
        <v>30090.17</v>
      </c>
      <c r="X38" s="18" t="n">
        <v>31239.06</v>
      </c>
      <c r="Y38" s="18" t="n">
        <v>31239.06</v>
      </c>
      <c r="Z38" s="34" t="n">
        <v>31239.06</v>
      </c>
      <c r="AA38" s="18" t="n">
        <v>31239.06</v>
      </c>
      <c r="AB38" s="19" t="n">
        <v>31239.06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88680.25</v>
      </c>
      <c r="F39" s="34" t="n">
        <v>88680.25</v>
      </c>
      <c r="G39" s="18" t="n">
        <v>97794.8</v>
      </c>
      <c r="H39" s="18" t="n">
        <v>97794.8</v>
      </c>
      <c r="I39" s="18" t="n">
        <v>822322.1800000001</v>
      </c>
      <c r="J39" s="18" t="n">
        <v>411084.35</v>
      </c>
      <c r="K39" s="34" t="n">
        <v>411084.35</v>
      </c>
      <c r="L39" s="18" t="n">
        <v>411084.35</v>
      </c>
      <c r="M39" s="18" t="n">
        <v>411084.35</v>
      </c>
      <c r="N39" s="18" t="n">
        <v>534356.95</v>
      </c>
      <c r="O39" s="18" t="n">
        <v>534356.95</v>
      </c>
      <c r="P39" s="34" t="n">
        <v>534356.95</v>
      </c>
      <c r="Q39" s="18" t="n">
        <v>534356.95</v>
      </c>
      <c r="R39" s="18" t="n">
        <v>534356.95</v>
      </c>
      <c r="S39" s="18" t="n">
        <v>534356.95</v>
      </c>
      <c r="T39" s="18" t="n">
        <v>534356.95</v>
      </c>
      <c r="U39" s="34" t="n">
        <v>534356.95</v>
      </c>
      <c r="V39" s="18" t="n">
        <v>534356.95</v>
      </c>
      <c r="W39" s="18" t="n">
        <v>550236.98</v>
      </c>
      <c r="X39" s="18" t="n">
        <v>585403.24</v>
      </c>
      <c r="Y39" s="18" t="n">
        <v>586637.25</v>
      </c>
      <c r="Z39" s="34" t="n">
        <v>586637.25</v>
      </c>
      <c r="AA39" s="18" t="n">
        <v>586637.25</v>
      </c>
      <c r="AB39" s="19" t="n">
        <v>588674.98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6427.52</v>
      </c>
      <c r="F40" s="34" t="n">
        <v>6427.52</v>
      </c>
      <c r="G40" s="18" t="n">
        <v>5330.08</v>
      </c>
      <c r="H40" s="18" t="n">
        <v>5330.08</v>
      </c>
      <c r="I40" s="18" t="n">
        <v>16421.07</v>
      </c>
      <c r="J40" s="18" t="n">
        <v>16999.32</v>
      </c>
      <c r="K40" s="34" t="n">
        <v>16999.32</v>
      </c>
      <c r="L40" s="18" t="n">
        <v>16999.32</v>
      </c>
      <c r="M40" s="18" t="n">
        <v>17036.32</v>
      </c>
      <c r="N40" s="18" t="n">
        <v>10621.33</v>
      </c>
      <c r="O40" s="18" t="n">
        <v>10655.38</v>
      </c>
      <c r="P40" s="34" t="n">
        <v>10655.38</v>
      </c>
      <c r="Q40" s="18" t="n">
        <v>10691.39</v>
      </c>
      <c r="R40" s="18" t="n">
        <v>10727.41</v>
      </c>
      <c r="S40" s="18" t="n">
        <v>10763.42</v>
      </c>
      <c r="T40" s="18" t="n">
        <v>10799.44</v>
      </c>
      <c r="U40" s="34" t="n">
        <v>10799.44</v>
      </c>
      <c r="V40" s="18" t="n">
        <v>10835.45</v>
      </c>
      <c r="W40" s="18" t="n">
        <v>8291.57</v>
      </c>
      <c r="X40" s="18" t="n">
        <v>2343.86</v>
      </c>
      <c r="Y40" s="18" t="n">
        <v>2352.86</v>
      </c>
      <c r="Z40" s="34" t="n">
        <v>2352.86</v>
      </c>
      <c r="AA40" s="18" t="n">
        <v>2361.86</v>
      </c>
      <c r="AB40" s="19" t="n">
        <v>324.13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39992.78</v>
      </c>
      <c r="F41" s="34" t="n">
        <v>39992.78</v>
      </c>
      <c r="G41" s="18" t="n">
        <v>39992.78</v>
      </c>
      <c r="H41" s="18" t="n">
        <v>39992.78</v>
      </c>
      <c r="I41" s="18" t="n">
        <v>39992.78</v>
      </c>
      <c r="J41" s="18" t="n">
        <v>39992.78</v>
      </c>
      <c r="K41" s="34" t="n">
        <v>39992.78</v>
      </c>
      <c r="L41" s="18" t="n">
        <v>39992.78</v>
      </c>
      <c r="M41" s="18" t="n">
        <v>39992.78</v>
      </c>
      <c r="N41" s="18" t="n">
        <v>39992.78</v>
      </c>
      <c r="O41" s="18" t="n">
        <v>39992.78</v>
      </c>
      <c r="P41" s="34" t="n">
        <v>39992.78</v>
      </c>
      <c r="Q41" s="18" t="n">
        <v>39992.78</v>
      </c>
      <c r="R41" s="18" t="n">
        <v>39992.78</v>
      </c>
      <c r="S41" s="18" t="n">
        <v>39992.78</v>
      </c>
      <c r="T41" s="18" t="n">
        <v>39996.39</v>
      </c>
      <c r="U41" s="34" t="n">
        <v>39996.39</v>
      </c>
      <c r="V41" s="18" t="n">
        <v>39995.91</v>
      </c>
      <c r="W41" s="18" t="n">
        <v>39989.48</v>
      </c>
      <c r="X41" s="18" t="n">
        <v>39991.15</v>
      </c>
      <c r="Y41" s="18" t="n">
        <v>64101.29</v>
      </c>
      <c r="Z41" s="34" t="n">
        <v>64101.29</v>
      </c>
      <c r="AA41" s="18" t="n">
        <v>64103.95</v>
      </c>
      <c r="AB41" s="19" t="n">
        <v>64105.09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2480.09</v>
      </c>
      <c r="F42" s="34" t="n">
        <v>2480.09</v>
      </c>
      <c r="G42" s="18" t="n">
        <v>11305.44</v>
      </c>
      <c r="H42" s="18" t="n">
        <v>21624.26</v>
      </c>
      <c r="I42" s="18" t="n">
        <v>26111.16</v>
      </c>
      <c r="J42" s="18" t="n">
        <v>26996.3</v>
      </c>
      <c r="K42" s="34" t="n">
        <v>26996.3</v>
      </c>
      <c r="L42" s="18" t="n">
        <v>47473.77</v>
      </c>
      <c r="M42" s="18" t="n">
        <v>68823.55</v>
      </c>
      <c r="N42" s="18" t="n">
        <v>74548</v>
      </c>
      <c r="O42" s="18" t="n">
        <v>82245.91</v>
      </c>
      <c r="P42" s="34" t="n">
        <v>82245.91</v>
      </c>
      <c r="Q42" s="18" t="n">
        <v>86360.24000000001</v>
      </c>
      <c r="R42" s="18" t="n">
        <v>89153.50999999999</v>
      </c>
      <c r="S42" s="18" t="n">
        <v>98265.61</v>
      </c>
      <c r="T42" s="18" t="n">
        <v>96293.99000000001</v>
      </c>
      <c r="U42" s="34" t="n">
        <v>96293.99000000001</v>
      </c>
      <c r="V42" s="18" t="n">
        <v>100686.6</v>
      </c>
      <c r="W42" s="18" t="n">
        <v>109227.22</v>
      </c>
      <c r="X42" s="18" t="n">
        <v>120263.35</v>
      </c>
      <c r="Y42" s="18" t="n">
        <v>132619.34</v>
      </c>
      <c r="Z42" s="34" t="n">
        <v>132619.34</v>
      </c>
      <c r="AA42" s="18" t="n">
        <v>142475.19</v>
      </c>
      <c r="AB42" s="19" t="n">
        <v>156264.46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155867.83</v>
      </c>
      <c r="F43" s="34" t="n">
        <v>155867.83</v>
      </c>
      <c r="G43" s="18" t="n">
        <v>172961.43</v>
      </c>
      <c r="H43" s="18" t="n">
        <v>183280.25</v>
      </c>
      <c r="I43" s="18" t="n">
        <v>520380.35</v>
      </c>
      <c r="J43" s="18" t="n">
        <v>521690.25</v>
      </c>
      <c r="K43" s="34" t="n">
        <v>521690.25</v>
      </c>
      <c r="L43" s="18" t="n">
        <v>542167.72</v>
      </c>
      <c r="M43" s="18" t="n">
        <v>563554.49</v>
      </c>
      <c r="N43" s="18" t="n">
        <v>689116.85</v>
      </c>
      <c r="O43" s="18" t="n">
        <v>696848.8</v>
      </c>
      <c r="P43" s="34" t="n">
        <v>696848.8</v>
      </c>
      <c r="Q43" s="18" t="n">
        <v>700999.15</v>
      </c>
      <c r="R43" s="18" t="n">
        <v>703828.4300000001</v>
      </c>
      <c r="S43" s="18" t="n">
        <v>712976.55</v>
      </c>
      <c r="T43" s="18" t="n">
        <v>711044.5600000001</v>
      </c>
      <c r="U43" s="34" t="n">
        <v>711044.5600000001</v>
      </c>
      <c r="V43" s="18" t="n">
        <v>715472.6899999999</v>
      </c>
      <c r="W43" s="18" t="n">
        <v>737835.4300000001</v>
      </c>
      <c r="X43" s="18" t="n">
        <v>779240.67</v>
      </c>
      <c r="Y43" s="18" t="n">
        <v>816949.8</v>
      </c>
      <c r="Z43" s="34" t="n">
        <v>816949.8</v>
      </c>
      <c r="AA43" s="18" t="n">
        <v>826817.3199999999</v>
      </c>
      <c r="AB43" s="19" t="n">
        <v>840607.72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623025.48</v>
      </c>
      <c r="F44" s="34" t="n">
        <v>623025.48</v>
      </c>
      <c r="G44" s="18" t="n">
        <v>676758.11</v>
      </c>
      <c r="H44" s="18" t="n">
        <v>706769.3</v>
      </c>
      <c r="I44" s="18" t="n">
        <v>1152954.23</v>
      </c>
      <c r="J44" s="18" t="n">
        <v>1190066.05</v>
      </c>
      <c r="K44" s="34" t="n">
        <v>1190066.05</v>
      </c>
      <c r="L44" s="18" t="n">
        <v>1312307.31</v>
      </c>
      <c r="M44" s="18" t="n">
        <v>1343294.1</v>
      </c>
      <c r="N44" s="18" t="n">
        <v>1402117.93</v>
      </c>
      <c r="O44" s="18" t="n">
        <v>1374460.4</v>
      </c>
      <c r="P44" s="34" t="n">
        <v>1374460.4</v>
      </c>
      <c r="Q44" s="18" t="n">
        <v>1431865.1</v>
      </c>
      <c r="R44" s="18" t="n">
        <v>1376950.33</v>
      </c>
      <c r="S44" s="18" t="n">
        <v>1309806.81</v>
      </c>
      <c r="T44" s="18" t="n">
        <v>1363742.38</v>
      </c>
      <c r="U44" s="34" t="n">
        <v>1363742.38</v>
      </c>
      <c r="V44" s="18" t="n">
        <v>1330865.46</v>
      </c>
      <c r="W44" s="18" t="n">
        <v>1243411.44</v>
      </c>
      <c r="X44" s="18" t="n">
        <v>1101404.96</v>
      </c>
      <c r="Y44" s="18" t="n">
        <v>1081731.83</v>
      </c>
      <c r="Z44" s="34" t="n">
        <v>1081731.83</v>
      </c>
      <c r="AA44" s="18" t="n">
        <v>1098837.92</v>
      </c>
      <c r="AB44" s="19" t="n">
        <v>1147696.73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155867.83</v>
      </c>
      <c r="F45" s="34" t="n">
        <v>155867.83</v>
      </c>
      <c r="G45" s="18" t="n">
        <v>172961.43</v>
      </c>
      <c r="H45" s="18" t="n">
        <v>183280.25</v>
      </c>
      <c r="I45" s="18" t="n">
        <v>520380.35</v>
      </c>
      <c r="J45" s="18" t="n">
        <v>521690.25</v>
      </c>
      <c r="K45" s="34" t="n">
        <v>521690.25</v>
      </c>
      <c r="L45" s="18" t="n">
        <v>542167.72</v>
      </c>
      <c r="M45" s="18" t="n">
        <v>563554.49</v>
      </c>
      <c r="N45" s="18" t="n">
        <v>689116.85</v>
      </c>
      <c r="O45" s="18" t="n">
        <v>696848.8</v>
      </c>
      <c r="P45" s="34" t="n">
        <v>696848.8</v>
      </c>
      <c r="Q45" s="18" t="n">
        <v>700999.15</v>
      </c>
      <c r="R45" s="18" t="n">
        <v>703828.4300000001</v>
      </c>
      <c r="S45" s="18" t="n">
        <v>712976.55</v>
      </c>
      <c r="T45" s="18" t="n">
        <v>711044.5600000001</v>
      </c>
      <c r="U45" s="34" t="n">
        <v>711044.5600000001</v>
      </c>
      <c r="V45" s="18" t="n">
        <v>715472.6899999999</v>
      </c>
      <c r="W45" s="18" t="n">
        <v>737835.4300000001</v>
      </c>
      <c r="X45" s="18" t="n">
        <v>779240.67</v>
      </c>
      <c r="Y45" s="18" t="n">
        <v>816949.8</v>
      </c>
      <c r="Z45" s="34" t="n">
        <v>816949.8</v>
      </c>
      <c r="AA45" s="18" t="n">
        <v>826817.3199999999</v>
      </c>
      <c r="AB45" s="19" t="n">
        <v>840607.72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199106.8</v>
      </c>
      <c r="F46" s="34" t="n">
        <v>199106.8</v>
      </c>
      <c r="G46" s="18" t="n">
        <v>178570.65</v>
      </c>
      <c r="H46" s="18" t="n">
        <v>171980.95</v>
      </c>
      <c r="I46" s="18" t="n">
        <v>301122.3</v>
      </c>
      <c r="J46" s="18" t="n">
        <v>201795.31</v>
      </c>
      <c r="K46" s="34" t="n">
        <v>201795.31</v>
      </c>
      <c r="L46" s="18" t="n">
        <v>210061.26</v>
      </c>
      <c r="M46" s="18" t="n">
        <v>230141.11</v>
      </c>
      <c r="N46" s="18" t="n">
        <v>137822.96</v>
      </c>
      <c r="O46" s="18" t="n">
        <v>139062.21</v>
      </c>
      <c r="P46" s="34" t="n">
        <v>139062.21</v>
      </c>
      <c r="Q46" s="18" t="n">
        <v>168554.69</v>
      </c>
      <c r="R46" s="18" t="n">
        <v>140876.89</v>
      </c>
      <c r="S46" s="18" t="n">
        <v>37411.55</v>
      </c>
      <c r="T46" s="18" t="n">
        <v>152335.35</v>
      </c>
      <c r="U46" s="34" t="n">
        <v>152335.35</v>
      </c>
      <c r="V46" s="18" t="n">
        <v>194389.67</v>
      </c>
      <c r="W46" s="18" t="n">
        <v>181495</v>
      </c>
      <c r="X46" s="18" t="n">
        <v>151361.83</v>
      </c>
      <c r="Y46" s="18" t="n">
        <v>149504.23</v>
      </c>
      <c r="Z46" s="34" t="n">
        <v>149504.23</v>
      </c>
      <c r="AA46" s="18" t="n">
        <v>131288.63</v>
      </c>
      <c r="AB46" s="19" t="n">
        <v>157836.03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106603.27</v>
      </c>
      <c r="F47" s="34" t="n">
        <v>106603.27</v>
      </c>
      <c r="G47" s="18" t="n">
        <v>111631.96</v>
      </c>
      <c r="H47" s="18" t="n">
        <v>120680.94</v>
      </c>
      <c r="I47" s="18" t="n">
        <v>177060.6</v>
      </c>
      <c r="J47" s="18" t="n">
        <v>123174.44</v>
      </c>
      <c r="K47" s="34" t="n">
        <v>123174.44</v>
      </c>
      <c r="L47" s="18" t="n">
        <v>129099.61</v>
      </c>
      <c r="M47" s="18" t="n">
        <v>156693.11</v>
      </c>
      <c r="N47" s="18" t="n">
        <v>62428.08</v>
      </c>
      <c r="O47" s="18" t="n">
        <v>106074.83</v>
      </c>
      <c r="P47" s="34" t="n">
        <v>106074.83</v>
      </c>
      <c r="Q47" s="18" t="n">
        <v>121110.49</v>
      </c>
      <c r="R47" s="18" t="n">
        <v>89883.00999999999</v>
      </c>
      <c r="S47" s="18" t="n">
        <v>429.79</v>
      </c>
      <c r="T47" s="18" t="n">
        <v>86012.99000000001</v>
      </c>
      <c r="U47" s="34" t="n">
        <v>86012.99000000001</v>
      </c>
      <c r="V47" s="18" t="n">
        <v>64027.65</v>
      </c>
      <c r="W47" s="18" t="n">
        <v>98359.52</v>
      </c>
      <c r="X47" s="18" t="n">
        <v>93351.03999999999</v>
      </c>
      <c r="Y47" s="18" t="n">
        <v>121615.09</v>
      </c>
      <c r="Z47" s="34" t="n">
        <v>121615.09</v>
      </c>
      <c r="AA47" s="18" t="n">
        <v>103891.97</v>
      </c>
      <c r="AB47" s="19" t="n">
        <v>114893.53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98226.3</v>
      </c>
      <c r="F48" s="34" t="n">
        <v>98226.3</v>
      </c>
      <c r="G48" s="18" t="n">
        <v>73654.97</v>
      </c>
      <c r="H48" s="18" t="n">
        <v>63318.2</v>
      </c>
      <c r="I48" s="18" t="n">
        <v>139615.09</v>
      </c>
      <c r="J48" s="18" t="n">
        <v>157585.48</v>
      </c>
      <c r="K48" s="34" t="n">
        <v>157585.48</v>
      </c>
      <c r="L48" s="18" t="n">
        <v>167308.03</v>
      </c>
      <c r="M48" s="18" t="n">
        <v>125737.95</v>
      </c>
      <c r="N48" s="18" t="n">
        <v>127701.03</v>
      </c>
      <c r="O48" s="18" t="n">
        <v>46769.22</v>
      </c>
      <c r="P48" s="34" t="n">
        <v>46769.22</v>
      </c>
      <c r="Q48" s="18" t="n">
        <v>86832.56</v>
      </c>
      <c r="R48" s="18" t="n">
        <v>64830.14</v>
      </c>
      <c r="S48" s="18" t="n">
        <v>53023.05</v>
      </c>
      <c r="T48" s="18" t="n">
        <v>80239.27</v>
      </c>
      <c r="U48" s="34" t="n">
        <v>80239.27</v>
      </c>
      <c r="V48" s="18" t="n">
        <v>144276.9</v>
      </c>
      <c r="W48" s="18" t="n">
        <v>96986.64999999999</v>
      </c>
      <c r="X48" s="18" t="n">
        <v>71921.84</v>
      </c>
      <c r="Y48" s="18" t="n">
        <v>49033.22</v>
      </c>
      <c r="Z48" s="34" t="n">
        <v>49033.22</v>
      </c>
      <c r="AA48" s="18" t="n">
        <v>52253.77</v>
      </c>
      <c r="AB48" s="19" t="n">
        <v>69443.42999999999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이연법인세부채</t>
        </is>
      </c>
      <c r="F49" s="9" t="n"/>
      <c r="I49" s="18" t="n">
        <v>301.42</v>
      </c>
      <c r="J49" s="18" t="n">
        <v>2532.2</v>
      </c>
      <c r="K49" s="34" t="n">
        <v>2532.2</v>
      </c>
      <c r="L49" s="18" t="n">
        <v>2611.53</v>
      </c>
      <c r="M49" s="18" t="n">
        <v>2749.05</v>
      </c>
      <c r="N49" s="18" t="n">
        <v>2974.07</v>
      </c>
      <c r="P49" s="9" t="n"/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J50" s="18" t="n">
        <v>31435.98</v>
      </c>
      <c r="K50" s="34" t="n">
        <v>31435.98</v>
      </c>
      <c r="P50" s="9" t="n"/>
      <c r="T50" s="18" t="n">
        <v>0</v>
      </c>
      <c r="U50" s="34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4" t="n">
        <v>71474.12</v>
      </c>
      <c r="Q51" s="18" t="n">
        <v>101202.93</v>
      </c>
      <c r="R51" s="18" t="n">
        <v>93739.60000000001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4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4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4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4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4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4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4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3735.44</v>
      </c>
      <c r="U59" s="34" t="n">
        <v>3735.44</v>
      </c>
      <c r="V59" s="18" t="n">
        <v>2775.83</v>
      </c>
      <c r="W59" s="18" t="n">
        <v>8532.49</v>
      </c>
      <c r="X59" s="18" t="n">
        <v>4569.07</v>
      </c>
      <c r="Y59" s="18" t="n">
        <v>6003.73</v>
      </c>
      <c r="Z59" s="34" t="n">
        <v>6003.73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139876.1</v>
      </c>
      <c r="F60" s="9" t="n"/>
      <c r="G60" s="18" t="n">
        <v>164192.02</v>
      </c>
      <c r="H60" s="18" t="n">
        <v>157311.93</v>
      </c>
      <c r="I60" s="18" t="n">
        <v>171439.74</v>
      </c>
      <c r="J60" s="18" t="n">
        <v>161330.69</v>
      </c>
      <c r="K60" s="34" t="n">
        <v>654274.38</v>
      </c>
      <c r="L60" s="18" t="n">
        <v>215639.1</v>
      </c>
      <c r="M60" s="18" t="n">
        <v>256467.19</v>
      </c>
      <c r="N60" s="18" t="n">
        <v>227238.22</v>
      </c>
      <c r="O60" s="18" t="n">
        <v>206675.11</v>
      </c>
      <c r="P60" s="34" t="n">
        <v>906019.62</v>
      </c>
      <c r="Q60" s="18" t="n">
        <v>121212.39</v>
      </c>
      <c r="R60" s="18" t="n">
        <v>162546.69</v>
      </c>
      <c r="S60" s="18" t="n">
        <v>191882.7</v>
      </c>
      <c r="T60" s="18" t="n">
        <v>150776.72</v>
      </c>
      <c r="U60" s="34" t="n">
        <v>626418.5</v>
      </c>
      <c r="V60" s="18" t="n">
        <v>254348.41</v>
      </c>
      <c r="W60" s="18" t="n">
        <v>231148.51</v>
      </c>
      <c r="X60" s="18" t="n">
        <v>281340.75</v>
      </c>
      <c r="Y60" s="18" t="n">
        <v>162077.41</v>
      </c>
      <c r="Z60" s="34" t="n">
        <v>928915.08</v>
      </c>
      <c r="AA60" s="18" t="n">
        <v>172618.61</v>
      </c>
      <c r="AB60" s="19" t="n">
        <v>154356.91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124428.31</v>
      </c>
      <c r="F61" s="9" t="n"/>
      <c r="G61" s="18" t="n">
        <v>148750.03</v>
      </c>
      <c r="H61" s="18" t="n">
        <v>144153.93</v>
      </c>
      <c r="I61" s="18" t="n">
        <v>144456.32</v>
      </c>
      <c r="J61" s="18" t="n">
        <v>139978.52</v>
      </c>
      <c r="K61" s="34" t="n">
        <v>577338.8</v>
      </c>
      <c r="L61" s="18" t="n">
        <v>195030.57</v>
      </c>
      <c r="M61" s="18" t="n">
        <v>223691.33</v>
      </c>
      <c r="N61" s="18" t="n">
        <v>208024.62</v>
      </c>
      <c r="O61" s="18" t="n">
        <v>183653.23</v>
      </c>
      <c r="P61" s="34" t="n">
        <v>810399.75</v>
      </c>
      <c r="Q61" s="18" t="n">
        <v>113213.55</v>
      </c>
      <c r="R61" s="18" t="n">
        <v>146606.88</v>
      </c>
      <c r="S61" s="18" t="n">
        <v>179442.29</v>
      </c>
      <c r="T61" s="18" t="n">
        <v>138706.75</v>
      </c>
      <c r="U61" s="34" t="n">
        <v>577969.47</v>
      </c>
      <c r="V61" s="18" t="n">
        <v>234384.62</v>
      </c>
      <c r="W61" s="18" t="n">
        <v>209232.05</v>
      </c>
      <c r="X61" s="18" t="n">
        <v>250819.97</v>
      </c>
      <c r="Y61" s="18" t="n">
        <v>142117.12</v>
      </c>
      <c r="Z61" s="34" t="n">
        <v>836553.76</v>
      </c>
      <c r="AA61" s="18" t="n">
        <v>151729.05</v>
      </c>
      <c r="AB61" s="19" t="n">
        <v>132693.51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15447.79</v>
      </c>
      <c r="F62" s="9" t="n"/>
      <c r="G62" s="18" t="n">
        <v>15442</v>
      </c>
      <c r="H62" s="18" t="n">
        <v>13158</v>
      </c>
      <c r="I62" s="18" t="n">
        <v>26983.41</v>
      </c>
      <c r="J62" s="18" t="n">
        <v>21352.17</v>
      </c>
      <c r="K62" s="34" t="n">
        <v>76935.58</v>
      </c>
      <c r="L62" s="18" t="n">
        <v>20608.53</v>
      </c>
      <c r="M62" s="18" t="n">
        <v>32775.85</v>
      </c>
      <c r="N62" s="18" t="n">
        <v>19213.6</v>
      </c>
      <c r="O62" s="18" t="n">
        <v>23021.88</v>
      </c>
      <c r="P62" s="34" t="n">
        <v>95619.86</v>
      </c>
      <c r="Q62" s="18" t="n">
        <v>7998.84</v>
      </c>
      <c r="R62" s="18" t="n">
        <v>15939.82</v>
      </c>
      <c r="S62" s="18" t="n">
        <v>12440.4</v>
      </c>
      <c r="T62" s="18" t="n">
        <v>12069.98</v>
      </c>
      <c r="U62" s="34" t="n">
        <v>48449.04</v>
      </c>
      <c r="V62" s="18" t="n">
        <v>19963.79</v>
      </c>
      <c r="W62" s="18" t="n">
        <v>21916.46</v>
      </c>
      <c r="X62" s="18" t="n">
        <v>30520.79</v>
      </c>
      <c r="Y62" s="18" t="n">
        <v>19960.3</v>
      </c>
      <c r="Z62" s="34" t="n">
        <v>92361.34</v>
      </c>
      <c r="AA62" s="18" t="n">
        <v>20889.56</v>
      </c>
      <c r="AB62" s="19" t="n">
        <v>21663.4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3598.95</v>
      </c>
      <c r="F63" s="9" t="n"/>
      <c r="G63" s="18" t="n">
        <v>3421.18</v>
      </c>
      <c r="H63" s="18" t="n">
        <v>3863.38</v>
      </c>
      <c r="I63" s="18" t="n">
        <v>12465.07</v>
      </c>
      <c r="J63" s="18" t="n">
        <v>5585.82</v>
      </c>
      <c r="K63" s="34" t="n">
        <v>25335.45</v>
      </c>
      <c r="L63" s="18" t="n">
        <v>5005.88</v>
      </c>
      <c r="M63" s="18" t="n">
        <v>6409.68</v>
      </c>
      <c r="N63" s="18" t="n">
        <v>5664.04</v>
      </c>
      <c r="O63" s="18" t="n">
        <v>8783.07</v>
      </c>
      <c r="P63" s="34" t="n">
        <v>25862.67</v>
      </c>
      <c r="Q63" s="18" t="n">
        <v>6468.18</v>
      </c>
      <c r="R63" s="18" t="n">
        <v>8062.1</v>
      </c>
      <c r="S63" s="18" t="n">
        <v>6441.26</v>
      </c>
      <c r="T63" s="18" t="n">
        <v>3649.69</v>
      </c>
      <c r="U63" s="34" t="n">
        <v>24621.23</v>
      </c>
      <c r="V63" s="18" t="n">
        <v>6646.65</v>
      </c>
      <c r="W63" s="18" t="n">
        <v>6149.79</v>
      </c>
      <c r="X63" s="18" t="n">
        <v>6379.61</v>
      </c>
      <c r="Y63" s="18" t="n">
        <v>7498.44</v>
      </c>
      <c r="Z63" s="34" t="n">
        <v>26674.49</v>
      </c>
      <c r="AA63" s="18" t="n">
        <v>5432.08</v>
      </c>
      <c r="AB63" s="19" t="n">
        <v>6842.36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11848.84</v>
      </c>
      <c r="F64" s="9" t="n"/>
      <c r="G64" s="18" t="n">
        <v>12020.81</v>
      </c>
      <c r="H64" s="18" t="n">
        <v>9294.620000000001</v>
      </c>
      <c r="I64" s="18" t="n">
        <v>14518.35</v>
      </c>
      <c r="J64" s="18" t="n">
        <v>15766.36</v>
      </c>
      <c r="K64" s="34" t="n">
        <v>51600.14</v>
      </c>
      <c r="L64" s="18" t="n">
        <v>15602.65</v>
      </c>
      <c r="M64" s="18" t="n">
        <v>26366.17</v>
      </c>
      <c r="N64" s="18" t="n">
        <v>13549.56</v>
      </c>
      <c r="O64" s="18" t="n">
        <v>14238.8</v>
      </c>
      <c r="P64" s="34" t="n">
        <v>69757.17999999999</v>
      </c>
      <c r="Q64" s="18" t="n">
        <v>1530.66</v>
      </c>
      <c r="R64" s="18" t="n">
        <v>7877.72</v>
      </c>
      <c r="S64" s="18" t="n">
        <v>5999.15</v>
      </c>
      <c r="T64" s="18" t="n">
        <v>8420.290000000001</v>
      </c>
      <c r="U64" s="34" t="n">
        <v>23827.82</v>
      </c>
      <c r="V64" s="18" t="n">
        <v>13317.14</v>
      </c>
      <c r="W64" s="18" t="n">
        <v>15766.68</v>
      </c>
      <c r="X64" s="18" t="n">
        <v>24141.17</v>
      </c>
      <c r="Y64" s="18" t="n">
        <v>12461.86</v>
      </c>
      <c r="Z64" s="34" t="n">
        <v>65686.85000000001</v>
      </c>
      <c r="AA64" s="18" t="n">
        <v>15457.48</v>
      </c>
      <c r="AB64" s="19" t="n">
        <v>14821.04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-1979.33</v>
      </c>
      <c r="F65" s="9" t="n"/>
      <c r="G65" s="18" t="n">
        <v>1978.33</v>
      </c>
      <c r="H65" s="18" t="n">
        <v>3761.16</v>
      </c>
      <c r="I65" s="18" t="n">
        <v>2568.5</v>
      </c>
      <c r="J65" s="18" t="n">
        <v>-2430.08</v>
      </c>
      <c r="K65" s="34" t="n">
        <v>5877.91</v>
      </c>
      <c r="L65" s="18" t="n">
        <v>3174.41</v>
      </c>
      <c r="M65" s="18" t="n">
        <v>335.85</v>
      </c>
      <c r="N65" s="18" t="n">
        <v>563.12</v>
      </c>
      <c r="O65" s="18" t="n">
        <v>-52.16</v>
      </c>
      <c r="P65" s="34" t="n">
        <v>4021.22</v>
      </c>
      <c r="Q65" s="18" t="n">
        <v>895.17</v>
      </c>
      <c r="R65" s="18" t="n">
        <v>4724.75</v>
      </c>
      <c r="S65" s="18" t="n">
        <v>-3766.29</v>
      </c>
      <c r="T65" s="18" t="n">
        <v>31763.79</v>
      </c>
      <c r="U65" s="34" t="n">
        <v>33617.42</v>
      </c>
      <c r="V65" s="18" t="n">
        <v>1546.76</v>
      </c>
      <c r="W65" s="18" t="n">
        <v>116.65</v>
      </c>
      <c r="X65" s="18" t="n">
        <v>1826.29</v>
      </c>
      <c r="Y65" s="18" t="n">
        <v>2720.59</v>
      </c>
      <c r="Z65" s="34" t="n">
        <v>6210.29</v>
      </c>
      <c r="AA65" s="18" t="n">
        <v>5722.16</v>
      </c>
      <c r="AB65" s="19" t="n">
        <v>1900.52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4550.42</v>
      </c>
      <c r="F66" s="9" t="n"/>
      <c r="G66" s="18" t="n">
        <v>368.41</v>
      </c>
      <c r="H66" s="18" t="n">
        <v>754.96</v>
      </c>
      <c r="I66" s="18" t="n">
        <v>1759.97</v>
      </c>
      <c r="J66" s="18" t="n">
        <v>4250.99</v>
      </c>
      <c r="K66" s="34" t="n">
        <v>7134.33</v>
      </c>
      <c r="L66" s="18" t="n">
        <v>872.72</v>
      </c>
      <c r="M66" s="18" t="n">
        <v>763.1799999999999</v>
      </c>
      <c r="N66" s="18" t="n">
        <v>87.68000000000001</v>
      </c>
      <c r="O66" s="18" t="n">
        <v>457.37</v>
      </c>
      <c r="P66" s="34" t="n">
        <v>2180.95</v>
      </c>
      <c r="Q66" s="18" t="n">
        <v>9</v>
      </c>
      <c r="R66" s="18" t="n">
        <v>58.73</v>
      </c>
      <c r="S66" s="18" t="n">
        <v>10975.35</v>
      </c>
      <c r="T66" s="18" t="n">
        <v>-8809.02</v>
      </c>
      <c r="U66" s="34" t="n">
        <v>2234.06</v>
      </c>
      <c r="V66" s="18" t="n">
        <v>212.99</v>
      </c>
      <c r="W66" s="18" t="n">
        <v>22996.8</v>
      </c>
      <c r="X66" s="18" t="n">
        <v>-5507.03</v>
      </c>
      <c r="Y66" s="18" t="n">
        <v>-2580.9</v>
      </c>
      <c r="Z66" s="34" t="n">
        <v>15121.86</v>
      </c>
      <c r="AA66" s="18" t="n">
        <v>699.09</v>
      </c>
      <c r="AB66" s="19" t="n">
        <v>1418.8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종속기업,공동지배기업및관계기업관련손익</t>
        </is>
      </c>
      <c r="E67" s="18" t="n">
        <v>-56262.57</v>
      </c>
      <c r="F67" s="9" t="n"/>
      <c r="G67" s="18" t="n">
        <v>2572.56</v>
      </c>
      <c r="H67" s="18" t="n">
        <v>6417.23</v>
      </c>
      <c r="I67" s="18" t="n">
        <v>3597.76</v>
      </c>
      <c r="J67" s="18" t="n">
        <v>-3236</v>
      </c>
      <c r="K67" s="34" t="n">
        <v>9351.549999999999</v>
      </c>
      <c r="L67" s="18" t="n">
        <v>2748.08</v>
      </c>
      <c r="M67" s="18" t="n">
        <v>2901.03</v>
      </c>
      <c r="P67" s="9" t="n"/>
      <c r="U67" s="9" t="n"/>
      <c r="V67" s="18" t="n">
        <v>-2984.41</v>
      </c>
      <c r="W67" s="18" t="n">
        <v>-1155.54</v>
      </c>
      <c r="X67" s="18" t="n">
        <v>-5151.88</v>
      </c>
      <c r="Y67" s="18" t="n">
        <v>4376.79</v>
      </c>
      <c r="Z67" s="34" t="n">
        <v>-4915.04</v>
      </c>
      <c r="AA67" s="18" t="n">
        <v>-360.44</v>
      </c>
      <c r="AB67" s="19" t="n">
        <v>4231.95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지분법관련손익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4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4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1802.75</v>
      </c>
      <c r="F69" s="9" t="n"/>
      <c r="G69" s="18" t="n">
        <v>604.8099999999999</v>
      </c>
      <c r="H69" s="18" t="n">
        <v>801.96</v>
      </c>
      <c r="I69" s="18" t="n">
        <v>2154.5</v>
      </c>
      <c r="J69" s="18" t="n">
        <v>5180.6</v>
      </c>
      <c r="K69" s="34" t="n">
        <v>8741.870000000001</v>
      </c>
      <c r="L69" s="18" t="n">
        <v>3282.2</v>
      </c>
      <c r="M69" s="18" t="n">
        <v>6693.35</v>
      </c>
      <c r="N69" s="18" t="n">
        <v>2479.75</v>
      </c>
      <c r="O69" s="18" t="n">
        <v>4042.73</v>
      </c>
      <c r="P69" s="34" t="n">
        <v>16498.03</v>
      </c>
      <c r="Q69" s="18" t="n">
        <v>1926.44</v>
      </c>
      <c r="R69" s="18" t="n">
        <v>3128.82</v>
      </c>
      <c r="S69" s="18" t="n">
        <v>6611.97</v>
      </c>
      <c r="T69" s="18" t="n">
        <v>-3350.62</v>
      </c>
      <c r="U69" s="34" t="n">
        <v>8316.610000000001</v>
      </c>
      <c r="V69" s="18" t="n">
        <v>734.55</v>
      </c>
      <c r="W69" s="18" t="n">
        <v>25117.79</v>
      </c>
      <c r="X69" s="18" t="n">
        <v>-7376.18</v>
      </c>
      <c r="Y69" s="18" t="n">
        <v>-4391.8</v>
      </c>
      <c r="Z69" s="34" t="n">
        <v>14084.36</v>
      </c>
      <c r="AA69" s="18" t="n">
        <v>4348.6</v>
      </c>
      <c r="AB69" s="19" t="n">
        <v>2228.37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5244.35</v>
      </c>
      <c r="F70" s="9" t="n"/>
      <c r="G70" s="18" t="n">
        <v>6067.5</v>
      </c>
      <c r="H70" s="18" t="n">
        <v>8309.41</v>
      </c>
      <c r="I70" s="18" t="n">
        <v>13343.34</v>
      </c>
      <c r="J70" s="18" t="n">
        <v>9160.309999999999</v>
      </c>
      <c r="K70" s="34" t="n">
        <v>36880.56</v>
      </c>
      <c r="L70" s="18" t="n">
        <v>9042.700000000001</v>
      </c>
      <c r="M70" s="18" t="n">
        <v>8410.26</v>
      </c>
      <c r="N70" s="18" t="n">
        <v>6394.13</v>
      </c>
      <c r="O70" s="18" t="n">
        <v>2813.25</v>
      </c>
      <c r="P70" s="34" t="n">
        <v>26660.34</v>
      </c>
      <c r="Q70" s="18" t="n">
        <v>6196.53</v>
      </c>
      <c r="R70" s="18" t="n">
        <v>18731.96</v>
      </c>
      <c r="S70" s="18" t="n">
        <v>-3207.13</v>
      </c>
      <c r="T70" s="18" t="n">
        <v>38325.83</v>
      </c>
      <c r="U70" s="34" t="n">
        <v>60047.19</v>
      </c>
      <c r="V70" s="18" t="n">
        <v>6057.15</v>
      </c>
      <c r="W70" s="18" t="n">
        <v>5089.04</v>
      </c>
      <c r="X70" s="18" t="n">
        <v>3745.96</v>
      </c>
      <c r="Y70" s="18" t="n">
        <v>1168.44</v>
      </c>
      <c r="Z70" s="34" t="n">
        <v>16060.59</v>
      </c>
      <c r="AA70" s="18" t="n">
        <v>11811.9</v>
      </c>
      <c r="AB70" s="19" t="n">
        <v>5760.2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-54385.07</v>
      </c>
      <c r="F71" s="9" t="n"/>
      <c r="G71" s="18" t="n">
        <v>10740.61</v>
      </c>
      <c r="H71" s="18" t="n">
        <v>11210.59</v>
      </c>
      <c r="I71" s="18" t="n">
        <v>7735.79</v>
      </c>
      <c r="J71" s="18" t="n">
        <v>1869.59</v>
      </c>
      <c r="K71" s="34" t="n">
        <v>31556.58</v>
      </c>
      <c r="L71" s="18" t="n">
        <v>14891.92</v>
      </c>
      <c r="M71" s="18" t="n">
        <v>27122.94</v>
      </c>
      <c r="N71" s="18" t="n">
        <v>10196.5</v>
      </c>
      <c r="O71" s="18" t="n">
        <v>10804.23</v>
      </c>
      <c r="P71" s="34" t="n">
        <v>63015.59</v>
      </c>
      <c r="Q71" s="18" t="n">
        <v>4292.32</v>
      </c>
      <c r="R71" s="18" t="n">
        <v>2998.09</v>
      </c>
      <c r="S71" s="18" t="n">
        <v>8953.25</v>
      </c>
      <c r="T71" s="18" t="n">
        <v>759.01</v>
      </c>
      <c r="U71" s="34" t="n">
        <v>17002.67</v>
      </c>
      <c r="V71" s="18" t="n">
        <v>6343.9</v>
      </c>
      <c r="W71" s="18" t="n">
        <v>11759.73</v>
      </c>
      <c r="X71" s="18" t="n">
        <v>15200.47</v>
      </c>
      <c r="Y71" s="18" t="n">
        <v>16579.89</v>
      </c>
      <c r="Z71" s="34" t="n">
        <v>49883.99</v>
      </c>
      <c r="AA71" s="18" t="n">
        <v>12656.81</v>
      </c>
      <c r="AB71" s="19" t="n">
        <v>16002.89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9839.82</v>
      </c>
      <c r="F72" s="9" t="n"/>
      <c r="G72" s="18" t="n">
        <v>1915.26</v>
      </c>
      <c r="H72" s="18" t="n">
        <v>891.77</v>
      </c>
      <c r="I72" s="18" t="n">
        <v>3248.88</v>
      </c>
      <c r="J72" s="18" t="n">
        <v>574.26</v>
      </c>
      <c r="K72" s="34" t="n">
        <v>6630.17</v>
      </c>
      <c r="L72" s="18" t="n">
        <v>-5585.55</v>
      </c>
      <c r="M72" s="18" t="n">
        <v>5773.17</v>
      </c>
      <c r="N72" s="18" t="n">
        <v>4472.04</v>
      </c>
      <c r="O72" s="18" t="n">
        <v>880.48</v>
      </c>
      <c r="P72" s="34" t="n">
        <v>5540.14</v>
      </c>
      <c r="Q72" s="18" t="n">
        <v>177.99</v>
      </c>
      <c r="R72" s="18" t="n">
        <v>204.82</v>
      </c>
      <c r="S72" s="18" t="n">
        <v>-158.85</v>
      </c>
      <c r="T72" s="18" t="n">
        <v>375.23</v>
      </c>
      <c r="U72" s="34" t="n">
        <v>599.1900000000001</v>
      </c>
      <c r="V72" s="18" t="n">
        <v>1951.29</v>
      </c>
      <c r="W72" s="18" t="n">
        <v>3219.11</v>
      </c>
      <c r="X72" s="18" t="n">
        <v>4164.34</v>
      </c>
      <c r="Y72" s="18" t="n">
        <v>2759.47</v>
      </c>
      <c r="Z72" s="34" t="n">
        <v>12094.21</v>
      </c>
      <c r="AA72" s="18" t="n">
        <v>2800.96</v>
      </c>
      <c r="AB72" s="19" t="n">
        <v>2213.62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-64224.89</v>
      </c>
      <c r="F73" s="9" t="n"/>
      <c r="G73" s="18" t="n">
        <v>8825.34</v>
      </c>
      <c r="H73" s="18" t="n">
        <v>10318.82</v>
      </c>
      <c r="I73" s="18" t="n">
        <v>4486.9</v>
      </c>
      <c r="J73" s="18" t="n">
        <v>1295.33</v>
      </c>
      <c r="K73" s="34" t="n">
        <v>24926.39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4" t="n">
        <v>57475.47</v>
      </c>
      <c r="Q73" s="18" t="n">
        <v>4114.33</v>
      </c>
      <c r="R73" s="18" t="n">
        <v>2793.27</v>
      </c>
      <c r="S73" s="18" t="n">
        <v>9112.1</v>
      </c>
      <c r="T73" s="18" t="n">
        <v>383.78</v>
      </c>
      <c r="U73" s="34" t="n">
        <v>16403.48</v>
      </c>
      <c r="V73" s="18" t="n">
        <v>4392.6</v>
      </c>
      <c r="W73" s="18" t="n">
        <v>8540.620000000001</v>
      </c>
      <c r="X73" s="18" t="n">
        <v>11036.14</v>
      </c>
      <c r="Y73" s="18" t="n">
        <v>13820.42</v>
      </c>
      <c r="Z73" s="34" t="n">
        <v>37789.78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-46491.71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885.14</v>
      </c>
      <c r="K74" s="34" t="n">
        <v>24516.2</v>
      </c>
      <c r="L74" s="18" t="n">
        <v>20477.47</v>
      </c>
      <c r="M74" s="18" t="n">
        <v>21349.78</v>
      </c>
      <c r="N74" s="18" t="n">
        <v>5724.46</v>
      </c>
      <c r="O74" s="18" t="n">
        <v>7697.91</v>
      </c>
      <c r="P74" s="34" t="n">
        <v>55249.62</v>
      </c>
      <c r="Q74" s="18" t="n">
        <v>4114.33</v>
      </c>
      <c r="R74" s="18" t="n">
        <v>2793.27</v>
      </c>
      <c r="S74" s="18" t="n">
        <v>9112.1</v>
      </c>
      <c r="T74" s="18" t="n">
        <v>-1968</v>
      </c>
      <c r="U74" s="34" t="n">
        <v>14051.7</v>
      </c>
      <c r="V74" s="18" t="n">
        <v>4392.12</v>
      </c>
      <c r="W74" s="18" t="n">
        <v>8534.200000000001</v>
      </c>
      <c r="X74" s="18" t="n">
        <v>11037.81</v>
      </c>
      <c r="Y74" s="18" t="n">
        <v>36466.13</v>
      </c>
      <c r="Z74" s="34" t="n">
        <v>60430.26</v>
      </c>
      <c r="AA74" s="18" t="n">
        <v>9858.51</v>
      </c>
      <c r="AB74" s="19" t="n">
        <v>13790.41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-3441.6</v>
      </c>
      <c r="F75" s="9" t="n"/>
      <c r="G75" s="18" t="n">
        <v>-5462.69</v>
      </c>
      <c r="H75" s="18" t="n">
        <v>-7507.45</v>
      </c>
      <c r="I75" s="18" t="n">
        <v>-11188.84</v>
      </c>
      <c r="J75" s="18" t="n">
        <v>-3979.71</v>
      </c>
      <c r="K75" s="34" t="n">
        <v>-28138.69</v>
      </c>
      <c r="L75" s="18" t="n">
        <v>-5760.5</v>
      </c>
      <c r="M75" s="18" t="n">
        <v>-1716.91</v>
      </c>
      <c r="N75" s="18" t="n">
        <v>-3914.38</v>
      </c>
      <c r="O75" s="18" t="n">
        <v>1229.48</v>
      </c>
      <c r="P75" s="34" t="n">
        <v>-10162.31</v>
      </c>
      <c r="Q75" s="18" t="n">
        <v>-4270.09</v>
      </c>
      <c r="R75" s="18" t="n">
        <v>-15603.14</v>
      </c>
      <c r="S75" s="18" t="n">
        <v>9819.1</v>
      </c>
      <c r="T75" s="18" t="n">
        <v>-41676.45</v>
      </c>
      <c r="U75" s="34" t="n">
        <v>-51730.58</v>
      </c>
      <c r="V75" s="18" t="n">
        <v>-5322.6</v>
      </c>
      <c r="W75" s="18" t="n">
        <v>20028.75</v>
      </c>
      <c r="X75" s="18" t="n">
        <v>-11122.14</v>
      </c>
      <c r="Y75" s="18" t="n">
        <v>-5560.24</v>
      </c>
      <c r="Z75" s="34" t="n">
        <v>-1976.23</v>
      </c>
      <c r="AA75" s="18" t="n">
        <v>-7463.3</v>
      </c>
      <c r="AB75" s="19" t="n">
        <v>-3531.83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-6529.75</v>
      </c>
      <c r="F76" s="9" t="n"/>
      <c r="G76" s="18" t="n">
        <v>1609.92</v>
      </c>
      <c r="H76" s="18" t="n">
        <v>3006.2</v>
      </c>
      <c r="I76" s="18" t="n">
        <v>808.53</v>
      </c>
      <c r="J76" s="18" t="n">
        <v>-6681.07</v>
      </c>
      <c r="K76" s="34" t="n">
        <v>-1256.42</v>
      </c>
      <c r="L76" s="18" t="n">
        <v>2301.69</v>
      </c>
      <c r="M76" s="18" t="n">
        <v>-427.33</v>
      </c>
      <c r="N76" s="18" t="n">
        <v>475.44</v>
      </c>
      <c r="O76" s="18" t="n">
        <v>-509.53</v>
      </c>
      <c r="P76" s="34" t="n">
        <v>1840.27</v>
      </c>
      <c r="Q76" s="18" t="n">
        <v>886.17</v>
      </c>
      <c r="R76" s="18" t="n">
        <v>4666.02</v>
      </c>
      <c r="S76" s="18" t="n">
        <v>-14741.64</v>
      </c>
      <c r="T76" s="18" t="n">
        <v>40572.81</v>
      </c>
      <c r="U76" s="34" t="n">
        <v>31383.36</v>
      </c>
      <c r="V76" s="18" t="n">
        <v>1333.77</v>
      </c>
      <c r="W76" s="18" t="n">
        <v>-22880.15</v>
      </c>
      <c r="X76" s="18" t="n">
        <v>7333.32</v>
      </c>
      <c r="Y76" s="18" t="n">
        <v>5301.49</v>
      </c>
      <c r="Z76" s="34" t="n">
        <v>-8911.57</v>
      </c>
      <c r="AA76" s="18" t="n">
        <v>5023.07</v>
      </c>
      <c r="AB76" s="19" t="n">
        <v>481.72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-64224.89</v>
      </c>
      <c r="F77" s="9" t="n"/>
      <c r="G77" s="18" t="n">
        <v>8825.34</v>
      </c>
      <c r="H77" s="18" t="n">
        <v>10318.82</v>
      </c>
      <c r="I77" s="18" t="n">
        <v>4486.9</v>
      </c>
      <c r="J77" s="18" t="n">
        <v>1295.33</v>
      </c>
      <c r="K77" s="34" t="n">
        <v>24926.39</v>
      </c>
      <c r="L77" s="18" t="n">
        <v>20477.47</v>
      </c>
      <c r="M77" s="18" t="n">
        <v>21349.78</v>
      </c>
      <c r="N77" s="18" t="n">
        <v>5724.46</v>
      </c>
      <c r="O77" s="18" t="n">
        <v>9923.76</v>
      </c>
      <c r="P77" s="34" t="n">
        <v>57475.47</v>
      </c>
      <c r="Q77" s="18" t="n">
        <v>4114.33</v>
      </c>
      <c r="R77" s="18" t="n">
        <v>2793.27</v>
      </c>
      <c r="S77" s="18" t="n">
        <v>9112.1</v>
      </c>
      <c r="T77" s="18" t="n">
        <v>383.78</v>
      </c>
      <c r="U77" s="34" t="n">
        <v>16403.48</v>
      </c>
      <c r="V77" s="18" t="n">
        <v>4392.6</v>
      </c>
      <c r="W77" s="18" t="n">
        <v>8540.620000000001</v>
      </c>
      <c r="X77" s="18" t="n">
        <v>11036.14</v>
      </c>
      <c r="Y77" s="18" t="n">
        <v>13820.42</v>
      </c>
      <c r="Z77" s="34" t="n">
        <v>37789.78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4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4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4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4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104915.32</v>
      </c>
      <c r="F79" s="9" t="n"/>
      <c r="G79" s="18" t="n">
        <v>50082.93</v>
      </c>
      <c r="H79" s="18" t="n">
        <v>-19313.15</v>
      </c>
      <c r="I79" s="18" t="n">
        <v>-35636.61</v>
      </c>
      <c r="J79" s="18" t="n">
        <v>55677.87</v>
      </c>
      <c r="K79" s="34" t="n">
        <v>50811.04</v>
      </c>
      <c r="L79" s="18" t="n">
        <v>-58562.06</v>
      </c>
      <c r="M79" s="18" t="n">
        <v>-67842.08</v>
      </c>
      <c r="N79" s="18" t="n">
        <v>7481.01</v>
      </c>
      <c r="O79" s="18" t="n">
        <v>-40593.86</v>
      </c>
      <c r="P79" s="34" t="n">
        <v>-159516.99</v>
      </c>
      <c r="Q79" s="18" t="n">
        <v>2781.33</v>
      </c>
      <c r="R79" s="18" t="n">
        <v>40365.79</v>
      </c>
      <c r="S79" s="18" t="n">
        <v>45308.5</v>
      </c>
      <c r="T79" s="18" t="n">
        <v>39715.04</v>
      </c>
      <c r="U79" s="34" t="n">
        <v>128170.66</v>
      </c>
      <c r="V79" s="18" t="n">
        <v>58823.76</v>
      </c>
      <c r="W79" s="18" t="n">
        <v>46427.38</v>
      </c>
      <c r="X79" s="18" t="n">
        <v>-103023.7</v>
      </c>
      <c r="Y79" s="18" t="n">
        <v>-24193.89</v>
      </c>
      <c r="Z79" s="34" t="n">
        <v>-21966.45</v>
      </c>
      <c r="AA79" s="18" t="n">
        <v>47146.43</v>
      </c>
      <c r="AB79" s="19" t="n">
        <v>3798.17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-22.93</v>
      </c>
      <c r="F80" s="9" t="n"/>
      <c r="G80" s="18" t="n">
        <v>20.86</v>
      </c>
      <c r="H80" s="18" t="n">
        <v>805.35</v>
      </c>
      <c r="I80" s="18" t="n">
        <v>744.5599999999999</v>
      </c>
      <c r="J80" s="18" t="n">
        <v>2884.1</v>
      </c>
      <c r="K80" s="34" t="n">
        <v>4454.87</v>
      </c>
      <c r="L80" s="18" t="n">
        <v>1515.85</v>
      </c>
      <c r="M80" s="18" t="n">
        <v>1530.91</v>
      </c>
      <c r="N80" s="18" t="n">
        <v>1051.36</v>
      </c>
      <c r="O80" s="18" t="n">
        <v>1686.35</v>
      </c>
      <c r="P80" s="34" t="n">
        <v>5784.47</v>
      </c>
      <c r="Q80" s="18" t="n">
        <v>1216.13</v>
      </c>
      <c r="R80" s="18" t="n">
        <v>587.87</v>
      </c>
      <c r="S80" s="18" t="n">
        <v>829.11</v>
      </c>
      <c r="T80" s="18" t="n">
        <v>2076.27</v>
      </c>
      <c r="U80" s="34" t="n">
        <v>4709.38</v>
      </c>
      <c r="V80" s="18" t="n">
        <v>419.49</v>
      </c>
      <c r="W80" s="18" t="n">
        <v>870.4299999999999</v>
      </c>
      <c r="X80" s="18" t="n">
        <v>1492.4</v>
      </c>
      <c r="Y80" s="18" t="n">
        <v>218.09</v>
      </c>
      <c r="Z80" s="34" t="n">
        <v>3000.41</v>
      </c>
      <c r="AA80" s="18" t="n">
        <v>345.26</v>
      </c>
      <c r="AB80" s="19" t="n">
        <v>287.05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-2461.33</v>
      </c>
      <c r="F81" s="9" t="n"/>
      <c r="G81" s="18" t="n">
        <v>-2034.19</v>
      </c>
      <c r="H81" s="18" t="n">
        <v>-1927.47</v>
      </c>
      <c r="I81" s="18" t="n">
        <v>-1978.49</v>
      </c>
      <c r="J81" s="18" t="n">
        <v>-2043.18</v>
      </c>
      <c r="K81" s="34" t="n">
        <v>-7983.33</v>
      </c>
      <c r="L81" s="18" t="n">
        <v>-1199.35</v>
      </c>
      <c r="M81" s="18" t="n">
        <v>-1283.53</v>
      </c>
      <c r="P81" s="9" t="n"/>
      <c r="U81" s="9" t="n"/>
      <c r="V81" s="18" t="n">
        <v>-1527.5</v>
      </c>
      <c r="W81" s="18" t="n">
        <v>-1951.13</v>
      </c>
      <c r="X81" s="18" t="n">
        <v>-2513.45</v>
      </c>
      <c r="Y81" s="18" t="n">
        <v>-1625.14</v>
      </c>
      <c r="Z81" s="34" t="n">
        <v>-7617.22</v>
      </c>
      <c r="AA81" s="18" t="n">
        <v>-1781.71</v>
      </c>
      <c r="AB81" s="19" t="n">
        <v>-1796.87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10.89</v>
      </c>
      <c r="H82" s="18" t="n">
        <v>0</v>
      </c>
      <c r="I82" s="18" t="n">
        <v>0</v>
      </c>
      <c r="J82" s="18" t="n">
        <v>0</v>
      </c>
      <c r="K82" s="34" t="n">
        <v>10.89</v>
      </c>
      <c r="N82" s="18" t="n">
        <v>0</v>
      </c>
      <c r="O82" s="18" t="n">
        <v>0</v>
      </c>
      <c r="P82" s="9" t="n"/>
      <c r="S82" s="18" t="n">
        <v>0</v>
      </c>
      <c r="T82" s="18" t="n">
        <v>0</v>
      </c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-1.07</v>
      </c>
      <c r="F83" s="9" t="n"/>
      <c r="G83" s="18" t="n">
        <v>-8712.58</v>
      </c>
      <c r="H83" s="18" t="n">
        <v>-1082.94</v>
      </c>
      <c r="I83" s="18" t="n">
        <v>-3876.61</v>
      </c>
      <c r="J83" s="18" t="n">
        <v>-494.99</v>
      </c>
      <c r="K83" s="34" t="n">
        <v>-14167.12</v>
      </c>
      <c r="L83" s="18" t="n">
        <v>3734.93</v>
      </c>
      <c r="M83" s="18" t="n">
        <v>-984</v>
      </c>
      <c r="N83" s="18" t="n">
        <v>-3613.12</v>
      </c>
      <c r="O83" s="18" t="n">
        <v>1475.75</v>
      </c>
      <c r="P83" s="34" t="n">
        <v>613.5599999999999</v>
      </c>
      <c r="Q83" s="18" t="n">
        <v>-10901.66</v>
      </c>
      <c r="R83" s="18" t="n">
        <v>-1547.68</v>
      </c>
      <c r="S83" s="18" t="n">
        <v>-578.3</v>
      </c>
      <c r="T83" s="18" t="n">
        <v>-366.72</v>
      </c>
      <c r="U83" s="34" t="n">
        <v>-13394.36</v>
      </c>
      <c r="V83" s="18" t="n">
        <v>-79.06999999999999</v>
      </c>
      <c r="W83" s="18" t="n">
        <v>-189.11</v>
      </c>
      <c r="X83" s="18" t="n">
        <v>-5959.03</v>
      </c>
      <c r="Y83" s="18" t="n">
        <v>-38.63</v>
      </c>
      <c r="Z83" s="34" t="n">
        <v>-6265.84</v>
      </c>
      <c r="AA83" s="18" t="n">
        <v>-5047.06</v>
      </c>
      <c r="AB83" s="19" t="n">
        <v>-1036.34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-4782.37</v>
      </c>
      <c r="F84" s="9" t="n"/>
      <c r="G84" s="18" t="n">
        <v>-61649.25</v>
      </c>
      <c r="H84" s="18" t="n">
        <v>11482.7</v>
      </c>
      <c r="I84" s="18" t="n">
        <v>-348045.92</v>
      </c>
      <c r="J84" s="18" t="n">
        <v>28118.41</v>
      </c>
      <c r="K84" s="34" t="n">
        <v>-370094.06</v>
      </c>
      <c r="L84" s="18" t="n">
        <v>62372.9</v>
      </c>
      <c r="M84" s="18" t="n">
        <v>42886.86</v>
      </c>
      <c r="N84" s="18" t="n">
        <v>-26921.91</v>
      </c>
      <c r="O84" s="18" t="n">
        <v>2279.26</v>
      </c>
      <c r="P84" s="34" t="n">
        <v>80617.11</v>
      </c>
      <c r="Q84" s="18" t="n">
        <v>-12925.9</v>
      </c>
      <c r="R84" s="18" t="n">
        <v>-5894.5</v>
      </c>
      <c r="S84" s="18" t="n">
        <v>-41714.11</v>
      </c>
      <c r="T84" s="18" t="n">
        <v>-45838.87</v>
      </c>
      <c r="U84" s="34" t="n">
        <v>-106373.38</v>
      </c>
      <c r="V84" s="18" t="n">
        <v>-31914.2</v>
      </c>
      <c r="W84" s="18" t="n">
        <v>-74048.09</v>
      </c>
      <c r="X84" s="18" t="n">
        <v>76528.94</v>
      </c>
      <c r="Y84" s="18" t="n">
        <v>-9506.059999999999</v>
      </c>
      <c r="Z84" s="34" t="n">
        <v>-38939.41</v>
      </c>
      <c r="AA84" s="18" t="n">
        <v>-22855.66</v>
      </c>
      <c r="AB84" s="19" t="n">
        <v>-11139.02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0</v>
      </c>
      <c r="F85" s="9" t="n"/>
      <c r="I85" s="18" t="n">
        <v>14.29</v>
      </c>
      <c r="J85" s="18" t="n">
        <v>181</v>
      </c>
      <c r="K85" s="9" t="n"/>
      <c r="L85" s="18" t="n">
        <v>55.7</v>
      </c>
      <c r="M85" s="18" t="n">
        <v>7.6</v>
      </c>
      <c r="N85" s="18" t="n">
        <v>67.91</v>
      </c>
      <c r="O85" s="18" t="n">
        <v>45.12</v>
      </c>
      <c r="P85" s="34" t="n">
        <v>176.33</v>
      </c>
      <c r="Q85" s="18" t="n">
        <v>1.3</v>
      </c>
      <c r="R85" s="18" t="n">
        <v>48.57</v>
      </c>
      <c r="S85" s="18" t="n">
        <v>25.56</v>
      </c>
      <c r="T85" s="18" t="n">
        <v>3.06</v>
      </c>
      <c r="U85" s="34" t="n">
        <v>78.48999999999999</v>
      </c>
      <c r="V85" s="18" t="n">
        <v>13.66</v>
      </c>
      <c r="W85" s="18" t="n">
        <v>0</v>
      </c>
      <c r="X85" s="18" t="n">
        <v>10.82</v>
      </c>
      <c r="Y85" s="18" t="n">
        <v>231.81</v>
      </c>
      <c r="Z85" s="34" t="n">
        <v>256.29</v>
      </c>
      <c r="AA85" s="18" t="n">
        <v>2.79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1068.23</v>
      </c>
      <c r="F86" s="9" t="n"/>
      <c r="G86" s="18" t="n">
        <v>589.38</v>
      </c>
      <c r="H86" s="18" t="n">
        <v>2678.14</v>
      </c>
      <c r="I86" s="18" t="n">
        <v>4269.05</v>
      </c>
      <c r="J86" s="18" t="n">
        <v>104784.39</v>
      </c>
      <c r="K86" s="34" t="n">
        <v>112320.96</v>
      </c>
      <c r="L86" s="18" t="n">
        <v>15294.55</v>
      </c>
      <c r="M86" s="18" t="n">
        <v>16893.33</v>
      </c>
      <c r="N86" s="18" t="n">
        <v>23570.93</v>
      </c>
      <c r="O86" s="18" t="n">
        <v>44489.83</v>
      </c>
      <c r="P86" s="34" t="n">
        <v>100248.64</v>
      </c>
      <c r="Q86" s="18" t="n">
        <v>28376.95</v>
      </c>
      <c r="R86" s="18" t="n">
        <v>34112.23</v>
      </c>
      <c r="S86" s="18" t="n">
        <v>46826.21</v>
      </c>
      <c r="T86" s="18" t="n">
        <v>40330.29</v>
      </c>
      <c r="U86" s="34" t="n">
        <v>149645.68</v>
      </c>
      <c r="V86" s="18" t="n">
        <v>31856.12</v>
      </c>
      <c r="W86" s="18" t="n">
        <v>11339.13</v>
      </c>
      <c r="X86" s="18" t="n">
        <v>4396.32</v>
      </c>
      <c r="Y86" s="18" t="n">
        <v>9476.139999999999</v>
      </c>
      <c r="Z86" s="34" t="n">
        <v>57067.71</v>
      </c>
      <c r="AA86" s="18" t="n">
        <v>22815.38</v>
      </c>
      <c r="AB86" s="19" t="n">
        <v>10809.59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1035.27</v>
      </c>
      <c r="F87" s="9" t="n"/>
      <c r="G87" s="18" t="n">
        <v>889.21</v>
      </c>
      <c r="H87" s="18" t="n">
        <v>2599.05</v>
      </c>
      <c r="I87" s="18" t="n">
        <v>4395.08</v>
      </c>
      <c r="J87" s="18" t="n">
        <v>106923.47</v>
      </c>
      <c r="K87" s="34" t="n">
        <v>114806.81</v>
      </c>
      <c r="L87" s="18" t="n">
        <v>15865.51</v>
      </c>
      <c r="M87" s="18" t="n">
        <v>16854.15</v>
      </c>
      <c r="N87" s="18" t="n">
        <v>24359.36</v>
      </c>
      <c r="O87" s="18" t="n">
        <v>44662.21</v>
      </c>
      <c r="P87" s="34" t="n">
        <v>101741.23</v>
      </c>
      <c r="Q87" s="18" t="n">
        <v>28380.25</v>
      </c>
      <c r="R87" s="18" t="n">
        <v>34149.77</v>
      </c>
      <c r="S87" s="18" t="n">
        <v>46894.31</v>
      </c>
      <c r="T87" s="18" t="n">
        <v>40439.48</v>
      </c>
      <c r="U87" s="34" t="n">
        <v>149863.81</v>
      </c>
      <c r="V87" s="18" t="n">
        <v>31930.92</v>
      </c>
      <c r="W87" s="18" t="n">
        <v>11342.48</v>
      </c>
      <c r="X87" s="18" t="n">
        <v>4947.65</v>
      </c>
      <c r="Y87" s="18" t="n">
        <v>9763.049999999999</v>
      </c>
      <c r="Z87" s="34" t="n">
        <v>57984.1</v>
      </c>
      <c r="AA87" s="18" t="n">
        <v>22850.47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-17687.35</v>
      </c>
      <c r="F88" s="9" t="n"/>
      <c r="G88" s="18" t="n">
        <v>-13981.08</v>
      </c>
      <c r="H88" s="18" t="n">
        <v>-7878.15</v>
      </c>
      <c r="I88" s="18" t="n">
        <v>456072.67</v>
      </c>
      <c r="J88" s="18" t="n">
        <v>-128377.69</v>
      </c>
      <c r="K88" s="34" t="n">
        <v>305835.75</v>
      </c>
      <c r="L88" s="18" t="n">
        <v>-1500.8</v>
      </c>
      <c r="M88" s="18" t="n">
        <v>17399.09</v>
      </c>
      <c r="N88" s="18" t="n">
        <v>21310.93</v>
      </c>
      <c r="O88" s="18" t="n">
        <v>-3657.79</v>
      </c>
      <c r="P88" s="34" t="n">
        <v>33551.43</v>
      </c>
      <c r="Q88" s="18" t="n">
        <v>24488.57</v>
      </c>
      <c r="R88" s="18" t="n">
        <v>-32737.81</v>
      </c>
      <c r="S88" s="18" t="n">
        <v>-15330.67</v>
      </c>
      <c r="T88" s="18" t="n">
        <v>16390.74</v>
      </c>
      <c r="U88" s="34" t="n">
        <v>-7189.17</v>
      </c>
      <c r="V88" s="18" t="n">
        <v>38914.23</v>
      </c>
      <c r="W88" s="18" t="n">
        <v>-3045.44</v>
      </c>
      <c r="X88" s="18" t="n">
        <v>-4027.08</v>
      </c>
      <c r="Y88" s="18" t="n">
        <v>1990.16</v>
      </c>
      <c r="Z88" s="34" t="n">
        <v>33831.87</v>
      </c>
      <c r="AA88" s="18" t="n">
        <v>-23213.72</v>
      </c>
      <c r="AB88" s="19" t="n">
        <v>23823.85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16611.76</v>
      </c>
      <c r="F89" s="9" t="n"/>
      <c r="G89" s="18" t="n">
        <v>16917.18</v>
      </c>
      <c r="H89" s="18" t="n">
        <v>18042.48</v>
      </c>
      <c r="I89" s="18" t="n">
        <v>8678.5</v>
      </c>
      <c r="J89" s="18" t="n">
        <v>16388.34</v>
      </c>
      <c r="K89" s="34" t="n">
        <v>60026.5</v>
      </c>
      <c r="L89" s="18" t="n">
        <v>22242.5</v>
      </c>
      <c r="M89" s="18" t="n">
        <v>29118.46</v>
      </c>
      <c r="P89" s="9" t="n"/>
      <c r="Q89" s="18" t="n">
        <v>80397.39999999999</v>
      </c>
      <c r="R89" s="18" t="n">
        <v>3325.62</v>
      </c>
      <c r="S89" s="18" t="n">
        <v>16141.89</v>
      </c>
      <c r="T89" s="18" t="n">
        <v>52247.56</v>
      </c>
      <c r="U89" s="34" t="n">
        <v>152112.47</v>
      </c>
      <c r="V89" s="18" t="n">
        <v>57960</v>
      </c>
      <c r="W89" s="18" t="n">
        <v>1940</v>
      </c>
      <c r="X89" s="18" t="n">
        <v>8000</v>
      </c>
      <c r="Y89" s="18" t="n">
        <v>0</v>
      </c>
      <c r="Z89" s="34" t="n">
        <v>67900</v>
      </c>
      <c r="AA89" s="18" t="n">
        <v>5000</v>
      </c>
      <c r="AB89" s="19" t="n">
        <v>73440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33587.74</v>
      </c>
      <c r="F90" s="9" t="n"/>
      <c r="G90" s="18" t="n">
        <v>30158.8</v>
      </c>
      <c r="H90" s="18" t="n">
        <v>25182.52</v>
      </c>
      <c r="I90" s="18" t="n">
        <v>10829.28</v>
      </c>
      <c r="J90" s="18" t="n">
        <v>102540.06</v>
      </c>
      <c r="K90" s="34" t="n">
        <v>168710.66</v>
      </c>
      <c r="L90" s="18" t="n">
        <v>16786.15</v>
      </c>
      <c r="M90" s="18" t="n">
        <v>11936.66</v>
      </c>
      <c r="N90" s="18" t="n">
        <v>19013.12</v>
      </c>
      <c r="O90" s="18" t="n">
        <v>59807.77</v>
      </c>
      <c r="P90" s="34" t="n">
        <v>107543.7</v>
      </c>
      <c r="Q90" s="18" t="n">
        <v>51776.18</v>
      </c>
      <c r="R90" s="18" t="n">
        <v>31896.55</v>
      </c>
      <c r="S90" s="18" t="n">
        <v>27226.8</v>
      </c>
      <c r="T90" s="18" t="n">
        <v>25344.54</v>
      </c>
      <c r="U90" s="34" t="n">
        <v>136244.07</v>
      </c>
      <c r="V90" s="18" t="n">
        <v>16857.6</v>
      </c>
      <c r="W90" s="18" t="n">
        <v>3797.6</v>
      </c>
      <c r="X90" s="18" t="n">
        <v>9857.6</v>
      </c>
      <c r="Y90" s="18" t="n">
        <v>1857.6</v>
      </c>
      <c r="Z90" s="34" t="n">
        <v>32370.4</v>
      </c>
      <c r="AA90" s="18" t="n">
        <v>26857.6</v>
      </c>
      <c r="AB90" s="19" t="n">
        <v>48297.6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711.38</v>
      </c>
      <c r="F91" s="9" t="n"/>
      <c r="G91" s="18" t="n">
        <v>734.38</v>
      </c>
      <c r="H91" s="18" t="n">
        <v>738.12</v>
      </c>
      <c r="I91" s="18" t="n">
        <v>788.36</v>
      </c>
      <c r="J91" s="18" t="n">
        <v>770.98</v>
      </c>
      <c r="K91" s="34" t="n">
        <v>3031.84</v>
      </c>
      <c r="L91" s="18" t="n">
        <v>809.73</v>
      </c>
      <c r="M91" s="18" t="n">
        <v>867.59</v>
      </c>
      <c r="N91" s="18" t="n">
        <v>921.02</v>
      </c>
      <c r="O91" s="18" t="n">
        <v>4037.92</v>
      </c>
      <c r="P91" s="34" t="n">
        <v>6636.26</v>
      </c>
      <c r="Q91" s="18" t="n">
        <v>4132.65</v>
      </c>
      <c r="R91" s="18" t="n">
        <v>4166.87</v>
      </c>
      <c r="S91" s="18" t="n">
        <v>4245.77</v>
      </c>
      <c r="T91" s="18" t="n">
        <v>4277.76</v>
      </c>
      <c r="U91" s="34" t="n">
        <v>16823.05</v>
      </c>
      <c r="V91" s="18" t="n">
        <v>2188.17</v>
      </c>
      <c r="W91" s="18" t="n">
        <v>1178.75</v>
      </c>
      <c r="X91" s="18" t="n">
        <v>2145.55</v>
      </c>
      <c r="Z91" s="9" t="n"/>
      <c r="AA91" s="18" t="n">
        <v>1356.12</v>
      </c>
      <c r="AB91" s="19" t="n">
        <v>1318.55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164901.26</v>
      </c>
      <c r="F92" s="9" t="n"/>
      <c r="G92" s="18" t="n">
        <v>-51112.25</v>
      </c>
      <c r="H92" s="18" t="n">
        <v>-31347.27</v>
      </c>
      <c r="I92" s="18" t="n">
        <v>145151.83</v>
      </c>
      <c r="J92" s="18" t="n">
        <v>-90022.24000000001</v>
      </c>
      <c r="K92" s="34" t="n">
        <v>-27329.93</v>
      </c>
      <c r="L92" s="18" t="n">
        <v>4650.82</v>
      </c>
      <c r="M92" s="18" t="n">
        <v>-15069.79</v>
      </c>
      <c r="N92" s="18" t="n">
        <v>3816.92</v>
      </c>
      <c r="O92" s="18" t="n">
        <v>-84379.89999999999</v>
      </c>
      <c r="P92" s="34" t="n">
        <v>-90981.95</v>
      </c>
      <c r="Q92" s="18" t="n">
        <v>28800.82</v>
      </c>
      <c r="R92" s="18" t="n">
        <v>3463.63</v>
      </c>
      <c r="S92" s="18" t="n">
        <v>-23928.87</v>
      </c>
      <c r="T92" s="18" t="n">
        <v>6330.37</v>
      </c>
      <c r="U92" s="34" t="n">
        <v>14665.95</v>
      </c>
      <c r="V92" s="18" t="n">
        <v>65914.7</v>
      </c>
      <c r="W92" s="18" t="n">
        <v>-31329.71</v>
      </c>
      <c r="X92" s="18" t="n">
        <v>-29937.31</v>
      </c>
      <c r="Y92" s="18" t="n">
        <v>-31736.78</v>
      </c>
      <c r="Z92" s="34" t="n">
        <v>-27089.1</v>
      </c>
      <c r="AA92" s="18" t="n">
        <v>1077.64</v>
      </c>
      <c r="AB92" s="19" t="n">
        <v>16479.69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82455.67</v>
      </c>
      <c r="F93" s="9" t="n"/>
      <c r="G93" s="18" t="n">
        <v>66938.69</v>
      </c>
      <c r="H93" s="18" t="n">
        <v>-15638.68</v>
      </c>
      <c r="I93" s="18" t="n">
        <v>72761.69</v>
      </c>
      <c r="J93" s="18" t="n">
        <v>-45440.83</v>
      </c>
      <c r="K93" s="34" t="n">
        <v>78620.87</v>
      </c>
      <c r="L93" s="18" t="n">
        <v>80961.64999999999</v>
      </c>
      <c r="M93" s="18" t="n">
        <v>-7513.65</v>
      </c>
      <c r="N93" s="18" t="n">
        <v>1946.88</v>
      </c>
      <c r="O93" s="18" t="n">
        <v>-42407.5</v>
      </c>
      <c r="P93" s="34" t="n">
        <v>32987.38</v>
      </c>
      <c r="Q93" s="18" t="n">
        <v>47444.2</v>
      </c>
      <c r="R93" s="18" t="n">
        <v>1730.14</v>
      </c>
      <c r="S93" s="18" t="n">
        <v>-12192.58</v>
      </c>
      <c r="T93" s="18" t="n">
        <v>10671.57</v>
      </c>
      <c r="U93" s="34" t="n">
        <v>47653.33</v>
      </c>
      <c r="V93" s="18" t="n">
        <v>113568.03</v>
      </c>
      <c r="W93" s="18" t="n">
        <v>-31329.71</v>
      </c>
      <c r="X93" s="18" t="n">
        <v>-29937.31</v>
      </c>
      <c r="Y93" s="18" t="n">
        <v>-31736.78</v>
      </c>
      <c r="Z93" s="34" t="n">
        <v>20564.23</v>
      </c>
      <c r="AA93" s="18" t="n">
        <v>21641.86</v>
      </c>
      <c r="AB93" s="19" t="n">
        <v>16479.7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G94" s="18" t="n">
        <v>299.83</v>
      </c>
      <c r="I94" s="18" t="n">
        <v>126.03</v>
      </c>
      <c r="J94" s="18" t="n">
        <v>2139.08</v>
      </c>
      <c r="K94" s="9" t="n"/>
      <c r="L94" s="18" t="n">
        <v>570.96</v>
      </c>
      <c r="N94" s="18" t="n">
        <v>788.4299999999999</v>
      </c>
      <c r="O94" s="18" t="n">
        <v>172.38</v>
      </c>
      <c r="P94" s="9" t="n"/>
      <c r="Q94" s="18" t="n">
        <v>3.3</v>
      </c>
      <c r="R94" s="18" t="n">
        <v>37.54</v>
      </c>
      <c r="S94" s="18" t="n">
        <v>68.09999999999999</v>
      </c>
      <c r="T94" s="18" t="n">
        <v>109.19</v>
      </c>
      <c r="U94" s="34" t="n">
        <v>218.13</v>
      </c>
      <c r="V94" s="18" t="n">
        <v>74.8</v>
      </c>
      <c r="W94" s="18" t="n">
        <v>3.35</v>
      </c>
      <c r="X94" s="18" t="n">
        <v>551.33</v>
      </c>
      <c r="Y94" s="18" t="n">
        <v>286.91</v>
      </c>
      <c r="Z94" s="34" t="n">
        <v>916.39</v>
      </c>
      <c r="AA94" s="18" t="n">
        <v>35.09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F95" s="9" t="n"/>
      <c r="K95" s="9" t="n"/>
      <c r="O95" s="18" t="n">
        <v>0</v>
      </c>
      <c r="P95" s="9" t="n"/>
      <c r="S95" s="18" t="n">
        <v>0</v>
      </c>
      <c r="T95" s="18" t="n">
        <v>0</v>
      </c>
      <c r="U95" s="9" t="n"/>
      <c r="X95" s="18" t="n">
        <v>827.97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사채의감소</t>
        </is>
      </c>
      <c r="F96" s="9" t="n"/>
      <c r="K96" s="9" t="n"/>
      <c r="O96" s="18" t="n">
        <v>0</v>
      </c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0.0374</v>
      </c>
      <c r="F10" s="34" t="n"/>
      <c r="G10" s="18" t="n">
        <v>0.0998</v>
      </c>
      <c r="H10" s="18" t="n">
        <v>0.1204</v>
      </c>
      <c r="I10" s="18" t="n">
        <v>0.1188</v>
      </c>
      <c r="J10" s="18" t="n">
        <v>0.0751</v>
      </c>
      <c r="K10" s="34">
        <f>SUM(G10:J10)</f>
        <v/>
      </c>
      <c r="L10" s="18" t="n">
        <v>0.08450000000000001</v>
      </c>
      <c r="M10" s="18" t="n">
        <v>0.1167</v>
      </c>
      <c r="N10" s="18" t="n">
        <v>0.06909999999999999</v>
      </c>
      <c r="O10" s="18" t="n">
        <v>0.0499</v>
      </c>
      <c r="P10" s="34">
        <f>SUM(L10:O10)</f>
        <v/>
      </c>
      <c r="Q10" s="18" t="n">
        <v>0.0704</v>
      </c>
      <c r="R10" s="18" t="n">
        <v>0.0864</v>
      </c>
      <c r="S10" s="18" t="n">
        <v>0.07630000000000001</v>
      </c>
      <c r="T10" s="18" t="n">
        <v>0.0164</v>
      </c>
      <c r="U10" s="34">
        <f>SUM(Q10:T10)</f>
        <v/>
      </c>
      <c r="V10" s="18" t="n">
        <v>0.0429</v>
      </c>
      <c r="W10" s="18" t="n">
        <v>0.0646</v>
      </c>
      <c r="X10" s="18" t="n">
        <v>0.06569999999999999</v>
      </c>
      <c r="Y10" s="18" t="n">
        <v>0.07829999999999999</v>
      </c>
      <c r="Z10" s="34">
        <f>SUM(V10:Y10)</f>
        <v/>
      </c>
      <c r="AA10" s="18" t="n">
        <v>0.0965</v>
      </c>
      <c r="AB10" s="19" t="n">
        <v>0.1135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1096.67</v>
      </c>
      <c r="F26" s="34" t="n"/>
      <c r="G26" s="18" t="n">
        <v>504.79</v>
      </c>
      <c r="H26" s="18" t="n">
        <v>-142.15</v>
      </c>
      <c r="I26" s="18" t="n">
        <v>-295.19</v>
      </c>
      <c r="J26" s="18" t="n">
        <v>618.46</v>
      </c>
      <c r="K26" s="34">
        <f>SUM(G26:J26)</f>
        <v/>
      </c>
      <c r="L26" s="18" t="n">
        <v>-546.54</v>
      </c>
      <c r="M26" s="18" t="n">
        <v>-746.51</v>
      </c>
      <c r="N26" s="18" t="n">
        <v>-8.109999999999999</v>
      </c>
      <c r="O26" s="18" t="n">
        <v>-80.87</v>
      </c>
      <c r="P26" s="34">
        <f>SUM(L26:O26)</f>
        <v/>
      </c>
      <c r="Q26" s="18" t="n">
        <v>101.61</v>
      </c>
      <c r="R26" s="18" t="n">
        <v>518.77</v>
      </c>
      <c r="S26" s="18" t="n">
        <v>461.89</v>
      </c>
      <c r="T26" s="18" t="n">
        <v>271.41</v>
      </c>
      <c r="U26" s="34">
        <f>SUM(Q26:T26)</f>
        <v/>
      </c>
      <c r="V26" s="18" t="n">
        <v>523.8200000000001</v>
      </c>
      <c r="W26" s="18" t="n">
        <v>464.63</v>
      </c>
      <c r="X26" s="18" t="n">
        <v>-1158.5</v>
      </c>
      <c r="Y26" s="18" t="n">
        <v>-227.63</v>
      </c>
      <c r="Z26" s="34">
        <f>SUM(V26:Y26)</f>
        <v/>
      </c>
      <c r="AA26" s="18" t="n">
        <v>409.09</v>
      </c>
      <c r="AB26" s="19" t="n">
        <v>114.72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36.574</v>
      </c>
      <c r="F27" s="27">
        <f>E27</f>
        <v/>
      </c>
      <c r="G27" s="26" t="n">
        <v>37.077</v>
      </c>
      <c r="H27" s="26" t="n">
        <v>37.077</v>
      </c>
      <c r="I27" s="26" t="n">
        <v>37.077</v>
      </c>
      <c r="J27" s="26" t="n">
        <v>53.235</v>
      </c>
      <c r="K27" s="27">
        <f>J27</f>
        <v/>
      </c>
      <c r="L27" s="26" t="n">
        <v>53.235</v>
      </c>
      <c r="M27" s="26" t="n">
        <v>53.235</v>
      </c>
      <c r="N27" s="26" t="n">
        <v>59.196</v>
      </c>
      <c r="O27" s="26" t="n">
        <v>59.196</v>
      </c>
      <c r="P27" s="27">
        <f>O27</f>
        <v/>
      </c>
      <c r="Q27" s="26" t="n">
        <v>59.196</v>
      </c>
      <c r="R27" s="26" t="n">
        <v>59.196</v>
      </c>
      <c r="S27" s="26" t="n">
        <v>59.196</v>
      </c>
      <c r="T27" s="26" t="n">
        <v>59.196</v>
      </c>
      <c r="U27" s="27">
        <f>T27</f>
        <v/>
      </c>
      <c r="V27" s="26" t="n">
        <v>59.196</v>
      </c>
      <c r="W27" s="26" t="n">
        <v>60.18</v>
      </c>
      <c r="X27" s="26" t="n">
        <v>62.478</v>
      </c>
      <c r="Y27" s="26" t="n">
        <v>62.478</v>
      </c>
      <c r="Z27" s="27">
        <f>Y27</f>
        <v/>
      </c>
      <c r="AA27" s="26" t="n">
        <v>62.478</v>
      </c>
      <c r="AB27" s="28" t="n">
        <v>62.478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>
        <v>35.89</v>
      </c>
      <c r="K31" s="34">
        <f>SUM(G31:J31)</f>
        <v/>
      </c>
      <c r="L31" s="18" t="n">
        <v>26.85</v>
      </c>
      <c r="M31" s="18" t="n">
        <v>22.15</v>
      </c>
      <c r="N31" s="18" t="n">
        <v>24.27</v>
      </c>
      <c r="O31" s="18" t="n">
        <v>16.01</v>
      </c>
      <c r="P31" s="34">
        <f>SUM(L31:O31)</f>
        <v/>
      </c>
      <c r="Q31" s="18" t="n">
        <v>21.08</v>
      </c>
      <c r="R31" s="18" t="n">
        <v>36.58</v>
      </c>
      <c r="S31" s="18" t="n">
        <v>31.68</v>
      </c>
      <c r="T31" s="18" t="n">
        <v>47.06</v>
      </c>
      <c r="U31" s="34">
        <f>SUM(Q31:T31)</f>
        <v/>
      </c>
      <c r="V31" s="18" t="n">
        <v>49.62</v>
      </c>
      <c r="W31" s="18" t="n">
        <v>44.82</v>
      </c>
      <c r="X31" s="18" t="n">
        <v>54.67</v>
      </c>
      <c r="Y31" s="18" t="n">
        <v>33.22</v>
      </c>
      <c r="Z31" s="34">
        <f>SUM(V31:Y31)</f>
        <v/>
      </c>
      <c r="AA31" s="18" t="n">
        <v>28.65</v>
      </c>
      <c r="AB31" s="19" t="n">
        <v>26.29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5.49</v>
      </c>
      <c r="F32" s="34" t="n">
        <v>5.57</v>
      </c>
      <c r="G32" s="18" t="n">
        <v>4.26</v>
      </c>
      <c r="H32" s="18" t="n">
        <v>4.53</v>
      </c>
      <c r="I32" s="18" t="n">
        <v>1.76</v>
      </c>
      <c r="J32" s="18" t="n">
        <v>2.21</v>
      </c>
      <c r="K32" s="34">
        <f>SUM(G32:J32)</f>
        <v/>
      </c>
      <c r="L32" s="18" t="n">
        <v>1.97</v>
      </c>
      <c r="M32" s="18" t="n">
        <v>1.88</v>
      </c>
      <c r="N32" s="18" t="n">
        <v>1.84</v>
      </c>
      <c r="O32" s="18" t="n">
        <v>1.43</v>
      </c>
      <c r="P32" s="34">
        <f>SUM(L32:O32)</f>
        <v/>
      </c>
      <c r="Q32" s="18" t="n">
        <v>1.31</v>
      </c>
      <c r="R32" s="18" t="n">
        <v>1.18</v>
      </c>
      <c r="S32" s="18" t="n">
        <v>1.16</v>
      </c>
      <c r="T32" s="18" t="n">
        <v>1.09</v>
      </c>
      <c r="U32" s="34">
        <f>SUM(Q32:T32)</f>
        <v/>
      </c>
      <c r="V32" s="18" t="n">
        <v>1.16</v>
      </c>
      <c r="W32" s="18" t="n">
        <v>1.38</v>
      </c>
      <c r="X32" s="18" t="n">
        <v>1.77</v>
      </c>
      <c r="Y32" s="18" t="n">
        <v>1.56</v>
      </c>
      <c r="Z32" s="34">
        <f>SUM(V32:Y32)</f>
        <v/>
      </c>
      <c r="AA32" s="18" t="n">
        <v>1.51</v>
      </c>
      <c r="AB32" s="19" t="n">
        <v>1.52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1519.17</v>
      </c>
      <c r="F33" s="34" t="n"/>
      <c r="G33" s="18" t="n">
        <v>1709.84</v>
      </c>
      <c r="H33" s="18" t="n">
        <v>1695.61</v>
      </c>
      <c r="I33" s="18" t="n">
        <v>1847.52</v>
      </c>
      <c r="J33" s="18" t="n">
        <v>1665.33</v>
      </c>
      <c r="K33" s="34">
        <f>SUM(G33:J33)</f>
        <v/>
      </c>
      <c r="L33" s="18" t="n">
        <v>2197</v>
      </c>
      <c r="M33" s="18" t="n">
        <v>2579.42</v>
      </c>
      <c r="N33" s="18" t="n">
        <v>2369.97</v>
      </c>
      <c r="O33" s="18" t="n">
        <v>2111.98</v>
      </c>
      <c r="P33" s="34">
        <f>SUM(L33:O33)</f>
        <v/>
      </c>
      <c r="Q33" s="18" t="n">
        <v>1270.82</v>
      </c>
      <c r="R33" s="18" t="n">
        <v>1733.57</v>
      </c>
      <c r="S33" s="18" t="n">
        <v>1991.83</v>
      </c>
      <c r="T33" s="18" t="n">
        <v>1629.94</v>
      </c>
      <c r="U33" s="34">
        <f>SUM(Q33:T33)</f>
        <v/>
      </c>
      <c r="V33" s="18" t="n">
        <v>2571.36</v>
      </c>
      <c r="W33" s="18" t="n">
        <v>2406.25</v>
      </c>
      <c r="X33" s="18" t="n">
        <v>2931.56</v>
      </c>
      <c r="Y33" s="18" t="n">
        <v>1744.72</v>
      </c>
      <c r="Z33" s="34">
        <f>SUM(V33:Y33)</f>
        <v/>
      </c>
      <c r="AA33" s="18" t="n">
        <v>1746.56</v>
      </c>
      <c r="AB33" s="19" t="n">
        <v>1704.84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56.76</v>
      </c>
      <c r="F34" s="34" t="n"/>
      <c r="G34" s="18" t="n">
        <v>170.67</v>
      </c>
      <c r="H34" s="18" t="n">
        <v>204.19</v>
      </c>
      <c r="I34" s="18" t="n">
        <v>219.43</v>
      </c>
      <c r="J34" s="18" t="n">
        <v>125.12</v>
      </c>
      <c r="K34" s="34">
        <f>SUM(G34:J34)</f>
        <v/>
      </c>
      <c r="L34" s="18" t="n">
        <v>185.73</v>
      </c>
      <c r="M34" s="18" t="n">
        <v>301.11</v>
      </c>
      <c r="N34" s="18" t="n">
        <v>163.8</v>
      </c>
      <c r="O34" s="18" t="n">
        <v>105.41</v>
      </c>
      <c r="P34" s="34">
        <f>SUM(L34:O34)</f>
        <v/>
      </c>
      <c r="Q34" s="18" t="n">
        <v>89.45</v>
      </c>
      <c r="R34" s="18" t="n">
        <v>149.81</v>
      </c>
      <c r="S34" s="18" t="n">
        <v>151.96</v>
      </c>
      <c r="T34" s="18" t="n">
        <v>26.75</v>
      </c>
      <c r="U34" s="34">
        <f>SUM(Q34:T34)</f>
        <v/>
      </c>
      <c r="V34" s="18" t="n">
        <v>110.41</v>
      </c>
      <c r="W34" s="18" t="n">
        <v>155.51</v>
      </c>
      <c r="X34" s="18" t="n">
        <v>192.54</v>
      </c>
      <c r="Y34" s="18" t="n">
        <v>136.64</v>
      </c>
      <c r="Z34" s="34">
        <f>SUM(V34:Y34)</f>
        <v/>
      </c>
      <c r="AA34" s="18" t="n">
        <v>168.58</v>
      </c>
      <c r="AB34" s="19" t="n">
        <v>193.44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615.6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18.76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0.0459</v>
      </c>
    </row>
    <row r="34">
      <c r="C34" s="2" t="inlineStr">
        <is>
          <t>fair_pbr</t>
        </is>
      </c>
      <c r="D34" t="n">
        <v>0.51</v>
      </c>
    </row>
    <row r="35">
      <c r="C35" s="2" t="inlineStr">
        <is>
          <t>fair_value_pbr</t>
        </is>
      </c>
      <c r="D35" t="n">
        <v>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