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BS별도!$C$5:$AO$97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3절 스칼라 '판관비율' 참조 — 숫자로 덮어쓰면 이 분기만 바뀐다
매출액 × 판관비율 4.11%(최근 4분기 중위)</t>
      </text>
    </comment>
    <comment ref="AD22" authorId="0" shapeId="0">
      <text>
        <t>3절 스칼라 '판관비율' 참조 — 숫자로 덮어쓰면 이 분기만 바뀐다
매출액 × 판관비율 4.11%(최근 4분기 중위)</t>
      </text>
    </comment>
    <comment ref="AF22" authorId="0" shapeId="0">
      <text>
        <t>3절 스칼라 '판관비율' 참조 — 숫자로 덮어쓰면 이 분기만 바뀐다
매출액 × 판관비율 4.11%(최근 4분기 중위)</t>
      </text>
    </comment>
    <comment ref="AG22" authorId="0" shapeId="0">
      <text>
        <t>3절 스칼라 '판관비율' 참조 — 숫자로 덮어쓰면 이 분기만 바뀐다
매출액 × 판관비율 4.11%(최근 4분기 중위)</t>
      </text>
    </comment>
    <comment ref="AH22" authorId="0" shapeId="0">
      <text>
        <t>3절 스칼라 '판관비율' 참조 — 숫자로 덮어쓰면 이 분기만 바뀐다
매출액 × 판관비율 4.11%(최근 4분기 중위)</t>
      </text>
    </comment>
    <comment ref="AI22" authorId="0" shapeId="0">
      <text>
        <t>3절 스칼라 '판관비율' 참조 — 숫자로 덮어쓰면 이 분기만 바뀐다
매출액 × 판관비율 4.11%(최근 4분기 중위)</t>
      </text>
    </comment>
    <comment ref="AK22" authorId="0" shapeId="0">
      <text>
        <t>3절 스칼라 '판관비율' 참조 — 숫자로 덮어쓰면 이 분기만 바뀐다
매출액 × 판관비율 4.11%(최근 4분기 중위)</t>
      </text>
    </comment>
    <comment ref="AL22" authorId="0" shapeId="0">
      <text>
        <t>3절 스칼라 '판관비율' 참조 — 숫자로 덮어쓰면 이 분기만 바뀐다
매출액 × 판관비율 4.11%(최근 4분기 중위)</t>
      </text>
    </comment>
    <comment ref="AM22" authorId="0" shapeId="0">
      <text>
        <t>3절 스칼라 '판관비율' 참조 — 숫자로 덮어쓰면 이 분기만 바뀐다
매출액 × 판관비율 4.11%(최근 4분기 중위)</t>
      </text>
    </comment>
    <comment ref="AN22" authorId="0" shapeId="0">
      <text>
        <t>3절 스칼라 '판관비율' 참조 — 숫자로 덮어쓰면 이 분기만 바뀐다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-8.59억이 이자손익 추정 -10.95억의 50% 초과 → 0(경고)</t>
      </text>
    </comment>
    <comment ref="AD26" authorId="0" shapeId="0">
      <text>
        <t>모델값 역산(implied): 모델 v 그대로
최근 4분기 중위 -8.59억이 이자손익 추정 -10.95억의 50% 초과 → 0(경고)</t>
      </text>
    </comment>
    <comment ref="AF26" authorId="0" shapeId="0">
      <text>
        <t>모델값 역산(implied): 모델 v 그대로
최근 4분기 중위 -8.59억이 이자손익 추정 -10.95억의 50% 초과 → 0(경고)</t>
      </text>
    </comment>
    <comment ref="AG26" authorId="0" shapeId="0">
      <text>
        <t>모델값 역산(implied): 모델 v 그대로
최근 4분기 중위 -8.59억이 이자손익 추정 -10.95억의 50% 초과 → 0(경고)</t>
      </text>
    </comment>
    <comment ref="AH26" authorId="0" shapeId="0">
      <text>
        <t>모델값 역산(implied): 모델 v 그대로
최근 4분기 중위 -8.59억이 이자손익 추정 -10.95억의 50% 초과 → 0(경고)</t>
      </text>
    </comment>
    <comment ref="AI26" authorId="0" shapeId="0">
      <text>
        <t>모델값 역산(implied): 모델 v 그대로
최근 4분기 중위 -8.59억이 이자손익 추정 -10.95억의 50% 초과 → 0(경고)</t>
      </text>
    </comment>
    <comment ref="AK26" authorId="0" shapeId="0">
      <text>
        <t>모델값 역산(implied): 모델 v 그대로
최근 4분기 중위 -8.59억이 이자손익 추정 -10.95억의 50% 초과 → 0(경고)</t>
      </text>
    </comment>
    <comment ref="AL26" authorId="0" shapeId="0">
      <text>
        <t>모델값 역산(implied): 모델 v 그대로
최근 4분기 중위 -8.59억이 이자손익 추정 -10.95억의 50% 초과 → 0(경고)</t>
      </text>
    </comment>
    <comment ref="AM26" authorId="0" shapeId="0">
      <text>
        <t>모델값 역산(implied): 모델 v 그대로
최근 4분기 중위 -8.59억이 이자손익 추정 -10.95억의 50% 초과 → 0(경고)</t>
      </text>
    </comment>
    <comment ref="AN26" authorId="0" shapeId="0">
      <text>
        <t>모델값 역산(implied): 모델 v 그대로
최근 4분기 중위 -8.59억이 이자손익 추정 -10.95억의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D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F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G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H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I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K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L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M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N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AC10" authorId="0" shapeId="0">
      <text>
        <t>추정: 최근 8분기 OPM 중위 7.1% 유지(클립 −20~40%)
[divide]</t>
      </text>
    </comment>
    <comment ref="AD10" authorId="0" shapeId="0">
      <text>
        <t>추정: 최근 8분기 OPM 중위 7.1% 유지(클립 −20~40%)
[divide]</t>
      </text>
    </comment>
    <comment ref="AF10" authorId="0" shapeId="0">
      <text>
        <t>추정: 최근 8분기 OPM 중위 7.1% 유지(클립 −20~40%)
[divide]</t>
      </text>
    </comment>
    <comment ref="AG10" authorId="0" shapeId="0">
      <text>
        <t>추정: 최근 8분기 OPM 중위 7.1% 유지(클립 −20~40%)
[divide]</t>
      </text>
    </comment>
    <comment ref="AH10" authorId="0" shapeId="0">
      <text>
        <t>추정: 최근 8분기 OPM 중위 7.1% 유지(클립 −20~40%)
[divide]</t>
      </text>
    </comment>
    <comment ref="AI10" authorId="0" shapeId="0">
      <text>
        <t>추정: 최근 8분기 OPM 중위 7.1% 유지(클립 −20~40%)
[divide]</t>
      </text>
    </comment>
    <comment ref="AK10" authorId="0" shapeId="0">
      <text>
        <t>추정: 최근 8분기 OPM 중위 7.1% 유지(클립 −20~40%)
[divide]</t>
      </text>
    </comment>
    <comment ref="AL10" authorId="0" shapeId="0">
      <text>
        <t>추정: 최근 8분기 OPM 중위 7.1% 유지(클립 −20~40%)
[divide]</t>
      </text>
    </comment>
    <comment ref="AM10" authorId="0" shapeId="0">
      <text>
        <t>추정: 최근 8분기 OPM 중위 7.1% 유지(클립 −20~40%)
[divide]</t>
      </text>
    </comment>
    <comment ref="AN10" authorId="0" shapeId="0">
      <text>
        <t>추정: 최근 8분기 OPM 중위 7.1% 유지(클립 −20~40%)
[divide]</t>
      </text>
    </comment>
    <comment ref="AC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713억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865억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953억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1041억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1128억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1278억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1366억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1454억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1541억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1692억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C12" authorId="0" shapeId="0">
      <text>
        <t>추정: 이자발생자산 713억 × 3.23%(주석 이자수익 ÷ 평균 이자발생자산(2025Q3~2026Q2)) − 총차입금 2150억 × 3.11%(주석 이자비용 ÷ 평균 총차입금(2025Q3~2026Q2)) (연율) ÷ 4
[interest]</t>
      </text>
    </comment>
    <comment ref="AD12" authorId="0" shapeId="0">
      <text>
        <t>추정: 이자발생자산 865억 × 3.23%(주석 이자수익 ÷ 평균 이자발생자산(2025Q3~2026Q2)) − 총차입금 2150억 × 3.11%(주석 이자비용 ÷ 평균 총차입금(2025Q3~2026Q2)) (연율) ÷ 4
[interest]</t>
      </text>
    </comment>
    <comment ref="AF12" authorId="0" shapeId="0">
      <text>
        <t>추정: 이자발생자산 953억 × 3.23%(주석 이자수익 ÷ 평균 이자발생자산(2025Q3~2026Q2)) − 총차입금 2150억 × 3.11%(주석 이자비용 ÷ 평균 총차입금(2025Q3~2026Q2)) (연율) ÷ 4
[interest]</t>
      </text>
    </comment>
    <comment ref="AG12" authorId="0" shapeId="0">
      <text>
        <t>추정: 이자발생자산 1041억 × 3.23%(주석 이자수익 ÷ 평균 이자발생자산(2025Q3~2026Q2)) − 총차입금 2150억 × 3.11%(주석 이자비용 ÷ 평균 총차입금(2025Q3~2026Q2)) (연율) ÷ 4
[interest]</t>
      </text>
    </comment>
    <comment ref="AH12" authorId="0" shapeId="0">
      <text>
        <t>추정: 이자발생자산 1128억 × 3.23%(주석 이자수익 ÷ 평균 이자발생자산(2025Q3~2026Q2)) − 총차입금 2150억 × 3.11%(주석 이자비용 ÷ 평균 총차입금(2025Q3~2026Q2)) (연율) ÷ 4
[interest]</t>
      </text>
    </comment>
    <comment ref="AI12" authorId="0" shapeId="0">
      <text>
        <t>추정: 이자발생자산 1278억 × 3.23%(주석 이자수익 ÷ 평균 이자발생자산(2025Q3~2026Q2)) − 총차입금 2150억 × 3.11%(주석 이자비용 ÷ 평균 총차입금(2025Q3~2026Q2)) (연율) ÷ 4
[interest]</t>
      </text>
    </comment>
    <comment ref="AK12" authorId="0" shapeId="0">
      <text>
        <t>추정: 이자발생자산 1366억 × 3.23%(주석 이자수익 ÷ 평균 이자발생자산(2025Q3~2026Q2)) − 총차입금 2150억 × 3.11%(주석 이자비용 ÷ 평균 총차입금(2025Q3~2026Q2)) (연율) ÷ 4
[interest]</t>
      </text>
    </comment>
    <comment ref="AL12" authorId="0" shapeId="0">
      <text>
        <t>추정: 이자발생자산 1454억 × 3.23%(주석 이자수익 ÷ 평균 이자발생자산(2025Q3~2026Q2)) − 총차입금 2150억 × 3.11%(주석 이자비용 ÷ 평균 총차입금(2025Q3~2026Q2)) (연율) ÷ 4
[interest]</t>
      </text>
    </comment>
    <comment ref="AM12" authorId="0" shapeId="0">
      <text>
        <t>추정: 이자발생자산 1541억 × 3.23%(주석 이자수익 ÷ 평균 이자발생자산(2025Q3~2026Q2)) − 총차입금 2150억 × 3.11%(주석 이자비용 ÷ 평균 총차입금(2025Q3~2026Q2)) (연율) ÷ 4
[interest]</t>
      </text>
    </comment>
    <comment ref="AN12" authorId="0" shapeId="0">
      <text>
        <t>추정: 이자발생자산 1692억 × 3.23%(주석 이자수익 ÷ 평균 이자발생자산(2025Q3~2026Q2)) − 총차입금 2150억 × 3.11%(주석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-8.59억이 이자손익 추정 -10.95억의 50% 초과 → 0(경고)
[abs]</t>
      </text>
    </comment>
    <comment ref="AD15" authorId="0" shapeId="0">
      <text>
        <t>추정: 최근 4분기 중위 -8.59억이 이자손익 추정 -10.95억의 50% 초과 → 0(경고)
[abs]</t>
      </text>
    </comment>
    <comment ref="AF15" authorId="0" shapeId="0">
      <text>
        <t>추정: 최근 4분기 중위 -8.59억이 이자손익 추정 -10.95억의 50% 초과 → 0(경고)
[abs]</t>
      </text>
    </comment>
    <comment ref="AG15" authorId="0" shapeId="0">
      <text>
        <t>추정: 최근 4분기 중위 -8.59억이 이자손익 추정 -10.95억의 50% 초과 → 0(경고)
[abs]</t>
      </text>
    </comment>
    <comment ref="AH15" authorId="0" shapeId="0">
      <text>
        <t>추정: 최근 4분기 중위 -8.59억이 이자손익 추정 -10.95억의 50% 초과 → 0(경고)
[abs]</t>
      </text>
    </comment>
    <comment ref="AI15" authorId="0" shapeId="0">
      <text>
        <t>추정: 최근 4분기 중위 -8.59억이 이자손익 추정 -10.95억의 50% 초과 → 0(경고)
[abs]</t>
      </text>
    </comment>
    <comment ref="AK15" authorId="0" shapeId="0">
      <text>
        <t>추정: 최근 4분기 중위 -8.59억이 이자손익 추정 -10.95억의 50% 초과 → 0(경고)
[abs]</t>
      </text>
    </comment>
    <comment ref="AL15" authorId="0" shapeId="0">
      <text>
        <t>추정: 최근 4분기 중위 -8.59억이 이자손익 추정 -10.95억의 50% 초과 → 0(경고)
[abs]</t>
      </text>
    </comment>
    <comment ref="AM15" authorId="0" shapeId="0">
      <text>
        <t>추정: 최근 4분기 중위 -8.59억이 이자손익 추정 -10.95억의 50% 초과 → 0(경고)
[abs]</t>
      </text>
    </comment>
    <comment ref="AN15" authorId="0" shapeId="0">
      <text>
        <t>추정: 최근 4분기 중위 -8.59억이 이자손익 추정 -10.95억의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18.3%(5~27% 안 — 그대로))
[tax]</t>
      </text>
    </comment>
    <comment ref="AD18" authorId="0" shapeId="0">
      <text>
        <t>추정: max(세전, 0) × 세율 18.3%(최근 12분기 유효세율 18.3%(5~27% 안 — 그대로))
[tax]</t>
      </text>
    </comment>
    <comment ref="AF18" authorId="0" shapeId="0">
      <text>
        <t>추정: max(세전, 0) × 세율 18.3%(최근 12분기 유효세율 18.3%(5~27% 안 — 그대로))
[tax]</t>
      </text>
    </comment>
    <comment ref="AG18" authorId="0" shapeId="0">
      <text>
        <t>추정: max(세전, 0) × 세율 18.3%(최근 12분기 유효세율 18.3%(5~27% 안 — 그대로))
[tax]</t>
      </text>
    </comment>
    <comment ref="AH18" authorId="0" shapeId="0">
      <text>
        <t>추정: max(세전, 0) × 세율 18.3%(최근 12분기 유효세율 18.3%(5~27% 안 — 그대로))
[tax]</t>
      </text>
    </comment>
    <comment ref="AI18" authorId="0" shapeId="0">
      <text>
        <t>추정: max(세전, 0) × 세율 18.3%(최근 12분기 유효세율 18.3%(5~27% 안 — 그대로))
[tax]</t>
      </text>
    </comment>
    <comment ref="AK18" authorId="0" shapeId="0">
      <text>
        <t>추정: max(세전, 0) × 세율 18.3%(최근 12분기 유효세율 18.3%(5~27% 안 — 그대로))
[tax]</t>
      </text>
    </comment>
    <comment ref="AL18" authorId="0" shapeId="0">
      <text>
        <t>추정: max(세전, 0) × 세율 18.3%(최근 12분기 유효세율 18.3%(5~27% 안 — 그대로))
[tax]</t>
      </text>
    </comment>
    <comment ref="AM18" authorId="0" shapeId="0">
      <text>
        <t>추정: max(세전, 0) × 세율 18.3%(최근 12분기 유효세율 18.3%(5~27% 안 — 그대로))
[tax]</t>
      </text>
    </comment>
    <comment ref="AN18" authorId="0" shapeId="0">
      <text>
        <t>추정: max(세전, 0) × 세율 18.3%(최근 12분기 유효세율 18.3%(5~27%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18.29% — 법인세 = MAX(세전,0) × 세율, 추정 전 분기 연결(Σ법인세/Σmax(세전,0) 역산, 재현 오차 ≤ 0.05억). 모델 가정 18.29% · 근거: 최근 12분기 유효세율 18.3%(5~27% 안 — 그대로)</t>
        </is>
      </c>
    </row>
    <row r="23">
      <c r="A23" t="inlineStr">
        <is>
          <t>· 판관비율 4.11%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3.11% — 이자손익 = (전분기 이자발생자산 × 자산이자율 − 전분기 총차입금 × 부채이자율)/4, 최소자승 역산(모델 assumptions [0.0323, 0.0311]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assets/models/100090.json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-8.6억이 이자손익 추정 -11.0억의 50% 초과 → 추정 0 — 평가손익·재분류 여부는 주석 확인 / 금융손익 실적→추정 단절: 최근 4분기 실적 -116/-62/-81/-42(중위 -71억) → 추정 2026Q3 -11억(차 +61억, +85%)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37.4, "op_wape_pct": 12.8,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20" t="n">
        <v>12030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20" t="n">
        <v>12970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20" t="n">
        <v>11650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20" t="n">
        <v>12274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-0.054851632</v>
      </c>
      <c r="AD21" s="24" t="n">
        <v>-0.054851262</v>
      </c>
      <c r="AE21" s="25" t="n"/>
      <c r="AF21" s="24" t="n">
        <v>-0.05485149</v>
      </c>
      <c r="AG21" s="24" t="n">
        <v>-0.054852272</v>
      </c>
      <c r="AH21" s="24" t="n">
        <v>-0.027425688</v>
      </c>
      <c r="AI21" s="24" t="n">
        <v>-0.027428412</v>
      </c>
      <c r="AJ21" s="25" t="n"/>
      <c r="AK21" s="24" t="n">
        <v>-0.027423732</v>
      </c>
      <c r="AL21" s="24" t="n">
        <v>-0.02742455</v>
      </c>
      <c r="AM21" s="24" t="n">
        <v>-0.013711745</v>
      </c>
      <c r="AN21" s="24" t="n">
        <v>-0.013711271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0.070984134</v>
      </c>
      <c r="AD23" s="24" t="n">
        <v>0.070987617</v>
      </c>
      <c r="AE23" s="25">
        <f>IFERROR(subQ!AE9/subQ!AE5,"")</f>
        <v/>
      </c>
      <c r="AF23" s="24" t="n">
        <v>0.070985485</v>
      </c>
      <c r="AG23" s="24" t="n">
        <v>0.07098483899999999</v>
      </c>
      <c r="AH23" s="24" t="n">
        <v>0.07098565</v>
      </c>
      <c r="AI23" s="24" t="n">
        <v>0.07098186200000001</v>
      </c>
      <c r="AJ23" s="25">
        <f>IFERROR(subQ!AJ9/subQ!AJ5,"")</f>
        <v/>
      </c>
      <c r="AK23" s="24" t="n">
        <v>0.070981445</v>
      </c>
      <c r="AL23" s="24" t="n">
        <v>0.07098280899999999</v>
      </c>
      <c r="AM23" s="24" t="n">
        <v>0.070982986</v>
      </c>
      <c r="AN23" s="24" t="n">
        <v>0.070982425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2.7e-08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-0.008113537000000001</v>
      </c>
      <c r="AD31" s="30" t="n">
        <v>0.001656618</v>
      </c>
      <c r="AE31" s="31" t="n"/>
      <c r="AF31" s="30" t="n">
        <v>0.008455862</v>
      </c>
      <c r="AG31" s="30" t="n">
        <v>-0.006221611</v>
      </c>
      <c r="AH31" s="30" t="n">
        <v>-0.000210217</v>
      </c>
      <c r="AI31" s="30" t="n">
        <v>-0.005043923</v>
      </c>
      <c r="AJ31" s="31" t="n"/>
      <c r="AK31" s="30" t="n">
        <v>0.002415773</v>
      </c>
      <c r="AL31" s="30" t="n">
        <v>-0.006234697</v>
      </c>
      <c r="AM31" s="30" t="n">
        <v>-0.002439474</v>
      </c>
      <c r="AN31" s="30" t="n">
        <v>0.000863536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-0.008113537000000001</v>
      </c>
      <c r="AD32" s="30" t="n">
        <v>0.001656618</v>
      </c>
      <c r="AE32" s="31" t="n"/>
      <c r="AF32" s="30" t="n">
        <v>0.008455862</v>
      </c>
      <c r="AG32" s="30" t="n">
        <v>-0.006221611</v>
      </c>
      <c r="AH32" s="30" t="n">
        <v>-0.000210217</v>
      </c>
      <c r="AI32" s="30" t="n">
        <v>-0.005043923</v>
      </c>
      <c r="AJ32" s="31" t="n"/>
      <c r="AK32" s="30" t="n">
        <v>0.002415773</v>
      </c>
      <c r="AL32" s="30" t="n">
        <v>-0.006234697</v>
      </c>
      <c r="AM32" s="30" t="n">
        <v>-0.002439474</v>
      </c>
      <c r="AN32" s="30" t="n">
        <v>0.000863536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-1.4e-07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-0.08917205</v>
      </c>
      <c r="AD34" s="24" t="n">
        <v>-0.056575535</v>
      </c>
      <c r="AE34" s="25" t="n"/>
      <c r="AF34" s="24" t="n">
        <v>-0.060433249</v>
      </c>
      <c r="AG34" s="24" t="n">
        <v>-0.063075848</v>
      </c>
      <c r="AH34" s="24" t="n">
        <v>-0.116584718</v>
      </c>
      <c r="AI34" s="24" t="n">
        <v>-0.077200387</v>
      </c>
      <c r="AJ34" s="25" t="n"/>
      <c r="AK34" s="24" t="n">
        <v>-0.08430681299999999</v>
      </c>
      <c r="AL34" s="24" t="n">
        <v>-0.090351918</v>
      </c>
      <c r="AM34" s="24" t="n">
        <v>-0.172353836</v>
      </c>
      <c r="AN34" s="24" t="n">
        <v>-0.123355263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0.212710311</v>
      </c>
      <c r="AD35" s="24" t="n">
        <v>0.101360332</v>
      </c>
      <c r="AE35" s="25" t="n"/>
      <c r="AF35" s="24" t="n">
        <v>0.09274553200000001</v>
      </c>
      <c r="AG35" s="24" t="n">
        <v>0.08323169900000001</v>
      </c>
      <c r="AH35" s="24" t="n">
        <v>0.13306087</v>
      </c>
      <c r="AI35" s="24" t="n">
        <v>0.068697333</v>
      </c>
      <c r="AJ35" s="25" t="n"/>
      <c r="AK35" s="24" t="n">
        <v>0.064779225</v>
      </c>
      <c r="AL35" s="24" t="n">
        <v>0.059703648</v>
      </c>
      <c r="AM35" s="24" t="n">
        <v>0.09776275299999999</v>
      </c>
      <c r="AN35" s="24" t="n">
        <v>0.052752904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1.063014906</v>
      </c>
      <c r="AD37" s="24" t="n">
        <v>0.025862448</v>
      </c>
      <c r="AE37" s="25" t="n"/>
      <c r="AF37" s="24" t="n">
        <v>-0.537960589</v>
      </c>
      <c r="AG37" s="24" t="n">
        <v>-0.024573134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12030</v>
      </c>
      <c r="E43" s="2" t="inlineStr">
        <is>
          <t>원 — 네이버 정규장 종가(aik 확정종가 대조 · aik 12,400원)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31.7배가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0.1828882817104065</v>
      </c>
      <c r="E50" s="2" t="inlineStr">
        <is>
          <t>연결 — 법인세 = MAX(세전,0) × 세율(역산, 재현 오차 ≤ 0.05억 · 모델 assumptions 0.1829) · 최근 12분기 유효세율 18.3%(5~27%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0.04107219837588203</v>
      </c>
      <c r="E51" s="2" t="inlineStr">
        <is>
          <t>연결 — 판관비 = 매출액 × 판관비율(역산, 재현 오차 ≤ 0.05억 · 모델 assumptions 0.0411)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0.0323048322022405</v>
      </c>
      <c r="E53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0.03109523150897582</v>
      </c>
      <c r="E54" s="2" t="inlineStr">
        <is>
          <t>연결 — 같은 수식의 부채 쪽(총차입금 행이 없으면 0)(역산, 재현 오차 ≤ 0.05억 · 모델 assumptions 0.0311)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7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7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7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7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7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7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7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7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7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7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7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7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7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7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7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7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7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7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7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7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7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7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7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7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7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7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7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7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7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7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7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7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7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7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7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7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7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7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7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7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7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7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7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7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7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7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7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7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7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7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7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7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7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7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7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7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7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7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7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7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7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7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7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7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7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7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7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7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7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7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7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7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7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7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7" t="n">
        <v>66086.78999999999</v>
      </c>
      <c r="L21" s="18" t="n">
        <v>71284.35000000001</v>
      </c>
      <c r="M21" s="18" t="n">
        <v>122326.45</v>
      </c>
      <c r="N21" s="18" t="n">
        <v>105256.4</v>
      </c>
      <c r="O21" s="18" t="n">
        <v>104574.51</v>
      </c>
      <c r="P21" s="37" t="n">
        <v>104574.51</v>
      </c>
      <c r="Q21" s="18" t="n">
        <v>117053.33</v>
      </c>
      <c r="R21" s="18" t="n">
        <v>105340</v>
      </c>
      <c r="S21" s="18" t="n">
        <v>96481.89999999999</v>
      </c>
      <c r="T21" s="18" t="n">
        <v>107670.4</v>
      </c>
      <c r="U21" s="37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7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7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7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7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7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7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7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7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7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7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7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7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7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7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7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7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7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7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7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7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7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7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7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7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7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7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7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7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7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7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7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7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7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7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7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7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7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116226.72</v>
      </c>
      <c r="K29" s="37" t="n">
        <v>116226.72</v>
      </c>
      <c r="L29" s="18" t="n">
        <v>145537.48</v>
      </c>
      <c r="M29" s="18" t="n">
        <v>148435.53</v>
      </c>
      <c r="N29" s="18" t="n">
        <v>69098.71000000001</v>
      </c>
      <c r="O29" s="18" t="n">
        <v>54621.06</v>
      </c>
      <c r="P29" s="37" t="n">
        <v>54621.06</v>
      </c>
      <c r="Q29" s="18" t="n">
        <v>55942.33</v>
      </c>
      <c r="R29" s="18" t="n">
        <v>56085.46</v>
      </c>
      <c r="S29" s="18" t="n">
        <v>55891.95</v>
      </c>
      <c r="T29" s="18" t="n">
        <v>38360.72</v>
      </c>
      <c r="U29" s="37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7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7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7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7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7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7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7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7" t="n">
        <v>32866.63</v>
      </c>
      <c r="Q31" s="18" t="n">
        <v>60459.03</v>
      </c>
      <c r="R31" s="18" t="n">
        <v>39151.43</v>
      </c>
      <c r="S31" s="18" t="n">
        <v>37643.83</v>
      </c>
      <c r="T31" s="18" t="n">
        <v>65304.23</v>
      </c>
      <c r="U31" s="37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7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사채</t>
        </is>
      </c>
      <c r="E32" s="18" t="n">
        <v>4866.18</v>
      </c>
      <c r="F32" s="37" t="n">
        <v>4866.18</v>
      </c>
      <c r="G32" s="18" t="n">
        <v>4882.85</v>
      </c>
      <c r="H32" s="18" t="n">
        <v>4900.06</v>
      </c>
      <c r="I32" s="18" t="n">
        <v>4917.33</v>
      </c>
      <c r="J32" s="18" t="n">
        <v>31435.98</v>
      </c>
      <c r="K32" s="37" t="n">
        <v>31435.98</v>
      </c>
      <c r="P32" s="9" t="n"/>
      <c r="T32" s="18" t="n">
        <v>0</v>
      </c>
      <c r="U32" s="37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7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7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7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7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42.91</v>
      </c>
      <c r="F34" s="37" t="n">
        <v>42.91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7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7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7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7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11396.83</v>
      </c>
      <c r="F35" s="37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7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7" t="n">
        <v>9187.450000000001</v>
      </c>
      <c r="Q35" s="18" t="n">
        <v>7162.15</v>
      </c>
      <c r="R35" s="18" t="n">
        <v>6254.38</v>
      </c>
      <c r="S35" s="18" t="n">
        <v>5019.11</v>
      </c>
      <c r="T35" s="18" t="n">
        <v>4175.97</v>
      </c>
      <c r="U35" s="37" t="n">
        <v>4175.97</v>
      </c>
      <c r="V35" s="18" t="n">
        <v>4123.92</v>
      </c>
      <c r="W35" s="18" t="n">
        <v>4075.48</v>
      </c>
      <c r="X35" s="18" t="n">
        <v>3035.64</v>
      </c>
      <c r="Y35" s="18" t="n">
        <v>2138.42</v>
      </c>
      <c r="Z35" s="37" t="n">
        <v>2138.42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11396.83</v>
      </c>
      <c r="F36" s="37" t="n">
        <v>11396.83</v>
      </c>
      <c r="G36" s="18" t="n">
        <v>9754.860000000001</v>
      </c>
      <c r="H36" s="18" t="n">
        <v>10487.2</v>
      </c>
      <c r="I36" s="18" t="n">
        <v>10239.27</v>
      </c>
      <c r="J36" s="18" t="n">
        <v>9707.219999999999</v>
      </c>
      <c r="K36" s="37" t="n">
        <v>9707.219999999999</v>
      </c>
      <c r="L36" s="18" t="n">
        <v>10059.59</v>
      </c>
      <c r="M36" s="18" t="n">
        <v>9869.9</v>
      </c>
      <c r="N36" s="18" t="n">
        <v>8638.1</v>
      </c>
      <c r="O36" s="18" t="n">
        <v>9187.450000000001</v>
      </c>
      <c r="P36" s="37" t="n">
        <v>9187.450000000001</v>
      </c>
      <c r="Q36" s="18" t="n">
        <v>7310.52</v>
      </c>
      <c r="R36" s="18" t="n">
        <v>11364.64</v>
      </c>
      <c r="S36" s="18" t="n">
        <v>10309.43</v>
      </c>
      <c r="T36" s="18" t="n">
        <v>19085.35</v>
      </c>
      <c r="U36" s="37" t="n">
        <v>19085.35</v>
      </c>
      <c r="V36" s="18" t="n">
        <v>16595.12</v>
      </c>
      <c r="W36" s="18" t="n">
        <v>5868.15</v>
      </c>
      <c r="X36" s="18" t="n">
        <v>4856.61</v>
      </c>
      <c r="Y36" s="18" t="n">
        <v>2141.24</v>
      </c>
      <c r="Z36" s="37" t="n">
        <v>2141.24</v>
      </c>
      <c r="AA36" s="18" t="n">
        <v>2823.76</v>
      </c>
      <c r="AB36" s="19" t="n">
        <v>2526.79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559312.17</v>
      </c>
      <c r="F37" s="37" t="n">
        <v>559312.17</v>
      </c>
      <c r="G37" s="18" t="n">
        <v>587682.45</v>
      </c>
      <c r="H37" s="18" t="n">
        <v>604380.4</v>
      </c>
      <c r="I37" s="18" t="n">
        <v>712166.52</v>
      </c>
      <c r="J37" s="18" t="n">
        <v>694046.4300000001</v>
      </c>
      <c r="K37" s="37" t="n">
        <v>694046.4300000001</v>
      </c>
      <c r="L37" s="18" t="n">
        <v>791576.47</v>
      </c>
      <c r="M37" s="18" t="n">
        <v>833633.15</v>
      </c>
      <c r="N37" s="18" t="n">
        <v>751131.92</v>
      </c>
      <c r="O37" s="18" t="n">
        <v>733064.71</v>
      </c>
      <c r="P37" s="37" t="n">
        <v>733064.71</v>
      </c>
      <c r="Q37" s="18" t="n">
        <v>803045.85</v>
      </c>
      <c r="R37" s="18" t="n">
        <v>741723.87</v>
      </c>
      <c r="S37" s="18" t="n">
        <v>661227.9399999999</v>
      </c>
      <c r="T37" s="18" t="n">
        <v>708435.87</v>
      </c>
      <c r="U37" s="37" t="n">
        <v>708435.87</v>
      </c>
      <c r="V37" s="18" t="n">
        <v>674343.9399999999</v>
      </c>
      <c r="W37" s="18" t="n">
        <v>576043.01</v>
      </c>
      <c r="X37" s="18" t="n">
        <v>381618.22</v>
      </c>
      <c r="Y37" s="18" t="n">
        <v>333697.24</v>
      </c>
      <c r="Z37" s="37" t="n">
        <v>333697.24</v>
      </c>
      <c r="AA37" s="18" t="n">
        <v>331643.78</v>
      </c>
      <c r="AB37" s="19" t="n">
        <v>371575.99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140418.38</v>
      </c>
      <c r="F38" s="37" t="n">
        <v>140418.38</v>
      </c>
      <c r="G38" s="18" t="n">
        <v>159131.6</v>
      </c>
      <c r="H38" s="18" t="n">
        <v>168289.22</v>
      </c>
      <c r="I38" s="18" t="n">
        <v>505367.75</v>
      </c>
      <c r="J38" s="18" t="n">
        <v>520772.31</v>
      </c>
      <c r="K38" s="37" t="n">
        <v>520772.31</v>
      </c>
      <c r="L38" s="18" t="n">
        <v>541233.87</v>
      </c>
      <c r="M38" s="18" t="n">
        <v>562588.72</v>
      </c>
      <c r="N38" s="18" t="n">
        <v>686888.55</v>
      </c>
      <c r="O38" s="18" t="n">
        <v>694620.51</v>
      </c>
      <c r="P38" s="37" t="n">
        <v>694620.51</v>
      </c>
      <c r="Q38" s="18" t="n">
        <v>698770.85</v>
      </c>
      <c r="R38" s="18" t="n">
        <v>701600.13</v>
      </c>
      <c r="S38" s="18" t="n">
        <v>710741.92</v>
      </c>
      <c r="T38" s="18" t="n">
        <v>708802.7</v>
      </c>
      <c r="U38" s="37" t="n">
        <v>708802.7</v>
      </c>
      <c r="V38" s="18" t="n">
        <v>713230.83</v>
      </c>
      <c r="W38" s="18" t="n">
        <v>735593.5600000001</v>
      </c>
      <c r="X38" s="18" t="n">
        <v>777114.22</v>
      </c>
      <c r="Y38" s="18" t="n">
        <v>814544.41</v>
      </c>
      <c r="Z38" s="37" t="n">
        <v>814544.41</v>
      </c>
      <c r="AA38" s="18" t="n">
        <v>824411.9300000001</v>
      </c>
      <c r="AB38" s="19" t="n">
        <v>838202.33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416199.82</v>
      </c>
      <c r="K40" s="37" t="n">
        <v>416199.82</v>
      </c>
      <c r="L40" s="18" t="n">
        <v>416199.82</v>
      </c>
      <c r="M40" s="18" t="n">
        <v>416199.82</v>
      </c>
      <c r="N40" s="18" t="n">
        <v>538209.9</v>
      </c>
      <c r="O40" s="18" t="n">
        <v>538209.9</v>
      </c>
      <c r="P40" s="37" t="n">
        <v>538209.9</v>
      </c>
      <c r="Q40" s="18" t="n">
        <v>538209.9</v>
      </c>
      <c r="R40" s="18" t="n">
        <v>538209.9</v>
      </c>
      <c r="S40" s="18" t="n">
        <v>538209.9</v>
      </c>
      <c r="T40" s="18" t="n">
        <v>538209.9</v>
      </c>
      <c r="U40" s="37" t="n">
        <v>538209.9</v>
      </c>
      <c r="V40" s="18" t="n">
        <v>538209.9</v>
      </c>
      <c r="W40" s="18" t="n">
        <v>554089.9300000001</v>
      </c>
      <c r="X40" s="18" t="n">
        <v>589256.1899999999</v>
      </c>
      <c r="Y40" s="18" t="n">
        <v>590490.2</v>
      </c>
      <c r="Z40" s="37" t="n">
        <v>590490.2</v>
      </c>
      <c r="AA40" s="18" t="n">
        <v>590490.2</v>
      </c>
      <c r="AB40" s="19" t="n">
        <v>592527.9300000001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-5324.1</v>
      </c>
      <c r="F41" s="37" t="n">
        <v>-5324.1</v>
      </c>
      <c r="G41" s="18" t="n">
        <v>-6476.97</v>
      </c>
      <c r="H41" s="18" t="n">
        <v>-6532.66</v>
      </c>
      <c r="I41" s="18" t="n">
        <v>4724.61</v>
      </c>
      <c r="J41" s="18" t="n">
        <v>15781.38</v>
      </c>
      <c r="K41" s="37" t="n">
        <v>15781.38</v>
      </c>
      <c r="L41" s="18" t="n">
        <v>15765.47</v>
      </c>
      <c r="M41" s="18" t="n">
        <v>15770.54</v>
      </c>
      <c r="N41" s="18" t="n">
        <v>9355.559999999999</v>
      </c>
      <c r="O41" s="18" t="n">
        <v>9389.610000000001</v>
      </c>
      <c r="P41" s="37" t="n">
        <v>9389.610000000001</v>
      </c>
      <c r="Q41" s="18" t="n">
        <v>9425.620000000001</v>
      </c>
      <c r="R41" s="18" t="n">
        <v>9461.629999999999</v>
      </c>
      <c r="S41" s="18" t="n">
        <v>9497.65</v>
      </c>
      <c r="T41" s="18" t="n">
        <v>9533.66</v>
      </c>
      <c r="U41" s="37" t="n">
        <v>9533.66</v>
      </c>
      <c r="V41" s="18" t="n">
        <v>9569.68</v>
      </c>
      <c r="W41" s="18" t="n">
        <v>7025.8</v>
      </c>
      <c r="X41" s="18" t="n">
        <v>1036.82</v>
      </c>
      <c r="Y41" s="18" t="n">
        <v>917.23</v>
      </c>
      <c r="Z41" s="37" t="n">
        <v>917.23</v>
      </c>
      <c r="AA41" s="18" t="n">
        <v>926.24</v>
      </c>
      <c r="AB41" s="19" t="n">
        <v>-1111.5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-1217.74</v>
      </c>
      <c r="F43" s="37" t="n">
        <v>-1217.74</v>
      </c>
      <c r="G43" s="18" t="n">
        <v>9282.66</v>
      </c>
      <c r="H43" s="18" t="n">
        <v>18495.96</v>
      </c>
      <c r="I43" s="18" t="n">
        <v>22795.02</v>
      </c>
      <c r="J43" s="18" t="n">
        <v>22180.83</v>
      </c>
      <c r="K43" s="37" t="n">
        <v>22180.83</v>
      </c>
      <c r="L43" s="18" t="n">
        <v>42658.3</v>
      </c>
      <c r="M43" s="18" t="n">
        <v>64008.08</v>
      </c>
      <c r="N43" s="18" t="n">
        <v>69732.53</v>
      </c>
      <c r="O43" s="18" t="n">
        <v>77430.44</v>
      </c>
      <c r="P43" s="37" t="n">
        <v>77430.44</v>
      </c>
      <c r="Q43" s="18" t="n">
        <v>81544.77</v>
      </c>
      <c r="R43" s="18" t="n">
        <v>84338.03999999999</v>
      </c>
      <c r="S43" s="18" t="n">
        <v>93443.81</v>
      </c>
      <c r="T43" s="18" t="n">
        <v>91464.96000000001</v>
      </c>
      <c r="U43" s="37" t="n">
        <v>91464.96000000001</v>
      </c>
      <c r="V43" s="18" t="n">
        <v>95857.56</v>
      </c>
      <c r="W43" s="18" t="n">
        <v>104398.18</v>
      </c>
      <c r="X43" s="18" t="n">
        <v>115590.98</v>
      </c>
      <c r="Y43" s="18" t="n">
        <v>127796.63</v>
      </c>
      <c r="Z43" s="37" t="n">
        <v>127796.63</v>
      </c>
      <c r="AA43" s="18" t="n">
        <v>137652.48</v>
      </c>
      <c r="AB43" s="19" t="n">
        <v>151441.74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39661.64</v>
      </c>
      <c r="F44" s="37" t="n">
        <v>39661.64</v>
      </c>
      <c r="G44" s="18" t="n">
        <v>41231.69</v>
      </c>
      <c r="H44" s="18" t="n">
        <v>45128.9</v>
      </c>
      <c r="I44" s="18" t="n">
        <v>47332.89</v>
      </c>
      <c r="J44" s="18" t="n">
        <v>5185.19</v>
      </c>
      <c r="K44" s="37" t="n">
        <v>5185.19</v>
      </c>
      <c r="L44" s="18" t="n">
        <v>4216.97</v>
      </c>
      <c r="M44" s="18" t="n">
        <v>4355.52</v>
      </c>
      <c r="N44" s="18" t="n">
        <v>4366.44</v>
      </c>
      <c r="O44" s="18" t="n">
        <v>4221.46</v>
      </c>
      <c r="P44" s="37" t="n">
        <v>4221.46</v>
      </c>
      <c r="Q44" s="18" t="n">
        <v>4440.16</v>
      </c>
      <c r="R44" s="18" t="n">
        <v>4655.73</v>
      </c>
      <c r="S44" s="18" t="n">
        <v>4936.04</v>
      </c>
      <c r="T44" s="18" t="n">
        <v>4703</v>
      </c>
      <c r="U44" s="37" t="n">
        <v>4703</v>
      </c>
      <c r="V44" s="18" t="n">
        <v>4596.93</v>
      </c>
      <c r="W44" s="18" t="n">
        <v>4555.95</v>
      </c>
      <c r="X44" s="18" t="n">
        <v>0</v>
      </c>
      <c r="Y44" s="18" t="n">
        <v>0</v>
      </c>
      <c r="Z44" s="37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180080.02</v>
      </c>
      <c r="F45" s="37" t="n">
        <v>180080.02</v>
      </c>
      <c r="G45" s="18" t="n">
        <v>200363.29</v>
      </c>
      <c r="H45" s="18" t="n">
        <v>213418.12</v>
      </c>
      <c r="I45" s="18" t="n">
        <v>552700.63</v>
      </c>
      <c r="J45" s="18" t="n">
        <v>525957.5</v>
      </c>
      <c r="K45" s="37" t="n">
        <v>525957.5</v>
      </c>
      <c r="L45" s="18" t="n">
        <v>545450.83</v>
      </c>
      <c r="M45" s="18" t="n">
        <v>566944.24</v>
      </c>
      <c r="N45" s="18" t="n">
        <v>691254.99</v>
      </c>
      <c r="O45" s="18" t="n">
        <v>698841.96</v>
      </c>
      <c r="P45" s="37" t="n">
        <v>698841.96</v>
      </c>
      <c r="Q45" s="18" t="n">
        <v>703211.01</v>
      </c>
      <c r="R45" s="18" t="n">
        <v>706255.86</v>
      </c>
      <c r="S45" s="18" t="n">
        <v>715677.96</v>
      </c>
      <c r="T45" s="18" t="n">
        <v>713505.7</v>
      </c>
      <c r="U45" s="37" t="n">
        <v>713505.7</v>
      </c>
      <c r="V45" s="18" t="n">
        <v>717827.76</v>
      </c>
      <c r="W45" s="18" t="n">
        <v>740149.52</v>
      </c>
      <c r="X45" s="18" t="n">
        <v>777114.22</v>
      </c>
      <c r="Y45" s="18" t="n">
        <v>814544.41</v>
      </c>
      <c r="Z45" s="37" t="n">
        <v>814544.41</v>
      </c>
      <c r="AA45" s="18" t="n">
        <v>824411.9300000001</v>
      </c>
      <c r="AB45" s="19" t="n">
        <v>838202.33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739392.1899999999</v>
      </c>
      <c r="F46" s="37" t="n">
        <v>739392.1899999999</v>
      </c>
      <c r="G46" s="18" t="n">
        <v>788045.74</v>
      </c>
      <c r="H46" s="18" t="n">
        <v>817798.51</v>
      </c>
      <c r="I46" s="18" t="n">
        <v>1264867.15</v>
      </c>
      <c r="J46" s="18" t="n">
        <v>1220003.93</v>
      </c>
      <c r="K46" s="37" t="n">
        <v>1220003.93</v>
      </c>
      <c r="L46" s="18" t="n">
        <v>1337027.3</v>
      </c>
      <c r="M46" s="18" t="n">
        <v>1400577.39</v>
      </c>
      <c r="N46" s="18" t="n">
        <v>1442386.91</v>
      </c>
      <c r="O46" s="18" t="n">
        <v>1431906.67</v>
      </c>
      <c r="P46" s="37" t="n">
        <v>1431906.67</v>
      </c>
      <c r="Q46" s="18" t="n">
        <v>1506256.86</v>
      </c>
      <c r="R46" s="18" t="n">
        <v>1447979.73</v>
      </c>
      <c r="S46" s="18" t="n">
        <v>1376905.9</v>
      </c>
      <c r="T46" s="18" t="n">
        <v>1421941.57</v>
      </c>
      <c r="U46" s="37" t="n">
        <v>1421941.57</v>
      </c>
      <c r="V46" s="18" t="n">
        <v>1392171.7</v>
      </c>
      <c r="W46" s="18" t="n">
        <v>1316192.53</v>
      </c>
      <c r="X46" s="18" t="n">
        <v>1158732.43</v>
      </c>
      <c r="Y46" s="18" t="n">
        <v>1148241.65</v>
      </c>
      <c r="Z46" s="37" t="n">
        <v>1148241.65</v>
      </c>
      <c r="AA46" s="18" t="n">
        <v>1156055.71</v>
      </c>
      <c r="AB46" s="19" t="n">
        <v>1209778.32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283348.9</v>
      </c>
      <c r="F47" s="37" t="n">
        <v>283348.9</v>
      </c>
      <c r="G47" s="18" t="n">
        <v>262162.17</v>
      </c>
      <c r="H47" s="18" t="n">
        <v>253413.41</v>
      </c>
      <c r="I47" s="18" t="n">
        <v>381663.31</v>
      </c>
      <c r="J47" s="18" t="n">
        <v>221592.52</v>
      </c>
      <c r="K47" s="37" t="n">
        <v>221592.52</v>
      </c>
      <c r="L47" s="18" t="n">
        <v>224061.26</v>
      </c>
      <c r="M47" s="18" t="n">
        <v>283141.11</v>
      </c>
      <c r="N47" s="18" t="n">
        <v>190822.97</v>
      </c>
      <c r="O47" s="18" t="n">
        <v>192062.2</v>
      </c>
      <c r="P47" s="37" t="n">
        <v>192062.2</v>
      </c>
      <c r="Q47" s="18" t="n">
        <v>233454.69</v>
      </c>
      <c r="R47" s="18" t="n">
        <v>200576.89</v>
      </c>
      <c r="S47" s="18" t="n">
        <v>190017.68</v>
      </c>
      <c r="T47" s="18" t="n">
        <v>211335.35</v>
      </c>
      <c r="U47" s="37" t="n">
        <v>211335.35</v>
      </c>
      <c r="V47" s="18" t="n">
        <v>253089.67</v>
      </c>
      <c r="W47" s="18" t="n">
        <v>239895</v>
      </c>
      <c r="X47" s="18" t="n">
        <v>209461.83</v>
      </c>
      <c r="Y47" s="18" t="n">
        <v>207304.23</v>
      </c>
      <c r="Z47" s="37" t="n">
        <v>207304.23</v>
      </c>
      <c r="AA47" s="18" t="n">
        <v>194238.63</v>
      </c>
      <c r="AB47" s="19" t="n">
        <v>215036.03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186876.53</v>
      </c>
      <c r="F48" s="37" t="n">
        <v>186876.53</v>
      </c>
      <c r="G48" s="18" t="n">
        <v>192719.26</v>
      </c>
      <c r="H48" s="18" t="n">
        <v>195379.88</v>
      </c>
      <c r="I48" s="18" t="n">
        <v>249576.31</v>
      </c>
      <c r="J48" s="18" t="n">
        <v>135382.96</v>
      </c>
      <c r="K48" s="37" t="n">
        <v>135382.96</v>
      </c>
      <c r="L48" s="18" t="n">
        <v>135428.07</v>
      </c>
      <c r="M48" s="18" t="n">
        <v>204906.96</v>
      </c>
      <c r="N48" s="18" t="n">
        <v>115333.66</v>
      </c>
      <c r="O48" s="18" t="n">
        <v>147284.34</v>
      </c>
      <c r="P48" s="37" t="n">
        <v>147284.34</v>
      </c>
      <c r="Q48" s="18" t="n">
        <v>155361.98</v>
      </c>
      <c r="R48" s="18" t="n">
        <v>113383.65</v>
      </c>
      <c r="S48" s="18" t="n">
        <v>117188.27</v>
      </c>
      <c r="T48" s="18" t="n">
        <v>121777.83</v>
      </c>
      <c r="U48" s="37" t="n">
        <v>121777.83</v>
      </c>
      <c r="V48" s="18" t="n">
        <v>106216.32</v>
      </c>
      <c r="W48" s="18" t="n">
        <v>148106.07</v>
      </c>
      <c r="X48" s="18" t="n">
        <v>151252.69</v>
      </c>
      <c r="Y48" s="18" t="n">
        <v>176984.61</v>
      </c>
      <c r="Z48" s="37" t="n">
        <v>176984.61</v>
      </c>
      <c r="AA48" s="18" t="n">
        <v>166408.83</v>
      </c>
      <c r="AB48" s="19" t="n">
        <v>170190.21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102195.23</v>
      </c>
      <c r="F49" s="37" t="n">
        <v>102195.23</v>
      </c>
      <c r="G49" s="18" t="n">
        <v>76159.28999999999</v>
      </c>
      <c r="H49" s="18" t="n">
        <v>69951.82000000001</v>
      </c>
      <c r="I49" s="18" t="n">
        <v>147665.36</v>
      </c>
      <c r="J49" s="18" t="n">
        <v>165228.76</v>
      </c>
      <c r="K49" s="37" t="n">
        <v>165228.76</v>
      </c>
      <c r="L49" s="18" t="n">
        <v>174979.61</v>
      </c>
      <c r="M49" s="18" t="n">
        <v>130524.15</v>
      </c>
      <c r="N49" s="18" t="n">
        <v>127795.51</v>
      </c>
      <c r="O49" s="18" t="n">
        <v>58559.75</v>
      </c>
      <c r="P49" s="37" t="n">
        <v>58559.75</v>
      </c>
      <c r="Q49" s="18" t="n">
        <v>117481.12</v>
      </c>
      <c r="R49" s="18" t="n">
        <v>101029.55</v>
      </c>
      <c r="S49" s="18" t="n">
        <v>88870.75</v>
      </c>
      <c r="T49" s="18" t="n">
        <v>103474.48</v>
      </c>
      <c r="U49" s="37" t="n">
        <v>103474.48</v>
      </c>
      <c r="V49" s="18" t="n">
        <v>160788.28</v>
      </c>
      <c r="W49" s="18" t="n">
        <v>105640.15</v>
      </c>
      <c r="X49" s="18" t="n">
        <v>72120.24000000001</v>
      </c>
      <c r="Y49" s="18" t="n">
        <v>51463.75</v>
      </c>
      <c r="Z49" s="37" t="n">
        <v>51463.75</v>
      </c>
      <c r="AA49" s="18" t="n">
        <v>52686.96</v>
      </c>
      <c r="AB49" s="19" t="n">
        <v>71346.8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0.39</v>
      </c>
      <c r="H50" s="18" t="n">
        <v>0.83</v>
      </c>
      <c r="K50" s="9" t="n"/>
      <c r="L50" s="18" t="n">
        <v>5.11</v>
      </c>
      <c r="M50" s="18" t="n">
        <v>17.07</v>
      </c>
      <c r="N50" s="18" t="n">
        <v>24.38</v>
      </c>
      <c r="P50" s="9" t="n"/>
      <c r="Q50" s="18" t="n">
        <v>176.27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I51" s="18" t="n">
        <v>301.42</v>
      </c>
      <c r="J51" s="18" t="n">
        <v>2532.2</v>
      </c>
      <c r="K51" s="37" t="n">
        <v>2532.2</v>
      </c>
      <c r="L51" s="18" t="n">
        <v>2611.53</v>
      </c>
      <c r="M51" s="18" t="n">
        <v>2749.05</v>
      </c>
      <c r="N51" s="18" t="n">
        <v>2974.07</v>
      </c>
      <c r="P51" s="9" t="n"/>
      <c r="T51" s="18" t="n">
        <v>0</v>
      </c>
      <c r="U51" s="37" t="n">
        <v>0</v>
      </c>
      <c r="Y51" s="18" t="n">
        <v>3655.27</v>
      </c>
      <c r="Z51" s="37" t="n">
        <v>3655.27</v>
      </c>
      <c r="AA51" s="18" t="n">
        <v>4915.37</v>
      </c>
      <c r="AB51" s="19" t="n">
        <v>4971.19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Q52" s="18" t="n">
        <v>148.37</v>
      </c>
      <c r="R52" s="18" t="n">
        <v>5110.26</v>
      </c>
      <c r="S52" s="18" t="n">
        <v>132.94</v>
      </c>
      <c r="T52" s="18" t="n">
        <v>14909.38</v>
      </c>
      <c r="U52" s="37" t="n">
        <v>14909.38</v>
      </c>
      <c r="V52" s="18" t="n">
        <v>12471.2</v>
      </c>
      <c r="W52" s="18" t="n">
        <v>1792.67</v>
      </c>
      <c r="X52" s="18" t="n">
        <v>1820.97</v>
      </c>
      <c r="Y52" s="18" t="n">
        <v>2.82</v>
      </c>
      <c r="Z52" s="37" t="n">
        <v>2.82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유동확정계약자산</t>
        </is>
      </c>
      <c r="F53" s="9" t="n"/>
      <c r="K53" s="9" t="n"/>
      <c r="P53" s="9" t="n"/>
      <c r="R53" s="18" t="n">
        <v>1819.54</v>
      </c>
      <c r="T53" s="18" t="n">
        <v>18669.03</v>
      </c>
      <c r="U53" s="37" t="n">
        <v>18669.03</v>
      </c>
      <c r="V53" s="18" t="n">
        <v>16793.99</v>
      </c>
      <c r="W53" s="18" t="n">
        <v>897.16</v>
      </c>
      <c r="X53" s="18" t="n">
        <v>5709.78</v>
      </c>
      <c r="Y53" s="18" t="n">
        <v>7324.91</v>
      </c>
      <c r="Z53" s="37" t="n">
        <v>7324.91</v>
      </c>
      <c r="AA53" s="18" t="n">
        <v>5754.8</v>
      </c>
      <c r="AB53" s="19" t="n">
        <v>4820.94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비유동확정계약자산</t>
        </is>
      </c>
      <c r="F55" s="9" t="n"/>
      <c r="K55" s="9" t="n"/>
      <c r="P55" s="9" t="n"/>
      <c r="R55" s="18" t="n">
        <v>2057.04</v>
      </c>
      <c r="T55" s="18" t="n">
        <v>11836.56</v>
      </c>
      <c r="U55" s="37" t="n">
        <v>11836.56</v>
      </c>
      <c r="V55" s="18" t="n">
        <v>10460.26</v>
      </c>
      <c r="W55" s="18" t="n">
        <v>375.94</v>
      </c>
      <c r="X55" s="18" t="n">
        <v>1347.93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S56" s="18" t="n">
        <v>5723.09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37643.83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4255.35</v>
      </c>
      <c r="U59" s="37" t="n">
        <v>4255.35</v>
      </c>
      <c r="V59" s="18" t="n">
        <v>2868.07</v>
      </c>
      <c r="W59" s="18" t="n">
        <v>8605.209999999999</v>
      </c>
      <c r="X59" s="18" t="n">
        <v>4659.03</v>
      </c>
      <c r="Y59" s="18" t="n">
        <v>6046.17</v>
      </c>
      <c r="Z59" s="37" t="n">
        <v>6046.17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151916.9</v>
      </c>
      <c r="F60" s="9" t="n"/>
      <c r="G60" s="18" t="n">
        <v>170984.04</v>
      </c>
      <c r="H60" s="18" t="n">
        <v>169561.48</v>
      </c>
      <c r="I60" s="18" t="n">
        <v>184751.73</v>
      </c>
      <c r="J60" s="18" t="n">
        <v>166532.89</v>
      </c>
      <c r="K60" s="37" t="n">
        <v>691830.14</v>
      </c>
      <c r="L60" s="18" t="n">
        <v>219699.53</v>
      </c>
      <c r="M60" s="18" t="n">
        <v>257941.56</v>
      </c>
      <c r="N60" s="18" t="n">
        <v>236996.97</v>
      </c>
      <c r="O60" s="18" t="n">
        <v>211197.62</v>
      </c>
      <c r="P60" s="37" t="n">
        <v>925835.6800000001</v>
      </c>
      <c r="Q60" s="18" t="n">
        <v>127081.52</v>
      </c>
      <c r="R60" s="18" t="n">
        <v>173356.96</v>
      </c>
      <c r="S60" s="18" t="n">
        <v>199182.92</v>
      </c>
      <c r="T60" s="18" t="n">
        <v>162994.32</v>
      </c>
      <c r="U60" s="37" t="n">
        <v>662615.72</v>
      </c>
      <c r="V60" s="18" t="n">
        <v>257135.52</v>
      </c>
      <c r="W60" s="18" t="n">
        <v>240624.81</v>
      </c>
      <c r="X60" s="18" t="n">
        <v>293156.09</v>
      </c>
      <c r="Y60" s="18" t="n">
        <v>174472.01</v>
      </c>
      <c r="Z60" s="37" t="n">
        <v>965388.4300000001</v>
      </c>
      <c r="AA60" s="18" t="n">
        <v>174656.15</v>
      </c>
      <c r="AB60" s="19" t="n">
        <v>170484.46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141652.26</v>
      </c>
      <c r="F61" s="9" t="n"/>
      <c r="G61" s="18" t="n">
        <v>149614.66</v>
      </c>
      <c r="H61" s="18" t="n">
        <v>144299.99</v>
      </c>
      <c r="I61" s="18" t="n">
        <v>148983.37</v>
      </c>
      <c r="J61" s="18" t="n">
        <v>147551.86</v>
      </c>
      <c r="K61" s="37" t="n">
        <v>590449.88</v>
      </c>
      <c r="L61" s="18" t="n">
        <v>195123.07</v>
      </c>
      <c r="M61" s="18" t="n">
        <v>220783.18</v>
      </c>
      <c r="N61" s="18" t="n">
        <v>214312.51</v>
      </c>
      <c r="O61" s="18" t="n">
        <v>190605.48</v>
      </c>
      <c r="P61" s="37" t="n">
        <v>820824.24</v>
      </c>
      <c r="Q61" s="18" t="n">
        <v>110733.13</v>
      </c>
      <c r="R61" s="18" t="n">
        <v>149729.16</v>
      </c>
      <c r="S61" s="18" t="n">
        <v>176856.06</v>
      </c>
      <c r="T61" s="18" t="n">
        <v>152487.9</v>
      </c>
      <c r="U61" s="37" t="n">
        <v>589806.25</v>
      </c>
      <c r="V61" s="18" t="n">
        <v>237978.81</v>
      </c>
      <c r="W61" s="18" t="n">
        <v>217742.15</v>
      </c>
      <c r="X61" s="18" t="n">
        <v>266040.14</v>
      </c>
      <c r="Y61" s="18" t="n">
        <v>152071.59</v>
      </c>
      <c r="Z61" s="37" t="n">
        <v>873832.6899999999</v>
      </c>
      <c r="AA61" s="18" t="n">
        <v>150800.97</v>
      </c>
      <c r="AB61" s="19" t="n">
        <v>143965.56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10264.64</v>
      </c>
      <c r="F62" s="9" t="n"/>
      <c r="G62" s="18" t="n">
        <v>21369.38</v>
      </c>
      <c r="H62" s="18" t="n">
        <v>25261.49</v>
      </c>
      <c r="I62" s="18" t="n">
        <v>35768.36</v>
      </c>
      <c r="J62" s="18" t="n">
        <v>18981.03</v>
      </c>
      <c r="K62" s="37" t="n">
        <v>101380.26</v>
      </c>
      <c r="L62" s="18" t="n">
        <v>24576.46</v>
      </c>
      <c r="M62" s="18" t="n">
        <v>37158.38</v>
      </c>
      <c r="N62" s="18" t="n">
        <v>22684.45</v>
      </c>
      <c r="O62" s="18" t="n">
        <v>20592.13</v>
      </c>
      <c r="P62" s="37" t="n">
        <v>105011.42</v>
      </c>
      <c r="Q62" s="18" t="n">
        <v>16348.39</v>
      </c>
      <c r="R62" s="18" t="n">
        <v>23627.81</v>
      </c>
      <c r="S62" s="18" t="n">
        <v>22326.86</v>
      </c>
      <c r="T62" s="18" t="n">
        <v>10506.41</v>
      </c>
      <c r="U62" s="37" t="n">
        <v>72809.47</v>
      </c>
      <c r="V62" s="18" t="n">
        <v>19156.71</v>
      </c>
      <c r="W62" s="18" t="n">
        <v>22882.66</v>
      </c>
      <c r="X62" s="18" t="n">
        <v>27115.94</v>
      </c>
      <c r="Y62" s="18" t="n">
        <v>22400.42</v>
      </c>
      <c r="Z62" s="37" t="n">
        <v>91555.73</v>
      </c>
      <c r="AA62" s="18" t="n">
        <v>23855.18</v>
      </c>
      <c r="AB62" s="19" t="n">
        <v>26518.9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4588.43</v>
      </c>
      <c r="F63" s="9" t="n"/>
      <c r="G63" s="18" t="n">
        <v>4302.26</v>
      </c>
      <c r="H63" s="18" t="n">
        <v>4842.87</v>
      </c>
      <c r="I63" s="18" t="n">
        <v>13824.91</v>
      </c>
      <c r="J63" s="18" t="n">
        <v>6469.43</v>
      </c>
      <c r="K63" s="37" t="n">
        <v>29439.47</v>
      </c>
      <c r="L63" s="18" t="n">
        <v>6003.9</v>
      </c>
      <c r="M63" s="18" t="n">
        <v>7047.59</v>
      </c>
      <c r="N63" s="18" t="n">
        <v>6304.28</v>
      </c>
      <c r="O63" s="18" t="n">
        <v>10051.35</v>
      </c>
      <c r="P63" s="37" t="n">
        <v>29407.12</v>
      </c>
      <c r="Q63" s="18" t="n">
        <v>7403.27</v>
      </c>
      <c r="R63" s="18" t="n">
        <v>8646.48</v>
      </c>
      <c r="S63" s="18" t="n">
        <v>7130.72</v>
      </c>
      <c r="T63" s="18" t="n">
        <v>7831.72</v>
      </c>
      <c r="U63" s="37" t="n">
        <v>31012.19</v>
      </c>
      <c r="V63" s="18" t="n">
        <v>8115.88</v>
      </c>
      <c r="W63" s="18" t="n">
        <v>7331.84</v>
      </c>
      <c r="X63" s="18" t="n">
        <v>7862.34</v>
      </c>
      <c r="Y63" s="18" t="n">
        <v>8736.17</v>
      </c>
      <c r="Z63" s="37" t="n">
        <v>32046.23</v>
      </c>
      <c r="AA63" s="18" t="n">
        <v>6997.18</v>
      </c>
      <c r="AB63" s="19" t="n">
        <v>7174.62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5676.2</v>
      </c>
      <c r="F64" s="9" t="n"/>
      <c r="G64" s="18" t="n">
        <v>17067.12</v>
      </c>
      <c r="H64" s="18" t="n">
        <v>20418.61</v>
      </c>
      <c r="I64" s="18" t="n">
        <v>21943.45</v>
      </c>
      <c r="J64" s="18" t="n">
        <v>12511.6</v>
      </c>
      <c r="K64" s="37" t="n">
        <v>71940.78</v>
      </c>
      <c r="L64" s="18" t="n">
        <v>18572.56</v>
      </c>
      <c r="M64" s="18" t="n">
        <v>30110.79</v>
      </c>
      <c r="N64" s="18" t="n">
        <v>16380.17</v>
      </c>
      <c r="O64" s="18" t="n">
        <v>10540.78</v>
      </c>
      <c r="P64" s="37" t="n">
        <v>75604.3</v>
      </c>
      <c r="Q64" s="18" t="n">
        <v>8945.120000000001</v>
      </c>
      <c r="R64" s="18" t="n">
        <v>14981.32</v>
      </c>
      <c r="S64" s="18" t="n">
        <v>15196.14</v>
      </c>
      <c r="T64" s="18" t="n">
        <v>2674.69</v>
      </c>
      <c r="U64" s="37" t="n">
        <v>41797.27</v>
      </c>
      <c r="V64" s="18" t="n">
        <v>11040.83</v>
      </c>
      <c r="W64" s="18" t="n">
        <v>15550.81</v>
      </c>
      <c r="X64" s="18" t="n">
        <v>19253.6</v>
      </c>
      <c r="Y64" s="18" t="n">
        <v>13664.24</v>
      </c>
      <c r="Z64" s="37" t="n">
        <v>59509.48</v>
      </c>
      <c r="AA64" s="18" t="n">
        <v>16858</v>
      </c>
      <c r="AB64" s="19" t="n">
        <v>19344.28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-1982.39</v>
      </c>
      <c r="F65" s="9" t="n"/>
      <c r="G65" s="18" t="n">
        <v>2048.08</v>
      </c>
      <c r="H65" s="18" t="n">
        <v>3977.75</v>
      </c>
      <c r="I65" s="18" t="n">
        <v>2792.89</v>
      </c>
      <c r="J65" s="18" t="n">
        <v>-2397.41</v>
      </c>
      <c r="K65" s="37" t="n">
        <v>6421.31</v>
      </c>
      <c r="L65" s="18" t="n">
        <v>3889.21</v>
      </c>
      <c r="M65" s="18" t="n">
        <v>461.53</v>
      </c>
      <c r="N65" s="18" t="n">
        <v>997.5</v>
      </c>
      <c r="O65" s="18" t="n">
        <v>131.55</v>
      </c>
      <c r="P65" s="37" t="n">
        <v>5479.79</v>
      </c>
      <c r="Q65" s="18" t="n">
        <v>991.03</v>
      </c>
      <c r="R65" s="18" t="n">
        <v>4795.98</v>
      </c>
      <c r="S65" s="18" t="n">
        <v>-3725.25</v>
      </c>
      <c r="T65" s="18" t="n">
        <v>32623.98</v>
      </c>
      <c r="U65" s="37" t="n">
        <v>34685.74</v>
      </c>
      <c r="V65" s="18" t="n">
        <v>1593.22</v>
      </c>
      <c r="W65" s="18" t="n">
        <v>143.84</v>
      </c>
      <c r="X65" s="18" t="n">
        <v>2014.11</v>
      </c>
      <c r="Y65" s="18" t="n">
        <v>3097.51</v>
      </c>
      <c r="Z65" s="37" t="n">
        <v>6848.68</v>
      </c>
      <c r="AA65" s="18" t="n">
        <v>5906.98</v>
      </c>
      <c r="AB65" s="19" t="n">
        <v>2436.74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94171.72</v>
      </c>
      <c r="F66" s="9" t="n"/>
      <c r="G66" s="18" t="n">
        <v>559.4</v>
      </c>
      <c r="H66" s="18" t="n">
        <v>954.86</v>
      </c>
      <c r="I66" s="18" t="n">
        <v>2135.95</v>
      </c>
      <c r="J66" s="18" t="n">
        <v>5950.42</v>
      </c>
      <c r="K66" s="37" t="n">
        <v>9600.629999999999</v>
      </c>
      <c r="L66" s="18" t="n">
        <v>957.99</v>
      </c>
      <c r="M66" s="18" t="n">
        <v>788.1900000000001</v>
      </c>
      <c r="N66" s="18" t="n">
        <v>2334.7</v>
      </c>
      <c r="O66" s="18" t="n">
        <v>320.23</v>
      </c>
      <c r="P66" s="37" t="n">
        <v>4401.11</v>
      </c>
      <c r="Q66" s="18" t="n">
        <v>270.9</v>
      </c>
      <c r="R66" s="18" t="n">
        <v>104.15</v>
      </c>
      <c r="S66" s="18" t="n">
        <v>11067.2</v>
      </c>
      <c r="T66" s="18" t="n">
        <v>-6777.59</v>
      </c>
      <c r="U66" s="37" t="n">
        <v>4664.66</v>
      </c>
      <c r="V66" s="18" t="n">
        <v>265.05</v>
      </c>
      <c r="W66" s="18" t="n">
        <v>23112.98</v>
      </c>
      <c r="X66" s="18" t="n">
        <v>-5542.56</v>
      </c>
      <c r="Y66" s="18" t="n">
        <v>-2183</v>
      </c>
      <c r="Z66" s="37" t="n">
        <v>15652.47</v>
      </c>
      <c r="AA66" s="18" t="n">
        <v>734.25</v>
      </c>
      <c r="AB66" s="19" t="n">
        <v>1439.68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1825.17</v>
      </c>
      <c r="F67" s="9" t="n"/>
      <c r="G67" s="18" t="n">
        <v>647.0700000000001</v>
      </c>
      <c r="H67" s="18" t="n">
        <v>489.27</v>
      </c>
      <c r="I67" s="18" t="n">
        <v>2317.94</v>
      </c>
      <c r="J67" s="18" t="n">
        <v>3911.31</v>
      </c>
      <c r="K67" s="37" t="n">
        <v>7365.59</v>
      </c>
      <c r="L67" s="18" t="n">
        <v>2818.94</v>
      </c>
      <c r="M67" s="18" t="n">
        <v>6445.47</v>
      </c>
      <c r="N67" s="18" t="n">
        <v>2389.24</v>
      </c>
      <c r="O67" s="18" t="n">
        <v>3986.4</v>
      </c>
      <c r="P67" s="37" t="n">
        <v>15640.05</v>
      </c>
      <c r="Q67" s="18" t="n">
        <v>2020.78</v>
      </c>
      <c r="R67" s="18" t="n">
        <v>3330.72</v>
      </c>
      <c r="S67" s="18" t="n">
        <v>6844.19</v>
      </c>
      <c r="T67" s="18" t="n">
        <v>-2826.1</v>
      </c>
      <c r="U67" s="37" t="n">
        <v>9369.59</v>
      </c>
      <c r="V67" s="18" t="n">
        <v>874.47</v>
      </c>
      <c r="W67" s="18" t="n">
        <v>25180.09</v>
      </c>
      <c r="X67" s="18" t="n">
        <v>-7240.05</v>
      </c>
      <c r="Y67" s="18" t="n">
        <v>-4341.61</v>
      </c>
      <c r="Z67" s="37" t="n">
        <v>14472.9</v>
      </c>
      <c r="AA67" s="18" t="n">
        <v>4360.43</v>
      </c>
      <c r="AB67" s="19" t="n">
        <v>2235.5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6393.29</v>
      </c>
      <c r="F68" s="9" t="n"/>
      <c r="G68" s="18" t="n">
        <v>6772.63</v>
      </c>
      <c r="H68" s="18" t="n">
        <v>9834.790000000001</v>
      </c>
      <c r="I68" s="18" t="n">
        <v>14413.68</v>
      </c>
      <c r="J68" s="18" t="n">
        <v>10309.72</v>
      </c>
      <c r="K68" s="37" t="n">
        <v>41330.82</v>
      </c>
      <c r="L68" s="18" t="n">
        <v>9320.040000000001</v>
      </c>
      <c r="M68" s="18" t="n">
        <v>9000.030000000001</v>
      </c>
      <c r="N68" s="18" t="n">
        <v>7224.79</v>
      </c>
      <c r="O68" s="18" t="n">
        <v>3679.25</v>
      </c>
      <c r="P68" s="37" t="n">
        <v>29224.11</v>
      </c>
      <c r="Q68" s="18" t="n">
        <v>7055.56</v>
      </c>
      <c r="R68" s="18" t="n">
        <v>19617.11</v>
      </c>
      <c r="S68" s="18" t="n">
        <v>-2255.95</v>
      </c>
      <c r="T68" s="18" t="n">
        <v>39122.9</v>
      </c>
      <c r="U68" s="37" t="n">
        <v>63539.62</v>
      </c>
      <c r="V68" s="18" t="n">
        <v>7005.64</v>
      </c>
      <c r="W68" s="18" t="n">
        <v>6043.01</v>
      </c>
      <c r="X68" s="18" t="n">
        <v>4351.29</v>
      </c>
      <c r="Y68" s="18" t="n">
        <v>1843.42</v>
      </c>
      <c r="Z68" s="37" t="n">
        <v>19243.36</v>
      </c>
      <c r="AA68" s="18" t="n">
        <v>12474.26</v>
      </c>
      <c r="AB68" s="19" t="n">
        <v>6465.47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-95046.03</v>
      </c>
      <c r="F69" s="9" t="n"/>
      <c r="G69" s="18" t="n">
        <v>12430.24</v>
      </c>
      <c r="H69" s="18" t="n">
        <v>14095.99</v>
      </c>
      <c r="I69" s="18" t="n">
        <v>10504.65</v>
      </c>
      <c r="J69" s="18" t="n">
        <v>-2234.65</v>
      </c>
      <c r="K69" s="37" t="n">
        <v>34796.23</v>
      </c>
      <c r="L69" s="18" t="n">
        <v>15002.67</v>
      </c>
      <c r="M69" s="18" t="n">
        <v>27229.57</v>
      </c>
      <c r="N69" s="18" t="n">
        <v>10207.42</v>
      </c>
      <c r="O69" s="18" t="n">
        <v>10659.25</v>
      </c>
      <c r="P69" s="37" t="n">
        <v>63098.91</v>
      </c>
      <c r="Q69" s="18" t="n">
        <v>4630.48</v>
      </c>
      <c r="R69" s="18" t="n">
        <v>3386.76</v>
      </c>
      <c r="S69" s="18" t="n">
        <v>9503.84</v>
      </c>
      <c r="T69" s="18" t="n">
        <v>127.27</v>
      </c>
      <c r="U69" s="37" t="n">
        <v>17648.35</v>
      </c>
      <c r="V69" s="18" t="n">
        <v>6237.82</v>
      </c>
      <c r="W69" s="18" t="n">
        <v>11718.75</v>
      </c>
      <c r="X69" s="18" t="n">
        <v>15218.93</v>
      </c>
      <c r="Y69" s="18" t="n">
        <v>12759.71</v>
      </c>
      <c r="Z69" s="37" t="n">
        <v>45935.21</v>
      </c>
      <c r="AA69" s="18" t="n">
        <v>13916.91</v>
      </c>
      <c r="AB69" s="19" t="n">
        <v>16111.36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4318.98</v>
      </c>
      <c r="F70" s="9" t="n"/>
      <c r="G70" s="18" t="n">
        <v>1915.26</v>
      </c>
      <c r="H70" s="18" t="n">
        <v>891.77</v>
      </c>
      <c r="I70" s="18" t="n">
        <v>4095.3</v>
      </c>
      <c r="J70" s="18" t="n">
        <v>-120.01</v>
      </c>
      <c r="K70" s="37" t="n">
        <v>6782.32</v>
      </c>
      <c r="L70" s="18" t="n">
        <v>-5575.53</v>
      </c>
      <c r="M70" s="18" t="n">
        <v>5773.17</v>
      </c>
      <c r="N70" s="18" t="n">
        <v>4472.04</v>
      </c>
      <c r="O70" s="18" t="n">
        <v>880.48</v>
      </c>
      <c r="P70" s="37" t="n">
        <v>5550.16</v>
      </c>
      <c r="Q70" s="18" t="n">
        <v>297.44</v>
      </c>
      <c r="R70" s="18" t="n">
        <v>377.92</v>
      </c>
      <c r="S70" s="18" t="n">
        <v>117.76</v>
      </c>
      <c r="T70" s="18" t="n">
        <v>-16.23</v>
      </c>
      <c r="U70" s="37" t="n">
        <v>776.89</v>
      </c>
      <c r="V70" s="18" t="n">
        <v>1951.29</v>
      </c>
      <c r="W70" s="18" t="n">
        <v>3219.11</v>
      </c>
      <c r="X70" s="18" t="n">
        <v>4164.34</v>
      </c>
      <c r="Y70" s="18" t="n">
        <v>-910.37</v>
      </c>
      <c r="Z70" s="37" t="n">
        <v>8424.370000000001</v>
      </c>
      <c r="AA70" s="18" t="n">
        <v>4061.06</v>
      </c>
      <c r="AB70" s="19" t="n">
        <v>2322.1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-99365.00999999999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-2114.64</v>
      </c>
      <c r="K71" s="37" t="n">
        <v>28013.9</v>
      </c>
      <c r="L71" s="18" t="n">
        <v>20578.21</v>
      </c>
      <c r="M71" s="18" t="n">
        <v>21456.4</v>
      </c>
      <c r="N71" s="18" t="n">
        <v>5735.38</v>
      </c>
      <c r="O71" s="18" t="n">
        <v>9778.780000000001</v>
      </c>
      <c r="P71" s="37" t="n">
        <v>57548.77</v>
      </c>
      <c r="Q71" s="18" t="n">
        <v>4333.03</v>
      </c>
      <c r="R71" s="18" t="n">
        <v>3008.84</v>
      </c>
      <c r="S71" s="18" t="n">
        <v>9386.09</v>
      </c>
      <c r="T71" s="18" t="n">
        <v>143.5</v>
      </c>
      <c r="U71" s="37" t="n">
        <v>16871.46</v>
      </c>
      <c r="V71" s="18" t="n">
        <v>4286.53</v>
      </c>
      <c r="W71" s="18" t="n">
        <v>8499.639999999999</v>
      </c>
      <c r="X71" s="18" t="n">
        <v>11054.59</v>
      </c>
      <c r="Y71" s="18" t="n">
        <v>13670.07</v>
      </c>
      <c r="Z71" s="37" t="n">
        <v>37510.83</v>
      </c>
      <c r="AA71" s="18" t="n">
        <v>9855.85</v>
      </c>
      <c r="AB71" s="19" t="n">
        <v>13789.27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-70774.52</v>
      </c>
      <c r="F72" s="9" t="n"/>
      <c r="G72" s="18" t="n">
        <v>10514.98</v>
      </c>
      <c r="H72" s="18" t="n">
        <v>13204.22</v>
      </c>
      <c r="I72" s="18" t="n">
        <v>6409.34</v>
      </c>
      <c r="J72" s="18" t="n">
        <v>-2524.83</v>
      </c>
      <c r="K72" s="37" t="n">
        <v>27603.71</v>
      </c>
      <c r="L72" s="18" t="n">
        <v>20578.21</v>
      </c>
      <c r="M72" s="18" t="n">
        <v>21456.4</v>
      </c>
      <c r="N72" s="18" t="n">
        <v>5735.38</v>
      </c>
      <c r="O72" s="18" t="n">
        <v>7552.92</v>
      </c>
      <c r="P72" s="37" t="n">
        <v>55322.91</v>
      </c>
      <c r="Q72" s="18" t="n">
        <v>4333.03</v>
      </c>
      <c r="R72" s="18" t="n">
        <v>3008.84</v>
      </c>
      <c r="S72" s="18" t="n">
        <v>9386.09</v>
      </c>
      <c r="T72" s="18" t="n">
        <v>-2208.28</v>
      </c>
      <c r="U72" s="37" t="n">
        <v>14519.68</v>
      </c>
      <c r="V72" s="18" t="n">
        <v>4286.05</v>
      </c>
      <c r="W72" s="18" t="n">
        <v>8493.219999999999</v>
      </c>
      <c r="X72" s="18" t="n">
        <v>11056.26</v>
      </c>
      <c r="Y72" s="18" t="n">
        <v>36315.78</v>
      </c>
      <c r="Z72" s="37" t="n">
        <v>60151.31</v>
      </c>
      <c r="AA72" s="18" t="n">
        <v>9858.51</v>
      </c>
      <c r="AB72" s="19" t="n">
        <v>13790.41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-65081.48</v>
      </c>
      <c r="F73" s="9" t="n"/>
      <c r="G73" s="18" t="n">
        <v>8944.93</v>
      </c>
      <c r="H73" s="18" t="n">
        <v>9307</v>
      </c>
      <c r="I73" s="18" t="n">
        <v>4205.36</v>
      </c>
      <c r="J73" s="18" t="n">
        <v>-204</v>
      </c>
      <c r="K73" s="37" t="n">
        <v>22253.29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7" t="n">
        <v>57475.47</v>
      </c>
      <c r="Q73" s="18" t="n">
        <v>4114.33</v>
      </c>
      <c r="R73" s="18" t="n">
        <v>2793.27</v>
      </c>
      <c r="S73" s="18" t="n">
        <v>9105.780000000001</v>
      </c>
      <c r="T73" s="18" t="n">
        <v>376.53</v>
      </c>
      <c r="U73" s="37" t="n">
        <v>16389.91</v>
      </c>
      <c r="V73" s="18" t="n">
        <v>4392.6</v>
      </c>
      <c r="W73" s="18" t="n">
        <v>8540.620000000001</v>
      </c>
      <c r="X73" s="18" t="n">
        <v>11192.8</v>
      </c>
      <c r="Y73" s="18" t="n">
        <v>13670.08</v>
      </c>
      <c r="Z73" s="37" t="n">
        <v>37796.1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-34283.52</v>
      </c>
      <c r="F74" s="9" t="n"/>
      <c r="G74" s="18" t="n">
        <v>1570.05</v>
      </c>
      <c r="H74" s="18" t="n">
        <v>3897.21</v>
      </c>
      <c r="I74" s="18" t="n">
        <v>2203.99</v>
      </c>
      <c r="J74" s="18" t="n">
        <v>-1910.64</v>
      </c>
      <c r="K74" s="37" t="n">
        <v>5760.61</v>
      </c>
      <c r="L74" s="18" t="n">
        <v>100.74</v>
      </c>
      <c r="M74" s="18" t="n">
        <v>106.63</v>
      </c>
      <c r="N74" s="18" t="n">
        <v>10.92</v>
      </c>
      <c r="O74" s="18" t="n">
        <v>-144.98</v>
      </c>
      <c r="P74" s="37" t="n">
        <v>73.31</v>
      </c>
      <c r="Q74" s="18" t="n">
        <v>218.7</v>
      </c>
      <c r="R74" s="18" t="n">
        <v>215.57</v>
      </c>
      <c r="S74" s="18" t="n">
        <v>280.31</v>
      </c>
      <c r="T74" s="18" t="n">
        <v>-233.03</v>
      </c>
      <c r="U74" s="37" t="n">
        <v>481.55</v>
      </c>
      <c r="V74" s="18" t="n">
        <v>-106.07</v>
      </c>
      <c r="W74" s="18" t="n">
        <v>-40.98</v>
      </c>
      <c r="X74" s="18" t="n">
        <v>-138.21</v>
      </c>
      <c r="Y74" s="18" t="n">
        <v>0</v>
      </c>
      <c r="Z74" s="37" t="n">
        <v>-285.26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-4568.12</v>
      </c>
      <c r="F75" s="9" t="n"/>
      <c r="G75" s="18" t="n">
        <v>-6125.56</v>
      </c>
      <c r="H75" s="18" t="n">
        <v>-9345.52</v>
      </c>
      <c r="I75" s="18" t="n">
        <v>-12095.74</v>
      </c>
      <c r="J75" s="18" t="n">
        <v>-6398.41</v>
      </c>
      <c r="K75" s="37" t="n">
        <v>-33965.23</v>
      </c>
      <c r="L75" s="18" t="n">
        <v>-6501.1</v>
      </c>
      <c r="M75" s="18" t="n">
        <v>-2554.56</v>
      </c>
      <c r="N75" s="18" t="n">
        <v>-4835.55</v>
      </c>
      <c r="O75" s="18" t="n">
        <v>307.15</v>
      </c>
      <c r="P75" s="37" t="n">
        <v>-13584.06</v>
      </c>
      <c r="Q75" s="18" t="n">
        <v>-5034.78</v>
      </c>
      <c r="R75" s="18" t="n">
        <v>-16286.39</v>
      </c>
      <c r="S75" s="18" t="n">
        <v>9100.139999999999</v>
      </c>
      <c r="T75" s="18" t="n">
        <v>-41949</v>
      </c>
      <c r="U75" s="37" t="n">
        <v>-54170.03</v>
      </c>
      <c r="V75" s="18" t="n">
        <v>-6131.17</v>
      </c>
      <c r="W75" s="18" t="n">
        <v>19137.08</v>
      </c>
      <c r="X75" s="18" t="n">
        <v>-11591.34</v>
      </c>
      <c r="Y75" s="18" t="n">
        <v>-6185.03</v>
      </c>
      <c r="Z75" s="37" t="n">
        <v>-4770.46</v>
      </c>
      <c r="AA75" s="18" t="n">
        <v>-8113.83</v>
      </c>
      <c r="AB75" s="19" t="n">
        <v>-4229.97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-96154.11</v>
      </c>
      <c r="F76" s="9" t="n"/>
      <c r="G76" s="18" t="n">
        <v>1488.68</v>
      </c>
      <c r="H76" s="18" t="n">
        <v>3022.89</v>
      </c>
      <c r="I76" s="18" t="n">
        <v>656.9400000000001</v>
      </c>
      <c r="J76" s="18" t="n">
        <v>-8347.83</v>
      </c>
      <c r="K76" s="37" t="n">
        <v>-3179.32</v>
      </c>
      <c r="L76" s="18" t="n">
        <v>2931.22</v>
      </c>
      <c r="M76" s="18" t="n">
        <v>-326.66</v>
      </c>
      <c r="N76" s="18" t="n">
        <v>-1337.2</v>
      </c>
      <c r="O76" s="18" t="n">
        <v>-188.68</v>
      </c>
      <c r="P76" s="37" t="n">
        <v>1078.68</v>
      </c>
      <c r="Q76" s="18" t="n">
        <v>720.13</v>
      </c>
      <c r="R76" s="18" t="n">
        <v>4691.83</v>
      </c>
      <c r="S76" s="18" t="n">
        <v>-14792.45</v>
      </c>
      <c r="T76" s="18" t="n">
        <v>39401.57</v>
      </c>
      <c r="U76" s="37" t="n">
        <v>30021.08</v>
      </c>
      <c r="V76" s="18" t="n">
        <v>1328.17</v>
      </c>
      <c r="W76" s="18" t="n">
        <v>-22969.14</v>
      </c>
      <c r="X76" s="18" t="n">
        <v>7556.67</v>
      </c>
      <c r="Y76" s="18" t="n">
        <v>5280.51</v>
      </c>
      <c r="Z76" s="37" t="n">
        <v>-8803.790000000001</v>
      </c>
      <c r="AA76" s="18" t="n">
        <v>5172.73</v>
      </c>
      <c r="AB76" s="19" t="n">
        <v>997.0599999999999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-99365.00999999999</v>
      </c>
      <c r="F77" s="9" t="n"/>
      <c r="G77" s="18" t="n">
        <v>10514.98</v>
      </c>
      <c r="H77" s="18" t="n">
        <v>13204.22</v>
      </c>
      <c r="I77" s="18" t="n">
        <v>6409.34</v>
      </c>
      <c r="J77" s="18" t="n">
        <v>-2114.64</v>
      </c>
      <c r="K77" s="37" t="n">
        <v>28013.9</v>
      </c>
      <c r="L77" s="18" t="n">
        <v>20578.21</v>
      </c>
      <c r="M77" s="18" t="n">
        <v>21456.4</v>
      </c>
      <c r="N77" s="18" t="n">
        <v>5735.38</v>
      </c>
      <c r="O77" s="18" t="n">
        <v>9778.780000000001</v>
      </c>
      <c r="P77" s="37" t="n">
        <v>57548.77</v>
      </c>
      <c r="Q77" s="18" t="n">
        <v>4333.03</v>
      </c>
      <c r="R77" s="18" t="n">
        <v>3008.84</v>
      </c>
      <c r="S77" s="18" t="n">
        <v>9386.09</v>
      </c>
      <c r="T77" s="18" t="n">
        <v>143.5</v>
      </c>
      <c r="U77" s="37" t="n">
        <v>16871.46</v>
      </c>
      <c r="V77" s="18" t="n">
        <v>4286.53</v>
      </c>
      <c r="W77" s="18" t="n">
        <v>8499.639999999999</v>
      </c>
      <c r="X77" s="18" t="n">
        <v>11054.59</v>
      </c>
      <c r="Y77" s="18" t="n">
        <v>13670.07</v>
      </c>
      <c r="Z77" s="37" t="n">
        <v>37510.83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G78" s="18" t="n">
        <v>107.55</v>
      </c>
      <c r="H78" s="18" t="n">
        <v>363.74</v>
      </c>
      <c r="I78" s="18" t="n">
        <v>1153.6</v>
      </c>
      <c r="J78" s="18" t="n">
        <v>3024.46</v>
      </c>
      <c r="K78" s="37" t="n">
        <v>4649.35</v>
      </c>
      <c r="L78" s="18" t="n">
        <v>1742.17</v>
      </c>
      <c r="M78" s="18" t="n">
        <v>1768.46</v>
      </c>
      <c r="N78" s="18" t="n">
        <v>1602.11</v>
      </c>
      <c r="O78" s="18" t="n">
        <v>1048.26</v>
      </c>
      <c r="P78" s="37" t="n">
        <v>6161</v>
      </c>
      <c r="Q78" s="18" t="n">
        <v>1195.24</v>
      </c>
      <c r="R78" s="18" t="n">
        <v>1124.42</v>
      </c>
      <c r="S78" s="18" t="n">
        <v>1054.47</v>
      </c>
      <c r="T78" s="18" t="n">
        <v>356.89</v>
      </c>
      <c r="U78" s="37" t="n">
        <v>3731.02</v>
      </c>
      <c r="V78" s="18" t="n">
        <v>688.58</v>
      </c>
      <c r="W78" s="18" t="n">
        <v>1221.79</v>
      </c>
      <c r="X78" s="18" t="n">
        <v>1208.6</v>
      </c>
      <c r="Y78" s="18" t="n">
        <v>13.2</v>
      </c>
      <c r="Z78" s="37" t="n">
        <v>3132.17</v>
      </c>
      <c r="AA78" s="18" t="n">
        <v>531.39</v>
      </c>
      <c r="AB78" s="19" t="n">
        <v>245.3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G79" s="18" t="n">
        <v>5459.34</v>
      </c>
      <c r="H79" s="18" t="n">
        <v>5301.02</v>
      </c>
      <c r="I79" s="18" t="n">
        <v>6621.83</v>
      </c>
      <c r="J79" s="18" t="n">
        <v>9052.17</v>
      </c>
      <c r="K79" s="37" t="n">
        <v>26434.36</v>
      </c>
      <c r="L79" s="18" t="n">
        <v>6454.74</v>
      </c>
      <c r="M79" s="18" t="n">
        <v>7168.08</v>
      </c>
      <c r="N79" s="18" t="n">
        <v>5780.15</v>
      </c>
      <c r="O79" s="18" t="n">
        <v>2303.08</v>
      </c>
      <c r="P79" s="37" t="n">
        <v>21706.05</v>
      </c>
      <c r="Q79" s="18" t="n">
        <v>5842.59</v>
      </c>
      <c r="R79" s="18" t="n">
        <v>5997.68</v>
      </c>
      <c r="S79" s="18" t="n">
        <v>5127.82</v>
      </c>
      <c r="T79" s="18" t="n">
        <v>3365.59</v>
      </c>
      <c r="U79" s="37" t="n">
        <v>20333.68</v>
      </c>
      <c r="V79" s="18" t="n">
        <v>4729.36</v>
      </c>
      <c r="W79" s="18" t="n">
        <v>5227.61</v>
      </c>
      <c r="X79" s="18" t="n">
        <v>3344.62</v>
      </c>
      <c r="Y79" s="18" t="n">
        <v>-698.1</v>
      </c>
      <c r="Z79" s="37" t="n">
        <v>12603.49</v>
      </c>
      <c r="AA79" s="18" t="n">
        <v>1156.46</v>
      </c>
      <c r="AB79" s="19" t="n">
        <v>1219.55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G80" s="18" t="n">
        <v>264.03</v>
      </c>
      <c r="H80" s="18" t="n">
        <v>335.75</v>
      </c>
      <c r="I80" s="18" t="n">
        <v>733.52</v>
      </c>
      <c r="J80" s="18" t="n">
        <v>298.4</v>
      </c>
      <c r="K80" s="37" t="n">
        <v>1631.7</v>
      </c>
      <c r="L80" s="18" t="n">
        <v>725.77</v>
      </c>
      <c r="M80" s="18" t="n">
        <v>683.7</v>
      </c>
      <c r="N80" s="18" t="n">
        <v>710.29</v>
      </c>
      <c r="O80" s="18" t="n">
        <v>186.15</v>
      </c>
      <c r="P80" s="37" t="n">
        <v>2305.91</v>
      </c>
      <c r="Q80" s="18" t="n">
        <v>668.04</v>
      </c>
      <c r="R80" s="18" t="n">
        <v>261.77</v>
      </c>
      <c r="S80" s="18" t="n">
        <v>55.19</v>
      </c>
      <c r="T80" s="18" t="n">
        <v>333.72</v>
      </c>
      <c r="U80" s="37" t="n">
        <v>1318.72</v>
      </c>
      <c r="V80" s="18" t="n">
        <v>7.55</v>
      </c>
      <c r="W80" s="18" t="n">
        <v>41.3</v>
      </c>
      <c r="X80" s="18" t="n">
        <v>72.90000000000001</v>
      </c>
      <c r="Y80" s="18" t="n">
        <v>105.59</v>
      </c>
      <c r="Z80" s="37" t="n">
        <v>227.34</v>
      </c>
      <c r="AA80" s="18" t="n">
        <v>44.56</v>
      </c>
      <c r="AB80" s="19" t="n">
        <v>2.99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G81" s="18" t="n">
        <v>271.32</v>
      </c>
      <c r="H81" s="18" t="n">
        <v>215.28</v>
      </c>
      <c r="I81" s="18" t="n">
        <v>23.69</v>
      </c>
      <c r="J81" s="18" t="n">
        <v>973.46</v>
      </c>
      <c r="K81" s="37" t="n">
        <v>1483.75</v>
      </c>
      <c r="L81" s="18" t="n">
        <v>346.46</v>
      </c>
      <c r="M81" s="18" t="n">
        <v>479.53</v>
      </c>
      <c r="N81" s="18" t="n">
        <v>83.67</v>
      </c>
      <c r="O81" s="18" t="n">
        <v>369.79</v>
      </c>
      <c r="P81" s="37" t="n">
        <v>1279.45</v>
      </c>
      <c r="Q81" s="18" t="n">
        <v>3.48</v>
      </c>
      <c r="R81" s="18" t="n">
        <v>177.43</v>
      </c>
      <c r="S81" s="18" t="n">
        <v>1.89</v>
      </c>
      <c r="T81" s="18" t="n">
        <v>18.85</v>
      </c>
      <c r="U81" s="37" t="n">
        <v>201.65</v>
      </c>
      <c r="V81" s="18" t="n">
        <v>99.62</v>
      </c>
      <c r="W81" s="18" t="n">
        <v>0.8100000000000001</v>
      </c>
      <c r="X81" s="18" t="n">
        <v>355.32</v>
      </c>
      <c r="Y81" s="18" t="n">
        <v>18.56</v>
      </c>
      <c r="Z81" s="37" t="n">
        <v>474.31</v>
      </c>
      <c r="AA81" s="18" t="n">
        <v>3.78</v>
      </c>
      <c r="AB81" s="19" t="n">
        <v>26.99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13.66</v>
      </c>
      <c r="H82" s="18" t="n">
        <v>44.61</v>
      </c>
      <c r="I82" s="18" t="n">
        <v>366.32</v>
      </c>
      <c r="K82" s="9" t="n"/>
      <c r="L82" s="18" t="n">
        <v>45.29</v>
      </c>
      <c r="M82" s="18" t="n">
        <v>27.94</v>
      </c>
      <c r="N82" s="18" t="n">
        <v>76.84</v>
      </c>
      <c r="O82" s="18" t="n">
        <v>-136.65</v>
      </c>
      <c r="P82" s="37" t="n">
        <v>13.42</v>
      </c>
      <c r="Q82" s="18" t="n">
        <v>112.9</v>
      </c>
      <c r="R82" s="18" t="n">
        <v>-2.46</v>
      </c>
      <c r="S82" s="18" t="n">
        <v>-110.42</v>
      </c>
      <c r="T82" s="18" t="n">
        <v>413.08</v>
      </c>
      <c r="U82" s="37" t="n">
        <v>413.1</v>
      </c>
      <c r="V82" s="18" t="n">
        <v>150.42</v>
      </c>
      <c r="W82" s="18" t="n">
        <v>-150.42</v>
      </c>
      <c r="X82" s="18" t="n">
        <v>28.99</v>
      </c>
      <c r="Y82" s="18" t="n">
        <v>7.82</v>
      </c>
      <c r="Z82" s="37" t="n">
        <v>36.81</v>
      </c>
      <c r="AA82" s="18" t="n">
        <v>220.25</v>
      </c>
      <c r="AB82" s="19" t="n">
        <v>74.95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31.22</v>
      </c>
      <c r="H83" s="18" t="n">
        <v>-25.39</v>
      </c>
      <c r="I83" s="18" t="n">
        <v>-5.23</v>
      </c>
      <c r="J83" s="18" t="n">
        <v>493.63</v>
      </c>
      <c r="K83" s="37" t="n">
        <v>494.23</v>
      </c>
      <c r="L83" s="18" t="n">
        <v>16.6</v>
      </c>
      <c r="M83" s="18" t="n">
        <v>-16.59</v>
      </c>
      <c r="N83" s="18" t="n">
        <v>0.05</v>
      </c>
      <c r="O83" s="18" t="n">
        <v>298.45</v>
      </c>
      <c r="P83" s="37" t="n">
        <v>298.51</v>
      </c>
      <c r="Q83" s="18" t="n">
        <v>0</v>
      </c>
      <c r="R83" s="18" t="n">
        <v>0.71</v>
      </c>
      <c r="S83" s="18" t="n">
        <v>440.9</v>
      </c>
      <c r="T83" s="18" t="n">
        <v>-435.37</v>
      </c>
      <c r="U83" s="37" t="n">
        <v>6.24</v>
      </c>
      <c r="V83" s="18" t="n">
        <v>9.66</v>
      </c>
      <c r="W83" s="18" t="n">
        <v>770.5</v>
      </c>
      <c r="X83" s="18" t="n">
        <v>-634.73</v>
      </c>
      <c r="Y83" s="18" t="n">
        <v>-55.04</v>
      </c>
      <c r="Z83" s="37" t="n">
        <v>90.39</v>
      </c>
      <c r="AA83" s="18" t="n">
        <v>3642</v>
      </c>
      <c r="AB83" s="19" t="n">
        <v>1407.72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-5351.79</v>
      </c>
      <c r="H84" s="18" t="n">
        <v>-4937.28</v>
      </c>
      <c r="I84" s="18" t="n">
        <v>-5468.23</v>
      </c>
      <c r="J84" s="18" t="n">
        <v>-6027.71</v>
      </c>
      <c r="K84" s="37" t="n">
        <v>-21785.01</v>
      </c>
      <c r="L84" s="18" t="n">
        <v>-4712.57</v>
      </c>
      <c r="M84" s="18" t="n">
        <v>-5399.62</v>
      </c>
      <c r="N84" s="18" t="n">
        <v>-4178.04</v>
      </c>
      <c r="O84" s="18" t="n">
        <v>-1254.82</v>
      </c>
      <c r="P84" s="37" t="n">
        <v>-15545.05</v>
      </c>
      <c r="Q84" s="18" t="n">
        <v>-4647.35</v>
      </c>
      <c r="R84" s="18" t="n">
        <v>-4873.26</v>
      </c>
      <c r="S84" s="18" t="n">
        <v>-4073.35</v>
      </c>
      <c r="T84" s="18" t="n">
        <v>-3008.7</v>
      </c>
      <c r="U84" s="37" t="n">
        <v>-16602.66</v>
      </c>
      <c r="V84" s="18" t="n">
        <v>-4040.78</v>
      </c>
      <c r="W84" s="18" t="n">
        <v>-4005.82</v>
      </c>
      <c r="X84" s="18" t="n">
        <v>-2136.02</v>
      </c>
      <c r="Y84" s="18" t="n">
        <v>711.3</v>
      </c>
      <c r="Z84" s="37" t="n">
        <v>-9471.32</v>
      </c>
      <c r="AA84" s="18" t="n">
        <v>-625.0700000000001</v>
      </c>
      <c r="AB84" s="19" t="n">
        <v>-974.25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M85" s="18" t="n">
        <v>3965.37</v>
      </c>
      <c r="N85" s="18" t="n">
        <v>0</v>
      </c>
      <c r="O85" s="18" t="n">
        <v>2778.29</v>
      </c>
      <c r="P85" s="9" t="n"/>
      <c r="Q85" s="18" t="n">
        <v>44.6</v>
      </c>
      <c r="R85" s="18" t="n">
        <v>1946.99</v>
      </c>
      <c r="S85" s="18" t="n">
        <v>5842.96</v>
      </c>
      <c r="T85" s="18" t="n">
        <v>-3927.8</v>
      </c>
      <c r="U85" s="37" t="n">
        <v>3906.75</v>
      </c>
      <c r="V85" s="18" t="n">
        <v>27.91</v>
      </c>
      <c r="W85" s="18" t="n">
        <v>24067.42</v>
      </c>
      <c r="X85" s="18" t="n">
        <v>-8550.540000000001</v>
      </c>
      <c r="Y85" s="18" t="n">
        <v>-4468.24</v>
      </c>
      <c r="Z85" s="37" t="n">
        <v>11076.55</v>
      </c>
      <c r="AA85" s="18" t="n">
        <v>3564.22</v>
      </c>
      <c r="AB85" s="19" t="n">
        <v>1912.26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R86" s="18" t="n">
        <v>12350.71</v>
      </c>
      <c r="S86" s="18" t="n">
        <v>-8632.450000000001</v>
      </c>
      <c r="T86" s="18" t="n">
        <v>36007.01</v>
      </c>
      <c r="U86" s="9" t="n"/>
      <c r="V86" s="18" t="n">
        <v>1333.85</v>
      </c>
      <c r="W86" s="18" t="n">
        <v>-1008.96</v>
      </c>
      <c r="X86" s="18" t="n">
        <v>403.14</v>
      </c>
      <c r="Y86" s="18" t="n">
        <v>1244.24</v>
      </c>
      <c r="Z86" s="37" t="n">
        <v>1972.27</v>
      </c>
      <c r="AA86" s="18" t="n">
        <v>6841.73</v>
      </c>
      <c r="AB86" s="19" t="n">
        <v>2975.39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109667.02</v>
      </c>
      <c r="F87" s="9" t="n"/>
      <c r="G87" s="18" t="n">
        <v>50479.39</v>
      </c>
      <c r="H87" s="18" t="n">
        <v>-14215.49</v>
      </c>
      <c r="I87" s="18" t="n">
        <v>-29519.19</v>
      </c>
      <c r="J87" s="18" t="n">
        <v>61845.53</v>
      </c>
      <c r="K87" s="37" t="n">
        <v>68590.24000000001</v>
      </c>
      <c r="L87" s="18" t="n">
        <v>-54654.15</v>
      </c>
      <c r="M87" s="18" t="n">
        <v>-74651.11</v>
      </c>
      <c r="N87" s="18" t="n">
        <v>-810.9</v>
      </c>
      <c r="O87" s="18" t="n">
        <v>-8086.96</v>
      </c>
      <c r="P87" s="37" t="n">
        <v>-138203.12</v>
      </c>
      <c r="Q87" s="18" t="n">
        <v>10160.89</v>
      </c>
      <c r="R87" s="18" t="n">
        <v>51876.63</v>
      </c>
      <c r="S87" s="18" t="n">
        <v>46189.15</v>
      </c>
      <c r="T87" s="18" t="n">
        <v>27140.66</v>
      </c>
      <c r="U87" s="37" t="n">
        <v>135367.33</v>
      </c>
      <c r="V87" s="18" t="n">
        <v>52382.12</v>
      </c>
      <c r="W87" s="18" t="n">
        <v>46463.12</v>
      </c>
      <c r="X87" s="18" t="n">
        <v>-115850.39</v>
      </c>
      <c r="Y87" s="18" t="n">
        <v>-22763.08</v>
      </c>
      <c r="Z87" s="37" t="n">
        <v>-39768.23</v>
      </c>
      <c r="AA87" s="18" t="n">
        <v>40909.22</v>
      </c>
      <c r="AB87" s="19" t="n">
        <v>11471.72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-18.04</v>
      </c>
      <c r="F88" s="9" t="n"/>
      <c r="G88" s="18" t="n">
        <v>23.92</v>
      </c>
      <c r="H88" s="18" t="n">
        <v>807.88</v>
      </c>
      <c r="I88" s="18" t="n">
        <v>746.95</v>
      </c>
      <c r="J88" s="18" t="n">
        <v>2820.63</v>
      </c>
      <c r="K88" s="37" t="n">
        <v>4399.38</v>
      </c>
      <c r="L88" s="18" t="n">
        <v>1046.13</v>
      </c>
      <c r="M88" s="18" t="n">
        <v>1276.14</v>
      </c>
      <c r="N88" s="18" t="n">
        <v>922.7</v>
      </c>
      <c r="O88" s="18" t="n">
        <v>1629.81</v>
      </c>
      <c r="P88" s="37" t="n">
        <v>4874.78</v>
      </c>
      <c r="Q88" s="18" t="n">
        <v>1307.99</v>
      </c>
      <c r="R88" s="18" t="n">
        <v>756.02</v>
      </c>
      <c r="S88" s="18" t="n">
        <v>1059.3</v>
      </c>
      <c r="T88" s="18" t="n">
        <v>2240.65</v>
      </c>
      <c r="U88" s="37" t="n">
        <v>5363.96</v>
      </c>
      <c r="V88" s="18" t="n">
        <v>504.61</v>
      </c>
      <c r="W88" s="18" t="n">
        <v>941.35</v>
      </c>
      <c r="X88" s="18" t="n">
        <v>1555.63</v>
      </c>
      <c r="Y88" s="18" t="n">
        <v>262.04</v>
      </c>
      <c r="Z88" s="37" t="n">
        <v>3263.63</v>
      </c>
      <c r="AA88" s="18" t="n">
        <v>353.1</v>
      </c>
      <c r="AB88" s="19" t="n">
        <v>293.11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-3319.43</v>
      </c>
      <c r="F89" s="9" t="n"/>
      <c r="G89" s="18" t="n">
        <v>-2855.98</v>
      </c>
      <c r="H89" s="18" t="n">
        <v>-2909.45</v>
      </c>
      <c r="I89" s="18" t="n">
        <v>-2799.57</v>
      </c>
      <c r="J89" s="18" t="n">
        <v>-2359.92</v>
      </c>
      <c r="K89" s="37" t="n">
        <v>-10924.92</v>
      </c>
      <c r="L89" s="18" t="n">
        <v>-1442.42</v>
      </c>
      <c r="M89" s="18" t="n">
        <v>-1872.68</v>
      </c>
      <c r="P89" s="9" t="n"/>
      <c r="U89" s="9" t="n"/>
      <c r="V89" s="18" t="n">
        <v>-2303.75</v>
      </c>
      <c r="W89" s="18" t="n">
        <v>-2688.09</v>
      </c>
      <c r="X89" s="18" t="n">
        <v>-3220.76</v>
      </c>
      <c r="Y89" s="18" t="n">
        <v>-2384.12</v>
      </c>
      <c r="Z89" s="37" t="n">
        <v>-10596.72</v>
      </c>
      <c r="AA89" s="18" t="n">
        <v>-2445.21</v>
      </c>
      <c r="AB89" s="19" t="n">
        <v>-2491.07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10.89</v>
      </c>
      <c r="H90" s="18" t="n">
        <v>0</v>
      </c>
      <c r="I90" s="18" t="n">
        <v>0</v>
      </c>
      <c r="J90" s="18" t="n">
        <v>0</v>
      </c>
      <c r="K90" s="37" t="n">
        <v>10.89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-1.07</v>
      </c>
      <c r="F91" s="9" t="n"/>
      <c r="G91" s="18" t="n">
        <v>-8712.58</v>
      </c>
      <c r="H91" s="18" t="n">
        <v>-1082.93</v>
      </c>
      <c r="I91" s="18" t="n">
        <v>-3876.62</v>
      </c>
      <c r="J91" s="18" t="n">
        <v>-494.99</v>
      </c>
      <c r="K91" s="37" t="n">
        <v>-14167.12</v>
      </c>
      <c r="L91" s="18" t="n">
        <v>3600.27</v>
      </c>
      <c r="M91" s="18" t="n">
        <v>-1005.48</v>
      </c>
      <c r="N91" s="18" t="n">
        <v>-3613.12</v>
      </c>
      <c r="O91" s="18" t="n">
        <v>1475.75</v>
      </c>
      <c r="P91" s="37" t="n">
        <v>457.42</v>
      </c>
      <c r="Q91" s="18" t="n">
        <v>-10901.66</v>
      </c>
      <c r="R91" s="18" t="n">
        <v>-1547.68</v>
      </c>
      <c r="S91" s="18" t="n">
        <v>-578.3</v>
      </c>
      <c r="T91" s="18" t="n">
        <v>-707.48</v>
      </c>
      <c r="U91" s="37" t="n">
        <v>-13735.12</v>
      </c>
      <c r="V91" s="18" t="n">
        <v>-91.7</v>
      </c>
      <c r="W91" s="18" t="n">
        <v>-210.48</v>
      </c>
      <c r="X91" s="18" t="n">
        <v>-5968.23</v>
      </c>
      <c r="Y91" s="18" t="n">
        <v>-44.38</v>
      </c>
      <c r="Z91" s="37" t="n">
        <v>-6314.79</v>
      </c>
      <c r="AA91" s="18" t="n">
        <v>-5010.02</v>
      </c>
      <c r="AB91" s="19" t="n">
        <v>-1037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-5954.87</v>
      </c>
      <c r="F92" s="9" t="n"/>
      <c r="G92" s="18" t="n">
        <v>-62731.04</v>
      </c>
      <c r="H92" s="18" t="n">
        <v>12913.48</v>
      </c>
      <c r="I92" s="18" t="n">
        <v>-351955.98</v>
      </c>
      <c r="J92" s="18" t="n">
        <v>70693.25999999999</v>
      </c>
      <c r="K92" s="37" t="n">
        <v>-331080.28</v>
      </c>
      <c r="L92" s="18" t="n">
        <v>59447.01</v>
      </c>
      <c r="M92" s="18" t="n">
        <v>38092.13</v>
      </c>
      <c r="N92" s="18" t="n">
        <v>-27759.22</v>
      </c>
      <c r="O92" s="18" t="n">
        <v>-43040.19</v>
      </c>
      <c r="P92" s="37" t="n">
        <v>26739.73</v>
      </c>
      <c r="Q92" s="18" t="n">
        <v>-13325.32</v>
      </c>
      <c r="R92" s="18" t="n">
        <v>-6638.85</v>
      </c>
      <c r="S92" s="18" t="n">
        <v>-42134.45</v>
      </c>
      <c r="T92" s="18" t="n">
        <v>-45777.17</v>
      </c>
      <c r="U92" s="37" t="n">
        <v>-107875.79</v>
      </c>
      <c r="V92" s="18" t="n">
        <v>-31933.43</v>
      </c>
      <c r="W92" s="18" t="n">
        <v>-81340.89</v>
      </c>
      <c r="X92" s="18" t="n">
        <v>85768.94</v>
      </c>
      <c r="Y92" s="18" t="n">
        <v>-8279.35</v>
      </c>
      <c r="Z92" s="37" t="n">
        <v>-35784.73</v>
      </c>
      <c r="AA92" s="18" t="n">
        <v>-23710.95</v>
      </c>
      <c r="AB92" s="19" t="n">
        <v>-11528.62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0</v>
      </c>
      <c r="F93" s="9" t="n"/>
      <c r="I93" s="18" t="n">
        <v>14.67</v>
      </c>
      <c r="J93" s="18" t="n">
        <v>183.87</v>
      </c>
      <c r="K93" s="9" t="n"/>
      <c r="L93" s="18" t="n">
        <v>657.8</v>
      </c>
      <c r="M93" s="18" t="n">
        <v>121.81</v>
      </c>
      <c r="N93" s="18" t="n">
        <v>497.73</v>
      </c>
      <c r="O93" s="18" t="n">
        <v>75.25</v>
      </c>
      <c r="P93" s="37" t="n">
        <v>1352.59</v>
      </c>
      <c r="Q93" s="18" t="n">
        <v>212.35</v>
      </c>
      <c r="R93" s="18" t="n">
        <v>49.69</v>
      </c>
      <c r="S93" s="18" t="n">
        <v>66.52</v>
      </c>
      <c r="T93" s="18" t="n">
        <v>17.87</v>
      </c>
      <c r="U93" s="37" t="n">
        <v>346.43</v>
      </c>
      <c r="V93" s="18" t="n">
        <v>13.66</v>
      </c>
      <c r="W93" s="18" t="n">
        <v>0</v>
      </c>
      <c r="X93" s="18" t="n">
        <v>11.04</v>
      </c>
      <c r="Y93" s="18" t="n">
        <v>233.1</v>
      </c>
      <c r="Z93" s="37" t="n">
        <v>257.8</v>
      </c>
      <c r="AA93" s="18" t="n">
        <v>2.79</v>
      </c>
      <c r="AB93" s="19" t="n">
        <v>29.75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2208.22</v>
      </c>
      <c r="F94" s="9" t="n"/>
      <c r="G94" s="18" t="n">
        <v>1621.17</v>
      </c>
      <c r="H94" s="18" t="n">
        <v>7303.58</v>
      </c>
      <c r="I94" s="18" t="n">
        <v>2215.62</v>
      </c>
      <c r="J94" s="18" t="n">
        <v>104988.88</v>
      </c>
      <c r="K94" s="37" t="n">
        <v>116129.25</v>
      </c>
      <c r="L94" s="18" t="n">
        <v>18328.53</v>
      </c>
      <c r="M94" s="18" t="n">
        <v>22623.63</v>
      </c>
      <c r="N94" s="18" t="n">
        <v>24593.62</v>
      </c>
      <c r="O94" s="18" t="n">
        <v>45279.4</v>
      </c>
      <c r="P94" s="37" t="n">
        <v>110825.18</v>
      </c>
      <c r="Q94" s="18" t="n">
        <v>28887.93</v>
      </c>
      <c r="R94" s="18" t="n">
        <v>34845.71</v>
      </c>
      <c r="S94" s="18" t="n">
        <v>47319.67</v>
      </c>
      <c r="T94" s="18" t="n">
        <v>40349.99</v>
      </c>
      <c r="U94" s="37" t="n">
        <v>151403.3</v>
      </c>
      <c r="V94" s="18" t="n">
        <v>31875.35</v>
      </c>
      <c r="W94" s="18" t="n">
        <v>11631.93</v>
      </c>
      <c r="X94" s="18" t="n">
        <v>4757.89</v>
      </c>
      <c r="Y94" s="18" t="n">
        <v>10389.96</v>
      </c>
      <c r="Z94" s="37" t="n">
        <v>58655.13</v>
      </c>
      <c r="AA94" s="18" t="n">
        <v>23670.68</v>
      </c>
      <c r="AB94" s="19" t="n">
        <v>11228.93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2182.76</v>
      </c>
      <c r="F95" s="9" t="n"/>
      <c r="G95" s="18" t="n">
        <v>1921</v>
      </c>
      <c r="H95" s="18" t="n">
        <v>7224.49</v>
      </c>
      <c r="I95" s="18" t="n">
        <v>2341.65</v>
      </c>
      <c r="J95" s="18" t="n">
        <v>107127.96</v>
      </c>
      <c r="K95" s="37" t="n">
        <v>118615.1</v>
      </c>
      <c r="L95" s="18" t="n">
        <v>18904.49</v>
      </c>
      <c r="M95" s="18" t="n">
        <v>22584.45</v>
      </c>
      <c r="N95" s="18" t="n">
        <v>25382.05</v>
      </c>
      <c r="O95" s="18" t="n">
        <v>45451.78</v>
      </c>
      <c r="P95" s="37" t="n">
        <v>112322.77</v>
      </c>
      <c r="Q95" s="18" t="n">
        <v>28905.72</v>
      </c>
      <c r="R95" s="18" t="n">
        <v>34895.24</v>
      </c>
      <c r="S95" s="18" t="n">
        <v>47373.29</v>
      </c>
      <c r="T95" s="18" t="n">
        <v>40471.18</v>
      </c>
      <c r="U95" s="37" t="n">
        <v>151645.43</v>
      </c>
      <c r="V95" s="18" t="n">
        <v>31950.15</v>
      </c>
      <c r="W95" s="18" t="n">
        <v>11635.28</v>
      </c>
      <c r="X95" s="18" t="n">
        <v>5309.22</v>
      </c>
      <c r="Y95" s="18" t="n">
        <v>10676.87</v>
      </c>
      <c r="Z95" s="37" t="n">
        <v>59571.52</v>
      </c>
      <c r="AA95" s="18" t="n">
        <v>23705.77</v>
      </c>
      <c r="AB95" s="19" t="n">
        <v>11228.93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-18440.05</v>
      </c>
      <c r="F96" s="9" t="n"/>
      <c r="G96" s="18" t="n">
        <v>-14760.37</v>
      </c>
      <c r="H96" s="18" t="n">
        <v>-10177.3</v>
      </c>
      <c r="I96" s="18" t="n">
        <v>455157.1</v>
      </c>
      <c r="J96" s="18" t="n">
        <v>-177498.13</v>
      </c>
      <c r="K96" s="37" t="n">
        <v>252721.3</v>
      </c>
      <c r="L96" s="18" t="n">
        <v>-2397.96</v>
      </c>
      <c r="M96" s="18" t="n">
        <v>26115.43</v>
      </c>
      <c r="N96" s="18" t="n">
        <v>25748.45</v>
      </c>
      <c r="O96" s="18" t="n">
        <v>20850.79</v>
      </c>
      <c r="P96" s="37" t="n">
        <v>70316.71000000001</v>
      </c>
      <c r="Q96" s="18" t="n">
        <v>36366.38</v>
      </c>
      <c r="R96" s="18" t="n">
        <v>-37953.64</v>
      </c>
      <c r="S96" s="18" t="n">
        <v>-16047.62</v>
      </c>
      <c r="T96" s="18" t="n">
        <v>16108.79</v>
      </c>
      <c r="U96" s="37" t="n">
        <v>-1526.09</v>
      </c>
      <c r="V96" s="18" t="n">
        <v>38601.9</v>
      </c>
      <c r="W96" s="18" t="n">
        <v>-3382.47</v>
      </c>
      <c r="X96" s="18" t="n">
        <v>-9104.67</v>
      </c>
      <c r="Y96" s="18" t="n">
        <v>1562.48</v>
      </c>
      <c r="Z96" s="37" t="n">
        <v>27677.24</v>
      </c>
      <c r="AA96" s="18" t="n">
        <v>-18125.21</v>
      </c>
      <c r="AB96" s="19" t="n">
        <v>18010.87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차입금의증가</t>
        </is>
      </c>
      <c r="E97" s="18" t="n">
        <v>16611.76</v>
      </c>
      <c r="F97" s="9" t="n"/>
      <c r="G97" s="18" t="n">
        <v>16917.18</v>
      </c>
      <c r="H97" s="18" t="n">
        <v>27542.48</v>
      </c>
      <c r="I97" s="18" t="n">
        <v>8678.5</v>
      </c>
      <c r="J97" s="18" t="n">
        <v>16388.34</v>
      </c>
      <c r="K97" s="37" t="n">
        <v>69526.5</v>
      </c>
      <c r="L97" s="18" t="n">
        <v>22242.5</v>
      </c>
      <c r="M97" s="18" t="n">
        <v>81918.46000000001</v>
      </c>
      <c r="P97" s="9" t="n"/>
      <c r="Q97" s="18" t="n">
        <v>110397.4</v>
      </c>
      <c r="R97" s="18" t="n">
        <v>3325.62</v>
      </c>
      <c r="S97" s="18" t="n">
        <v>16141.89</v>
      </c>
      <c r="T97" s="18" t="n">
        <v>62247.56</v>
      </c>
      <c r="U97" s="37" t="n">
        <v>192112.47</v>
      </c>
      <c r="V97" s="18" t="n">
        <v>57960</v>
      </c>
      <c r="W97" s="18" t="n">
        <v>1940</v>
      </c>
      <c r="X97" s="18" t="n">
        <v>8000</v>
      </c>
      <c r="Y97" s="18" t="n">
        <v>3500</v>
      </c>
      <c r="Z97" s="37" t="n">
        <v>71400</v>
      </c>
      <c r="AA97" s="18" t="n">
        <v>10450</v>
      </c>
      <c r="AB97" s="19" t="n">
        <v>69390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차입금의감소</t>
        </is>
      </c>
      <c r="E98" s="18" t="n">
        <v>34392.43</v>
      </c>
      <c r="F98" s="9" t="n"/>
      <c r="G98" s="18" t="n">
        <v>30975.25</v>
      </c>
      <c r="H98" s="18" t="n">
        <v>37009.47</v>
      </c>
      <c r="I98" s="18" t="n">
        <v>11668</v>
      </c>
      <c r="J98" s="18" t="n">
        <v>151690.86</v>
      </c>
      <c r="K98" s="37" t="n">
        <v>231343.58</v>
      </c>
      <c r="L98" s="18" t="n">
        <v>17648.55</v>
      </c>
      <c r="M98" s="18" t="n">
        <v>54936.66</v>
      </c>
      <c r="N98" s="18" t="n">
        <v>19013.12</v>
      </c>
      <c r="O98" s="18" t="n">
        <v>25807.76</v>
      </c>
      <c r="P98" s="37" t="n">
        <v>117406.09</v>
      </c>
      <c r="Q98" s="18" t="n">
        <v>69876.17999999999</v>
      </c>
      <c r="R98" s="18" t="n">
        <v>37096.55</v>
      </c>
      <c r="S98" s="18" t="n">
        <v>27626.8</v>
      </c>
      <c r="T98" s="18" t="n">
        <v>35644.54</v>
      </c>
      <c r="U98" s="37" t="n">
        <v>170244.07</v>
      </c>
      <c r="V98" s="18" t="n">
        <v>17157.6</v>
      </c>
      <c r="W98" s="18" t="n">
        <v>4097.6</v>
      </c>
      <c r="X98" s="18" t="n">
        <v>10157.6</v>
      </c>
      <c r="Y98" s="18" t="n">
        <v>5657.6</v>
      </c>
      <c r="Z98" s="37" t="n">
        <v>37070.4</v>
      </c>
      <c r="AA98" s="18" t="n">
        <v>27157.6</v>
      </c>
      <c r="AB98" s="19" t="n">
        <v>49997.6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659.38</v>
      </c>
      <c r="F99" s="9" t="n"/>
      <c r="G99" s="18" t="n">
        <v>697.22</v>
      </c>
      <c r="H99" s="18" t="n">
        <v>710.3200000000001</v>
      </c>
      <c r="I99" s="18" t="n">
        <v>865.21</v>
      </c>
      <c r="J99" s="18" t="n">
        <v>740.63</v>
      </c>
      <c r="K99" s="37" t="n">
        <v>3013.38</v>
      </c>
      <c r="L99" s="18" t="n">
        <v>844.49</v>
      </c>
      <c r="M99" s="18" t="n">
        <v>866.38</v>
      </c>
      <c r="N99" s="18" t="n">
        <v>1183.5</v>
      </c>
      <c r="O99" s="18" t="n">
        <v>4029.34</v>
      </c>
      <c r="P99" s="37" t="n">
        <v>6923.71</v>
      </c>
      <c r="Q99" s="18" t="n">
        <v>4154.84</v>
      </c>
      <c r="R99" s="18" t="n">
        <v>4182.7</v>
      </c>
      <c r="S99" s="18" t="n">
        <v>4562.73</v>
      </c>
      <c r="T99" s="18" t="n">
        <v>4259.71</v>
      </c>
      <c r="U99" s="37" t="n">
        <v>17159.98</v>
      </c>
      <c r="V99" s="18" t="n">
        <v>2200.5</v>
      </c>
      <c r="W99" s="18" t="n">
        <v>1215.78</v>
      </c>
      <c r="X99" s="18" t="n">
        <v>2464.15</v>
      </c>
      <c r="Z99" s="9" t="n"/>
      <c r="AA99" s="18" t="n">
        <v>1417.61</v>
      </c>
      <c r="AB99" s="19" t="n">
        <v>1381.53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170554.29</v>
      </c>
      <c r="F100" s="9" t="n"/>
      <c r="G100" s="18" t="n">
        <v>-54041.49</v>
      </c>
      <c r="H100" s="18" t="n">
        <v>-22888.69</v>
      </c>
      <c r="I100" s="18" t="n">
        <v>147735.41</v>
      </c>
      <c r="J100" s="18" t="n">
        <v>-90836.78999999999</v>
      </c>
      <c r="K100" s="37" t="n">
        <v>-20031.56</v>
      </c>
      <c r="L100" s="18" t="n">
        <v>4818.53</v>
      </c>
      <c r="M100" s="18" t="n">
        <v>-20842.58</v>
      </c>
      <c r="N100" s="18" t="n">
        <v>-5566.52</v>
      </c>
      <c r="O100" s="18" t="n">
        <v>-60987.82</v>
      </c>
      <c r="P100" s="37" t="n">
        <v>-82578.39</v>
      </c>
      <c r="Q100" s="18" t="n">
        <v>66516.81</v>
      </c>
      <c r="R100" s="18" t="n">
        <v>14565.13</v>
      </c>
      <c r="S100" s="18" t="n">
        <v>-24537.23</v>
      </c>
      <c r="T100" s="18" t="n">
        <v>-30434.08</v>
      </c>
      <c r="U100" s="37" t="n">
        <v>26110.63</v>
      </c>
      <c r="V100" s="18" t="n">
        <v>59190.87</v>
      </c>
      <c r="W100" s="18" t="n">
        <v>-39187.59</v>
      </c>
      <c r="X100" s="18" t="n">
        <v>-38392.41</v>
      </c>
      <c r="Y100" s="18" t="n">
        <v>-29504.66</v>
      </c>
      <c r="Z100" s="37" t="n">
        <v>-47893.79</v>
      </c>
      <c r="AA100" s="18" t="n">
        <v>-919.7</v>
      </c>
      <c r="AB100" s="19" t="n">
        <v>17949.87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85282.19</v>
      </c>
      <c r="F101" s="9" t="n"/>
      <c r="G101" s="18" t="n">
        <v>69442.91</v>
      </c>
      <c r="H101" s="18" t="n">
        <v>-11409.38</v>
      </c>
      <c r="I101" s="18" t="n">
        <v>74053.47</v>
      </c>
      <c r="J101" s="18" t="n">
        <v>-45877.44</v>
      </c>
      <c r="K101" s="37" t="n">
        <v>86209.56</v>
      </c>
      <c r="L101" s="18" t="n">
        <v>88633.19</v>
      </c>
      <c r="M101" s="18" t="n">
        <v>-10399.04</v>
      </c>
      <c r="N101" s="18" t="n">
        <v>-2744.84</v>
      </c>
      <c r="O101" s="18" t="n">
        <v>-30711.45</v>
      </c>
      <c r="P101" s="37" t="n">
        <v>44777.86</v>
      </c>
      <c r="Q101" s="18" t="n">
        <v>78092.71000000001</v>
      </c>
      <c r="R101" s="18" t="n">
        <v>7280.99</v>
      </c>
      <c r="S101" s="18" t="n">
        <v>-12544.29</v>
      </c>
      <c r="T101" s="18" t="n">
        <v>-1940.92</v>
      </c>
      <c r="U101" s="37" t="n">
        <v>70888.49000000001</v>
      </c>
      <c r="V101" s="18" t="n">
        <v>130079.36</v>
      </c>
      <c r="W101" s="18" t="n">
        <v>-39187.59</v>
      </c>
      <c r="X101" s="18" t="n">
        <v>-38392.41</v>
      </c>
      <c r="Y101" s="18" t="n">
        <v>-29504.65</v>
      </c>
      <c r="Z101" s="37" t="n">
        <v>22994.71</v>
      </c>
      <c r="AA101" s="18" t="n">
        <v>22075</v>
      </c>
      <c r="AB101" s="19" t="n">
        <v>17949.88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무형자산의증가</t>
        </is>
      </c>
      <c r="F102" s="9" t="n"/>
      <c r="G102" s="18" t="n">
        <v>299.83</v>
      </c>
      <c r="I102" s="18" t="n">
        <v>126.03</v>
      </c>
      <c r="J102" s="18" t="n">
        <v>2139.08</v>
      </c>
      <c r="K102" s="9" t="n"/>
      <c r="L102" s="18" t="n">
        <v>575.96</v>
      </c>
      <c r="N102" s="18" t="n">
        <v>788.4299999999999</v>
      </c>
      <c r="O102" s="18" t="n">
        <v>172.38</v>
      </c>
      <c r="P102" s="9" t="n"/>
      <c r="Q102" s="18" t="n">
        <v>17.79</v>
      </c>
      <c r="R102" s="18" t="n">
        <v>49.53</v>
      </c>
      <c r="S102" s="18" t="n">
        <v>53.62</v>
      </c>
      <c r="T102" s="18" t="n">
        <v>121.19</v>
      </c>
      <c r="U102" s="37" t="n">
        <v>242.13</v>
      </c>
      <c r="V102" s="18" t="n">
        <v>74.8</v>
      </c>
      <c r="W102" s="18" t="n">
        <v>3.35</v>
      </c>
      <c r="X102" s="18" t="n">
        <v>551.33</v>
      </c>
      <c r="Y102" s="18" t="n">
        <v>286.91</v>
      </c>
      <c r="Z102" s="37" t="n">
        <v>916.39</v>
      </c>
      <c r="AA102" s="18" t="n">
        <v>35.09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827.97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O104" s="18" t="n">
        <v>0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7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7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7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7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7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7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7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7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7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7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7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7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7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7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7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7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7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7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7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7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7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7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7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7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7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7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7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7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7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7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7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7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7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7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7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7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7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7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7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7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7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7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7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7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7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7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7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7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7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7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7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7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7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7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7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7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7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7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7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7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7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7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7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7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7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7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7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7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7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7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7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7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7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7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7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7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7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7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7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7" t="n">
        <v>71474.12</v>
      </c>
      <c r="Q22" s="18" t="n">
        <v>101202.93</v>
      </c>
      <c r="R22" s="18" t="n">
        <v>93739.60000000001</v>
      </c>
      <c r="S22" s="18" t="n">
        <v>83762.3</v>
      </c>
      <c r="T22" s="18" t="n">
        <v>76470.39999999999</v>
      </c>
      <c r="U22" s="37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7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7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7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7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7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7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7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7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7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7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7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7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7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7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7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7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7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7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7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7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7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7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7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7" t="n">
        <v>12196.48</v>
      </c>
      <c r="Q27" s="18" t="n">
        <v>1471.09</v>
      </c>
      <c r="R27" s="18" t="n">
        <v>191.61</v>
      </c>
      <c r="T27" s="18" t="n">
        <v>100.34</v>
      </c>
      <c r="U27" s="37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7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7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7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7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7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7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7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7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7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7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7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7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116226.72</v>
      </c>
      <c r="K30" s="37" t="n">
        <v>116226.72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7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7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7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7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7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7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7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7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7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7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7" t="n">
        <v>32866.63</v>
      </c>
      <c r="Q32" s="18" t="n">
        <v>31759.03</v>
      </c>
      <c r="R32" s="18" t="n">
        <v>10651.43</v>
      </c>
      <c r="S32" s="18" t="n">
        <v>9543.83</v>
      </c>
      <c r="T32" s="18" t="n">
        <v>37504.23</v>
      </c>
      <c r="U32" s="37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7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4866.18</v>
      </c>
      <c r="F33" s="37" t="n">
        <v>4866.18</v>
      </c>
      <c r="G33" s="18" t="n">
        <v>4882.85</v>
      </c>
      <c r="H33" s="18" t="n">
        <v>4900.06</v>
      </c>
      <c r="I33" s="18" t="n">
        <v>4917.33</v>
      </c>
      <c r="J33" s="18" t="n">
        <v>31435.98</v>
      </c>
      <c r="K33" s="37" t="n">
        <v>31435.98</v>
      </c>
      <c r="P33" s="9" t="n"/>
      <c r="T33" s="18" t="n">
        <v>0</v>
      </c>
      <c r="U33" s="37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2338.48</v>
      </c>
      <c r="F34" s="37" t="n">
        <v>2338.48</v>
      </c>
      <c r="G34" s="18" t="n">
        <v>2539.03</v>
      </c>
      <c r="H34" s="18" t="n">
        <v>1906.44</v>
      </c>
      <c r="I34" s="18" t="n">
        <v>1369.74</v>
      </c>
      <c r="K34" s="9" t="n"/>
      <c r="L34" s="18" t="n">
        <v>495.56</v>
      </c>
      <c r="M34" s="18" t="n">
        <v>17.79</v>
      </c>
      <c r="N34" s="18" t="n">
        <v>392.93</v>
      </c>
      <c r="O34" s="18" t="n">
        <v>2091.43</v>
      </c>
      <c r="P34" s="37" t="n">
        <v>2091.43</v>
      </c>
      <c r="Q34" s="18" t="n">
        <v>2944.49</v>
      </c>
      <c r="R34" s="18" t="n">
        <v>3022.43</v>
      </c>
      <c r="S34" s="18" t="n">
        <v>3802.12</v>
      </c>
      <c r="T34" s="18" t="n">
        <v>5171.38</v>
      </c>
      <c r="U34" s="37" t="n">
        <v>5171.38</v>
      </c>
      <c r="V34" s="18" t="n">
        <v>6856.71</v>
      </c>
      <c r="W34" s="18" t="n">
        <v>7038.85</v>
      </c>
      <c r="X34" s="18" t="n">
        <v>8084.6</v>
      </c>
      <c r="Y34" s="18" t="n">
        <v>4433.73</v>
      </c>
      <c r="Z34" s="37" t="n">
        <v>4433.73</v>
      </c>
      <c r="AA34" s="18" t="n">
        <v>5932.68</v>
      </c>
      <c r="AB34" s="19" t="n">
        <v>5862.61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41.91</v>
      </c>
      <c r="F35" s="37" t="n">
        <v>41.91</v>
      </c>
      <c r="G35" s="18" t="n">
        <v>0.05</v>
      </c>
      <c r="H35" s="18" t="n">
        <v>4.48</v>
      </c>
      <c r="I35" s="18" t="n">
        <v>0.17</v>
      </c>
      <c r="J35" s="18" t="n">
        <v>21.58</v>
      </c>
      <c r="K35" s="37" t="n">
        <v>21.58</v>
      </c>
      <c r="L35" s="18" t="n">
        <v>0.44</v>
      </c>
      <c r="M35" s="18" t="n">
        <v>0.46</v>
      </c>
      <c r="N35" s="18" t="n">
        <v>24.22</v>
      </c>
      <c r="O35" s="18" t="n">
        <v>1725.11</v>
      </c>
      <c r="P35" s="37" t="n">
        <v>1725.11</v>
      </c>
      <c r="Q35" s="18" t="n">
        <v>1659.92</v>
      </c>
      <c r="R35" s="18" t="n">
        <v>1.36</v>
      </c>
      <c r="S35" s="18" t="n">
        <v>1.57</v>
      </c>
      <c r="T35" s="18" t="n">
        <v>62.47</v>
      </c>
      <c r="U35" s="37" t="n">
        <v>62.47</v>
      </c>
      <c r="V35" s="18" t="n">
        <v>0.66</v>
      </c>
      <c r="W35" s="18" t="n">
        <v>0.67</v>
      </c>
      <c r="X35" s="18" t="n">
        <v>0.71</v>
      </c>
      <c r="Y35" s="18" t="n">
        <v>62.83</v>
      </c>
      <c r="Z35" s="37" t="n">
        <v>62.83</v>
      </c>
      <c r="AA35" s="18" t="n">
        <v>0.79</v>
      </c>
      <c r="AB35" s="19" t="n">
        <v>1.08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11683.16</v>
      </c>
      <c r="F36" s="37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7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7" t="n">
        <v>8406.41</v>
      </c>
      <c r="Q36" s="18" t="n">
        <v>6403.45</v>
      </c>
      <c r="R36" s="18" t="n">
        <v>5507.33</v>
      </c>
      <c r="S36" s="18" t="n">
        <v>4544.31</v>
      </c>
      <c r="T36" s="18" t="n">
        <v>3725.65</v>
      </c>
      <c r="U36" s="37" t="n">
        <v>3725.65</v>
      </c>
      <c r="V36" s="18" t="n">
        <v>3669.03</v>
      </c>
      <c r="W36" s="18" t="n">
        <v>3438.33</v>
      </c>
      <c r="X36" s="18" t="n">
        <v>2603.49</v>
      </c>
      <c r="Y36" s="18" t="n">
        <v>2314.78</v>
      </c>
      <c r="Z36" s="37" t="n">
        <v>2314.78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11683.16</v>
      </c>
      <c r="F37" s="37" t="n">
        <v>11683.16</v>
      </c>
      <c r="G37" s="18" t="n">
        <v>11048.14</v>
      </c>
      <c r="H37" s="18" t="n">
        <v>10457.23</v>
      </c>
      <c r="I37" s="18" t="n">
        <v>10129.98</v>
      </c>
      <c r="J37" s="18" t="n">
        <v>9577.860000000001</v>
      </c>
      <c r="K37" s="37" t="n">
        <v>9577.860000000001</v>
      </c>
      <c r="L37" s="18" t="n">
        <v>9079.440000000001</v>
      </c>
      <c r="M37" s="18" t="n">
        <v>8815.440000000001</v>
      </c>
      <c r="N37" s="18" t="n">
        <v>8001.15</v>
      </c>
      <c r="O37" s="18" t="n">
        <v>8406.41</v>
      </c>
      <c r="P37" s="37" t="n">
        <v>8406.41</v>
      </c>
      <c r="Q37" s="18" t="n">
        <v>6551.82</v>
      </c>
      <c r="R37" s="18" t="n">
        <v>10617.59</v>
      </c>
      <c r="S37" s="18" t="n">
        <v>9834.629999999999</v>
      </c>
      <c r="T37" s="18" t="n">
        <v>18635.03</v>
      </c>
      <c r="U37" s="37" t="n">
        <v>18635.03</v>
      </c>
      <c r="V37" s="18" t="n">
        <v>16140.23</v>
      </c>
      <c r="W37" s="18" t="n">
        <v>5231</v>
      </c>
      <c r="X37" s="18" t="n">
        <v>4424.46</v>
      </c>
      <c r="Y37" s="18" t="n">
        <v>2317.6</v>
      </c>
      <c r="Z37" s="37" t="n">
        <v>2317.6</v>
      </c>
      <c r="AA37" s="18" t="n">
        <v>2396.24</v>
      </c>
      <c r="AB37" s="19" t="n">
        <v>2153.47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467157.64</v>
      </c>
      <c r="F38" s="37" t="n">
        <v>467157.64</v>
      </c>
      <c r="G38" s="18" t="n">
        <v>503796.68</v>
      </c>
      <c r="H38" s="18" t="n">
        <v>523489.05</v>
      </c>
      <c r="I38" s="18" t="n">
        <v>632573.88</v>
      </c>
      <c r="J38" s="18" t="n">
        <v>668375.8</v>
      </c>
      <c r="K38" s="37" t="n">
        <v>668375.8</v>
      </c>
      <c r="L38" s="18" t="n">
        <v>770139.59</v>
      </c>
      <c r="M38" s="18" t="n">
        <v>779739.61</v>
      </c>
      <c r="N38" s="18" t="n">
        <v>713001.08</v>
      </c>
      <c r="O38" s="18" t="n">
        <v>677611.6</v>
      </c>
      <c r="P38" s="37" t="n">
        <v>677611.6</v>
      </c>
      <c r="Q38" s="18" t="n">
        <v>730865.96</v>
      </c>
      <c r="R38" s="18" t="n">
        <v>673121.9</v>
      </c>
      <c r="S38" s="18" t="n">
        <v>596830.26</v>
      </c>
      <c r="T38" s="18" t="n">
        <v>652697.8199999999</v>
      </c>
      <c r="U38" s="37" t="n">
        <v>652697.8199999999</v>
      </c>
      <c r="V38" s="18" t="n">
        <v>615392.77</v>
      </c>
      <c r="W38" s="18" t="n">
        <v>505576.02</v>
      </c>
      <c r="X38" s="18" t="n">
        <v>322164.28</v>
      </c>
      <c r="Y38" s="18" t="n">
        <v>264782.02</v>
      </c>
      <c r="Z38" s="37" t="n">
        <v>264782.02</v>
      </c>
      <c r="AA38" s="18" t="n">
        <v>272020.6</v>
      </c>
      <c r="AB38" s="19" t="n">
        <v>307089.01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411084.35</v>
      </c>
      <c r="K40" s="37" t="n">
        <v>411084.35</v>
      </c>
      <c r="L40" s="18" t="n">
        <v>411084.35</v>
      </c>
      <c r="M40" s="18" t="n">
        <v>411084.35</v>
      </c>
      <c r="N40" s="18" t="n">
        <v>534356.95</v>
      </c>
      <c r="O40" s="18" t="n">
        <v>534356.95</v>
      </c>
      <c r="P40" s="37" t="n">
        <v>534356.95</v>
      </c>
      <c r="Q40" s="18" t="n">
        <v>534356.95</v>
      </c>
      <c r="R40" s="18" t="n">
        <v>534356.95</v>
      </c>
      <c r="S40" s="18" t="n">
        <v>534356.95</v>
      </c>
      <c r="T40" s="18" t="n">
        <v>534356.95</v>
      </c>
      <c r="U40" s="37" t="n">
        <v>534356.95</v>
      </c>
      <c r="V40" s="18" t="n">
        <v>534356.95</v>
      </c>
      <c r="W40" s="18" t="n">
        <v>550236.98</v>
      </c>
      <c r="X40" s="18" t="n">
        <v>585403.24</v>
      </c>
      <c r="Y40" s="18" t="n">
        <v>586637.25</v>
      </c>
      <c r="Z40" s="37" t="n">
        <v>586637.25</v>
      </c>
      <c r="AA40" s="18" t="n">
        <v>586637.25</v>
      </c>
      <c r="AB40" s="19" t="n">
        <v>588674.98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6427.52</v>
      </c>
      <c r="F41" s="37" t="n">
        <v>6427.52</v>
      </c>
      <c r="G41" s="18" t="n">
        <v>5330.08</v>
      </c>
      <c r="H41" s="18" t="n">
        <v>5330.08</v>
      </c>
      <c r="I41" s="18" t="n">
        <v>16421.07</v>
      </c>
      <c r="J41" s="18" t="n">
        <v>16999.32</v>
      </c>
      <c r="K41" s="37" t="n">
        <v>16999.32</v>
      </c>
      <c r="L41" s="18" t="n">
        <v>16999.32</v>
      </c>
      <c r="M41" s="18" t="n">
        <v>17036.32</v>
      </c>
      <c r="N41" s="18" t="n">
        <v>10621.33</v>
      </c>
      <c r="O41" s="18" t="n">
        <v>10655.38</v>
      </c>
      <c r="P41" s="37" t="n">
        <v>10655.38</v>
      </c>
      <c r="Q41" s="18" t="n">
        <v>10691.39</v>
      </c>
      <c r="R41" s="18" t="n">
        <v>10727.41</v>
      </c>
      <c r="S41" s="18" t="n">
        <v>10763.42</v>
      </c>
      <c r="T41" s="18" t="n">
        <v>10799.44</v>
      </c>
      <c r="U41" s="37" t="n">
        <v>10799.44</v>
      </c>
      <c r="V41" s="18" t="n">
        <v>10835.45</v>
      </c>
      <c r="W41" s="18" t="n">
        <v>8291.57</v>
      </c>
      <c r="X41" s="18" t="n">
        <v>2343.86</v>
      </c>
      <c r="Y41" s="18" t="n">
        <v>2352.86</v>
      </c>
      <c r="Z41" s="37" t="n">
        <v>2352.86</v>
      </c>
      <c r="AA41" s="18" t="n">
        <v>2361.86</v>
      </c>
      <c r="AB41" s="19" t="n">
        <v>324.13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2480.09</v>
      </c>
      <c r="F43" s="37" t="n">
        <v>2480.09</v>
      </c>
      <c r="G43" s="18" t="n">
        <v>11305.44</v>
      </c>
      <c r="H43" s="18" t="n">
        <v>21624.26</v>
      </c>
      <c r="I43" s="18" t="n">
        <v>26111.16</v>
      </c>
      <c r="J43" s="18" t="n">
        <v>26996.3</v>
      </c>
      <c r="K43" s="37" t="n">
        <v>26996.3</v>
      </c>
      <c r="L43" s="18" t="n">
        <v>47473.77</v>
      </c>
      <c r="M43" s="18" t="n">
        <v>68823.55</v>
      </c>
      <c r="N43" s="18" t="n">
        <v>74548</v>
      </c>
      <c r="O43" s="18" t="n">
        <v>82245.91</v>
      </c>
      <c r="P43" s="37" t="n">
        <v>82245.91</v>
      </c>
      <c r="Q43" s="18" t="n">
        <v>86360.24000000001</v>
      </c>
      <c r="R43" s="18" t="n">
        <v>89153.50999999999</v>
      </c>
      <c r="S43" s="18" t="n">
        <v>98265.61</v>
      </c>
      <c r="T43" s="18" t="n">
        <v>96293.99000000001</v>
      </c>
      <c r="U43" s="37" t="n">
        <v>96293.99000000001</v>
      </c>
      <c r="V43" s="18" t="n">
        <v>100686.6</v>
      </c>
      <c r="W43" s="18" t="n">
        <v>109227.22</v>
      </c>
      <c r="X43" s="18" t="n">
        <v>120263.35</v>
      </c>
      <c r="Y43" s="18" t="n">
        <v>132619.34</v>
      </c>
      <c r="Z43" s="37" t="n">
        <v>132619.34</v>
      </c>
      <c r="AA43" s="18" t="n">
        <v>142475.19</v>
      </c>
      <c r="AB43" s="19" t="n">
        <v>156264.46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155867.83</v>
      </c>
      <c r="F44" s="37" t="n">
        <v>155867.83</v>
      </c>
      <c r="G44" s="18" t="n">
        <v>172961.43</v>
      </c>
      <c r="H44" s="18" t="n">
        <v>183280.25</v>
      </c>
      <c r="I44" s="18" t="n">
        <v>520380.35</v>
      </c>
      <c r="J44" s="18" t="n">
        <v>521690.25</v>
      </c>
      <c r="K44" s="37" t="n">
        <v>521690.25</v>
      </c>
      <c r="L44" s="18" t="n">
        <v>542167.72</v>
      </c>
      <c r="M44" s="18" t="n">
        <v>563554.49</v>
      </c>
      <c r="N44" s="18" t="n">
        <v>689116.85</v>
      </c>
      <c r="O44" s="18" t="n">
        <v>696848.8</v>
      </c>
      <c r="P44" s="37" t="n">
        <v>696848.8</v>
      </c>
      <c r="Q44" s="18" t="n">
        <v>700999.15</v>
      </c>
      <c r="R44" s="18" t="n">
        <v>703828.4300000001</v>
      </c>
      <c r="S44" s="18" t="n">
        <v>712976.55</v>
      </c>
      <c r="T44" s="18" t="n">
        <v>711044.5600000001</v>
      </c>
      <c r="U44" s="37" t="n">
        <v>711044.5600000001</v>
      </c>
      <c r="V44" s="18" t="n">
        <v>715472.6899999999</v>
      </c>
      <c r="W44" s="18" t="n">
        <v>737835.4300000001</v>
      </c>
      <c r="X44" s="18" t="n">
        <v>779240.67</v>
      </c>
      <c r="Y44" s="18" t="n">
        <v>816949.8</v>
      </c>
      <c r="Z44" s="37" t="n">
        <v>816949.8</v>
      </c>
      <c r="AA44" s="18" t="n">
        <v>826817.3199999999</v>
      </c>
      <c r="AB44" s="19" t="n">
        <v>840607.72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623025.48</v>
      </c>
      <c r="F45" s="37" t="n">
        <v>623025.48</v>
      </c>
      <c r="G45" s="18" t="n">
        <v>676758.11</v>
      </c>
      <c r="H45" s="18" t="n">
        <v>706769.3</v>
      </c>
      <c r="I45" s="18" t="n">
        <v>1152954.23</v>
      </c>
      <c r="J45" s="18" t="n">
        <v>1190066.05</v>
      </c>
      <c r="K45" s="37" t="n">
        <v>1190066.05</v>
      </c>
      <c r="L45" s="18" t="n">
        <v>1312307.31</v>
      </c>
      <c r="M45" s="18" t="n">
        <v>1343294.1</v>
      </c>
      <c r="N45" s="18" t="n">
        <v>1402117.93</v>
      </c>
      <c r="O45" s="18" t="n">
        <v>1374460.4</v>
      </c>
      <c r="P45" s="37" t="n">
        <v>1374460.4</v>
      </c>
      <c r="Q45" s="18" t="n">
        <v>1431865.1</v>
      </c>
      <c r="R45" s="18" t="n">
        <v>1376950.33</v>
      </c>
      <c r="S45" s="18" t="n">
        <v>1309806.81</v>
      </c>
      <c r="T45" s="18" t="n">
        <v>1363742.38</v>
      </c>
      <c r="U45" s="37" t="n">
        <v>1363742.38</v>
      </c>
      <c r="V45" s="18" t="n">
        <v>1330865.46</v>
      </c>
      <c r="W45" s="18" t="n">
        <v>1243411.44</v>
      </c>
      <c r="X45" s="18" t="n">
        <v>1101404.96</v>
      </c>
      <c r="Y45" s="18" t="n">
        <v>1081731.83</v>
      </c>
      <c r="Z45" s="37" t="n">
        <v>1081731.83</v>
      </c>
      <c r="AA45" s="18" t="n">
        <v>1098837.92</v>
      </c>
      <c r="AB45" s="19" t="n">
        <v>1147696.73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155867.83</v>
      </c>
      <c r="F46" s="37" t="n">
        <v>155867.83</v>
      </c>
      <c r="G46" s="18" t="n">
        <v>172961.43</v>
      </c>
      <c r="H46" s="18" t="n">
        <v>183280.25</v>
      </c>
      <c r="I46" s="18" t="n">
        <v>520380.35</v>
      </c>
      <c r="J46" s="18" t="n">
        <v>521690.25</v>
      </c>
      <c r="K46" s="37" t="n">
        <v>521690.25</v>
      </c>
      <c r="L46" s="18" t="n">
        <v>542167.72</v>
      </c>
      <c r="M46" s="18" t="n">
        <v>563554.49</v>
      </c>
      <c r="N46" s="18" t="n">
        <v>689116.85</v>
      </c>
      <c r="O46" s="18" t="n">
        <v>696848.8</v>
      </c>
      <c r="P46" s="37" t="n">
        <v>696848.8</v>
      </c>
      <c r="Q46" s="18" t="n">
        <v>700999.15</v>
      </c>
      <c r="R46" s="18" t="n">
        <v>703828.4300000001</v>
      </c>
      <c r="S46" s="18" t="n">
        <v>712976.55</v>
      </c>
      <c r="T46" s="18" t="n">
        <v>711044.5600000001</v>
      </c>
      <c r="U46" s="37" t="n">
        <v>711044.5600000001</v>
      </c>
      <c r="V46" s="18" t="n">
        <v>715472.6899999999</v>
      </c>
      <c r="W46" s="18" t="n">
        <v>737835.4300000001</v>
      </c>
      <c r="X46" s="18" t="n">
        <v>779240.67</v>
      </c>
      <c r="Y46" s="18" t="n">
        <v>816949.8</v>
      </c>
      <c r="Z46" s="37" t="n">
        <v>816949.8</v>
      </c>
      <c r="AA46" s="18" t="n">
        <v>826817.3199999999</v>
      </c>
      <c r="AB46" s="19" t="n">
        <v>840607.72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203972.98</v>
      </c>
      <c r="F47" s="37" t="n">
        <v>203972.98</v>
      </c>
      <c r="G47" s="18" t="n">
        <v>183453.5</v>
      </c>
      <c r="H47" s="18" t="n">
        <v>176881.01</v>
      </c>
      <c r="I47" s="18" t="n">
        <v>306039.63</v>
      </c>
      <c r="J47" s="18" t="n">
        <v>206730.13</v>
      </c>
      <c r="K47" s="37" t="n">
        <v>206730.13</v>
      </c>
      <c r="L47" s="18" t="n">
        <v>210061.26</v>
      </c>
      <c r="M47" s="18" t="n">
        <v>230141.11</v>
      </c>
      <c r="N47" s="18" t="n">
        <v>137822.96</v>
      </c>
      <c r="O47" s="18" t="n">
        <v>139062.21</v>
      </c>
      <c r="P47" s="37" t="n">
        <v>139062.21</v>
      </c>
      <c r="Q47" s="18" t="n">
        <v>168554.69</v>
      </c>
      <c r="R47" s="18" t="n">
        <v>140876.89</v>
      </c>
      <c r="S47" s="18" t="n">
        <v>130717.68</v>
      </c>
      <c r="T47" s="18" t="n">
        <v>152335.35</v>
      </c>
      <c r="U47" s="37" t="n">
        <v>152335.35</v>
      </c>
      <c r="V47" s="18" t="n">
        <v>194389.67</v>
      </c>
      <c r="W47" s="18" t="n">
        <v>181495</v>
      </c>
      <c r="X47" s="18" t="n">
        <v>151361.83</v>
      </c>
      <c r="Y47" s="18" t="n">
        <v>149504.23</v>
      </c>
      <c r="Z47" s="37" t="n">
        <v>149504.23</v>
      </c>
      <c r="AA47" s="18" t="n">
        <v>131288.63</v>
      </c>
      <c r="AB47" s="19" t="n">
        <v>157836.03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111469.45</v>
      </c>
      <c r="F48" s="37" t="n">
        <v>111469.45</v>
      </c>
      <c r="G48" s="18" t="n">
        <v>116514.81</v>
      </c>
      <c r="H48" s="18" t="n">
        <v>125581</v>
      </c>
      <c r="I48" s="18" t="n">
        <v>181977.93</v>
      </c>
      <c r="J48" s="18" t="n">
        <v>128109.26</v>
      </c>
      <c r="K48" s="37" t="n">
        <v>128109.26</v>
      </c>
      <c r="L48" s="18" t="n">
        <v>129099.61</v>
      </c>
      <c r="M48" s="18" t="n">
        <v>156693.11</v>
      </c>
      <c r="N48" s="18" t="n">
        <v>62428.08</v>
      </c>
      <c r="O48" s="18" t="n">
        <v>106074.83</v>
      </c>
      <c r="P48" s="37" t="n">
        <v>106074.83</v>
      </c>
      <c r="Q48" s="18" t="n">
        <v>121110.49</v>
      </c>
      <c r="R48" s="18" t="n">
        <v>89883.00999999999</v>
      </c>
      <c r="S48" s="18" t="n">
        <v>93735.92</v>
      </c>
      <c r="T48" s="18" t="n">
        <v>86012.99000000001</v>
      </c>
      <c r="U48" s="37" t="n">
        <v>86012.99000000001</v>
      </c>
      <c r="V48" s="18" t="n">
        <v>64027.65</v>
      </c>
      <c r="W48" s="18" t="n">
        <v>98359.52</v>
      </c>
      <c r="X48" s="18" t="n">
        <v>93351.03999999999</v>
      </c>
      <c r="Y48" s="18" t="n">
        <v>121615.09</v>
      </c>
      <c r="Z48" s="37" t="n">
        <v>121615.09</v>
      </c>
      <c r="AA48" s="18" t="n">
        <v>103891.97</v>
      </c>
      <c r="AB48" s="19" t="n">
        <v>114893.53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98226.3</v>
      </c>
      <c r="F49" s="37" t="n">
        <v>98226.3</v>
      </c>
      <c r="G49" s="18" t="n">
        <v>73654.97</v>
      </c>
      <c r="H49" s="18" t="n">
        <v>63318.2</v>
      </c>
      <c r="I49" s="18" t="n">
        <v>139615.09</v>
      </c>
      <c r="J49" s="18" t="n">
        <v>157585.48</v>
      </c>
      <c r="K49" s="37" t="n">
        <v>157585.48</v>
      </c>
      <c r="L49" s="18" t="n">
        <v>167308.03</v>
      </c>
      <c r="M49" s="18" t="n">
        <v>125737.95</v>
      </c>
      <c r="N49" s="18" t="n">
        <v>127701.03</v>
      </c>
      <c r="O49" s="18" t="n">
        <v>46769.22</v>
      </c>
      <c r="P49" s="37" t="n">
        <v>46769.22</v>
      </c>
      <c r="Q49" s="18" t="n">
        <v>86832.56</v>
      </c>
      <c r="R49" s="18" t="n">
        <v>64830.14</v>
      </c>
      <c r="S49" s="18" t="n">
        <v>53023.05</v>
      </c>
      <c r="T49" s="18" t="n">
        <v>80239.27</v>
      </c>
      <c r="U49" s="37" t="n">
        <v>80239.27</v>
      </c>
      <c r="V49" s="18" t="n">
        <v>144276.9</v>
      </c>
      <c r="W49" s="18" t="n">
        <v>96986.64999999999</v>
      </c>
      <c r="X49" s="18" t="n">
        <v>71921.84</v>
      </c>
      <c r="Y49" s="18" t="n">
        <v>49033.22</v>
      </c>
      <c r="Z49" s="37" t="n">
        <v>49033.22</v>
      </c>
      <c r="AA49" s="18" t="n">
        <v>52253.77</v>
      </c>
      <c r="AB49" s="19" t="n">
        <v>69443.42999999999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7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7" t="n">
        <v>71474.12</v>
      </c>
      <c r="Q51" s="18" t="n">
        <v>101202.93</v>
      </c>
      <c r="R51" s="18" t="n">
        <v>93739.60000000001</v>
      </c>
      <c r="S51" s="18" t="n">
        <v>83762.3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7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7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7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7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7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9543.83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장기파생상품부채</t>
        </is>
      </c>
      <c r="F59" s="9" t="n"/>
      <c r="K59" s="9" t="n"/>
      <c r="P59" s="9" t="n"/>
      <c r="S59" s="18" t="n">
        <v>5157.38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단기충당부채</t>
        </is>
      </c>
      <c r="F60" s="9" t="n"/>
      <c r="K60" s="9" t="n"/>
      <c r="P60" s="9" t="n"/>
      <c r="T60" s="18" t="n">
        <v>3735.44</v>
      </c>
      <c r="U60" s="37" t="n">
        <v>3735.44</v>
      </c>
      <c r="V60" s="18" t="n">
        <v>2775.83</v>
      </c>
      <c r="W60" s="18" t="n">
        <v>8532.49</v>
      </c>
      <c r="X60" s="18" t="n">
        <v>4569.07</v>
      </c>
      <c r="Y60" s="18" t="n">
        <v>6003.73</v>
      </c>
      <c r="Z60" s="37" t="n">
        <v>6003.73</v>
      </c>
      <c r="AA60" s="18" t="n">
        <v>7101.6</v>
      </c>
      <c r="AB60" s="19" t="n">
        <v>6456.51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139876.1</v>
      </c>
      <c r="F61" s="9" t="n"/>
      <c r="G61" s="18" t="n">
        <v>164192.02</v>
      </c>
      <c r="H61" s="18" t="n">
        <v>157311.93</v>
      </c>
      <c r="I61" s="18" t="n">
        <v>171439.74</v>
      </c>
      <c r="J61" s="18" t="n">
        <v>161330.69</v>
      </c>
      <c r="K61" s="37" t="n">
        <v>654274.38</v>
      </c>
      <c r="L61" s="18" t="n">
        <v>215639.1</v>
      </c>
      <c r="M61" s="18" t="n">
        <v>256467.19</v>
      </c>
      <c r="N61" s="18" t="n">
        <v>227238.22</v>
      </c>
      <c r="O61" s="18" t="n">
        <v>206675.11</v>
      </c>
      <c r="P61" s="37" t="n">
        <v>906019.62</v>
      </c>
      <c r="Q61" s="18" t="n">
        <v>121212.39</v>
      </c>
      <c r="R61" s="18" t="n">
        <v>162546.69</v>
      </c>
      <c r="S61" s="18" t="n">
        <v>191882.7</v>
      </c>
      <c r="T61" s="18" t="n">
        <v>150776.72</v>
      </c>
      <c r="U61" s="37" t="n">
        <v>626418.5</v>
      </c>
      <c r="V61" s="18" t="n">
        <v>254348.41</v>
      </c>
      <c r="W61" s="18" t="n">
        <v>231148.51</v>
      </c>
      <c r="X61" s="18" t="n">
        <v>281340.75</v>
      </c>
      <c r="Y61" s="18" t="n">
        <v>162077.41</v>
      </c>
      <c r="Z61" s="37" t="n">
        <v>928915.08</v>
      </c>
      <c r="AA61" s="18" t="n">
        <v>172618.61</v>
      </c>
      <c r="AB61" s="19" t="n">
        <v>154356.91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124428.31</v>
      </c>
      <c r="F62" s="9" t="n"/>
      <c r="G62" s="18" t="n">
        <v>148750.03</v>
      </c>
      <c r="H62" s="18" t="n">
        <v>144153.93</v>
      </c>
      <c r="I62" s="18" t="n">
        <v>144456.32</v>
      </c>
      <c r="J62" s="18" t="n">
        <v>139978.52</v>
      </c>
      <c r="K62" s="37" t="n">
        <v>577338.8</v>
      </c>
      <c r="L62" s="18" t="n">
        <v>195030.57</v>
      </c>
      <c r="M62" s="18" t="n">
        <v>223691.33</v>
      </c>
      <c r="N62" s="18" t="n">
        <v>208024.62</v>
      </c>
      <c r="O62" s="18" t="n">
        <v>183653.23</v>
      </c>
      <c r="P62" s="37" t="n">
        <v>810399.75</v>
      </c>
      <c r="Q62" s="18" t="n">
        <v>113213.55</v>
      </c>
      <c r="R62" s="18" t="n">
        <v>146606.88</v>
      </c>
      <c r="S62" s="18" t="n">
        <v>179442.29</v>
      </c>
      <c r="T62" s="18" t="n">
        <v>138706.75</v>
      </c>
      <c r="U62" s="37" t="n">
        <v>577969.47</v>
      </c>
      <c r="V62" s="18" t="n">
        <v>234384.62</v>
      </c>
      <c r="W62" s="18" t="n">
        <v>209232.05</v>
      </c>
      <c r="X62" s="18" t="n">
        <v>250819.97</v>
      </c>
      <c r="Y62" s="18" t="n">
        <v>142117.12</v>
      </c>
      <c r="Z62" s="37" t="n">
        <v>836553.76</v>
      </c>
      <c r="AA62" s="18" t="n">
        <v>151729.05</v>
      </c>
      <c r="AB62" s="19" t="n">
        <v>132693.51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15447.79</v>
      </c>
      <c r="F63" s="9" t="n"/>
      <c r="G63" s="18" t="n">
        <v>15442</v>
      </c>
      <c r="H63" s="18" t="n">
        <v>13158</v>
      </c>
      <c r="I63" s="18" t="n">
        <v>26983.41</v>
      </c>
      <c r="J63" s="18" t="n">
        <v>21352.17</v>
      </c>
      <c r="K63" s="37" t="n">
        <v>76935.58</v>
      </c>
      <c r="L63" s="18" t="n">
        <v>20608.53</v>
      </c>
      <c r="M63" s="18" t="n">
        <v>32775.85</v>
      </c>
      <c r="N63" s="18" t="n">
        <v>19213.6</v>
      </c>
      <c r="O63" s="18" t="n">
        <v>23021.88</v>
      </c>
      <c r="P63" s="37" t="n">
        <v>95619.86</v>
      </c>
      <c r="Q63" s="18" t="n">
        <v>7998.84</v>
      </c>
      <c r="R63" s="18" t="n">
        <v>15939.82</v>
      </c>
      <c r="S63" s="18" t="n">
        <v>12440.4</v>
      </c>
      <c r="T63" s="18" t="n">
        <v>12069.98</v>
      </c>
      <c r="U63" s="37" t="n">
        <v>48449.04</v>
      </c>
      <c r="V63" s="18" t="n">
        <v>19963.79</v>
      </c>
      <c r="W63" s="18" t="n">
        <v>21916.46</v>
      </c>
      <c r="X63" s="18" t="n">
        <v>30520.79</v>
      </c>
      <c r="Y63" s="18" t="n">
        <v>19960.3</v>
      </c>
      <c r="Z63" s="37" t="n">
        <v>92361.34</v>
      </c>
      <c r="AA63" s="18" t="n">
        <v>20889.56</v>
      </c>
      <c r="AB63" s="19" t="n">
        <v>21663.4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3598.95</v>
      </c>
      <c r="F64" s="9" t="n"/>
      <c r="G64" s="18" t="n">
        <v>3421.18</v>
      </c>
      <c r="H64" s="18" t="n">
        <v>3863.38</v>
      </c>
      <c r="I64" s="18" t="n">
        <v>12465.07</v>
      </c>
      <c r="J64" s="18" t="n">
        <v>5585.82</v>
      </c>
      <c r="K64" s="37" t="n">
        <v>25335.45</v>
      </c>
      <c r="L64" s="18" t="n">
        <v>5005.88</v>
      </c>
      <c r="M64" s="18" t="n">
        <v>6409.68</v>
      </c>
      <c r="N64" s="18" t="n">
        <v>5664.04</v>
      </c>
      <c r="O64" s="18" t="n">
        <v>8783.07</v>
      </c>
      <c r="P64" s="37" t="n">
        <v>25862.67</v>
      </c>
      <c r="Q64" s="18" t="n">
        <v>6468.18</v>
      </c>
      <c r="R64" s="18" t="n">
        <v>8062.1</v>
      </c>
      <c r="S64" s="18" t="n">
        <v>6441.26</v>
      </c>
      <c r="T64" s="18" t="n">
        <v>3649.69</v>
      </c>
      <c r="U64" s="37" t="n">
        <v>24621.23</v>
      </c>
      <c r="V64" s="18" t="n">
        <v>6646.65</v>
      </c>
      <c r="W64" s="18" t="n">
        <v>6149.79</v>
      </c>
      <c r="X64" s="18" t="n">
        <v>6379.61</v>
      </c>
      <c r="Y64" s="18" t="n">
        <v>7498.44</v>
      </c>
      <c r="Z64" s="37" t="n">
        <v>26674.49</v>
      </c>
      <c r="AA64" s="18" t="n">
        <v>5432.08</v>
      </c>
      <c r="AB64" s="19" t="n">
        <v>6842.36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11848.84</v>
      </c>
      <c r="F65" s="9" t="n"/>
      <c r="G65" s="18" t="n">
        <v>12020.81</v>
      </c>
      <c r="H65" s="18" t="n">
        <v>9294.620000000001</v>
      </c>
      <c r="I65" s="18" t="n">
        <v>14518.35</v>
      </c>
      <c r="J65" s="18" t="n">
        <v>15766.36</v>
      </c>
      <c r="K65" s="37" t="n">
        <v>51600.14</v>
      </c>
      <c r="L65" s="18" t="n">
        <v>15602.65</v>
      </c>
      <c r="M65" s="18" t="n">
        <v>26366.17</v>
      </c>
      <c r="N65" s="18" t="n">
        <v>13549.56</v>
      </c>
      <c r="O65" s="18" t="n">
        <v>14238.8</v>
      </c>
      <c r="P65" s="37" t="n">
        <v>69757.17999999999</v>
      </c>
      <c r="Q65" s="18" t="n">
        <v>1530.66</v>
      </c>
      <c r="R65" s="18" t="n">
        <v>7877.72</v>
      </c>
      <c r="S65" s="18" t="n">
        <v>5999.15</v>
      </c>
      <c r="T65" s="18" t="n">
        <v>8420.290000000001</v>
      </c>
      <c r="U65" s="37" t="n">
        <v>23827.82</v>
      </c>
      <c r="V65" s="18" t="n">
        <v>13317.14</v>
      </c>
      <c r="W65" s="18" t="n">
        <v>15766.68</v>
      </c>
      <c r="X65" s="18" t="n">
        <v>24141.17</v>
      </c>
      <c r="Y65" s="18" t="n">
        <v>12461.86</v>
      </c>
      <c r="Z65" s="37" t="n">
        <v>65686.85000000001</v>
      </c>
      <c r="AA65" s="18" t="n">
        <v>15457.48</v>
      </c>
      <c r="AB65" s="19" t="n">
        <v>14821.04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-1979.33</v>
      </c>
      <c r="F66" s="9" t="n"/>
      <c r="G66" s="18" t="n">
        <v>1978.33</v>
      </c>
      <c r="H66" s="18" t="n">
        <v>3761.16</v>
      </c>
      <c r="I66" s="18" t="n">
        <v>2568.5</v>
      </c>
      <c r="J66" s="18" t="n">
        <v>-2430.08</v>
      </c>
      <c r="K66" s="37" t="n">
        <v>5877.91</v>
      </c>
      <c r="L66" s="18" t="n">
        <v>3174.41</v>
      </c>
      <c r="M66" s="18" t="n">
        <v>335.85</v>
      </c>
      <c r="N66" s="18" t="n">
        <v>563.12</v>
      </c>
      <c r="O66" s="18" t="n">
        <v>-52.16</v>
      </c>
      <c r="P66" s="37" t="n">
        <v>4021.22</v>
      </c>
      <c r="Q66" s="18" t="n">
        <v>895.17</v>
      </c>
      <c r="R66" s="18" t="n">
        <v>4724.75</v>
      </c>
      <c r="S66" s="18" t="n">
        <v>-3766.29</v>
      </c>
      <c r="T66" s="18" t="n">
        <v>31763.79</v>
      </c>
      <c r="U66" s="37" t="n">
        <v>33617.42</v>
      </c>
      <c r="V66" s="18" t="n">
        <v>1546.76</v>
      </c>
      <c r="W66" s="18" t="n">
        <v>116.65</v>
      </c>
      <c r="X66" s="18" t="n">
        <v>1826.29</v>
      </c>
      <c r="Y66" s="18" t="n">
        <v>2720.59</v>
      </c>
      <c r="Z66" s="37" t="n">
        <v>6210.29</v>
      </c>
      <c r="AA66" s="18" t="n">
        <v>5722.16</v>
      </c>
      <c r="AB66" s="19" t="n">
        <v>1900.52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4550.42</v>
      </c>
      <c r="F67" s="9" t="n"/>
      <c r="G67" s="18" t="n">
        <v>368.41</v>
      </c>
      <c r="H67" s="18" t="n">
        <v>754.96</v>
      </c>
      <c r="I67" s="18" t="n">
        <v>1759.97</v>
      </c>
      <c r="J67" s="18" t="n">
        <v>4250.99</v>
      </c>
      <c r="K67" s="37" t="n">
        <v>7134.33</v>
      </c>
      <c r="L67" s="18" t="n">
        <v>872.72</v>
      </c>
      <c r="M67" s="18" t="n">
        <v>763.1799999999999</v>
      </c>
      <c r="N67" s="18" t="n">
        <v>87.68000000000001</v>
      </c>
      <c r="O67" s="18" t="n">
        <v>457.37</v>
      </c>
      <c r="P67" s="37" t="n">
        <v>2180.95</v>
      </c>
      <c r="Q67" s="18" t="n">
        <v>9</v>
      </c>
      <c r="R67" s="18" t="n">
        <v>58.73</v>
      </c>
      <c r="S67" s="18" t="n">
        <v>10975.35</v>
      </c>
      <c r="T67" s="18" t="n">
        <v>-8809.02</v>
      </c>
      <c r="U67" s="37" t="n">
        <v>2234.06</v>
      </c>
      <c r="V67" s="18" t="n">
        <v>212.99</v>
      </c>
      <c r="W67" s="18" t="n">
        <v>22996.8</v>
      </c>
      <c r="X67" s="18" t="n">
        <v>-5507.03</v>
      </c>
      <c r="Y67" s="18" t="n">
        <v>-2580.9</v>
      </c>
      <c r="Z67" s="37" t="n">
        <v>15121.86</v>
      </c>
      <c r="AA67" s="18" t="n">
        <v>699.09</v>
      </c>
      <c r="AB67" s="19" t="n">
        <v>1418.8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7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7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-56262.57</v>
      </c>
      <c r="F69" s="9" t="n"/>
      <c r="G69" s="18" t="n">
        <v>2572.56</v>
      </c>
      <c r="H69" s="18" t="n">
        <v>6417.23</v>
      </c>
      <c r="I69" s="18" t="n">
        <v>3597.76</v>
      </c>
      <c r="J69" s="18" t="n">
        <v>-3236</v>
      </c>
      <c r="K69" s="37" t="n">
        <v>9351.549999999999</v>
      </c>
      <c r="L69" s="18" t="n">
        <v>2748.08</v>
      </c>
      <c r="M69" s="18" t="n">
        <v>2901.03</v>
      </c>
      <c r="P69" s="9" t="n"/>
      <c r="U69" s="9" t="n"/>
      <c r="V69" s="18" t="n">
        <v>-2984.41</v>
      </c>
      <c r="W69" s="18" t="n">
        <v>-1155.54</v>
      </c>
      <c r="X69" s="18" t="n">
        <v>-5151.88</v>
      </c>
      <c r="Y69" s="18" t="n">
        <v>4376.79</v>
      </c>
      <c r="Z69" s="37" t="n">
        <v>-4915.04</v>
      </c>
      <c r="AA69" s="18" t="n">
        <v>-360.44</v>
      </c>
      <c r="AB69" s="19" t="n">
        <v>4231.95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1802.75</v>
      </c>
      <c r="F70" s="9" t="n"/>
      <c r="G70" s="18" t="n">
        <v>604.8099999999999</v>
      </c>
      <c r="H70" s="18" t="n">
        <v>801.96</v>
      </c>
      <c r="I70" s="18" t="n">
        <v>2154.5</v>
      </c>
      <c r="J70" s="18" t="n">
        <v>5180.6</v>
      </c>
      <c r="K70" s="37" t="n">
        <v>8741.870000000001</v>
      </c>
      <c r="L70" s="18" t="n">
        <v>3282.2</v>
      </c>
      <c r="M70" s="18" t="n">
        <v>6693.35</v>
      </c>
      <c r="N70" s="18" t="n">
        <v>2479.75</v>
      </c>
      <c r="O70" s="18" t="n">
        <v>4042.73</v>
      </c>
      <c r="P70" s="37" t="n">
        <v>16498.03</v>
      </c>
      <c r="Q70" s="18" t="n">
        <v>1926.44</v>
      </c>
      <c r="R70" s="18" t="n">
        <v>3128.82</v>
      </c>
      <c r="S70" s="18" t="n">
        <v>6611.97</v>
      </c>
      <c r="T70" s="18" t="n">
        <v>-3350.62</v>
      </c>
      <c r="U70" s="37" t="n">
        <v>8316.610000000001</v>
      </c>
      <c r="V70" s="18" t="n">
        <v>734.55</v>
      </c>
      <c r="W70" s="18" t="n">
        <v>25117.79</v>
      </c>
      <c r="X70" s="18" t="n">
        <v>-7376.18</v>
      </c>
      <c r="Y70" s="18" t="n">
        <v>-4391.8</v>
      </c>
      <c r="Z70" s="37" t="n">
        <v>14084.36</v>
      </c>
      <c r="AA70" s="18" t="n">
        <v>4348.6</v>
      </c>
      <c r="AB70" s="19" t="n">
        <v>2228.37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5244.35</v>
      </c>
      <c r="F71" s="9" t="n"/>
      <c r="G71" s="18" t="n">
        <v>6067.5</v>
      </c>
      <c r="H71" s="18" t="n">
        <v>8309.41</v>
      </c>
      <c r="I71" s="18" t="n">
        <v>13343.34</v>
      </c>
      <c r="J71" s="18" t="n">
        <v>9160.309999999999</v>
      </c>
      <c r="K71" s="37" t="n">
        <v>36880.56</v>
      </c>
      <c r="L71" s="18" t="n">
        <v>9042.700000000001</v>
      </c>
      <c r="M71" s="18" t="n">
        <v>8410.26</v>
      </c>
      <c r="N71" s="18" t="n">
        <v>6394.13</v>
      </c>
      <c r="O71" s="18" t="n">
        <v>2813.25</v>
      </c>
      <c r="P71" s="37" t="n">
        <v>26660.34</v>
      </c>
      <c r="Q71" s="18" t="n">
        <v>6196.53</v>
      </c>
      <c r="R71" s="18" t="n">
        <v>18731.96</v>
      </c>
      <c r="S71" s="18" t="n">
        <v>-3207.13</v>
      </c>
      <c r="T71" s="18" t="n">
        <v>38325.83</v>
      </c>
      <c r="U71" s="37" t="n">
        <v>60047.19</v>
      </c>
      <c r="V71" s="18" t="n">
        <v>6057.15</v>
      </c>
      <c r="W71" s="18" t="n">
        <v>5089.04</v>
      </c>
      <c r="X71" s="18" t="n">
        <v>3745.96</v>
      </c>
      <c r="Y71" s="18" t="n">
        <v>1168.44</v>
      </c>
      <c r="Z71" s="37" t="n">
        <v>16060.59</v>
      </c>
      <c r="AA71" s="18" t="n">
        <v>11811.9</v>
      </c>
      <c r="AB71" s="19" t="n">
        <v>5760.2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-54385.07</v>
      </c>
      <c r="F72" s="9" t="n"/>
      <c r="G72" s="18" t="n">
        <v>10740.61</v>
      </c>
      <c r="H72" s="18" t="n">
        <v>11210.59</v>
      </c>
      <c r="I72" s="18" t="n">
        <v>7735.79</v>
      </c>
      <c r="J72" s="18" t="n">
        <v>1869.59</v>
      </c>
      <c r="K72" s="37" t="n">
        <v>31556.58</v>
      </c>
      <c r="L72" s="18" t="n">
        <v>14891.92</v>
      </c>
      <c r="M72" s="18" t="n">
        <v>27122.94</v>
      </c>
      <c r="N72" s="18" t="n">
        <v>10196.5</v>
      </c>
      <c r="O72" s="18" t="n">
        <v>10804.23</v>
      </c>
      <c r="P72" s="37" t="n">
        <v>63015.59</v>
      </c>
      <c r="Q72" s="18" t="n">
        <v>4292.32</v>
      </c>
      <c r="R72" s="18" t="n">
        <v>2998.09</v>
      </c>
      <c r="S72" s="18" t="n">
        <v>8953.25</v>
      </c>
      <c r="T72" s="18" t="n">
        <v>759.01</v>
      </c>
      <c r="U72" s="37" t="n">
        <v>17002.67</v>
      </c>
      <c r="V72" s="18" t="n">
        <v>6343.9</v>
      </c>
      <c r="W72" s="18" t="n">
        <v>11759.73</v>
      </c>
      <c r="X72" s="18" t="n">
        <v>15200.47</v>
      </c>
      <c r="Y72" s="18" t="n">
        <v>16579.89</v>
      </c>
      <c r="Z72" s="37" t="n">
        <v>49883.99</v>
      </c>
      <c r="AA72" s="18" t="n">
        <v>12656.81</v>
      </c>
      <c r="AB72" s="19" t="n">
        <v>16002.89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9839.82</v>
      </c>
      <c r="F73" s="9" t="n"/>
      <c r="G73" s="18" t="n">
        <v>1915.26</v>
      </c>
      <c r="H73" s="18" t="n">
        <v>891.77</v>
      </c>
      <c r="I73" s="18" t="n">
        <v>3248.88</v>
      </c>
      <c r="J73" s="18" t="n">
        <v>574.26</v>
      </c>
      <c r="K73" s="37" t="n">
        <v>6630.17</v>
      </c>
      <c r="L73" s="18" t="n">
        <v>-5585.55</v>
      </c>
      <c r="M73" s="18" t="n">
        <v>5773.17</v>
      </c>
      <c r="N73" s="18" t="n">
        <v>4472.04</v>
      </c>
      <c r="O73" s="18" t="n">
        <v>880.48</v>
      </c>
      <c r="P73" s="37" t="n">
        <v>5540.14</v>
      </c>
      <c r="Q73" s="18" t="n">
        <v>177.99</v>
      </c>
      <c r="R73" s="18" t="n">
        <v>204.82</v>
      </c>
      <c r="S73" s="18" t="n">
        <v>-158.85</v>
      </c>
      <c r="T73" s="18" t="n">
        <v>375.23</v>
      </c>
      <c r="U73" s="37" t="n">
        <v>599.1900000000001</v>
      </c>
      <c r="V73" s="18" t="n">
        <v>1951.29</v>
      </c>
      <c r="W73" s="18" t="n">
        <v>3219.11</v>
      </c>
      <c r="X73" s="18" t="n">
        <v>4164.34</v>
      </c>
      <c r="Y73" s="18" t="n">
        <v>2759.47</v>
      </c>
      <c r="Z73" s="37" t="n">
        <v>12094.21</v>
      </c>
      <c r="AA73" s="18" t="n">
        <v>2800.96</v>
      </c>
      <c r="AB73" s="19" t="n">
        <v>2213.62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-64224.89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1295.33</v>
      </c>
      <c r="K74" s="37" t="n">
        <v>24926.39</v>
      </c>
      <c r="L74" s="18" t="n">
        <v>20477.47</v>
      </c>
      <c r="M74" s="18" t="n">
        <v>21349.78</v>
      </c>
      <c r="N74" s="18" t="n">
        <v>5724.46</v>
      </c>
      <c r="O74" s="18" t="n">
        <v>9923.76</v>
      </c>
      <c r="P74" s="37" t="n">
        <v>57475.47</v>
      </c>
      <c r="Q74" s="18" t="n">
        <v>4114.33</v>
      </c>
      <c r="R74" s="18" t="n">
        <v>2793.27</v>
      </c>
      <c r="S74" s="18" t="n">
        <v>9112.1</v>
      </c>
      <c r="T74" s="18" t="n">
        <v>383.78</v>
      </c>
      <c r="U74" s="37" t="n">
        <v>16403.48</v>
      </c>
      <c r="V74" s="18" t="n">
        <v>4392.6</v>
      </c>
      <c r="W74" s="18" t="n">
        <v>8540.620000000001</v>
      </c>
      <c r="X74" s="18" t="n">
        <v>11036.14</v>
      </c>
      <c r="Y74" s="18" t="n">
        <v>13820.42</v>
      </c>
      <c r="Z74" s="37" t="n">
        <v>37789.78</v>
      </c>
      <c r="AA74" s="18" t="n">
        <v>9855.85</v>
      </c>
      <c r="AB74" s="19" t="n">
        <v>13789.27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-46491.71</v>
      </c>
      <c r="F75" s="9" t="n"/>
      <c r="G75" s="18" t="n">
        <v>8825.34</v>
      </c>
      <c r="H75" s="18" t="n">
        <v>10318.82</v>
      </c>
      <c r="I75" s="18" t="n">
        <v>4486.9</v>
      </c>
      <c r="J75" s="18" t="n">
        <v>885.14</v>
      </c>
      <c r="K75" s="37" t="n">
        <v>24516.2</v>
      </c>
      <c r="L75" s="18" t="n">
        <v>20477.47</v>
      </c>
      <c r="M75" s="18" t="n">
        <v>21349.78</v>
      </c>
      <c r="N75" s="18" t="n">
        <v>5724.46</v>
      </c>
      <c r="O75" s="18" t="n">
        <v>7697.91</v>
      </c>
      <c r="P75" s="37" t="n">
        <v>55249.62</v>
      </c>
      <c r="Q75" s="18" t="n">
        <v>4114.33</v>
      </c>
      <c r="R75" s="18" t="n">
        <v>2793.27</v>
      </c>
      <c r="S75" s="18" t="n">
        <v>9112.1</v>
      </c>
      <c r="T75" s="18" t="n">
        <v>-1968</v>
      </c>
      <c r="U75" s="37" t="n">
        <v>14051.7</v>
      </c>
      <c r="V75" s="18" t="n">
        <v>4392.12</v>
      </c>
      <c r="W75" s="18" t="n">
        <v>8534.200000000001</v>
      </c>
      <c r="X75" s="18" t="n">
        <v>11037.81</v>
      </c>
      <c r="Y75" s="18" t="n">
        <v>36466.13</v>
      </c>
      <c r="Z75" s="37" t="n">
        <v>60430.26</v>
      </c>
      <c r="AA75" s="18" t="n">
        <v>9858.51</v>
      </c>
      <c r="AB75" s="19" t="n">
        <v>13790.41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-3441.6</v>
      </c>
      <c r="F76" s="9" t="n"/>
      <c r="G76" s="18" t="n">
        <v>-5462.69</v>
      </c>
      <c r="H76" s="18" t="n">
        <v>-7507.45</v>
      </c>
      <c r="I76" s="18" t="n">
        <v>-11188.84</v>
      </c>
      <c r="J76" s="18" t="n">
        <v>-3979.71</v>
      </c>
      <c r="K76" s="37" t="n">
        <v>-28138.69</v>
      </c>
      <c r="L76" s="18" t="n">
        <v>-5760.5</v>
      </c>
      <c r="M76" s="18" t="n">
        <v>-1716.91</v>
      </c>
      <c r="N76" s="18" t="n">
        <v>-3914.38</v>
      </c>
      <c r="O76" s="18" t="n">
        <v>1229.48</v>
      </c>
      <c r="P76" s="37" t="n">
        <v>-10162.31</v>
      </c>
      <c r="Q76" s="18" t="n">
        <v>-4270.09</v>
      </c>
      <c r="R76" s="18" t="n">
        <v>-15603.14</v>
      </c>
      <c r="S76" s="18" t="n">
        <v>9819.1</v>
      </c>
      <c r="T76" s="18" t="n">
        <v>-41676.45</v>
      </c>
      <c r="U76" s="37" t="n">
        <v>-51730.58</v>
      </c>
      <c r="V76" s="18" t="n">
        <v>-5322.6</v>
      </c>
      <c r="W76" s="18" t="n">
        <v>20028.75</v>
      </c>
      <c r="X76" s="18" t="n">
        <v>-11122.14</v>
      </c>
      <c r="Y76" s="18" t="n">
        <v>-5560.24</v>
      </c>
      <c r="Z76" s="37" t="n">
        <v>-1976.23</v>
      </c>
      <c r="AA76" s="18" t="n">
        <v>-7463.3</v>
      </c>
      <c r="AB76" s="19" t="n">
        <v>-3531.83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-6529.75</v>
      </c>
      <c r="F77" s="9" t="n"/>
      <c r="G77" s="18" t="n">
        <v>1609.92</v>
      </c>
      <c r="H77" s="18" t="n">
        <v>3006.2</v>
      </c>
      <c r="I77" s="18" t="n">
        <v>808.53</v>
      </c>
      <c r="J77" s="18" t="n">
        <v>-6681.07</v>
      </c>
      <c r="K77" s="37" t="n">
        <v>-1256.42</v>
      </c>
      <c r="L77" s="18" t="n">
        <v>2301.69</v>
      </c>
      <c r="M77" s="18" t="n">
        <v>-427.33</v>
      </c>
      <c r="N77" s="18" t="n">
        <v>475.44</v>
      </c>
      <c r="O77" s="18" t="n">
        <v>-509.53</v>
      </c>
      <c r="P77" s="37" t="n">
        <v>1840.27</v>
      </c>
      <c r="Q77" s="18" t="n">
        <v>886.17</v>
      </c>
      <c r="R77" s="18" t="n">
        <v>4666.02</v>
      </c>
      <c r="S77" s="18" t="n">
        <v>-14741.64</v>
      </c>
      <c r="T77" s="18" t="n">
        <v>40572.81</v>
      </c>
      <c r="U77" s="37" t="n">
        <v>31383.36</v>
      </c>
      <c r="V77" s="18" t="n">
        <v>1333.77</v>
      </c>
      <c r="W77" s="18" t="n">
        <v>-22880.15</v>
      </c>
      <c r="X77" s="18" t="n">
        <v>7333.32</v>
      </c>
      <c r="Y77" s="18" t="n">
        <v>5301.49</v>
      </c>
      <c r="Z77" s="37" t="n">
        <v>-8911.57</v>
      </c>
      <c r="AA77" s="18" t="n">
        <v>5023.07</v>
      </c>
      <c r="AB77" s="19" t="n">
        <v>481.72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7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7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7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7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-64224.89</v>
      </c>
      <c r="F79" s="9" t="n"/>
      <c r="G79" s="18" t="n">
        <v>8825.34</v>
      </c>
      <c r="H79" s="18" t="n">
        <v>10318.82</v>
      </c>
      <c r="I79" s="18" t="n">
        <v>4486.9</v>
      </c>
      <c r="J79" s="18" t="n">
        <v>1295.33</v>
      </c>
      <c r="K79" s="37" t="n">
        <v>24926.39</v>
      </c>
      <c r="L79" s="18" t="n">
        <v>20477.47</v>
      </c>
      <c r="M79" s="18" t="n">
        <v>21349.78</v>
      </c>
      <c r="N79" s="18" t="n">
        <v>5724.46</v>
      </c>
      <c r="O79" s="18" t="n">
        <v>9923.76</v>
      </c>
      <c r="P79" s="37" t="n">
        <v>57475.47</v>
      </c>
      <c r="Q79" s="18" t="n">
        <v>4114.33</v>
      </c>
      <c r="R79" s="18" t="n">
        <v>2793.27</v>
      </c>
      <c r="S79" s="18" t="n">
        <v>9112.1</v>
      </c>
      <c r="T79" s="18" t="n">
        <v>383.78</v>
      </c>
      <c r="U79" s="37" t="n">
        <v>16403.48</v>
      </c>
      <c r="V79" s="18" t="n">
        <v>4392.6</v>
      </c>
      <c r="W79" s="18" t="n">
        <v>8540.620000000001</v>
      </c>
      <c r="X79" s="18" t="n">
        <v>11036.14</v>
      </c>
      <c r="Y79" s="18" t="n">
        <v>13820.42</v>
      </c>
      <c r="Z79" s="37" t="n">
        <v>37789.78</v>
      </c>
      <c r="AA79" s="18" t="n">
        <v>9855.85</v>
      </c>
      <c r="AB79" s="19" t="n">
        <v>13789.27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104915.32</v>
      </c>
      <c r="F80" s="9" t="n"/>
      <c r="G80" s="18" t="n">
        <v>50082.93</v>
      </c>
      <c r="H80" s="18" t="n">
        <v>-19313.15</v>
      </c>
      <c r="I80" s="18" t="n">
        <v>-35636.61</v>
      </c>
      <c r="J80" s="18" t="n">
        <v>55677.87</v>
      </c>
      <c r="K80" s="37" t="n">
        <v>50811.04</v>
      </c>
      <c r="L80" s="18" t="n">
        <v>-58562.06</v>
      </c>
      <c r="M80" s="18" t="n">
        <v>-67842.08</v>
      </c>
      <c r="N80" s="18" t="n">
        <v>7481.01</v>
      </c>
      <c r="O80" s="18" t="n">
        <v>-40593.86</v>
      </c>
      <c r="P80" s="37" t="n">
        <v>-159516.99</v>
      </c>
      <c r="Q80" s="18" t="n">
        <v>2781.33</v>
      </c>
      <c r="R80" s="18" t="n">
        <v>40365.79</v>
      </c>
      <c r="S80" s="18" t="n">
        <v>45308.5</v>
      </c>
      <c r="T80" s="18" t="n">
        <v>39715.04</v>
      </c>
      <c r="U80" s="37" t="n">
        <v>128170.66</v>
      </c>
      <c r="V80" s="18" t="n">
        <v>58823.76</v>
      </c>
      <c r="W80" s="18" t="n">
        <v>46427.38</v>
      </c>
      <c r="X80" s="18" t="n">
        <v>-103023.7</v>
      </c>
      <c r="Y80" s="18" t="n">
        <v>-24193.89</v>
      </c>
      <c r="Z80" s="37" t="n">
        <v>-21966.45</v>
      </c>
      <c r="AA80" s="18" t="n">
        <v>47146.43</v>
      </c>
      <c r="AB80" s="19" t="n">
        <v>3798.17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-22.93</v>
      </c>
      <c r="F81" s="9" t="n"/>
      <c r="G81" s="18" t="n">
        <v>20.86</v>
      </c>
      <c r="H81" s="18" t="n">
        <v>805.35</v>
      </c>
      <c r="I81" s="18" t="n">
        <v>744.5599999999999</v>
      </c>
      <c r="J81" s="18" t="n">
        <v>2884.1</v>
      </c>
      <c r="K81" s="37" t="n">
        <v>4454.87</v>
      </c>
      <c r="L81" s="18" t="n">
        <v>1515.85</v>
      </c>
      <c r="M81" s="18" t="n">
        <v>1530.91</v>
      </c>
      <c r="N81" s="18" t="n">
        <v>1051.36</v>
      </c>
      <c r="O81" s="18" t="n">
        <v>1686.35</v>
      </c>
      <c r="P81" s="37" t="n">
        <v>5784.47</v>
      </c>
      <c r="Q81" s="18" t="n">
        <v>1216.13</v>
      </c>
      <c r="R81" s="18" t="n">
        <v>587.87</v>
      </c>
      <c r="S81" s="18" t="n">
        <v>829.11</v>
      </c>
      <c r="T81" s="18" t="n">
        <v>2076.27</v>
      </c>
      <c r="U81" s="37" t="n">
        <v>4709.38</v>
      </c>
      <c r="V81" s="18" t="n">
        <v>419.49</v>
      </c>
      <c r="W81" s="18" t="n">
        <v>870.4299999999999</v>
      </c>
      <c r="X81" s="18" t="n">
        <v>1492.4</v>
      </c>
      <c r="Y81" s="18" t="n">
        <v>218.09</v>
      </c>
      <c r="Z81" s="37" t="n">
        <v>3000.41</v>
      </c>
      <c r="AA81" s="18" t="n">
        <v>345.26</v>
      </c>
      <c r="AB81" s="19" t="n">
        <v>287.05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-2461.33</v>
      </c>
      <c r="F82" s="9" t="n"/>
      <c r="G82" s="18" t="n">
        <v>-2034.19</v>
      </c>
      <c r="H82" s="18" t="n">
        <v>-1927.47</v>
      </c>
      <c r="I82" s="18" t="n">
        <v>-1978.49</v>
      </c>
      <c r="J82" s="18" t="n">
        <v>-2043.18</v>
      </c>
      <c r="K82" s="37" t="n">
        <v>-7983.33</v>
      </c>
      <c r="L82" s="18" t="n">
        <v>-1199.35</v>
      </c>
      <c r="M82" s="18" t="n">
        <v>-1283.53</v>
      </c>
      <c r="P82" s="9" t="n"/>
      <c r="U82" s="9" t="n"/>
      <c r="V82" s="18" t="n">
        <v>-1527.5</v>
      </c>
      <c r="W82" s="18" t="n">
        <v>-1951.13</v>
      </c>
      <c r="X82" s="18" t="n">
        <v>-2513.45</v>
      </c>
      <c r="Y82" s="18" t="n">
        <v>-1625.14</v>
      </c>
      <c r="Z82" s="37" t="n">
        <v>-7617.22</v>
      </c>
      <c r="AA82" s="18" t="n">
        <v>-1781.71</v>
      </c>
      <c r="AB82" s="19" t="n">
        <v>-1796.87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G83" s="18" t="n">
        <v>10.89</v>
      </c>
      <c r="H83" s="18" t="n">
        <v>0</v>
      </c>
      <c r="I83" s="18" t="n">
        <v>0</v>
      </c>
      <c r="J83" s="18" t="n">
        <v>0</v>
      </c>
      <c r="K83" s="37" t="n">
        <v>10.89</v>
      </c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-1.07</v>
      </c>
      <c r="F84" s="9" t="n"/>
      <c r="G84" s="18" t="n">
        <v>-8712.58</v>
      </c>
      <c r="H84" s="18" t="n">
        <v>-1082.94</v>
      </c>
      <c r="I84" s="18" t="n">
        <v>-3876.61</v>
      </c>
      <c r="J84" s="18" t="n">
        <v>-494.99</v>
      </c>
      <c r="K84" s="37" t="n">
        <v>-14167.12</v>
      </c>
      <c r="L84" s="18" t="n">
        <v>3734.93</v>
      </c>
      <c r="M84" s="18" t="n">
        <v>-984</v>
      </c>
      <c r="N84" s="18" t="n">
        <v>-3613.12</v>
      </c>
      <c r="O84" s="18" t="n">
        <v>1475.75</v>
      </c>
      <c r="P84" s="37" t="n">
        <v>613.5599999999999</v>
      </c>
      <c r="Q84" s="18" t="n">
        <v>-10901.66</v>
      </c>
      <c r="R84" s="18" t="n">
        <v>-1547.68</v>
      </c>
      <c r="S84" s="18" t="n">
        <v>-578.3</v>
      </c>
      <c r="T84" s="18" t="n">
        <v>-366.72</v>
      </c>
      <c r="U84" s="37" t="n">
        <v>-13394.36</v>
      </c>
      <c r="V84" s="18" t="n">
        <v>-79.06999999999999</v>
      </c>
      <c r="W84" s="18" t="n">
        <v>-189.11</v>
      </c>
      <c r="X84" s="18" t="n">
        <v>-5959.03</v>
      </c>
      <c r="Y84" s="18" t="n">
        <v>-38.63</v>
      </c>
      <c r="Z84" s="37" t="n">
        <v>-6265.84</v>
      </c>
      <c r="AA84" s="18" t="n">
        <v>-5047.06</v>
      </c>
      <c r="AB84" s="19" t="n">
        <v>-1036.34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-4782.37</v>
      </c>
      <c r="F85" s="9" t="n"/>
      <c r="G85" s="18" t="n">
        <v>-61649.25</v>
      </c>
      <c r="H85" s="18" t="n">
        <v>11482.7</v>
      </c>
      <c r="I85" s="18" t="n">
        <v>-348045.92</v>
      </c>
      <c r="J85" s="18" t="n">
        <v>28118.41</v>
      </c>
      <c r="K85" s="37" t="n">
        <v>-370094.06</v>
      </c>
      <c r="L85" s="18" t="n">
        <v>62372.9</v>
      </c>
      <c r="M85" s="18" t="n">
        <v>42886.86</v>
      </c>
      <c r="N85" s="18" t="n">
        <v>-26921.91</v>
      </c>
      <c r="O85" s="18" t="n">
        <v>2279.26</v>
      </c>
      <c r="P85" s="37" t="n">
        <v>80617.11</v>
      </c>
      <c r="Q85" s="18" t="n">
        <v>-12925.9</v>
      </c>
      <c r="R85" s="18" t="n">
        <v>-5894.5</v>
      </c>
      <c r="S85" s="18" t="n">
        <v>-41714.11</v>
      </c>
      <c r="T85" s="18" t="n">
        <v>-45838.87</v>
      </c>
      <c r="U85" s="37" t="n">
        <v>-106373.38</v>
      </c>
      <c r="V85" s="18" t="n">
        <v>-31914.2</v>
      </c>
      <c r="W85" s="18" t="n">
        <v>-74048.09</v>
      </c>
      <c r="X85" s="18" t="n">
        <v>76528.94</v>
      </c>
      <c r="Y85" s="18" t="n">
        <v>-9506.059999999999</v>
      </c>
      <c r="Z85" s="37" t="n">
        <v>-38939.41</v>
      </c>
      <c r="AA85" s="18" t="n">
        <v>-22855.66</v>
      </c>
      <c r="AB85" s="19" t="n">
        <v>-11139.02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</v>
      </c>
      <c r="F86" s="9" t="n"/>
      <c r="I86" s="18" t="n">
        <v>14.29</v>
      </c>
      <c r="J86" s="18" t="n">
        <v>181</v>
      </c>
      <c r="K86" s="9" t="n"/>
      <c r="L86" s="18" t="n">
        <v>55.7</v>
      </c>
      <c r="M86" s="18" t="n">
        <v>7.6</v>
      </c>
      <c r="N86" s="18" t="n">
        <v>67.91</v>
      </c>
      <c r="O86" s="18" t="n">
        <v>45.12</v>
      </c>
      <c r="P86" s="37" t="n">
        <v>176.33</v>
      </c>
      <c r="Q86" s="18" t="n">
        <v>1.3</v>
      </c>
      <c r="R86" s="18" t="n">
        <v>48.57</v>
      </c>
      <c r="S86" s="18" t="n">
        <v>25.56</v>
      </c>
      <c r="T86" s="18" t="n">
        <v>3.06</v>
      </c>
      <c r="U86" s="37" t="n">
        <v>78.48999999999999</v>
      </c>
      <c r="V86" s="18" t="n">
        <v>13.66</v>
      </c>
      <c r="W86" s="18" t="n">
        <v>0</v>
      </c>
      <c r="X86" s="18" t="n">
        <v>10.82</v>
      </c>
      <c r="Y86" s="18" t="n">
        <v>231.81</v>
      </c>
      <c r="Z86" s="37" t="n">
        <v>256.29</v>
      </c>
      <c r="AA86" s="18" t="n">
        <v>2.79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1068.23</v>
      </c>
      <c r="F87" s="9" t="n"/>
      <c r="G87" s="18" t="n">
        <v>589.38</v>
      </c>
      <c r="H87" s="18" t="n">
        <v>2678.14</v>
      </c>
      <c r="I87" s="18" t="n">
        <v>4269.05</v>
      </c>
      <c r="J87" s="18" t="n">
        <v>104784.39</v>
      </c>
      <c r="K87" s="37" t="n">
        <v>112320.96</v>
      </c>
      <c r="L87" s="18" t="n">
        <v>15294.55</v>
      </c>
      <c r="M87" s="18" t="n">
        <v>16893.33</v>
      </c>
      <c r="N87" s="18" t="n">
        <v>23570.93</v>
      </c>
      <c r="O87" s="18" t="n">
        <v>44489.83</v>
      </c>
      <c r="P87" s="37" t="n">
        <v>100248.64</v>
      </c>
      <c r="Q87" s="18" t="n">
        <v>28376.95</v>
      </c>
      <c r="R87" s="18" t="n">
        <v>34112.23</v>
      </c>
      <c r="S87" s="18" t="n">
        <v>46826.21</v>
      </c>
      <c r="T87" s="18" t="n">
        <v>40330.29</v>
      </c>
      <c r="U87" s="37" t="n">
        <v>149645.68</v>
      </c>
      <c r="V87" s="18" t="n">
        <v>31856.12</v>
      </c>
      <c r="W87" s="18" t="n">
        <v>11339.13</v>
      </c>
      <c r="X87" s="18" t="n">
        <v>4396.32</v>
      </c>
      <c r="Y87" s="18" t="n">
        <v>9476.139999999999</v>
      </c>
      <c r="Z87" s="37" t="n">
        <v>57067.71</v>
      </c>
      <c r="AA87" s="18" t="n">
        <v>22815.38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1035.27</v>
      </c>
      <c r="F88" s="9" t="n"/>
      <c r="G88" s="18" t="n">
        <v>889.21</v>
      </c>
      <c r="H88" s="18" t="n">
        <v>2599.05</v>
      </c>
      <c r="I88" s="18" t="n">
        <v>4395.08</v>
      </c>
      <c r="J88" s="18" t="n">
        <v>106923.47</v>
      </c>
      <c r="K88" s="37" t="n">
        <v>114806.81</v>
      </c>
      <c r="L88" s="18" t="n">
        <v>15865.51</v>
      </c>
      <c r="M88" s="18" t="n">
        <v>16854.15</v>
      </c>
      <c r="N88" s="18" t="n">
        <v>24359.36</v>
      </c>
      <c r="O88" s="18" t="n">
        <v>44662.21</v>
      </c>
      <c r="P88" s="37" t="n">
        <v>101741.23</v>
      </c>
      <c r="Q88" s="18" t="n">
        <v>28380.25</v>
      </c>
      <c r="R88" s="18" t="n">
        <v>34149.77</v>
      </c>
      <c r="S88" s="18" t="n">
        <v>46894.31</v>
      </c>
      <c r="T88" s="18" t="n">
        <v>40439.48</v>
      </c>
      <c r="U88" s="37" t="n">
        <v>149863.81</v>
      </c>
      <c r="V88" s="18" t="n">
        <v>31930.92</v>
      </c>
      <c r="W88" s="18" t="n">
        <v>11342.48</v>
      </c>
      <c r="X88" s="18" t="n">
        <v>4947.65</v>
      </c>
      <c r="Y88" s="18" t="n">
        <v>9763.049999999999</v>
      </c>
      <c r="Z88" s="37" t="n">
        <v>57984.1</v>
      </c>
      <c r="AA88" s="18" t="n">
        <v>22850.47</v>
      </c>
      <c r="AB88" s="19" t="n">
        <v>10809.59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-17687.35</v>
      </c>
      <c r="F89" s="9" t="n"/>
      <c r="G89" s="18" t="n">
        <v>-13981.08</v>
      </c>
      <c r="H89" s="18" t="n">
        <v>-7878.15</v>
      </c>
      <c r="I89" s="18" t="n">
        <v>456072.67</v>
      </c>
      <c r="J89" s="18" t="n">
        <v>-128377.69</v>
      </c>
      <c r="K89" s="37" t="n">
        <v>305835.75</v>
      </c>
      <c r="L89" s="18" t="n">
        <v>-1500.8</v>
      </c>
      <c r="M89" s="18" t="n">
        <v>17399.09</v>
      </c>
      <c r="N89" s="18" t="n">
        <v>21310.93</v>
      </c>
      <c r="O89" s="18" t="n">
        <v>-3657.79</v>
      </c>
      <c r="P89" s="37" t="n">
        <v>33551.43</v>
      </c>
      <c r="Q89" s="18" t="n">
        <v>24488.57</v>
      </c>
      <c r="R89" s="18" t="n">
        <v>-32737.81</v>
      </c>
      <c r="S89" s="18" t="n">
        <v>-15330.67</v>
      </c>
      <c r="T89" s="18" t="n">
        <v>16390.74</v>
      </c>
      <c r="U89" s="37" t="n">
        <v>-7189.17</v>
      </c>
      <c r="V89" s="18" t="n">
        <v>38914.23</v>
      </c>
      <c r="W89" s="18" t="n">
        <v>-3045.44</v>
      </c>
      <c r="X89" s="18" t="n">
        <v>-4027.08</v>
      </c>
      <c r="Y89" s="18" t="n">
        <v>1990.16</v>
      </c>
      <c r="Z89" s="37" t="n">
        <v>33831.87</v>
      </c>
      <c r="AA89" s="18" t="n">
        <v>-23213.72</v>
      </c>
      <c r="AB89" s="19" t="n">
        <v>23823.85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차입금의증가</t>
        </is>
      </c>
      <c r="E90" s="18" t="n">
        <v>16611.76</v>
      </c>
      <c r="F90" s="9" t="n"/>
      <c r="G90" s="18" t="n">
        <v>16917.18</v>
      </c>
      <c r="H90" s="18" t="n">
        <v>18042.48</v>
      </c>
      <c r="I90" s="18" t="n">
        <v>8678.5</v>
      </c>
      <c r="J90" s="18" t="n">
        <v>16388.34</v>
      </c>
      <c r="K90" s="37" t="n">
        <v>60026.5</v>
      </c>
      <c r="L90" s="18" t="n">
        <v>22242.5</v>
      </c>
      <c r="M90" s="18" t="n">
        <v>29118.46</v>
      </c>
      <c r="P90" s="9" t="n"/>
      <c r="Q90" s="18" t="n">
        <v>80397.39999999999</v>
      </c>
      <c r="R90" s="18" t="n">
        <v>3325.62</v>
      </c>
      <c r="S90" s="18" t="n">
        <v>16141.89</v>
      </c>
      <c r="T90" s="18" t="n">
        <v>52247.56</v>
      </c>
      <c r="U90" s="37" t="n">
        <v>152112.47</v>
      </c>
      <c r="V90" s="18" t="n">
        <v>57960</v>
      </c>
      <c r="W90" s="18" t="n">
        <v>1940</v>
      </c>
      <c r="X90" s="18" t="n">
        <v>8000</v>
      </c>
      <c r="Y90" s="18" t="n">
        <v>0</v>
      </c>
      <c r="Z90" s="37" t="n">
        <v>67900</v>
      </c>
      <c r="AA90" s="18" t="n">
        <v>5000</v>
      </c>
      <c r="AB90" s="19" t="n">
        <v>73440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E91" s="18" t="n">
        <v>33587.74</v>
      </c>
      <c r="F91" s="9" t="n"/>
      <c r="G91" s="18" t="n">
        <v>30158.8</v>
      </c>
      <c r="H91" s="18" t="n">
        <v>25182.52</v>
      </c>
      <c r="I91" s="18" t="n">
        <v>10829.28</v>
      </c>
      <c r="J91" s="18" t="n">
        <v>102540.06</v>
      </c>
      <c r="K91" s="37" t="n">
        <v>168710.66</v>
      </c>
      <c r="L91" s="18" t="n">
        <v>16786.15</v>
      </c>
      <c r="M91" s="18" t="n">
        <v>11936.66</v>
      </c>
      <c r="N91" s="18" t="n">
        <v>19013.12</v>
      </c>
      <c r="O91" s="18" t="n">
        <v>59807.77</v>
      </c>
      <c r="P91" s="37" t="n">
        <v>107543.7</v>
      </c>
      <c r="Q91" s="18" t="n">
        <v>51776.18</v>
      </c>
      <c r="R91" s="18" t="n">
        <v>31896.55</v>
      </c>
      <c r="S91" s="18" t="n">
        <v>27226.8</v>
      </c>
      <c r="T91" s="18" t="n">
        <v>25344.54</v>
      </c>
      <c r="U91" s="37" t="n">
        <v>136244.07</v>
      </c>
      <c r="V91" s="18" t="n">
        <v>16857.6</v>
      </c>
      <c r="W91" s="18" t="n">
        <v>3797.6</v>
      </c>
      <c r="X91" s="18" t="n">
        <v>9857.6</v>
      </c>
      <c r="Y91" s="18" t="n">
        <v>1857.6</v>
      </c>
      <c r="Z91" s="37" t="n">
        <v>32370.4</v>
      </c>
      <c r="AA91" s="18" t="n">
        <v>26857.6</v>
      </c>
      <c r="AB91" s="19" t="n">
        <v>48297.6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711.38</v>
      </c>
      <c r="F92" s="9" t="n"/>
      <c r="G92" s="18" t="n">
        <v>734.38</v>
      </c>
      <c r="H92" s="18" t="n">
        <v>738.12</v>
      </c>
      <c r="I92" s="18" t="n">
        <v>788.36</v>
      </c>
      <c r="J92" s="18" t="n">
        <v>770.98</v>
      </c>
      <c r="K92" s="37" t="n">
        <v>3031.84</v>
      </c>
      <c r="L92" s="18" t="n">
        <v>809.73</v>
      </c>
      <c r="M92" s="18" t="n">
        <v>867.59</v>
      </c>
      <c r="N92" s="18" t="n">
        <v>921.02</v>
      </c>
      <c r="O92" s="18" t="n">
        <v>4037.92</v>
      </c>
      <c r="P92" s="37" t="n">
        <v>6636.26</v>
      </c>
      <c r="Q92" s="18" t="n">
        <v>4132.65</v>
      </c>
      <c r="R92" s="18" t="n">
        <v>4166.87</v>
      </c>
      <c r="S92" s="18" t="n">
        <v>4245.77</v>
      </c>
      <c r="T92" s="18" t="n">
        <v>4277.76</v>
      </c>
      <c r="U92" s="37" t="n">
        <v>16823.05</v>
      </c>
      <c r="V92" s="18" t="n">
        <v>2188.17</v>
      </c>
      <c r="W92" s="18" t="n">
        <v>1178.75</v>
      </c>
      <c r="X92" s="18" t="n">
        <v>2145.55</v>
      </c>
      <c r="Z92" s="9" t="n"/>
      <c r="AA92" s="18" t="n">
        <v>1356.12</v>
      </c>
      <c r="AB92" s="19" t="n">
        <v>1318.55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164901.26</v>
      </c>
      <c r="F93" s="9" t="n"/>
      <c r="G93" s="18" t="n">
        <v>-51112.25</v>
      </c>
      <c r="H93" s="18" t="n">
        <v>-31347.27</v>
      </c>
      <c r="I93" s="18" t="n">
        <v>145151.83</v>
      </c>
      <c r="J93" s="18" t="n">
        <v>-90022.24000000001</v>
      </c>
      <c r="K93" s="37" t="n">
        <v>-27329.93</v>
      </c>
      <c r="L93" s="18" t="n">
        <v>4650.82</v>
      </c>
      <c r="M93" s="18" t="n">
        <v>-15069.79</v>
      </c>
      <c r="N93" s="18" t="n">
        <v>3816.92</v>
      </c>
      <c r="O93" s="18" t="n">
        <v>-84379.89999999999</v>
      </c>
      <c r="P93" s="37" t="n">
        <v>-90981.95</v>
      </c>
      <c r="Q93" s="18" t="n">
        <v>28800.82</v>
      </c>
      <c r="R93" s="18" t="n">
        <v>3463.63</v>
      </c>
      <c r="S93" s="18" t="n">
        <v>-23928.87</v>
      </c>
      <c r="T93" s="18" t="n">
        <v>6330.37</v>
      </c>
      <c r="U93" s="37" t="n">
        <v>14665.95</v>
      </c>
      <c r="V93" s="18" t="n">
        <v>65914.7</v>
      </c>
      <c r="W93" s="18" t="n">
        <v>-31329.71</v>
      </c>
      <c r="X93" s="18" t="n">
        <v>-29937.31</v>
      </c>
      <c r="Y93" s="18" t="n">
        <v>-31736.78</v>
      </c>
      <c r="Z93" s="37" t="n">
        <v>-27089.1</v>
      </c>
      <c r="AA93" s="18" t="n">
        <v>1077.64</v>
      </c>
      <c r="AB93" s="19" t="n">
        <v>16479.69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82455.67</v>
      </c>
      <c r="F94" s="9" t="n"/>
      <c r="G94" s="18" t="n">
        <v>66938.69</v>
      </c>
      <c r="H94" s="18" t="n">
        <v>-15638.68</v>
      </c>
      <c r="I94" s="18" t="n">
        <v>72761.69</v>
      </c>
      <c r="J94" s="18" t="n">
        <v>-45440.83</v>
      </c>
      <c r="K94" s="37" t="n">
        <v>78620.87</v>
      </c>
      <c r="L94" s="18" t="n">
        <v>80961.64999999999</v>
      </c>
      <c r="M94" s="18" t="n">
        <v>-7513.65</v>
      </c>
      <c r="N94" s="18" t="n">
        <v>1946.88</v>
      </c>
      <c r="O94" s="18" t="n">
        <v>-42407.5</v>
      </c>
      <c r="P94" s="37" t="n">
        <v>32987.38</v>
      </c>
      <c r="Q94" s="18" t="n">
        <v>47444.2</v>
      </c>
      <c r="R94" s="18" t="n">
        <v>1730.14</v>
      </c>
      <c r="S94" s="18" t="n">
        <v>-12192.58</v>
      </c>
      <c r="T94" s="18" t="n">
        <v>10671.57</v>
      </c>
      <c r="U94" s="37" t="n">
        <v>47653.33</v>
      </c>
      <c r="V94" s="18" t="n">
        <v>113568.03</v>
      </c>
      <c r="W94" s="18" t="n">
        <v>-31329.71</v>
      </c>
      <c r="X94" s="18" t="n">
        <v>-29937.31</v>
      </c>
      <c r="Y94" s="18" t="n">
        <v>-31736.78</v>
      </c>
      <c r="Z94" s="37" t="n">
        <v>20564.23</v>
      </c>
      <c r="AA94" s="18" t="n">
        <v>21641.86</v>
      </c>
      <c r="AB94" s="19" t="n">
        <v>16479.7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G95" s="18" t="n">
        <v>299.83</v>
      </c>
      <c r="I95" s="18" t="n">
        <v>126.03</v>
      </c>
      <c r="J95" s="18" t="n">
        <v>2139.08</v>
      </c>
      <c r="K95" s="9" t="n"/>
      <c r="L95" s="18" t="n">
        <v>570.96</v>
      </c>
      <c r="N95" s="18" t="n">
        <v>788.4299999999999</v>
      </c>
      <c r="O95" s="18" t="n">
        <v>172.38</v>
      </c>
      <c r="P95" s="9" t="n"/>
      <c r="Q95" s="18" t="n">
        <v>3.3</v>
      </c>
      <c r="R95" s="18" t="n">
        <v>37.54</v>
      </c>
      <c r="S95" s="18" t="n">
        <v>68.09999999999999</v>
      </c>
      <c r="T95" s="18" t="n">
        <v>109.19</v>
      </c>
      <c r="U95" s="37" t="n">
        <v>218.13</v>
      </c>
      <c r="V95" s="18" t="n">
        <v>74.8</v>
      </c>
      <c r="W95" s="18" t="n">
        <v>3.35</v>
      </c>
      <c r="X95" s="18" t="n">
        <v>551.33</v>
      </c>
      <c r="Y95" s="18" t="n">
        <v>286.91</v>
      </c>
      <c r="Z95" s="37" t="n">
        <v>916.39</v>
      </c>
      <c r="AA95" s="18" t="n">
        <v>35.09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F96" s="9" t="n"/>
      <c r="K96" s="9" t="n"/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827.97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사채의감소</t>
        </is>
      </c>
      <c r="F97" s="9" t="n"/>
      <c r="K97" s="9" t="n"/>
      <c r="O97" s="18" t="n">
        <v>0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36.574</v>
      </c>
      <c r="F31" s="28">
        <f>E31</f>
        <v/>
      </c>
      <c r="G31" s="27" t="n">
        <v>37.077</v>
      </c>
      <c r="H31" s="27" t="n">
        <v>37.077</v>
      </c>
      <c r="I31" s="27" t="n">
        <v>37.077</v>
      </c>
      <c r="J31" s="27" t="n">
        <v>53.235</v>
      </c>
      <c r="K31" s="28">
        <f>J31</f>
        <v/>
      </c>
      <c r="L31" s="27" t="n">
        <v>53.235</v>
      </c>
      <c r="M31" s="27" t="n">
        <v>53.235</v>
      </c>
      <c r="N31" s="27" t="n">
        <v>59.196</v>
      </c>
      <c r="O31" s="27" t="n">
        <v>59.196</v>
      </c>
      <c r="P31" s="28">
        <f>O31</f>
        <v/>
      </c>
      <c r="Q31" s="27" t="n">
        <v>59.196</v>
      </c>
      <c r="R31" s="27" t="n">
        <v>59.196</v>
      </c>
      <c r="S31" s="27" t="n">
        <v>59.196</v>
      </c>
      <c r="T31" s="27" t="n">
        <v>59.196</v>
      </c>
      <c r="U31" s="28">
        <f>T31</f>
        <v/>
      </c>
      <c r="V31" s="27" t="n">
        <v>59.196</v>
      </c>
      <c r="W31" s="27" t="n">
        <v>60.18</v>
      </c>
      <c r="X31" s="27" t="n">
        <v>62.478</v>
      </c>
      <c r="Y31" s="27" t="n">
        <v>62.478</v>
      </c>
      <c r="Z31" s="28">
        <f>Y31</f>
        <v/>
      </c>
      <c r="AA31" s="27" t="n">
        <v>62.478</v>
      </c>
      <c r="AB31" s="29" t="n">
        <v>62.478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1519.17</v>
      </c>
      <c r="F37" s="37" t="n"/>
      <c r="G37" s="18" t="n">
        <v>1709.84</v>
      </c>
      <c r="H37" s="18" t="n">
        <v>1695.61</v>
      </c>
      <c r="I37" s="18" t="n">
        <v>1847.52</v>
      </c>
      <c r="J37" s="18" t="n">
        <v>1665.33</v>
      </c>
      <c r="K37" s="37">
        <f>SUM(G37:J37)</f>
        <v/>
      </c>
      <c r="L37" s="18" t="n">
        <v>2197</v>
      </c>
      <c r="M37" s="18" t="n">
        <v>2579.42</v>
      </c>
      <c r="N37" s="18" t="n">
        <v>2369.97</v>
      </c>
      <c r="O37" s="18" t="n">
        <v>2111.98</v>
      </c>
      <c r="P37" s="37">
        <f>SUM(L37:O37)</f>
        <v/>
      </c>
      <c r="Q37" s="18" t="n">
        <v>1270.82</v>
      </c>
      <c r="R37" s="18" t="n">
        <v>1733.57</v>
      </c>
      <c r="S37" s="18" t="n">
        <v>1991.83</v>
      </c>
      <c r="T37" s="18" t="n">
        <v>1629.94</v>
      </c>
      <c r="U37" s="37">
        <f>SUM(Q37:T37)</f>
        <v/>
      </c>
      <c r="V37" s="18" t="n">
        <v>2571.36</v>
      </c>
      <c r="W37" s="18" t="n">
        <v>2406.25</v>
      </c>
      <c r="X37" s="18" t="n">
        <v>2931.56</v>
      </c>
      <c r="Y37" s="18" t="n">
        <v>1744.72</v>
      </c>
      <c r="Z37" s="37">
        <f>SUM(V37:Y37)</f>
        <v/>
      </c>
      <c r="AA37" s="18" t="n">
        <v>1746.56</v>
      </c>
      <c r="AB37" s="19" t="n">
        <v>1704.84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56.76</v>
      </c>
      <c r="F38" s="37" t="n"/>
      <c r="G38" s="18" t="n">
        <v>170.67</v>
      </c>
      <c r="H38" s="18" t="n">
        <v>204.19</v>
      </c>
      <c r="I38" s="18" t="n">
        <v>219.43</v>
      </c>
      <c r="J38" s="18" t="n">
        <v>125.12</v>
      </c>
      <c r="K38" s="37">
        <f>SUM(G38:J38)</f>
        <v/>
      </c>
      <c r="L38" s="18" t="n">
        <v>185.73</v>
      </c>
      <c r="M38" s="18" t="n">
        <v>301.11</v>
      </c>
      <c r="N38" s="18" t="n">
        <v>163.8</v>
      </c>
      <c r="O38" s="18" t="n">
        <v>105.41</v>
      </c>
      <c r="P38" s="37">
        <f>SUM(L38:O38)</f>
        <v/>
      </c>
      <c r="Q38" s="18" t="n">
        <v>89.45</v>
      </c>
      <c r="R38" s="18" t="n">
        <v>149.81</v>
      </c>
      <c r="S38" s="18" t="n">
        <v>151.96</v>
      </c>
      <c r="T38" s="18" t="n">
        <v>26.75</v>
      </c>
      <c r="U38" s="37">
        <f>SUM(Q38:T38)</f>
        <v/>
      </c>
      <c r="V38" s="18" t="n">
        <v>110.41</v>
      </c>
      <c r="W38" s="18" t="n">
        <v>155.51</v>
      </c>
      <c r="X38" s="18" t="n">
        <v>192.54</v>
      </c>
      <c r="Y38" s="18" t="n">
        <v>136.64</v>
      </c>
      <c r="Z38" s="37">
        <f>SUM(V38:Y38)</f>
        <v/>
      </c>
      <c r="AA38" s="18" t="n">
        <v>168.58</v>
      </c>
      <c r="AB38" s="19" t="n">
        <v>193.44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663.5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18.13</v>
      </c>
    </row>
    <row r="32">
      <c r="C32" s="2" t="inlineStr">
        <is>
          <t>pbr_now</t>
        </is>
      </c>
      <c r="D32" t="n">
        <v>0.9</v>
      </c>
    </row>
    <row r="33">
      <c r="C33" s="2" t="inlineStr">
        <is>
          <t>roe_fwd</t>
        </is>
      </c>
      <c r="D33" t="n">
        <v>0.0495</v>
      </c>
    </row>
    <row r="34">
      <c r="C34" s="2" t="inlineStr">
        <is>
          <t>fair_pbr</t>
        </is>
      </c>
      <c r="D34" t="n">
        <v>0.55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