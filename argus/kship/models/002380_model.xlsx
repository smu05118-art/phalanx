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BS연결!$C$5:$AO$110</definedName>
    <definedName name="BS별도H">BS별도!$C$1:$AO$1</definedName>
    <definedName name="BS별도">BS별도!$C$5:$AO$94</definedName>
    <definedName name="SUBQH">subQ!$A$1:$AO$1</definedName>
    <definedName name="subQ">subQ!$A$5:$AO$47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5" fontId="0" fillId="5" borderId="0" pivotButton="0" quotePrefix="0" xfId="0"/>
    <xf numFmtId="164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3" fontId="0" fillId="5" borderId="1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AD15" authorId="0" shapeId="0">
      <text>
        <t>분기 진행 중(partial) — aikstockdata/토스 일봉</t>
      </text>
    </comment>
    <comment ref="AD16" authorId="0" shapeId="0">
      <text>
        <t>분기 진행 중(partial) — aikstockdata/토스 일봉</t>
      </text>
    </comment>
    <comment ref="AD17" authorId="0" shapeId="0">
      <text>
        <t>분기 진행 중(partial) — aikstockdata/토스 일봉</t>
      </text>
    </comment>
    <comment ref="AD18" authorId="0" shapeId="0">
      <text>
        <t>분기 진행 중(partial) — aikstockdata/토스 일봉</t>
      </text>
    </comment>
    <comment ref="AC21" authorId="0" shapeId="0">
      <text>
        <t>모델값 역산(implied): v / 전년동기 − 1
전년동기 × (1+0.2%) — g=최근 4분기 합 YoY 0.2% 클립(−30~+50%), 연차별 절반 감쇠(가정)</t>
      </text>
    </comment>
    <comment ref="AD21" authorId="0" shapeId="0">
      <text>
        <t>모델값 역산(implied): v / 전년동기 − 1
전년동기 × (1+0.2%) — g=최근 4분기 합 YoY 0.2% 클립(−30~+50%), 연차별 절반 감쇠(가정)</t>
      </text>
    </comment>
    <comment ref="AF21" authorId="0" shapeId="0">
      <text>
        <t>모델값 역산(implied): v / 전년동기 − 1
전년동기 × (1+0.2%) — g=최근 4분기 합 YoY 0.2% 클립(−30~+50%), 연차별 절반 감쇠(가정)</t>
      </text>
    </comment>
    <comment ref="AG21" authorId="0" shapeId="0">
      <text>
        <t>모델값 역산(implied): v / 전년동기 − 1
전년동기 × (1+0.2%) — g=최근 4분기 합 YoY 0.2% 클립(−30~+50%), 연차별 절반 감쇠(가정)</t>
      </text>
    </comment>
    <comment ref="AH21" authorId="0" shapeId="0">
      <text>
        <t>모델값 역산(implied): v / 전년동기 − 1
전년동기 × (1+0.1%) — g=최근 4분기 합 YoY 0.2% 클립(−30~+50%), 연차별 절반 감쇠(가정)</t>
      </text>
    </comment>
    <comment ref="AI21" authorId="0" shapeId="0">
      <text>
        <t>모델값 역산(implied): v / 전년동기 − 1
전년동기 × (1+0.1%) — g=최근 4분기 합 YoY 0.2% 클립(−30~+50%), 연차별 절반 감쇠(가정)</t>
      </text>
    </comment>
    <comment ref="AK21" authorId="0" shapeId="0">
      <text>
        <t>모델값 역산(implied): v / 전년동기 − 1
전년동기 × (1+0.1%) — g=최근 4분기 합 YoY 0.2% 클립(−30~+50%), 연차별 절반 감쇠(가정)</t>
      </text>
    </comment>
    <comment ref="AL21" authorId="0" shapeId="0">
      <text>
        <t>모델값 역산(implied): v / 전년동기 − 1
전년동기 × (1+0.1%) — g=최근 4분기 합 YoY 0.2% 클립(−30~+50%), 연차별 절반 감쇠(가정)</t>
      </text>
    </comment>
    <comment ref="AM21" authorId="0" shapeId="0">
      <text>
        <t>모델값 역산(implied): v / 전년동기 − 1
전년동기 × (1+0.1%) — g=최근 4분기 합 YoY 0.2% 클립(−30~+50%), 연차별 절반 감쇠(가정)</t>
      </text>
    </comment>
    <comment ref="AN21" authorId="0" shapeId="0">
      <text>
        <t>모델값 역산(implied): v / 전년동기 − 1
전년동기 × (1+0.1%) — g=최근 4분기 합 YoY 0.2% 클립(−30~+50%), 연차별 절반 감쇠(가정)</t>
      </text>
    </comment>
    <comment ref="AC22" authorId="0" shapeId="0">
      <text>
        <t>3절 스칼라 '판관비율' 참조 — 숫자로 덮어쓰면 이 분기만 바뀐다
매출액 × 판관비율 18.87%(최근 4분기 중위)</t>
      </text>
    </comment>
    <comment ref="AD22" authorId="0" shapeId="0">
      <text>
        <t>3절 스칼라 '판관비율' 참조 — 숫자로 덮어쓰면 이 분기만 바뀐다
매출액 × 판관비율 18.87%(최근 4분기 중위)</t>
      </text>
    </comment>
    <comment ref="AF22" authorId="0" shapeId="0">
      <text>
        <t>3절 스칼라 '판관비율' 참조 — 숫자로 덮어쓰면 이 분기만 바뀐다
매출액 × 판관비율 18.87%(최근 4분기 중위)</t>
      </text>
    </comment>
    <comment ref="AG22" authorId="0" shapeId="0">
      <text>
        <t>3절 스칼라 '판관비율' 참조 — 숫자로 덮어쓰면 이 분기만 바뀐다
매출액 × 판관비율 18.87%(최근 4분기 중위)</t>
      </text>
    </comment>
    <comment ref="AH22" authorId="0" shapeId="0">
      <text>
        <t>3절 스칼라 '판관비율' 참조 — 숫자로 덮어쓰면 이 분기만 바뀐다
매출액 × 판관비율 18.87%(최근 4분기 중위)</t>
      </text>
    </comment>
    <comment ref="AI22" authorId="0" shapeId="0">
      <text>
        <t>3절 스칼라 '판관비율' 참조 — 숫자로 덮어쓰면 이 분기만 바뀐다
매출액 × 판관비율 18.87%(최근 4분기 중위)</t>
      </text>
    </comment>
    <comment ref="AK22" authorId="0" shapeId="0">
      <text>
        <t>3절 스칼라 '판관비율' 참조 — 숫자로 덮어쓰면 이 분기만 바뀐다
매출액 × 판관비율 18.87%(최근 4분기 중위)</t>
      </text>
    </comment>
    <comment ref="AL22" authorId="0" shapeId="0">
      <text>
        <t>3절 스칼라 '판관비율' 참조 — 숫자로 덮어쓰면 이 분기만 바뀐다
매출액 × 판관비율 18.87%(최근 4분기 중위)</t>
      </text>
    </comment>
    <comment ref="AM22" authorId="0" shapeId="0">
      <text>
        <t>3절 스칼라 '판관비율' 참조 — 숫자로 덮어쓰면 이 분기만 바뀐다
매출액 × 판관비율 18.87%(최근 4분기 중위)</t>
      </text>
    </comment>
    <comment ref="AN22" authorId="0" shapeId="0">
      <text>
        <t>3절 스칼라 '판관비율' 참조 — 숫자로 덮어쓰면 이 분기만 바뀐다
매출액 × 판관비율 18.87%(최근 4분기 중위)</t>
      </text>
    </comment>
    <comment ref="AC23" authorId="0" shapeId="0">
      <text>
        <t>모델값 역산(implied): v / 매출액
매출액 × OPM(최근 8분기 OPM 중위 6.8% 유지(클립 −20~40%))</t>
      </text>
    </comment>
    <comment ref="AD23" authorId="0" shapeId="0">
      <text>
        <t>모델값 역산(implied): v / 매출액
매출액 × OPM(최근 8분기 OPM 중위 6.8% 유지(클립 −20~40%))</t>
      </text>
    </comment>
    <comment ref="AF23" authorId="0" shapeId="0">
      <text>
        <t>모델값 역산(implied): v / 매출액
매출액 × OPM(최근 8분기 OPM 중위 6.8% 유지(클립 −20~40%))</t>
      </text>
    </comment>
    <comment ref="AG23" authorId="0" shapeId="0">
      <text>
        <t>모델값 역산(implied): v / 매출액
매출액 × OPM(최근 8분기 OPM 중위 6.8% 유지(클립 −20~40%))</t>
      </text>
    </comment>
    <comment ref="AH23" authorId="0" shapeId="0">
      <text>
        <t>모델값 역산(implied): v / 매출액
매출액 × OPM(최근 8분기 OPM 중위 6.8% 유지(클립 −20~40%))</t>
      </text>
    </comment>
    <comment ref="AI23" authorId="0" shapeId="0">
      <text>
        <t>모델값 역산(implied): v / 매출액
매출액 × OPM(최근 8분기 OPM 중위 6.8% 유지(클립 −20~40%))</t>
      </text>
    </comment>
    <comment ref="AK23" authorId="0" shapeId="0">
      <text>
        <t>모델값 역산(implied): v / 매출액
매출액 × OPM(최근 8분기 OPM 중위 6.8% 유지(클립 −20~40%))</t>
      </text>
    </comment>
    <comment ref="AL23" authorId="0" shapeId="0">
      <text>
        <t>모델값 역산(implied): v / 매출액
매출액 × OPM(최근 8분기 OPM 중위 6.8% 유지(클립 −20~40%))</t>
      </text>
    </comment>
    <comment ref="AM23" authorId="0" shapeId="0">
      <text>
        <t>모델값 역산(implied): v / 매출액
매출액 × OPM(최근 8분기 OPM 중위 6.8% 유지(클립 −20~40%))</t>
      </text>
    </comment>
    <comment ref="AN23" authorId="0" shapeId="0">
      <text>
        <t>모델값 역산(implied): v / 매출액
매출액 × OPM(최근 8분기 OPM 중위 6.8% 유지(클립 −20~40%))</t>
      </text>
    </comment>
    <comment ref="AC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D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F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G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H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I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K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L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M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N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C25" authorId="0" shapeId="0">
      <text>
        <t>모델값 역산(implied): 모델 v 그대로
파생상품 평가·거래손익 0 가정</t>
      </text>
    </comment>
    <comment ref="AD25" authorId="0" shapeId="0">
      <text>
        <t>모델값 역산(implied): 모델 v 그대로
파생상품 평가·거래손익 0 가정</t>
      </text>
    </comment>
    <comment ref="AF25" authorId="0" shapeId="0">
      <text>
        <t>모델값 역산(implied): 모델 v 그대로
파생상품 평가·거래손익 0 가정</t>
      </text>
    </comment>
    <comment ref="AG25" authorId="0" shapeId="0">
      <text>
        <t>모델값 역산(implied): 모델 v 그대로
파생상품 평가·거래손익 0 가정</t>
      </text>
    </comment>
    <comment ref="AH25" authorId="0" shapeId="0">
      <text>
        <t>모델값 역산(implied): 모델 v 그대로
파생상품 평가·거래손익 0 가정</t>
      </text>
    </comment>
    <comment ref="AI25" authorId="0" shapeId="0">
      <text>
        <t>모델값 역산(implied): 모델 v 그대로
파생상품 평가·거래손익 0 가정</t>
      </text>
    </comment>
    <comment ref="AK25" authorId="0" shapeId="0">
      <text>
        <t>모델값 역산(implied): 모델 v 그대로
파생상품 평가·거래손익 0 가정</t>
      </text>
    </comment>
    <comment ref="AL25" authorId="0" shapeId="0">
      <text>
        <t>모델값 역산(implied): 모델 v 그대로
파생상품 평가·거래손익 0 가정</t>
      </text>
    </comment>
    <comment ref="AM25" authorId="0" shapeId="0">
      <text>
        <t>모델값 역산(implied): 모델 v 그대로
파생상품 평가·거래손익 0 가정</t>
      </text>
    </comment>
    <comment ref="AN25" authorId="0" shapeId="0">
      <text>
        <t>모델값 역산(implied): 모델 v 그대로
파생상품 평가·거래손익 0 가정</t>
      </text>
    </comment>
    <comment ref="AC26" authorId="0" shapeId="0">
      <text>
        <t>모델값 역산(implied): 모델 v 그대로
최근 4분기 중위 +7150.00억이 이자손익 추정 -722.67억의 50% 초과 → 0(경고)</t>
      </text>
    </comment>
    <comment ref="AD26" authorId="0" shapeId="0">
      <text>
        <t>모델값 역산(implied): 모델 v 그대로
최근 4분기 중위 +7150.00억이 이자손익 추정 -722.67억의 50% 초과 → 0(경고)</t>
      </text>
    </comment>
    <comment ref="AF26" authorId="0" shapeId="0">
      <text>
        <t>모델값 역산(implied): 모델 v 그대로
최근 4분기 중위 +7150.00억이 이자손익 추정 -722.67억의 50% 초과 → 0(경고)</t>
      </text>
    </comment>
    <comment ref="AG26" authorId="0" shapeId="0">
      <text>
        <t>모델값 역산(implied): 모델 v 그대로
최근 4분기 중위 +7150.00억이 이자손익 추정 -722.67억의 50% 초과 → 0(경고)</t>
      </text>
    </comment>
    <comment ref="AH26" authorId="0" shapeId="0">
      <text>
        <t>모델값 역산(implied): 모델 v 그대로
최근 4분기 중위 +7150.00억이 이자손익 추정 -722.67억의 50% 초과 → 0(경고)</t>
      </text>
    </comment>
    <comment ref="AI26" authorId="0" shapeId="0">
      <text>
        <t>모델값 역산(implied): 모델 v 그대로
최근 4분기 중위 +7150.00억이 이자손익 추정 -722.67억의 50% 초과 → 0(경고)</t>
      </text>
    </comment>
    <comment ref="AK26" authorId="0" shapeId="0">
      <text>
        <t>모델값 역산(implied): 모델 v 그대로
최근 4분기 중위 +7150.00억이 이자손익 추정 -722.67억의 50% 초과 → 0(경고)</t>
      </text>
    </comment>
    <comment ref="AL26" authorId="0" shapeId="0">
      <text>
        <t>모델값 역산(implied): 모델 v 그대로
최근 4분기 중위 +7150.00억이 이자손익 추정 -722.67억의 50% 초과 → 0(경고)</t>
      </text>
    </comment>
    <comment ref="AM26" authorId="0" shapeId="0">
      <text>
        <t>모델값 역산(implied): 모델 v 그대로
최근 4분기 중위 +7150.00억이 이자손익 추정 -722.67억의 50% 초과 → 0(경고)</t>
      </text>
    </comment>
    <comment ref="AN26" authorId="0" shapeId="0">
      <text>
        <t>모델값 역산(implied): 모델 v 그대로
최근 4분기 중위 +7150.00억이 이자손익 추정 -722.67억의 50% 초과 → 0(경고)</t>
      </text>
    </comment>
    <comment ref="AC27" authorId="0" shapeId="0">
      <text>
        <t>모델값 역산(implied): 모델 v 그대로
일회성 미가정 → 0</t>
      </text>
    </comment>
    <comment ref="AD27" authorId="0" shapeId="0">
      <text>
        <t>모델값 역산(implied): 모델 v 그대로
일회성 미가정 → 0</t>
      </text>
    </comment>
    <comment ref="AF27" authorId="0" shapeId="0">
      <text>
        <t>모델값 역산(implied): 모델 v 그대로
일회성 미가정 → 0</t>
      </text>
    </comment>
    <comment ref="AG27" authorId="0" shapeId="0">
      <text>
        <t>모델값 역산(implied): 모델 v 그대로
일회성 미가정 → 0</t>
      </text>
    </comment>
    <comment ref="AH27" authorId="0" shapeId="0">
      <text>
        <t>모델값 역산(implied): 모델 v 그대로
일회성 미가정 → 0</t>
      </text>
    </comment>
    <comment ref="AI27" authorId="0" shapeId="0">
      <text>
        <t>모델값 역산(implied): 모델 v 그대로
일회성 미가정 → 0</t>
      </text>
    </comment>
    <comment ref="AK27" authorId="0" shapeId="0">
      <text>
        <t>모델값 역산(implied): 모델 v 그대로
일회성 미가정 → 0</t>
      </text>
    </comment>
    <comment ref="AL27" authorId="0" shapeId="0">
      <text>
        <t>모델값 역산(implied): 모델 v 그대로
일회성 미가정 → 0</t>
      </text>
    </comment>
    <comment ref="AM27" authorId="0" shapeId="0">
      <text>
        <t>모델값 역산(implied): 모델 v 그대로
일회성 미가정 → 0</t>
      </text>
    </comment>
    <comment ref="AN27" authorId="0" shapeId="0">
      <text>
        <t>모델값 역산(implied): 모델 v 그대로
일회성 미가정 → 0</t>
      </text>
    </comment>
    <comment ref="AC28" authorId="0" shapeId="0">
      <text>
        <t>모델값 역산(implied): 모델 v 그대로
최근 4분기 중위</t>
      </text>
    </comment>
    <comment ref="AD28" authorId="0" shapeId="0">
      <text>
        <t>모델값 역산(implied): 모델 v 그대로
최근 4분기 중위</t>
      </text>
    </comment>
    <comment ref="AF28" authorId="0" shapeId="0">
      <text>
        <t>모델값 역산(implied): 모델 v 그대로
최근 4분기 중위</t>
      </text>
    </comment>
    <comment ref="AG28" authorId="0" shapeId="0">
      <text>
        <t>모델값 역산(implied): 모델 v 그대로
최근 4분기 중위</t>
      </text>
    </comment>
    <comment ref="AH28" authorId="0" shapeId="0">
      <text>
        <t>모델값 역산(implied): 모델 v 그대로
최근 4분기 중위</t>
      </text>
    </comment>
    <comment ref="AI28" authorId="0" shapeId="0">
      <text>
        <t>모델값 역산(implied): 모델 v 그대로
최근 4분기 중위</t>
      </text>
    </comment>
    <comment ref="AK28" authorId="0" shapeId="0">
      <text>
        <t>모델값 역산(implied): 모델 v 그대로
최근 4분기 중위</t>
      </text>
    </comment>
    <comment ref="AL28" authorId="0" shapeId="0">
      <text>
        <t>모델값 역산(implied): 모델 v 그대로
최근 4분기 중위</t>
      </text>
    </comment>
    <comment ref="AM28" authorId="0" shapeId="0">
      <text>
        <t>모델값 역산(implied): 모델 v 그대로
최근 4분기 중위</t>
      </text>
    </comment>
    <comment ref="AN28" authorId="0" shapeId="0">
      <text>
        <t>모델값 역산(implied): 모델 v 그대로
최근 4분기 중위</t>
      </text>
    </comment>
    <comment ref="AC29" authorId="0" shapeId="0">
      <text>
        <t>3절 스칼라 '세율' 참조 — 숫자로 덮어쓰면 이 분기만 바뀐다
max(세전, 0) × 세율 22.0%(최근 12분기 유효세율 29.8% 가 5~27% 밖; 세전 &gt; 0 분기 중위 31.2% 도 5~27% 밖 → 법정세율 근사 22% 가정)</t>
      </text>
    </comment>
    <comment ref="AD29" authorId="0" shapeId="0">
      <text>
        <t>3절 스칼라 '세율' 참조 — 숫자로 덮어쓰면 이 분기만 바뀐다
max(세전, 0) × 세율 22.0%(최근 12분기 유효세율 29.8% 가 5~27% 밖; 세전 &gt; 0 분기 중위 31.2% 도 5~27% 밖 → 법정세율 근사 22% 가정)</t>
      </text>
    </comment>
    <comment ref="AF29" authorId="0" shapeId="0">
      <text>
        <t>3절 스칼라 '세율' 참조 — 숫자로 덮어쓰면 이 분기만 바뀐다
max(세전, 0) × 세율 22.0%(최근 12분기 유효세율 29.8% 가 5~27% 밖; 세전 &gt; 0 분기 중위 31.2% 도 5~27% 밖 → 법정세율 근사 22% 가정)</t>
      </text>
    </comment>
    <comment ref="AG29" authorId="0" shapeId="0">
      <text>
        <t>3절 스칼라 '세율' 참조 — 숫자로 덮어쓰면 이 분기만 바뀐다
max(세전, 0) × 세율 22.0%(최근 12분기 유효세율 29.8% 가 5~27% 밖; 세전 &gt; 0 분기 중위 31.2% 도 5~27% 밖 → 법정세율 근사 22% 가정)</t>
      </text>
    </comment>
    <comment ref="AH29" authorId="0" shapeId="0">
      <text>
        <t>3절 스칼라 '세율' 참조 — 숫자로 덮어쓰면 이 분기만 바뀐다
max(세전, 0) × 세율 22.0%(최근 12분기 유효세율 29.8% 가 5~27% 밖; 세전 &gt; 0 분기 중위 31.2% 도 5~27% 밖 → 법정세율 근사 22% 가정)</t>
      </text>
    </comment>
    <comment ref="AI29" authorId="0" shapeId="0">
      <text>
        <t>3절 스칼라 '세율' 참조 — 숫자로 덮어쓰면 이 분기만 바뀐다
max(세전, 0) × 세율 22.0%(최근 12분기 유효세율 29.8% 가 5~27% 밖; 세전 &gt; 0 분기 중위 31.2% 도 5~27% 밖 → 법정세율 근사 22% 가정)</t>
      </text>
    </comment>
    <comment ref="AK29" authorId="0" shapeId="0">
      <text>
        <t>3절 스칼라 '세율' 참조 — 숫자로 덮어쓰면 이 분기만 바뀐다
max(세전, 0) × 세율 22.0%(최근 12분기 유효세율 29.8% 가 5~27% 밖; 세전 &gt; 0 분기 중위 31.2% 도 5~27% 밖 → 법정세율 근사 22% 가정)</t>
      </text>
    </comment>
    <comment ref="AL29" authorId="0" shapeId="0">
      <text>
        <t>3절 스칼라 '세율' 참조 — 숫자로 덮어쓰면 이 분기만 바뀐다
max(세전, 0) × 세율 22.0%(최근 12분기 유효세율 29.8% 가 5~27% 밖; 세전 &gt; 0 분기 중위 31.2% 도 5~27% 밖 → 법정세율 근사 22% 가정)</t>
      </text>
    </comment>
    <comment ref="AM29" authorId="0" shapeId="0">
      <text>
        <t>3절 스칼라 '세율' 참조 — 숫자로 덮어쓰면 이 분기만 바뀐다
max(세전, 0) × 세율 22.0%(최근 12분기 유효세율 29.8% 가 5~27% 밖; 세전 &gt; 0 분기 중위 31.2% 도 5~27% 밖 → 법정세율 근사 22% 가정)</t>
      </text>
    </comment>
    <comment ref="AN29" authorId="0" shapeId="0">
      <text>
        <t>3절 스칼라 '세율' 참조 — 숫자로 덮어쓰면 이 분기만 바뀐다
max(세전, 0) × 세율 22.0%(최근 12분기 유효세율 29.8% 가 5~27% 밖; 세전 &gt; 0 분기 중위 31.2% 도 5~27% 밖 → 법정세율 근사 22% 가정)</t>
      </text>
    </comment>
    <comment ref="AC30" authorId="0" shapeId="0">
      <text>
        <t>3절 스칼라 '지배주주비중' 참조 — 숫자로 덮어쓰면 이 분기만 바뀐다
당기순이익 × (1 − 비지배 비중 0.0%, 최근 8분기 실측)</t>
      </text>
    </comment>
    <comment ref="AD30" authorId="0" shapeId="0">
      <text>
        <t>3절 스칼라 '지배주주비중' 참조 — 숫자로 덮어쓰면 이 분기만 바뀐다
당기순이익 × (1 − 비지배 비중 0.0%, 최근 8분기 실측)</t>
      </text>
    </comment>
    <comment ref="AF30" authorId="0" shapeId="0">
      <text>
        <t>3절 스칼라 '지배주주비중' 참조 — 숫자로 덮어쓰면 이 분기만 바뀐다
당기순이익 × (1 − 비지배 비중 0.0%, 최근 8분기 실측)</t>
      </text>
    </comment>
    <comment ref="AG30" authorId="0" shapeId="0">
      <text>
        <t>3절 스칼라 '지배주주비중' 참조 — 숫자로 덮어쓰면 이 분기만 바뀐다
당기순이익 × (1 − 비지배 비중 0.0%, 최근 8분기 실측)</t>
      </text>
    </comment>
    <comment ref="AH30" authorId="0" shapeId="0">
      <text>
        <t>3절 스칼라 '지배주주비중' 참조 — 숫자로 덮어쓰면 이 분기만 바뀐다
당기순이익 × (1 − 비지배 비중 0.0%, 최근 8분기 실측)</t>
      </text>
    </comment>
    <comment ref="AI30" authorId="0" shapeId="0">
      <text>
        <t>3절 스칼라 '지배주주비중' 참조 — 숫자로 덮어쓰면 이 분기만 바뀐다
당기순이익 × (1 − 비지배 비중 0.0%, 최근 8분기 실측)</t>
      </text>
    </comment>
    <comment ref="AK30" authorId="0" shapeId="0">
      <text>
        <t>3절 스칼라 '지배주주비중' 참조 — 숫자로 덮어쓰면 이 분기만 바뀐다
당기순이익 × (1 − 비지배 비중 0.0%, 최근 8분기 실측)</t>
      </text>
    </comment>
    <comment ref="AL30" authorId="0" shapeId="0">
      <text>
        <t>3절 스칼라 '지배주주비중' 참조 — 숫자로 덮어쓰면 이 분기만 바뀐다
당기순이익 × (1 − 비지배 비중 0.0%, 최근 8분기 실측)</t>
      </text>
    </comment>
    <comment ref="AM30" authorId="0" shapeId="0">
      <text>
        <t>3절 스칼라 '지배주주비중' 참조 — 숫자로 덮어쓰면 이 분기만 바뀐다
당기순이익 × (1 − 비지배 비중 0.0%, 최근 8분기 실측)</t>
      </text>
    </comment>
    <comment ref="AN30" authorId="0" shapeId="0">
      <text>
        <t>3절 스칼라 '지배주주비중' 참조 — 숫자로 덮어쓰면 이 분기만 바뀐다
당기순이익 × (1 − 비지배 비중 0.0%, 최근 8분기 실측)</t>
      </text>
    </comment>
    <comment ref="AC32" authorId="0" shapeId="0">
      <text>
        <t>모델값 역산(implied): 모델 v 그대로
최근 4분기 감가상각비 중위 유지</t>
      </text>
    </comment>
    <comment ref="AD32" authorId="0" shapeId="0">
      <text>
        <t>모델값 역산(implied): 모델 v 그대로
최근 4분기 감가상각비 중위 유지</t>
      </text>
    </comment>
    <comment ref="AF32" authorId="0" shapeId="0">
      <text>
        <t>모델값 역산(implied): 모델 v 그대로
최근 4분기 감가상각비 중위 유지</t>
      </text>
    </comment>
    <comment ref="AG32" authorId="0" shapeId="0">
      <text>
        <t>모델값 역산(implied): 모델 v 그대로
최근 4분기 감가상각비 중위 유지</t>
      </text>
    </comment>
    <comment ref="AH32" authorId="0" shapeId="0">
      <text>
        <t>모델값 역산(implied): 모델 v 그대로
최근 4분기 감가상각비 중위 유지</t>
      </text>
    </comment>
    <comment ref="AI32" authorId="0" shapeId="0">
      <text>
        <t>모델값 역산(implied): 모델 v 그대로
최근 4분기 감가상각비 중위 유지</t>
      </text>
    </comment>
    <comment ref="AK32" authorId="0" shapeId="0">
      <text>
        <t>모델값 역산(implied): 모델 v 그대로
최근 4분기 감가상각비 중위 유지</t>
      </text>
    </comment>
    <comment ref="AL32" authorId="0" shapeId="0">
      <text>
        <t>모델값 역산(implied): 모델 v 그대로
최근 4분기 감가상각비 중위 유지</t>
      </text>
    </comment>
    <comment ref="AM32" authorId="0" shapeId="0">
      <text>
        <t>모델값 역산(implied): 모델 v 그대로
최근 4분기 감가상각비 중위 유지</t>
      </text>
    </comment>
    <comment ref="AN32" authorId="0" shapeId="0">
      <text>
        <t>모델값 역산(implied): 모델 v 그대로
최근 4분기 감가상각비 중위 유지</t>
      </text>
    </comment>
    <comment ref="AC33" authorId="0" shapeId="0">
      <text>
        <t>모델값 역산(implied): v / 전분기 − 1
마지막 실적 유지(가정)</t>
      </text>
    </comment>
    <comment ref="AD33" authorId="0" shapeId="0">
      <text>
        <t>모델값 역산(implied): v / 전분기 − 1
마지막 실적 유지(가정)</t>
      </text>
    </comment>
    <comment ref="AF33" authorId="0" shapeId="0">
      <text>
        <t>모델값 역산(implied): v / 전분기 − 1
마지막 실적 유지(가정)</t>
      </text>
    </comment>
    <comment ref="AG33" authorId="0" shapeId="0">
      <text>
        <t>모델값 역산(implied): v / 전분기 − 1
마지막 실적 유지(가정)</t>
      </text>
    </comment>
    <comment ref="AH33" authorId="0" shapeId="0">
      <text>
        <t>모델값 역산(implied): v / 전분기 − 1
마지막 실적 유지(가정)</t>
      </text>
    </comment>
    <comment ref="AI33" authorId="0" shapeId="0">
      <text>
        <t>모델값 역산(implied): v / 전분기 − 1
마지막 실적 유지(가정)</t>
      </text>
    </comment>
    <comment ref="AK33" authorId="0" shapeId="0">
      <text>
        <t>모델값 역산(implied): v / 전분기 − 1
마지막 실적 유지(가정)</t>
      </text>
    </comment>
    <comment ref="AL33" authorId="0" shapeId="0">
      <text>
        <t>모델값 역산(implied): v / 전분기 − 1
마지막 실적 유지(가정)</t>
      </text>
    </comment>
    <comment ref="AM33" authorId="0" shapeId="0">
      <text>
        <t>모델값 역산(implied): v / 전분기 − 1
마지막 실적 유지(가정)</t>
      </text>
    </comment>
    <comment ref="AN33" authorId="0" shapeId="0">
      <text>
        <t>모델값 역산(implied): v / 전분기 − 1
마지막 실적 유지(가정)</t>
      </text>
    </comment>
    <comment ref="AC34" authorId="0" shapeId="0">
      <text>
        <t>모델값 역산(implied): 전분기(시트값) + 당기순이익(시트 수식값) − v
전분기 + 당기순이익 − 배당(Q2 지급 가정)</t>
      </text>
    </comment>
    <comment ref="AD34" authorId="0" shapeId="0">
      <text>
        <t>모델값 역산(implied): 전분기(시트값) + 당기순이익(시트 수식값) − v
전분기 + 당기순이익 − 배당(Q2 지급 가정)</t>
      </text>
    </comment>
    <comment ref="AF34" authorId="0" shapeId="0">
      <text>
        <t>모델값 역산(implied): 전분기(시트값) + 당기순이익(시트 수식값) − v
전분기 + 당기순이익 − 배당(Q2 지급 가정)</t>
      </text>
    </comment>
    <comment ref="AG34" authorId="0" shapeId="0">
      <text>
        <t>모델값 역산(implied): 전분기(시트값) + 당기순이익(시트 수식값) − v
전분기 + 당기순이익 − 배당(Q2 지급 가정)</t>
      </text>
    </comment>
    <comment ref="AH34" authorId="0" shapeId="0">
      <text>
        <t>모델값 역산(implied): 전분기(시트값) + 당기순이익(시트 수식값) − v
전분기 + 당기순이익 − 배당(Q2 지급 가정)</t>
      </text>
    </comment>
    <comment ref="AI34" authorId="0" shapeId="0">
      <text>
        <t>모델값 역산(implied): 전분기(시트값) + 당기순이익(시트 수식값) − v
전분기 + 당기순이익 − 배당(Q2 지급 가정)</t>
      </text>
    </comment>
    <comment ref="AK34" authorId="0" shapeId="0">
      <text>
        <t>모델값 역산(implied): 전분기(시트값) + 당기순이익(시트 수식값) − v
전분기 + 당기순이익 − 배당(Q2 지급 가정)</t>
      </text>
    </comment>
    <comment ref="AL34" authorId="0" shapeId="0">
      <text>
        <t>모델값 역산(implied): 전분기(시트값) + 당기순이익(시트 수식값) − v
전분기 + 당기순이익 − 배당(Q2 지급 가정)</t>
      </text>
    </comment>
    <comment ref="AM34" authorId="0" shapeId="0">
      <text>
        <t>모델값 역산(implied): 전분기(시트값) + 당기순이익(시트 수식값) − v
전분기 + 당기순이익 − 배당(Q2 지급 가정)</t>
      </text>
    </comment>
    <comment ref="AN34" authorId="0" shapeId="0">
      <text>
        <t>모델값 역산(implied): 전분기(시트값) + 당기순이익(시트 수식값) − v
전분기 + 당기순이익 − 배당(Q2 지급 가정)</t>
      </text>
    </comment>
    <comment ref="AC35" authorId="0" shapeId="0">
      <text>
        <t>모델값 역산(implied): 전분기(시트값) + 지배주주순이익(시트 수식값) − v
전분기 + 지배주주순이익 − 배당</t>
      </text>
    </comment>
    <comment ref="AD35" authorId="0" shapeId="0">
      <text>
        <t>모델값 역산(implied): 전분기(시트값) + 지배주주순이익(시트 수식값) − v
전분기 + 지배주주순이익 − 배당</t>
      </text>
    </comment>
    <comment ref="AF35" authorId="0" shapeId="0">
      <text>
        <t>모델값 역산(implied): 전분기(시트값) + 지배주주순이익(시트 수식값) − v
전분기 + 지배주주순이익 − 배당</t>
      </text>
    </comment>
    <comment ref="AG35" authorId="0" shapeId="0">
      <text>
        <t>모델값 역산(implied): 전분기(시트값) + 지배주주순이익(시트 수식값) − v
전분기 + 지배주주순이익 − 배당</t>
      </text>
    </comment>
    <comment ref="AH35" authorId="0" shapeId="0">
      <text>
        <t>모델값 역산(implied): 전분기(시트값) + 지배주주순이익(시트 수식값) − v
전분기 + 지배주주순이익 − 배당</t>
      </text>
    </comment>
    <comment ref="AI35" authorId="0" shapeId="0">
      <text>
        <t>모델값 역산(implied): 전분기(시트값) + 지배주주순이익(시트 수식값) − v
전분기 + 지배주주순이익 − 배당</t>
      </text>
    </comment>
    <comment ref="AK35" authorId="0" shapeId="0">
      <text>
        <t>모델값 역산(implied): 전분기(시트값) + 지배주주순이익(시트 수식값) − v
전분기 + 지배주주순이익 − 배당</t>
      </text>
    </comment>
    <comment ref="AL35" authorId="0" shapeId="0">
      <text>
        <t>모델값 역산(implied): 전분기(시트값) + 지배주주순이익(시트 수식값) − v
전분기 + 지배주주순이익 − 배당</t>
      </text>
    </comment>
    <comment ref="AM35" authorId="0" shapeId="0">
      <text>
        <t>모델값 역산(implied): 전분기(시트값) + 지배주주순이익(시트 수식값) − v
전분기 + 지배주주순이익 − 배당</t>
      </text>
    </comment>
    <comment ref="AN35" authorId="0" shapeId="0">
      <text>
        <t>모델값 역산(implied): 전분기(시트값) + 지배주주순이익(시트 수식값) − v
전분기 + 지배주주순이익 − 배당</t>
      </text>
    </comment>
    <comment ref="AC36" authorId="0" shapeId="0">
      <text>
        <t>모델값 역산(implied): v / 전분기 − 1
마지막 실적 유지(가정)</t>
      </text>
    </comment>
    <comment ref="AD36" authorId="0" shapeId="0">
      <text>
        <t>모델값 역산(implied): v / 전분기 − 1
마지막 실적 유지(가정)</t>
      </text>
    </comment>
    <comment ref="AF36" authorId="0" shapeId="0">
      <text>
        <t>모델값 역산(implied): v / 전분기 − 1
마지막 실적 유지(가정)</t>
      </text>
    </comment>
    <comment ref="AG36" authorId="0" shapeId="0">
      <text>
        <t>모델값 역산(implied): v / 전분기 − 1
마지막 실적 유지(가정)</t>
      </text>
    </comment>
    <comment ref="AH36" authorId="0" shapeId="0">
      <text>
        <t>모델값 역산(implied): v / 전분기 − 1
마지막 실적 유지(가정)</t>
      </text>
    </comment>
    <comment ref="AI36" authorId="0" shapeId="0">
      <text>
        <t>모델값 역산(implied): v / 전분기 − 1
마지막 실적 유지(가정)</t>
      </text>
    </comment>
    <comment ref="AK36" authorId="0" shapeId="0">
      <text>
        <t>모델값 역산(implied): v / 전분기 − 1
마지막 실적 유지(가정)</t>
      </text>
    </comment>
    <comment ref="AL36" authorId="0" shapeId="0">
      <text>
        <t>모델값 역산(implied): v / 전분기 − 1
마지막 실적 유지(가정)</t>
      </text>
    </comment>
    <comment ref="AM36" authorId="0" shapeId="0">
      <text>
        <t>모델값 역산(implied): v / 전분기 − 1
마지막 실적 유지(가정)</t>
      </text>
    </comment>
    <comment ref="AN36" authorId="0" shapeId="0">
      <text>
        <t>모델값 역산(implied): v / 전분기 − 1
마지막 실적 유지(가정)</t>
      </text>
    </comment>
    <comment ref="AC37" authorId="0" shapeId="0">
      <text>
        <t>모델값 역산(implied): v / 전분기 − 1
전분기 − FCF 근사[순이익 + 감가상각비 928억 − CAPEX 897억(각 최근 4분기 중위) − 배당] (운전자본 불변·총차입금 유지 가정 → 변동은 전부 현금)</t>
      </text>
    </comment>
    <comment ref="AD37" authorId="0" shapeId="0">
      <text>
        <t>모델값 역산(implied): v / 전분기 − 1
전분기 − FCF 근사[순이익 + 감가상각비 928억 − CAPEX 897억(각 최근 4분기 중위) − 배당] (운전자본 불변·총차입금 유지 가정 → 변동은 전부 현금)</t>
      </text>
    </comment>
    <comment ref="AF37" authorId="0" shapeId="0">
      <text>
        <t>모델값 역산(implied): v / 전분기 − 1
전분기 − FCF 근사[순이익 + 감가상각비 928억 − CAPEX 897억(각 최근 4분기 중위) − 배당] (운전자본 불변·총차입금 유지 가정 → 변동은 전부 현금)</t>
      </text>
    </comment>
    <comment ref="AG37" authorId="0" shapeId="0">
      <text>
        <t>모델값 역산(implied): v / 전분기 − 1
전분기 − FCF 근사[순이익 + 감가상각비 928억 − CAPEX 897억(각 최근 4분기 중위) − 배당] (운전자본 불변·총차입금 유지 가정 → 변동은 전부 현금)</t>
      </text>
    </comment>
    <comment ref="AH37" authorId="0" shapeId="0">
      <text>
        <t>모델값 역산(implied): v / 전분기 − 1
전분기 − FCF 근사[순이익 + 감가상각비 928억 − CAPEX 897억(각 최근 4분기 중위) − 배당] (운전자본 불변·총차입금 유지 가정 → 변동은 전부 현금)</t>
      </text>
    </comment>
    <comment ref="AI37" authorId="0" shapeId="0">
      <text>
        <t>모델값 역산(implied): v / 전분기 − 1
전분기 − FCF 근사[순이익 + 감가상각비 928억 − CAPEX 897억(각 최근 4분기 중위) − 배당] (운전자본 불변·총차입금 유지 가정 → 변동은 전부 현금)</t>
      </text>
    </comment>
    <comment ref="AK37" authorId="0" shapeId="0">
      <text>
        <t>모델값 역산(implied): v / 전분기 − 1
전분기 − FCF 근사[순이익 + 감가상각비 928억 − CAPEX 897억(각 최근 4분기 중위) − 배당] (운전자본 불변·총차입금 유지 가정 → 변동은 전부 현금)</t>
      </text>
    </comment>
    <comment ref="AL37" authorId="0" shapeId="0">
      <text>
        <t>모델값 역산(implied): v / 전분기 − 1
전분기 − FCF 근사[순이익 + 감가상각비 928억 − CAPEX 897억(각 최근 4분기 중위) − 배당] (운전자본 불변·총차입금 유지 가정 → 변동은 전부 현금)</t>
      </text>
    </comment>
    <comment ref="AM37" authorId="0" shapeId="0">
      <text>
        <t>모델값 역산(implied): v / 전분기 − 1
전분기 − FCF 근사[순이익 + 감가상각비 928억 − CAPEX 897억(각 최근 4분기 중위) − 배당] (운전자본 불변·총차입금 유지 가정 → 변동은 전부 현금)</t>
      </text>
    </comment>
    <comment ref="AN37" authorId="0" shapeId="0">
      <text>
        <t>모델값 역산(implied): v / 전분기 − 1
전분기 − FCF 근사[순이익 + 감가상각비 928억 − CAPEX 897억(각 최근 4분기 중위) − 배당] (운전자본 불변·총차입금 유지 가정 → 변동은 전부 현금)</t>
      </text>
    </comment>
    <comment ref="AC38" authorId="0" shapeId="0">
      <text>
        <t>모델값 역산(implied): v / 전분기 − 1
전분기 + FCF 근사 — 순차입금 롤과 같은 가정</t>
      </text>
    </comment>
    <comment ref="AD38" authorId="0" shapeId="0">
      <text>
        <t>모델값 역산(implied): v / 전분기 − 1
전분기 + FCF 근사 — 순차입금 롤과 같은 가정</t>
      </text>
    </comment>
    <comment ref="AF38" authorId="0" shapeId="0">
      <text>
        <t>모델값 역산(implied): v / 전분기 − 1
전분기 + FCF 근사 — 순차입금 롤과 같은 가정</t>
      </text>
    </comment>
    <comment ref="AG38" authorId="0" shapeId="0">
      <text>
        <t>모델값 역산(implied): v / 전분기 − 1
전분기 + FCF 근사 — 순차입금 롤과 같은 가정</t>
      </text>
    </comment>
    <comment ref="AH38" authorId="0" shapeId="0">
      <text>
        <t>모델값 역산(implied): v / 전분기 − 1
전분기 + FCF 근사 — 순차입금 롤과 같은 가정</t>
      </text>
    </comment>
    <comment ref="AI38" authorId="0" shapeId="0">
      <text>
        <t>모델값 역산(implied): v / 전분기 − 1
전분기 + FCF 근사 — 순차입금 롤과 같은 가정</t>
      </text>
    </comment>
    <comment ref="AK38" authorId="0" shapeId="0">
      <text>
        <t>모델값 역산(implied): v / 전분기 − 1
전분기 + FCF 근사 — 순차입금 롤과 같은 가정</t>
      </text>
    </comment>
    <comment ref="AL38" authorId="0" shapeId="0">
      <text>
        <t>모델값 역산(implied): v / 전분기 − 1
전분기 + FCF 근사 — 순차입금 롤과 같은 가정</t>
      </text>
    </comment>
    <comment ref="AM38" authorId="0" shapeId="0">
      <text>
        <t>모델값 역산(implied): v / 전분기 − 1
전분기 + FCF 근사 — 순차입금 롤과 같은 가정</t>
      </text>
    </comment>
    <comment ref="AN38" authorId="0" shapeId="0">
      <text>
        <t>모델값 역산(implied): v / 전분기 − 1
전분기 + FCF 근사 — 순차입금 롤과 같은 가정</t>
      </text>
    </comment>
    <comment ref="AC40" authorId="0" shapeId="0">
      <text>
        <t>모델값 역산(implied): v / 전년동기 − 1
최근 4분기(2025Q3~2026Q2) CAPEX 중위 유지 — 순차입금 롤에 반영(FCF 근사)</t>
      </text>
    </comment>
    <comment ref="AD40" authorId="0" shapeId="0">
      <text>
        <t>모델값 역산(implied): v / 전년동기 − 1
최근 4분기(2025Q3~2026Q2) CAPEX 중위 유지 — 순차입금 롤에 반영(FCF 근사)</t>
      </text>
    </comment>
    <comment ref="AF40" authorId="0" shapeId="0">
      <text>
        <t>모델값 역산(implied): v / 전년동기 − 1
최근 4분기(2025Q3~2026Q2) CAPEX 중위 유지 — 순차입금 롤에 반영(FCF 근사)</t>
      </text>
    </comment>
    <comment ref="AG40" authorId="0" shapeId="0">
      <text>
        <t>모델값 역산(implied): v / 전년동기 − 1
최근 4분기(2025Q3~2026Q2) CAPEX 중위 유지 — 순차입금 롤에 반영(FCF 근사)</t>
      </text>
    </comment>
    <comment ref="AH40" authorId="0" shapeId="0">
      <text>
        <t>모델값 역산(implied): v / 전년동기 − 1
최근 4분기(2025Q3~2026Q2) CAPEX 중위 유지 — 순차입금 롤에 반영(FCF 근사)</t>
      </text>
    </comment>
    <comment ref="AI40" authorId="0" shapeId="0">
      <text>
        <t>모델값 역산(implied): v / 전년동기 − 1
최근 4분기(2025Q3~2026Q2) CAPEX 중위 유지 — 순차입금 롤에 반영(FCF 근사)</t>
      </text>
    </comment>
    <comment ref="AK40" authorId="0" shapeId="0">
      <text>
        <t>모델값 역산(implied): v / 전년동기 − 1
최근 4분기(2025Q3~2026Q2) CAPEX 중위 유지 — 순차입금 롤에 반영(FCF 근사)</t>
      </text>
    </comment>
    <comment ref="AL40" authorId="0" shapeId="0">
      <text>
        <t>모델값 역산(implied): v / 전년동기 − 1
최근 4분기(2025Q3~2026Q2) CAPEX 중위 유지 — 순차입금 롤에 반영(FCF 근사)</t>
      </text>
    </comment>
    <comment ref="AM40" authorId="0" shapeId="0">
      <text>
        <t>모델값 역산(implied): v / 전년동기 − 1
최근 4분기(2025Q3~2026Q2) CAPEX 중위 유지 — 순차입금 롤에 반영(FCF 근사)</t>
      </text>
    </comment>
    <comment ref="AN40" authorId="0" shapeId="0">
      <text>
        <t>모델값 역산(implied): v / 전년동기 − 1
최근 4분기(2025Q3~2026Q2) CAPEX 중위 유지 — 순차입금 롤에 반영(FCF 근사)</t>
      </text>
    </comment>
    <comment ref="AC42" authorId="0" shapeId="0">
      <text>
        <t>모델값 역산(implied): v / 전분기 − 1
유통주식수 유지 — fin.shares.common_outstanding(2026Q2)</t>
      </text>
    </comment>
    <comment ref="AD42" authorId="0" shapeId="0">
      <text>
        <t>모델값 역산(implied): v / 전분기 − 1
유통주식수 유지 — fin.shares.common_outstanding(2026Q2)</t>
      </text>
    </comment>
    <comment ref="AF42" authorId="0" shapeId="0">
      <text>
        <t>모델값 역산(implied): v / 전분기 − 1
유통주식수 유지 — fin.shares.common_outstanding(2026Q2)</t>
      </text>
    </comment>
    <comment ref="AG42" authorId="0" shapeId="0">
      <text>
        <t>모델값 역산(implied): v / 전분기 − 1
유통주식수 유지 — fin.shares.common_outstanding(2026Q2)</t>
      </text>
    </comment>
    <comment ref="AH42" authorId="0" shapeId="0">
      <text>
        <t>모델값 역산(implied): v / 전분기 − 1
유통주식수 유지 — fin.shares.common_outstanding(2026Q2)</t>
      </text>
    </comment>
    <comment ref="AI42" authorId="0" shapeId="0">
      <text>
        <t>모델값 역산(implied): v / 전분기 − 1
유통주식수 유지 — fin.shares.common_outstanding(2026Q2)</t>
      </text>
    </comment>
    <comment ref="AK42" authorId="0" shapeId="0">
      <text>
        <t>모델값 역산(implied): v / 전분기 − 1
유통주식수 유지 — fin.shares.common_outstanding(2026Q2)</t>
      </text>
    </comment>
    <comment ref="AL42" authorId="0" shapeId="0">
      <text>
        <t>모델값 역산(implied): v / 전분기 − 1
유통주식수 유지 — fin.shares.common_outstanding(2026Q2)</t>
      </text>
    </comment>
    <comment ref="AM42" authorId="0" shapeId="0">
      <text>
        <t>모델값 역산(implied): v / 전분기 − 1
유통주식수 유지 — fin.shares.common_outstanding(2026Q2)</t>
      </text>
    </comment>
    <comment ref="AN42" authorId="0" shapeId="0">
      <text>
        <t>모델값 역산(implied): v / 전분기 − 1
유통주식수 유지 — fin.shares.common_outstanding(2026Q2)</t>
      </text>
    </comment>
    <comment ref="AD43" authorId="0" shapeId="0">
      <text>
        <t>모델값 역산(implied): 모델 v 그대로
직전 결산 DPS 15,000원 유지</t>
      </text>
    </comment>
    <comment ref="AI43" authorId="0" shapeId="0">
      <text>
        <t>모델값 역산(implied): 모델 v 그대로
직전 결산 DPS 15,000원 유지</t>
      </text>
    </comment>
    <comment ref="AN43" authorId="0" shapeId="0">
      <text>
        <t>모델값 역산(implied): 모델 v 그대로
직전 결산 DPS 15,000원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AC5" authorId="0" shapeId="0">
      <text>
        <t>추정: 전년동기 × (1+0.2%) — g=최근 4분기 합 YoY 0.2% 클립(−30~+50%), 연차별 절반 감쇠(가정)
[yoy]</t>
      </text>
    </comment>
    <comment ref="AD5" authorId="0" shapeId="0">
      <text>
        <t>추정: 전년동기 × (1+0.2%) — g=최근 4분기 합 YoY 0.2% 클립(−30~+50%), 연차별 절반 감쇠(가정)
[yoy]</t>
      </text>
    </comment>
    <comment ref="AF5" authorId="0" shapeId="0">
      <text>
        <t>추정: 전년동기 × (1+0.2%) — g=최근 4분기 합 YoY 0.2% 클립(−30~+50%), 연차별 절반 감쇠(가정)
[yoy]</t>
      </text>
    </comment>
    <comment ref="AG5" authorId="0" shapeId="0">
      <text>
        <t>추정: 전년동기 × (1+0.2%) — g=최근 4분기 합 YoY 0.2% 클립(−30~+50%), 연차별 절반 감쇠(가정)
[yoy]</t>
      </text>
    </comment>
    <comment ref="AH5" authorId="0" shapeId="0">
      <text>
        <t>추정: 전년동기 × (1+0.1%) — g=최근 4분기 합 YoY 0.2% 클립(−30~+50%), 연차별 절반 감쇠(가정)
[yoy]</t>
      </text>
    </comment>
    <comment ref="AI5" authorId="0" shapeId="0">
      <text>
        <t>추정: 전년동기 × (1+0.1%) — g=최근 4분기 합 YoY 0.2% 클립(−30~+50%), 연차별 절반 감쇠(가정)
[yoy]</t>
      </text>
    </comment>
    <comment ref="AK5" authorId="0" shapeId="0">
      <text>
        <t>추정: 전년동기 × (1+0.1%) — g=최근 4분기 합 YoY 0.2% 클립(−30~+50%), 연차별 절반 감쇠(가정)
[yoy]</t>
      </text>
    </comment>
    <comment ref="AL5" authorId="0" shapeId="0">
      <text>
        <t>추정: 전년동기 × (1+0.1%) — g=최근 4분기 합 YoY 0.2% 클립(−30~+50%), 연차별 절반 감쇠(가정)
[yoy]</t>
      </text>
    </comment>
    <comment ref="AM5" authorId="0" shapeId="0">
      <text>
        <t>추정: 전년동기 × (1+0.1%) — g=최근 4분기 합 YoY 0.2% 클립(−30~+50%), 연차별 절반 감쇠(가정)
[yoy]</t>
      </text>
    </comment>
    <comment ref="AN5" authorId="0" shapeId="0">
      <text>
        <t>추정: 전년동기 × (1+0.1%) — g=최근 4분기 합 YoY 0.2% 클립(−30~+50%), 연차별 절반 감쇠(가정)
[yoy]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AC8" authorId="0" shapeId="0">
      <text>
        <t>추정: 매출액 × 판관비율 18.87%(최근 4분기 중위)
[ratio]</t>
      </text>
    </comment>
    <comment ref="AD8" authorId="0" shapeId="0">
      <text>
        <t>추정: 매출액 × 판관비율 18.87%(최근 4분기 중위)
[ratio]</t>
      </text>
    </comment>
    <comment ref="AF8" authorId="0" shapeId="0">
      <text>
        <t>추정: 매출액 × 판관비율 18.87%(최근 4분기 중위)
[ratio]</t>
      </text>
    </comment>
    <comment ref="AG8" authorId="0" shapeId="0">
      <text>
        <t>추정: 매출액 × 판관비율 18.87%(최근 4분기 중위)
[ratio]</t>
      </text>
    </comment>
    <comment ref="AH8" authorId="0" shapeId="0">
      <text>
        <t>추정: 매출액 × 판관비율 18.87%(최근 4분기 중위)
[ratio]</t>
      </text>
    </comment>
    <comment ref="AI8" authorId="0" shapeId="0">
      <text>
        <t>추정: 매출액 × 판관비율 18.87%(최근 4분기 중위)
[ratio]</t>
      </text>
    </comment>
    <comment ref="AK8" authorId="0" shapeId="0">
      <text>
        <t>추정: 매출액 × 판관비율 18.87%(최근 4분기 중위)
[ratio]</t>
      </text>
    </comment>
    <comment ref="AL8" authorId="0" shapeId="0">
      <text>
        <t>추정: 매출액 × 판관비율 18.87%(최근 4분기 중위)
[ratio]</t>
      </text>
    </comment>
    <comment ref="AM8" authorId="0" shapeId="0">
      <text>
        <t>추정: 매출액 × 판관비율 18.87%(최근 4분기 중위)
[ratio]</t>
      </text>
    </comment>
    <comment ref="AN8" authorId="0" shapeId="0">
      <text>
        <t>추정: 매출액 × 판관비율 18.87%(최근 4분기 중위)
[ratio]</t>
      </text>
    </comment>
    <comment ref="AC9" authorId="0" shapeId="0">
      <text>
        <t>추정: 매출액 × OPM(최근 8분기 OPM 중위 6.8% 유지(클립 −20~40%))
[ratio]</t>
      </text>
    </comment>
    <comment ref="AD9" authorId="0" shapeId="0">
      <text>
        <t>추정: 매출액 × OPM(최근 8분기 OPM 중위 6.8% 유지(클립 −20~40%))
[ratio]</t>
      </text>
    </comment>
    <comment ref="AF9" authorId="0" shapeId="0">
      <text>
        <t>추정: 매출액 × OPM(최근 8분기 OPM 중위 6.8% 유지(클립 −20~40%))
[ratio]</t>
      </text>
    </comment>
    <comment ref="AG9" authorId="0" shapeId="0">
      <text>
        <t>추정: 매출액 × OPM(최근 8분기 OPM 중위 6.8% 유지(클립 −20~40%))
[ratio]</t>
      </text>
    </comment>
    <comment ref="AH9" authorId="0" shapeId="0">
      <text>
        <t>추정: 매출액 × OPM(최근 8분기 OPM 중위 6.8% 유지(클립 −20~40%))
[ratio]</t>
      </text>
    </comment>
    <comment ref="AI9" authorId="0" shapeId="0">
      <text>
        <t>추정: 매출액 × OPM(최근 8분기 OPM 중위 6.8% 유지(클립 −20~40%))
[ratio]</t>
      </text>
    </comment>
    <comment ref="AK9" authorId="0" shapeId="0">
      <text>
        <t>추정: 매출액 × OPM(최근 8분기 OPM 중위 6.8% 유지(클립 −20~40%))
[ratio]</t>
      </text>
    </comment>
    <comment ref="AL9" authorId="0" shapeId="0">
      <text>
        <t>추정: 매출액 × OPM(최근 8분기 OPM 중위 6.8% 유지(클립 −20~40%))
[ratio]</t>
      </text>
    </comment>
    <comment ref="AM9" authorId="0" shapeId="0">
      <text>
        <t>추정: 매출액 × OPM(최근 8분기 OPM 중위 6.8% 유지(클립 −20~40%))
[ratio]</t>
      </text>
    </comment>
    <comment ref="AN9" authorId="0" shapeId="0">
      <text>
        <t>추정: 매출액 × OPM(최근 8분기 OPM 중위 6.8% 유지(클립 −20~40%))
[ratio]</t>
      </text>
    </comment>
    <comment ref="AC10" authorId="0" shapeId="0">
      <text>
        <t>추정: 최근 8분기 OPM 중위 6.8% 유지(클립 −20~40%)
[divide]</t>
      </text>
    </comment>
    <comment ref="AD10" authorId="0" shapeId="0">
      <text>
        <t>추정: 최근 8분기 OPM 중위 6.8% 유지(클립 −20~40%)
[divide]</t>
      </text>
    </comment>
    <comment ref="AF10" authorId="0" shapeId="0">
      <text>
        <t>추정: 최근 8분기 OPM 중위 6.8% 유지(클립 −20~40%)
[divide]</t>
      </text>
    </comment>
    <comment ref="AG10" authorId="0" shapeId="0">
      <text>
        <t>추정: 최근 8분기 OPM 중위 6.8% 유지(클립 −20~40%)
[divide]</t>
      </text>
    </comment>
    <comment ref="AH10" authorId="0" shapeId="0">
      <text>
        <t>추정: 최근 8분기 OPM 중위 6.8% 유지(클립 −20~40%)
[divide]</t>
      </text>
    </comment>
    <comment ref="AI10" authorId="0" shapeId="0">
      <text>
        <t>추정: 최근 8분기 OPM 중위 6.8% 유지(클립 −20~40%)
[divide]</t>
      </text>
    </comment>
    <comment ref="AK10" authorId="0" shapeId="0">
      <text>
        <t>추정: 최근 8분기 OPM 중위 6.8% 유지(클립 −20~40%)
[divide]</t>
      </text>
    </comment>
    <comment ref="AL10" authorId="0" shapeId="0">
      <text>
        <t>추정: 최근 8분기 OPM 중위 6.8% 유지(클립 −20~40%)
[divide]</t>
      </text>
    </comment>
    <comment ref="AM10" authorId="0" shapeId="0">
      <text>
        <t>추정: 최근 8분기 OPM 중위 6.8% 유지(클립 −20~40%)
[divide]</t>
      </text>
    </comment>
    <comment ref="AN10" authorId="0" shapeId="0">
      <text>
        <t>추정: 최근 8분기 OPM 중위 6.8% 유지(클립 −20~40%)
[divide]</t>
      </text>
    </comment>
    <comment ref="AC11" authorId="0" shapeId="0">
      <text>
        <t>추정: 이자손익 + 외환손익 0 + 파생상품손익 0 + 기타금융손익 +0.00억(최근 4분기 중위 +7150.00억이 이자손익 추정 -722.67억의 50% 초과 → 0(경고)) (항등식); 이자손익 = 이자발생자산 104182억 × 0.43%(주석 이자수익 ÷ 평균 이자발생자산(2025Q3~2026Q2)) − 총차입금 52655억 × 6.35%(주석 이자비용 ÷ 평균 총차입금(2025Q3~2026Q2)) (연율) ÷ 4; 환율 효과는 환관련손익 행 별도
[identity]</t>
      </text>
    </comment>
    <comment ref="AD11" authorId="0" shapeId="0">
      <text>
        <t>추정: 이자손익 + 외환손익 0 + 파생상품손익 0 + 기타금융손익 +0.00억(최근 4분기 중위 +7150.00억이 이자손익 추정 -722.67억의 50% 초과 → 0(경고)) (항등식); 이자손익 = 이자발생자산 104533억 × 0.43%(주석 이자수익 ÷ 평균 이자발생자산(2025Q3~2026Q2)) − 총차입금 52655억 × 6.35%(주석 이자비용 ÷ 평균 총차입금(2025Q3~2026Q2)) (연율) ÷ 4; 환율 효과는 환관련손익 행 별도
[identity]</t>
      </text>
    </comment>
    <comment ref="AF11" authorId="0" shapeId="0">
      <text>
        <t>추정: 이자손익 + 외환손익 0 + 파생상품손익 0 + 기타금융손익 +0.00억(최근 4분기 중위 +7150.00억이 이자손익 추정 -722.67억의 50% 초과 → 0(경고)) (항등식); 이자손익 = 이자발생자산 104848억 × 0.43%(주석 이자수익 ÷ 평균 이자발생자산(2025Q3~2026Q2)) − 총차입금 52655억 × 6.35%(주석 이자비용 ÷ 평균 총차입금(2025Q3~2026Q2)) (연율) ÷ 4; 환율 효과는 환관련손익 행 별도
[identity]</t>
      </text>
    </comment>
    <comment ref="AG11" authorId="0" shapeId="0">
      <text>
        <t>추정: 이자손익 + 외환손익 0 + 파생상품손익 0 + 기타금융손익 +0.00억(최근 4분기 중위 +7150.00억이 이자손익 추정 -722.67억의 50% 초과 → 0(경고)) (항등식); 이자손익 = 이자발생자산 105201억 × 0.43%(주석 이자수익 ÷ 평균 이자발생자산(2025Q3~2026Q2)) − 총차입금 52655억 × 6.35%(주석 이자비용 ÷ 평균 총차입금(2025Q3~2026Q2)) (연율) ÷ 4; 환율 효과는 환관련손익 행 별도
[identity]</t>
      </text>
    </comment>
    <comment ref="AH11" authorId="0" shapeId="0">
      <text>
        <t>추정: 이자손익 + 외환손익 0 + 파생상품손익 0 + 기타금융손익 +0.00억(최근 4분기 중위 +7150.00억이 이자손익 추정 -722.67억의 50% 초과 → 0(경고)) (항등식); 이자손익 = 이자발생자산 104547억 × 0.43%(주석 이자수익 ÷ 평균 이자발생자산(2025Q3~2026Q2)) − 총차입금 52655억 × 6.35%(주석 이자비용 ÷ 평균 총차입금(2025Q3~2026Q2)) (연율) ÷ 4; 환율 효과는 환관련손익 행 별도
[identity]</t>
      </text>
    </comment>
    <comment ref="AI11" authorId="0" shapeId="0">
      <text>
        <t>추정: 이자손익 + 외환손익 0 + 파생상품손익 0 + 기타금융손익 +0.00억(최근 4분기 중위 +7150.00억이 이자손익 추정 -722.67억의 50% 초과 → 0(경고)) (항등식); 이자손익 = 이자발생자산 104899억 × 0.43%(주석 이자수익 ÷ 평균 이자발생자산(2025Q3~2026Q2)) − 총차입금 52655억 × 6.35%(주석 이자비용 ÷ 평균 총차입금(2025Q3~2026Q2)) (연율) ÷ 4; 환율 효과는 환관련손익 행 별도
[identity]</t>
      </text>
    </comment>
    <comment ref="AK11" authorId="0" shapeId="0">
      <text>
        <t>추정: 이자손익 + 외환손익 0 + 파생상품손익 0 + 기타금융손익 +0.00억(최근 4분기 중위 +7150.00억이 이자손익 추정 -722.67억의 50% 초과 → 0(경고)) (항등식); 이자손익 = 이자발생자산 105216억 × 0.43%(주석 이자수익 ÷ 평균 이자발생자산(2025Q3~2026Q2)) − 총차입금 52655억 × 6.35%(주석 이자비용 ÷ 평균 총차입금(2025Q3~2026Q2)) (연율) ÷ 4; 환율 효과는 환관련손익 행 별도
[identity]</t>
      </text>
    </comment>
    <comment ref="AL11" authorId="0" shapeId="0">
      <text>
        <t>추정: 이자손익 + 외환손익 0 + 파생상품손익 0 + 기타금융손익 +0.00억(최근 4분기 중위 +7150.00억이 이자손익 추정 -722.67억의 50% 초과 → 0(경고)) (항등식); 이자손익 = 이자발생자산 105570억 × 0.43%(주석 이자수익 ÷ 평균 이자발생자산(2025Q3~2026Q2)) − 총차입금 52655억 × 6.35%(주석 이자비용 ÷ 평균 총차입금(2025Q3~2026Q2)) (연율) ÷ 4; 환율 효과는 환관련손익 행 별도
[identity]</t>
      </text>
    </comment>
    <comment ref="AM11" authorId="0" shapeId="0">
      <text>
        <t>추정: 이자손익 + 외환손익 0 + 파생상품손익 0 + 기타금융손익 +0.00억(최근 4분기 중위 +7150.00억이 이자손익 추정 -722.67억의 50% 초과 → 0(경고)) (항등식); 이자손익 = 이자발생자산 104917억 × 0.43%(주석 이자수익 ÷ 평균 이자발생자산(2025Q3~2026Q2)) − 총차입금 52655억 × 6.35%(주석 이자비용 ÷ 평균 총차입금(2025Q3~2026Q2)) (연율) ÷ 4; 환율 효과는 환관련손익 행 별도
[identity]</t>
      </text>
    </comment>
    <comment ref="AN11" authorId="0" shapeId="0">
      <text>
        <t>추정: 이자손익 + 외환손익 0 + 파생상품손익 0 + 기타금융손익 +0.00억(최근 4분기 중위 +7150.00억이 이자손익 추정 -722.67억의 50% 초과 → 0(경고)) (항등식); 이자손익 = 이자발생자산 105270억 × 0.43%(주석 이자수익 ÷ 평균 이자발생자산(2025Q3~2026Q2)) − 총차입금 52655억 × 6.35%(주석 이자비용 ÷ 평균 총차입금(2025Q3~2026Q2)) (연율) ÷ 4; 환율 효과는 환관련손익 행 별도
[identity]</t>
      </text>
    </comment>
    <comment ref="AC12" authorId="0" shapeId="0">
      <text>
        <t>추정: 이자발생자산 104182억 × 0.43%(주석 이자수익 ÷ 평균 이자발생자산(2025Q3~2026Q2)) − 총차입금 52655억 × 6.35%(주석 이자비용 ÷ 평균 총차입금(2025Q3~2026Q2)) (연율) ÷ 4
[interest]</t>
      </text>
    </comment>
    <comment ref="AD12" authorId="0" shapeId="0">
      <text>
        <t>추정: 이자발생자산 104533억 × 0.43%(주석 이자수익 ÷ 평균 이자발생자산(2025Q3~2026Q2)) − 총차입금 52655억 × 6.35%(주석 이자비용 ÷ 평균 총차입금(2025Q3~2026Q2)) (연율) ÷ 4
[interest]</t>
      </text>
    </comment>
    <comment ref="AF12" authorId="0" shapeId="0">
      <text>
        <t>추정: 이자발생자산 104848억 × 0.43%(주석 이자수익 ÷ 평균 이자발생자산(2025Q3~2026Q2)) − 총차입금 52655억 × 6.35%(주석 이자비용 ÷ 평균 총차입금(2025Q3~2026Q2)) (연율) ÷ 4
[interest]</t>
      </text>
    </comment>
    <comment ref="AG12" authorId="0" shapeId="0">
      <text>
        <t>추정: 이자발생자산 105201억 × 0.43%(주석 이자수익 ÷ 평균 이자발생자산(2025Q3~2026Q2)) − 총차입금 52655억 × 6.35%(주석 이자비용 ÷ 평균 총차입금(2025Q3~2026Q2)) (연율) ÷ 4
[interest]</t>
      </text>
    </comment>
    <comment ref="AH12" authorId="0" shapeId="0">
      <text>
        <t>추정: 이자발생자산 104547억 × 0.43%(주석 이자수익 ÷ 평균 이자발생자산(2025Q3~2026Q2)) − 총차입금 52655억 × 6.35%(주석 이자비용 ÷ 평균 총차입금(2025Q3~2026Q2)) (연율) ÷ 4
[interest]</t>
      </text>
    </comment>
    <comment ref="AI12" authorId="0" shapeId="0">
      <text>
        <t>추정: 이자발생자산 104899억 × 0.43%(주석 이자수익 ÷ 평균 이자발생자산(2025Q3~2026Q2)) − 총차입금 52655억 × 6.35%(주석 이자비용 ÷ 평균 총차입금(2025Q3~2026Q2)) (연율) ÷ 4
[interest]</t>
      </text>
    </comment>
    <comment ref="AK12" authorId="0" shapeId="0">
      <text>
        <t>추정: 이자발생자산 105216억 × 0.43%(주석 이자수익 ÷ 평균 이자발생자산(2025Q3~2026Q2)) − 총차입금 52655억 × 6.35%(주석 이자비용 ÷ 평균 총차입금(2025Q3~2026Q2)) (연율) ÷ 4
[interest]</t>
      </text>
    </comment>
    <comment ref="AL12" authorId="0" shapeId="0">
      <text>
        <t>추정: 이자발생자산 105570억 × 0.43%(주석 이자수익 ÷ 평균 이자발생자산(2025Q3~2026Q2)) − 총차입금 52655억 × 6.35%(주석 이자비용 ÷ 평균 총차입금(2025Q3~2026Q2)) (연율) ÷ 4
[interest]</t>
      </text>
    </comment>
    <comment ref="AM12" authorId="0" shapeId="0">
      <text>
        <t>추정: 이자발생자산 104917억 × 0.43%(주석 이자수익 ÷ 평균 이자발생자산(2025Q3~2026Q2)) − 총차입금 52655억 × 6.35%(주석 이자비용 ÷ 평균 총차입금(2025Q3~2026Q2)) (연율) ÷ 4
[interest]</t>
      </text>
    </comment>
    <comment ref="AN12" authorId="0" shapeId="0">
      <text>
        <t>추정: 이자발생자산 105270억 × 0.43%(주석 이자수익 ÷ 평균 이자발생자산(2025Q3~2026Q2)) − 총차입금 52655억 × 6.35%(주석 이자비용 ÷ 평균 총차입금(2025Q3~2026Q2)) (연율) ÷ 4
[interest]</t>
      </text>
    </comment>
    <comment ref="G13" authorId="0" shapeId="0">
      <text>
        <t>BS 계정 합·차: +외환차익 -외환차손 +외화환산이익 -외화환산손실</t>
      </text>
    </comment>
    <comment ref="H13" authorId="0" shapeId="0">
      <text>
        <t>BS 계정 합·차: +외환차익 -외환차손 +외화환산이익 -외화환산손실</t>
      </text>
    </comment>
    <comment ref="I13" authorId="0" shapeId="0">
      <text>
        <t>BS 계정 합·차: +외환차익 -외환차손 +외화환산이익 -외화환산손실</t>
      </text>
    </comment>
    <comment ref="J13" authorId="0" shapeId="0">
      <text>
        <t>BS 계정 합·차: +외환차익 -외환차손 +외화환산이익 -외화환산손실</t>
      </text>
    </comment>
    <comment ref="L13" authorId="0" shapeId="0">
      <text>
        <t>BS 계정 합·차: +외환차익 -외환차손 +외화환산이익 -외화환산손실</t>
      </text>
    </comment>
    <comment ref="M13" authorId="0" shapeId="0">
      <text>
        <t>BS 계정 합·차: +외환차익 -외환차손 +외화환산이익 -외화환산손실</t>
      </text>
    </comment>
    <comment ref="N13" authorId="0" shapeId="0">
      <text>
        <t>BS 계정 합·차: +외환차익 -외환차손 +외화환산이익 -외화환산손실</t>
      </text>
    </comment>
    <comment ref="O13" authorId="0" shapeId="0">
      <text>
        <t>BS 계정 합·차: +외환차익 -외환차손 +외화환산이익 -외화환산손실</t>
      </text>
    </comment>
    <comment ref="Q13" authorId="0" shapeId="0">
      <text>
        <t>BS 계정 합·차: +외환차익 -외환차손 +외화환산이익 -외화환산손실</t>
      </text>
    </comment>
    <comment ref="R13" authorId="0" shapeId="0">
      <text>
        <t>BS 계정 합·차: +외환차익 -외환차손 +외화환산이익 -외화환산손실</t>
      </text>
    </comment>
    <comment ref="S13" authorId="0" shapeId="0">
      <text>
        <t>BS 계정 합·차: +외환차익 -외환차손 +외화환산이익 -외화환산손실</t>
      </text>
    </comment>
    <comment ref="T13" authorId="0" shapeId="0">
      <text>
        <t>BS 계정 합·차: +외환차익 -외환차손 +외화환산이익 -외화환산손실</t>
      </text>
    </comment>
    <comment ref="V13" authorId="0" shapeId="0">
      <text>
        <t>BS 계정 합·차: +외환차익 -외환차손 +외화환산이익 -외화환산손실</t>
      </text>
    </comment>
    <comment ref="W13" authorId="0" shapeId="0">
      <text>
        <t>BS 계정 합·차: +외환차익 -외환차손 +외화환산이익 -외화환산손실</t>
      </text>
    </comment>
    <comment ref="X13" authorId="0" shapeId="0">
      <text>
        <t>BS 계정 합·차: +외환차익 -외환차손 +외화환산이익 -외화환산손실</t>
      </text>
    </comment>
    <comment ref="Y13" authorId="0" shapeId="0">
      <text>
        <t>BS 계정 합·차: +외환차익 -외환차손 +외화환산이익 -외화환산손실</t>
      </text>
    </comment>
    <comment ref="AA13" authorId="0" shapeId="0">
      <text>
        <t>BS 계정 합·차: +외환차익 -외환차손 +외화환산이익 -외화환산손실</t>
      </text>
    </comment>
    <comment ref="AB13" authorId="0" shapeId="0">
      <text>
        <t>BS 계정 합·차: +외환차익 -외환차손 +외화환산이익 -외화환산손실</t>
      </text>
    </comment>
    <comment ref="AC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D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F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G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H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I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K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L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M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N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G14" authorId="0" shapeId="0">
      <text>
        <t>BS 계정 합·차: +파생상품이익 -파생상품손실</t>
      </text>
    </comment>
    <comment ref="H14" authorId="0" shapeId="0">
      <text>
        <t>BS 계정 합·차: +파생상품이익 -파생상품손실</t>
      </text>
    </comment>
    <comment ref="I14" authorId="0" shapeId="0">
      <text>
        <t>BS 계정 합·차: +파생상품이익 -파생상품손실</t>
      </text>
    </comment>
    <comment ref="J14" authorId="0" shapeId="0">
      <text>
        <t>BS 계정 합·차: +파생상품이익 -파생상품손실</t>
      </text>
    </comment>
    <comment ref="L14" authorId="0" shapeId="0">
      <text>
        <t>BS 계정 합·차: +파생상품이익 -파생상품손실</t>
      </text>
    </comment>
    <comment ref="M14" authorId="0" shapeId="0">
      <text>
        <t>BS 계정 합·차: +파생상품이익 -파생상품손실</t>
      </text>
    </comment>
    <comment ref="N14" authorId="0" shapeId="0">
      <text>
        <t>BS 계정 합·차: +파생상품이익 -파생상품손실</t>
      </text>
    </comment>
    <comment ref="O14" authorId="0" shapeId="0">
      <text>
        <t>BS 계정 합·차: +파생상품이익 -파생상품손실</t>
      </text>
    </comment>
    <comment ref="Q14" authorId="0" shapeId="0">
      <text>
        <t>BS 계정 합·차: +파생상품이익 -파생상품손실</t>
      </text>
    </comment>
    <comment ref="R14" authorId="0" shapeId="0">
      <text>
        <t>BS 계정 합·차: +파생상품이익 -파생상품손실</t>
      </text>
    </comment>
    <comment ref="S14" authorId="0" shapeId="0">
      <text>
        <t>BS 계정 합·차: +파생상품이익 -파생상품손실</t>
      </text>
    </comment>
    <comment ref="T14" authorId="0" shapeId="0">
      <text>
        <t>BS 계정 합·차: +파생상품이익 -파생상품손실</t>
      </text>
    </comment>
    <comment ref="V14" authorId="0" shapeId="0">
      <text>
        <t>BS 계정 합·차: +파생상품이익 -파생상품손실</t>
      </text>
    </comment>
    <comment ref="W14" authorId="0" shapeId="0">
      <text>
        <t>BS 계정 합·차: +파생상품이익 -파생상품손실</t>
      </text>
    </comment>
    <comment ref="X14" authorId="0" shapeId="0">
      <text>
        <t>BS 계정 합·차: +파생상품이익 -파생상품손실</t>
      </text>
    </comment>
    <comment ref="Y14" authorId="0" shapeId="0">
      <text>
        <t>BS 계정 합·차: +파생상품이익 -파생상품손실</t>
      </text>
    </comment>
    <comment ref="AA14" authorId="0" shapeId="0">
      <text>
        <t>BS 계정 합·차: +파생상품이익 -파생상품손실</t>
      </text>
    </comment>
    <comment ref="AB14" authorId="0" shapeId="0">
      <text>
        <t>BS 계정 합·차: +파생상품이익 -파생상품손실</t>
      </text>
    </comment>
    <comment ref="AC14" authorId="0" shapeId="0">
      <text>
        <t>추정: 파생상품 평가·거래손익 0 가정
[abs]</t>
      </text>
    </comment>
    <comment ref="AD14" authorId="0" shapeId="0">
      <text>
        <t>추정: 파생상품 평가·거래손익 0 가정
[abs]</t>
      </text>
    </comment>
    <comment ref="AF14" authorId="0" shapeId="0">
      <text>
        <t>추정: 파생상품 평가·거래손익 0 가정
[abs]</t>
      </text>
    </comment>
    <comment ref="AG14" authorId="0" shapeId="0">
      <text>
        <t>추정: 파생상품 평가·거래손익 0 가정
[abs]</t>
      </text>
    </comment>
    <comment ref="AH14" authorId="0" shapeId="0">
      <text>
        <t>추정: 파생상품 평가·거래손익 0 가정
[abs]</t>
      </text>
    </comment>
    <comment ref="AI14" authorId="0" shapeId="0">
      <text>
        <t>추정: 파생상품 평가·거래손익 0 가정
[abs]</t>
      </text>
    </comment>
    <comment ref="AK14" authorId="0" shapeId="0">
      <text>
        <t>추정: 파생상품 평가·거래손익 0 가정
[abs]</t>
      </text>
    </comment>
    <comment ref="AL14" authorId="0" shapeId="0">
      <text>
        <t>추정: 파생상품 평가·거래손익 0 가정
[abs]</t>
      </text>
    </comment>
    <comment ref="AM14" authorId="0" shapeId="0">
      <text>
        <t>추정: 파생상품 평가·거래손익 0 가정
[abs]</t>
      </text>
    </comment>
    <comment ref="AN14" authorId="0" shapeId="0">
      <text>
        <t>추정: 파생상품 평가·거래손익 0 가정
[abs]</t>
      </text>
    </comment>
    <comment ref="AC15" authorId="0" shapeId="0">
      <text>
        <t>추정: 최근 4분기 중위 +7150.00억이 이자손익 추정 -722.67억의 50% 초과 → 0(경고)
[abs]</t>
      </text>
    </comment>
    <comment ref="AD15" authorId="0" shapeId="0">
      <text>
        <t>추정: 최근 4분기 중위 +7150.00억이 이자손익 추정 -722.67억의 50% 초과 → 0(경고)
[abs]</t>
      </text>
    </comment>
    <comment ref="AF15" authorId="0" shapeId="0">
      <text>
        <t>추정: 최근 4분기 중위 +7150.00억이 이자손익 추정 -722.67억의 50% 초과 → 0(경고)
[abs]</t>
      </text>
    </comment>
    <comment ref="AG15" authorId="0" shapeId="0">
      <text>
        <t>추정: 최근 4분기 중위 +7150.00억이 이자손익 추정 -722.67억의 50% 초과 → 0(경고)
[abs]</t>
      </text>
    </comment>
    <comment ref="AH15" authorId="0" shapeId="0">
      <text>
        <t>추정: 최근 4분기 중위 +7150.00억이 이자손익 추정 -722.67억의 50% 초과 → 0(경고)
[abs]</t>
      </text>
    </comment>
    <comment ref="AI15" authorId="0" shapeId="0">
      <text>
        <t>추정: 최근 4분기 중위 +7150.00억이 이자손익 추정 -722.67억의 50% 초과 → 0(경고)
[abs]</t>
      </text>
    </comment>
    <comment ref="AK15" authorId="0" shapeId="0">
      <text>
        <t>추정: 최근 4분기 중위 +7150.00억이 이자손익 추정 -722.67억의 50% 초과 → 0(경고)
[abs]</t>
      </text>
    </comment>
    <comment ref="AL15" authorId="0" shapeId="0">
      <text>
        <t>추정: 최근 4분기 중위 +7150.00억이 이자손익 추정 -722.67억의 50% 초과 → 0(경고)
[abs]</t>
      </text>
    </comment>
    <comment ref="AM15" authorId="0" shapeId="0">
      <text>
        <t>추정: 최근 4분기 중위 +7150.00억이 이자손익 추정 -722.67억의 50% 초과 → 0(경고)
[abs]</t>
      </text>
    </comment>
    <comment ref="AN15" authorId="0" shapeId="0">
      <text>
        <t>추정: 최근 4분기 중위 +7150.00억이 이자손익 추정 -722.67억의 50% 초과 → 0(경고)
[abs]</t>
      </text>
    </comment>
    <comment ref="AC16" authorId="0" shapeId="0">
      <text>
        <t>추정: 일회성 미가정 → 0
[abs]</t>
      </text>
    </comment>
    <comment ref="AD16" authorId="0" shapeId="0">
      <text>
        <t>추정: 일회성 미가정 → 0
[abs]</t>
      </text>
    </comment>
    <comment ref="AF16" authorId="0" shapeId="0">
      <text>
        <t>추정: 일회성 미가정 → 0
[abs]</t>
      </text>
    </comment>
    <comment ref="AG16" authorId="0" shapeId="0">
      <text>
        <t>추정: 일회성 미가정 → 0
[abs]</t>
      </text>
    </comment>
    <comment ref="AH16" authorId="0" shapeId="0">
      <text>
        <t>추정: 일회성 미가정 → 0
[abs]</t>
      </text>
    </comment>
    <comment ref="AI16" authorId="0" shapeId="0">
      <text>
        <t>추정: 일회성 미가정 → 0
[abs]</t>
      </text>
    </comment>
    <comment ref="AK16" authorId="0" shapeId="0">
      <text>
        <t>추정: 일회성 미가정 → 0
[abs]</t>
      </text>
    </comment>
    <comment ref="AL16" authorId="0" shapeId="0">
      <text>
        <t>추정: 일회성 미가정 → 0
[abs]</t>
      </text>
    </comment>
    <comment ref="AM16" authorId="0" shapeId="0">
      <text>
        <t>추정: 일회성 미가정 → 0
[abs]</t>
      </text>
    </comment>
    <comment ref="AN16" authorId="0" shapeId="0">
      <text>
        <t>추정: 일회성 미가정 → 0
[abs]</t>
      </text>
    </comment>
    <comment ref="AC17" authorId="0" shapeId="0">
      <text>
        <t>추정: 최근 4분기 중위
[abs]</t>
      </text>
    </comment>
    <comment ref="AD17" authorId="0" shapeId="0">
      <text>
        <t>추정: 최근 4분기 중위
[abs]</t>
      </text>
    </comment>
    <comment ref="AF17" authorId="0" shapeId="0">
      <text>
        <t>추정: 최근 4분기 중위
[abs]</t>
      </text>
    </comment>
    <comment ref="AG17" authorId="0" shapeId="0">
      <text>
        <t>추정: 최근 4분기 중위
[abs]</t>
      </text>
    </comment>
    <comment ref="AH17" authorId="0" shapeId="0">
      <text>
        <t>추정: 최근 4분기 중위
[abs]</t>
      </text>
    </comment>
    <comment ref="AI17" authorId="0" shapeId="0">
      <text>
        <t>추정: 최근 4분기 중위
[abs]</t>
      </text>
    </comment>
    <comment ref="AK17" authorId="0" shapeId="0">
      <text>
        <t>추정: 최근 4분기 중위
[abs]</t>
      </text>
    </comment>
    <comment ref="AL17" authorId="0" shapeId="0">
      <text>
        <t>추정: 최근 4분기 중위
[abs]</t>
      </text>
    </comment>
    <comment ref="AM17" authorId="0" shapeId="0">
      <text>
        <t>추정: 최근 4분기 중위
[abs]</t>
      </text>
    </comment>
    <comment ref="AN17" authorId="0" shapeId="0">
      <text>
        <t>추정: 최근 4분기 중위
[abs]</t>
      </text>
    </comment>
    <comment ref="AC18" authorId="0" shapeId="0">
      <text>
        <t>추정: 영업이익 + 금융손익 + 기타영업외 + 지분법 + 환관련(항등식)
[identity]</t>
      </text>
    </comment>
    <comment ref="AD18" authorId="0" shapeId="0">
      <text>
        <t>추정: 영업이익 + 금융손익 + 기타영업외 + 지분법 + 환관련(항등식)
[identity]</t>
      </text>
    </comment>
    <comment ref="AF18" authorId="0" shapeId="0">
      <text>
        <t>추정: 영업이익 + 금융손익 + 기타영업외 + 지분법 + 환관련(항등식)
[identity]</t>
      </text>
    </comment>
    <comment ref="AG18" authorId="0" shapeId="0">
      <text>
        <t>추정: 영업이익 + 금융손익 + 기타영업외 + 지분법 + 환관련(항등식)
[identity]</t>
      </text>
    </comment>
    <comment ref="AH18" authorId="0" shapeId="0">
      <text>
        <t>추정: 영업이익 + 금융손익 + 기타영업외 + 지분법 + 환관련(항등식)
[identity]</t>
      </text>
    </comment>
    <comment ref="AI18" authorId="0" shapeId="0">
      <text>
        <t>추정: 영업이익 + 금융손익 + 기타영업외 + 지분법 + 환관련(항등식)
[identity]</t>
      </text>
    </comment>
    <comment ref="AK18" authorId="0" shapeId="0">
      <text>
        <t>추정: 영업이익 + 금융손익 + 기타영업외 + 지분법 + 환관련(항등식)
[identity]</t>
      </text>
    </comment>
    <comment ref="AL18" authorId="0" shapeId="0">
      <text>
        <t>추정: 영업이익 + 금융손익 + 기타영업외 + 지분법 + 환관련(항등식)
[identity]</t>
      </text>
    </comment>
    <comment ref="AM18" authorId="0" shapeId="0">
      <text>
        <t>추정: 영업이익 + 금융손익 + 기타영업외 + 지분법 + 환관련(항등식)
[identity]</t>
      </text>
    </comment>
    <comment ref="AN18" authorId="0" shapeId="0">
      <text>
        <t>추정: 영업이익 + 금융손익 + 기타영업외 + 지분법 + 환관련(항등식)
[identity]</t>
      </text>
    </comment>
    <comment ref="AC19" authorId="0" shapeId="0">
      <text>
        <t>추정: max(세전, 0) × 세율 22.0%(최근 12분기 유효세율 29.8% 가 5~27% 밖; 세전 &gt; 0 분기 중위 31.2% 도 5~27% 밖 → 법정세율 근사 22% 가정)
[tax]</t>
      </text>
    </comment>
    <comment ref="AD19" authorId="0" shapeId="0">
      <text>
        <t>추정: max(세전, 0) × 세율 22.0%(최근 12분기 유효세율 29.8% 가 5~27% 밖; 세전 &gt; 0 분기 중위 31.2% 도 5~27% 밖 → 법정세율 근사 22% 가정)
[tax]</t>
      </text>
    </comment>
    <comment ref="AF19" authorId="0" shapeId="0">
      <text>
        <t>추정: max(세전, 0) × 세율 22.0%(최근 12분기 유효세율 29.8% 가 5~27% 밖; 세전 &gt; 0 분기 중위 31.2% 도 5~27% 밖 → 법정세율 근사 22% 가정)
[tax]</t>
      </text>
    </comment>
    <comment ref="AG19" authorId="0" shapeId="0">
      <text>
        <t>추정: max(세전, 0) × 세율 22.0%(최근 12분기 유효세율 29.8% 가 5~27% 밖; 세전 &gt; 0 분기 중위 31.2% 도 5~27% 밖 → 법정세율 근사 22% 가정)
[tax]</t>
      </text>
    </comment>
    <comment ref="AH19" authorId="0" shapeId="0">
      <text>
        <t>추정: max(세전, 0) × 세율 22.0%(최근 12분기 유효세율 29.8% 가 5~27% 밖; 세전 &gt; 0 분기 중위 31.2% 도 5~27% 밖 → 법정세율 근사 22% 가정)
[tax]</t>
      </text>
    </comment>
    <comment ref="AI19" authorId="0" shapeId="0">
      <text>
        <t>추정: max(세전, 0) × 세율 22.0%(최근 12분기 유효세율 29.8% 가 5~27% 밖; 세전 &gt; 0 분기 중위 31.2% 도 5~27% 밖 → 법정세율 근사 22% 가정)
[tax]</t>
      </text>
    </comment>
    <comment ref="AK19" authorId="0" shapeId="0">
      <text>
        <t>추정: max(세전, 0) × 세율 22.0%(최근 12분기 유효세율 29.8% 가 5~27% 밖; 세전 &gt; 0 분기 중위 31.2% 도 5~27% 밖 → 법정세율 근사 22% 가정)
[tax]</t>
      </text>
    </comment>
    <comment ref="AL19" authorId="0" shapeId="0">
      <text>
        <t>추정: max(세전, 0) × 세율 22.0%(최근 12분기 유효세율 29.8% 가 5~27% 밖; 세전 &gt; 0 분기 중위 31.2% 도 5~27% 밖 → 법정세율 근사 22% 가정)
[tax]</t>
      </text>
    </comment>
    <comment ref="AM19" authorId="0" shapeId="0">
      <text>
        <t>추정: max(세전, 0) × 세율 22.0%(최근 12분기 유효세율 29.8% 가 5~27% 밖; 세전 &gt; 0 분기 중위 31.2% 도 5~27% 밖 → 법정세율 근사 22% 가정)
[tax]</t>
      </text>
    </comment>
    <comment ref="AN19" authorId="0" shapeId="0">
      <text>
        <t>추정: max(세전, 0) × 세율 22.0%(최근 12분기 유효세율 29.8% 가 5~27% 밖; 세전 &gt; 0 분기 중위 31.2% 도 5~27% 밖 → 법정세율 근사 22% 가정)
[tax]</t>
      </text>
    </comment>
    <comment ref="AC20" authorId="0" shapeId="0">
      <text>
        <t>추정: 세전이익 − 법인세비용(항등식)
[identity]</t>
      </text>
    </comment>
    <comment ref="AD20" authorId="0" shapeId="0">
      <text>
        <t>추정: 세전이익 − 법인세비용(항등식)
[identity]</t>
      </text>
    </comment>
    <comment ref="AF20" authorId="0" shapeId="0">
      <text>
        <t>추정: 세전이익 − 법인세비용(항등식)
[identity]</t>
      </text>
    </comment>
    <comment ref="AG20" authorId="0" shapeId="0">
      <text>
        <t>추정: 세전이익 − 법인세비용(항등식)
[identity]</t>
      </text>
    </comment>
    <comment ref="AH20" authorId="0" shapeId="0">
      <text>
        <t>추정: 세전이익 − 법인세비용(항등식)
[identity]</t>
      </text>
    </comment>
    <comment ref="AI20" authorId="0" shapeId="0">
      <text>
        <t>추정: 세전이익 − 법인세비용(항등식)
[identity]</t>
      </text>
    </comment>
    <comment ref="AK20" authorId="0" shapeId="0">
      <text>
        <t>추정: 세전이익 − 법인세비용(항등식)
[identity]</t>
      </text>
    </comment>
    <comment ref="AL20" authorId="0" shapeId="0">
      <text>
        <t>추정: 세전이익 − 법인세비용(항등식)
[identity]</t>
      </text>
    </comment>
    <comment ref="AM20" authorId="0" shapeId="0">
      <text>
        <t>추정: 세전이익 − 법인세비용(항등식)
[identity]</t>
      </text>
    </comment>
    <comment ref="AN20" authorId="0" shapeId="0">
      <text>
        <t>추정: 세전이익 − 법인세비용(항등식)
[identity]</t>
      </text>
    </comment>
    <comment ref="AC21" authorId="0" shapeId="0">
      <text>
        <t>추정: 당기순이익 × (1 − 비지배 비중 0.0%, 최근 8분기 실측)
[ratio]</t>
      </text>
    </comment>
    <comment ref="AD21" authorId="0" shapeId="0">
      <text>
        <t>추정: 당기순이익 × (1 − 비지배 비중 0.0%, 최근 8분기 실측)
[ratio]</t>
      </text>
    </comment>
    <comment ref="AF21" authorId="0" shapeId="0">
      <text>
        <t>추정: 당기순이익 × (1 − 비지배 비중 0.0%, 최근 8분기 실측)
[ratio]</t>
      </text>
    </comment>
    <comment ref="AG21" authorId="0" shapeId="0">
      <text>
        <t>추정: 당기순이익 × (1 − 비지배 비중 0.0%, 최근 8분기 실측)
[ratio]</t>
      </text>
    </comment>
    <comment ref="AH21" authorId="0" shapeId="0">
      <text>
        <t>추정: 당기순이익 × (1 − 비지배 비중 0.0%, 최근 8분기 실측)
[ratio]</t>
      </text>
    </comment>
    <comment ref="AI21" authorId="0" shapeId="0">
      <text>
        <t>추정: 당기순이익 × (1 − 비지배 비중 0.0%, 최근 8분기 실측)
[ratio]</t>
      </text>
    </comment>
    <comment ref="AK21" authorId="0" shapeId="0">
      <text>
        <t>추정: 당기순이익 × (1 − 비지배 비중 0.0%, 최근 8분기 실측)
[ratio]</t>
      </text>
    </comment>
    <comment ref="AL21" authorId="0" shapeId="0">
      <text>
        <t>추정: 당기순이익 × (1 − 비지배 비중 0.0%, 최근 8분기 실측)
[ratio]</t>
      </text>
    </comment>
    <comment ref="AM21" authorId="0" shapeId="0">
      <text>
        <t>추정: 당기순이익 × (1 − 비지배 비중 0.0%, 최근 8분기 실측)
[ratio]</t>
      </text>
    </comment>
    <comment ref="AN21" authorId="0" shapeId="0">
      <text>
        <t>추정: 당기순이익 × (1 − 비지배 비중 0.0%, 최근 8분기 실측)
[ratio]</t>
      </text>
    </comment>
    <comment ref="AC23" authorId="0" shapeId="0">
      <text>
        <t>추정: 최근 4분기 감가상각비 중위 유지
[abs]</t>
      </text>
    </comment>
    <comment ref="AD23" authorId="0" shapeId="0">
      <text>
        <t>추정: 최근 4분기 감가상각비 중위 유지
[abs]</t>
      </text>
    </comment>
    <comment ref="AF23" authorId="0" shapeId="0">
      <text>
        <t>추정: 최근 4분기 감가상각비 중위 유지
[abs]</t>
      </text>
    </comment>
    <comment ref="AG23" authorId="0" shapeId="0">
      <text>
        <t>추정: 최근 4분기 감가상각비 중위 유지
[abs]</t>
      </text>
    </comment>
    <comment ref="AH23" authorId="0" shapeId="0">
      <text>
        <t>추정: 최근 4분기 감가상각비 중위 유지
[abs]</t>
      </text>
    </comment>
    <comment ref="AI23" authorId="0" shapeId="0">
      <text>
        <t>추정: 최근 4분기 감가상각비 중위 유지
[abs]</t>
      </text>
    </comment>
    <comment ref="AK23" authorId="0" shapeId="0">
      <text>
        <t>추정: 최근 4분기 감가상각비 중위 유지
[abs]</t>
      </text>
    </comment>
    <comment ref="AL23" authorId="0" shapeId="0">
      <text>
        <t>추정: 최근 4분기 감가상각비 중위 유지
[abs]</t>
      </text>
    </comment>
    <comment ref="AM23" authorId="0" shapeId="0">
      <text>
        <t>추정: 최근 4분기 감가상각비 중위 유지
[abs]</t>
      </text>
    </comment>
    <comment ref="AN23" authorId="0" shapeId="0">
      <text>
        <t>추정: 최근 4분기 감가상각비 중위 유지
[abs]</t>
      </text>
    </comment>
    <comment ref="E24" authorId="0" shapeId="0">
      <text>
        <t>실측(계정 매핑 없음(파생·부문·시세 행) — 모델값 직접) — 영업이익 + 감가상각비(CF)</t>
      </text>
    </comment>
    <comment ref="G24" authorId="0" shapeId="0">
      <text>
        <t>실측(계정 매핑 없음(파생·부문·시세 행) — 모델값 직접) — 영업이익 + 감가상각비(CF)</t>
      </text>
    </comment>
    <comment ref="H24" authorId="0" shapeId="0">
      <text>
        <t>실측(계정 매핑 없음(파생·부문·시세 행) — 모델값 직접) — 영업이익 + 감가상각비(CF)</t>
      </text>
    </comment>
    <comment ref="I24" authorId="0" shapeId="0">
      <text>
        <t>실측(계정 매핑 없음(파생·부문·시세 행) — 모델값 직접) — 영업이익 + 감가상각비(CF)</t>
      </text>
    </comment>
    <comment ref="J24" authorId="0" shapeId="0">
      <text>
        <t>실측(계정 매핑 없음(파생·부문·시세 행) — 모델값 직접) — 영업이익 + 감가상각비(CF)</t>
      </text>
    </comment>
    <comment ref="L24" authorId="0" shapeId="0">
      <text>
        <t>실측(계정 매핑 없음(파생·부문·시세 행) — 모델값 직접) — 영업이익 + 감가상각비(CF)</t>
      </text>
    </comment>
    <comment ref="M24" authorId="0" shapeId="0">
      <text>
        <t>실측(계정 매핑 없음(파생·부문·시세 행) — 모델값 직접) — 영업이익 + 감가상각비(CF)</t>
      </text>
    </comment>
    <comment ref="N24" authorId="0" shapeId="0">
      <text>
        <t>실측(계정 매핑 없음(파생·부문·시세 행) — 모델값 직접) — 영업이익 + 감가상각비(CF)</t>
      </text>
    </comment>
    <comment ref="O24" authorId="0" shapeId="0">
      <text>
        <t>실측(계정 매핑 없음(파생·부문·시세 행) — 모델값 직접) — 영업이익 + 감가상각비(CF)</t>
      </text>
    </comment>
    <comment ref="Q24" authorId="0" shapeId="0">
      <text>
        <t>실측(계정 매핑 없음(파생·부문·시세 행) — 모델값 직접) — 영업이익 + 감가상각비(CF)</t>
      </text>
    </comment>
    <comment ref="R24" authorId="0" shapeId="0">
      <text>
        <t>실측(계정 매핑 없음(파생·부문·시세 행) — 모델값 직접) — 영업이익 + 감가상각비(CF)</t>
      </text>
    </comment>
    <comment ref="S24" authorId="0" shapeId="0">
      <text>
        <t>실측(계정 매핑 없음(파생·부문·시세 행) — 모델값 직접) — 영업이익 + 감가상각비(CF)</t>
      </text>
    </comment>
    <comment ref="T24" authorId="0" shapeId="0">
      <text>
        <t>실측(계정 매핑 없음(파생·부문·시세 행) — 모델값 직접) — 영업이익 + 감가상각비(CF)</t>
      </text>
    </comment>
    <comment ref="V24" authorId="0" shapeId="0">
      <text>
        <t>실측(계정 매핑 없음(파생·부문·시세 행) — 모델값 직접) — 영업이익 + 감가상각비(CF)</t>
      </text>
    </comment>
    <comment ref="W24" authorId="0" shapeId="0">
      <text>
        <t>실측(계정 매핑 없음(파생·부문·시세 행) — 모델값 직접) — 영업이익 + 감가상각비(CF)</t>
      </text>
    </comment>
    <comment ref="X24" authorId="0" shapeId="0">
      <text>
        <t>실측(계정 매핑 없음(파생·부문·시세 행) — 모델값 직접) — 영업이익 + 감가상각비(CF)</t>
      </text>
    </comment>
    <comment ref="Y24" authorId="0" shapeId="0">
      <text>
        <t>실측(계정 매핑 없음(파생·부문·시세 행) — 모델값 직접) — 영업이익 + 감가상각비(CF)</t>
      </text>
    </comment>
    <comment ref="AA24" authorId="0" shapeId="0">
      <text>
        <t>실측(계정 매핑 없음(파생·부문·시세 행) — 모델값 직접) — 영업이익 + 감가상각비(CF)</t>
      </text>
    </comment>
    <comment ref="AB24" authorId="0" shapeId="0">
      <text>
        <t>실측(계정 매핑 없음(파생·부문·시세 행) — 모델값 직접) — 영업이익 + 감가상각비(CF)</t>
      </text>
    </comment>
    <comment ref="AC24" authorId="0" shapeId="0">
      <text>
        <t>추정: 영업이익 + 감가상각비
[identity]</t>
      </text>
    </comment>
    <comment ref="AD24" authorId="0" shapeId="0">
      <text>
        <t>추정: 영업이익 + 감가상각비
[identity]</t>
      </text>
    </comment>
    <comment ref="AF24" authorId="0" shapeId="0">
      <text>
        <t>추정: 영업이익 + 감가상각비
[identity]</t>
      </text>
    </comment>
    <comment ref="AG24" authorId="0" shapeId="0">
      <text>
        <t>추정: 영업이익 + 감가상각비
[identity]</t>
      </text>
    </comment>
    <comment ref="AH24" authorId="0" shapeId="0">
      <text>
        <t>추정: 영업이익 + 감가상각비
[identity]</t>
      </text>
    </comment>
    <comment ref="AI24" authorId="0" shapeId="0">
      <text>
        <t>추정: 영업이익 + 감가상각비
[identity]</t>
      </text>
    </comment>
    <comment ref="AK24" authorId="0" shapeId="0">
      <text>
        <t>추정: 영업이익 + 감가상각비
[identity]</t>
      </text>
    </comment>
    <comment ref="AL24" authorId="0" shapeId="0">
      <text>
        <t>추정: 영업이익 + 감가상각비
[identity]</t>
      </text>
    </comment>
    <comment ref="AM24" authorId="0" shapeId="0">
      <text>
        <t>추정: 영업이익 + 감가상각비
[identity]</t>
      </text>
    </comment>
    <comment ref="AN24" authorId="0" shapeId="0">
      <text>
        <t>추정: 영업이익 + 감가상각비
[identity]</t>
      </text>
    </comment>
    <comment ref="AC25" authorId="0" shapeId="0">
      <text>
        <t>추정: 부채총계 + 자본총계(항등식)
[identity]</t>
      </text>
    </comment>
    <comment ref="AD25" authorId="0" shapeId="0">
      <text>
        <t>추정: 부채총계 + 자본총계(항등식)
[identity]</t>
      </text>
    </comment>
    <comment ref="AF25" authorId="0" shapeId="0">
      <text>
        <t>추정: 부채총계 + 자본총계(항등식)
[identity]</t>
      </text>
    </comment>
    <comment ref="AG25" authorId="0" shapeId="0">
      <text>
        <t>추정: 부채총계 + 자본총계(항등식)
[identity]</t>
      </text>
    </comment>
    <comment ref="AH25" authorId="0" shapeId="0">
      <text>
        <t>추정: 부채총계 + 자본총계(항등식)
[identity]</t>
      </text>
    </comment>
    <comment ref="AI25" authorId="0" shapeId="0">
      <text>
        <t>추정: 부채총계 + 자본총계(항등식)
[identity]</t>
      </text>
    </comment>
    <comment ref="AK25" authorId="0" shapeId="0">
      <text>
        <t>추정: 부채총계 + 자본총계(항등식)
[identity]</t>
      </text>
    </comment>
    <comment ref="AL25" authorId="0" shapeId="0">
      <text>
        <t>추정: 부채총계 + 자본총계(항등식)
[identity]</t>
      </text>
    </comment>
    <comment ref="AM25" authorId="0" shapeId="0">
      <text>
        <t>추정: 부채총계 + 자본총계(항등식)
[identity]</t>
      </text>
    </comment>
    <comment ref="AN25" authorId="0" shapeId="0">
      <text>
        <t>추정: 부채총계 + 자본총계(항등식)
[identity]</t>
      </text>
    </comment>
    <comment ref="AC26" authorId="0" shapeId="0">
      <text>
        <t>추정: 마지막 실적 유지(가정)
[qoq]</t>
      </text>
    </comment>
    <comment ref="AD26" authorId="0" shapeId="0">
      <text>
        <t>추정: 마지막 실적 유지(가정)
[qoq]</t>
      </text>
    </comment>
    <comment ref="AF26" authorId="0" shapeId="0">
      <text>
        <t>추정: 마지막 실적 유지(가정)
[qoq]</t>
      </text>
    </comment>
    <comment ref="AG26" authorId="0" shapeId="0">
      <text>
        <t>추정: 마지막 실적 유지(가정)
[qoq]</t>
      </text>
    </comment>
    <comment ref="AH26" authorId="0" shapeId="0">
      <text>
        <t>추정: 마지막 실적 유지(가정)
[qoq]</t>
      </text>
    </comment>
    <comment ref="AI26" authorId="0" shapeId="0">
      <text>
        <t>추정: 마지막 실적 유지(가정)
[qoq]</t>
      </text>
    </comment>
    <comment ref="AK26" authorId="0" shapeId="0">
      <text>
        <t>추정: 마지막 실적 유지(가정)
[qoq]</t>
      </text>
    </comment>
    <comment ref="AL26" authorId="0" shapeId="0">
      <text>
        <t>추정: 마지막 실적 유지(가정)
[qoq]</t>
      </text>
    </comment>
    <comment ref="AM26" authorId="0" shapeId="0">
      <text>
        <t>추정: 마지막 실적 유지(가정)
[qoq]</t>
      </text>
    </comment>
    <comment ref="AN26" authorId="0" shapeId="0">
      <text>
        <t>추정: 마지막 실적 유지(가정)
[qoq]</t>
      </text>
    </comment>
    <comment ref="AC27" authorId="0" shapeId="0">
      <text>
        <t>추정: 전분기 + 당기순이익 − 배당(Q2 지급 가정)
[roll]</t>
      </text>
    </comment>
    <comment ref="AD27" authorId="0" shapeId="0">
      <text>
        <t>추정: 전분기 + 당기순이익 − 배당(Q2 지급 가정)
[roll]</t>
      </text>
    </comment>
    <comment ref="AF27" authorId="0" shapeId="0">
      <text>
        <t>추정: 전분기 + 당기순이익 − 배당(Q2 지급 가정)
[roll]</t>
      </text>
    </comment>
    <comment ref="AG27" authorId="0" shapeId="0">
      <text>
        <t>추정: 전분기 + 당기순이익 − 배당(Q2 지급 가정)
[roll]</t>
      </text>
    </comment>
    <comment ref="AH27" authorId="0" shapeId="0">
      <text>
        <t>추정: 전분기 + 당기순이익 − 배당(Q2 지급 가정)
[roll]</t>
      </text>
    </comment>
    <comment ref="AI27" authorId="0" shapeId="0">
      <text>
        <t>추정: 전분기 + 당기순이익 − 배당(Q2 지급 가정)
[roll]</t>
      </text>
    </comment>
    <comment ref="AK27" authorId="0" shapeId="0">
      <text>
        <t>추정: 전분기 + 당기순이익 − 배당(Q2 지급 가정)
[roll]</t>
      </text>
    </comment>
    <comment ref="AL27" authorId="0" shapeId="0">
      <text>
        <t>추정: 전분기 + 당기순이익 − 배당(Q2 지급 가정)
[roll]</t>
      </text>
    </comment>
    <comment ref="AM27" authorId="0" shapeId="0">
      <text>
        <t>추정: 전분기 + 당기순이익 − 배당(Q2 지급 가정)
[roll]</t>
      </text>
    </comment>
    <comment ref="AN27" authorId="0" shapeId="0">
      <text>
        <t>추정: 전분기 + 당기순이익 − 배당(Q2 지급 가정)
[roll]</t>
      </text>
    </comment>
    <comment ref="AC28" authorId="0" shapeId="0">
      <text>
        <t>추정: 전분기 + 지배주주순이익 − 배당
[roll]</t>
      </text>
    </comment>
    <comment ref="AD28" authorId="0" shapeId="0">
      <text>
        <t>추정: 전분기 + 지배주주순이익 − 배당
[roll]</t>
      </text>
    </comment>
    <comment ref="AF28" authorId="0" shapeId="0">
      <text>
        <t>추정: 전분기 + 지배주주순이익 − 배당
[roll]</t>
      </text>
    </comment>
    <comment ref="AG28" authorId="0" shapeId="0">
      <text>
        <t>추정: 전분기 + 지배주주순이익 − 배당
[roll]</t>
      </text>
    </comment>
    <comment ref="AH28" authorId="0" shapeId="0">
      <text>
        <t>추정: 전분기 + 지배주주순이익 − 배당
[roll]</t>
      </text>
    </comment>
    <comment ref="AI28" authorId="0" shapeId="0">
      <text>
        <t>추정: 전분기 + 지배주주순이익 − 배당
[roll]</t>
      </text>
    </comment>
    <comment ref="AK28" authorId="0" shapeId="0">
      <text>
        <t>추정: 전분기 + 지배주주순이익 − 배당
[roll]</t>
      </text>
    </comment>
    <comment ref="AL28" authorId="0" shapeId="0">
      <text>
        <t>추정: 전분기 + 지배주주순이익 − 배당
[roll]</t>
      </text>
    </comment>
    <comment ref="AM28" authorId="0" shapeId="0">
      <text>
        <t>추정: 전분기 + 지배주주순이익 − 배당
[roll]</t>
      </text>
    </comment>
    <comment ref="AN28" authorId="0" shapeId="0">
      <text>
        <t>추정: 전분기 + 지배주주순이익 − 배당
[roll]</t>
      </text>
    </comment>
    <comment ref="AC29" authorId="0" shapeId="0">
      <text>
        <t>추정: 마지막 실적 유지(가정)
[qoq]</t>
      </text>
    </comment>
    <comment ref="AD29" authorId="0" shapeId="0">
      <text>
        <t>추정: 마지막 실적 유지(가정)
[qoq]</t>
      </text>
    </comment>
    <comment ref="AF29" authorId="0" shapeId="0">
      <text>
        <t>추정: 마지막 실적 유지(가정)
[qoq]</t>
      </text>
    </comment>
    <comment ref="AG29" authorId="0" shapeId="0">
      <text>
        <t>추정: 마지막 실적 유지(가정)
[qoq]</t>
      </text>
    </comment>
    <comment ref="AH29" authorId="0" shapeId="0">
      <text>
        <t>추정: 마지막 실적 유지(가정)
[qoq]</t>
      </text>
    </comment>
    <comment ref="AI29" authorId="0" shapeId="0">
      <text>
        <t>추정: 마지막 실적 유지(가정)
[qoq]</t>
      </text>
    </comment>
    <comment ref="AK29" authorId="0" shapeId="0">
      <text>
        <t>추정: 마지막 실적 유지(가정)
[qoq]</t>
      </text>
    </comment>
    <comment ref="AL29" authorId="0" shapeId="0">
      <text>
        <t>추정: 마지막 실적 유지(가정)
[qoq]</t>
      </text>
    </comment>
    <comment ref="AM29" authorId="0" shapeId="0">
      <text>
        <t>추정: 마지막 실적 유지(가정)
[qoq]</t>
      </text>
    </comment>
    <comment ref="AN29" authorId="0" shapeId="0">
      <text>
        <t>추정: 마지막 실적 유지(가정)
[qoq]</t>
      </text>
    </comment>
    <comment ref="AC30" authorId="0" shapeId="0">
      <text>
        <t>추정: 전분기 − FCF 근사[순이익 + 감가상각비 928억 − CAPEX 897억(각 최근 4분기 중위) − 배당] (운전자본 불변·총차입금 유지 가정 → 변동은 전부 현금)
[qoq]</t>
      </text>
    </comment>
    <comment ref="AD30" authorId="0" shapeId="0">
      <text>
        <t>추정: 전분기 − FCF 근사[순이익 + 감가상각비 928억 − CAPEX 897억(각 최근 4분기 중위) − 배당] (운전자본 불변·총차입금 유지 가정 → 변동은 전부 현금)
[qoq]</t>
      </text>
    </comment>
    <comment ref="AF30" authorId="0" shapeId="0">
      <text>
        <t>추정: 전분기 − FCF 근사[순이익 + 감가상각비 928억 − CAPEX 897억(각 최근 4분기 중위) − 배당] (운전자본 불변·총차입금 유지 가정 → 변동은 전부 현금)
[qoq]</t>
      </text>
    </comment>
    <comment ref="AG30" authorId="0" shapeId="0">
      <text>
        <t>추정: 전분기 − FCF 근사[순이익 + 감가상각비 928억 − CAPEX 897억(각 최근 4분기 중위) − 배당] (운전자본 불변·총차입금 유지 가정 → 변동은 전부 현금)
[qoq]</t>
      </text>
    </comment>
    <comment ref="AH30" authorId="0" shapeId="0">
      <text>
        <t>추정: 전분기 − FCF 근사[순이익 + 감가상각비 928억 − CAPEX 897억(각 최근 4분기 중위) − 배당] (운전자본 불변·총차입금 유지 가정 → 변동은 전부 현금)
[qoq]</t>
      </text>
    </comment>
    <comment ref="AI30" authorId="0" shapeId="0">
      <text>
        <t>추정: 전분기 − FCF 근사[순이익 + 감가상각비 928억 − CAPEX 897억(각 최근 4분기 중위) − 배당] (운전자본 불변·총차입금 유지 가정 → 변동은 전부 현금)
[qoq]</t>
      </text>
    </comment>
    <comment ref="AK30" authorId="0" shapeId="0">
      <text>
        <t>추정: 전분기 − FCF 근사[순이익 + 감가상각비 928억 − CAPEX 897억(각 최근 4분기 중위) − 배당] (운전자본 불변·총차입금 유지 가정 → 변동은 전부 현금)
[qoq]</t>
      </text>
    </comment>
    <comment ref="AL30" authorId="0" shapeId="0">
      <text>
        <t>추정: 전분기 − FCF 근사[순이익 + 감가상각비 928억 − CAPEX 897억(각 최근 4분기 중위) − 배당] (운전자본 불변·총차입금 유지 가정 → 변동은 전부 현금)
[qoq]</t>
      </text>
    </comment>
    <comment ref="AM30" authorId="0" shapeId="0">
      <text>
        <t>추정: 전분기 − FCF 근사[순이익 + 감가상각비 928억 − CAPEX 897억(각 최근 4분기 중위) − 배당] (운전자본 불변·총차입금 유지 가정 → 변동은 전부 현금)
[qoq]</t>
      </text>
    </comment>
    <comment ref="AN30" authorId="0" shapeId="0">
      <text>
        <t>추정: 전분기 − FCF 근사[순이익 + 감가상각비 928억 − CAPEX 897억(각 최근 4분기 중위) − 배당] (운전자본 불변·총차입금 유지 가정 → 변동은 전부 현금)
[qoq]</t>
      </text>
    </comment>
    <comment ref="AC31" authorId="0" shapeId="0">
      <text>
        <t>추정: 전분기 + FCF 근사 — 순차입금 롤과 같은 가정
[qoq]</t>
      </text>
    </comment>
    <comment ref="AD31" authorId="0" shapeId="0">
      <text>
        <t>추정: 전분기 + FCF 근사 — 순차입금 롤과 같은 가정
[qoq]</t>
      </text>
    </comment>
    <comment ref="AF31" authorId="0" shapeId="0">
      <text>
        <t>추정: 전분기 + FCF 근사 — 순차입금 롤과 같은 가정
[qoq]</t>
      </text>
    </comment>
    <comment ref="AG31" authorId="0" shapeId="0">
      <text>
        <t>추정: 전분기 + FCF 근사 — 순차입금 롤과 같은 가정
[qoq]</t>
      </text>
    </comment>
    <comment ref="AH31" authorId="0" shapeId="0">
      <text>
        <t>추정: 전분기 + FCF 근사 — 순차입금 롤과 같은 가정
[qoq]</t>
      </text>
    </comment>
    <comment ref="AI31" authorId="0" shapeId="0">
      <text>
        <t>추정: 전분기 + FCF 근사 — 순차입금 롤과 같은 가정
[qoq]</t>
      </text>
    </comment>
    <comment ref="AK31" authorId="0" shapeId="0">
      <text>
        <t>추정: 전분기 + FCF 근사 — 순차입금 롤과 같은 가정
[qoq]</t>
      </text>
    </comment>
    <comment ref="AL31" authorId="0" shapeId="0">
      <text>
        <t>추정: 전분기 + FCF 근사 — 순차입금 롤과 같은 가정
[qoq]</t>
      </text>
    </comment>
    <comment ref="AM31" authorId="0" shapeId="0">
      <text>
        <t>추정: 전분기 + FCF 근사 — 순차입금 롤과 같은 가정
[qoq]</t>
      </text>
    </comment>
    <comment ref="AN31" authorId="0" shapeId="0">
      <text>
        <t>추정: 전분기 + FCF 근사 — 순차입금 롤과 같은 가정
[qoq]</t>
      </text>
    </comment>
    <comment ref="AC33" authorId="0" shapeId="0">
      <text>
        <t>추정: 최근 4분기(2025Q3~2026Q2) CAPEX 중위 유지 — 순차입금 롤에 반영(FCF 근사)
[yoy]</t>
      </text>
    </comment>
    <comment ref="AD33" authorId="0" shapeId="0">
      <text>
        <t>추정: 최근 4분기(2025Q3~2026Q2) CAPEX 중위 유지 — 순차입금 롤에 반영(FCF 근사)
[yoy]</t>
      </text>
    </comment>
    <comment ref="AF33" authorId="0" shapeId="0">
      <text>
        <t>추정: 최근 4분기(2025Q3~2026Q2) CAPEX 중위 유지 — 순차입금 롤에 반영(FCF 근사)
[yoy]</t>
      </text>
    </comment>
    <comment ref="AG33" authorId="0" shapeId="0">
      <text>
        <t>추정: 최근 4분기(2025Q3~2026Q2) CAPEX 중위 유지 — 순차입금 롤에 반영(FCF 근사)
[yoy]</t>
      </text>
    </comment>
    <comment ref="AH33" authorId="0" shapeId="0">
      <text>
        <t>추정: 최근 4분기(2025Q3~2026Q2) CAPEX 중위 유지 — 순차입금 롤에 반영(FCF 근사)
[yoy]</t>
      </text>
    </comment>
    <comment ref="AI33" authorId="0" shapeId="0">
      <text>
        <t>추정: 최근 4분기(2025Q3~2026Q2) CAPEX 중위 유지 — 순차입금 롤에 반영(FCF 근사)
[yoy]</t>
      </text>
    </comment>
    <comment ref="AK33" authorId="0" shapeId="0">
      <text>
        <t>추정: 최근 4분기(2025Q3~2026Q2) CAPEX 중위 유지 — 순차입금 롤에 반영(FCF 근사)
[yoy]</t>
      </text>
    </comment>
    <comment ref="AL33" authorId="0" shapeId="0">
      <text>
        <t>추정: 최근 4분기(2025Q3~2026Q2) CAPEX 중위 유지 — 순차입금 롤에 반영(FCF 근사)
[yoy]</t>
      </text>
    </comment>
    <comment ref="AM33" authorId="0" shapeId="0">
      <text>
        <t>추정: 최근 4분기(2025Q3~2026Q2) CAPEX 중위 유지 — 순차입금 롤에 반영(FCF 근사)
[yoy]</t>
      </text>
    </comment>
    <comment ref="AN33" authorId="0" shapeId="0">
      <text>
        <t>추정: 최근 4분기(2025Q3~2026Q2) CAPEX 중위 유지 — 순차입금 롤에 반영(FCF 근사)
[yoy]</t>
      </text>
    </comment>
    <comment ref="E35" authorId="0" shapeId="0">
      <text>
        <t>실측(계정 매핑 없음(파생·부문·시세 행) — 모델값 직접) — fin.shares.common_outstanding</t>
      </text>
    </comment>
    <comment ref="G35" authorId="0" shapeId="0">
      <text>
        <t>실측(계정 매핑 없음(파생·부문·시세 행) — 모델값 직접) — fin.shares.common_outstanding</t>
      </text>
    </comment>
    <comment ref="H35" authorId="0" shapeId="0">
      <text>
        <t>실측(계정 매핑 없음(파생·부문·시세 행) — 모델값 직접) — fin.shares.common_outstanding</t>
      </text>
    </comment>
    <comment ref="I35" authorId="0" shapeId="0">
      <text>
        <t>실측(계정 매핑 없음(파생·부문·시세 행) — 모델값 직접) — fin.shares.common_outstanding</t>
      </text>
    </comment>
    <comment ref="J35" authorId="0" shapeId="0">
      <text>
        <t>실측(계정 매핑 없음(파생·부문·시세 행) — 모델값 직접) — fin.shares.common_outstanding</t>
      </text>
    </comment>
    <comment ref="L35" authorId="0" shapeId="0">
      <text>
        <t>실측(계정 매핑 없음(파생·부문·시세 행) — 모델값 직접) — fin.shares.common_outstanding</t>
      </text>
    </comment>
    <comment ref="M35" authorId="0" shapeId="0">
      <text>
        <t>실측(계정 매핑 없음(파생·부문·시세 행) — 모델값 직접) — fin.shares.common_outstanding</t>
      </text>
    </comment>
    <comment ref="N35" authorId="0" shapeId="0">
      <text>
        <t>실측(계정 매핑 없음(파생·부문·시세 행) — 모델값 직접) — fin.shares.common_outstanding</t>
      </text>
    </comment>
    <comment ref="O35" authorId="0" shapeId="0">
      <text>
        <t>실측(계정 매핑 없음(파생·부문·시세 행) — 모델값 직접) — fin.shares.common_outstanding</t>
      </text>
    </comment>
    <comment ref="Q35" authorId="0" shapeId="0">
      <text>
        <t>실측(계정 매핑 없음(파생·부문·시세 행) — 모델값 직접) — fin.shares.common_outstanding</t>
      </text>
    </comment>
    <comment ref="R35" authorId="0" shapeId="0">
      <text>
        <t>실측(계정 매핑 없음(파생·부문·시세 행) — 모델값 직접) — fin.shares.common_outstanding</t>
      </text>
    </comment>
    <comment ref="S35" authorId="0" shapeId="0">
      <text>
        <t>실측(계정 매핑 없음(파생·부문·시세 행) — 모델값 직접) — fin.shares.common_outstanding</t>
      </text>
    </comment>
    <comment ref="T35" authorId="0" shapeId="0">
      <text>
        <t>실측(계정 매핑 없음(파생·부문·시세 행) — 모델값 직접) — fin.shares.common_outstanding</t>
      </text>
    </comment>
    <comment ref="V35" authorId="0" shapeId="0">
      <text>
        <t>실측(계정 매핑 없음(파생·부문·시세 행) — 모델값 직접) — fin.shares.common_outstanding</t>
      </text>
    </comment>
    <comment ref="W35" authorId="0" shapeId="0">
      <text>
        <t>실측(계정 매핑 없음(파생·부문·시세 행) — 모델값 직접) — fin.shares.common_outstanding</t>
      </text>
    </comment>
    <comment ref="X35" authorId="0" shapeId="0">
      <text>
        <t>실측(계정 매핑 없음(파생·부문·시세 행) — 모델값 직접) — fin.shares.common_outstanding</t>
      </text>
    </comment>
    <comment ref="Y35" authorId="0" shapeId="0">
      <text>
        <t>실측(계정 매핑 없음(파생·부문·시세 행) — 모델값 직접) — fin.shares.common_outstanding</t>
      </text>
    </comment>
    <comment ref="AA35" authorId="0" shapeId="0">
      <text>
        <t>실측(계정 매핑 없음(파생·부문·시세 행) — 모델값 직접) — fin.shares.common_outstanding</t>
      </text>
    </comment>
    <comment ref="AB35" authorId="0" shapeId="0">
      <text>
        <t>실측(계정 매핑 없음(파생·부문·시세 행) — 모델값 직접) — fin.shares.common_outstanding</t>
      </text>
    </comment>
    <comment ref="AC35" authorId="0" shapeId="0">
      <text>
        <t>추정: 유통주식수 유지 — fin.shares.common_outstanding(2026Q2)
[qoq]</t>
      </text>
    </comment>
    <comment ref="AD35" authorId="0" shapeId="0">
      <text>
        <t>추정: 유통주식수 유지 — fin.shares.common_outstanding(2026Q2)
[qoq]</t>
      </text>
    </comment>
    <comment ref="AF35" authorId="0" shapeId="0">
      <text>
        <t>추정: 유통주식수 유지 — fin.shares.common_outstanding(2026Q2)
[qoq]</t>
      </text>
    </comment>
    <comment ref="AG35" authorId="0" shapeId="0">
      <text>
        <t>추정: 유통주식수 유지 — fin.shares.common_outstanding(2026Q2)
[qoq]</t>
      </text>
    </comment>
    <comment ref="AH35" authorId="0" shapeId="0">
      <text>
        <t>추정: 유통주식수 유지 — fin.shares.common_outstanding(2026Q2)
[qoq]</t>
      </text>
    </comment>
    <comment ref="AI35" authorId="0" shapeId="0">
      <text>
        <t>추정: 유통주식수 유지 — fin.shares.common_outstanding(2026Q2)
[qoq]</t>
      </text>
    </comment>
    <comment ref="AK35" authorId="0" shapeId="0">
      <text>
        <t>추정: 유통주식수 유지 — fin.shares.common_outstanding(2026Q2)
[qoq]</t>
      </text>
    </comment>
    <comment ref="AL35" authorId="0" shapeId="0">
      <text>
        <t>추정: 유통주식수 유지 — fin.shares.common_outstanding(2026Q2)
[qoq]</t>
      </text>
    </comment>
    <comment ref="AM35" authorId="0" shapeId="0">
      <text>
        <t>추정: 유통주식수 유지 — fin.shares.common_outstanding(2026Q2)
[qoq]</t>
      </text>
    </comment>
    <comment ref="AN35" authorId="0" shapeId="0">
      <text>
        <t>추정: 유통주식수 유지 — fin.shares.common_outstanding(2026Q2)
[qoq]</t>
      </text>
    </comment>
    <comment ref="AC36" authorId="0" shapeId="0">
      <text>
        <t>추정: 지배주주순이익 ÷ 유통주식수
[per_share]</t>
      </text>
    </comment>
    <comment ref="AD36" authorId="0" shapeId="0">
      <text>
        <t>추정: 지배주주순이익 ÷ 유통주식수
[per_share]</t>
      </text>
    </comment>
    <comment ref="AF36" authorId="0" shapeId="0">
      <text>
        <t>추정: 지배주주순이익 ÷ 유통주식수
[per_share]</t>
      </text>
    </comment>
    <comment ref="AG36" authorId="0" shapeId="0">
      <text>
        <t>추정: 지배주주순이익 ÷ 유통주식수
[per_share]</t>
      </text>
    </comment>
    <comment ref="AH36" authorId="0" shapeId="0">
      <text>
        <t>추정: 지배주주순이익 ÷ 유통주식수
[per_share]</t>
      </text>
    </comment>
    <comment ref="AI36" authorId="0" shapeId="0">
      <text>
        <t>추정: 지배주주순이익 ÷ 유통주식수
[per_share]</t>
      </text>
    </comment>
    <comment ref="AK36" authorId="0" shapeId="0">
      <text>
        <t>추정: 지배주주순이익 ÷ 유통주식수
[per_share]</t>
      </text>
    </comment>
    <comment ref="AL36" authorId="0" shapeId="0">
      <text>
        <t>추정: 지배주주순이익 ÷ 유통주식수
[per_share]</t>
      </text>
    </comment>
    <comment ref="AM36" authorId="0" shapeId="0">
      <text>
        <t>추정: 지배주주순이익 ÷ 유통주식수
[per_share]</t>
      </text>
    </comment>
    <comment ref="AN36" authorId="0" shapeId="0">
      <text>
        <t>추정: 지배주주순이익 ÷ 유통주식수
[per_share]</t>
      </text>
    </comment>
    <comment ref="AB37" authorId="0" shapeId="0">
      <text>
        <t>조정EPS 산식(모델 추정, 일회성 여부·세효과 주석 미확인): 지배NI − 초과 비영업손익 36,539억 × (1 − 세율 24.4% [분기 유효세율(법인세 9166억 ÷ 세전 37594억)]) × 지배 비중 1.0000 [그 분기 지배NI/NI] = 761억 ÷ 유통주식수 · 초과 = 비영업손익 36,305억 − 12분기 기준선 -235억 · 보고 EPS 386,061원(EPS 행 불변) · 상수 27630.69·1.0 는 모델 one_offs_detected 값(세전·법인세 셀을 바꿔도 재계산되지 않음)</t>
      </text>
    </comment>
    <comment ref="AC37" authorId="0" shapeId="0">
      <text>
        <t>추정: = EPS(추정 구간은 일회성 미가정)
[identity]</t>
      </text>
    </comment>
    <comment ref="AD37" authorId="0" shapeId="0">
      <text>
        <t>추정: = EPS(추정 구간은 일회성 미가정)
[identity]</t>
      </text>
    </comment>
    <comment ref="AF37" authorId="0" shapeId="0">
      <text>
        <t>추정: = EPS(추정 구간은 일회성 미가정)
[identity]</t>
      </text>
    </comment>
    <comment ref="AG37" authorId="0" shapeId="0">
      <text>
        <t>추정: = EPS(추정 구간은 일회성 미가정)
[identity]</t>
      </text>
    </comment>
    <comment ref="AH37" authorId="0" shapeId="0">
      <text>
        <t>추정: = EPS(추정 구간은 일회성 미가정)
[identity]</t>
      </text>
    </comment>
    <comment ref="AI37" authorId="0" shapeId="0">
      <text>
        <t>추정: = EPS(추정 구간은 일회성 미가정)
[identity]</t>
      </text>
    </comment>
    <comment ref="AK37" authorId="0" shapeId="0">
      <text>
        <t>추정: = EPS(추정 구간은 일회성 미가정)
[identity]</t>
      </text>
    </comment>
    <comment ref="AL37" authorId="0" shapeId="0">
      <text>
        <t>추정: = EPS(추정 구간은 일회성 미가정)
[identity]</t>
      </text>
    </comment>
    <comment ref="AM37" authorId="0" shapeId="0">
      <text>
        <t>추정: = EPS(추정 구간은 일회성 미가정)
[identity]</t>
      </text>
    </comment>
    <comment ref="AN37" authorId="0" shapeId="0">
      <text>
        <t>추정: = EPS(추정 구간은 일회성 미가정)
[identity]</t>
      </text>
    </comment>
    <comment ref="AC38" authorId="0" shapeId="0">
      <text>
        <t>추정: 지배주주지분 ÷ 유통주식수
[per_share]</t>
      </text>
    </comment>
    <comment ref="AD38" authorId="0" shapeId="0">
      <text>
        <t>추정: 지배주주지분 ÷ 유통주식수
[per_share]</t>
      </text>
    </comment>
    <comment ref="AF38" authorId="0" shapeId="0">
      <text>
        <t>추정: 지배주주지분 ÷ 유통주식수
[per_share]</t>
      </text>
    </comment>
    <comment ref="AG38" authorId="0" shapeId="0">
      <text>
        <t>추정: 지배주주지분 ÷ 유통주식수
[per_share]</t>
      </text>
    </comment>
    <comment ref="AH38" authorId="0" shapeId="0">
      <text>
        <t>추정: 지배주주지분 ÷ 유통주식수
[per_share]</t>
      </text>
    </comment>
    <comment ref="AI38" authorId="0" shapeId="0">
      <text>
        <t>추정: 지배주주지분 ÷ 유통주식수
[per_share]</t>
      </text>
    </comment>
    <comment ref="AK38" authorId="0" shapeId="0">
      <text>
        <t>추정: 지배주주지분 ÷ 유통주식수
[per_share]</t>
      </text>
    </comment>
    <comment ref="AL38" authorId="0" shapeId="0">
      <text>
        <t>추정: 지배주주지분 ÷ 유통주식수
[per_share]</t>
      </text>
    </comment>
    <comment ref="AM38" authorId="0" shapeId="0">
      <text>
        <t>추정: 지배주주지분 ÷ 유통주식수
[per_share]</t>
      </text>
    </comment>
    <comment ref="AN38" authorId="0" shapeId="0">
      <text>
        <t>추정: 지배주주지분 ÷ 유통주식수
[per_share]</t>
      </text>
    </comment>
    <comment ref="E39" authorId="0" shapeId="0">
      <text>
        <t>실측(계정 매핑 없음(파생·부문·시세 행) — 모델값 직접) — fin.dividend.dps_common(연간, Q4 에 표기)</t>
      </text>
    </comment>
    <comment ref="F39" authorId="0" shapeId="0">
      <text>
        <t>연간(actual) — 분기 미완 연도, 모델 a 값 직접</t>
      </text>
    </comment>
    <comment ref="J39" authorId="0" shapeId="0">
      <text>
        <t>실측(계정 매핑 없음(파생·부문·시세 행) — 모델값 직접) — fin.dividend.dps_common(연간, Q4 에 표기)</t>
      </text>
    </comment>
    <comment ref="O39" authorId="0" shapeId="0">
      <text>
        <t>실측(계정 매핑 없음(파생·부문·시세 행) — 모델값 직접) — fin.dividend.dps_common(연간, Q4 에 표기)</t>
      </text>
    </comment>
    <comment ref="T39" authorId="0" shapeId="0">
      <text>
        <t>실측(계정 매핑 없음(파생·부문·시세 행) — 모델값 직접) — fin.dividend.dps_common(연간, Q4 에 표기)</t>
      </text>
    </comment>
    <comment ref="Y39" authorId="0" shapeId="0">
      <text>
        <t>실측(계정 매핑 없음(파생·부문·시세 행) — 모델값 직접) — fin.dividend.dps_common(연간, Q4 에 표기)</t>
      </text>
    </comment>
    <comment ref="AD39" authorId="0" shapeId="0">
      <text>
        <t>추정: 직전 결산 DPS 15,000원 유지
[abs]</t>
      </text>
    </comment>
    <comment ref="AI39" authorId="0" shapeId="0">
      <text>
        <t>추정: 직전 결산 DPS 15,000원 유지
[abs]</t>
      </text>
    </comment>
    <comment ref="AN39" authorId="0" shapeId="0">
      <text>
        <t>추정: 직전 결산 DPS 15,000원 유지
[abs]</t>
      </text>
    </comment>
    <comment ref="AC40" authorId="0" shapeId="0">
      <text>
        <t>추정: 현재 종가 ÷ TTM EPS(추정 포함)
[valuation]</t>
      </text>
    </comment>
    <comment ref="AD40" authorId="0" shapeId="0">
      <text>
        <t>추정: 현재 종가 ÷ TTM EPS(추정 포함)
[valuation]</t>
      </text>
    </comment>
    <comment ref="AF40" authorId="0" shapeId="0">
      <text>
        <t>추정: 현재 종가 ÷ TTM EPS(추정 포함)
[valuation]</t>
      </text>
    </comment>
    <comment ref="AG40" authorId="0" shapeId="0">
      <text>
        <t>추정: 현재 종가 ÷ TTM EPS(추정 포함)
[valuation]</t>
      </text>
    </comment>
    <comment ref="AH40" authorId="0" shapeId="0">
      <text>
        <t>추정: 현재 종가 ÷ TTM EPS(추정 포함)
[valuation]</t>
      </text>
    </comment>
    <comment ref="AI40" authorId="0" shapeId="0">
      <text>
        <t>추정: 현재 종가 ÷ TTM EPS(추정 포함)
[valuation]</t>
      </text>
    </comment>
    <comment ref="AK40" authorId="0" shapeId="0">
      <text>
        <t>추정: 현재 종가 ÷ TTM EPS(추정 포함)
[valuation]</t>
      </text>
    </comment>
    <comment ref="AL40" authorId="0" shapeId="0">
      <text>
        <t>추정: 현재 종가 ÷ TTM EPS(추정 포함)
[valuation]</t>
      </text>
    </comment>
    <comment ref="AM40" authorId="0" shapeId="0">
      <text>
        <t>추정: 현재 종가 ÷ TTM EPS(추정 포함)
[valuation]</t>
      </text>
    </comment>
    <comment ref="AN40" authorId="0" shapeId="0">
      <text>
        <t>추정: 현재 종가 ÷ TTM EPS(추정 포함)
[valuation]</t>
      </text>
    </comment>
    <comment ref="AC41" authorId="0" shapeId="0">
      <text>
        <t>추정: 현재 종가 ÷ BPS(추정 포함)
[valuation]</t>
      </text>
    </comment>
    <comment ref="AD41" authorId="0" shapeId="0">
      <text>
        <t>추정: 현재 종가 ÷ BPS(추정 포함)
[valuation]</t>
      </text>
    </comment>
    <comment ref="AF41" authorId="0" shapeId="0">
      <text>
        <t>추정: 현재 종가 ÷ BPS(추정 포함)
[valuation]</t>
      </text>
    </comment>
    <comment ref="AG41" authorId="0" shapeId="0">
      <text>
        <t>추정: 현재 종가 ÷ BPS(추정 포함)
[valuation]</t>
      </text>
    </comment>
    <comment ref="AH41" authorId="0" shapeId="0">
      <text>
        <t>추정: 현재 종가 ÷ BPS(추정 포함)
[valuation]</t>
      </text>
    </comment>
    <comment ref="AI41" authorId="0" shapeId="0">
      <text>
        <t>추정: 현재 종가 ÷ BPS(추정 포함)
[valuation]</t>
      </text>
    </comment>
    <comment ref="AK41" authorId="0" shapeId="0">
      <text>
        <t>추정: 현재 종가 ÷ BPS(추정 포함)
[valuation]</t>
      </text>
    </comment>
    <comment ref="AL41" authorId="0" shapeId="0">
      <text>
        <t>추정: 현재 종가 ÷ BPS(추정 포함)
[valuation]</t>
      </text>
    </comment>
    <comment ref="AM41" authorId="0" shapeId="0">
      <text>
        <t>추정: 현재 종가 ÷ BPS(추정 포함)
[valuation]</t>
      </text>
    </comment>
    <comment ref="AN41" authorId="0" shapeId="0">
      <text>
        <t>추정: 현재 종가 ÷ BPS(추정 포함)
[valuation]</t>
      </text>
    </comment>
    <comment ref="E42" authorId="0" shapeId="0">
      <text>
        <t>실측(계정 매핑 없음(파생·부문·시세 행) — 모델값 직접) — = 매출액(부문 미분리)</t>
      </text>
    </comment>
    <comment ref="G42" authorId="0" shapeId="0">
      <text>
        <t>실측(계정 매핑 없음(파생·부문·시세 행) — 모델값 직접) — = 매출액(부문 미분리)</t>
      </text>
    </comment>
    <comment ref="H42" authorId="0" shapeId="0">
      <text>
        <t>실측(계정 매핑 없음(파생·부문·시세 행) — 모델값 직접) — = 매출액(부문 미분리)</t>
      </text>
    </comment>
    <comment ref="I42" authorId="0" shapeId="0">
      <text>
        <t>실측(계정 매핑 없음(파생·부문·시세 행) — 모델값 직접) — = 매출액(부문 미분리)</t>
      </text>
    </comment>
    <comment ref="J42" authorId="0" shapeId="0">
      <text>
        <t>실측(계정 매핑 없음(파생·부문·시세 행) — 모델값 직접) — = 매출액(부문 미분리)</t>
      </text>
    </comment>
    <comment ref="L42" authorId="0" shapeId="0">
      <text>
        <t>실측(계정 매핑 없음(파생·부문·시세 행) — 모델값 직접) — = 매출액(부문 미분리)</t>
      </text>
    </comment>
    <comment ref="M42" authorId="0" shapeId="0">
      <text>
        <t>실측(계정 매핑 없음(파생·부문·시세 행) — 모델값 직접) — = 매출액(부문 미분리)</t>
      </text>
    </comment>
    <comment ref="N42" authorId="0" shapeId="0">
      <text>
        <t>실측(계정 매핑 없음(파생·부문·시세 행) — 모델값 직접) — = 매출액(부문 미분리)</t>
      </text>
    </comment>
    <comment ref="O42" authorId="0" shapeId="0">
      <text>
        <t>실측(계정 매핑 없음(파생·부문·시세 행) — 모델값 직접) — = 매출액(부문 미분리)</t>
      </text>
    </comment>
    <comment ref="Q42" authorId="0" shapeId="0">
      <text>
        <t>실측(계정 매핑 없음(파생·부문·시세 행) — 모델값 직접) — = 매출액(부문 미분리)</t>
      </text>
    </comment>
    <comment ref="R42" authorId="0" shapeId="0">
      <text>
        <t>실측(계정 매핑 없음(파생·부문·시세 행) — 모델값 직접) — = 매출액(부문 미분리)</t>
      </text>
    </comment>
    <comment ref="S42" authorId="0" shapeId="0">
      <text>
        <t>실측(계정 매핑 없음(파생·부문·시세 행) — 모델값 직접) — = 매출액(부문 미분리)</t>
      </text>
    </comment>
    <comment ref="T42" authorId="0" shapeId="0">
      <text>
        <t>실측(계정 매핑 없음(파생·부문·시세 행) — 모델값 직접) — = 매출액(부문 미분리)</t>
      </text>
    </comment>
    <comment ref="V42" authorId="0" shapeId="0">
      <text>
        <t>실측(계정 매핑 없음(파생·부문·시세 행) — 모델값 직접) — = 매출액(부문 미분리)</t>
      </text>
    </comment>
    <comment ref="W42" authorId="0" shapeId="0">
      <text>
        <t>실측(계정 매핑 없음(파생·부문·시세 행) — 모델값 직접) — = 매출액(부문 미분리)</t>
      </text>
    </comment>
    <comment ref="X42" authorId="0" shapeId="0">
      <text>
        <t>실측(계정 매핑 없음(파생·부문·시세 행) — 모델값 직접) — = 매출액(부문 미분리)</t>
      </text>
    </comment>
    <comment ref="Y42" authorId="0" shapeId="0">
      <text>
        <t>실측(계정 매핑 없음(파생·부문·시세 행) — 모델값 직접) — = 매출액(부문 미분리)</t>
      </text>
    </comment>
    <comment ref="AA42" authorId="0" shapeId="0">
      <text>
        <t>실측(계정 매핑 없음(파생·부문·시세 행) — 모델값 직접) — = 매출액(부문 미분리)</t>
      </text>
    </comment>
    <comment ref="AB42" authorId="0" shapeId="0">
      <text>
        <t>실측(계정 매핑 없음(파생·부문·시세 행) — 모델값 직접) — = 매출액(부문 미분리)</t>
      </text>
    </comment>
    <comment ref="AC42" authorId="0" shapeId="0">
      <text>
        <t>추정: = 매출액 추정(부문 미분리)
[identity]</t>
      </text>
    </comment>
    <comment ref="AD42" authorId="0" shapeId="0">
      <text>
        <t>추정: = 매출액 추정(부문 미분리)
[identity]</t>
      </text>
    </comment>
    <comment ref="AF42" authorId="0" shapeId="0">
      <text>
        <t>추정: = 매출액 추정(부문 미분리)
[identity]</t>
      </text>
    </comment>
    <comment ref="AG42" authorId="0" shapeId="0">
      <text>
        <t>추정: = 매출액 추정(부문 미분리)
[identity]</t>
      </text>
    </comment>
    <comment ref="AH42" authorId="0" shapeId="0">
      <text>
        <t>추정: = 매출액 추정(부문 미분리)
[identity]</t>
      </text>
    </comment>
    <comment ref="AI42" authorId="0" shapeId="0">
      <text>
        <t>추정: = 매출액 추정(부문 미분리)
[identity]</t>
      </text>
    </comment>
    <comment ref="AK42" authorId="0" shapeId="0">
      <text>
        <t>추정: = 매출액 추정(부문 미분리)
[identity]</t>
      </text>
    </comment>
    <comment ref="AL42" authorId="0" shapeId="0">
      <text>
        <t>추정: = 매출액 추정(부문 미분리)
[identity]</t>
      </text>
    </comment>
    <comment ref="AM42" authorId="0" shapeId="0">
      <text>
        <t>추정: = 매출액 추정(부문 미분리)
[identity]</t>
      </text>
    </comment>
    <comment ref="AN42" authorId="0" shapeId="0">
      <text>
        <t>추정: = 매출액 추정(부문 미분리)
[identity]</t>
      </text>
    </comment>
    <comment ref="E43" authorId="0" shapeId="0">
      <text>
        <t>실측(계정 매핑 없음(파생·부문·시세 행) — 모델값 직접) — = 영업이익(부문 미분리)</t>
      </text>
    </comment>
    <comment ref="G43" authorId="0" shapeId="0">
      <text>
        <t>실측(계정 매핑 없음(파생·부문·시세 행) — 모델값 직접) — = 영업이익(부문 미분리)</t>
      </text>
    </comment>
    <comment ref="H43" authorId="0" shapeId="0">
      <text>
        <t>실측(계정 매핑 없음(파생·부문·시세 행) — 모델값 직접) — = 영업이익(부문 미분리)</t>
      </text>
    </comment>
    <comment ref="I43" authorId="0" shapeId="0">
      <text>
        <t>실측(계정 매핑 없음(파생·부문·시세 행) — 모델값 직접) — = 영업이익(부문 미분리)</t>
      </text>
    </comment>
    <comment ref="J43" authorId="0" shapeId="0">
      <text>
        <t>실측(계정 매핑 없음(파생·부문·시세 행) — 모델값 직접) — = 영업이익(부문 미분리)</t>
      </text>
    </comment>
    <comment ref="L43" authorId="0" shapeId="0">
      <text>
        <t>실측(계정 매핑 없음(파생·부문·시세 행) — 모델값 직접) — = 영업이익(부문 미분리)</t>
      </text>
    </comment>
    <comment ref="M43" authorId="0" shapeId="0">
      <text>
        <t>실측(계정 매핑 없음(파생·부문·시세 행) — 모델값 직접) — = 영업이익(부문 미분리)</t>
      </text>
    </comment>
    <comment ref="N43" authorId="0" shapeId="0">
      <text>
        <t>실측(계정 매핑 없음(파생·부문·시세 행) — 모델값 직접) — = 영업이익(부문 미분리)</t>
      </text>
    </comment>
    <comment ref="O43" authorId="0" shapeId="0">
      <text>
        <t>실측(계정 매핑 없음(파생·부문·시세 행) — 모델값 직접) — = 영업이익(부문 미분리)</t>
      </text>
    </comment>
    <comment ref="Q43" authorId="0" shapeId="0">
      <text>
        <t>실측(계정 매핑 없음(파생·부문·시세 행) — 모델값 직접) — = 영업이익(부문 미분리)</t>
      </text>
    </comment>
    <comment ref="R43" authorId="0" shapeId="0">
      <text>
        <t>실측(계정 매핑 없음(파생·부문·시세 행) — 모델값 직접) — = 영업이익(부문 미분리)</t>
      </text>
    </comment>
    <comment ref="S43" authorId="0" shapeId="0">
      <text>
        <t>실측(계정 매핑 없음(파생·부문·시세 행) — 모델값 직접) — = 영업이익(부문 미분리)</t>
      </text>
    </comment>
    <comment ref="T43" authorId="0" shapeId="0">
      <text>
        <t>실측(계정 매핑 없음(파생·부문·시세 행) — 모델값 직접) — = 영업이익(부문 미분리)</t>
      </text>
    </comment>
    <comment ref="V43" authorId="0" shapeId="0">
      <text>
        <t>실측(계정 매핑 없음(파생·부문·시세 행) — 모델값 직접) — = 영업이익(부문 미분리)</t>
      </text>
    </comment>
    <comment ref="W43" authorId="0" shapeId="0">
      <text>
        <t>실측(계정 매핑 없음(파생·부문·시세 행) — 모델값 직접) — = 영업이익(부문 미분리)</t>
      </text>
    </comment>
    <comment ref="X43" authorId="0" shapeId="0">
      <text>
        <t>실측(계정 매핑 없음(파생·부문·시세 행) — 모델값 직접) — = 영업이익(부문 미분리)</t>
      </text>
    </comment>
    <comment ref="Y43" authorId="0" shapeId="0">
      <text>
        <t>실측(계정 매핑 없음(파생·부문·시세 행) — 모델값 직접) — = 영업이익(부문 미분리)</t>
      </text>
    </comment>
    <comment ref="AA43" authorId="0" shapeId="0">
      <text>
        <t>실측(계정 매핑 없음(파생·부문·시세 행) — 모델값 직접) — = 영업이익(부문 미분리)</t>
      </text>
    </comment>
    <comment ref="AB43" authorId="0" shapeId="0">
      <text>
        <t>실측(계정 매핑 없음(파생·부문·시세 행) — 모델값 직접) — = 영업이익(부문 미분리)</t>
      </text>
    </comment>
    <comment ref="AC43" authorId="0" shapeId="0">
      <text>
        <t>추정: = 매출액 × OPM(부문 미분리)
[identity]</t>
      </text>
    </comment>
    <comment ref="AD43" authorId="0" shapeId="0">
      <text>
        <t>추정: = 매출액 × OPM(부문 미분리)
[identity]</t>
      </text>
    </comment>
    <comment ref="AF43" authorId="0" shapeId="0">
      <text>
        <t>추정: = 매출액 × OPM(부문 미분리)
[identity]</t>
      </text>
    </comment>
    <comment ref="AG43" authorId="0" shapeId="0">
      <text>
        <t>추정: = 매출액 × OPM(부문 미분리)
[identity]</t>
      </text>
    </comment>
    <comment ref="AH43" authorId="0" shapeId="0">
      <text>
        <t>추정: = 매출액 × OPM(부문 미분리)
[identity]</t>
      </text>
    </comment>
    <comment ref="AI43" authorId="0" shapeId="0">
      <text>
        <t>추정: = 매출액 × OPM(부문 미분리)
[identity]</t>
      </text>
    </comment>
    <comment ref="AK43" authorId="0" shapeId="0">
      <text>
        <t>추정: = 매출액 × OPM(부문 미분리)
[identity]</t>
      </text>
    </comment>
    <comment ref="AL43" authorId="0" shapeId="0">
      <text>
        <t>추정: = 매출액 × OPM(부문 미분리)
[identity]</t>
      </text>
    </comment>
    <comment ref="AM43" authorId="0" shapeId="0">
      <text>
        <t>추정: = 매출액 × OPM(부문 미분리)
[identity]</t>
      </text>
    </comment>
    <comment ref="AN43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케이씨씨(002380) 실적 모델 — ARGUS 한국조선</t>
        </is>
      </c>
    </row>
    <row r="2">
      <c r="A2" t="inlineStr">
        <is>
          <t>기준 분기 2026Q2 · 마지막 실적 2026Q2 · 생성 2026-10-12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수식, 조정EPS 는 EPS 참조(일회성 의심 분기만 산식 셀)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22.00% — 법인세 = MAX(세전,0) × 세율, 추정 전 분기 연결(Σ법인세/Σmax(세전,0) 역산, 재현 오차 ≤ 0.05억). 모델 가정 22.00% · 근거: 최근 12분기 유효세율 29.8% 가 5~27% 밖; 세전 &gt; 0 분기 중위 31.2% 도 5~27% 밖 → 법정세율 근사 22% 가정</t>
        </is>
      </c>
    </row>
    <row r="23">
      <c r="A23" t="inlineStr">
        <is>
          <t>· 판관비율 18.87% — 판관비 = 매출액 × 판관비율, 추정 전 분기 연결</t>
        </is>
      </c>
    </row>
    <row r="24">
      <c r="A24" t="inlineStr">
        <is>
          <t>· 지배주주 비중 100.0% — 지배주주순이익 = 당기순이익 × 비중, 추정 전 분기 연결</t>
        </is>
      </c>
    </row>
    <row r="25">
      <c r="A25" t="inlineStr">
        <is>
          <t>· 이자율 자산 0.44% / 부채 6.35% — 이자손익 = (전분기 이자발생자산 × 자산이자율 − 전분기 총차입금 × 부채이자율)/4, 최소자승 역산(모델 assumptions [0.0043, 0.0635] 는 4자리 반올림이라 그대로 쓰면 ±1억 어긋남) · 출처: {"asset": "주석 이자수익 ÷ 평균 이자발생자산(2025Q3~2026Q2)", "debt": "주석 이자비용 ÷ 평균 총차입금(2025Q3~2026Q2)"}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조정EPS(일회성 의심 1분기: 2026Q2 보고 386,061→조정 10,347원) — 의심 분기 = 지배NI − (비영업손익 − 12분기 기준선) × (1 − 세율) × 지배 비중 ÷ 유통주식수(subQ 수식+메모, 세후 초과·지배 비중은 모델 상수), 다른 분기 = EPS. 보고 EPS 행·TP 12M fwd EPS(추정 분기만) 는 불변. 일회성 여부·세효과는 주석 미확인(모델 추정)</t>
        </is>
      </c>
    </row>
    <row r="28">
      <c r="A28" t="inlineStr">
        <is>
          <t>· 연결된 가정: 세율, 판관비율, 지배주주비중, 이자율 · 연결 안 된 가정(모델값·분기별 역산 그대로): 없음</t>
        </is>
      </c>
    </row>
    <row r="29">
      <c r="A29" t="inlineStr">
        <is>
          <t>· 밸류에이션 — PER 밴드 10.0/15.0/20.0배(sector_default(레퍼런스 TP_PE PB 예시 10/15/20배; 과거 PER 중위 3.7배가 캡 5~30 밖 — 턴어라운드 초기 TTM EPS 왜곡)) · COE 9.0% · 12M fwd EPS 가중 0.5(가정). 모델 산출값 구간이며 추천이 아니다</t>
        </is>
      </c>
    </row>
    <row r="30">
      <c r="A30" t="inlineStr"/>
    </row>
    <row r="31">
      <c r="A31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2">
      <c r="A32" t="inlineStr">
        <is>
          <t>재현: cd argus/kship/tools &amp;&amp; python3 kship_model_xlsx.py --model assets/models/002380.json --verify   (모델 json 부터: kship_model.py --build --all --xlsx · xlsx 58사 일괄: kship_model_xlsx.py --all --verify)</t>
        </is>
      </c>
    </row>
    <row r="33">
      <c r="A33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4">
      <c r="A34" t="inlineStr">
        <is>
          <t>한계: 모델 quality.warnings — 매출 드라이버 폴백(고객 연동 OOS 기각 — 동결 2025Q2 이후 4분기 매출 WAPE 연동 32.2% &gt; 추세 3.6% × 1.10 (suppliers_mentions·시차 4·4분기 이동합·창 12, r=0.63 유의)): 전년동기 × (1+g) 추세 / 일회성 의심 2026Q2: 비영업손익 36,305억(영업이익 1,289억의 28배, 12분기 중위 2,244억·기준선 -235억) → 지배NI 28,392억·보고 EPS·FY2026 합계·TTM PER 에 그대로 포함 — 처분이익 등 일회성 여부는 주석 확인 전까지 미확정(12M fwd EPS 에는 미포함) · 조정EPS 10,346.6원(보고 386,060.8원; 초과 비영업손익 36,539억 × (1 − 세율 24.4%) × 지배 비중 1.00 = 27,631억 차감 — 추정, 조정EPS 행) / 기타금융손익(금융손익 − 이자 − 외환 − 파생 잔차) 최근 4분기 중위 +7150.0억이 이자손익 추정 -722.7억의 50% 초과 → 추정 0 — 평가손익·재분류 여부는 주석 확인 / 금융손익 실적→추정 단절: 최근 4분기 실적 +3643/+8610/+2013/+36364(중위 +6127억) → 추정 2026Q3 -723억(차 -6849억, -112%) — 추정은 이자손익 + 기타금융 중위, 외환·파생 평가손익 0 가정(환율 효과는 환관련손익 행). 값은 바꾸지 않음 — 지배NI·EPS 해석 시 참고</t>
        </is>
      </c>
    </row>
    <row r="35">
      <c r="A35" t="inlineStr">
        <is>
          <t>백테스트: {"freeze": "2025Q2", "horizon": 4, "revenue_wape_pct": 32.2, "op_wape_pct": 43.9, "n": 4, "note": "단일 회사 4분기 — 통계 아님", "driver_at_freeze": "customer_yard_revenue_weighted", "selection_oos_at_freeze": {"freeze": "2024Q2", "n": 4, "wape_link": null, "wape_trend": 3.9, "adopted": "undetermined", "decision": "undetermined", "note": "현재 채택 조합(suppliers_mentions·시차 4·ma4·창 8)을 동결 데이터로 재적합할 수 없음(짝·고객 모델 부족) → 연동 WAPE 없음, undetermined(유의성 조건만으로 채택)"},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20450.78, "rev_act": 16228.33, "op_pred": 1349.61, "op_act": 1172.64}, {"q": "2025Q4", "rev_pred": 21141.06, "rev_act": 15564.18, "op_pred": 1395.17, "op_act": 665.27}, {"q": "2026Q1", "rev_pred": 21947.17, "rev_act": 16264.0, "op_pred": 1448.37, "op_act": 881.28}, {"q": "2026Q2", "rev_pred": 23848.0, "rev_act": 18060.19, "op_pred": 1573.81, "op_act": 1288.84}]}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6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3" t="n">
        <v>1386.95</v>
      </c>
      <c r="Y6" s="13" t="n">
        <v>1449.19</v>
      </c>
      <c r="Z6" s="14" t="n">
        <v>1421.52</v>
      </c>
      <c r="AA6" s="13" t="n">
        <v>1466.12</v>
      </c>
      <c r="AB6" s="15" t="n">
        <v>1501.75</v>
      </c>
      <c r="AC6" s="16" t="n">
        <v>1418.75</v>
      </c>
      <c r="AD6" s="16" t="n">
        <v>1345.14</v>
      </c>
      <c r="AE6" s="17" t="n">
        <v>1457.21</v>
      </c>
      <c r="AF6" s="16" t="n">
        <v>1341.49</v>
      </c>
      <c r="AG6" s="16" t="n">
        <v>1341.49</v>
      </c>
      <c r="AH6" s="16" t="n">
        <v>1341.49</v>
      </c>
      <c r="AI6" s="16" t="n">
        <v>1341.49</v>
      </c>
      <c r="AJ6" s="11" t="n"/>
      <c r="AK6" s="16" t="n">
        <v>1341.49</v>
      </c>
      <c r="AL6" s="16" t="n">
        <v>1341.49</v>
      </c>
      <c r="AM6" s="16" t="n">
        <v>1341.49</v>
      </c>
      <c r="AN6" s="16" t="n">
        <v>1341.49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3" t="n">
        <v>1403.67</v>
      </c>
      <c r="Y7" s="13" t="n">
        <v>1444.2</v>
      </c>
      <c r="Z7" s="14" t="n">
        <v>1444.2</v>
      </c>
      <c r="AA7" s="13" t="n">
        <v>1524.8</v>
      </c>
      <c r="AB7" s="15" t="n">
        <v>1550.89</v>
      </c>
      <c r="AC7" s="16" t="n">
        <v>1355.4</v>
      </c>
      <c r="AD7" s="16" t="n">
        <v>1341.49</v>
      </c>
      <c r="AE7" s="17" t="n">
        <v>1341.49</v>
      </c>
      <c r="AF7" s="16" t="n">
        <v>1341.49</v>
      </c>
      <c r="AG7" s="16" t="n">
        <v>1341.49</v>
      </c>
      <c r="AH7" s="16" t="n">
        <v>1341.49</v>
      </c>
      <c r="AI7" s="16" t="n">
        <v>1341.49</v>
      </c>
      <c r="AJ7" s="11" t="n"/>
      <c r="AK7" s="16" t="n">
        <v>1341.49</v>
      </c>
      <c r="AL7" s="16" t="n">
        <v>1341.49</v>
      </c>
      <c r="AM7" s="16" t="n">
        <v>1341.49</v>
      </c>
      <c r="AN7" s="16" t="n">
        <v>1341.49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3" t="n">
        <v>940.3200000000001</v>
      </c>
      <c r="Y8" s="13" t="n">
        <v>940.77</v>
      </c>
      <c r="Z8" s="14" t="n">
        <v>950.17</v>
      </c>
      <c r="AA8" s="13" t="n">
        <v>934.39</v>
      </c>
      <c r="AB8" s="15" t="n">
        <v>942.16</v>
      </c>
      <c r="AC8" s="16" t="n">
        <v>890.41</v>
      </c>
      <c r="AD8" s="16" t="n">
        <v>850.79</v>
      </c>
      <c r="AE8" s="17" t="n">
        <v>919.21</v>
      </c>
      <c r="AF8" s="16" t="n">
        <v>847.7</v>
      </c>
      <c r="AG8" s="16" t="n">
        <v>847.7</v>
      </c>
      <c r="AH8" s="16" t="n">
        <v>847.7</v>
      </c>
      <c r="AI8" s="16" t="n">
        <v>847.7</v>
      </c>
      <c r="AJ8" s="11" t="n"/>
      <c r="AK8" s="16" t="n">
        <v>847.7</v>
      </c>
      <c r="AL8" s="16" t="n">
        <v>847.7</v>
      </c>
      <c r="AM8" s="16" t="n">
        <v>847.7</v>
      </c>
      <c r="AN8" s="16" t="n">
        <v>847.7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3" t="n">
        <v>948.49</v>
      </c>
      <c r="Y9" s="13" t="n">
        <v>921.8099999999999</v>
      </c>
      <c r="Z9" s="14" t="n">
        <v>921.8099999999999</v>
      </c>
      <c r="AA9" s="13" t="n">
        <v>955.99</v>
      </c>
      <c r="AB9" s="15" t="n">
        <v>954.75</v>
      </c>
      <c r="AC9" s="16" t="n">
        <v>863.3099999999999</v>
      </c>
      <c r="AD9" s="16" t="n">
        <v>847.7</v>
      </c>
      <c r="AE9" s="17" t="n">
        <v>847.7</v>
      </c>
      <c r="AF9" s="16" t="n">
        <v>847.7</v>
      </c>
      <c r="AG9" s="16" t="n">
        <v>847.7</v>
      </c>
      <c r="AH9" s="16" t="n">
        <v>847.7</v>
      </c>
      <c r="AI9" s="16" t="n">
        <v>847.7</v>
      </c>
      <c r="AJ9" s="11" t="n"/>
      <c r="AK9" s="16" t="n">
        <v>847.7</v>
      </c>
      <c r="AL9" s="16" t="n">
        <v>847.7</v>
      </c>
      <c r="AM9" s="16" t="n">
        <v>847.7</v>
      </c>
      <c r="AN9" s="16" t="n">
        <v>847.7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3" t="n">
        <v>1620.04</v>
      </c>
      <c r="Y10" s="13" t="n">
        <v>1686.02</v>
      </c>
      <c r="Z10" s="14" t="n">
        <v>1605.45</v>
      </c>
      <c r="AA10" s="13" t="n">
        <v>1715.47</v>
      </c>
      <c r="AB10" s="15" t="n">
        <v>1746.09</v>
      </c>
      <c r="AC10" s="16" t="n">
        <v>1631.97</v>
      </c>
      <c r="AD10" s="16" t="n">
        <v>1509.74</v>
      </c>
      <c r="AE10" s="17" t="n">
        <v>1689.95</v>
      </c>
      <c r="AF10" s="16" t="n">
        <v>1503.27</v>
      </c>
      <c r="AG10" s="16" t="n">
        <v>1503.27</v>
      </c>
      <c r="AH10" s="16" t="n">
        <v>1503.27</v>
      </c>
      <c r="AI10" s="16" t="n">
        <v>1503.27</v>
      </c>
      <c r="AJ10" s="11" t="n"/>
      <c r="AK10" s="16" t="n">
        <v>1503.27</v>
      </c>
      <c r="AL10" s="16" t="n">
        <v>1503.27</v>
      </c>
      <c r="AM10" s="16" t="n">
        <v>1503.27</v>
      </c>
      <c r="AN10" s="16" t="n">
        <v>1503.27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3" t="n">
        <v>1648.04</v>
      </c>
      <c r="Y11" s="13" t="n">
        <v>1696.94</v>
      </c>
      <c r="Z11" s="14" t="n">
        <v>1696.94</v>
      </c>
      <c r="AA11" s="13" t="n">
        <v>1753.21</v>
      </c>
      <c r="AB11" s="15" t="n">
        <v>1767.09</v>
      </c>
      <c r="AC11" s="16" t="n">
        <v>1539.06</v>
      </c>
      <c r="AD11" s="16" t="n">
        <v>1503.27</v>
      </c>
      <c r="AE11" s="17" t="n">
        <v>1503.27</v>
      </c>
      <c r="AF11" s="16" t="n">
        <v>1503.27</v>
      </c>
      <c r="AG11" s="16" t="n">
        <v>1503.27</v>
      </c>
      <c r="AH11" s="16" t="n">
        <v>1503.27</v>
      </c>
      <c r="AI11" s="16" t="n">
        <v>1503.27</v>
      </c>
      <c r="AJ11" s="11" t="n"/>
      <c r="AK11" s="16" t="n">
        <v>1503.27</v>
      </c>
      <c r="AL11" s="16" t="n">
        <v>1503.27</v>
      </c>
      <c r="AM11" s="16" t="n">
        <v>1503.27</v>
      </c>
      <c r="AN11" s="16" t="n">
        <v>1503.27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3" t="n">
        <v>193.79</v>
      </c>
      <c r="Y12" s="13" t="n">
        <v>204.38</v>
      </c>
      <c r="Z12" s="14" t="n">
        <v>197.8</v>
      </c>
      <c r="AA12" s="13" t="n">
        <v>211.75</v>
      </c>
      <c r="AB12" s="15" t="n">
        <v>220.8</v>
      </c>
      <c r="AC12" s="16" t="n">
        <v>210.43</v>
      </c>
      <c r="AD12" s="16" t="n">
        <v>200.69</v>
      </c>
      <c r="AE12" s="17" t="n">
        <v>213.75</v>
      </c>
      <c r="AF12" s="16" t="n">
        <v>200.46</v>
      </c>
      <c r="AG12" s="16" t="n">
        <v>200.46</v>
      </c>
      <c r="AH12" s="16" t="n">
        <v>200.46</v>
      </c>
      <c r="AI12" s="16" t="n">
        <v>200.46</v>
      </c>
      <c r="AJ12" s="11" t="n"/>
      <c r="AK12" s="16" t="n">
        <v>200.46</v>
      </c>
      <c r="AL12" s="16" t="n">
        <v>200.46</v>
      </c>
      <c r="AM12" s="16" t="n">
        <v>200.46</v>
      </c>
      <c r="AN12" s="16" t="n">
        <v>200.46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3" t="n">
        <v>197.16</v>
      </c>
      <c r="Y13" s="13" t="n">
        <v>206.28</v>
      </c>
      <c r="Z13" s="14" t="n">
        <v>206.28</v>
      </c>
      <c r="AA13" s="13" t="n">
        <v>220.97</v>
      </c>
      <c r="AB13" s="15" t="n">
        <v>228.56</v>
      </c>
      <c r="AC13" s="16" t="n">
        <v>202.16</v>
      </c>
      <c r="AD13" s="16" t="n">
        <v>200.46</v>
      </c>
      <c r="AE13" s="17" t="n">
        <v>200.46</v>
      </c>
      <c r="AF13" s="16" t="n">
        <v>200.46</v>
      </c>
      <c r="AG13" s="16" t="n">
        <v>200.46</v>
      </c>
      <c r="AH13" s="16" t="n">
        <v>200.46</v>
      </c>
      <c r="AI13" s="16" t="n">
        <v>200.46</v>
      </c>
      <c r="AJ13" s="11" t="n"/>
      <c r="AK13" s="16" t="n">
        <v>200.46</v>
      </c>
      <c r="AL13" s="16" t="n">
        <v>200.46</v>
      </c>
      <c r="AM13" s="16" t="n">
        <v>200.46</v>
      </c>
      <c r="AN13" s="16" t="n">
        <v>200.46</v>
      </c>
      <c r="AO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315000</v>
      </c>
      <c r="F15" s="9" t="n"/>
      <c r="G15" s="18" t="n">
        <v>342000</v>
      </c>
      <c r="H15" s="18" t="n">
        <v>287500</v>
      </c>
      <c r="I15" s="18" t="n">
        <v>231500</v>
      </c>
      <c r="J15" s="18" t="n">
        <v>204500</v>
      </c>
      <c r="K15" s="9" t="n"/>
      <c r="L15" s="18" t="n">
        <v>222000</v>
      </c>
      <c r="M15" s="18" t="n">
        <v>196400</v>
      </c>
      <c r="N15" s="18" t="n">
        <v>246500</v>
      </c>
      <c r="O15" s="18" t="n">
        <v>228500</v>
      </c>
      <c r="P15" s="9" t="n"/>
      <c r="Q15" s="18" t="n">
        <v>259500</v>
      </c>
      <c r="R15" s="18" t="n">
        <v>308500</v>
      </c>
      <c r="S15" s="18" t="n">
        <v>301500</v>
      </c>
      <c r="T15" s="18" t="n">
        <v>235500</v>
      </c>
      <c r="U15" s="9" t="n"/>
      <c r="V15" s="18" t="n">
        <v>252500</v>
      </c>
      <c r="W15" s="18" t="n">
        <v>312000</v>
      </c>
      <c r="X15" s="18" t="n">
        <v>384000</v>
      </c>
      <c r="Y15" s="18" t="n">
        <v>420500</v>
      </c>
      <c r="Z15" s="9" t="n"/>
      <c r="AA15" s="18" t="n">
        <v>482000</v>
      </c>
      <c r="AB15" s="19" t="n">
        <v>486500</v>
      </c>
      <c r="AC15" s="20" t="n">
        <v>470500</v>
      </c>
      <c r="AD15" s="20" t="n">
        <v>455000</v>
      </c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420500</v>
      </c>
      <c r="F16" s="9" t="n"/>
      <c r="G16" s="18" t="n">
        <v>414500</v>
      </c>
      <c r="H16" s="18" t="n">
        <v>382500</v>
      </c>
      <c r="I16" s="18" t="n">
        <v>319500</v>
      </c>
      <c r="J16" s="18" t="n">
        <v>266000</v>
      </c>
      <c r="K16" s="9" t="n"/>
      <c r="L16" s="18" t="n">
        <v>261500</v>
      </c>
      <c r="M16" s="18" t="n">
        <v>244500</v>
      </c>
      <c r="N16" s="18" t="n">
        <v>271500</v>
      </c>
      <c r="O16" s="18" t="n">
        <v>250500</v>
      </c>
      <c r="P16" s="9" t="n"/>
      <c r="Q16" s="18" t="n">
        <v>294000</v>
      </c>
      <c r="R16" s="18" t="n">
        <v>327500</v>
      </c>
      <c r="S16" s="18" t="n">
        <v>345000</v>
      </c>
      <c r="T16" s="18" t="n">
        <v>306500</v>
      </c>
      <c r="U16" s="9" t="n"/>
      <c r="V16" s="18" t="n">
        <v>289500</v>
      </c>
      <c r="W16" s="18" t="n">
        <v>344000</v>
      </c>
      <c r="X16" s="18" t="n">
        <v>441000</v>
      </c>
      <c r="Y16" s="18" t="n">
        <v>460000</v>
      </c>
      <c r="Z16" s="9" t="n"/>
      <c r="AA16" s="18" t="n">
        <v>692000</v>
      </c>
      <c r="AB16" s="19" t="n">
        <v>656000</v>
      </c>
      <c r="AC16" s="20" t="n">
        <v>514000</v>
      </c>
      <c r="AD16" s="20" t="n">
        <v>479000</v>
      </c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271000</v>
      </c>
      <c r="F17" s="9" t="n"/>
      <c r="G17" s="18" t="n">
        <v>296000</v>
      </c>
      <c r="H17" s="18" t="n">
        <v>268000</v>
      </c>
      <c r="I17" s="18" t="n">
        <v>227500</v>
      </c>
      <c r="J17" s="18" t="n">
        <v>203500</v>
      </c>
      <c r="K17" s="9" t="n"/>
      <c r="L17" s="18" t="n">
        <v>191500</v>
      </c>
      <c r="M17" s="18" t="n">
        <v>192000</v>
      </c>
      <c r="N17" s="18" t="n">
        <v>186700</v>
      </c>
      <c r="O17" s="18" t="n">
        <v>207000</v>
      </c>
      <c r="P17" s="9" t="n"/>
      <c r="Q17" s="18" t="n">
        <v>199900</v>
      </c>
      <c r="R17" s="18" t="n">
        <v>225000</v>
      </c>
      <c r="S17" s="18" t="n">
        <v>270500</v>
      </c>
      <c r="T17" s="18" t="n">
        <v>216500</v>
      </c>
      <c r="U17" s="9" t="n"/>
      <c r="V17" s="18" t="n">
        <v>226500</v>
      </c>
      <c r="W17" s="18" t="n">
        <v>231000</v>
      </c>
      <c r="X17" s="18" t="n">
        <v>314000</v>
      </c>
      <c r="Y17" s="18" t="n">
        <v>367000</v>
      </c>
      <c r="Z17" s="9" t="n"/>
      <c r="AA17" s="18" t="n">
        <v>382500</v>
      </c>
      <c r="AB17" s="19" t="n">
        <v>452000</v>
      </c>
      <c r="AC17" s="20" t="n">
        <v>336000</v>
      </c>
      <c r="AD17" s="20" t="n">
        <v>452000</v>
      </c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328738.1</v>
      </c>
      <c r="F18" s="9" t="n"/>
      <c r="G18" s="18" t="n">
        <v>348330.5</v>
      </c>
      <c r="H18" s="18" t="n">
        <v>329846.8</v>
      </c>
      <c r="I18" s="18" t="n">
        <v>284865.1</v>
      </c>
      <c r="J18" s="18" t="n">
        <v>239016.1</v>
      </c>
      <c r="K18" s="9" t="n"/>
      <c r="L18" s="18" t="n">
        <v>229911.3</v>
      </c>
      <c r="M18" s="18" t="n">
        <v>215073.8</v>
      </c>
      <c r="N18" s="18" t="n">
        <v>216145.2</v>
      </c>
      <c r="O18" s="18" t="n">
        <v>229691.7</v>
      </c>
      <c r="P18" s="9" t="n"/>
      <c r="Q18" s="18" t="n">
        <v>253950.8</v>
      </c>
      <c r="R18" s="18" t="n">
        <v>277025</v>
      </c>
      <c r="S18" s="18" t="n">
        <v>306096.8</v>
      </c>
      <c r="T18" s="18" t="n">
        <v>249426.2</v>
      </c>
      <c r="U18" s="9" t="n"/>
      <c r="V18" s="18" t="n">
        <v>263310.3</v>
      </c>
      <c r="W18" s="18" t="n">
        <v>275991.7</v>
      </c>
      <c r="X18" s="18" t="n">
        <v>379915.4</v>
      </c>
      <c r="Y18" s="18" t="n">
        <v>415796.6</v>
      </c>
      <c r="Z18" s="9" t="n"/>
      <c r="AA18" s="18" t="n">
        <v>502076.3</v>
      </c>
      <c r="AB18" s="19" t="n">
        <v>534524.6</v>
      </c>
      <c r="AC18" s="20" t="n">
        <v>451483.9</v>
      </c>
      <c r="AD18" s="20" t="n">
        <v>466583.3</v>
      </c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F19" s="9" t="n"/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21" t="n"/>
      <c r="F21" s="22" t="n"/>
      <c r="G21" s="21" t="n"/>
      <c r="H21" s="21" t="n"/>
      <c r="I21" s="21" t="n"/>
      <c r="J21" s="21">
        <f>IFERROR(subQ!J5/subQ!E5-1,"")</f>
        <v/>
      </c>
      <c r="K21" s="22" t="n"/>
      <c r="L21" s="21">
        <f>IFERROR(subQ!L5/subQ!G5-1,"")</f>
        <v/>
      </c>
      <c r="M21" s="21">
        <f>IFERROR(subQ!M5/subQ!H5-1,"")</f>
        <v/>
      </c>
      <c r="N21" s="21">
        <f>IFERROR(subQ!N5/subQ!I5-1,"")</f>
        <v/>
      </c>
      <c r="O21" s="21">
        <f>IFERROR(subQ!O5/subQ!J5-1,"")</f>
        <v/>
      </c>
      <c r="P21" s="22" t="n"/>
      <c r="Q21" s="21">
        <f>IFERROR(subQ!Q5/subQ!L5-1,"")</f>
        <v/>
      </c>
      <c r="R21" s="21">
        <f>IFERROR(subQ!R5/subQ!M5-1,"")</f>
        <v/>
      </c>
      <c r="S21" s="21">
        <f>IFERROR(subQ!S5/subQ!N5-1,"")</f>
        <v/>
      </c>
      <c r="T21" s="21">
        <f>IFERROR(subQ!T5/subQ!O5-1,"")</f>
        <v/>
      </c>
      <c r="U21" s="22" t="n"/>
      <c r="V21" s="21">
        <f>IFERROR(subQ!V5/subQ!Q5-1,"")</f>
        <v/>
      </c>
      <c r="W21" s="21">
        <f>IFERROR(subQ!W5/subQ!R5-1,"")</f>
        <v/>
      </c>
      <c r="X21" s="21">
        <f>IFERROR(subQ!X5/subQ!S5-1,"")</f>
        <v/>
      </c>
      <c r="Y21" s="21">
        <f>IFERROR(subQ!Y5/subQ!T5-1,"")</f>
        <v/>
      </c>
      <c r="Z21" s="22" t="n"/>
      <c r="AA21" s="21">
        <f>IFERROR(subQ!AA5/subQ!V5-1,"")</f>
        <v/>
      </c>
      <c r="AB21" s="23">
        <f>IFERROR(subQ!AB5/subQ!W5-1,"")</f>
        <v/>
      </c>
      <c r="AC21" s="24" t="n">
        <v>0.002340026</v>
      </c>
      <c r="AD21" s="24" t="n">
        <v>0.002340156</v>
      </c>
      <c r="AE21" s="25" t="n"/>
      <c r="AF21" s="24" t="n">
        <v>0.002340415</v>
      </c>
      <c r="AG21" s="24" t="n">
        <v>0.002340429</v>
      </c>
      <c r="AH21" s="24" t="n">
        <v>0.001170518</v>
      </c>
      <c r="AI21" s="24" t="n">
        <v>0.001170468</v>
      </c>
      <c r="AJ21" s="25" t="n"/>
      <c r="AK21" s="24" t="n">
        <v>0.001169791</v>
      </c>
      <c r="AL21" s="24" t="n">
        <v>0.001170007</v>
      </c>
      <c r="AM21" s="24" t="n">
        <v>0.000584575</v>
      </c>
      <c r="AN21" s="24" t="n">
        <v>0.00058455</v>
      </c>
      <c r="AO21" s="25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21">
        <f>IFERROR(subQ!E8/subQ!E5,"")</f>
        <v/>
      </c>
      <c r="F22" s="22">
        <f>IFERROR(subQ!F8/subQ!F5,"")</f>
        <v/>
      </c>
      <c r="G22" s="21">
        <f>IFERROR(subQ!G8/subQ!G5,"")</f>
        <v/>
      </c>
      <c r="H22" s="21">
        <f>IFERROR(subQ!H8/subQ!H5,"")</f>
        <v/>
      </c>
      <c r="I22" s="21">
        <f>IFERROR(subQ!I8/subQ!I5,"")</f>
        <v/>
      </c>
      <c r="J22" s="21">
        <f>IFERROR(subQ!J8/subQ!J5,"")</f>
        <v/>
      </c>
      <c r="K22" s="22">
        <f>IFERROR(subQ!K8/subQ!K5,"")</f>
        <v/>
      </c>
      <c r="L22" s="21">
        <f>IFERROR(subQ!L8/subQ!L5,"")</f>
        <v/>
      </c>
      <c r="M22" s="21">
        <f>IFERROR(subQ!M8/subQ!M5,"")</f>
        <v/>
      </c>
      <c r="N22" s="21">
        <f>IFERROR(subQ!N8/subQ!N5,"")</f>
        <v/>
      </c>
      <c r="O22" s="21">
        <f>IFERROR(subQ!O8/subQ!O5,"")</f>
        <v/>
      </c>
      <c r="P22" s="22">
        <f>IFERROR(subQ!P8/subQ!P5,"")</f>
        <v/>
      </c>
      <c r="Q22" s="21">
        <f>IFERROR(subQ!Q8/subQ!Q5,"")</f>
        <v/>
      </c>
      <c r="R22" s="21">
        <f>IFERROR(subQ!R8/subQ!R5,"")</f>
        <v/>
      </c>
      <c r="S22" s="21">
        <f>IFERROR(subQ!S8/subQ!S5,"")</f>
        <v/>
      </c>
      <c r="T22" s="21">
        <f>IFERROR(subQ!T8/subQ!T5,"")</f>
        <v/>
      </c>
      <c r="U22" s="22">
        <f>IFERROR(subQ!U8/subQ!U5,"")</f>
        <v/>
      </c>
      <c r="V22" s="21">
        <f>IFERROR(subQ!V8/subQ!V5,"")</f>
        <v/>
      </c>
      <c r="W22" s="21">
        <f>IFERROR(subQ!W8/subQ!W5,"")</f>
        <v/>
      </c>
      <c r="X22" s="21">
        <f>IFERROR(subQ!X8/subQ!X5,"")</f>
        <v/>
      </c>
      <c r="Y22" s="21">
        <f>IFERROR(subQ!Y8/subQ!Y5,"")</f>
        <v/>
      </c>
      <c r="Z22" s="22">
        <f>IFERROR(subQ!Z8/subQ!Z5,"")</f>
        <v/>
      </c>
      <c r="AA22" s="21">
        <f>IFERROR(subQ!AA8/subQ!AA5,"")</f>
        <v/>
      </c>
      <c r="AB22" s="23">
        <f>IFERROR(subQ!AB8/subQ!AB5,"")</f>
        <v/>
      </c>
      <c r="AC22" s="26">
        <f>$D$54</f>
        <v/>
      </c>
      <c r="AD22" s="26">
        <f>$D$54</f>
        <v/>
      </c>
      <c r="AE22" s="25">
        <f>IFERROR(subQ!AE8/subQ!AE5,"")</f>
        <v/>
      </c>
      <c r="AF22" s="26">
        <f>$D$54</f>
        <v/>
      </c>
      <c r="AG22" s="26">
        <f>$D$54</f>
        <v/>
      </c>
      <c r="AH22" s="26">
        <f>$D$54</f>
        <v/>
      </c>
      <c r="AI22" s="26">
        <f>$D$54</f>
        <v/>
      </c>
      <c r="AJ22" s="25">
        <f>IFERROR(subQ!AJ8/subQ!AJ5,"")</f>
        <v/>
      </c>
      <c r="AK22" s="26">
        <f>$D$54</f>
        <v/>
      </c>
      <c r="AL22" s="26">
        <f>$D$54</f>
        <v/>
      </c>
      <c r="AM22" s="26">
        <f>$D$54</f>
        <v/>
      </c>
      <c r="AN22" s="26">
        <f>$D$54</f>
        <v/>
      </c>
      <c r="AO22" s="25">
        <f>IFERROR(subQ!AO8/subQ!AO5,"")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21">
        <f>IFERROR(subQ!E9/subQ!E5,"")</f>
        <v/>
      </c>
      <c r="F23" s="22">
        <f>IFERROR(subQ!F9/subQ!F5,"")</f>
        <v/>
      </c>
      <c r="G23" s="21">
        <f>IFERROR(subQ!G9/subQ!G5,"")</f>
        <v/>
      </c>
      <c r="H23" s="21">
        <f>IFERROR(subQ!H9/subQ!H5,"")</f>
        <v/>
      </c>
      <c r="I23" s="21">
        <f>IFERROR(subQ!I9/subQ!I5,"")</f>
        <v/>
      </c>
      <c r="J23" s="21">
        <f>IFERROR(subQ!J9/subQ!J5,"")</f>
        <v/>
      </c>
      <c r="K23" s="22">
        <f>IFERROR(subQ!K9/subQ!K5,"")</f>
        <v/>
      </c>
      <c r="L23" s="21">
        <f>IFERROR(subQ!L9/subQ!L5,"")</f>
        <v/>
      </c>
      <c r="M23" s="21">
        <f>IFERROR(subQ!M9/subQ!M5,"")</f>
        <v/>
      </c>
      <c r="N23" s="21">
        <f>IFERROR(subQ!N9/subQ!N5,"")</f>
        <v/>
      </c>
      <c r="O23" s="21">
        <f>IFERROR(subQ!O9/subQ!O5,"")</f>
        <v/>
      </c>
      <c r="P23" s="22">
        <f>IFERROR(subQ!P9/subQ!P5,"")</f>
        <v/>
      </c>
      <c r="Q23" s="21">
        <f>IFERROR(subQ!Q9/subQ!Q5,"")</f>
        <v/>
      </c>
      <c r="R23" s="21">
        <f>IFERROR(subQ!R9/subQ!R5,"")</f>
        <v/>
      </c>
      <c r="S23" s="21">
        <f>IFERROR(subQ!S9/subQ!S5,"")</f>
        <v/>
      </c>
      <c r="T23" s="21">
        <f>IFERROR(subQ!T9/subQ!T5,"")</f>
        <v/>
      </c>
      <c r="U23" s="22">
        <f>IFERROR(subQ!U9/subQ!U5,"")</f>
        <v/>
      </c>
      <c r="V23" s="21">
        <f>IFERROR(subQ!V9/subQ!V5,"")</f>
        <v/>
      </c>
      <c r="W23" s="21">
        <f>IFERROR(subQ!W9/subQ!W5,"")</f>
        <v/>
      </c>
      <c r="X23" s="21">
        <f>IFERROR(subQ!X9/subQ!X5,"")</f>
        <v/>
      </c>
      <c r="Y23" s="21">
        <f>IFERROR(subQ!Y9/subQ!Y5,"")</f>
        <v/>
      </c>
      <c r="Z23" s="22">
        <f>IFERROR(subQ!Z9/subQ!Z5,"")</f>
        <v/>
      </c>
      <c r="AA23" s="21">
        <f>IFERROR(subQ!AA9/subQ!AA5,"")</f>
        <v/>
      </c>
      <c r="AB23" s="23">
        <f>IFERROR(subQ!AB9/subQ!AB5,"")</f>
        <v/>
      </c>
      <c r="AC23" s="24" t="n">
        <v>0.06802223</v>
      </c>
      <c r="AD23" s="24" t="n">
        <v>0.06802238400000001</v>
      </c>
      <c r="AE23" s="25">
        <f>IFERROR(subQ!AE9/subQ!AE5,"")</f>
        <v/>
      </c>
      <c r="AF23" s="24" t="n">
        <v>0.068022078</v>
      </c>
      <c r="AG23" s="24" t="n">
        <v>0.06802224699999999</v>
      </c>
      <c r="AH23" s="24" t="n">
        <v>0.068021914</v>
      </c>
      <c r="AI23" s="24" t="n">
        <v>0.06802225000000001</v>
      </c>
      <c r="AJ23" s="25">
        <f>IFERROR(subQ!AJ9/subQ!AJ5,"")</f>
        <v/>
      </c>
      <c r="AK23" s="24" t="n">
        <v>0.06802225100000001</v>
      </c>
      <c r="AL23" s="24" t="n">
        <v>0.068022207</v>
      </c>
      <c r="AM23" s="24" t="n">
        <v>0.06802206299999999</v>
      </c>
      <c r="AN23" s="24" t="n">
        <v>0.068022183</v>
      </c>
      <c r="AO23" s="25">
        <f>IFERROR(subQ!AO9/subQ!AO5,"")</f>
        <v/>
      </c>
    </row>
    <row r="24">
      <c r="A24" s="12" t="inlineStr">
        <is>
          <t>drv:외환손익</t>
        </is>
      </c>
      <c r="B24" s="2" t="inlineStr">
        <is>
          <t>abs</t>
        </is>
      </c>
      <c r="C24" t="inlineStr">
        <is>
          <t>외환손익 (가정, 억원)</t>
        </is>
      </c>
      <c r="E24" s="27">
        <f>subQ!E13</f>
        <v/>
      </c>
      <c r="F24" s="28">
        <f>subQ!F13</f>
        <v/>
      </c>
      <c r="G24" s="27">
        <f>subQ!G13</f>
        <v/>
      </c>
      <c r="H24" s="27">
        <f>subQ!H13</f>
        <v/>
      </c>
      <c r="I24" s="27">
        <f>subQ!I13</f>
        <v/>
      </c>
      <c r="J24" s="27">
        <f>subQ!J13</f>
        <v/>
      </c>
      <c r="K24" s="28">
        <f>subQ!K13</f>
        <v/>
      </c>
      <c r="L24" s="27">
        <f>subQ!L13</f>
        <v/>
      </c>
      <c r="M24" s="27">
        <f>subQ!M13</f>
        <v/>
      </c>
      <c r="N24" s="27">
        <f>subQ!N13</f>
        <v/>
      </c>
      <c r="O24" s="27">
        <f>subQ!O13</f>
        <v/>
      </c>
      <c r="P24" s="28">
        <f>subQ!P13</f>
        <v/>
      </c>
      <c r="Q24" s="27">
        <f>subQ!Q13</f>
        <v/>
      </c>
      <c r="R24" s="27">
        <f>subQ!R13</f>
        <v/>
      </c>
      <c r="S24" s="27">
        <f>subQ!S13</f>
        <v/>
      </c>
      <c r="T24" s="27">
        <f>subQ!T13</f>
        <v/>
      </c>
      <c r="U24" s="28">
        <f>subQ!U13</f>
        <v/>
      </c>
      <c r="V24" s="27">
        <f>subQ!V13</f>
        <v/>
      </c>
      <c r="W24" s="27">
        <f>subQ!W13</f>
        <v/>
      </c>
      <c r="X24" s="27">
        <f>subQ!X13</f>
        <v/>
      </c>
      <c r="Y24" s="27">
        <f>subQ!Y13</f>
        <v/>
      </c>
      <c r="Z24" s="28">
        <f>subQ!Z13</f>
        <v/>
      </c>
      <c r="AA24" s="27">
        <f>subQ!AA13</f>
        <v/>
      </c>
      <c r="AB24" s="29">
        <f>subQ!AB13</f>
        <v/>
      </c>
      <c r="AC24" s="30" t="n">
        <v>0</v>
      </c>
      <c r="AD24" s="30" t="n">
        <v>0</v>
      </c>
      <c r="AE24" s="31">
        <f>subQ!AE13</f>
        <v/>
      </c>
      <c r="AF24" s="30" t="n">
        <v>0</v>
      </c>
      <c r="AG24" s="30" t="n">
        <v>0</v>
      </c>
      <c r="AH24" s="30" t="n">
        <v>0</v>
      </c>
      <c r="AI24" s="30" t="n">
        <v>0</v>
      </c>
      <c r="AJ24" s="31">
        <f>subQ!AJ13</f>
        <v/>
      </c>
      <c r="AK24" s="30" t="n">
        <v>0</v>
      </c>
      <c r="AL24" s="30" t="n">
        <v>0</v>
      </c>
      <c r="AM24" s="30" t="n">
        <v>0</v>
      </c>
      <c r="AN24" s="30" t="n">
        <v>0</v>
      </c>
      <c r="AO24" s="31">
        <f>subQ!AO13</f>
        <v/>
      </c>
    </row>
    <row r="25">
      <c r="A25" s="12" t="inlineStr">
        <is>
          <t>drv:파생상품손익</t>
        </is>
      </c>
      <c r="B25" s="2" t="inlineStr">
        <is>
          <t>abs</t>
        </is>
      </c>
      <c r="C25" t="inlineStr">
        <is>
          <t>파생상품손익 (가정, 억원)</t>
        </is>
      </c>
      <c r="E25" s="27">
        <f>subQ!E14</f>
        <v/>
      </c>
      <c r="F25" s="28">
        <f>subQ!F14</f>
        <v/>
      </c>
      <c r="G25" s="27">
        <f>subQ!G14</f>
        <v/>
      </c>
      <c r="H25" s="27">
        <f>subQ!H14</f>
        <v/>
      </c>
      <c r="I25" s="27">
        <f>subQ!I14</f>
        <v/>
      </c>
      <c r="J25" s="27">
        <f>subQ!J14</f>
        <v/>
      </c>
      <c r="K25" s="28">
        <f>subQ!K14</f>
        <v/>
      </c>
      <c r="L25" s="27">
        <f>subQ!L14</f>
        <v/>
      </c>
      <c r="M25" s="27">
        <f>subQ!M14</f>
        <v/>
      </c>
      <c r="N25" s="27">
        <f>subQ!N14</f>
        <v/>
      </c>
      <c r="O25" s="27">
        <f>subQ!O14</f>
        <v/>
      </c>
      <c r="P25" s="28">
        <f>subQ!P14</f>
        <v/>
      </c>
      <c r="Q25" s="27">
        <f>subQ!Q14</f>
        <v/>
      </c>
      <c r="R25" s="27">
        <f>subQ!R14</f>
        <v/>
      </c>
      <c r="S25" s="27">
        <f>subQ!S14</f>
        <v/>
      </c>
      <c r="T25" s="27">
        <f>subQ!T14</f>
        <v/>
      </c>
      <c r="U25" s="28">
        <f>subQ!U14</f>
        <v/>
      </c>
      <c r="V25" s="27">
        <f>subQ!V14</f>
        <v/>
      </c>
      <c r="W25" s="27">
        <f>subQ!W14</f>
        <v/>
      </c>
      <c r="X25" s="27">
        <f>subQ!X14</f>
        <v/>
      </c>
      <c r="Y25" s="27">
        <f>subQ!Y14</f>
        <v/>
      </c>
      <c r="Z25" s="28">
        <f>subQ!Z14</f>
        <v/>
      </c>
      <c r="AA25" s="27">
        <f>subQ!AA14</f>
        <v/>
      </c>
      <c r="AB25" s="29">
        <f>subQ!AB14</f>
        <v/>
      </c>
      <c r="AC25" s="30" t="n">
        <v>0</v>
      </c>
      <c r="AD25" s="30" t="n">
        <v>0</v>
      </c>
      <c r="AE25" s="31">
        <f>subQ!AE14</f>
        <v/>
      </c>
      <c r="AF25" s="30" t="n">
        <v>0</v>
      </c>
      <c r="AG25" s="30" t="n">
        <v>0</v>
      </c>
      <c r="AH25" s="30" t="n">
        <v>0</v>
      </c>
      <c r="AI25" s="30" t="n">
        <v>0</v>
      </c>
      <c r="AJ25" s="31">
        <f>subQ!AJ14</f>
        <v/>
      </c>
      <c r="AK25" s="30" t="n">
        <v>0</v>
      </c>
      <c r="AL25" s="30" t="n">
        <v>0</v>
      </c>
      <c r="AM25" s="30" t="n">
        <v>0</v>
      </c>
      <c r="AN25" s="30" t="n">
        <v>0</v>
      </c>
      <c r="AO25" s="31">
        <f>subQ!AO14</f>
        <v/>
      </c>
    </row>
    <row r="26">
      <c r="A26" s="12" t="inlineStr">
        <is>
          <t>drv:기타금융손익</t>
        </is>
      </c>
      <c r="B26" s="2" t="inlineStr">
        <is>
          <t>abs</t>
        </is>
      </c>
      <c r="C26" t="inlineStr">
        <is>
          <t>기타금융손익 (가정, 억원)</t>
        </is>
      </c>
      <c r="E26" s="27">
        <f>subQ!E15</f>
        <v/>
      </c>
      <c r="F26" s="28">
        <f>subQ!F15</f>
        <v/>
      </c>
      <c r="G26" s="27">
        <f>subQ!G15</f>
        <v/>
      </c>
      <c r="H26" s="27">
        <f>subQ!H15</f>
        <v/>
      </c>
      <c r="I26" s="27">
        <f>subQ!I15</f>
        <v/>
      </c>
      <c r="J26" s="27">
        <f>subQ!J15</f>
        <v/>
      </c>
      <c r="K26" s="28">
        <f>subQ!K15</f>
        <v/>
      </c>
      <c r="L26" s="27">
        <f>subQ!L15</f>
        <v/>
      </c>
      <c r="M26" s="27">
        <f>subQ!M15</f>
        <v/>
      </c>
      <c r="N26" s="27">
        <f>subQ!N15</f>
        <v/>
      </c>
      <c r="O26" s="27">
        <f>subQ!O15</f>
        <v/>
      </c>
      <c r="P26" s="28">
        <f>subQ!P15</f>
        <v/>
      </c>
      <c r="Q26" s="27">
        <f>subQ!Q15</f>
        <v/>
      </c>
      <c r="R26" s="27">
        <f>subQ!R15</f>
        <v/>
      </c>
      <c r="S26" s="27">
        <f>subQ!S15</f>
        <v/>
      </c>
      <c r="T26" s="27">
        <f>subQ!T15</f>
        <v/>
      </c>
      <c r="U26" s="28">
        <f>subQ!U15</f>
        <v/>
      </c>
      <c r="V26" s="27">
        <f>subQ!V15</f>
        <v/>
      </c>
      <c r="W26" s="27">
        <f>subQ!W15</f>
        <v/>
      </c>
      <c r="X26" s="27">
        <f>subQ!X15</f>
        <v/>
      </c>
      <c r="Y26" s="27">
        <f>subQ!Y15</f>
        <v/>
      </c>
      <c r="Z26" s="28">
        <f>subQ!Z15</f>
        <v/>
      </c>
      <c r="AA26" s="27">
        <f>subQ!AA15</f>
        <v/>
      </c>
      <c r="AB26" s="29">
        <f>subQ!AB15</f>
        <v/>
      </c>
      <c r="AC26" s="30" t="n">
        <v>0</v>
      </c>
      <c r="AD26" s="30" t="n">
        <v>0</v>
      </c>
      <c r="AE26" s="31">
        <f>subQ!AE15</f>
        <v/>
      </c>
      <c r="AF26" s="30" t="n">
        <v>0</v>
      </c>
      <c r="AG26" s="30" t="n">
        <v>0</v>
      </c>
      <c r="AH26" s="30" t="n">
        <v>0</v>
      </c>
      <c r="AI26" s="30" t="n">
        <v>0</v>
      </c>
      <c r="AJ26" s="31">
        <f>subQ!AJ15</f>
        <v/>
      </c>
      <c r="AK26" s="30" t="n">
        <v>0</v>
      </c>
      <c r="AL26" s="30" t="n">
        <v>0</v>
      </c>
      <c r="AM26" s="30" t="n">
        <v>0</v>
      </c>
      <c r="AN26" s="30" t="n">
        <v>0</v>
      </c>
      <c r="AO26" s="31">
        <f>subQ!AO15</f>
        <v/>
      </c>
    </row>
    <row r="27">
      <c r="A27" s="12" t="inlineStr">
        <is>
          <t>drv:기타영업외손익</t>
        </is>
      </c>
      <c r="B27" s="2" t="inlineStr">
        <is>
          <t>abs</t>
        </is>
      </c>
      <c r="C27" t="inlineStr">
        <is>
          <t>기타영업외손익 (가정, 억원)</t>
        </is>
      </c>
      <c r="E27" s="27">
        <f>subQ!E16</f>
        <v/>
      </c>
      <c r="F27" s="28">
        <f>subQ!F16</f>
        <v/>
      </c>
      <c r="G27" s="27">
        <f>subQ!G16</f>
        <v/>
      </c>
      <c r="H27" s="27">
        <f>subQ!H16</f>
        <v/>
      </c>
      <c r="I27" s="27">
        <f>subQ!I16</f>
        <v/>
      </c>
      <c r="J27" s="27">
        <f>subQ!J16</f>
        <v/>
      </c>
      <c r="K27" s="28">
        <f>subQ!K16</f>
        <v/>
      </c>
      <c r="L27" s="27">
        <f>subQ!L16</f>
        <v/>
      </c>
      <c r="M27" s="27">
        <f>subQ!M16</f>
        <v/>
      </c>
      <c r="N27" s="27">
        <f>subQ!N16</f>
        <v/>
      </c>
      <c r="O27" s="27">
        <f>subQ!O16</f>
        <v/>
      </c>
      <c r="P27" s="28">
        <f>subQ!P16</f>
        <v/>
      </c>
      <c r="Q27" s="27">
        <f>subQ!Q16</f>
        <v/>
      </c>
      <c r="R27" s="27">
        <f>subQ!R16</f>
        <v/>
      </c>
      <c r="S27" s="27">
        <f>subQ!S16</f>
        <v/>
      </c>
      <c r="T27" s="27">
        <f>subQ!T16</f>
        <v/>
      </c>
      <c r="U27" s="28">
        <f>subQ!U16</f>
        <v/>
      </c>
      <c r="V27" s="27">
        <f>subQ!V16</f>
        <v/>
      </c>
      <c r="W27" s="27">
        <f>subQ!W16</f>
        <v/>
      </c>
      <c r="X27" s="27">
        <f>subQ!X16</f>
        <v/>
      </c>
      <c r="Y27" s="27">
        <f>subQ!Y16</f>
        <v/>
      </c>
      <c r="Z27" s="28">
        <f>subQ!Z16</f>
        <v/>
      </c>
      <c r="AA27" s="27">
        <f>subQ!AA16</f>
        <v/>
      </c>
      <c r="AB27" s="29">
        <f>subQ!AB16</f>
        <v/>
      </c>
      <c r="AC27" s="30" t="n">
        <v>0</v>
      </c>
      <c r="AD27" s="30" t="n">
        <v>0</v>
      </c>
      <c r="AE27" s="31">
        <f>subQ!AE16</f>
        <v/>
      </c>
      <c r="AF27" s="30" t="n">
        <v>0</v>
      </c>
      <c r="AG27" s="30" t="n">
        <v>0</v>
      </c>
      <c r="AH27" s="30" t="n">
        <v>0</v>
      </c>
      <c r="AI27" s="30" t="n">
        <v>0</v>
      </c>
      <c r="AJ27" s="31">
        <f>subQ!AJ16</f>
        <v/>
      </c>
      <c r="AK27" s="30" t="n">
        <v>0</v>
      </c>
      <c r="AL27" s="30" t="n">
        <v>0</v>
      </c>
      <c r="AM27" s="30" t="n">
        <v>0</v>
      </c>
      <c r="AN27" s="30" t="n">
        <v>0</v>
      </c>
      <c r="AO27" s="31">
        <f>subQ!AO16</f>
        <v/>
      </c>
    </row>
    <row r="28">
      <c r="A28" s="12" t="inlineStr">
        <is>
          <t>drv:지분법손익</t>
        </is>
      </c>
      <c r="B28" s="2" t="inlineStr">
        <is>
          <t>abs</t>
        </is>
      </c>
      <c r="C28" t="inlineStr">
        <is>
          <t>지분법손익 (가정, 억원)</t>
        </is>
      </c>
      <c r="E28" s="27">
        <f>subQ!E17</f>
        <v/>
      </c>
      <c r="F28" s="28">
        <f>subQ!F17</f>
        <v/>
      </c>
      <c r="G28" s="27">
        <f>subQ!G17</f>
        <v/>
      </c>
      <c r="H28" s="27">
        <f>subQ!H17</f>
        <v/>
      </c>
      <c r="I28" s="27">
        <f>subQ!I17</f>
        <v/>
      </c>
      <c r="J28" s="27">
        <f>subQ!J17</f>
        <v/>
      </c>
      <c r="K28" s="28">
        <f>subQ!K17</f>
        <v/>
      </c>
      <c r="L28" s="27">
        <f>subQ!L17</f>
        <v/>
      </c>
      <c r="M28" s="27">
        <f>subQ!M17</f>
        <v/>
      </c>
      <c r="N28" s="27">
        <f>subQ!N17</f>
        <v/>
      </c>
      <c r="O28" s="27">
        <f>subQ!O17</f>
        <v/>
      </c>
      <c r="P28" s="28">
        <f>subQ!P17</f>
        <v/>
      </c>
      <c r="Q28" s="27">
        <f>subQ!Q17</f>
        <v/>
      </c>
      <c r="R28" s="27">
        <f>subQ!R17</f>
        <v/>
      </c>
      <c r="S28" s="27">
        <f>subQ!S17</f>
        <v/>
      </c>
      <c r="T28" s="27">
        <f>subQ!T17</f>
        <v/>
      </c>
      <c r="U28" s="28">
        <f>subQ!U17</f>
        <v/>
      </c>
      <c r="V28" s="27">
        <f>subQ!V17</f>
        <v/>
      </c>
      <c r="W28" s="27">
        <f>subQ!W17</f>
        <v/>
      </c>
      <c r="X28" s="27">
        <f>subQ!X17</f>
        <v/>
      </c>
      <c r="Y28" s="27">
        <f>subQ!Y17</f>
        <v/>
      </c>
      <c r="Z28" s="28">
        <f>subQ!Z17</f>
        <v/>
      </c>
      <c r="AA28" s="27">
        <f>subQ!AA17</f>
        <v/>
      </c>
      <c r="AB28" s="29">
        <f>subQ!AB17</f>
        <v/>
      </c>
      <c r="AC28" s="30" t="n">
        <v>26.09</v>
      </c>
      <c r="AD28" s="30" t="n">
        <v>26.09</v>
      </c>
      <c r="AE28" s="31">
        <f>subQ!AE17</f>
        <v/>
      </c>
      <c r="AF28" s="30" t="n">
        <v>26.09</v>
      </c>
      <c r="AG28" s="30" t="n">
        <v>26.09</v>
      </c>
      <c r="AH28" s="30" t="n">
        <v>26.09</v>
      </c>
      <c r="AI28" s="30" t="n">
        <v>26.09</v>
      </c>
      <c r="AJ28" s="31">
        <f>subQ!AJ17</f>
        <v/>
      </c>
      <c r="AK28" s="30" t="n">
        <v>26.09</v>
      </c>
      <c r="AL28" s="30" t="n">
        <v>26.09</v>
      </c>
      <c r="AM28" s="30" t="n">
        <v>26.09</v>
      </c>
      <c r="AN28" s="30" t="n">
        <v>26.09</v>
      </c>
      <c r="AO28" s="31">
        <f>subQ!AO17</f>
        <v/>
      </c>
    </row>
    <row r="29">
      <c r="A29" s="12" t="inlineStr">
        <is>
          <t>drv:법인세비용</t>
        </is>
      </c>
      <c r="B29" s="2" t="inlineStr">
        <is>
          <t>tax</t>
        </is>
      </c>
      <c r="C29" t="inlineStr">
        <is>
          <t>법인세율(/세전) — 법인세 = MAX(세전,0) × 세율</t>
        </is>
      </c>
      <c r="E29" s="21">
        <f>IFERROR(subQ!E19/subQ!E18,"")</f>
        <v/>
      </c>
      <c r="F29" s="22">
        <f>IFERROR(subQ!F19/subQ!F18,"")</f>
        <v/>
      </c>
      <c r="G29" s="21">
        <f>IFERROR(subQ!G19/subQ!G18,"")</f>
        <v/>
      </c>
      <c r="H29" s="21">
        <f>IFERROR(subQ!H19/subQ!H18,"")</f>
        <v/>
      </c>
      <c r="I29" s="21">
        <f>IFERROR(subQ!I19/subQ!I18,"")</f>
        <v/>
      </c>
      <c r="J29" s="21">
        <f>IFERROR(subQ!J19/subQ!J18,"")</f>
        <v/>
      </c>
      <c r="K29" s="22">
        <f>IFERROR(subQ!K19/subQ!K18,"")</f>
        <v/>
      </c>
      <c r="L29" s="21">
        <f>IFERROR(subQ!L19/subQ!L18,"")</f>
        <v/>
      </c>
      <c r="M29" s="21">
        <f>IFERROR(subQ!M19/subQ!M18,"")</f>
        <v/>
      </c>
      <c r="N29" s="21">
        <f>IFERROR(subQ!N19/subQ!N18,"")</f>
        <v/>
      </c>
      <c r="O29" s="21">
        <f>IFERROR(subQ!O19/subQ!O18,"")</f>
        <v/>
      </c>
      <c r="P29" s="22">
        <f>IFERROR(subQ!P19/subQ!P18,"")</f>
        <v/>
      </c>
      <c r="Q29" s="21">
        <f>IFERROR(subQ!Q19/subQ!Q18,"")</f>
        <v/>
      </c>
      <c r="R29" s="21">
        <f>IFERROR(subQ!R19/subQ!R18,"")</f>
        <v/>
      </c>
      <c r="S29" s="21">
        <f>IFERROR(subQ!S19/subQ!S18,"")</f>
        <v/>
      </c>
      <c r="T29" s="21">
        <f>IFERROR(subQ!T19/subQ!T18,"")</f>
        <v/>
      </c>
      <c r="U29" s="22">
        <f>IFERROR(subQ!U19/subQ!U18,"")</f>
        <v/>
      </c>
      <c r="V29" s="21">
        <f>IFERROR(subQ!V19/subQ!V18,"")</f>
        <v/>
      </c>
      <c r="W29" s="21">
        <f>IFERROR(subQ!W19/subQ!W18,"")</f>
        <v/>
      </c>
      <c r="X29" s="21">
        <f>IFERROR(subQ!X19/subQ!X18,"")</f>
        <v/>
      </c>
      <c r="Y29" s="21">
        <f>IFERROR(subQ!Y19/subQ!Y18,"")</f>
        <v/>
      </c>
      <c r="Z29" s="22">
        <f>IFERROR(subQ!Z19/subQ!Z18,"")</f>
        <v/>
      </c>
      <c r="AA29" s="21">
        <f>IFERROR(subQ!AA19/subQ!AA18,"")</f>
        <v/>
      </c>
      <c r="AB29" s="23">
        <f>IFERROR(subQ!AB19/subQ!AB18,"")</f>
        <v/>
      </c>
      <c r="AC29" s="26">
        <f>$D$53</f>
        <v/>
      </c>
      <c r="AD29" s="26">
        <f>$D$53</f>
        <v/>
      </c>
      <c r="AE29" s="25">
        <f>IFERROR(subQ!AE19/subQ!AE18,"")</f>
        <v/>
      </c>
      <c r="AF29" s="26">
        <f>$D$53</f>
        <v/>
      </c>
      <c r="AG29" s="26">
        <f>$D$53</f>
        <v/>
      </c>
      <c r="AH29" s="26">
        <f>$D$53</f>
        <v/>
      </c>
      <c r="AI29" s="26">
        <f>$D$53</f>
        <v/>
      </c>
      <c r="AJ29" s="25">
        <f>IFERROR(subQ!AJ19/subQ!AJ18,"")</f>
        <v/>
      </c>
      <c r="AK29" s="26">
        <f>$D$53</f>
        <v/>
      </c>
      <c r="AL29" s="26">
        <f>$D$53</f>
        <v/>
      </c>
      <c r="AM29" s="26">
        <f>$D$53</f>
        <v/>
      </c>
      <c r="AN29" s="26">
        <f>$D$53</f>
        <v/>
      </c>
      <c r="AO29" s="25">
        <f>IFERROR(subQ!AO19/subQ!AO18,"")</f>
        <v/>
      </c>
    </row>
    <row r="30">
      <c r="A30" s="12" t="inlineStr">
        <is>
          <t>drv:지배주주순이익</t>
        </is>
      </c>
      <c r="B30" s="2" t="inlineStr">
        <is>
          <t>ratio</t>
        </is>
      </c>
      <c r="C30" t="inlineStr">
        <is>
          <t>지배주주 비중(/당기순이익)</t>
        </is>
      </c>
      <c r="E30" s="21">
        <f>IFERROR(subQ!E21/subQ!E20,"")</f>
        <v/>
      </c>
      <c r="F30" s="22">
        <f>IFERROR(subQ!F21/subQ!F20,"")</f>
        <v/>
      </c>
      <c r="G30" s="21">
        <f>IFERROR(subQ!G21/subQ!G20,"")</f>
        <v/>
      </c>
      <c r="H30" s="21">
        <f>IFERROR(subQ!H21/subQ!H20,"")</f>
        <v/>
      </c>
      <c r="I30" s="21">
        <f>IFERROR(subQ!I21/subQ!I20,"")</f>
        <v/>
      </c>
      <c r="J30" s="21">
        <f>IFERROR(subQ!J21/subQ!J20,"")</f>
        <v/>
      </c>
      <c r="K30" s="22">
        <f>IFERROR(subQ!K21/subQ!K20,"")</f>
        <v/>
      </c>
      <c r="L30" s="21">
        <f>IFERROR(subQ!L21/subQ!L20,"")</f>
        <v/>
      </c>
      <c r="M30" s="21">
        <f>IFERROR(subQ!M21/subQ!M20,"")</f>
        <v/>
      </c>
      <c r="N30" s="21">
        <f>IFERROR(subQ!N21/subQ!N20,"")</f>
        <v/>
      </c>
      <c r="O30" s="21">
        <f>IFERROR(subQ!O21/subQ!O20,"")</f>
        <v/>
      </c>
      <c r="P30" s="22">
        <f>IFERROR(subQ!P21/subQ!P20,"")</f>
        <v/>
      </c>
      <c r="Q30" s="21">
        <f>IFERROR(subQ!Q21/subQ!Q20,"")</f>
        <v/>
      </c>
      <c r="R30" s="21">
        <f>IFERROR(subQ!R21/subQ!R20,"")</f>
        <v/>
      </c>
      <c r="S30" s="21">
        <f>IFERROR(subQ!S21/subQ!S20,"")</f>
        <v/>
      </c>
      <c r="T30" s="21">
        <f>IFERROR(subQ!T21/subQ!T20,"")</f>
        <v/>
      </c>
      <c r="U30" s="22">
        <f>IFERROR(subQ!U21/subQ!U20,"")</f>
        <v/>
      </c>
      <c r="V30" s="21">
        <f>IFERROR(subQ!V21/subQ!V20,"")</f>
        <v/>
      </c>
      <c r="W30" s="21">
        <f>IFERROR(subQ!W21/subQ!W20,"")</f>
        <v/>
      </c>
      <c r="X30" s="21">
        <f>IFERROR(subQ!X21/subQ!X20,"")</f>
        <v/>
      </c>
      <c r="Y30" s="21">
        <f>IFERROR(subQ!Y21/subQ!Y20,"")</f>
        <v/>
      </c>
      <c r="Z30" s="22">
        <f>IFERROR(subQ!Z21/subQ!Z20,"")</f>
        <v/>
      </c>
      <c r="AA30" s="21">
        <f>IFERROR(subQ!AA21/subQ!AA20,"")</f>
        <v/>
      </c>
      <c r="AB30" s="23">
        <f>IFERROR(subQ!AB21/subQ!AB20,"")</f>
        <v/>
      </c>
      <c r="AC30" s="26">
        <f>$D$55</f>
        <v/>
      </c>
      <c r="AD30" s="26">
        <f>$D$55</f>
        <v/>
      </c>
      <c r="AE30" s="25">
        <f>IFERROR(subQ!AE21/subQ!AE20,"")</f>
        <v/>
      </c>
      <c r="AF30" s="26">
        <f>$D$55</f>
        <v/>
      </c>
      <c r="AG30" s="26">
        <f>$D$55</f>
        <v/>
      </c>
      <c r="AH30" s="26">
        <f>$D$55</f>
        <v/>
      </c>
      <c r="AI30" s="26">
        <f>$D$55</f>
        <v/>
      </c>
      <c r="AJ30" s="25">
        <f>IFERROR(subQ!AJ21/subQ!AJ20,"")</f>
        <v/>
      </c>
      <c r="AK30" s="26">
        <f>$D$55</f>
        <v/>
      </c>
      <c r="AL30" s="26">
        <f>$D$55</f>
        <v/>
      </c>
      <c r="AM30" s="26">
        <f>$D$55</f>
        <v/>
      </c>
      <c r="AN30" s="26">
        <f>$D$55</f>
        <v/>
      </c>
      <c r="AO30" s="25">
        <f>IFERROR(subQ!AO21/subQ!AO20,"")</f>
        <v/>
      </c>
    </row>
    <row r="31">
      <c r="A31" s="12" t="inlineStr">
        <is>
          <t>drv:중단사업이익</t>
        </is>
      </c>
      <c r="B31" s="2" t="inlineStr">
        <is>
          <t>abs</t>
        </is>
      </c>
      <c r="C31" t="inlineStr">
        <is>
          <t>중단사업이익 (가정, 억원)</t>
        </is>
      </c>
      <c r="E31" s="27">
        <f>subQ!E22</f>
        <v/>
      </c>
      <c r="F31" s="28">
        <f>subQ!F22</f>
        <v/>
      </c>
      <c r="G31" s="27">
        <f>subQ!G22</f>
        <v/>
      </c>
      <c r="H31" s="27">
        <f>subQ!H22</f>
        <v/>
      </c>
      <c r="I31" s="27">
        <f>subQ!I22</f>
        <v/>
      </c>
      <c r="J31" s="27">
        <f>subQ!J22</f>
        <v/>
      </c>
      <c r="K31" s="28">
        <f>subQ!K22</f>
        <v/>
      </c>
      <c r="L31" s="27">
        <f>subQ!L22</f>
        <v/>
      </c>
      <c r="M31" s="27">
        <f>subQ!M22</f>
        <v/>
      </c>
      <c r="N31" s="27">
        <f>subQ!N22</f>
        <v/>
      </c>
      <c r="O31" s="27">
        <f>subQ!O22</f>
        <v/>
      </c>
      <c r="P31" s="28">
        <f>subQ!P22</f>
        <v/>
      </c>
      <c r="Q31" s="27">
        <f>subQ!Q22</f>
        <v/>
      </c>
      <c r="R31" s="27">
        <f>subQ!R22</f>
        <v/>
      </c>
      <c r="S31" s="27">
        <f>subQ!S22</f>
        <v/>
      </c>
      <c r="T31" s="27">
        <f>subQ!T22</f>
        <v/>
      </c>
      <c r="U31" s="28">
        <f>subQ!U22</f>
        <v/>
      </c>
      <c r="V31" s="27">
        <f>subQ!V22</f>
        <v/>
      </c>
      <c r="W31" s="27">
        <f>subQ!W22</f>
        <v/>
      </c>
      <c r="X31" s="27">
        <f>subQ!X22</f>
        <v/>
      </c>
      <c r="Y31" s="27">
        <f>subQ!Y22</f>
        <v/>
      </c>
      <c r="Z31" s="28">
        <f>subQ!Z22</f>
        <v/>
      </c>
      <c r="AA31" s="27">
        <f>subQ!AA22</f>
        <v/>
      </c>
      <c r="AB31" s="29">
        <f>subQ!AB22</f>
        <v/>
      </c>
      <c r="AC31" s="32" t="n"/>
      <c r="AD31" s="32" t="n"/>
      <c r="AE31" s="31">
        <f>subQ!AE22</f>
        <v/>
      </c>
      <c r="AF31" s="32" t="n"/>
      <c r="AG31" s="32" t="n"/>
      <c r="AH31" s="32" t="n"/>
      <c r="AI31" s="32" t="n"/>
      <c r="AJ31" s="31">
        <f>subQ!AJ22</f>
        <v/>
      </c>
      <c r="AK31" s="32" t="n"/>
      <c r="AL31" s="32" t="n"/>
      <c r="AM31" s="32" t="n"/>
      <c r="AN31" s="32" t="n"/>
      <c r="AO31" s="31">
        <f>subQ!AO22</f>
        <v/>
      </c>
    </row>
    <row r="32">
      <c r="A32" s="12" t="inlineStr">
        <is>
          <t>drv:감가상각비</t>
        </is>
      </c>
      <c r="B32" s="2" t="inlineStr">
        <is>
          <t>abs</t>
        </is>
      </c>
      <c r="C32" t="inlineStr">
        <is>
          <t>감가상각비 (가정, 억원)</t>
        </is>
      </c>
      <c r="E32" s="27">
        <f>subQ!E23</f>
        <v/>
      </c>
      <c r="F32" s="28">
        <f>subQ!F23</f>
        <v/>
      </c>
      <c r="G32" s="27">
        <f>subQ!G23</f>
        <v/>
      </c>
      <c r="H32" s="27">
        <f>subQ!H23</f>
        <v/>
      </c>
      <c r="I32" s="27">
        <f>subQ!I23</f>
        <v/>
      </c>
      <c r="J32" s="27">
        <f>subQ!J23</f>
        <v/>
      </c>
      <c r="K32" s="28">
        <f>subQ!K23</f>
        <v/>
      </c>
      <c r="L32" s="27">
        <f>subQ!L23</f>
        <v/>
      </c>
      <c r="M32" s="27">
        <f>subQ!M23</f>
        <v/>
      </c>
      <c r="N32" s="27">
        <f>subQ!N23</f>
        <v/>
      </c>
      <c r="O32" s="27">
        <f>subQ!O23</f>
        <v/>
      </c>
      <c r="P32" s="28">
        <f>subQ!P23</f>
        <v/>
      </c>
      <c r="Q32" s="27">
        <f>subQ!Q23</f>
        <v/>
      </c>
      <c r="R32" s="27">
        <f>subQ!R23</f>
        <v/>
      </c>
      <c r="S32" s="27">
        <f>subQ!S23</f>
        <v/>
      </c>
      <c r="T32" s="27">
        <f>subQ!T23</f>
        <v/>
      </c>
      <c r="U32" s="28">
        <f>subQ!U23</f>
        <v/>
      </c>
      <c r="V32" s="27">
        <f>subQ!V23</f>
        <v/>
      </c>
      <c r="W32" s="27">
        <f>subQ!W23</f>
        <v/>
      </c>
      <c r="X32" s="27">
        <f>subQ!X23</f>
        <v/>
      </c>
      <c r="Y32" s="27">
        <f>subQ!Y23</f>
        <v/>
      </c>
      <c r="Z32" s="28">
        <f>subQ!Z23</f>
        <v/>
      </c>
      <c r="AA32" s="27">
        <f>subQ!AA23</f>
        <v/>
      </c>
      <c r="AB32" s="29">
        <f>subQ!AB23</f>
        <v/>
      </c>
      <c r="AC32" s="30" t="n">
        <v>927.98</v>
      </c>
      <c r="AD32" s="30" t="n">
        <v>927.98</v>
      </c>
      <c r="AE32" s="31">
        <f>subQ!AE23</f>
        <v/>
      </c>
      <c r="AF32" s="30" t="n">
        <v>927.98</v>
      </c>
      <c r="AG32" s="30" t="n">
        <v>927.98</v>
      </c>
      <c r="AH32" s="30" t="n">
        <v>927.98</v>
      </c>
      <c r="AI32" s="30" t="n">
        <v>927.98</v>
      </c>
      <c r="AJ32" s="31">
        <f>subQ!AJ23</f>
        <v/>
      </c>
      <c r="AK32" s="30" t="n">
        <v>927.98</v>
      </c>
      <c r="AL32" s="30" t="n">
        <v>927.98</v>
      </c>
      <c r="AM32" s="30" t="n">
        <v>927.98</v>
      </c>
      <c r="AN32" s="30" t="n">
        <v>927.98</v>
      </c>
      <c r="AO32" s="31">
        <f>subQ!AO23</f>
        <v/>
      </c>
    </row>
    <row r="33">
      <c r="A33" s="12" t="inlineStr">
        <is>
          <t>drv:부채총계</t>
        </is>
      </c>
      <c r="B33" s="2" t="inlineStr">
        <is>
          <t>qoq</t>
        </is>
      </c>
      <c r="C33" t="inlineStr">
        <is>
          <t>부채총계 QoQ</t>
        </is>
      </c>
      <c r="E33" s="21" t="n"/>
      <c r="F33" s="22" t="n"/>
      <c r="G33" s="21">
        <f>IFERROR(subQ!G26/subQ!E26-1,"")</f>
        <v/>
      </c>
      <c r="H33" s="21">
        <f>IFERROR(subQ!H26/subQ!G26-1,"")</f>
        <v/>
      </c>
      <c r="I33" s="21">
        <f>IFERROR(subQ!I26/subQ!H26-1,"")</f>
        <v/>
      </c>
      <c r="J33" s="21">
        <f>IFERROR(subQ!J26/subQ!I26-1,"")</f>
        <v/>
      </c>
      <c r="K33" s="22" t="n"/>
      <c r="L33" s="21">
        <f>IFERROR(subQ!L26/subQ!J26-1,"")</f>
        <v/>
      </c>
      <c r="M33" s="21">
        <f>IFERROR(subQ!M26/subQ!L26-1,"")</f>
        <v/>
      </c>
      <c r="N33" s="21">
        <f>IFERROR(subQ!N26/subQ!M26-1,"")</f>
        <v/>
      </c>
      <c r="O33" s="21">
        <f>IFERROR(subQ!O26/subQ!N26-1,"")</f>
        <v/>
      </c>
      <c r="P33" s="22" t="n"/>
      <c r="Q33" s="21">
        <f>IFERROR(subQ!Q26/subQ!O26-1,"")</f>
        <v/>
      </c>
      <c r="R33" s="21">
        <f>IFERROR(subQ!R26/subQ!Q26-1,"")</f>
        <v/>
      </c>
      <c r="S33" s="21">
        <f>IFERROR(subQ!S26/subQ!R26-1,"")</f>
        <v/>
      </c>
      <c r="T33" s="21">
        <f>IFERROR(subQ!T26/subQ!S26-1,"")</f>
        <v/>
      </c>
      <c r="U33" s="22" t="n"/>
      <c r="V33" s="21">
        <f>IFERROR(subQ!V26/subQ!T26-1,"")</f>
        <v/>
      </c>
      <c r="W33" s="21">
        <f>IFERROR(subQ!W26/subQ!V26-1,"")</f>
        <v/>
      </c>
      <c r="X33" s="21">
        <f>IFERROR(subQ!X26/subQ!W26-1,"")</f>
        <v/>
      </c>
      <c r="Y33" s="21">
        <f>IFERROR(subQ!Y26/subQ!X26-1,"")</f>
        <v/>
      </c>
      <c r="Z33" s="22" t="n"/>
      <c r="AA33" s="21">
        <f>IFERROR(subQ!AA26/subQ!Y26-1,"")</f>
        <v/>
      </c>
      <c r="AB33" s="23">
        <f>IFERROR(subQ!AB26/subQ!AA26-1,"")</f>
        <v/>
      </c>
      <c r="AC33" s="24" t="n">
        <v>2.4e-08</v>
      </c>
      <c r="AD33" s="24" t="n">
        <v>0</v>
      </c>
      <c r="AE33" s="25" t="n"/>
      <c r="AF33" s="24" t="n">
        <v>0</v>
      </c>
      <c r="AG33" s="24" t="n">
        <v>0</v>
      </c>
      <c r="AH33" s="24" t="n">
        <v>0</v>
      </c>
      <c r="AI33" s="24" t="n">
        <v>0</v>
      </c>
      <c r="AJ33" s="25" t="n"/>
      <c r="AK33" s="24" t="n">
        <v>0</v>
      </c>
      <c r="AL33" s="24" t="n">
        <v>0</v>
      </c>
      <c r="AM33" s="24" t="n">
        <v>0</v>
      </c>
      <c r="AN33" s="24" t="n">
        <v>0</v>
      </c>
      <c r="AO33" s="25" t="n"/>
    </row>
    <row r="34">
      <c r="A34" s="12" t="inlineStr">
        <is>
          <t>drv:자본총계</t>
        </is>
      </c>
      <c r="B34" s="2" t="inlineStr">
        <is>
          <t>roll</t>
        </is>
      </c>
      <c r="C34" t="inlineStr">
        <is>
          <t>자본총계 기타변동(배당 등, 억원)</t>
        </is>
      </c>
      <c r="E34" s="27" t="n"/>
      <c r="F34" s="28" t="n"/>
      <c r="G34" s="27">
        <f>IFERROR(subQ!E27+subQ!G20-subQ!G27,"")</f>
        <v/>
      </c>
      <c r="H34" s="27">
        <f>IFERROR(subQ!G27+subQ!H20-subQ!H27,"")</f>
        <v/>
      </c>
      <c r="I34" s="27">
        <f>IFERROR(subQ!H27+subQ!I20-subQ!I27,"")</f>
        <v/>
      </c>
      <c r="J34" s="27">
        <f>IFERROR(subQ!I27+subQ!J20-subQ!J27,"")</f>
        <v/>
      </c>
      <c r="K34" s="28" t="n"/>
      <c r="L34" s="27">
        <f>IFERROR(subQ!J27+subQ!L20-subQ!L27,"")</f>
        <v/>
      </c>
      <c r="M34" s="27">
        <f>IFERROR(subQ!L27+subQ!M20-subQ!M27,"")</f>
        <v/>
      </c>
      <c r="N34" s="27">
        <f>IFERROR(subQ!M27+subQ!N20-subQ!N27,"")</f>
        <v/>
      </c>
      <c r="O34" s="27">
        <f>IFERROR(subQ!N27+subQ!O20-subQ!O27,"")</f>
        <v/>
      </c>
      <c r="P34" s="28" t="n"/>
      <c r="Q34" s="27">
        <f>IFERROR(subQ!O27+subQ!Q20-subQ!Q27,"")</f>
        <v/>
      </c>
      <c r="R34" s="27">
        <f>IFERROR(subQ!Q27+subQ!R20-subQ!R27,"")</f>
        <v/>
      </c>
      <c r="S34" s="27">
        <f>IFERROR(subQ!R27+subQ!S20-subQ!S27,"")</f>
        <v/>
      </c>
      <c r="T34" s="27">
        <f>IFERROR(subQ!S27+subQ!T20-subQ!T27,"")</f>
        <v/>
      </c>
      <c r="U34" s="28" t="n"/>
      <c r="V34" s="27">
        <f>IFERROR(subQ!T27+subQ!V20-subQ!V27,"")</f>
        <v/>
      </c>
      <c r="W34" s="27">
        <f>IFERROR(subQ!V27+subQ!W20-subQ!W27,"")</f>
        <v/>
      </c>
      <c r="X34" s="27">
        <f>IFERROR(subQ!W27+subQ!X20-subQ!X27,"")</f>
        <v/>
      </c>
      <c r="Y34" s="27">
        <f>IFERROR(subQ!X27+subQ!Y20-subQ!Y27,"")</f>
        <v/>
      </c>
      <c r="Z34" s="28" t="n"/>
      <c r="AA34" s="27">
        <f>IFERROR(subQ!Y27+subQ!AA20-subQ!AA27,"")</f>
        <v/>
      </c>
      <c r="AB34" s="29">
        <f>IFERROR(subQ!AA27+subQ!AB20-subQ!AB27,"")</f>
        <v/>
      </c>
      <c r="AC34" s="30" t="n">
        <v>-0.005080478</v>
      </c>
      <c r="AD34" s="30" t="n">
        <v>0.003856558</v>
      </c>
      <c r="AE34" s="31" t="n"/>
      <c r="AF34" s="30" t="n">
        <v>-0.004643765</v>
      </c>
      <c r="AG34" s="30" t="n">
        <v>1103.131403014</v>
      </c>
      <c r="AH34" s="30" t="n">
        <v>-0.009517324000000001</v>
      </c>
      <c r="AI34" s="30" t="n">
        <v>0.00171645</v>
      </c>
      <c r="AJ34" s="31" t="n"/>
      <c r="AK34" s="30" t="n">
        <v>0.0011091</v>
      </c>
      <c r="AL34" s="30" t="n">
        <v>1103.127470152</v>
      </c>
      <c r="AM34" s="30" t="n">
        <v>-0.008428075</v>
      </c>
      <c r="AN34" s="30" t="n">
        <v>0.000101345</v>
      </c>
      <c r="AO34" s="31" t="n"/>
    </row>
    <row r="35">
      <c r="A35" s="12" t="inlineStr">
        <is>
          <t>drv:지배주주지분</t>
        </is>
      </c>
      <c r="B35" s="2" t="inlineStr">
        <is>
          <t>roll</t>
        </is>
      </c>
      <c r="C35" t="inlineStr">
        <is>
          <t>지배주주지분 기타변동(배당 등, 억원)</t>
        </is>
      </c>
      <c r="E35" s="27" t="n"/>
      <c r="F35" s="28" t="n"/>
      <c r="G35" s="27">
        <f>IFERROR(subQ!E28+subQ!G21-subQ!G28,"")</f>
        <v/>
      </c>
      <c r="H35" s="27">
        <f>IFERROR(subQ!G28+subQ!H21-subQ!H28,"")</f>
        <v/>
      </c>
      <c r="I35" s="27">
        <f>IFERROR(subQ!H28+subQ!I21-subQ!I28,"")</f>
        <v/>
      </c>
      <c r="J35" s="27">
        <f>IFERROR(subQ!I28+subQ!J21-subQ!J28,"")</f>
        <v/>
      </c>
      <c r="K35" s="28" t="n"/>
      <c r="L35" s="27">
        <f>IFERROR(subQ!J28+subQ!L21-subQ!L28,"")</f>
        <v/>
      </c>
      <c r="M35" s="27">
        <f>IFERROR(subQ!L28+subQ!M21-subQ!M28,"")</f>
        <v/>
      </c>
      <c r="N35" s="27">
        <f>IFERROR(subQ!M28+subQ!N21-subQ!N28,"")</f>
        <v/>
      </c>
      <c r="O35" s="27">
        <f>IFERROR(subQ!N28+subQ!O21-subQ!O28,"")</f>
        <v/>
      </c>
      <c r="P35" s="28" t="n"/>
      <c r="Q35" s="27">
        <f>IFERROR(subQ!O28+subQ!Q21-subQ!Q28,"")</f>
        <v/>
      </c>
      <c r="R35" s="27">
        <f>IFERROR(subQ!Q28+subQ!R21-subQ!R28,"")</f>
        <v/>
      </c>
      <c r="S35" s="27">
        <f>IFERROR(subQ!R28+subQ!S21-subQ!S28,"")</f>
        <v/>
      </c>
      <c r="T35" s="27">
        <f>IFERROR(subQ!S28+subQ!T21-subQ!T28,"")</f>
        <v/>
      </c>
      <c r="U35" s="28" t="n"/>
      <c r="V35" s="27">
        <f>IFERROR(subQ!T28+subQ!V21-subQ!V28,"")</f>
        <v/>
      </c>
      <c r="W35" s="27">
        <f>IFERROR(subQ!V28+subQ!W21-subQ!W28,"")</f>
        <v/>
      </c>
      <c r="X35" s="27">
        <f>IFERROR(subQ!W28+subQ!X21-subQ!X28,"")</f>
        <v/>
      </c>
      <c r="Y35" s="27">
        <f>IFERROR(subQ!X28+subQ!Y21-subQ!Y28,"")</f>
        <v/>
      </c>
      <c r="Z35" s="28" t="n"/>
      <c r="AA35" s="27">
        <f>IFERROR(subQ!Y28+subQ!AA21-subQ!AA28,"")</f>
        <v/>
      </c>
      <c r="AB35" s="29">
        <f>IFERROR(subQ!AA28+subQ!AB21-subQ!AB28,"")</f>
        <v/>
      </c>
      <c r="AC35" s="30" t="n">
        <v>-0.005080478</v>
      </c>
      <c r="AD35" s="30" t="n">
        <v>0.003856558</v>
      </c>
      <c r="AE35" s="31" t="n"/>
      <c r="AF35" s="30" t="n">
        <v>-0.004643765</v>
      </c>
      <c r="AG35" s="30" t="n">
        <v>1103.131403014</v>
      </c>
      <c r="AH35" s="30" t="n">
        <v>-0.009517324000000001</v>
      </c>
      <c r="AI35" s="30" t="n">
        <v>0.00171645</v>
      </c>
      <c r="AJ35" s="31" t="n"/>
      <c r="AK35" s="30" t="n">
        <v>0.0011091</v>
      </c>
      <c r="AL35" s="30" t="n">
        <v>1103.127470152</v>
      </c>
      <c r="AM35" s="30" t="n">
        <v>-0.008428075</v>
      </c>
      <c r="AN35" s="30" t="n">
        <v>0.000101345</v>
      </c>
      <c r="AO35" s="31" t="n"/>
    </row>
    <row r="36">
      <c r="A36" s="12" t="inlineStr">
        <is>
          <t>drv:총차입금</t>
        </is>
      </c>
      <c r="B36" s="2" t="inlineStr">
        <is>
          <t>qoq</t>
        </is>
      </c>
      <c r="C36" t="inlineStr">
        <is>
          <t>총차입금 QoQ</t>
        </is>
      </c>
      <c r="E36" s="21" t="n"/>
      <c r="F36" s="22" t="n"/>
      <c r="G36" s="21">
        <f>IFERROR(subQ!G29/subQ!E29-1,"")</f>
        <v/>
      </c>
      <c r="H36" s="21">
        <f>IFERROR(subQ!H29/subQ!G29-1,"")</f>
        <v/>
      </c>
      <c r="I36" s="21">
        <f>IFERROR(subQ!I29/subQ!H29-1,"")</f>
        <v/>
      </c>
      <c r="J36" s="21">
        <f>IFERROR(subQ!J29/subQ!I29-1,"")</f>
        <v/>
      </c>
      <c r="K36" s="22" t="n"/>
      <c r="L36" s="21">
        <f>IFERROR(subQ!L29/subQ!J29-1,"")</f>
        <v/>
      </c>
      <c r="M36" s="21">
        <f>IFERROR(subQ!M29/subQ!L29-1,"")</f>
        <v/>
      </c>
      <c r="N36" s="21">
        <f>IFERROR(subQ!N29/subQ!M29-1,"")</f>
        <v/>
      </c>
      <c r="O36" s="21">
        <f>IFERROR(subQ!O29/subQ!N29-1,"")</f>
        <v/>
      </c>
      <c r="P36" s="22" t="n"/>
      <c r="Q36" s="21">
        <f>IFERROR(subQ!Q29/subQ!O29-1,"")</f>
        <v/>
      </c>
      <c r="R36" s="21">
        <f>IFERROR(subQ!R29/subQ!Q29-1,"")</f>
        <v/>
      </c>
      <c r="S36" s="21">
        <f>IFERROR(subQ!S29/subQ!R29-1,"")</f>
        <v/>
      </c>
      <c r="T36" s="21">
        <f>IFERROR(subQ!T29/subQ!S29-1,"")</f>
        <v/>
      </c>
      <c r="U36" s="22" t="n"/>
      <c r="V36" s="21">
        <f>IFERROR(subQ!V29/subQ!T29-1,"")</f>
        <v/>
      </c>
      <c r="W36" s="21">
        <f>IFERROR(subQ!W29/subQ!V29-1,"")</f>
        <v/>
      </c>
      <c r="X36" s="21">
        <f>IFERROR(subQ!X29/subQ!W29-1,"")</f>
        <v/>
      </c>
      <c r="Y36" s="21">
        <f>IFERROR(subQ!Y29/subQ!X29-1,"")</f>
        <v/>
      </c>
      <c r="Z36" s="22" t="n"/>
      <c r="AA36" s="21">
        <f>IFERROR(subQ!AA29/subQ!Y29-1,"")</f>
        <v/>
      </c>
      <c r="AB36" s="23">
        <f>IFERROR(subQ!AB29/subQ!AA29-1,"")</f>
        <v/>
      </c>
      <c r="AC36" s="24" t="n">
        <v>-2.8e-08</v>
      </c>
      <c r="AD36" s="24" t="n">
        <v>0</v>
      </c>
      <c r="AE36" s="25" t="n"/>
      <c r="AF36" s="24" t="n">
        <v>0</v>
      </c>
      <c r="AG36" s="24" t="n">
        <v>0</v>
      </c>
      <c r="AH36" s="24" t="n">
        <v>0</v>
      </c>
      <c r="AI36" s="24" t="n">
        <v>0</v>
      </c>
      <c r="AJ36" s="25" t="n"/>
      <c r="AK36" s="24" t="n">
        <v>0</v>
      </c>
      <c r="AL36" s="24" t="n">
        <v>0</v>
      </c>
      <c r="AM36" s="24" t="n">
        <v>0</v>
      </c>
      <c r="AN36" s="24" t="n">
        <v>0</v>
      </c>
      <c r="AO36" s="25" t="n"/>
    </row>
    <row r="37">
      <c r="A37" s="12" t="inlineStr">
        <is>
          <t>drv:순차입금</t>
        </is>
      </c>
      <c r="B37" s="2" t="inlineStr">
        <is>
          <t>qoq</t>
        </is>
      </c>
      <c r="C37" t="inlineStr">
        <is>
          <t>순차입금 QoQ</t>
        </is>
      </c>
      <c r="E37" s="21" t="n"/>
      <c r="F37" s="22" t="n"/>
      <c r="G37" s="21">
        <f>IFERROR(subQ!G30/subQ!E30-1,"")</f>
        <v/>
      </c>
      <c r="H37" s="21">
        <f>IFERROR(subQ!H30/subQ!G30-1,"")</f>
        <v/>
      </c>
      <c r="I37" s="21">
        <f>IFERROR(subQ!I30/subQ!H30-1,"")</f>
        <v/>
      </c>
      <c r="J37" s="21">
        <f>IFERROR(subQ!J30/subQ!I30-1,"")</f>
        <v/>
      </c>
      <c r="K37" s="22" t="n"/>
      <c r="L37" s="21">
        <f>IFERROR(subQ!L30/subQ!J30-1,"")</f>
        <v/>
      </c>
      <c r="M37" s="21">
        <f>IFERROR(subQ!M30/subQ!L30-1,"")</f>
        <v/>
      </c>
      <c r="N37" s="21">
        <f>IFERROR(subQ!N30/subQ!M30-1,"")</f>
        <v/>
      </c>
      <c r="O37" s="21">
        <f>IFERROR(subQ!O30/subQ!N30-1,"")</f>
        <v/>
      </c>
      <c r="P37" s="22" t="n"/>
      <c r="Q37" s="21">
        <f>IFERROR(subQ!Q30/subQ!O30-1,"")</f>
        <v/>
      </c>
      <c r="R37" s="21">
        <f>IFERROR(subQ!R30/subQ!Q30-1,"")</f>
        <v/>
      </c>
      <c r="S37" s="21">
        <f>IFERROR(subQ!S30/subQ!R30-1,"")</f>
        <v/>
      </c>
      <c r="T37" s="21">
        <f>IFERROR(subQ!T30/subQ!S30-1,"")</f>
        <v/>
      </c>
      <c r="U37" s="22" t="n"/>
      <c r="V37" s="21">
        <f>IFERROR(subQ!V30/subQ!T30-1,"")</f>
        <v/>
      </c>
      <c r="W37" s="21">
        <f>IFERROR(subQ!W30/subQ!V30-1,"")</f>
        <v/>
      </c>
      <c r="X37" s="21">
        <f>IFERROR(subQ!X30/subQ!W30-1,"")</f>
        <v/>
      </c>
      <c r="Y37" s="21">
        <f>IFERROR(subQ!Y30/subQ!X30-1,"")</f>
        <v/>
      </c>
      <c r="Z37" s="22" t="n"/>
      <c r="AA37" s="21">
        <f>IFERROR(subQ!AA30/subQ!Y30-1,"")</f>
        <v/>
      </c>
      <c r="AB37" s="23">
        <f>IFERROR(subQ!AB30/subQ!AA30-1,"")</f>
        <v/>
      </c>
      <c r="AC37" s="24" t="n">
        <v>-0.008628067</v>
      </c>
      <c r="AD37" s="24" t="n">
        <v>-0.007833687000000001</v>
      </c>
      <c r="AE37" s="25" t="n"/>
      <c r="AF37" s="24" t="n">
        <v>-0.008833684</v>
      </c>
      <c r="AG37" s="24" t="n">
        <v>0.016519056</v>
      </c>
      <c r="AH37" s="24" t="n">
        <v>-0.008739267</v>
      </c>
      <c r="AI37" s="24" t="n">
        <v>-0.007937616</v>
      </c>
      <c r="AJ37" s="25" t="n"/>
      <c r="AK37" s="24" t="n">
        <v>-0.008948733</v>
      </c>
      <c r="AL37" s="24" t="n">
        <v>0.016637568</v>
      </c>
      <c r="AM37" s="24" t="n">
        <v>-0.008840654999999999</v>
      </c>
      <c r="AN37" s="24" t="n">
        <v>-0.008032312999999999</v>
      </c>
      <c r="AO37" s="25" t="n"/>
    </row>
    <row r="38">
      <c r="A38" s="12" t="inlineStr">
        <is>
          <t>drv:이자발생자산</t>
        </is>
      </c>
      <c r="B38" s="2" t="inlineStr">
        <is>
          <t>qoq</t>
        </is>
      </c>
      <c r="C38" t="inlineStr">
        <is>
          <t>이자발생자산 QoQ</t>
        </is>
      </c>
      <c r="E38" s="21" t="n"/>
      <c r="F38" s="22" t="n"/>
      <c r="G38" s="21">
        <f>IFERROR(subQ!G31/subQ!E31-1,"")</f>
        <v/>
      </c>
      <c r="H38" s="21">
        <f>IFERROR(subQ!H31/subQ!G31-1,"")</f>
        <v/>
      </c>
      <c r="I38" s="21">
        <f>IFERROR(subQ!I31/subQ!H31-1,"")</f>
        <v/>
      </c>
      <c r="J38" s="21">
        <f>IFERROR(subQ!J31/subQ!I31-1,"")</f>
        <v/>
      </c>
      <c r="K38" s="22" t="n"/>
      <c r="L38" s="21">
        <f>IFERROR(subQ!L31/subQ!J31-1,"")</f>
        <v/>
      </c>
      <c r="M38" s="21">
        <f>IFERROR(subQ!M31/subQ!L31-1,"")</f>
        <v/>
      </c>
      <c r="N38" s="21">
        <f>IFERROR(subQ!N31/subQ!M31-1,"")</f>
        <v/>
      </c>
      <c r="O38" s="21">
        <f>IFERROR(subQ!O31/subQ!N31-1,"")</f>
        <v/>
      </c>
      <c r="P38" s="22" t="n"/>
      <c r="Q38" s="21">
        <f>IFERROR(subQ!Q31/subQ!O31-1,"")</f>
        <v/>
      </c>
      <c r="R38" s="21">
        <f>IFERROR(subQ!R31/subQ!Q31-1,"")</f>
        <v/>
      </c>
      <c r="S38" s="21">
        <f>IFERROR(subQ!S31/subQ!R31-1,"")</f>
        <v/>
      </c>
      <c r="T38" s="21">
        <f>IFERROR(subQ!T31/subQ!S31-1,"")</f>
        <v/>
      </c>
      <c r="U38" s="22" t="n"/>
      <c r="V38" s="21">
        <f>IFERROR(subQ!V31/subQ!T31-1,"")</f>
        <v/>
      </c>
      <c r="W38" s="21">
        <f>IFERROR(subQ!W31/subQ!V31-1,"")</f>
        <v/>
      </c>
      <c r="X38" s="21">
        <f>IFERROR(subQ!X31/subQ!W31-1,"")</f>
        <v/>
      </c>
      <c r="Y38" s="21">
        <f>IFERROR(subQ!Y31/subQ!X31-1,"")</f>
        <v/>
      </c>
      <c r="Z38" s="22" t="n"/>
      <c r="AA38" s="21">
        <f>IFERROR(subQ!AA31/subQ!Y31-1,"")</f>
        <v/>
      </c>
      <c r="AB38" s="23">
        <f>IFERROR(subQ!AB31/subQ!AA31-1,"")</f>
        <v/>
      </c>
      <c r="AC38" s="24" t="n">
        <v>0.003364731</v>
      </c>
      <c r="AD38" s="24" t="n">
        <v>0.003018382</v>
      </c>
      <c r="AE38" s="25" t="n"/>
      <c r="AF38" s="24" t="n">
        <v>0.003366768</v>
      </c>
      <c r="AG38" s="24" t="n">
        <v>-0.006219407</v>
      </c>
      <c r="AH38" s="24" t="n">
        <v>0.003365566</v>
      </c>
      <c r="AI38" s="24" t="n">
        <v>0.00302005</v>
      </c>
      <c r="AJ38" s="25" t="n"/>
      <c r="AK38" s="24" t="n">
        <v>0.003367653</v>
      </c>
      <c r="AL38" s="24" t="n">
        <v>-0.006184141</v>
      </c>
      <c r="AM38" s="24" t="n">
        <v>0.003361509</v>
      </c>
      <c r="AN38" s="24" t="n">
        <v>0.003017008</v>
      </c>
      <c r="AO38" s="25" t="n"/>
    </row>
    <row r="39">
      <c r="A39" s="12" t="inlineStr">
        <is>
          <t>drv:현금및현금성자산</t>
        </is>
      </c>
      <c r="B39" s="2" t="inlineStr">
        <is>
          <t>qoq</t>
        </is>
      </c>
      <c r="C39" t="inlineStr">
        <is>
          <t>현금및현금성자산 QoQ</t>
        </is>
      </c>
      <c r="E39" s="21" t="n"/>
      <c r="F39" s="22" t="n"/>
      <c r="G39" s="21">
        <f>IFERROR(subQ!G32/subQ!E32-1,"")</f>
        <v/>
      </c>
      <c r="H39" s="21">
        <f>IFERROR(subQ!H32/subQ!G32-1,"")</f>
        <v/>
      </c>
      <c r="I39" s="21">
        <f>IFERROR(subQ!I32/subQ!H32-1,"")</f>
        <v/>
      </c>
      <c r="J39" s="21">
        <f>IFERROR(subQ!J32/subQ!I32-1,"")</f>
        <v/>
      </c>
      <c r="K39" s="22" t="n"/>
      <c r="L39" s="21">
        <f>IFERROR(subQ!L32/subQ!J32-1,"")</f>
        <v/>
      </c>
      <c r="M39" s="21">
        <f>IFERROR(subQ!M32/subQ!L32-1,"")</f>
        <v/>
      </c>
      <c r="N39" s="21">
        <f>IFERROR(subQ!N32/subQ!M32-1,"")</f>
        <v/>
      </c>
      <c r="O39" s="21">
        <f>IFERROR(subQ!O32/subQ!N32-1,"")</f>
        <v/>
      </c>
      <c r="P39" s="22" t="n"/>
      <c r="Q39" s="21">
        <f>IFERROR(subQ!Q32/subQ!O32-1,"")</f>
        <v/>
      </c>
      <c r="R39" s="21">
        <f>IFERROR(subQ!R32/subQ!Q32-1,"")</f>
        <v/>
      </c>
      <c r="S39" s="21">
        <f>IFERROR(subQ!S32/subQ!R32-1,"")</f>
        <v/>
      </c>
      <c r="T39" s="21">
        <f>IFERROR(subQ!T32/subQ!S32-1,"")</f>
        <v/>
      </c>
      <c r="U39" s="22" t="n"/>
      <c r="V39" s="21">
        <f>IFERROR(subQ!V32/subQ!T32-1,"")</f>
        <v/>
      </c>
      <c r="W39" s="21">
        <f>IFERROR(subQ!W32/subQ!V32-1,"")</f>
        <v/>
      </c>
      <c r="X39" s="21">
        <f>IFERROR(subQ!X32/subQ!W32-1,"")</f>
        <v/>
      </c>
      <c r="Y39" s="21">
        <f>IFERROR(subQ!Y32/subQ!X32-1,"")</f>
        <v/>
      </c>
      <c r="Z39" s="22" t="n"/>
      <c r="AA39" s="21">
        <f>IFERROR(subQ!AA32/subQ!Y32-1,"")</f>
        <v/>
      </c>
      <c r="AB39" s="23">
        <f>IFERROR(subQ!AB32/subQ!AA32-1,"")</f>
        <v/>
      </c>
      <c r="AC39" s="33" t="n"/>
      <c r="AD39" s="33" t="n"/>
      <c r="AE39" s="25" t="n"/>
      <c r="AF39" s="33" t="n"/>
      <c r="AG39" s="33" t="n"/>
      <c r="AH39" s="33" t="n"/>
      <c r="AI39" s="33" t="n"/>
      <c r="AJ39" s="25" t="n"/>
      <c r="AK39" s="33" t="n"/>
      <c r="AL39" s="33" t="n"/>
      <c r="AM39" s="33" t="n"/>
      <c r="AN39" s="33" t="n"/>
      <c r="AO39" s="25" t="n"/>
    </row>
    <row r="40">
      <c r="A40" s="12" t="inlineStr">
        <is>
          <t>drv:CAPEX</t>
        </is>
      </c>
      <c r="B40" s="2" t="inlineStr">
        <is>
          <t>yoy</t>
        </is>
      </c>
      <c r="C40" t="inlineStr">
        <is>
          <t>CAPEX YoY</t>
        </is>
      </c>
      <c r="E40" s="21" t="n"/>
      <c r="F40" s="22" t="n"/>
      <c r="G40" s="21" t="n"/>
      <c r="H40" s="21" t="n"/>
      <c r="I40" s="21" t="n"/>
      <c r="J40" s="21">
        <f>IFERROR(subQ!J33/subQ!E33-1,"")</f>
        <v/>
      </c>
      <c r="K40" s="22" t="n"/>
      <c r="L40" s="21">
        <f>IFERROR(subQ!L33/subQ!G33-1,"")</f>
        <v/>
      </c>
      <c r="M40" s="21">
        <f>IFERROR(subQ!M33/subQ!H33-1,"")</f>
        <v/>
      </c>
      <c r="N40" s="21">
        <f>IFERROR(subQ!N33/subQ!I33-1,"")</f>
        <v/>
      </c>
      <c r="O40" s="21">
        <f>IFERROR(subQ!O33/subQ!J33-1,"")</f>
        <v/>
      </c>
      <c r="P40" s="22" t="n"/>
      <c r="Q40" s="21">
        <f>IFERROR(subQ!Q33/subQ!L33-1,"")</f>
        <v/>
      </c>
      <c r="R40" s="21">
        <f>IFERROR(subQ!R33/subQ!M33-1,"")</f>
        <v/>
      </c>
      <c r="S40" s="21">
        <f>IFERROR(subQ!S33/subQ!N33-1,"")</f>
        <v/>
      </c>
      <c r="T40" s="21">
        <f>IFERROR(subQ!T33/subQ!O33-1,"")</f>
        <v/>
      </c>
      <c r="U40" s="22" t="n"/>
      <c r="V40" s="21">
        <f>IFERROR(subQ!V33/subQ!Q33-1,"")</f>
        <v/>
      </c>
      <c r="W40" s="21">
        <f>IFERROR(subQ!W33/subQ!R33-1,"")</f>
        <v/>
      </c>
      <c r="X40" s="21">
        <f>IFERROR(subQ!X33/subQ!S33-1,"")</f>
        <v/>
      </c>
      <c r="Y40" s="21">
        <f>IFERROR(subQ!Y33/subQ!T33-1,"")</f>
        <v/>
      </c>
      <c r="Z40" s="22" t="n"/>
      <c r="AA40" s="21">
        <f>IFERROR(subQ!AA33/subQ!V33-1,"")</f>
        <v/>
      </c>
      <c r="AB40" s="23">
        <f>IFERROR(subQ!AB33/subQ!W33-1,"")</f>
        <v/>
      </c>
      <c r="AC40" s="24" t="n">
        <v>0.185544798</v>
      </c>
      <c r="AD40" s="24" t="n">
        <v>-0.216370626</v>
      </c>
      <c r="AE40" s="25" t="n"/>
      <c r="AF40" s="24" t="n">
        <v>-0.055900001</v>
      </c>
      <c r="AG40" s="24" t="n">
        <v>0.062937285</v>
      </c>
      <c r="AH40" s="24" t="n">
        <v>0</v>
      </c>
      <c r="AI40" s="24" t="n">
        <v>0</v>
      </c>
      <c r="AJ40" s="25" t="n"/>
      <c r="AK40" s="24" t="n">
        <v>0</v>
      </c>
      <c r="AL40" s="24" t="n">
        <v>0</v>
      </c>
      <c r="AM40" s="24" t="n">
        <v>0</v>
      </c>
      <c r="AN40" s="24" t="n">
        <v>0</v>
      </c>
      <c r="AO40" s="25" t="n"/>
    </row>
    <row r="41">
      <c r="A41" s="12" t="inlineStr">
        <is>
          <t>drv:영업활동현금흐름</t>
        </is>
      </c>
      <c r="B41" s="2" t="inlineStr">
        <is>
          <t>yoy</t>
        </is>
      </c>
      <c r="C41" t="inlineStr">
        <is>
          <t>영업활동현금흐름 YoY</t>
        </is>
      </c>
      <c r="E41" s="21" t="n"/>
      <c r="F41" s="22" t="n"/>
      <c r="G41" s="21" t="n"/>
      <c r="H41" s="21" t="n"/>
      <c r="I41" s="21" t="n"/>
      <c r="J41" s="21">
        <f>IFERROR(subQ!J34/subQ!E34-1,"")</f>
        <v/>
      </c>
      <c r="K41" s="22" t="n"/>
      <c r="L41" s="21">
        <f>IFERROR(subQ!L34/subQ!G34-1,"")</f>
        <v/>
      </c>
      <c r="M41" s="21">
        <f>IFERROR(subQ!M34/subQ!H34-1,"")</f>
        <v/>
      </c>
      <c r="N41" s="21">
        <f>IFERROR(subQ!N34/subQ!I34-1,"")</f>
        <v/>
      </c>
      <c r="O41" s="21">
        <f>IFERROR(subQ!O34/subQ!J34-1,"")</f>
        <v/>
      </c>
      <c r="P41" s="22" t="n"/>
      <c r="Q41" s="21">
        <f>IFERROR(subQ!Q34/subQ!L34-1,"")</f>
        <v/>
      </c>
      <c r="R41" s="21">
        <f>IFERROR(subQ!R34/subQ!M34-1,"")</f>
        <v/>
      </c>
      <c r="S41" s="21">
        <f>IFERROR(subQ!S34/subQ!N34-1,"")</f>
        <v/>
      </c>
      <c r="T41" s="21">
        <f>IFERROR(subQ!T34/subQ!O34-1,"")</f>
        <v/>
      </c>
      <c r="U41" s="22" t="n"/>
      <c r="V41" s="21">
        <f>IFERROR(subQ!V34/subQ!Q34-1,"")</f>
        <v/>
      </c>
      <c r="W41" s="21">
        <f>IFERROR(subQ!W34/subQ!R34-1,"")</f>
        <v/>
      </c>
      <c r="X41" s="21">
        <f>IFERROR(subQ!X34/subQ!S34-1,"")</f>
        <v/>
      </c>
      <c r="Y41" s="21">
        <f>IFERROR(subQ!Y34/subQ!T34-1,"")</f>
        <v/>
      </c>
      <c r="Z41" s="22" t="n"/>
      <c r="AA41" s="21">
        <f>IFERROR(subQ!AA34/subQ!V34-1,"")</f>
        <v/>
      </c>
      <c r="AB41" s="23">
        <f>IFERROR(subQ!AB34/subQ!W34-1,"")</f>
        <v/>
      </c>
      <c r="AC41" s="33" t="n"/>
      <c r="AD41" s="33" t="n"/>
      <c r="AE41" s="25" t="n"/>
      <c r="AF41" s="33" t="n"/>
      <c r="AG41" s="33" t="n"/>
      <c r="AH41" s="33" t="n"/>
      <c r="AI41" s="33" t="n"/>
      <c r="AJ41" s="25" t="n"/>
      <c r="AK41" s="33" t="n"/>
      <c r="AL41" s="33" t="n"/>
      <c r="AM41" s="33" t="n"/>
      <c r="AN41" s="33" t="n"/>
      <c r="AO41" s="25" t="n"/>
    </row>
    <row r="42">
      <c r="A42" s="12" t="inlineStr">
        <is>
          <t>drv:주식수</t>
        </is>
      </c>
      <c r="B42" s="2" t="inlineStr">
        <is>
          <t>qoq</t>
        </is>
      </c>
      <c r="C42" t="inlineStr">
        <is>
          <t>주식수 QoQ</t>
        </is>
      </c>
      <c r="E42" s="21" t="n"/>
      <c r="F42" s="22" t="n"/>
      <c r="G42" s="21">
        <f>IFERROR(subQ!G35/subQ!E35-1,"")</f>
        <v/>
      </c>
      <c r="H42" s="21">
        <f>IFERROR(subQ!H35/subQ!G35-1,"")</f>
        <v/>
      </c>
      <c r="I42" s="21">
        <f>IFERROR(subQ!I35/subQ!H35-1,"")</f>
        <v/>
      </c>
      <c r="J42" s="21">
        <f>IFERROR(subQ!J35/subQ!I35-1,"")</f>
        <v/>
      </c>
      <c r="K42" s="22" t="n"/>
      <c r="L42" s="21">
        <f>IFERROR(subQ!L35/subQ!J35-1,"")</f>
        <v/>
      </c>
      <c r="M42" s="21">
        <f>IFERROR(subQ!M35/subQ!L35-1,"")</f>
        <v/>
      </c>
      <c r="N42" s="21">
        <f>IFERROR(subQ!N35/subQ!M35-1,"")</f>
        <v/>
      </c>
      <c r="O42" s="21">
        <f>IFERROR(subQ!O35/subQ!N35-1,"")</f>
        <v/>
      </c>
      <c r="P42" s="22" t="n"/>
      <c r="Q42" s="21">
        <f>IFERROR(subQ!Q35/subQ!O35-1,"")</f>
        <v/>
      </c>
      <c r="R42" s="21">
        <f>IFERROR(subQ!R35/subQ!Q35-1,"")</f>
        <v/>
      </c>
      <c r="S42" s="21">
        <f>IFERROR(subQ!S35/subQ!R35-1,"")</f>
        <v/>
      </c>
      <c r="T42" s="21">
        <f>IFERROR(subQ!T35/subQ!S35-1,"")</f>
        <v/>
      </c>
      <c r="U42" s="22" t="n"/>
      <c r="V42" s="21">
        <f>IFERROR(subQ!V35/subQ!T35-1,"")</f>
        <v/>
      </c>
      <c r="W42" s="21">
        <f>IFERROR(subQ!W35/subQ!V35-1,"")</f>
        <v/>
      </c>
      <c r="X42" s="21">
        <f>IFERROR(subQ!X35/subQ!W35-1,"")</f>
        <v/>
      </c>
      <c r="Y42" s="21">
        <f>IFERROR(subQ!Y35/subQ!X35-1,"")</f>
        <v/>
      </c>
      <c r="Z42" s="22" t="n"/>
      <c r="AA42" s="21">
        <f>IFERROR(subQ!AA35/subQ!Y35-1,"")</f>
        <v/>
      </c>
      <c r="AB42" s="23">
        <f>IFERROR(subQ!AB35/subQ!AA35-1,"")</f>
        <v/>
      </c>
      <c r="AC42" s="24" t="n">
        <v>0</v>
      </c>
      <c r="AD42" s="24" t="n">
        <v>0</v>
      </c>
      <c r="AE42" s="25" t="n"/>
      <c r="AF42" s="24" t="n">
        <v>0</v>
      </c>
      <c r="AG42" s="24" t="n">
        <v>0</v>
      </c>
      <c r="AH42" s="24" t="n">
        <v>0</v>
      </c>
      <c r="AI42" s="24" t="n">
        <v>0</v>
      </c>
      <c r="AJ42" s="25" t="n"/>
      <c r="AK42" s="24" t="n">
        <v>0</v>
      </c>
      <c r="AL42" s="24" t="n">
        <v>0</v>
      </c>
      <c r="AM42" s="24" t="n">
        <v>0</v>
      </c>
      <c r="AN42" s="24" t="n">
        <v>0</v>
      </c>
      <c r="AO42" s="25" t="n"/>
    </row>
    <row r="43">
      <c r="A43" s="12" t="inlineStr">
        <is>
          <t>drv:DPS</t>
        </is>
      </c>
      <c r="B43" s="2" t="inlineStr">
        <is>
          <t>abs</t>
        </is>
      </c>
      <c r="C43" t="inlineStr">
        <is>
          <t>DPS (가정, 원)</t>
        </is>
      </c>
      <c r="E43" s="27">
        <f>subQ!E39</f>
        <v/>
      </c>
      <c r="F43" s="28">
        <f>subQ!F39</f>
        <v/>
      </c>
      <c r="G43" s="27">
        <f>subQ!G39</f>
        <v/>
      </c>
      <c r="H43" s="27">
        <f>subQ!H39</f>
        <v/>
      </c>
      <c r="I43" s="27">
        <f>subQ!I39</f>
        <v/>
      </c>
      <c r="J43" s="27">
        <f>subQ!J39</f>
        <v/>
      </c>
      <c r="K43" s="28">
        <f>subQ!K39</f>
        <v/>
      </c>
      <c r="L43" s="27">
        <f>subQ!L39</f>
        <v/>
      </c>
      <c r="M43" s="27">
        <f>subQ!M39</f>
        <v/>
      </c>
      <c r="N43" s="27">
        <f>subQ!N39</f>
        <v/>
      </c>
      <c r="O43" s="27">
        <f>subQ!O39</f>
        <v/>
      </c>
      <c r="P43" s="28">
        <f>subQ!P39</f>
        <v/>
      </c>
      <c r="Q43" s="27">
        <f>subQ!Q39</f>
        <v/>
      </c>
      <c r="R43" s="27">
        <f>subQ!R39</f>
        <v/>
      </c>
      <c r="S43" s="27">
        <f>subQ!S39</f>
        <v/>
      </c>
      <c r="T43" s="27">
        <f>subQ!T39</f>
        <v/>
      </c>
      <c r="U43" s="28">
        <f>subQ!U39</f>
        <v/>
      </c>
      <c r="V43" s="27">
        <f>subQ!V39</f>
        <v/>
      </c>
      <c r="W43" s="27">
        <f>subQ!W39</f>
        <v/>
      </c>
      <c r="X43" s="27">
        <f>subQ!X39</f>
        <v/>
      </c>
      <c r="Y43" s="27">
        <f>subQ!Y39</f>
        <v/>
      </c>
      <c r="Z43" s="28">
        <f>subQ!Z39</f>
        <v/>
      </c>
      <c r="AA43" s="27">
        <f>subQ!AA39</f>
        <v/>
      </c>
      <c r="AB43" s="29">
        <f>subQ!AB39</f>
        <v/>
      </c>
      <c r="AC43" s="32" t="n"/>
      <c r="AD43" s="30" t="n">
        <v>15000</v>
      </c>
      <c r="AE43" s="31">
        <f>subQ!AE39</f>
        <v/>
      </c>
      <c r="AF43" s="32" t="n"/>
      <c r="AG43" s="32" t="n"/>
      <c r="AH43" s="32" t="n"/>
      <c r="AI43" s="30" t="n">
        <v>15000</v>
      </c>
      <c r="AJ43" s="31">
        <f>subQ!AJ39</f>
        <v/>
      </c>
      <c r="AK43" s="32" t="n"/>
      <c r="AL43" s="32" t="n"/>
      <c r="AM43" s="32" t="n"/>
      <c r="AN43" s="30" t="n">
        <v>15000</v>
      </c>
      <c r="AO43" s="31">
        <f>subQ!AO39</f>
        <v/>
      </c>
    </row>
    <row r="44">
      <c r="F44" s="9" t="n"/>
      <c r="K44" s="9" t="n"/>
      <c r="P44" s="9" t="n"/>
      <c r="U44" s="9" t="n"/>
      <c r="Z44" s="9" t="n"/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B45" s="1" t="inlineStr">
        <is>
          <t>3. 밸류에이션·스칼라</t>
        </is>
      </c>
      <c r="C45" s="2" t="inlineStr">
        <is>
          <t>노란 셀 = 가정. '연결' 표시는 추정 전 분기 수식이 이 셀을 참조한다는 뜻</t>
        </is>
      </c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s="12" t="inlineStr">
        <is>
          <t>sc:종가</t>
        </is>
      </c>
      <c r="C46" t="inlineStr">
        <is>
          <t>종가</t>
        </is>
      </c>
      <c r="D46" s="34" t="n">
        <v>455000</v>
      </c>
      <c r="E46" s="2" t="inlineStr">
        <is>
          <t>원 — 네이버 정규장 종가(aik 확정종가 대조 · aik 467,500원)</t>
        </is>
      </c>
      <c r="F46" s="9" t="n"/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sc:기준일</t>
        </is>
      </c>
      <c r="C47" t="inlineStr">
        <is>
          <t>기준일</t>
        </is>
      </c>
      <c r="D47" s="35" t="inlineStr">
        <is>
          <t>20261012</t>
        </is>
      </c>
      <c r="E47" s="2" t="inlineStr">
        <is>
          <t>종가 기준일</t>
        </is>
      </c>
      <c r="F47" s="9" t="n"/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sc:COE</t>
        </is>
      </c>
      <c r="C48" t="inlineStr">
        <is>
          <t>COE</t>
        </is>
      </c>
      <c r="D48" s="24" t="n">
        <v>0.09</v>
      </c>
      <c r="E48" s="2" t="inlineStr">
        <is>
          <t>자기자본비용(가정) — TP 적정 PBR = ROE/COE</t>
        </is>
      </c>
      <c r="F48" s="9" t="n"/>
      <c r="K48" s="9" t="n"/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sc:PER_lo</t>
        </is>
      </c>
      <c r="C49" t="inlineStr">
        <is>
          <t>PER_lo</t>
        </is>
      </c>
      <c r="D49" s="30" t="n">
        <v>10</v>
      </c>
      <c r="E49" s="2" t="inlineStr">
        <is>
          <t>PER 밴드 하단(배) — sector_default(레퍼런스 TP_PE PB 예시 10/15/20배; 과거 PER 중위 3.7배가 캡 5~30 밖 — 턴어라운드 초기 TTM EPS 왜곡)</t>
        </is>
      </c>
      <c r="F49" s="9" t="n"/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sc:PER_mid</t>
        </is>
      </c>
      <c r="C50" t="inlineStr">
        <is>
          <t>PER_mid</t>
        </is>
      </c>
      <c r="D50" s="30" t="n">
        <v>15</v>
      </c>
      <c r="E50" s="2" t="inlineStr">
        <is>
          <t>PER 밴드 중단(배)</t>
        </is>
      </c>
      <c r="F50" s="9" t="n"/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sc:PER_hi</t>
        </is>
      </c>
      <c r="C51" t="inlineStr">
        <is>
          <t>PER_hi</t>
        </is>
      </c>
      <c r="D51" s="30" t="n">
        <v>20</v>
      </c>
      <c r="E51" s="2" t="inlineStr">
        <is>
          <t>PER 밴드 상단(배)</t>
        </is>
      </c>
      <c r="F51" s="9" t="n"/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sc:EPS_Y1가중</t>
        </is>
      </c>
      <c r="C52" t="inlineStr">
        <is>
          <t>EPS_Y1가중</t>
        </is>
      </c>
      <c r="D52" s="24" t="n">
        <v>0.5</v>
      </c>
      <c r="E52" s="2" t="inlineStr">
        <is>
          <t>12M fwd EPS = FY(last_actual연도)E × w + FY+1E × (1−w) — 기준 분기 2Q 이면 0.5(가정)</t>
        </is>
      </c>
      <c r="F52" s="9" t="n"/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sc:세율</t>
        </is>
      </c>
      <c r="C53" t="inlineStr">
        <is>
          <t>세율</t>
        </is>
      </c>
      <c r="D53" s="36" t="n">
        <v>0.2200009445546425</v>
      </c>
      <c r="E53" s="2" t="inlineStr">
        <is>
          <t>연결 — 법인세 = MAX(세전,0) × 세율(역산, 재현 오차 ≤ 0.05억 · 모델 assumptions 0.22) · 최근 12분기 유효세율 29.8% 가 5~27% 밖; 세전 &gt; 0 분기 중위 31.2% 도 5~27% 밖 → 법정세율 근사 22% 가정</t>
        </is>
      </c>
      <c r="F53" s="9" t="n"/>
      <c r="K53" s="9" t="n"/>
      <c r="P53" s="9" t="n"/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s="12" t="inlineStr">
        <is>
          <t>sc:판관비율</t>
        </is>
      </c>
      <c r="C54" t="inlineStr">
        <is>
          <t>판관비율</t>
        </is>
      </c>
      <c r="D54" s="36" t="n">
        <v>0.18873975011067</v>
      </c>
      <c r="E54" s="2" t="inlineStr">
        <is>
          <t>연결 — 판관비 = 매출액 × 판관비율(역산, 재현 오차 ≤ 0.05억 · 모델 assumptions 0.1887)</t>
        </is>
      </c>
      <c r="F54" s="9" t="n"/>
      <c r="K54" s="9" t="n"/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s="12" t="inlineStr">
        <is>
          <t>sc:지배주주비중</t>
        </is>
      </c>
      <c r="C55" t="inlineStr">
        <is>
          <t>지배주주비중</t>
        </is>
      </c>
      <c r="D55" s="36" t="n">
        <v>1</v>
      </c>
      <c r="E55" s="2" t="inlineStr">
        <is>
          <t>연결 — 지배주주순이익 = 당기순이익 × 비중(역산, 재현 오차 ≤ 0.05억)</t>
        </is>
      </c>
      <c r="F55" s="9" t="n"/>
      <c r="K55" s="9" t="n"/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s="12" t="inlineStr">
        <is>
          <t>sc:이자율_자산</t>
        </is>
      </c>
      <c r="C56" t="inlineStr">
        <is>
          <t>이자율_자산</t>
        </is>
      </c>
      <c r="D56" s="36" t="n">
        <v>0.004351802142744159</v>
      </c>
      <c r="E56" s="2" t="inlineStr">
        <is>
          <t>연결 — 이자손익 = (전분기 이자발생자산 × 자산이자율 − 전분기 총차입금 × 부채이자율)/4(역산, 재현 오차 ≤ 0.05억 · 모델 assumptions 0.0043)</t>
        </is>
      </c>
      <c r="F56" s="9" t="n"/>
      <c r="K56" s="9" t="n"/>
      <c r="P56" s="9" t="n"/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s="12" t="inlineStr">
        <is>
          <t>sc:이자율_부채</t>
        </is>
      </c>
      <c r="C57" t="inlineStr">
        <is>
          <t>이자율_부채</t>
        </is>
      </c>
      <c r="D57" s="36" t="n">
        <v>0.06350866803977641</v>
      </c>
      <c r="E57" s="2" t="inlineStr">
        <is>
          <t>연결 — 같은 수식의 부채 쪽(총차입금 행이 없으면 0)(역산, 재현 오차 ≤ 0.05억 · 모델 assumptions 0.0635)</t>
        </is>
      </c>
      <c r="F57" s="9" t="n"/>
      <c r="K57" s="9" t="n"/>
      <c r="P57" s="9" t="n"/>
      <c r="U57" s="9" t="n"/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s="12" t="inlineStr">
        <is>
          <t>sc:배당성향</t>
        </is>
      </c>
      <c r="C58" t="inlineStr">
        <is>
          <t>배당성향</t>
        </is>
      </c>
      <c r="D58" s="24" t="n">
        <v>0.0717</v>
      </c>
      <c r="E58" s="2" t="inlineStr">
        <is>
          <t>배당성향(참고 — 모델은 직전 DPS 유지·Q2 지급 가정)</t>
        </is>
      </c>
      <c r="F58" s="9" t="n"/>
      <c r="K58" s="9" t="n"/>
      <c r="P58" s="9" t="n"/>
      <c r="U58" s="9" t="n"/>
      <c r="Z58" s="9" t="n"/>
      <c r="AB58" s="5" t="n"/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s="12" t="inlineStr">
        <is>
          <t>sc:외화순노출_백만$</t>
        </is>
      </c>
      <c r="C59" t="inlineStr">
        <is>
          <t>외화순노출_백만$</t>
        </is>
      </c>
      <c r="D59" s="30" t="n"/>
      <c r="E59" s="2" t="inlineStr">
        <is>
          <t>외화 순노출 × Δ기말환율 (외화 시트 방식) — 외화 순노출 미공시(face) → 0 + 표기</t>
        </is>
      </c>
      <c r="F59" s="9" t="n"/>
      <c r="K59" s="9" t="n"/>
      <c r="P59" s="9" t="n"/>
      <c r="U59" s="9" t="n"/>
      <c r="Z59" s="9" t="n"/>
      <c r="AB59" s="5" t="n"/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s="12" t="inlineStr">
        <is>
          <t>sc:헤지비율</t>
        </is>
      </c>
      <c r="C60" t="inlineStr">
        <is>
          <t>헤지비율</t>
        </is>
      </c>
      <c r="D60" s="24" t="n"/>
      <c r="E60" s="2" t="inlineStr">
        <is>
          <t>sls 없음</t>
        </is>
      </c>
      <c r="F60" s="9" t="n"/>
      <c r="K60" s="9" t="n"/>
      <c r="P60" s="9" t="n"/>
      <c r="U60" s="9" t="n"/>
      <c r="Z60" s="9" t="n"/>
      <c r="AB60" s="5" t="n"/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s="12" t="inlineStr">
        <is>
          <t>sc:헤지환율_약정</t>
        </is>
      </c>
      <c r="C61" t="inlineStr">
        <is>
          <t>헤지환율_약정</t>
        </is>
      </c>
      <c r="D61" s="16" t="n"/>
      <c r="E61" s="2" t="inlineStr">
        <is>
          <t>sls 없음</t>
        </is>
      </c>
      <c r="F61" s="9" t="n"/>
      <c r="K61" s="9" t="n"/>
      <c r="P61" s="9" t="n"/>
      <c r="U61" s="9" t="n"/>
      <c r="Z61" s="9" t="n"/>
      <c r="AB61" s="5" t="n"/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1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AB2" s="5" t="n"/>
    </row>
    <row r="3">
      <c r="B3" t="inlineStr">
        <is>
          <t>케이씨씨(연)</t>
        </is>
      </c>
      <c r="C3" s="2" t="inlineStr">
        <is>
          <t>UPDATE: 26-10-12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3668126.35</v>
      </c>
      <c r="F5" s="37" t="n">
        <v>3668126.35</v>
      </c>
      <c r="G5" s="18" t="n">
        <v>4388794.55</v>
      </c>
      <c r="H5" s="18" t="n">
        <v>4604773.49</v>
      </c>
      <c r="I5" s="18" t="n">
        <v>4303363.81</v>
      </c>
      <c r="J5" s="18" t="n">
        <v>4029782.76</v>
      </c>
      <c r="K5" s="37" t="n">
        <v>4029782.76</v>
      </c>
      <c r="L5" s="18" t="n">
        <v>4221561.5</v>
      </c>
      <c r="M5" s="18" t="n">
        <v>4296128.54</v>
      </c>
      <c r="N5" s="18" t="n">
        <v>4348879.04</v>
      </c>
      <c r="O5" s="18" t="n">
        <v>4178192.97</v>
      </c>
      <c r="P5" s="37" t="n">
        <v>4178192.97</v>
      </c>
      <c r="Q5" s="18" t="n">
        <v>4390977.84</v>
      </c>
      <c r="R5" s="18" t="n">
        <v>4398761.95</v>
      </c>
      <c r="S5" s="18" t="n">
        <v>4372544.18</v>
      </c>
      <c r="T5" s="18" t="n">
        <v>3994488.4</v>
      </c>
      <c r="U5" s="37" t="n">
        <v>3994488.4</v>
      </c>
      <c r="V5" s="18" t="n">
        <v>4495684.99</v>
      </c>
      <c r="W5" s="18" t="n">
        <v>4012252.1</v>
      </c>
      <c r="X5" s="18" t="n">
        <v>4018869.3</v>
      </c>
      <c r="Y5" s="18" t="n">
        <v>3982829.85</v>
      </c>
      <c r="Z5" s="37" t="n">
        <v>3982829.85</v>
      </c>
      <c r="AA5" s="18" t="n">
        <v>4548827.06</v>
      </c>
      <c r="AB5" s="19" t="n">
        <v>4351935.51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541200.62</v>
      </c>
      <c r="F6" s="37" t="n">
        <v>541200.62</v>
      </c>
      <c r="G6" s="18" t="n">
        <v>328395.52</v>
      </c>
      <c r="H6" s="18" t="n">
        <v>394154.02</v>
      </c>
      <c r="I6" s="18" t="n">
        <v>467291.37</v>
      </c>
      <c r="J6" s="18" t="n">
        <v>776747.67</v>
      </c>
      <c r="K6" s="37" t="n">
        <v>776747.67</v>
      </c>
      <c r="L6" s="18" t="n">
        <v>830350.62</v>
      </c>
      <c r="M6" s="18" t="n">
        <v>973610.3199999999</v>
      </c>
      <c r="N6" s="18" t="n">
        <v>1029439.41</v>
      </c>
      <c r="O6" s="18" t="n">
        <v>1045142.11</v>
      </c>
      <c r="P6" s="37" t="n">
        <v>1045142.11</v>
      </c>
      <c r="Q6" s="18" t="n">
        <v>1083647.85</v>
      </c>
      <c r="R6" s="18" t="n">
        <v>1072629.69</v>
      </c>
      <c r="S6" s="18" t="n">
        <v>1040909.62</v>
      </c>
      <c r="T6" s="18" t="n">
        <v>501329.76</v>
      </c>
      <c r="U6" s="37" t="n">
        <v>501329.76</v>
      </c>
      <c r="V6" s="18" t="n">
        <v>906545.13</v>
      </c>
      <c r="W6" s="18" t="n">
        <v>781684.86</v>
      </c>
      <c r="X6" s="18" t="n">
        <v>915207.59</v>
      </c>
      <c r="Y6" s="18" t="n">
        <v>1193612.44</v>
      </c>
      <c r="Z6" s="37" t="n">
        <v>1193612.44</v>
      </c>
      <c r="AA6" s="18" t="n">
        <v>1469494.85</v>
      </c>
      <c r="AB6" s="19" t="n">
        <v>1177380.3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604744.65</v>
      </c>
      <c r="F7" s="37" t="n">
        <v>604744.65</v>
      </c>
      <c r="G7" s="18" t="n">
        <v>1125966.99</v>
      </c>
      <c r="H7" s="18" t="n">
        <v>1207028.88</v>
      </c>
      <c r="I7" s="18" t="n">
        <v>722731.8199999999</v>
      </c>
      <c r="J7" s="18" t="n">
        <v>408423.84</v>
      </c>
      <c r="K7" s="37" t="n">
        <v>408423.84</v>
      </c>
      <c r="L7" s="18" t="n">
        <v>488875.35</v>
      </c>
      <c r="M7" s="18" t="n">
        <v>540229.59</v>
      </c>
      <c r="N7" s="18" t="n">
        <v>514967.23</v>
      </c>
      <c r="O7" s="18" t="n">
        <v>509868.88</v>
      </c>
      <c r="P7" s="37" t="n">
        <v>509868.88</v>
      </c>
      <c r="Q7" s="18" t="n">
        <v>548928.53</v>
      </c>
      <c r="R7" s="18" t="n">
        <v>436662.92</v>
      </c>
      <c r="S7" s="18" t="n">
        <v>486318.59</v>
      </c>
      <c r="T7" s="18" t="n">
        <v>510145.13</v>
      </c>
      <c r="U7" s="37" t="n">
        <v>510145.13</v>
      </c>
      <c r="V7" s="18" t="n">
        <v>531205.28</v>
      </c>
      <c r="W7" s="18" t="n">
        <v>374098.57</v>
      </c>
      <c r="X7" s="18" t="n">
        <v>216899.41</v>
      </c>
      <c r="Y7" s="18" t="n">
        <v>36838.55</v>
      </c>
      <c r="Z7" s="37" t="n">
        <v>36838.55</v>
      </c>
      <c r="AA7" s="18" t="n">
        <v>60084.28</v>
      </c>
      <c r="AB7" s="19" t="n">
        <v>25343.85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604744.65</v>
      </c>
      <c r="F8" s="37" t="n">
        <v>604744.65</v>
      </c>
      <c r="G8" s="18" t="n">
        <v>1125966.99</v>
      </c>
      <c r="H8" s="18" t="n">
        <v>1207028.88</v>
      </c>
      <c r="I8" s="18" t="n">
        <v>722731.8199999999</v>
      </c>
      <c r="J8" s="18" t="n">
        <v>408423.84</v>
      </c>
      <c r="K8" s="37" t="n">
        <v>408423.84</v>
      </c>
      <c r="L8" s="18" t="n">
        <v>488875.35</v>
      </c>
      <c r="M8" s="18" t="n">
        <v>540229.59</v>
      </c>
      <c r="N8" s="18" t="n">
        <v>514967.23</v>
      </c>
      <c r="O8" s="18" t="n">
        <v>509868.88</v>
      </c>
      <c r="P8" s="37" t="n">
        <v>509868.88</v>
      </c>
      <c r="Q8" s="18" t="n">
        <v>548928.53</v>
      </c>
      <c r="R8" s="18" t="n">
        <v>436662.92</v>
      </c>
      <c r="S8" s="18" t="n">
        <v>486318.59</v>
      </c>
      <c r="T8" s="18" t="n">
        <v>510145.13</v>
      </c>
      <c r="U8" s="37" t="n">
        <v>510145.13</v>
      </c>
      <c r="V8" s="18" t="n">
        <v>531205.28</v>
      </c>
      <c r="W8" s="18" t="n">
        <v>374098.57</v>
      </c>
      <c r="X8" s="18" t="n">
        <v>216899.41</v>
      </c>
      <c r="Y8" s="18" t="n">
        <v>36838.55</v>
      </c>
      <c r="Z8" s="37" t="n">
        <v>36838.55</v>
      </c>
      <c r="AA8" s="18" t="n">
        <v>60084.28</v>
      </c>
      <c r="AB8" s="19" t="n">
        <v>25343.85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매출채권및기타채권</t>
        </is>
      </c>
      <c r="E9" s="18" t="n">
        <v>1128138.48</v>
      </c>
      <c r="F9" s="37" t="n">
        <v>1128138.48</v>
      </c>
      <c r="G9" s="18" t="n">
        <v>1365742.85</v>
      </c>
      <c r="H9" s="18" t="n">
        <v>1337604.65</v>
      </c>
      <c r="I9" s="18" t="n">
        <v>1349237.66</v>
      </c>
      <c r="J9" s="18" t="n">
        <v>1201308.81</v>
      </c>
      <c r="K9" s="37" t="n">
        <v>1201308.81</v>
      </c>
      <c r="L9" s="18" t="n">
        <v>1251304.18</v>
      </c>
      <c r="M9" s="18" t="n">
        <v>1187458.69</v>
      </c>
      <c r="N9" s="18" t="n">
        <v>1189899.44</v>
      </c>
      <c r="O9" s="18" t="n">
        <v>1129052.84</v>
      </c>
      <c r="P9" s="37" t="n">
        <v>1129052.84</v>
      </c>
      <c r="Q9" s="18" t="n">
        <v>1262422.2</v>
      </c>
      <c r="R9" s="18" t="n">
        <v>1351795.58</v>
      </c>
      <c r="S9" s="18" t="n">
        <v>1287510.67</v>
      </c>
      <c r="T9" s="18" t="n">
        <v>1308739.71</v>
      </c>
      <c r="U9" s="37" t="n">
        <v>1308739.71</v>
      </c>
      <c r="V9" s="18" t="n">
        <v>1395653.14</v>
      </c>
      <c r="W9" s="18" t="n">
        <v>1291995.39</v>
      </c>
      <c r="X9" s="18" t="n">
        <v>1316162.42</v>
      </c>
      <c r="Y9" s="18" t="n">
        <v>1151524.42</v>
      </c>
      <c r="Z9" s="37" t="n">
        <v>1151524.42</v>
      </c>
      <c r="AA9" s="18" t="n">
        <v>1387501.97</v>
      </c>
      <c r="AB9" s="19" t="n">
        <v>1426533.08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선급금</t>
        </is>
      </c>
      <c r="E10" s="18" t="n">
        <v>21880.21</v>
      </c>
      <c r="F10" s="37" t="n">
        <v>21880.21</v>
      </c>
      <c r="G10" s="18" t="n">
        <v>20911.89</v>
      </c>
      <c r="H10" s="18" t="n">
        <v>26966.86</v>
      </c>
      <c r="I10" s="18" t="n">
        <v>24710.22</v>
      </c>
      <c r="J10" s="18" t="n">
        <v>16748.69</v>
      </c>
      <c r="K10" s="37" t="n">
        <v>16748.69</v>
      </c>
      <c r="L10" s="18" t="n">
        <v>17795.19</v>
      </c>
      <c r="M10" s="18" t="n">
        <v>20965.92</v>
      </c>
      <c r="N10" s="18" t="n">
        <v>16992.43</v>
      </c>
      <c r="O10" s="18" t="n">
        <v>16696.26</v>
      </c>
      <c r="P10" s="37" t="n">
        <v>16696.26</v>
      </c>
      <c r="Q10" s="18" t="n">
        <v>18973.96</v>
      </c>
      <c r="R10" s="18" t="n">
        <v>19135.57</v>
      </c>
      <c r="S10" s="18" t="n">
        <v>15662.25</v>
      </c>
      <c r="T10" s="18" t="n">
        <v>16911.15</v>
      </c>
      <c r="U10" s="37" t="n">
        <v>16911.15</v>
      </c>
      <c r="V10" s="18" t="n">
        <v>15380.8</v>
      </c>
      <c r="W10" s="18" t="n">
        <v>14394.72</v>
      </c>
      <c r="X10" s="18" t="n">
        <v>15964.33</v>
      </c>
      <c r="Y10" s="18" t="n">
        <v>20684.08</v>
      </c>
      <c r="Z10" s="37" t="n">
        <v>20684.08</v>
      </c>
      <c r="AA10" s="18" t="n">
        <v>11462.28</v>
      </c>
      <c r="AB10" s="19" t="n">
        <v>23789.06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선급금등</t>
        </is>
      </c>
      <c r="E11" s="18" t="n">
        <v>21880.21</v>
      </c>
      <c r="F11" s="37" t="n">
        <v>21880.21</v>
      </c>
      <c r="G11" s="18" t="n">
        <v>20911.89</v>
      </c>
      <c r="H11" s="18" t="n">
        <v>26966.86</v>
      </c>
      <c r="I11" s="18" t="n">
        <v>24710.22</v>
      </c>
      <c r="J11" s="18" t="n">
        <v>16748.69</v>
      </c>
      <c r="K11" s="37" t="n">
        <v>16748.69</v>
      </c>
      <c r="L11" s="18" t="n">
        <v>17795.19</v>
      </c>
      <c r="M11" s="18" t="n">
        <v>20965.92</v>
      </c>
      <c r="N11" s="18" t="n">
        <v>16992.43</v>
      </c>
      <c r="O11" s="18" t="n">
        <v>16696.26</v>
      </c>
      <c r="P11" s="37" t="n">
        <v>16696.26</v>
      </c>
      <c r="Q11" s="18" t="n">
        <v>18973.96</v>
      </c>
      <c r="R11" s="18" t="n">
        <v>19135.57</v>
      </c>
      <c r="S11" s="18" t="n">
        <v>15662.25</v>
      </c>
      <c r="T11" s="18" t="n">
        <v>16911.15</v>
      </c>
      <c r="U11" s="37" t="n">
        <v>16911.15</v>
      </c>
      <c r="V11" s="18" t="n">
        <v>15380.8</v>
      </c>
      <c r="W11" s="18" t="n">
        <v>14394.72</v>
      </c>
      <c r="X11" s="18" t="n">
        <v>15964.33</v>
      </c>
      <c r="Y11" s="18" t="n">
        <v>20684.08</v>
      </c>
      <c r="Z11" s="37" t="n">
        <v>20684.08</v>
      </c>
      <c r="AA11" s="18" t="n">
        <v>11462.28</v>
      </c>
      <c r="AB11" s="19" t="n">
        <v>23789.06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기타유동자산</t>
        </is>
      </c>
      <c r="E12" s="18" t="n">
        <v>61566.05</v>
      </c>
      <c r="F12" s="37" t="n">
        <v>61566.05</v>
      </c>
      <c r="G12" s="18" t="n">
        <v>96209.91</v>
      </c>
      <c r="H12" s="18" t="n">
        <v>68073.73</v>
      </c>
      <c r="I12" s="18" t="n">
        <v>74488.96000000001</v>
      </c>
      <c r="J12" s="18" t="n">
        <v>60506.58</v>
      </c>
      <c r="K12" s="37" t="n">
        <v>60506.58</v>
      </c>
      <c r="L12" s="18" t="n">
        <v>59181.06</v>
      </c>
      <c r="M12" s="18" t="n">
        <v>55254.5</v>
      </c>
      <c r="N12" s="18" t="n">
        <v>57264.98</v>
      </c>
      <c r="O12" s="18" t="n">
        <v>61945.71</v>
      </c>
      <c r="P12" s="37" t="n">
        <v>61945.71</v>
      </c>
      <c r="Q12" s="18" t="n">
        <v>54900.67</v>
      </c>
      <c r="R12" s="18" t="n">
        <v>50923.01</v>
      </c>
      <c r="S12" s="18" t="n">
        <v>48941.01</v>
      </c>
      <c r="T12" s="18" t="n">
        <v>67473.09</v>
      </c>
      <c r="U12" s="37" t="n">
        <v>67473.09</v>
      </c>
      <c r="V12" s="18" t="n">
        <v>55718.2</v>
      </c>
      <c r="W12" s="18" t="n">
        <v>47145.6</v>
      </c>
      <c r="X12" s="18" t="n">
        <v>58209.21</v>
      </c>
      <c r="Y12" s="18" t="n">
        <v>67889.42999999999</v>
      </c>
      <c r="Z12" s="37" t="n">
        <v>67889.42999999999</v>
      </c>
      <c r="AA12" s="18" t="n">
        <v>46702.25</v>
      </c>
      <c r="AB12" s="19" t="n">
        <v>62995.36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기타유동금융자산</t>
        </is>
      </c>
      <c r="E13" s="18" t="n">
        <v>2441.16</v>
      </c>
      <c r="F13" s="37" t="n">
        <v>2441.16</v>
      </c>
      <c r="G13" s="18" t="n">
        <v>3064.61</v>
      </c>
      <c r="H13" s="18" t="n">
        <v>3882.13</v>
      </c>
      <c r="I13" s="18" t="n">
        <v>2942.33</v>
      </c>
      <c r="J13" s="18" t="n">
        <v>3839.8</v>
      </c>
      <c r="K13" s="37" t="n">
        <v>3839.8</v>
      </c>
      <c r="L13" s="18" t="n">
        <v>3404.55</v>
      </c>
      <c r="M13" s="18" t="n">
        <v>5060.48</v>
      </c>
      <c r="N13" s="18" t="n">
        <v>60182.83</v>
      </c>
      <c r="O13" s="18" t="n">
        <v>32224.01</v>
      </c>
      <c r="P13" s="37" t="n">
        <v>32224.01</v>
      </c>
      <c r="Q13" s="18" t="n">
        <v>21085.95</v>
      </c>
      <c r="R13" s="18" t="n">
        <v>18838.42</v>
      </c>
      <c r="S13" s="18" t="n">
        <v>16384.87</v>
      </c>
      <c r="T13" s="18" t="n">
        <v>21694.68</v>
      </c>
      <c r="U13" s="37" t="n">
        <v>21694.68</v>
      </c>
      <c r="V13" s="18" t="n">
        <v>3308.78</v>
      </c>
      <c r="W13" s="18" t="n">
        <v>2839.46</v>
      </c>
      <c r="X13" s="18" t="n">
        <v>1445.52</v>
      </c>
      <c r="Y13" s="18" t="n">
        <v>96.7</v>
      </c>
      <c r="Z13" s="37" t="n">
        <v>96.7</v>
      </c>
      <c r="AA13" s="18" t="n">
        <v>95.68000000000001</v>
      </c>
      <c r="AB13" s="19" t="n">
        <v>37.51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당기법인세자산(선급법인세)</t>
        </is>
      </c>
      <c r="E14" s="18" t="n">
        <v>1131.35</v>
      </c>
      <c r="F14" s="37" t="n">
        <v>1131.35</v>
      </c>
      <c r="G14" s="18" t="n">
        <v>1694</v>
      </c>
      <c r="H14" s="18" t="n">
        <v>1435.97</v>
      </c>
      <c r="I14" s="18" t="n">
        <v>2525.43</v>
      </c>
      <c r="J14" s="18" t="n">
        <v>2855.83</v>
      </c>
      <c r="K14" s="37" t="n">
        <v>2855.83</v>
      </c>
      <c r="L14" s="18" t="n">
        <v>2618.99</v>
      </c>
      <c r="M14" s="18" t="n">
        <v>1256.31</v>
      </c>
      <c r="N14" s="18" t="n">
        <v>858.08</v>
      </c>
      <c r="O14" s="18" t="n">
        <v>959.7</v>
      </c>
      <c r="P14" s="37" t="n">
        <v>959.7</v>
      </c>
      <c r="Q14" s="18" t="n">
        <v>1147.54</v>
      </c>
      <c r="R14" s="18" t="n">
        <v>1253.98</v>
      </c>
      <c r="S14" s="18" t="n">
        <v>3237.56</v>
      </c>
      <c r="T14" s="18" t="n">
        <v>1870.04</v>
      </c>
      <c r="U14" s="37" t="n">
        <v>1870.04</v>
      </c>
      <c r="V14" s="18" t="n">
        <v>1931.28</v>
      </c>
      <c r="W14" s="18" t="n">
        <v>1468.67</v>
      </c>
      <c r="X14" s="18" t="n">
        <v>2716.73</v>
      </c>
      <c r="Y14" s="18" t="n">
        <v>2882.51</v>
      </c>
      <c r="Z14" s="37" t="n">
        <v>2882.51</v>
      </c>
      <c r="AA14" s="18" t="n">
        <v>3208.47</v>
      </c>
      <c r="AB14" s="19" t="n">
        <v>1728.72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재고자산</t>
        </is>
      </c>
      <c r="E15" s="18" t="n">
        <v>1306421.99</v>
      </c>
      <c r="F15" s="37" t="n">
        <v>1306421.99</v>
      </c>
      <c r="G15" s="18" t="n">
        <v>1445238.61</v>
      </c>
      <c r="H15" s="18" t="n">
        <v>1570112.03</v>
      </c>
      <c r="I15" s="18" t="n">
        <v>1661664.18</v>
      </c>
      <c r="J15" s="18" t="n">
        <v>1576100.22</v>
      </c>
      <c r="K15" s="37" t="n">
        <v>1576100.22</v>
      </c>
      <c r="L15" s="18" t="n">
        <v>1585826.75</v>
      </c>
      <c r="M15" s="18" t="n">
        <v>1533258.66</v>
      </c>
      <c r="N15" s="18" t="n">
        <v>1473785.02</v>
      </c>
      <c r="O15" s="18" t="n">
        <v>1398999.72</v>
      </c>
      <c r="P15" s="37" t="n">
        <v>1398999.72</v>
      </c>
      <c r="Q15" s="18" t="n">
        <v>1418845.1</v>
      </c>
      <c r="R15" s="18" t="n">
        <v>1466658.35</v>
      </c>
      <c r="S15" s="18" t="n">
        <v>1489241.85</v>
      </c>
      <c r="T15" s="18" t="n">
        <v>1583235.99</v>
      </c>
      <c r="U15" s="37" t="n">
        <v>1583235.99</v>
      </c>
      <c r="V15" s="18" t="n">
        <v>1601323.19</v>
      </c>
      <c r="W15" s="18" t="n">
        <v>1513019.54</v>
      </c>
      <c r="X15" s="18" t="n">
        <v>1508228.41</v>
      </c>
      <c r="Y15" s="18" t="n">
        <v>1529985.81</v>
      </c>
      <c r="Z15" s="37" t="n">
        <v>1529985.81</v>
      </c>
      <c r="AA15" s="18" t="n">
        <v>1581739.57</v>
      </c>
      <c r="AB15" s="19" t="n">
        <v>1657916.68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비유동자산</t>
        </is>
      </c>
      <c r="E16" s="18" t="n">
        <v>9210736.85</v>
      </c>
      <c r="F16" s="37" t="n">
        <v>9210736.85</v>
      </c>
      <c r="G16" s="18" t="n">
        <v>9030509.210000001</v>
      </c>
      <c r="H16" s="18" t="n">
        <v>9328258.66</v>
      </c>
      <c r="I16" s="18" t="n">
        <v>9284742.800000001</v>
      </c>
      <c r="J16" s="18" t="n">
        <v>9088703.539999999</v>
      </c>
      <c r="K16" s="37" t="n">
        <v>9088703.539999999</v>
      </c>
      <c r="L16" s="18" t="n">
        <v>9083349.5</v>
      </c>
      <c r="M16" s="18" t="n">
        <v>9108641.73</v>
      </c>
      <c r="N16" s="18" t="n">
        <v>9061670.199999999</v>
      </c>
      <c r="O16" s="18" t="n">
        <v>9175278.109999999</v>
      </c>
      <c r="P16" s="37" t="n">
        <v>9175278.109999999</v>
      </c>
      <c r="Q16" s="18" t="n">
        <v>9712507.640000001</v>
      </c>
      <c r="R16" s="18" t="n">
        <v>9245830.18</v>
      </c>
      <c r="S16" s="18" t="n">
        <v>9130814.880000001</v>
      </c>
      <c r="T16" s="18" t="n">
        <v>9114061.74</v>
      </c>
      <c r="U16" s="37" t="n">
        <v>9114061.74</v>
      </c>
      <c r="V16" s="18" t="n">
        <v>10570485.69</v>
      </c>
      <c r="W16" s="18" t="n">
        <v>11577430.29</v>
      </c>
      <c r="X16" s="18" t="n">
        <v>12193005.84</v>
      </c>
      <c r="Y16" s="18" t="n">
        <v>12820729.55</v>
      </c>
      <c r="Z16" s="37" t="n">
        <v>12820729.55</v>
      </c>
      <c r="AA16" s="18" t="n">
        <v>13074192.69</v>
      </c>
      <c r="AB16" s="19" t="n">
        <v>16770864.27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장기매출채권및기타채권</t>
        </is>
      </c>
      <c r="E17" s="18" t="n">
        <v>259.74</v>
      </c>
      <c r="F17" s="37" t="n">
        <v>259.74</v>
      </c>
      <c r="G17" s="18" t="n">
        <v>326.53</v>
      </c>
      <c r="H17" s="18" t="n">
        <v>586.53</v>
      </c>
      <c r="I17" s="18" t="n">
        <v>721.46</v>
      </c>
      <c r="J17" s="18" t="n">
        <v>808.74</v>
      </c>
      <c r="K17" s="37" t="n">
        <v>808.74</v>
      </c>
      <c r="L17" s="18" t="n">
        <v>881.1900000000001</v>
      </c>
      <c r="M17" s="18" t="n">
        <v>1561.34</v>
      </c>
      <c r="N17" s="18" t="n">
        <v>1529.85</v>
      </c>
      <c r="O17" s="18" t="n">
        <v>82396.32000000001</v>
      </c>
      <c r="P17" s="37" t="n">
        <v>82396.32000000001</v>
      </c>
      <c r="Q17" s="18" t="n">
        <v>836.51</v>
      </c>
      <c r="R17" s="18" t="n">
        <v>84684.5</v>
      </c>
      <c r="S17" s="18" t="n">
        <v>82409.49000000001</v>
      </c>
      <c r="T17" s="18" t="n">
        <v>85316.87</v>
      </c>
      <c r="U17" s="37" t="n">
        <v>85316.87</v>
      </c>
      <c r="V17" s="18" t="n">
        <v>85481.52</v>
      </c>
      <c r="W17" s="18" t="n">
        <v>84950.39</v>
      </c>
      <c r="X17" s="18" t="n">
        <v>86413.25</v>
      </c>
      <c r="Y17" s="18" t="n">
        <v>49138.23</v>
      </c>
      <c r="Z17" s="37" t="n">
        <v>49138.23</v>
      </c>
      <c r="AA17" s="18" t="n">
        <v>51181.68</v>
      </c>
      <c r="AB17" s="19" t="n">
        <v>45264.69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기타비유동자산</t>
        </is>
      </c>
      <c r="E18" s="18" t="n">
        <v>197428.33</v>
      </c>
      <c r="F18" s="37" t="n">
        <v>197428.33</v>
      </c>
      <c r="G18" s="18" t="n">
        <v>202013.76</v>
      </c>
      <c r="H18" s="18" t="n">
        <v>200495.01</v>
      </c>
      <c r="I18" s="18" t="n">
        <v>196282.02</v>
      </c>
      <c r="J18" s="18" t="n">
        <v>240818.41</v>
      </c>
      <c r="K18" s="37" t="n">
        <v>240818.41</v>
      </c>
      <c r="L18" s="18" t="n">
        <v>238614.65</v>
      </c>
      <c r="M18" s="18" t="n">
        <v>230027.88</v>
      </c>
      <c r="N18" s="18" t="n">
        <v>222041.58</v>
      </c>
      <c r="O18" s="18" t="n">
        <v>214413.88</v>
      </c>
      <c r="P18" s="37" t="n">
        <v>214413.88</v>
      </c>
      <c r="Q18" s="18" t="n">
        <v>207668.99</v>
      </c>
      <c r="R18" s="18" t="n">
        <v>209533.77</v>
      </c>
      <c r="S18" s="18" t="n">
        <v>202607.5</v>
      </c>
      <c r="T18" s="18" t="n">
        <v>223319.9</v>
      </c>
      <c r="U18" s="37" t="n">
        <v>223319.9</v>
      </c>
      <c r="V18" s="18" t="n">
        <v>306731.19</v>
      </c>
      <c r="W18" s="18" t="n">
        <v>284897.43</v>
      </c>
      <c r="X18" s="18" t="n">
        <v>287131.79</v>
      </c>
      <c r="Y18" s="18" t="n">
        <v>308348</v>
      </c>
      <c r="Z18" s="37" t="n">
        <v>308348</v>
      </c>
      <c r="AA18" s="18" t="n">
        <v>307035.52</v>
      </c>
      <c r="AB18" s="19" t="n">
        <v>285085.76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장기금융자산</t>
        </is>
      </c>
      <c r="E19" s="18" t="n">
        <v>2675927.79</v>
      </c>
      <c r="F19" s="37" t="n">
        <v>2675927.79</v>
      </c>
      <c r="G19" s="18" t="n">
        <v>2443398.84</v>
      </c>
      <c r="H19" s="18" t="n">
        <v>2613109.23</v>
      </c>
      <c r="I19" s="18" t="n">
        <v>2249355.58</v>
      </c>
      <c r="J19" s="18" t="n">
        <v>2386440.96</v>
      </c>
      <c r="K19" s="37" t="n">
        <v>2386440.96</v>
      </c>
      <c r="L19" s="18" t="n">
        <v>2302180.22</v>
      </c>
      <c r="M19" s="18" t="n">
        <v>2374117.63</v>
      </c>
      <c r="N19" s="18" t="n">
        <v>2316001.02</v>
      </c>
      <c r="O19" s="18" t="n">
        <v>2723865.23</v>
      </c>
      <c r="P19" s="37" t="n">
        <v>2723865.23</v>
      </c>
      <c r="Q19" s="18" t="n">
        <v>3207444.38</v>
      </c>
      <c r="R19" s="18" t="n">
        <v>3047766.3</v>
      </c>
      <c r="S19" s="18" t="n">
        <v>3058083.94</v>
      </c>
      <c r="T19" s="18" t="n">
        <v>2767067.32</v>
      </c>
      <c r="U19" s="37" t="n">
        <v>2767067.32</v>
      </c>
      <c r="V19" s="18" t="n">
        <v>2735746.9</v>
      </c>
      <c r="W19" s="18" t="n">
        <v>3989058.85</v>
      </c>
      <c r="X19" s="18" t="n">
        <v>4530147.31</v>
      </c>
      <c r="Y19" s="18" t="n">
        <v>5459061.55</v>
      </c>
      <c r="Z19" s="37" t="n">
        <v>5459061.55</v>
      </c>
      <c r="AA19" s="18" t="n">
        <v>5539415.2</v>
      </c>
      <c r="AB19" s="19" t="n">
        <v>9215503.32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투자자산</t>
        </is>
      </c>
      <c r="E20" s="18" t="n">
        <v>2675927.79</v>
      </c>
      <c r="F20" s="37" t="n">
        <v>2675927.79</v>
      </c>
      <c r="G20" s="18" t="n">
        <v>2443398.84</v>
      </c>
      <c r="H20" s="18" t="n">
        <v>2613109.23</v>
      </c>
      <c r="I20" s="18" t="n">
        <v>2249355.58</v>
      </c>
      <c r="J20" s="18" t="n">
        <v>2386440.96</v>
      </c>
      <c r="K20" s="37" t="n">
        <v>2386440.96</v>
      </c>
      <c r="L20" s="18" t="n">
        <v>2302180.22</v>
      </c>
      <c r="M20" s="18" t="n">
        <v>2374117.63</v>
      </c>
      <c r="N20" s="18" t="n">
        <v>2316001.02</v>
      </c>
      <c r="O20" s="18" t="n">
        <v>2723865.23</v>
      </c>
      <c r="P20" s="37" t="n">
        <v>2723865.23</v>
      </c>
      <c r="Q20" s="18" t="n">
        <v>3207444.38</v>
      </c>
      <c r="R20" s="18" t="n">
        <v>3047766.3</v>
      </c>
      <c r="S20" s="18" t="n">
        <v>3058083.94</v>
      </c>
      <c r="T20" s="18" t="n">
        <v>2767067.32</v>
      </c>
      <c r="U20" s="37" t="n">
        <v>2767067.32</v>
      </c>
      <c r="V20" s="18" t="n">
        <v>2735746.9</v>
      </c>
      <c r="W20" s="18" t="n">
        <v>3989058.85</v>
      </c>
      <c r="X20" s="18" t="n">
        <v>4530147.31</v>
      </c>
      <c r="Y20" s="18" t="n">
        <v>5459061.55</v>
      </c>
      <c r="Z20" s="37" t="n">
        <v>5459061.55</v>
      </c>
      <c r="AA20" s="18" t="n">
        <v>5539415.2</v>
      </c>
      <c r="AB20" s="19" t="n">
        <v>9215503.32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사용권자산</t>
        </is>
      </c>
      <c r="E21" s="18" t="n">
        <v>155293.04</v>
      </c>
      <c r="F21" s="37" t="n">
        <v>155293.04</v>
      </c>
      <c r="G21" s="18" t="n">
        <v>167203.25</v>
      </c>
      <c r="H21" s="18" t="n">
        <v>169717.32</v>
      </c>
      <c r="I21" s="18" t="n">
        <v>172046.79</v>
      </c>
      <c r="J21" s="18" t="n">
        <v>190271.02</v>
      </c>
      <c r="K21" s="37" t="n">
        <v>190271.02</v>
      </c>
      <c r="L21" s="18" t="n">
        <v>191943.8</v>
      </c>
      <c r="M21" s="18" t="n">
        <v>184840.91</v>
      </c>
      <c r="N21" s="18" t="n">
        <v>181129.13</v>
      </c>
      <c r="O21" s="18" t="n">
        <v>199176.07</v>
      </c>
      <c r="P21" s="37" t="n">
        <v>199176.07</v>
      </c>
      <c r="Q21" s="18" t="n">
        <v>198360.38</v>
      </c>
      <c r="R21" s="18" t="n">
        <v>199412.75</v>
      </c>
      <c r="S21" s="18" t="n">
        <v>193494.63</v>
      </c>
      <c r="T21" s="18" t="n">
        <v>204204.04</v>
      </c>
      <c r="U21" s="37" t="n">
        <v>204204.04</v>
      </c>
      <c r="V21" s="18" t="n">
        <v>294427.13</v>
      </c>
      <c r="W21" s="18" t="n">
        <v>276520.25</v>
      </c>
      <c r="X21" s="18" t="n">
        <v>279245.8</v>
      </c>
      <c r="Y21" s="18" t="n">
        <v>288758.34</v>
      </c>
      <c r="Z21" s="37" t="n">
        <v>288758.34</v>
      </c>
      <c r="AA21" s="18" t="n">
        <v>292149.15</v>
      </c>
      <c r="AB21" s="19" t="n">
        <v>275947.71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유형자산</t>
        </is>
      </c>
      <c r="E22" s="18" t="n">
        <v>3560280.05</v>
      </c>
      <c r="F22" s="37" t="n">
        <v>3560280.05</v>
      </c>
      <c r="G22" s="18" t="n">
        <v>3549226.8</v>
      </c>
      <c r="H22" s="18" t="n">
        <v>3572999.89</v>
      </c>
      <c r="I22" s="18" t="n">
        <v>3727136.81</v>
      </c>
      <c r="J22" s="18" t="n">
        <v>3534802.59</v>
      </c>
      <c r="K22" s="37" t="n">
        <v>3534802.59</v>
      </c>
      <c r="L22" s="18" t="n">
        <v>3515796.65</v>
      </c>
      <c r="M22" s="18" t="n">
        <v>3500252.16</v>
      </c>
      <c r="N22" s="18" t="n">
        <v>3549808.97</v>
      </c>
      <c r="O22" s="18" t="n">
        <v>3447106.24</v>
      </c>
      <c r="P22" s="37" t="n">
        <v>3447106.24</v>
      </c>
      <c r="Q22" s="18" t="n">
        <v>3461535.28</v>
      </c>
      <c r="R22" s="18" t="n">
        <v>3495441</v>
      </c>
      <c r="S22" s="18" t="n">
        <v>3411046.06</v>
      </c>
      <c r="T22" s="18" t="n">
        <v>3525478.45</v>
      </c>
      <c r="U22" s="37" t="n">
        <v>3525478.45</v>
      </c>
      <c r="V22" s="18" t="n">
        <v>4564881.1</v>
      </c>
      <c r="W22" s="18" t="n">
        <v>4461512.49</v>
      </c>
      <c r="X22" s="18" t="n">
        <v>4476937.21</v>
      </c>
      <c r="Y22" s="18" t="n">
        <v>4324028.83</v>
      </c>
      <c r="Z22" s="37" t="n">
        <v>4324028.83</v>
      </c>
      <c r="AA22" s="18" t="n">
        <v>4411588.87</v>
      </c>
      <c r="AB22" s="19" t="n">
        <v>4425416.85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무형자산</t>
        </is>
      </c>
      <c r="E23" s="18" t="n">
        <v>1263117.79</v>
      </c>
      <c r="F23" s="37" t="n">
        <v>1263117.79</v>
      </c>
      <c r="G23" s="18" t="n">
        <v>1276050.93</v>
      </c>
      <c r="H23" s="18" t="n">
        <v>1339609.87</v>
      </c>
      <c r="I23" s="18" t="n">
        <v>1460935.47</v>
      </c>
      <c r="J23" s="18" t="n">
        <v>1296801.22</v>
      </c>
      <c r="K23" s="37" t="n">
        <v>1296801.22</v>
      </c>
      <c r="L23" s="18" t="n">
        <v>1327390.57</v>
      </c>
      <c r="M23" s="18" t="n">
        <v>1322664.88</v>
      </c>
      <c r="N23" s="18" t="n">
        <v>1336394.11</v>
      </c>
      <c r="O23" s="18" t="n">
        <v>1281859.93</v>
      </c>
      <c r="P23" s="37" t="n">
        <v>1281859.93</v>
      </c>
      <c r="Q23" s="18" t="n">
        <v>1323280.03</v>
      </c>
      <c r="R23" s="18" t="n">
        <v>1352326.37</v>
      </c>
      <c r="S23" s="18" t="n">
        <v>1286868.91</v>
      </c>
      <c r="T23" s="18" t="n">
        <v>1407258.89</v>
      </c>
      <c r="U23" s="37" t="n">
        <v>1407258.89</v>
      </c>
      <c r="V23" s="18" t="n">
        <v>1402518.7</v>
      </c>
      <c r="W23" s="18" t="n">
        <v>1300219.93</v>
      </c>
      <c r="X23" s="18" t="n">
        <v>1334060.09</v>
      </c>
      <c r="Y23" s="18" t="n">
        <v>1167570.73</v>
      </c>
      <c r="Z23" s="37" t="n">
        <v>1167570.73</v>
      </c>
      <c r="AA23" s="18" t="n">
        <v>1222381.91</v>
      </c>
      <c r="AB23" s="19" t="n">
        <v>1233703.89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투자부동산</t>
        </is>
      </c>
      <c r="E24" s="18" t="n">
        <v>619037.4</v>
      </c>
      <c r="F24" s="37" t="n">
        <v>619037.4</v>
      </c>
      <c r="G24" s="18" t="n">
        <v>625056.11</v>
      </c>
      <c r="H24" s="18" t="n">
        <v>638655.65</v>
      </c>
      <c r="I24" s="18" t="n">
        <v>639412.8</v>
      </c>
      <c r="J24" s="18" t="n">
        <v>646050.62</v>
      </c>
      <c r="K24" s="37" t="n">
        <v>646050.62</v>
      </c>
      <c r="L24" s="18" t="n">
        <v>712523.78</v>
      </c>
      <c r="M24" s="18" t="n">
        <v>705140.59</v>
      </c>
      <c r="N24" s="18" t="n">
        <v>672062.08</v>
      </c>
      <c r="O24" s="18" t="n">
        <v>705088.72</v>
      </c>
      <c r="P24" s="37" t="n">
        <v>705088.72</v>
      </c>
      <c r="Q24" s="18" t="n">
        <v>711525.24</v>
      </c>
      <c r="R24" s="18" t="n">
        <v>713069.61</v>
      </c>
      <c r="S24" s="18" t="n">
        <v>745177.05</v>
      </c>
      <c r="T24" s="18" t="n">
        <v>751490.91</v>
      </c>
      <c r="U24" s="37" t="n">
        <v>751490.91</v>
      </c>
      <c r="V24" s="18" t="n">
        <v>1047443.86</v>
      </c>
      <c r="W24" s="18" t="n">
        <v>1018521.95</v>
      </c>
      <c r="X24" s="18" t="n">
        <v>1037581.75</v>
      </c>
      <c r="Y24" s="18" t="n">
        <v>1030191.65</v>
      </c>
      <c r="Z24" s="37" t="n">
        <v>1030191.65</v>
      </c>
      <c r="AA24" s="18" t="n">
        <v>1037956.74</v>
      </c>
      <c r="AB24" s="19" t="n">
        <v>1060452.06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이연법인세자산</t>
        </is>
      </c>
      <c r="E25" s="18" t="n">
        <v>23929.93</v>
      </c>
      <c r="F25" s="37" t="n">
        <v>23929.93</v>
      </c>
      <c r="G25" s="18" t="n">
        <v>23905.79</v>
      </c>
      <c r="H25" s="18" t="n">
        <v>24868.88</v>
      </c>
      <c r="I25" s="18" t="n">
        <v>23007.92</v>
      </c>
      <c r="J25" s="18" t="n">
        <v>15416.6</v>
      </c>
      <c r="K25" s="37" t="n">
        <v>15416.6</v>
      </c>
      <c r="L25" s="18" t="n">
        <v>15705.26</v>
      </c>
      <c r="M25" s="18" t="n">
        <v>16203.96</v>
      </c>
      <c r="N25" s="18" t="n">
        <v>14187.87</v>
      </c>
      <c r="O25" s="18" t="n">
        <v>15738.48</v>
      </c>
      <c r="P25" s="37" t="n">
        <v>15738.48</v>
      </c>
      <c r="Q25" s="18" t="n">
        <v>16195.33</v>
      </c>
      <c r="R25" s="18" t="n">
        <v>16998.18</v>
      </c>
      <c r="S25" s="18" t="n">
        <v>15411.53</v>
      </c>
      <c r="T25" s="18" t="n">
        <v>18341.41</v>
      </c>
      <c r="U25" s="37" t="n">
        <v>18341.41</v>
      </c>
      <c r="V25" s="18" t="n">
        <v>27242.59</v>
      </c>
      <c r="W25" s="18" t="n">
        <v>27512.29</v>
      </c>
      <c r="X25" s="18" t="n">
        <v>21839.49</v>
      </c>
      <c r="Y25" s="18" t="n">
        <v>17292.09</v>
      </c>
      <c r="Z25" s="37" t="n">
        <v>17292.09</v>
      </c>
      <c r="AA25" s="18" t="n">
        <v>19309.01</v>
      </c>
      <c r="AB25" s="19" t="n">
        <v>20222.03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자산총계</t>
        </is>
      </c>
      <c r="E26" s="18" t="n">
        <v>12878863.21</v>
      </c>
      <c r="F26" s="37" t="n">
        <v>12878863.21</v>
      </c>
      <c r="G26" s="18" t="n">
        <v>13419303.76</v>
      </c>
      <c r="H26" s="18" t="n">
        <v>13933032.15</v>
      </c>
      <c r="I26" s="18" t="n">
        <v>13588106.61</v>
      </c>
      <c r="J26" s="18" t="n">
        <v>13118486.31</v>
      </c>
      <c r="K26" s="37" t="n">
        <v>13118486.31</v>
      </c>
      <c r="L26" s="18" t="n">
        <v>13304911</v>
      </c>
      <c r="M26" s="18" t="n">
        <v>13404770.27</v>
      </c>
      <c r="N26" s="18" t="n">
        <v>13410549.24</v>
      </c>
      <c r="O26" s="18" t="n">
        <v>13353471.08</v>
      </c>
      <c r="P26" s="37" t="n">
        <v>13353471.08</v>
      </c>
      <c r="Q26" s="18" t="n">
        <v>14103485.48</v>
      </c>
      <c r="R26" s="18" t="n">
        <v>13644592.13</v>
      </c>
      <c r="S26" s="18" t="n">
        <v>13503359.05</v>
      </c>
      <c r="T26" s="18" t="n">
        <v>13108550.14</v>
      </c>
      <c r="U26" s="37" t="n">
        <v>13108550.14</v>
      </c>
      <c r="V26" s="18" t="n">
        <v>15066170.68</v>
      </c>
      <c r="W26" s="18" t="n">
        <v>15589682.39</v>
      </c>
      <c r="X26" s="18" t="n">
        <v>16211875.14</v>
      </c>
      <c r="Y26" s="18" t="n">
        <v>16803559.41</v>
      </c>
      <c r="Z26" s="37" t="n">
        <v>16803559.41</v>
      </c>
      <c r="AA26" s="18" t="n">
        <v>17623019.75</v>
      </c>
      <c r="AB26" s="19" t="n">
        <v>21122799.78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유동부채</t>
        </is>
      </c>
      <c r="E27" s="18" t="n">
        <v>2699971.58</v>
      </c>
      <c r="F27" s="37" t="n">
        <v>2699971.58</v>
      </c>
      <c r="G27" s="18" t="n">
        <v>3077569.33</v>
      </c>
      <c r="H27" s="18" t="n">
        <v>3069456.08</v>
      </c>
      <c r="I27" s="18" t="n">
        <v>2697212.45</v>
      </c>
      <c r="J27" s="18" t="n">
        <v>2869372.54</v>
      </c>
      <c r="K27" s="37" t="n">
        <v>2869372.54</v>
      </c>
      <c r="L27" s="18" t="n">
        <v>3507062.74</v>
      </c>
      <c r="M27" s="18" t="n">
        <v>3494210.95</v>
      </c>
      <c r="N27" s="18" t="n">
        <v>3496920.84</v>
      </c>
      <c r="O27" s="18" t="n">
        <v>3836444.03</v>
      </c>
      <c r="P27" s="37" t="n">
        <v>3836444.03</v>
      </c>
      <c r="Q27" s="18" t="n">
        <v>3512623.88</v>
      </c>
      <c r="R27" s="18" t="n">
        <v>3364128.97</v>
      </c>
      <c r="S27" s="18" t="n">
        <v>3331172.5</v>
      </c>
      <c r="T27" s="18" t="n">
        <v>3230859.31</v>
      </c>
      <c r="U27" s="37" t="n">
        <v>3230859.31</v>
      </c>
      <c r="V27" s="18" t="n">
        <v>3287556.31</v>
      </c>
      <c r="W27" s="18" t="n">
        <v>3073266.1</v>
      </c>
      <c r="X27" s="18" t="n">
        <v>4085188.05</v>
      </c>
      <c r="Y27" s="18" t="n">
        <v>3982446.44</v>
      </c>
      <c r="Z27" s="37" t="n">
        <v>3982446.44</v>
      </c>
      <c r="AA27" s="18" t="n">
        <v>4426078.09</v>
      </c>
      <c r="AB27" s="19" t="n">
        <v>4755186.19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매입채무및기타채무</t>
        </is>
      </c>
      <c r="E28" s="18" t="n">
        <v>788460.41</v>
      </c>
      <c r="F28" s="37" t="n">
        <v>788460.41</v>
      </c>
      <c r="G28" s="18" t="n">
        <v>825003.23</v>
      </c>
      <c r="H28" s="18" t="n">
        <v>830156.71</v>
      </c>
      <c r="I28" s="18" t="n">
        <v>774492.34</v>
      </c>
      <c r="J28" s="18" t="n">
        <v>711299.65</v>
      </c>
      <c r="K28" s="37" t="n">
        <v>711299.65</v>
      </c>
      <c r="L28" s="18" t="n">
        <v>673641.35</v>
      </c>
      <c r="M28" s="18" t="n">
        <v>664095.61</v>
      </c>
      <c r="N28" s="18" t="n">
        <v>659567.1</v>
      </c>
      <c r="O28" s="18" t="n">
        <v>647424.6</v>
      </c>
      <c r="P28" s="37" t="n">
        <v>647424.6</v>
      </c>
      <c r="Q28" s="18" t="n">
        <v>679488.85</v>
      </c>
      <c r="R28" s="18" t="n">
        <v>797652.42</v>
      </c>
      <c r="S28" s="18" t="n">
        <v>722109.1</v>
      </c>
      <c r="T28" s="18" t="n">
        <v>770281.37</v>
      </c>
      <c r="U28" s="37" t="n">
        <v>770281.37</v>
      </c>
      <c r="V28" s="18" t="n">
        <v>726303.83</v>
      </c>
      <c r="W28" s="18" t="n">
        <v>713029.62</v>
      </c>
      <c r="X28" s="18" t="n">
        <v>670278.36</v>
      </c>
      <c r="Y28" s="18" t="n">
        <v>679464.4</v>
      </c>
      <c r="Z28" s="37" t="n">
        <v>679464.4</v>
      </c>
      <c r="AA28" s="18" t="n">
        <v>767741.09</v>
      </c>
      <c r="AB28" s="19" t="n">
        <v>880090.72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단기차입금</t>
        </is>
      </c>
      <c r="E29" s="18" t="n">
        <v>842904.95</v>
      </c>
      <c r="F29" s="37" t="n">
        <v>842904.95</v>
      </c>
      <c r="G29" s="18" t="n">
        <v>908175.7</v>
      </c>
      <c r="H29" s="18" t="n">
        <v>860033.97</v>
      </c>
      <c r="I29" s="18" t="n">
        <v>534984.79</v>
      </c>
      <c r="J29" s="18" t="n">
        <v>514339.27</v>
      </c>
      <c r="K29" s="37" t="n">
        <v>514339.27</v>
      </c>
      <c r="L29" s="18" t="n">
        <v>1029631.91</v>
      </c>
      <c r="M29" s="18" t="n">
        <v>992103.1800000001</v>
      </c>
      <c r="N29" s="18" t="n">
        <v>995063.72</v>
      </c>
      <c r="O29" s="18" t="n">
        <v>1217352.89</v>
      </c>
      <c r="P29" s="37" t="n">
        <v>1217352.89</v>
      </c>
      <c r="Q29" s="18" t="n">
        <v>1062722.71</v>
      </c>
      <c r="R29" s="18" t="n">
        <v>898223.24</v>
      </c>
      <c r="S29" s="18" t="n">
        <v>937948.96</v>
      </c>
      <c r="T29" s="18" t="n">
        <v>910081.14</v>
      </c>
      <c r="U29" s="37" t="n">
        <v>910081.14</v>
      </c>
      <c r="V29" s="18" t="n">
        <v>1008542.41</v>
      </c>
      <c r="W29" s="18" t="n">
        <v>976434.86</v>
      </c>
      <c r="X29" s="18" t="n">
        <v>995194.05</v>
      </c>
      <c r="Y29" s="18" t="n">
        <v>758686.27</v>
      </c>
      <c r="Z29" s="37" t="n">
        <v>758686.27</v>
      </c>
      <c r="AA29" s="18" t="n">
        <v>818026.47</v>
      </c>
      <c r="AB29" s="19" t="n">
        <v>872950.9300000001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유동성장기부채</t>
        </is>
      </c>
      <c r="E30" s="18" t="n">
        <v>189935.04</v>
      </c>
      <c r="F30" s="37" t="n">
        <v>189935.04</v>
      </c>
      <c r="G30" s="18" t="n">
        <v>390037.11</v>
      </c>
      <c r="H30" s="18" t="n">
        <v>460557.64</v>
      </c>
      <c r="I30" s="18" t="n">
        <v>361732.89</v>
      </c>
      <c r="J30" s="18" t="n">
        <v>680290.37</v>
      </c>
      <c r="K30" s="37" t="n">
        <v>680290.37</v>
      </c>
      <c r="L30" s="18" t="n">
        <v>880928.6899999999</v>
      </c>
      <c r="M30" s="18" t="n">
        <v>970304.41</v>
      </c>
      <c r="N30" s="18" t="n">
        <v>971633.08</v>
      </c>
      <c r="O30" s="18" t="n">
        <v>923289.61</v>
      </c>
      <c r="P30" s="37" t="n">
        <v>923289.61</v>
      </c>
      <c r="Q30" s="18" t="n">
        <v>656348.47</v>
      </c>
      <c r="R30" s="18" t="n">
        <v>689355.55</v>
      </c>
      <c r="S30" s="18" t="n">
        <v>683716.55</v>
      </c>
      <c r="T30" s="18" t="n">
        <v>469990.69</v>
      </c>
      <c r="U30" s="37" t="n">
        <v>469990.69</v>
      </c>
      <c r="V30" s="18" t="n">
        <v>477263.42</v>
      </c>
      <c r="W30" s="18" t="n">
        <v>481175.23</v>
      </c>
      <c r="X30" s="18" t="n">
        <v>1182299.55</v>
      </c>
      <c r="Y30" s="18" t="n">
        <v>1313396.32</v>
      </c>
      <c r="Z30" s="37" t="n">
        <v>1313396.32</v>
      </c>
      <c r="AA30" s="18" t="n">
        <v>1607554.63</v>
      </c>
      <c r="AB30" s="19" t="n">
        <v>2041868.19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단기충당부채</t>
        </is>
      </c>
      <c r="E31" s="18" t="n">
        <v>10505.34</v>
      </c>
      <c r="F31" s="37" t="n">
        <v>10505.34</v>
      </c>
      <c r="G31" s="18" t="n">
        <v>13853.89</v>
      </c>
      <c r="H31" s="18" t="n">
        <v>8733.299999999999</v>
      </c>
      <c r="I31" s="18" t="n">
        <v>8735.59</v>
      </c>
      <c r="J31" s="18" t="n">
        <v>7380.48</v>
      </c>
      <c r="K31" s="37" t="n">
        <v>7380.48</v>
      </c>
      <c r="L31" s="18" t="n">
        <v>8017.85</v>
      </c>
      <c r="M31" s="18" t="n">
        <v>7984.02</v>
      </c>
      <c r="N31" s="18" t="n">
        <v>13347.63</v>
      </c>
      <c r="O31" s="18" t="n">
        <v>21080.88</v>
      </c>
      <c r="P31" s="37" t="n">
        <v>21080.88</v>
      </c>
      <c r="Q31" s="18" t="n">
        <v>21292.88</v>
      </c>
      <c r="R31" s="18" t="n">
        <v>32872.3</v>
      </c>
      <c r="S31" s="18" t="n">
        <v>31000.83</v>
      </c>
      <c r="T31" s="18" t="n">
        <v>32737.48</v>
      </c>
      <c r="U31" s="37" t="n">
        <v>32737.48</v>
      </c>
      <c r="V31" s="18" t="n">
        <v>32723.05</v>
      </c>
      <c r="W31" s="18" t="n">
        <v>19599.89</v>
      </c>
      <c r="X31" s="18" t="n">
        <v>19844.55</v>
      </c>
      <c r="Y31" s="18" t="n">
        <v>14106.13</v>
      </c>
      <c r="Z31" s="37" t="n">
        <v>14106.13</v>
      </c>
      <c r="AA31" s="18" t="n">
        <v>14790.91</v>
      </c>
      <c r="AB31" s="19" t="n">
        <v>15228.3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당기법인세부채(미지급법인세)</t>
        </is>
      </c>
      <c r="E32" s="18" t="n">
        <v>120658.55</v>
      </c>
      <c r="F32" s="37" t="n">
        <v>120658.55</v>
      </c>
      <c r="G32" s="18" t="n">
        <v>159253.88</v>
      </c>
      <c r="H32" s="18" t="n">
        <v>166643.8</v>
      </c>
      <c r="I32" s="18" t="n">
        <v>183870.14</v>
      </c>
      <c r="J32" s="18" t="n">
        <v>167092.5</v>
      </c>
      <c r="K32" s="37" t="n">
        <v>167092.5</v>
      </c>
      <c r="L32" s="18" t="n">
        <v>126573.31</v>
      </c>
      <c r="M32" s="18" t="n">
        <v>126721.49</v>
      </c>
      <c r="N32" s="18" t="n">
        <v>137021.38</v>
      </c>
      <c r="O32" s="18" t="n">
        <v>106391.95</v>
      </c>
      <c r="P32" s="37" t="n">
        <v>106391.95</v>
      </c>
      <c r="Q32" s="18" t="n">
        <v>156529.52</v>
      </c>
      <c r="R32" s="18" t="n">
        <v>174854.86</v>
      </c>
      <c r="S32" s="18" t="n">
        <v>168093.89</v>
      </c>
      <c r="T32" s="18" t="n">
        <v>229862.8</v>
      </c>
      <c r="U32" s="37" t="n">
        <v>229862.8</v>
      </c>
      <c r="V32" s="18" t="n">
        <v>196845.68</v>
      </c>
      <c r="W32" s="18" t="n">
        <v>130606.57</v>
      </c>
      <c r="X32" s="18" t="n">
        <v>131118.9</v>
      </c>
      <c r="Y32" s="18" t="n">
        <v>156234.92</v>
      </c>
      <c r="Z32" s="37" t="n">
        <v>156234.92</v>
      </c>
      <c r="AA32" s="18" t="n">
        <v>144575</v>
      </c>
      <c r="AB32" s="19" t="n">
        <v>124744.89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비유동부채</t>
        </is>
      </c>
      <c r="E33" s="18" t="n">
        <v>4802824.76</v>
      </c>
      <c r="F33" s="37" t="n">
        <v>4802824.76</v>
      </c>
      <c r="G33" s="18" t="n">
        <v>4984102.08</v>
      </c>
      <c r="H33" s="18" t="n">
        <v>5297007.25</v>
      </c>
      <c r="I33" s="18" t="n">
        <v>5467458.2</v>
      </c>
      <c r="J33" s="18" t="n">
        <v>4697975.26</v>
      </c>
      <c r="K33" s="37" t="n">
        <v>4697975.26</v>
      </c>
      <c r="L33" s="18" t="n">
        <v>4264195.92</v>
      </c>
      <c r="M33" s="18" t="n">
        <v>4384864.75</v>
      </c>
      <c r="N33" s="18" t="n">
        <v>4416448.37</v>
      </c>
      <c r="O33" s="18" t="n">
        <v>4069497.64</v>
      </c>
      <c r="P33" s="37" t="n">
        <v>4069497.64</v>
      </c>
      <c r="Q33" s="18" t="n">
        <v>4749051.24</v>
      </c>
      <c r="R33" s="18" t="n">
        <v>5171748.58</v>
      </c>
      <c r="S33" s="18" t="n">
        <v>5060833.08</v>
      </c>
      <c r="T33" s="18" t="n">
        <v>4838375.42</v>
      </c>
      <c r="U33" s="37" t="n">
        <v>4838375.42</v>
      </c>
      <c r="V33" s="18" t="n">
        <v>5518378.16</v>
      </c>
      <c r="W33" s="18" t="n">
        <v>5447175.3</v>
      </c>
      <c r="X33" s="18" t="n">
        <v>4675940.69</v>
      </c>
      <c r="Y33" s="18" t="n">
        <v>4996627.24</v>
      </c>
      <c r="Z33" s="37" t="n">
        <v>4996627.24</v>
      </c>
      <c r="AA33" s="18" t="n">
        <v>5097197.67</v>
      </c>
      <c r="AB33" s="19" t="n">
        <v>5350869.57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장기차입금</t>
        </is>
      </c>
      <c r="E34" s="18" t="n">
        <v>2388006.27</v>
      </c>
      <c r="F34" s="37" t="n">
        <v>2388006.27</v>
      </c>
      <c r="G34" s="18" t="n">
        <v>2800149.79</v>
      </c>
      <c r="H34" s="18" t="n">
        <v>2930951.94</v>
      </c>
      <c r="I34" s="18" t="n">
        <v>3161330.06</v>
      </c>
      <c r="J34" s="18" t="n">
        <v>2888547</v>
      </c>
      <c r="K34" s="37" t="n">
        <v>2888547</v>
      </c>
      <c r="L34" s="18" t="n">
        <v>2387341.43</v>
      </c>
      <c r="M34" s="18" t="n">
        <v>2400285.65</v>
      </c>
      <c r="N34" s="18" t="n">
        <v>2464805.12</v>
      </c>
      <c r="O34" s="18" t="n">
        <v>2261570.42</v>
      </c>
      <c r="P34" s="37" t="n">
        <v>2261570.42</v>
      </c>
      <c r="Q34" s="18" t="n">
        <v>2230189.34</v>
      </c>
      <c r="R34" s="18" t="n">
        <v>2946903.09</v>
      </c>
      <c r="S34" s="18" t="n">
        <v>2836327.93</v>
      </c>
      <c r="T34" s="18" t="n">
        <v>2499421.73</v>
      </c>
      <c r="U34" s="37" t="n">
        <v>2499421.73</v>
      </c>
      <c r="V34" s="18" t="n">
        <v>2594514.91</v>
      </c>
      <c r="W34" s="18" t="n">
        <v>2480885.35</v>
      </c>
      <c r="X34" s="18" t="n">
        <v>1594349.56</v>
      </c>
      <c r="Y34" s="18" t="n">
        <v>840860.9</v>
      </c>
      <c r="Z34" s="37" t="n">
        <v>840860.9</v>
      </c>
      <c r="AA34" s="18" t="n">
        <v>844658.9300000001</v>
      </c>
      <c r="AB34" s="19" t="n">
        <v>199506.7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사채</t>
        </is>
      </c>
      <c r="E35" s="18" t="n">
        <v>1168017.83</v>
      </c>
      <c r="F35" s="37" t="n">
        <v>1168017.83</v>
      </c>
      <c r="G35" s="18" t="n">
        <v>968354.8100000001</v>
      </c>
      <c r="H35" s="18" t="n">
        <v>1117873.45</v>
      </c>
      <c r="I35" s="18" t="n">
        <v>1118099.16</v>
      </c>
      <c r="J35" s="18" t="n">
        <v>798493.51</v>
      </c>
      <c r="K35" s="37" t="n">
        <v>798493.51</v>
      </c>
      <c r="L35" s="18" t="n">
        <v>798672.52</v>
      </c>
      <c r="M35" s="18" t="n">
        <v>918134.6800000001</v>
      </c>
      <c r="N35" s="18" t="n">
        <v>918321.73</v>
      </c>
      <c r="O35" s="18" t="n">
        <v>748637.26</v>
      </c>
      <c r="P35" s="37" t="n">
        <v>748637.26</v>
      </c>
      <c r="Q35" s="18" t="n">
        <v>1327304.97</v>
      </c>
      <c r="R35" s="18" t="n">
        <v>1057792.36</v>
      </c>
      <c r="S35" s="18" t="n">
        <v>1058013.45</v>
      </c>
      <c r="T35" s="18" t="n">
        <v>1307469.09</v>
      </c>
      <c r="U35" s="37" t="n">
        <v>1307469.09</v>
      </c>
      <c r="V35" s="18" t="n">
        <v>1561826.92</v>
      </c>
      <c r="W35" s="18" t="n">
        <v>1287383.69</v>
      </c>
      <c r="X35" s="18" t="n">
        <v>1287652.9</v>
      </c>
      <c r="Y35" s="18" t="n">
        <v>2097835.66</v>
      </c>
      <c r="Z35" s="37" t="n">
        <v>2097835.66</v>
      </c>
      <c r="AA35" s="18" t="n">
        <v>2167189.75</v>
      </c>
      <c r="AB35" s="19" t="n">
        <v>2151185.33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기타비유동금융부채</t>
        </is>
      </c>
      <c r="E36" s="18" t="n">
        <v>43512.69</v>
      </c>
      <c r="F36" s="37" t="n">
        <v>43512.69</v>
      </c>
      <c r="G36" s="18" t="n">
        <v>29627.88</v>
      </c>
      <c r="H36" s="18" t="n">
        <v>5566.21</v>
      </c>
      <c r="I36" s="18" t="n">
        <v>1607.17</v>
      </c>
      <c r="J36" s="18" t="n">
        <v>57445.32</v>
      </c>
      <c r="K36" s="37" t="n">
        <v>57445.32</v>
      </c>
      <c r="L36" s="18" t="n">
        <v>31577.61</v>
      </c>
      <c r="M36" s="18" t="n">
        <v>20696.72</v>
      </c>
      <c r="N36" s="18" t="n">
        <v>3749.29</v>
      </c>
      <c r="P36" s="9" t="n"/>
      <c r="U36" s="9" t="n"/>
      <c r="Y36" s="18" t="n">
        <v>11164.39</v>
      </c>
      <c r="Z36" s="37" t="n">
        <v>11164.39</v>
      </c>
      <c r="AA36" s="18" t="n">
        <v>7518.41</v>
      </c>
      <c r="AB36" s="19" t="n">
        <v>14633.96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장기금융부채</t>
        </is>
      </c>
      <c r="E37" s="18" t="n">
        <v>43512.69</v>
      </c>
      <c r="F37" s="37" t="n">
        <v>43512.69</v>
      </c>
      <c r="G37" s="18" t="n">
        <v>29627.88</v>
      </c>
      <c r="H37" s="18" t="n">
        <v>5566.21</v>
      </c>
      <c r="I37" s="18" t="n">
        <v>1607.17</v>
      </c>
      <c r="J37" s="18" t="n">
        <v>57445.32</v>
      </c>
      <c r="K37" s="37" t="n">
        <v>57445.32</v>
      </c>
      <c r="L37" s="18" t="n">
        <v>31577.61</v>
      </c>
      <c r="M37" s="18" t="n">
        <v>20696.72</v>
      </c>
      <c r="N37" s="18" t="n">
        <v>3749.29</v>
      </c>
      <c r="P37" s="9" t="n"/>
      <c r="U37" s="9" t="n"/>
      <c r="Y37" s="18" t="n">
        <v>11164.39</v>
      </c>
      <c r="Z37" s="37" t="n">
        <v>11164.39</v>
      </c>
      <c r="AA37" s="18" t="n">
        <v>7518.41</v>
      </c>
      <c r="AB37" s="19" t="n">
        <v>14633.96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확정급여부채</t>
        </is>
      </c>
      <c r="E38" s="18" t="n">
        <v>429025.14</v>
      </c>
      <c r="F38" s="37" t="n">
        <v>429025.14</v>
      </c>
      <c r="G38" s="18" t="n">
        <v>434418.07</v>
      </c>
      <c r="H38" s="18" t="n">
        <v>450907.6</v>
      </c>
      <c r="I38" s="18" t="n">
        <v>478463.69</v>
      </c>
      <c r="J38" s="18" t="n">
        <v>274253.73</v>
      </c>
      <c r="K38" s="37" t="n">
        <v>274253.73</v>
      </c>
      <c r="L38" s="18" t="n">
        <v>297962.49</v>
      </c>
      <c r="M38" s="18" t="n">
        <v>293544.05</v>
      </c>
      <c r="N38" s="18" t="n">
        <v>297047.35</v>
      </c>
      <c r="O38" s="18" t="n">
        <v>356537.68</v>
      </c>
      <c r="P38" s="37" t="n">
        <v>356537.68</v>
      </c>
      <c r="Q38" s="18" t="n">
        <v>372291.58</v>
      </c>
      <c r="R38" s="18" t="n">
        <v>372888.79</v>
      </c>
      <c r="S38" s="18" t="n">
        <v>369268.19</v>
      </c>
      <c r="T38" s="18" t="n">
        <v>366277.72</v>
      </c>
      <c r="U38" s="37" t="n">
        <v>366277.72</v>
      </c>
      <c r="V38" s="18" t="n">
        <v>371287.7</v>
      </c>
      <c r="W38" s="18" t="n">
        <v>367388.72</v>
      </c>
      <c r="X38" s="18" t="n">
        <v>383162.46</v>
      </c>
      <c r="Y38" s="18" t="n">
        <v>349309.9</v>
      </c>
      <c r="Z38" s="37" t="n">
        <v>349309.9</v>
      </c>
      <c r="AA38" s="18" t="n">
        <v>367217.75</v>
      </c>
      <c r="AB38" s="19" t="n">
        <v>373999.49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장기충당부채</t>
        </is>
      </c>
      <c r="E39" s="18" t="n">
        <v>16886.93</v>
      </c>
      <c r="F39" s="37" t="n">
        <v>16886.93</v>
      </c>
      <c r="G39" s="18" t="n">
        <v>17237.78</v>
      </c>
      <c r="H39" s="18" t="n">
        <v>17616.08</v>
      </c>
      <c r="I39" s="18" t="n">
        <v>19202.98</v>
      </c>
      <c r="J39" s="18" t="n">
        <v>14527.3</v>
      </c>
      <c r="K39" s="37" t="n">
        <v>14527.3</v>
      </c>
      <c r="L39" s="18" t="n">
        <v>15566.4</v>
      </c>
      <c r="M39" s="18" t="n">
        <v>26897.75</v>
      </c>
      <c r="N39" s="18" t="n">
        <v>20150.73</v>
      </c>
      <c r="O39" s="18" t="n">
        <v>21640.37</v>
      </c>
      <c r="P39" s="37" t="n">
        <v>21640.37</v>
      </c>
      <c r="Q39" s="18" t="n">
        <v>22140.19</v>
      </c>
      <c r="R39" s="18" t="n">
        <v>22358.91</v>
      </c>
      <c r="S39" s="18" t="n">
        <v>22724.52</v>
      </c>
      <c r="T39" s="18" t="n">
        <v>24331.4</v>
      </c>
      <c r="U39" s="37" t="n">
        <v>24331.4</v>
      </c>
      <c r="V39" s="18" t="n">
        <v>25673.97</v>
      </c>
      <c r="W39" s="18" t="n">
        <v>23374.57</v>
      </c>
      <c r="X39" s="18" t="n">
        <v>23857.48</v>
      </c>
      <c r="Y39" s="18" t="n">
        <v>24880.68</v>
      </c>
      <c r="Z39" s="37" t="n">
        <v>24880.68</v>
      </c>
      <c r="AA39" s="18" t="n">
        <v>26077.86</v>
      </c>
      <c r="AB39" s="19" t="n">
        <v>25560.83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이연법인세부채</t>
        </is>
      </c>
      <c r="E40" s="18" t="n">
        <v>587271.9300000001</v>
      </c>
      <c r="F40" s="37" t="n">
        <v>587271.9300000001</v>
      </c>
      <c r="G40" s="18" t="n">
        <v>554089.62</v>
      </c>
      <c r="H40" s="18" t="n">
        <v>595406.37</v>
      </c>
      <c r="I40" s="18" t="n">
        <v>499683.99</v>
      </c>
      <c r="J40" s="18" t="n">
        <v>448431.11</v>
      </c>
      <c r="K40" s="37" t="n">
        <v>448431.11</v>
      </c>
      <c r="L40" s="18" t="n">
        <v>487002.07</v>
      </c>
      <c r="M40" s="18" t="n">
        <v>504457.57</v>
      </c>
      <c r="N40" s="18" t="n">
        <v>507454.11</v>
      </c>
      <c r="O40" s="18" t="n">
        <v>497063.26</v>
      </c>
      <c r="P40" s="37" t="n">
        <v>497063.26</v>
      </c>
      <c r="Q40" s="18" t="n">
        <v>601509.36</v>
      </c>
      <c r="R40" s="18" t="n">
        <v>580081.85</v>
      </c>
      <c r="S40" s="18" t="n">
        <v>583884.87</v>
      </c>
      <c r="T40" s="18" t="n">
        <v>430851.84</v>
      </c>
      <c r="U40" s="37" t="n">
        <v>430851.84</v>
      </c>
      <c r="V40" s="18" t="n">
        <v>737437.77</v>
      </c>
      <c r="W40" s="18" t="n">
        <v>1081628.76</v>
      </c>
      <c r="X40" s="18" t="n">
        <v>1178925.34</v>
      </c>
      <c r="Y40" s="18" t="n">
        <v>1410256.4</v>
      </c>
      <c r="Z40" s="37" t="n">
        <v>1410256.4</v>
      </c>
      <c r="AA40" s="18" t="n">
        <v>1458153.07</v>
      </c>
      <c r="AB40" s="19" t="n">
        <v>2384318.56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부채총계</t>
        </is>
      </c>
      <c r="E41" s="18" t="n">
        <v>7502796.34</v>
      </c>
      <c r="F41" s="37" t="n">
        <v>7502796.34</v>
      </c>
      <c r="G41" s="18" t="n">
        <v>8061671.41</v>
      </c>
      <c r="H41" s="18" t="n">
        <v>8366463.33</v>
      </c>
      <c r="I41" s="18" t="n">
        <v>8164670.65</v>
      </c>
      <c r="J41" s="18" t="n">
        <v>7567347.8</v>
      </c>
      <c r="K41" s="37" t="n">
        <v>7567347.8</v>
      </c>
      <c r="L41" s="18" t="n">
        <v>7771258.66</v>
      </c>
      <c r="M41" s="18" t="n">
        <v>7879075.7</v>
      </c>
      <c r="N41" s="18" t="n">
        <v>7913369.21</v>
      </c>
      <c r="O41" s="18" t="n">
        <v>7905941.67</v>
      </c>
      <c r="P41" s="37" t="n">
        <v>7905941.67</v>
      </c>
      <c r="Q41" s="18" t="n">
        <v>8261675.12</v>
      </c>
      <c r="R41" s="18" t="n">
        <v>8535877.550000001</v>
      </c>
      <c r="S41" s="18" t="n">
        <v>8392005.58</v>
      </c>
      <c r="T41" s="18" t="n">
        <v>8069234.74</v>
      </c>
      <c r="U41" s="37" t="n">
        <v>8069234.74</v>
      </c>
      <c r="V41" s="18" t="n">
        <v>8805934.470000001</v>
      </c>
      <c r="W41" s="18" t="n">
        <v>8520441.4</v>
      </c>
      <c r="X41" s="18" t="n">
        <v>8761128.74</v>
      </c>
      <c r="Y41" s="18" t="n">
        <v>8979073.67</v>
      </c>
      <c r="Z41" s="37" t="n">
        <v>8979073.67</v>
      </c>
      <c r="AA41" s="18" t="n">
        <v>9523275.76</v>
      </c>
      <c r="AB41" s="19" t="n">
        <v>10106055.76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지배주주지분</t>
        </is>
      </c>
      <c r="E42" s="18" t="n">
        <v>5035301.22</v>
      </c>
      <c r="F42" s="37" t="n">
        <v>5035301.22</v>
      </c>
      <c r="G42" s="18" t="n">
        <v>4970965.35</v>
      </c>
      <c r="H42" s="18" t="n">
        <v>5160875.91</v>
      </c>
      <c r="I42" s="18" t="n">
        <v>4993943.87</v>
      </c>
      <c r="J42" s="18" t="n">
        <v>5117785.07</v>
      </c>
      <c r="K42" s="37" t="n">
        <v>5117785.07</v>
      </c>
      <c r="L42" s="18" t="n">
        <v>5119406.84</v>
      </c>
      <c r="M42" s="18" t="n">
        <v>5156838.04</v>
      </c>
      <c r="N42" s="18" t="n">
        <v>5179538.02</v>
      </c>
      <c r="O42" s="18" t="n">
        <v>5177363.19</v>
      </c>
      <c r="P42" s="37" t="n">
        <v>5177363.19</v>
      </c>
      <c r="Q42" s="18" t="n">
        <v>5605468.88</v>
      </c>
      <c r="R42" s="18" t="n">
        <v>5108714.58</v>
      </c>
      <c r="S42" s="18" t="n">
        <v>5111353.47</v>
      </c>
      <c r="T42" s="18" t="n">
        <v>5039315.41</v>
      </c>
      <c r="U42" s="37" t="n">
        <v>5039315.41</v>
      </c>
      <c r="V42" s="18" t="n">
        <v>6260236.21</v>
      </c>
      <c r="W42" s="18" t="n">
        <v>7069240.99</v>
      </c>
      <c r="X42" s="18" t="n">
        <v>7450746.4</v>
      </c>
      <c r="Y42" s="18" t="n">
        <v>7824485.73</v>
      </c>
      <c r="Z42" s="37" t="n">
        <v>7824485.73</v>
      </c>
      <c r="AA42" s="18" t="n">
        <v>8099743.99</v>
      </c>
      <c r="AB42" s="19" t="n">
        <v>11016744.02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자본금</t>
        </is>
      </c>
      <c r="E43" s="18" t="n">
        <v>48084.66</v>
      </c>
      <c r="F43" s="37" t="n">
        <v>48084.66</v>
      </c>
      <c r="G43" s="18" t="n">
        <v>48084.66</v>
      </c>
      <c r="H43" s="18" t="n">
        <v>48084.66</v>
      </c>
      <c r="I43" s="18" t="n">
        <v>48084.66</v>
      </c>
      <c r="J43" s="18" t="n">
        <v>48084.66</v>
      </c>
      <c r="K43" s="37" t="n">
        <v>48084.66</v>
      </c>
      <c r="L43" s="18" t="n">
        <v>48084.66</v>
      </c>
      <c r="M43" s="18" t="n">
        <v>48084.66</v>
      </c>
      <c r="N43" s="18" t="n">
        <v>48084.66</v>
      </c>
      <c r="O43" s="18" t="n">
        <v>48084.66</v>
      </c>
      <c r="P43" s="37" t="n">
        <v>48084.66</v>
      </c>
      <c r="Q43" s="18" t="n">
        <v>48084.66</v>
      </c>
      <c r="R43" s="18" t="n">
        <v>48084.66</v>
      </c>
      <c r="S43" s="18" t="n">
        <v>48084.66</v>
      </c>
      <c r="T43" s="18" t="n">
        <v>48084.66</v>
      </c>
      <c r="U43" s="37" t="n">
        <v>48084.66</v>
      </c>
      <c r="V43" s="18" t="n">
        <v>48084.66</v>
      </c>
      <c r="W43" s="18" t="n">
        <v>48084.66</v>
      </c>
      <c r="X43" s="18" t="n">
        <v>48084.66</v>
      </c>
      <c r="Y43" s="18" t="n">
        <v>48084.66</v>
      </c>
      <c r="Z43" s="37" t="n">
        <v>48084.66</v>
      </c>
      <c r="AA43" s="18" t="n">
        <v>48084.66</v>
      </c>
      <c r="AB43" s="19" t="n">
        <v>48084.66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자본잉여금</t>
        </is>
      </c>
      <c r="E44" s="18" t="n">
        <v>552912.6</v>
      </c>
      <c r="F44" s="37" t="n">
        <v>552912.6</v>
      </c>
      <c r="G44" s="18" t="n">
        <v>552912.6</v>
      </c>
      <c r="H44" s="18" t="n">
        <v>552912.6</v>
      </c>
      <c r="I44" s="18" t="n">
        <v>552912.6</v>
      </c>
      <c r="J44" s="18" t="n">
        <v>552912.6</v>
      </c>
      <c r="K44" s="37" t="n">
        <v>552912.6</v>
      </c>
      <c r="L44" s="18" t="n">
        <v>552912.6</v>
      </c>
      <c r="M44" s="18" t="n">
        <v>552912.6</v>
      </c>
      <c r="N44" s="18" t="n">
        <v>552912.6</v>
      </c>
      <c r="O44" s="18" t="n">
        <v>552912.6</v>
      </c>
      <c r="P44" s="37" t="n">
        <v>552912.6</v>
      </c>
      <c r="Q44" s="18" t="n">
        <v>552912.6</v>
      </c>
      <c r="R44" s="18" t="n">
        <v>349758.89</v>
      </c>
      <c r="S44" s="18" t="n">
        <v>349758.89</v>
      </c>
      <c r="T44" s="18" t="n">
        <v>349758.89</v>
      </c>
      <c r="U44" s="37" t="n">
        <v>349758.89</v>
      </c>
      <c r="V44" s="18" t="n">
        <v>349758.89</v>
      </c>
      <c r="W44" s="18" t="n">
        <v>349758.89</v>
      </c>
      <c r="X44" s="18" t="n">
        <v>349758.89</v>
      </c>
      <c r="Y44" s="18" t="n">
        <v>349758.89</v>
      </c>
      <c r="Z44" s="37" t="n">
        <v>349758.89</v>
      </c>
      <c r="AA44" s="18" t="n">
        <v>313103.99</v>
      </c>
      <c r="AB44" s="19" t="n">
        <v>313103.99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기타자본</t>
        </is>
      </c>
      <c r="E45" s="18" t="n">
        <v>-204952.84</v>
      </c>
      <c r="F45" s="37" t="n">
        <v>-204952.84</v>
      </c>
      <c r="G45" s="18" t="n">
        <v>-286379.5</v>
      </c>
      <c r="H45" s="18" t="n">
        <v>-304846.77</v>
      </c>
      <c r="I45" s="18" t="n">
        <v>-304846.77</v>
      </c>
      <c r="J45" s="18" t="n">
        <v>-304846.77</v>
      </c>
      <c r="K45" s="37" t="n">
        <v>-304846.77</v>
      </c>
      <c r="L45" s="18" t="n">
        <v>-304846.77</v>
      </c>
      <c r="M45" s="18" t="n">
        <v>-304846.77</v>
      </c>
      <c r="N45" s="18" t="n">
        <v>-304846.77</v>
      </c>
      <c r="O45" s="18" t="n">
        <v>-304846.77</v>
      </c>
      <c r="P45" s="37" t="n">
        <v>-304846.77</v>
      </c>
      <c r="Q45" s="18" t="n">
        <v>-304846.77</v>
      </c>
      <c r="R45" s="18" t="n">
        <v>-504350.31</v>
      </c>
      <c r="S45" s="18" t="n">
        <v>-504350.31</v>
      </c>
      <c r="T45" s="18" t="n">
        <v>-504350.31</v>
      </c>
      <c r="U45" s="37" t="n">
        <v>-504350.31</v>
      </c>
      <c r="V45" s="18" t="n">
        <v>-504350.31</v>
      </c>
      <c r="W45" s="18" t="n">
        <v>-504350.31</v>
      </c>
      <c r="X45" s="18" t="n">
        <v>-504350.31</v>
      </c>
      <c r="Y45" s="18" t="n">
        <v>-504350.31</v>
      </c>
      <c r="Z45" s="37" t="n">
        <v>-504350.31</v>
      </c>
      <c r="AA45" s="18" t="n">
        <v>-504350.31</v>
      </c>
      <c r="AB45" s="19" t="n">
        <v>-445944.44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기타포괄이익누계액</t>
        </is>
      </c>
      <c r="E46" s="18" t="n">
        <v>-39155.72</v>
      </c>
      <c r="F46" s="37" t="n">
        <v>-39155.72</v>
      </c>
      <c r="G46" s="18" t="n">
        <v>17601.15</v>
      </c>
      <c r="H46" s="18" t="n">
        <v>56623.62</v>
      </c>
      <c r="I46" s="18" t="n">
        <v>164890.87</v>
      </c>
      <c r="J46" s="18" t="n">
        <v>23231.82</v>
      </c>
      <c r="K46" s="37" t="n">
        <v>23231.82</v>
      </c>
      <c r="L46" s="18" t="n">
        <v>68771.61</v>
      </c>
      <c r="M46" s="18" t="n">
        <v>15208.9</v>
      </c>
      <c r="N46" s="18" t="n">
        <v>-1701.23</v>
      </c>
      <c r="O46" s="18" t="n">
        <v>-21227.45</v>
      </c>
      <c r="P46" s="37" t="n">
        <v>-21227.45</v>
      </c>
      <c r="Q46" s="18" t="n">
        <v>-12456.69</v>
      </c>
      <c r="R46" s="18" t="n">
        <v>-73685.64999999999</v>
      </c>
      <c r="S46" s="18" t="n">
        <v>-21581.85</v>
      </c>
      <c r="T46" s="18" t="n">
        <v>-20214.98</v>
      </c>
      <c r="U46" s="37" t="n">
        <v>-20214.98</v>
      </c>
      <c r="V46" s="18" t="n">
        <v>995115.73</v>
      </c>
      <c r="W46" s="18" t="n">
        <v>910874.52</v>
      </c>
      <c r="X46" s="18" t="n">
        <v>971446.89</v>
      </c>
      <c r="Y46" s="18" t="n">
        <v>1004614.38</v>
      </c>
      <c r="Z46" s="37" t="n">
        <v>1004614.38</v>
      </c>
      <c r="AA46" s="18" t="n">
        <v>1165819.05</v>
      </c>
      <c r="AB46" s="19" t="n">
        <v>1243695.19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이익잉여금</t>
        </is>
      </c>
      <c r="E47" s="18" t="n">
        <v>4678412.51</v>
      </c>
      <c r="F47" s="37" t="n">
        <v>4678412.51</v>
      </c>
      <c r="G47" s="18" t="n">
        <v>4638746.44</v>
      </c>
      <c r="H47" s="18" t="n">
        <v>4808101.8</v>
      </c>
      <c r="I47" s="18" t="n">
        <v>4532902.51</v>
      </c>
      <c r="J47" s="18" t="n">
        <v>4798402.76</v>
      </c>
      <c r="K47" s="37" t="n">
        <v>4798402.76</v>
      </c>
      <c r="L47" s="18" t="n">
        <v>4754484.73</v>
      </c>
      <c r="M47" s="18" t="n">
        <v>4845478.65</v>
      </c>
      <c r="N47" s="18" t="n">
        <v>4885088.76</v>
      </c>
      <c r="O47" s="18" t="n">
        <v>4902440.15</v>
      </c>
      <c r="P47" s="37" t="n">
        <v>4902440.15</v>
      </c>
      <c r="Q47" s="18" t="n">
        <v>5321775.08</v>
      </c>
      <c r="R47" s="18" t="n">
        <v>5288906.99</v>
      </c>
      <c r="S47" s="18" t="n">
        <v>5239442.08</v>
      </c>
      <c r="T47" s="18" t="n">
        <v>5166037.15</v>
      </c>
      <c r="U47" s="37" t="n">
        <v>5166037.15</v>
      </c>
      <c r="V47" s="18" t="n">
        <v>5371627.25</v>
      </c>
      <c r="W47" s="18" t="n">
        <v>6264873.24</v>
      </c>
      <c r="X47" s="18" t="n">
        <v>6585806.27</v>
      </c>
      <c r="Y47" s="18" t="n">
        <v>6926378.11</v>
      </c>
      <c r="Z47" s="37" t="n">
        <v>6926378.11</v>
      </c>
      <c r="AA47" s="18" t="n">
        <v>7077086.59</v>
      </c>
      <c r="AB47" s="19" t="n">
        <v>9857804.609999999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비지배주주지분</t>
        </is>
      </c>
      <c r="E48" s="18" t="n">
        <v>340765.65</v>
      </c>
      <c r="F48" s="37" t="n">
        <v>340765.65</v>
      </c>
      <c r="G48" s="18" t="n">
        <v>386667</v>
      </c>
      <c r="H48" s="18" t="n">
        <v>405692.9</v>
      </c>
      <c r="I48" s="18" t="n">
        <v>429492.09</v>
      </c>
      <c r="J48" s="18" t="n">
        <v>433353.43</v>
      </c>
      <c r="K48" s="37" t="n">
        <v>433353.43</v>
      </c>
      <c r="L48" s="18" t="n">
        <v>414245.5</v>
      </c>
      <c r="M48" s="18" t="n">
        <v>368856.52</v>
      </c>
      <c r="N48" s="18" t="n">
        <v>317642.01</v>
      </c>
      <c r="O48" s="18" t="n">
        <v>270166.21</v>
      </c>
      <c r="P48" s="37" t="n">
        <v>270166.21</v>
      </c>
      <c r="Q48" s="18" t="n">
        <v>236341.47</v>
      </c>
      <c r="R48" s="18" t="n">
        <v>0</v>
      </c>
      <c r="S48" s="18" t="n">
        <v>0</v>
      </c>
      <c r="U48" s="9" t="n"/>
      <c r="V48" s="18" t="n">
        <v>0</v>
      </c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자본총계</t>
        </is>
      </c>
      <c r="E49" s="18" t="n">
        <v>5376066.87</v>
      </c>
      <c r="F49" s="37" t="n">
        <v>5376066.87</v>
      </c>
      <c r="G49" s="18" t="n">
        <v>5357632.35</v>
      </c>
      <c r="H49" s="18" t="n">
        <v>5566568.82</v>
      </c>
      <c r="I49" s="18" t="n">
        <v>5423435.96</v>
      </c>
      <c r="J49" s="18" t="n">
        <v>5551138.51</v>
      </c>
      <c r="K49" s="37" t="n">
        <v>5551138.51</v>
      </c>
      <c r="L49" s="18" t="n">
        <v>5533652.34</v>
      </c>
      <c r="M49" s="18" t="n">
        <v>5525694.56</v>
      </c>
      <c r="N49" s="18" t="n">
        <v>5497180.04</v>
      </c>
      <c r="O49" s="18" t="n">
        <v>5447529.41</v>
      </c>
      <c r="P49" s="37" t="n">
        <v>5447529.41</v>
      </c>
      <c r="Q49" s="18" t="n">
        <v>5841810.36</v>
      </c>
      <c r="R49" s="18" t="n">
        <v>5108714.58</v>
      </c>
      <c r="S49" s="18" t="n">
        <v>5111353.47</v>
      </c>
      <c r="T49" s="18" t="n">
        <v>5039315.41</v>
      </c>
      <c r="U49" s="37" t="n">
        <v>5039315.41</v>
      </c>
      <c r="V49" s="18" t="n">
        <v>6260236.21</v>
      </c>
      <c r="W49" s="18" t="n">
        <v>7069240.99</v>
      </c>
      <c r="X49" s="18" t="n">
        <v>7450746.4</v>
      </c>
      <c r="Y49" s="18" t="n">
        <v>7824485.73</v>
      </c>
      <c r="Z49" s="37" t="n">
        <v>7824485.73</v>
      </c>
      <c r="AA49" s="18" t="n">
        <v>8099743.99</v>
      </c>
      <c r="AB49" s="19" t="n">
        <v>11016744.02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부채와자본총계</t>
        </is>
      </c>
      <c r="E50" s="18" t="n">
        <v>12878863.21</v>
      </c>
      <c r="F50" s="37" t="n">
        <v>12878863.21</v>
      </c>
      <c r="G50" s="18" t="n">
        <v>13419303.76</v>
      </c>
      <c r="H50" s="18" t="n">
        <v>13933032.15</v>
      </c>
      <c r="I50" s="18" t="n">
        <v>13588106.61</v>
      </c>
      <c r="J50" s="18" t="n">
        <v>13118486.31</v>
      </c>
      <c r="K50" s="37" t="n">
        <v>13118486.31</v>
      </c>
      <c r="L50" s="18" t="n">
        <v>13304911</v>
      </c>
      <c r="M50" s="18" t="n">
        <v>13404770.27</v>
      </c>
      <c r="N50" s="18" t="n">
        <v>13410549.24</v>
      </c>
      <c r="O50" s="18" t="n">
        <v>13353471.08</v>
      </c>
      <c r="P50" s="37" t="n">
        <v>13353471.08</v>
      </c>
      <c r="Q50" s="18" t="n">
        <v>14103485.48</v>
      </c>
      <c r="R50" s="18" t="n">
        <v>13644592.13</v>
      </c>
      <c r="S50" s="18" t="n">
        <v>13503359.05</v>
      </c>
      <c r="T50" s="18" t="n">
        <v>13108550.14</v>
      </c>
      <c r="U50" s="37" t="n">
        <v>13108550.14</v>
      </c>
      <c r="V50" s="18" t="n">
        <v>15066170.68</v>
      </c>
      <c r="W50" s="18" t="n">
        <v>15589682.39</v>
      </c>
      <c r="X50" s="18" t="n">
        <v>16211875.14</v>
      </c>
      <c r="Y50" s="18" t="n">
        <v>16803559.41</v>
      </c>
      <c r="Z50" s="37" t="n">
        <v>16803559.41</v>
      </c>
      <c r="AA50" s="18" t="n">
        <v>17623019.75</v>
      </c>
      <c r="AB50" s="19" t="n">
        <v>21122799.78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총차입금</t>
        </is>
      </c>
      <c r="E51" s="18" t="n">
        <v>4588864.09</v>
      </c>
      <c r="F51" s="37" t="n">
        <v>4588864.09</v>
      </c>
      <c r="G51" s="18" t="n">
        <v>5066717.41</v>
      </c>
      <c r="H51" s="18" t="n">
        <v>5369417</v>
      </c>
      <c r="I51" s="18" t="n">
        <v>5176146.9</v>
      </c>
      <c r="J51" s="18" t="n">
        <v>4881670.15</v>
      </c>
      <c r="K51" s="37" t="n">
        <v>4881670.15</v>
      </c>
      <c r="L51" s="18" t="n">
        <v>5096574.55</v>
      </c>
      <c r="M51" s="18" t="n">
        <v>5280827.92</v>
      </c>
      <c r="N51" s="18" t="n">
        <v>5349823.65</v>
      </c>
      <c r="O51" s="18" t="n">
        <v>5150850.18</v>
      </c>
      <c r="P51" s="37" t="n">
        <v>5150850.18</v>
      </c>
      <c r="Q51" s="18" t="n">
        <v>5276565.49</v>
      </c>
      <c r="R51" s="18" t="n">
        <v>5592274.24</v>
      </c>
      <c r="S51" s="18" t="n">
        <v>5516006.89</v>
      </c>
      <c r="T51" s="18" t="n">
        <v>5186962.65</v>
      </c>
      <c r="U51" s="37" t="n">
        <v>5186962.65</v>
      </c>
      <c r="V51" s="18" t="n">
        <v>5642147.66</v>
      </c>
      <c r="W51" s="18" t="n">
        <v>5225879.13</v>
      </c>
      <c r="X51" s="18" t="n">
        <v>5059496.06</v>
      </c>
      <c r="Y51" s="18" t="n">
        <v>5010779.15</v>
      </c>
      <c r="Z51" s="37" t="n">
        <v>5010779.15</v>
      </c>
      <c r="AA51" s="18" t="n">
        <v>5437429.78</v>
      </c>
      <c r="AB51" s="19" t="n">
        <v>5265511.15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순차입금</t>
        </is>
      </c>
      <c r="E52" s="18" t="n">
        <v>3442918.82</v>
      </c>
      <c r="F52" s="37" t="n">
        <v>3442918.82</v>
      </c>
      <c r="G52" s="18" t="n">
        <v>3612354.9</v>
      </c>
      <c r="H52" s="18" t="n">
        <v>3768234.1</v>
      </c>
      <c r="I52" s="18" t="n">
        <v>3986123.71</v>
      </c>
      <c r="J52" s="18" t="n">
        <v>3696498.64</v>
      </c>
      <c r="K52" s="37" t="n">
        <v>3696498.64</v>
      </c>
      <c r="L52" s="18" t="n">
        <v>3777348.58</v>
      </c>
      <c r="M52" s="18" t="n">
        <v>3766988.01</v>
      </c>
      <c r="N52" s="18" t="n">
        <v>3805417.01</v>
      </c>
      <c r="O52" s="18" t="n">
        <v>3595839.19</v>
      </c>
      <c r="P52" s="37" t="n">
        <v>3595839.19</v>
      </c>
      <c r="Q52" s="18" t="n">
        <v>3643989.11</v>
      </c>
      <c r="R52" s="18" t="n">
        <v>4082981.63</v>
      </c>
      <c r="S52" s="18" t="n">
        <v>3988778.68</v>
      </c>
      <c r="T52" s="18" t="n">
        <v>4175487.76</v>
      </c>
      <c r="U52" s="37" t="n">
        <v>4175487.76</v>
      </c>
      <c r="V52" s="18" t="n">
        <v>4204397.25</v>
      </c>
      <c r="W52" s="18" t="n">
        <v>4070095.7</v>
      </c>
      <c r="X52" s="18" t="n">
        <v>3927389.06</v>
      </c>
      <c r="Y52" s="18" t="n">
        <v>3780328.16</v>
      </c>
      <c r="Z52" s="37" t="n">
        <v>3780328.16</v>
      </c>
      <c r="AA52" s="18" t="n">
        <v>3907850.65</v>
      </c>
      <c r="AB52" s="19" t="n">
        <v>4062787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이자발생자산</t>
        </is>
      </c>
      <c r="E53" s="18" t="n">
        <v>3821873.06</v>
      </c>
      <c r="F53" s="37" t="n">
        <v>3821873.06</v>
      </c>
      <c r="G53" s="18" t="n">
        <v>3897761.35</v>
      </c>
      <c r="H53" s="18" t="n">
        <v>4214292.13</v>
      </c>
      <c r="I53" s="18" t="n">
        <v>3439378.77</v>
      </c>
      <c r="J53" s="18" t="n">
        <v>3571612.47</v>
      </c>
      <c r="K53" s="37" t="n">
        <v>3571612.47</v>
      </c>
      <c r="L53" s="18" t="n">
        <v>3621406.19</v>
      </c>
      <c r="M53" s="18" t="n">
        <v>3887957.54</v>
      </c>
      <c r="N53" s="18" t="n">
        <v>3860407.66</v>
      </c>
      <c r="O53" s="18" t="n">
        <v>4278876.22</v>
      </c>
      <c r="P53" s="37" t="n">
        <v>4278876.22</v>
      </c>
      <c r="Q53" s="18" t="n">
        <v>4840020.76</v>
      </c>
      <c r="R53" s="18" t="n">
        <v>4557058.91</v>
      </c>
      <c r="S53" s="18" t="n">
        <v>4585312.15</v>
      </c>
      <c r="T53" s="18" t="n">
        <v>3778542.21</v>
      </c>
      <c r="U53" s="37" t="n">
        <v>3778542.21</v>
      </c>
      <c r="V53" s="18" t="n">
        <v>4173497.31</v>
      </c>
      <c r="W53" s="18" t="n">
        <v>5144842.28</v>
      </c>
      <c r="X53" s="18" t="n">
        <v>5662254.31</v>
      </c>
      <c r="Y53" s="18" t="n">
        <v>6689512.54</v>
      </c>
      <c r="Z53" s="37" t="n">
        <v>6689512.54</v>
      </c>
      <c r="AA53" s="18" t="n">
        <v>7068994.33</v>
      </c>
      <c r="AB53" s="19" t="n">
        <v>10418227.47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기타유동금융부채</t>
        </is>
      </c>
      <c r="F54" s="9" t="n"/>
      <c r="K54" s="9" t="n"/>
      <c r="O54" s="18" t="n">
        <v>164369.97</v>
      </c>
      <c r="P54" s="37" t="n">
        <v>164369.97</v>
      </c>
      <c r="Q54" s="18" t="n">
        <v>168939.66</v>
      </c>
      <c r="R54" s="18" t="n">
        <v>0</v>
      </c>
      <c r="S54" s="18" t="n">
        <v>0</v>
      </c>
      <c r="U54" s="9" t="n"/>
      <c r="X54" s="18" t="n">
        <v>299131.33</v>
      </c>
      <c r="Y54" s="18" t="n">
        <v>275328.61</v>
      </c>
      <c r="Z54" s="37" t="n">
        <v>275328.61</v>
      </c>
      <c r="AA54" s="18" t="n">
        <v>168371.8</v>
      </c>
      <c r="AB54" s="19" t="n">
        <v>136569.19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단기금융부채</t>
        </is>
      </c>
      <c r="F55" s="9" t="n"/>
      <c r="K55" s="9" t="n"/>
      <c r="O55" s="18" t="n">
        <v>164369.97</v>
      </c>
      <c r="P55" s="37" t="n">
        <v>164369.97</v>
      </c>
      <c r="Q55" s="18" t="n">
        <v>168939.66</v>
      </c>
      <c r="R55" s="18" t="n">
        <v>0</v>
      </c>
      <c r="S55" s="18" t="n">
        <v>0</v>
      </c>
      <c r="U55" s="9" t="n"/>
      <c r="X55" s="18" t="n">
        <v>299131.33</v>
      </c>
      <c r="Y55" s="18" t="n">
        <v>275328.61</v>
      </c>
      <c r="Z55" s="37" t="n">
        <v>275328.61</v>
      </c>
      <c r="AA55" s="18" t="n">
        <v>168371.8</v>
      </c>
      <c r="AB55" s="19" t="n">
        <v>136569.19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매출액(수익)</t>
        </is>
      </c>
      <c r="E56" s="18" t="n">
        <v>1509739.99</v>
      </c>
      <c r="F56" s="9" t="n"/>
      <c r="G56" s="18" t="n">
        <v>1637578.46</v>
      </c>
      <c r="H56" s="18" t="n">
        <v>1755882.43</v>
      </c>
      <c r="I56" s="18" t="n">
        <v>1740125.21</v>
      </c>
      <c r="J56" s="18" t="n">
        <v>1641207.55</v>
      </c>
      <c r="K56" s="37" t="n">
        <v>6774793.65</v>
      </c>
      <c r="L56" s="18" t="n">
        <v>1564942.78</v>
      </c>
      <c r="M56" s="18" t="n">
        <v>1588344.83</v>
      </c>
      <c r="N56" s="18" t="n">
        <v>1552724.54</v>
      </c>
      <c r="O56" s="18" t="n">
        <v>1582430.46</v>
      </c>
      <c r="P56" s="37" t="n">
        <v>6288442.61</v>
      </c>
      <c r="Q56" s="18" t="n">
        <v>1588371.74</v>
      </c>
      <c r="R56" s="18" t="n">
        <v>1778727.72</v>
      </c>
      <c r="S56" s="18" t="n">
        <v>1634207.68</v>
      </c>
      <c r="T56" s="18" t="n">
        <v>1657455.29</v>
      </c>
      <c r="U56" s="37" t="n">
        <v>6658762.43</v>
      </c>
      <c r="V56" s="18" t="n">
        <v>1599305.26</v>
      </c>
      <c r="W56" s="18" t="n">
        <v>1705263.97</v>
      </c>
      <c r="X56" s="18" t="n">
        <v>1622832.53</v>
      </c>
      <c r="Y56" s="18" t="n">
        <v>1556417.74</v>
      </c>
      <c r="Z56" s="37" t="n">
        <v>6483819.5</v>
      </c>
      <c r="AA56" s="18" t="n">
        <v>1626399.55</v>
      </c>
      <c r="AB56" s="19" t="n">
        <v>1806019.14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매출원가</t>
        </is>
      </c>
      <c r="E57" s="18" t="n">
        <v>1178077.7</v>
      </c>
      <c r="F57" s="9" t="n"/>
      <c r="G57" s="18" t="n">
        <v>1253044.6</v>
      </c>
      <c r="H57" s="18" t="n">
        <v>1341496.78</v>
      </c>
      <c r="I57" s="18" t="n">
        <v>1382013.11</v>
      </c>
      <c r="J57" s="18" t="n">
        <v>1313330.41</v>
      </c>
      <c r="K57" s="37" t="n">
        <v>5289884.9</v>
      </c>
      <c r="L57" s="18" t="n">
        <v>1251543.34</v>
      </c>
      <c r="M57" s="18" t="n">
        <v>1241872.18</v>
      </c>
      <c r="N57" s="18" t="n">
        <v>1223040.35</v>
      </c>
      <c r="O57" s="18" t="n">
        <v>1243486.98</v>
      </c>
      <c r="P57" s="37" t="n">
        <v>4959942.85</v>
      </c>
      <c r="Q57" s="18" t="n">
        <v>1228576.49</v>
      </c>
      <c r="R57" s="18" t="n">
        <v>1348199.25</v>
      </c>
      <c r="S57" s="18" t="n">
        <v>1195391.75</v>
      </c>
      <c r="T57" s="18" t="n">
        <v>1255873.97</v>
      </c>
      <c r="U57" s="37" t="n">
        <v>5028041.46</v>
      </c>
      <c r="V57" s="18" t="n">
        <v>1204395.86</v>
      </c>
      <c r="W57" s="18" t="n">
        <v>1267996.21</v>
      </c>
      <c r="X57" s="18" t="n">
        <v>1206254.68</v>
      </c>
      <c r="Y57" s="18" t="n">
        <v>1167703.1</v>
      </c>
      <c r="Z57" s="37" t="n">
        <v>4846349.85</v>
      </c>
      <c r="AA57" s="18" t="n">
        <v>1224310.99</v>
      </c>
      <c r="AB57" s="19" t="n">
        <v>1348082.19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매출총이익</t>
        </is>
      </c>
      <c r="E58" s="18" t="n">
        <v>331662.29</v>
      </c>
      <c r="F58" s="9" t="n"/>
      <c r="G58" s="18" t="n">
        <v>384533.86</v>
      </c>
      <c r="H58" s="18" t="n">
        <v>414385.65</v>
      </c>
      <c r="I58" s="18" t="n">
        <v>358112.1</v>
      </c>
      <c r="J58" s="18" t="n">
        <v>327877.15</v>
      </c>
      <c r="K58" s="37" t="n">
        <v>1484908.76</v>
      </c>
      <c r="L58" s="18" t="n">
        <v>313399.44</v>
      </c>
      <c r="M58" s="18" t="n">
        <v>346472.66</v>
      </c>
      <c r="N58" s="18" t="n">
        <v>329684.19</v>
      </c>
      <c r="O58" s="18" t="n">
        <v>338943.49</v>
      </c>
      <c r="P58" s="37" t="n">
        <v>1328499.78</v>
      </c>
      <c r="Q58" s="18" t="n">
        <v>359795.25</v>
      </c>
      <c r="R58" s="18" t="n">
        <v>430528.47</v>
      </c>
      <c r="S58" s="18" t="n">
        <v>438815.93</v>
      </c>
      <c r="T58" s="18" t="n">
        <v>401581.32</v>
      </c>
      <c r="U58" s="37" t="n">
        <v>1630720.97</v>
      </c>
      <c r="V58" s="18" t="n">
        <v>394909.4</v>
      </c>
      <c r="W58" s="18" t="n">
        <v>437267.75</v>
      </c>
      <c r="X58" s="18" t="n">
        <v>416577.85</v>
      </c>
      <c r="Y58" s="18" t="n">
        <v>388714.63</v>
      </c>
      <c r="Z58" s="37" t="n">
        <v>1637469.63</v>
      </c>
      <c r="AA58" s="18" t="n">
        <v>402088.56</v>
      </c>
      <c r="AB58" s="19" t="n">
        <v>457936.95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판관비</t>
        </is>
      </c>
      <c r="E59" s="18" t="n">
        <v>257272.17</v>
      </c>
      <c r="F59" s="9" t="n"/>
      <c r="G59" s="18" t="n">
        <v>235126.09</v>
      </c>
      <c r="H59" s="18" t="n">
        <v>250152.01</v>
      </c>
      <c r="I59" s="18" t="n">
        <v>261732.55</v>
      </c>
      <c r="J59" s="18" t="n">
        <v>270236.58</v>
      </c>
      <c r="K59" s="37" t="n">
        <v>1017247.23</v>
      </c>
      <c r="L59" s="18" t="n">
        <v>237571.69</v>
      </c>
      <c r="M59" s="18" t="n">
        <v>256088.94</v>
      </c>
      <c r="N59" s="18" t="n">
        <v>241254.64</v>
      </c>
      <c r="O59" s="18" t="n">
        <v>281054.29</v>
      </c>
      <c r="P59" s="37" t="n">
        <v>1015969.56</v>
      </c>
      <c r="Q59" s="18" t="n">
        <v>252888.21</v>
      </c>
      <c r="R59" s="18" t="n">
        <v>289967.54</v>
      </c>
      <c r="S59" s="18" t="n">
        <v>313487.39</v>
      </c>
      <c r="T59" s="18" t="n">
        <v>303259.59</v>
      </c>
      <c r="U59" s="37" t="n">
        <v>1159602.73</v>
      </c>
      <c r="V59" s="18" t="n">
        <v>291465.55</v>
      </c>
      <c r="W59" s="18" t="n">
        <v>296887.06</v>
      </c>
      <c r="X59" s="18" t="n">
        <v>299314.3</v>
      </c>
      <c r="Y59" s="18" t="n">
        <v>322187.61</v>
      </c>
      <c r="Z59" s="37" t="n">
        <v>1209854.52</v>
      </c>
      <c r="AA59" s="18" t="n">
        <v>313960.45</v>
      </c>
      <c r="AB59" s="19" t="n">
        <v>329052.63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영업이익</t>
        </is>
      </c>
      <c r="E60" s="18" t="n">
        <v>74390.13</v>
      </c>
      <c r="F60" s="9" t="n"/>
      <c r="G60" s="18" t="n">
        <v>149407.77</v>
      </c>
      <c r="H60" s="18" t="n">
        <v>164233.64</v>
      </c>
      <c r="I60" s="18" t="n">
        <v>96379.55</v>
      </c>
      <c r="J60" s="18" t="n">
        <v>57640.56</v>
      </c>
      <c r="K60" s="37" t="n">
        <v>467661.52</v>
      </c>
      <c r="L60" s="18" t="n">
        <v>75827.75</v>
      </c>
      <c r="M60" s="18" t="n">
        <v>90383.72</v>
      </c>
      <c r="N60" s="18" t="n">
        <v>88429.53999999999</v>
      </c>
      <c r="O60" s="18" t="n">
        <v>57889.19</v>
      </c>
      <c r="P60" s="37" t="n">
        <v>312530.2</v>
      </c>
      <c r="Q60" s="18" t="n">
        <v>106907.04</v>
      </c>
      <c r="R60" s="18" t="n">
        <v>140560.93</v>
      </c>
      <c r="S60" s="18" t="n">
        <v>125328.54</v>
      </c>
      <c r="T60" s="18" t="n">
        <v>98321.73</v>
      </c>
      <c r="U60" s="37" t="n">
        <v>471118.24</v>
      </c>
      <c r="V60" s="18" t="n">
        <v>103443.84</v>
      </c>
      <c r="W60" s="18" t="n">
        <v>140380.69</v>
      </c>
      <c r="X60" s="18" t="n">
        <v>117263.55</v>
      </c>
      <c r="Y60" s="18" t="n">
        <v>66527.03</v>
      </c>
      <c r="Z60" s="37" t="n">
        <v>427615.11</v>
      </c>
      <c r="AA60" s="18" t="n">
        <v>88128.12</v>
      </c>
      <c r="AB60" s="19" t="n">
        <v>128884.32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종속기업,공동지배기업및관계기업관련손익</t>
        </is>
      </c>
      <c r="E61" s="18" t="n">
        <v>-52803.61</v>
      </c>
      <c r="F61" s="9" t="n"/>
      <c r="G61" s="18" t="n">
        <v>11768.32</v>
      </c>
      <c r="H61" s="18" t="n">
        <v>9700.92</v>
      </c>
      <c r="I61" s="18" t="n">
        <v>-49.17</v>
      </c>
      <c r="J61" s="18" t="n">
        <v>3632.95</v>
      </c>
      <c r="K61" s="37" t="n">
        <v>25053.02</v>
      </c>
      <c r="L61" s="18" t="n">
        <v>-14433.15</v>
      </c>
      <c r="M61" s="18" t="n">
        <v>-4871.72</v>
      </c>
      <c r="N61" s="18" t="n">
        <v>-14493.56</v>
      </c>
      <c r="O61" s="18" t="n">
        <v>-166504.08</v>
      </c>
      <c r="P61" s="37" t="n">
        <v>-200302.51</v>
      </c>
      <c r="Q61" s="18" t="n">
        <v>-2633.1</v>
      </c>
      <c r="R61" s="18" t="n">
        <v>65671.25</v>
      </c>
      <c r="S61" s="18" t="n">
        <v>7178</v>
      </c>
      <c r="T61" s="18" t="n">
        <v>2118.68</v>
      </c>
      <c r="U61" s="37" t="n">
        <v>72334.83</v>
      </c>
      <c r="V61" s="18" t="n">
        <v>6099.35</v>
      </c>
      <c r="W61" s="18" t="n">
        <v>2784.63</v>
      </c>
      <c r="X61" s="18" t="n">
        <v>-205.02</v>
      </c>
      <c r="Y61" s="18" t="n">
        <v>-4864.31</v>
      </c>
      <c r="Z61" s="37" t="n">
        <v>3814.65</v>
      </c>
      <c r="AA61" s="18" t="n">
        <v>6589.4</v>
      </c>
      <c r="AB61" s="19" t="n">
        <v>5423.23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지분법관련손익</t>
        </is>
      </c>
      <c r="E62" s="18" t="n">
        <v>-52803.61</v>
      </c>
      <c r="F62" s="9" t="n"/>
      <c r="G62" s="18" t="n">
        <v>11768.32</v>
      </c>
      <c r="H62" s="18" t="n">
        <v>9700.92</v>
      </c>
      <c r="I62" s="18" t="n">
        <v>-49.17</v>
      </c>
      <c r="J62" s="18" t="n">
        <v>3632.95</v>
      </c>
      <c r="K62" s="37" t="n">
        <v>25053.02</v>
      </c>
      <c r="L62" s="18" t="n">
        <v>-14433.15</v>
      </c>
      <c r="M62" s="18" t="n">
        <v>-4871.72</v>
      </c>
      <c r="N62" s="18" t="n">
        <v>-14493.56</v>
      </c>
      <c r="O62" s="18" t="n">
        <v>-166504.08</v>
      </c>
      <c r="P62" s="37" t="n">
        <v>-200302.51</v>
      </c>
      <c r="Q62" s="18" t="n">
        <v>-2633.1</v>
      </c>
      <c r="R62" s="18" t="n">
        <v>65671.25</v>
      </c>
      <c r="S62" s="18" t="n">
        <v>7178</v>
      </c>
      <c r="T62" s="18" t="n">
        <v>2118.68</v>
      </c>
      <c r="U62" s="37" t="n">
        <v>72334.83</v>
      </c>
      <c r="V62" s="18" t="n">
        <v>6099.35</v>
      </c>
      <c r="W62" s="18" t="n">
        <v>2784.63</v>
      </c>
      <c r="X62" s="18" t="n">
        <v>-205.02</v>
      </c>
      <c r="Y62" s="18" t="n">
        <v>-4864.31</v>
      </c>
      <c r="Z62" s="37" t="n">
        <v>3814.65</v>
      </c>
      <c r="AA62" s="18" t="n">
        <v>6589.4</v>
      </c>
      <c r="AB62" s="19" t="n">
        <v>5423.23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금융손익</t>
        </is>
      </c>
      <c r="E63" s="18" t="n">
        <v>-141725.05</v>
      </c>
      <c r="F63" s="9" t="n"/>
      <c r="G63" s="18" t="n">
        <v>-77425.14</v>
      </c>
      <c r="H63" s="18" t="n">
        <v>120747.61</v>
      </c>
      <c r="I63" s="18" t="n">
        <v>-396921.73</v>
      </c>
      <c r="J63" s="18" t="n">
        <v>50417.7</v>
      </c>
      <c r="K63" s="37" t="n">
        <v>-303181.56</v>
      </c>
      <c r="L63" s="18" t="n">
        <v>-36760.7</v>
      </c>
      <c r="M63" s="18" t="n">
        <v>43835.55</v>
      </c>
      <c r="N63" s="18" t="n">
        <v>-9375.540000000001</v>
      </c>
      <c r="O63" s="18" t="n">
        <v>171390.36</v>
      </c>
      <c r="P63" s="37" t="n">
        <v>169089.67</v>
      </c>
      <c r="Q63" s="18" t="n">
        <v>523045.66</v>
      </c>
      <c r="R63" s="18" t="n">
        <v>-197808.06</v>
      </c>
      <c r="S63" s="18" t="n">
        <v>-139073.87</v>
      </c>
      <c r="T63" s="18" t="n">
        <v>-246624.07</v>
      </c>
      <c r="U63" s="37" t="n">
        <v>-60460.34</v>
      </c>
      <c r="V63" s="18" t="n">
        <v>-50669.57</v>
      </c>
      <c r="W63" s="18" t="n">
        <v>1129282.86</v>
      </c>
      <c r="X63" s="18" t="n">
        <v>364281.54</v>
      </c>
      <c r="Y63" s="18" t="n">
        <v>861021.84</v>
      </c>
      <c r="Z63" s="37" t="n">
        <v>2303916.67</v>
      </c>
      <c r="AA63" s="18" t="n">
        <v>201322.45</v>
      </c>
      <c r="AB63" s="19" t="n">
        <v>3636399.22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금융수익</t>
        </is>
      </c>
      <c r="E64" s="18" t="n">
        <v>60660.06</v>
      </c>
      <c r="F64" s="9" t="n"/>
      <c r="G64" s="18" t="n">
        <v>172654.13</v>
      </c>
      <c r="H64" s="18" t="n">
        <v>232747.28</v>
      </c>
      <c r="I64" s="18" t="n">
        <v>94028.08</v>
      </c>
      <c r="J64" s="18" t="n">
        <v>25075.89</v>
      </c>
      <c r="K64" s="37" t="n">
        <v>524505.38</v>
      </c>
      <c r="L64" s="18" t="n">
        <v>194455.26</v>
      </c>
      <c r="M64" s="18" t="n">
        <v>250334.27</v>
      </c>
      <c r="N64" s="18" t="n">
        <v>107961.58</v>
      </c>
      <c r="O64" s="18" t="n">
        <v>205449.62</v>
      </c>
      <c r="P64" s="37" t="n">
        <v>758200.73</v>
      </c>
      <c r="Q64" s="18" t="n">
        <v>656804.14</v>
      </c>
      <c r="R64" s="18" t="n">
        <v>108580.97</v>
      </c>
      <c r="S64" s="18" t="n">
        <v>-25469.22</v>
      </c>
      <c r="T64" s="18" t="n">
        <v>142914.91</v>
      </c>
      <c r="U64" s="37" t="n">
        <v>882830.8</v>
      </c>
      <c r="V64" s="18" t="n">
        <v>179435.72</v>
      </c>
      <c r="W64" s="18" t="n">
        <v>1327922.1</v>
      </c>
      <c r="X64" s="18" t="n">
        <v>542869.95</v>
      </c>
      <c r="Y64" s="18" t="n">
        <v>988843.73</v>
      </c>
      <c r="Z64" s="37" t="n">
        <v>3039071.5</v>
      </c>
      <c r="AA64" s="18" t="n">
        <v>562422.72</v>
      </c>
      <c r="AB64" s="19" t="n">
        <v>3764282.94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금융비용</t>
        </is>
      </c>
      <c r="E65" s="18" t="n">
        <v>202385.1</v>
      </c>
      <c r="F65" s="9" t="n"/>
      <c r="G65" s="18" t="n">
        <v>250079.27</v>
      </c>
      <c r="H65" s="18" t="n">
        <v>111999.67</v>
      </c>
      <c r="I65" s="18" t="n">
        <v>490949.81</v>
      </c>
      <c r="J65" s="18" t="n">
        <v>-25341.8</v>
      </c>
      <c r="K65" s="37" t="n">
        <v>827686.95</v>
      </c>
      <c r="L65" s="18" t="n">
        <v>231215.96</v>
      </c>
      <c r="M65" s="18" t="n">
        <v>206498.72</v>
      </c>
      <c r="N65" s="18" t="n">
        <v>117337.12</v>
      </c>
      <c r="O65" s="18" t="n">
        <v>34059.26</v>
      </c>
      <c r="P65" s="37" t="n">
        <v>589111.0600000001</v>
      </c>
      <c r="Q65" s="18" t="n">
        <v>133758.48</v>
      </c>
      <c r="R65" s="18" t="n">
        <v>306389.03</v>
      </c>
      <c r="S65" s="18" t="n">
        <v>113604.65</v>
      </c>
      <c r="T65" s="18" t="n">
        <v>389538.98</v>
      </c>
      <c r="U65" s="37" t="n">
        <v>943291.14</v>
      </c>
      <c r="V65" s="18" t="n">
        <v>230105.29</v>
      </c>
      <c r="W65" s="18" t="n">
        <v>198639.25</v>
      </c>
      <c r="X65" s="18" t="n">
        <v>178588.41</v>
      </c>
      <c r="Y65" s="18" t="n">
        <v>127821.89</v>
      </c>
      <c r="Z65" s="37" t="n">
        <v>735154.84</v>
      </c>
      <c r="AA65" s="18" t="n">
        <v>361100.27</v>
      </c>
      <c r="AB65" s="19" t="n">
        <v>127883.72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기타영업외손익</t>
        </is>
      </c>
      <c r="E66" s="18" t="n">
        <v>-108942.89</v>
      </c>
      <c r="F66" s="9" t="n"/>
      <c r="G66" s="18" t="n">
        <v>1084.84</v>
      </c>
      <c r="H66" s="18" t="n">
        <v>-14981.52</v>
      </c>
      <c r="I66" s="18" t="n">
        <v>-2537.48</v>
      </c>
      <c r="J66" s="18" t="n">
        <v>-61144.89</v>
      </c>
      <c r="K66" s="37" t="n">
        <v>-77579.05</v>
      </c>
      <c r="L66" s="18" t="n">
        <v>3451.36</v>
      </c>
      <c r="M66" s="18" t="n">
        <v>-10984.08</v>
      </c>
      <c r="N66" s="18" t="n">
        <v>407.65</v>
      </c>
      <c r="O66" s="18" t="n">
        <v>-29756.53</v>
      </c>
      <c r="P66" s="37" t="n">
        <v>-36881.6</v>
      </c>
      <c r="Q66" s="18" t="n">
        <v>-257.94</v>
      </c>
      <c r="R66" s="18" t="n">
        <v>-1097.36</v>
      </c>
      <c r="S66" s="18" t="n">
        <v>-533.25</v>
      </c>
      <c r="T66" s="18" t="n">
        <v>-11235.54</v>
      </c>
      <c r="U66" s="37" t="n">
        <v>-13124.09</v>
      </c>
      <c r="V66" s="18" t="n">
        <v>16521.8</v>
      </c>
      <c r="W66" s="18" t="n">
        <v>-5679.55</v>
      </c>
      <c r="X66" s="18" t="n">
        <v>-1951.29</v>
      </c>
      <c r="Y66" s="18" t="n">
        <v>-355408.02</v>
      </c>
      <c r="Z66" s="37" t="n">
        <v>-346517.06</v>
      </c>
      <c r="AA66" s="18" t="n">
        <v>16442.05</v>
      </c>
      <c r="AB66" s="19" t="n">
        <v>-11356.25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기타영업외수익</t>
        </is>
      </c>
      <c r="E67" s="18" t="n">
        <v>12171.04</v>
      </c>
      <c r="F67" s="9" t="n"/>
      <c r="G67" s="18" t="n">
        <v>25510.56</v>
      </c>
      <c r="H67" s="18" t="n">
        <v>9367.77</v>
      </c>
      <c r="I67" s="18" t="n">
        <v>13187.44</v>
      </c>
      <c r="J67" s="18" t="n">
        <v>14604.47</v>
      </c>
      <c r="K67" s="37" t="n">
        <v>62670.24</v>
      </c>
      <c r="L67" s="18" t="n">
        <v>30735.66</v>
      </c>
      <c r="M67" s="18" t="n">
        <v>14801.95</v>
      </c>
      <c r="N67" s="18" t="n">
        <v>10562.11</v>
      </c>
      <c r="O67" s="18" t="n">
        <v>7375.83</v>
      </c>
      <c r="P67" s="37" t="n">
        <v>63475.55</v>
      </c>
      <c r="Q67" s="18" t="n">
        <v>9612.6</v>
      </c>
      <c r="R67" s="18" t="n">
        <v>11687.35</v>
      </c>
      <c r="S67" s="18" t="n">
        <v>9202.83</v>
      </c>
      <c r="T67" s="18" t="n">
        <v>12298.98</v>
      </c>
      <c r="U67" s="37" t="n">
        <v>42801.76</v>
      </c>
      <c r="V67" s="18" t="n">
        <v>44443.33</v>
      </c>
      <c r="W67" s="18" t="n">
        <v>11915.21</v>
      </c>
      <c r="X67" s="18" t="n">
        <v>10059.25</v>
      </c>
      <c r="Y67" s="18" t="n">
        <v>80021.19</v>
      </c>
      <c r="Z67" s="37" t="n">
        <v>146438.98</v>
      </c>
      <c r="AA67" s="18" t="n">
        <v>28958.96</v>
      </c>
      <c r="AB67" s="19" t="n">
        <v>14305.05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기타영업외비용</t>
        </is>
      </c>
      <c r="E68" s="18" t="n">
        <v>121113.93</v>
      </c>
      <c r="F68" s="9" t="n"/>
      <c r="G68" s="18" t="n">
        <v>24425.72</v>
      </c>
      <c r="H68" s="18" t="n">
        <v>24349.29</v>
      </c>
      <c r="I68" s="18" t="n">
        <v>15724.92</v>
      </c>
      <c r="J68" s="18" t="n">
        <v>75749.35000000001</v>
      </c>
      <c r="K68" s="37" t="n">
        <v>140249.28</v>
      </c>
      <c r="L68" s="18" t="n">
        <v>27284.3</v>
      </c>
      <c r="M68" s="18" t="n">
        <v>25786.04</v>
      </c>
      <c r="N68" s="18" t="n">
        <v>10154.46</v>
      </c>
      <c r="O68" s="18" t="n">
        <v>37132.35</v>
      </c>
      <c r="P68" s="37" t="n">
        <v>100357.15</v>
      </c>
      <c r="Q68" s="18" t="n">
        <v>9870.540000000001</v>
      </c>
      <c r="R68" s="18" t="n">
        <v>12784.71</v>
      </c>
      <c r="S68" s="18" t="n">
        <v>9736.08</v>
      </c>
      <c r="T68" s="18" t="n">
        <v>23534.53</v>
      </c>
      <c r="U68" s="37" t="n">
        <v>55925.86</v>
      </c>
      <c r="V68" s="18" t="n">
        <v>27921.53</v>
      </c>
      <c r="W68" s="18" t="n">
        <v>17594.76</v>
      </c>
      <c r="X68" s="18" t="n">
        <v>12010.54</v>
      </c>
      <c r="Y68" s="18" t="n">
        <v>435429.19</v>
      </c>
      <c r="Z68" s="37" t="n">
        <v>492956.02</v>
      </c>
      <c r="AA68" s="18" t="n">
        <v>12516.91</v>
      </c>
      <c r="AB68" s="19" t="n">
        <v>25661.3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법인세비용차감전계속사업이익</t>
        </is>
      </c>
      <c r="E69" s="18" t="n">
        <v>-229081.42</v>
      </c>
      <c r="F69" s="9" t="n"/>
      <c r="G69" s="18" t="n">
        <v>84835.8</v>
      </c>
      <c r="H69" s="18" t="n">
        <v>279700.66</v>
      </c>
      <c r="I69" s="18" t="n">
        <v>-303128.83</v>
      </c>
      <c r="J69" s="18" t="n">
        <v>50546.32</v>
      </c>
      <c r="K69" s="37" t="n">
        <v>111953.95</v>
      </c>
      <c r="L69" s="18" t="n">
        <v>28085.27</v>
      </c>
      <c r="M69" s="18" t="n">
        <v>118363.47</v>
      </c>
      <c r="N69" s="18" t="n">
        <v>64968.09</v>
      </c>
      <c r="O69" s="18" t="n">
        <v>33018.95</v>
      </c>
      <c r="P69" s="37" t="n">
        <v>244435.78</v>
      </c>
      <c r="Q69" s="18" t="n">
        <v>627061.66</v>
      </c>
      <c r="R69" s="18" t="n">
        <v>7326.75</v>
      </c>
      <c r="S69" s="18" t="n">
        <v>-7100.57</v>
      </c>
      <c r="T69" s="18" t="n">
        <v>-157419.21</v>
      </c>
      <c r="U69" s="37" t="n">
        <v>469868.63</v>
      </c>
      <c r="V69" s="18" t="n">
        <v>75395.42</v>
      </c>
      <c r="W69" s="18" t="n">
        <v>1266768.63</v>
      </c>
      <c r="X69" s="18" t="n">
        <v>479388.78</v>
      </c>
      <c r="Y69" s="18" t="n">
        <v>567276.55</v>
      </c>
      <c r="Z69" s="37" t="n">
        <v>2388829.38</v>
      </c>
      <c r="AA69" s="18" t="n">
        <v>312482.02</v>
      </c>
      <c r="AB69" s="19" t="n">
        <v>3759350.52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법인세비용</t>
        </is>
      </c>
      <c r="E70" s="18" t="n">
        <v>3099.67</v>
      </c>
      <c r="F70" s="9" t="n"/>
      <c r="G70" s="18" t="n">
        <v>52638.49</v>
      </c>
      <c r="H70" s="18" t="n">
        <v>97501.33</v>
      </c>
      <c r="I70" s="18" t="n">
        <v>-37787.48</v>
      </c>
      <c r="J70" s="18" t="n">
        <v>-29060.04</v>
      </c>
      <c r="K70" s="37" t="n">
        <v>83292.3</v>
      </c>
      <c r="L70" s="18" t="n">
        <v>43537.28</v>
      </c>
      <c r="M70" s="18" t="n">
        <v>51039.59</v>
      </c>
      <c r="N70" s="18" t="n">
        <v>53730.12</v>
      </c>
      <c r="O70" s="18" t="n">
        <v>3626.16</v>
      </c>
      <c r="P70" s="37" t="n">
        <v>151933.15</v>
      </c>
      <c r="Q70" s="18" t="n">
        <v>172150.73</v>
      </c>
      <c r="R70" s="18" t="n">
        <v>40167.63</v>
      </c>
      <c r="S70" s="18" t="n">
        <v>35207.08</v>
      </c>
      <c r="T70" s="18" t="n">
        <v>-70951.32000000001</v>
      </c>
      <c r="U70" s="37" t="n">
        <v>176574.12</v>
      </c>
      <c r="V70" s="18" t="n">
        <v>31345.33</v>
      </c>
      <c r="W70" s="18" t="n">
        <v>373497.92</v>
      </c>
      <c r="X70" s="18" t="n">
        <v>153050.32</v>
      </c>
      <c r="Y70" s="18" t="n">
        <v>292439.53</v>
      </c>
      <c r="Z70" s="37" t="n">
        <v>850333.1</v>
      </c>
      <c r="AA70" s="18" t="n">
        <v>95525.12</v>
      </c>
      <c r="AB70" s="19" t="n">
        <v>916561.61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계속사업이익</t>
        </is>
      </c>
      <c r="E71" s="18" t="n">
        <v>-232181.1</v>
      </c>
      <c r="F71" s="9" t="n"/>
      <c r="G71" s="18" t="n">
        <v>32197.3</v>
      </c>
      <c r="H71" s="18" t="n">
        <v>182199.33</v>
      </c>
      <c r="I71" s="18" t="n">
        <v>-265341.35</v>
      </c>
      <c r="J71" s="18" t="n">
        <v>79606.38</v>
      </c>
      <c r="K71" s="37" t="n">
        <v>28661.66</v>
      </c>
      <c r="L71" s="18" t="n">
        <v>-15452.01</v>
      </c>
      <c r="M71" s="18" t="n">
        <v>67323.88</v>
      </c>
      <c r="N71" s="18" t="n">
        <v>11237.96</v>
      </c>
      <c r="O71" s="18" t="n">
        <v>29392.8</v>
      </c>
      <c r="P71" s="37" t="n">
        <v>92502.63</v>
      </c>
      <c r="Q71" s="18" t="n">
        <v>454910.93</v>
      </c>
      <c r="R71" s="18" t="n">
        <v>-32840.88</v>
      </c>
      <c r="S71" s="18" t="n">
        <v>-42307.65</v>
      </c>
      <c r="T71" s="18" t="n">
        <v>-86467.89</v>
      </c>
      <c r="U71" s="37" t="n">
        <v>293294.51</v>
      </c>
      <c r="V71" s="18" t="n">
        <v>44050.09</v>
      </c>
      <c r="W71" s="18" t="n">
        <v>893270.72</v>
      </c>
      <c r="X71" s="18" t="n">
        <v>326338.46</v>
      </c>
      <c r="Y71" s="18" t="n">
        <v>274837.01</v>
      </c>
      <c r="Z71" s="37" t="n">
        <v>1538496.28</v>
      </c>
      <c r="AA71" s="18" t="n">
        <v>216956.9</v>
      </c>
      <c r="AB71" s="19" t="n">
        <v>2842788.91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당기순이익</t>
        </is>
      </c>
      <c r="E72" s="18" t="n">
        <v>-232181.1</v>
      </c>
      <c r="F72" s="9" t="n"/>
      <c r="G72" s="18" t="n">
        <v>32197.3</v>
      </c>
      <c r="H72" s="18" t="n">
        <v>182199.33</v>
      </c>
      <c r="I72" s="18" t="n">
        <v>-265341.35</v>
      </c>
      <c r="J72" s="18" t="n">
        <v>79606.38</v>
      </c>
      <c r="K72" s="37" t="n">
        <v>28661.66</v>
      </c>
      <c r="L72" s="18" t="n">
        <v>-15452.01</v>
      </c>
      <c r="M72" s="18" t="n">
        <v>67323.88</v>
      </c>
      <c r="N72" s="18" t="n">
        <v>11237.96</v>
      </c>
      <c r="O72" s="18" t="n">
        <v>29392.8</v>
      </c>
      <c r="P72" s="37" t="n">
        <v>92502.63</v>
      </c>
      <c r="Q72" s="18" t="n">
        <v>454910.93</v>
      </c>
      <c r="R72" s="18" t="n">
        <v>-32840.88</v>
      </c>
      <c r="S72" s="18" t="n">
        <v>-42307.65</v>
      </c>
      <c r="T72" s="18" t="n">
        <v>-86467.89</v>
      </c>
      <c r="U72" s="37" t="n">
        <v>293294.51</v>
      </c>
      <c r="V72" s="18" t="n">
        <v>44050.09</v>
      </c>
      <c r="W72" s="18" t="n">
        <v>893270.72</v>
      </c>
      <c r="X72" s="18" t="n">
        <v>326338.46</v>
      </c>
      <c r="Y72" s="18" t="n">
        <v>274837.01</v>
      </c>
      <c r="Z72" s="37" t="n">
        <v>1538496.28</v>
      </c>
      <c r="AA72" s="18" t="n">
        <v>216956.9</v>
      </c>
      <c r="AB72" s="19" t="n">
        <v>2839157.16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총포괄손익</t>
        </is>
      </c>
      <c r="E73" s="18" t="n">
        <v>-144073.23</v>
      </c>
      <c r="F73" s="9" t="n"/>
      <c r="G73" s="18" t="n">
        <v>108941.06</v>
      </c>
      <c r="H73" s="18" t="n">
        <v>227403.73</v>
      </c>
      <c r="I73" s="18" t="n">
        <v>-135778.68</v>
      </c>
      <c r="J73" s="18" t="n">
        <v>127702.55</v>
      </c>
      <c r="K73" s="37" t="n">
        <v>328268.66</v>
      </c>
      <c r="L73" s="18" t="n">
        <v>33993.03</v>
      </c>
      <c r="M73" s="18" t="n">
        <v>-7957.78</v>
      </c>
      <c r="N73" s="18" t="n">
        <v>-21160.36</v>
      </c>
      <c r="O73" s="18" t="n">
        <v>-49650.63</v>
      </c>
      <c r="P73" s="37" t="n">
        <v>-44775.74</v>
      </c>
      <c r="Q73" s="18" t="n">
        <v>445760.15</v>
      </c>
      <c r="R73" s="18" t="n">
        <v>-94097.05</v>
      </c>
      <c r="S73" s="18" t="n">
        <v>9993.059999999999</v>
      </c>
      <c r="T73" s="18" t="n">
        <v>-72038.07000000001</v>
      </c>
      <c r="U73" s="37" t="n">
        <v>289618.09</v>
      </c>
      <c r="V73" s="18" t="n">
        <v>1060461.13</v>
      </c>
      <c r="W73" s="18" t="n">
        <v>809004.78</v>
      </c>
      <c r="X73" s="18" t="n">
        <v>388859.58</v>
      </c>
      <c r="Y73" s="18" t="n">
        <v>373739.33</v>
      </c>
      <c r="Z73" s="37" t="n">
        <v>2632064.82</v>
      </c>
      <c r="AA73" s="18" t="n">
        <v>378216.65</v>
      </c>
      <c r="AB73" s="19" t="n">
        <v>2917000.03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(지배주주지분)당기순이익</t>
        </is>
      </c>
      <c r="E74" s="18" t="n">
        <v>-184616.89</v>
      </c>
      <c r="F74" s="9" t="n"/>
      <c r="G74" s="18" t="n">
        <v>6580.39</v>
      </c>
      <c r="H74" s="18" t="n">
        <v>169357.94</v>
      </c>
      <c r="I74" s="18" t="n">
        <v>-268008.68</v>
      </c>
      <c r="J74" s="18" t="n">
        <v>125933.34</v>
      </c>
      <c r="K74" s="37" t="n">
        <v>33862.99</v>
      </c>
      <c r="L74" s="18" t="n">
        <v>8136.88</v>
      </c>
      <c r="M74" s="18" t="n">
        <v>90992.96000000001</v>
      </c>
      <c r="N74" s="18" t="n">
        <v>46964.03</v>
      </c>
      <c r="O74" s="18" t="n">
        <v>66568.91</v>
      </c>
      <c r="P74" s="37" t="n">
        <v>212662.78</v>
      </c>
      <c r="Q74" s="18" t="n">
        <v>472184.45</v>
      </c>
      <c r="R74" s="18" t="n">
        <v>-32840.88</v>
      </c>
      <c r="S74" s="18" t="n">
        <v>-42307.65</v>
      </c>
      <c r="T74" s="18" t="n">
        <v>-86467.88</v>
      </c>
      <c r="U74" s="37" t="n">
        <v>310568.04</v>
      </c>
      <c r="V74" s="18" t="n">
        <v>44050.09</v>
      </c>
      <c r="W74" s="18" t="n">
        <v>893270.72</v>
      </c>
      <c r="X74" s="18" t="n">
        <v>326338.46</v>
      </c>
      <c r="Y74" s="18" t="n">
        <v>274837.01</v>
      </c>
      <c r="Z74" s="37" t="n">
        <v>1538496.28</v>
      </c>
      <c r="AA74" s="18" t="n">
        <v>216956.9</v>
      </c>
      <c r="AB74" s="19" t="n">
        <v>2839157.16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(비지배주주지분)당기순이익</t>
        </is>
      </c>
      <c r="E75" s="18" t="n">
        <v>-47564.22</v>
      </c>
      <c r="F75" s="9" t="n"/>
      <c r="G75" s="18" t="n">
        <v>25616.91</v>
      </c>
      <c r="H75" s="18" t="n">
        <v>12841.39</v>
      </c>
      <c r="I75" s="18" t="n">
        <v>2667.33</v>
      </c>
      <c r="J75" s="18" t="n">
        <v>-46326.96</v>
      </c>
      <c r="K75" s="37" t="n">
        <v>-5201.33</v>
      </c>
      <c r="L75" s="18" t="n">
        <v>-23588.9</v>
      </c>
      <c r="M75" s="18" t="n">
        <v>-23669.08</v>
      </c>
      <c r="N75" s="18" t="n">
        <v>-35726.07</v>
      </c>
      <c r="O75" s="18" t="n">
        <v>-37176.12</v>
      </c>
      <c r="P75" s="37" t="n">
        <v>-120160.17</v>
      </c>
      <c r="Q75" s="18" t="n">
        <v>-17273.52</v>
      </c>
      <c r="R75" s="18" t="n">
        <v>0</v>
      </c>
      <c r="S75" s="18" t="n">
        <v>0</v>
      </c>
      <c r="T75" s="18" t="n">
        <v>0</v>
      </c>
      <c r="U75" s="37" t="n">
        <v>-17273.52</v>
      </c>
      <c r="V75" s="18" t="n">
        <v>0</v>
      </c>
      <c r="Z75" s="9" t="n"/>
      <c r="AB75" s="5" t="n"/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이자수익</t>
        </is>
      </c>
      <c r="F76" s="9" t="n"/>
      <c r="G76" s="18" t="n">
        <v>1243.58</v>
      </c>
      <c r="H76" s="18" t="n">
        <v>1287.06</v>
      </c>
      <c r="I76" s="18" t="n">
        <v>2315.89</v>
      </c>
      <c r="J76" s="18" t="n">
        <v>5753.51</v>
      </c>
      <c r="K76" s="37" t="n">
        <v>10600.04</v>
      </c>
      <c r="L76" s="18" t="n">
        <v>6824.39</v>
      </c>
      <c r="M76" s="18" t="n">
        <v>7998.41</v>
      </c>
      <c r="N76" s="18" t="n">
        <v>9053.59</v>
      </c>
      <c r="O76" s="18" t="n">
        <v>9749.049999999999</v>
      </c>
      <c r="P76" s="37" t="n">
        <v>33625.44</v>
      </c>
      <c r="Q76" s="18" t="n">
        <v>9658.65</v>
      </c>
      <c r="R76" s="18" t="n">
        <v>9246.040000000001</v>
      </c>
      <c r="S76" s="18" t="n">
        <v>7984.59</v>
      </c>
      <c r="T76" s="18" t="n">
        <v>9140.559999999999</v>
      </c>
      <c r="U76" s="37" t="n">
        <v>36029.84</v>
      </c>
      <c r="V76" s="18" t="n">
        <v>4696.69</v>
      </c>
      <c r="W76" s="18" t="n">
        <v>5184</v>
      </c>
      <c r="X76" s="18" t="n">
        <v>6840.08</v>
      </c>
      <c r="Y76" s="18" t="n">
        <v>6399.41</v>
      </c>
      <c r="Z76" s="37" t="n">
        <v>23120.18</v>
      </c>
      <c r="AA76" s="18" t="n">
        <v>9435.26</v>
      </c>
      <c r="AB76" s="19" t="n">
        <v>9730.049999999999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배당금수익</t>
        </is>
      </c>
      <c r="F77" s="9" t="n"/>
      <c r="G77" s="18" t="n">
        <v>76131.39</v>
      </c>
      <c r="H77" s="18" t="n">
        <v>143.99</v>
      </c>
      <c r="I77" s="18" t="n">
        <v>604.63</v>
      </c>
      <c r="J77" s="18" t="n">
        <v>7.94</v>
      </c>
      <c r="K77" s="37" t="n">
        <v>76887.95</v>
      </c>
      <c r="L77" s="18" t="n">
        <v>43826.68</v>
      </c>
      <c r="M77" s="18" t="n">
        <v>0</v>
      </c>
      <c r="N77" s="18" t="n">
        <v>458.48</v>
      </c>
      <c r="O77" s="18" t="n">
        <v>0</v>
      </c>
      <c r="P77" s="37" t="n">
        <v>44285.16</v>
      </c>
      <c r="Q77" s="18" t="n">
        <v>48061.81</v>
      </c>
      <c r="R77" s="18" t="n">
        <v>0</v>
      </c>
      <c r="S77" s="18" t="n">
        <v>458.48</v>
      </c>
      <c r="T77" s="18" t="n">
        <v>0</v>
      </c>
      <c r="U77" s="37" t="n">
        <v>48520.29</v>
      </c>
      <c r="V77" s="18" t="n">
        <v>62913.24</v>
      </c>
      <c r="W77" s="18" t="n">
        <v>0</v>
      </c>
      <c r="X77" s="18" t="n">
        <v>9216.450000000001</v>
      </c>
      <c r="Y77" s="18" t="n">
        <v>110.77</v>
      </c>
      <c r="Z77" s="37" t="n">
        <v>72240.46000000001</v>
      </c>
      <c r="AA77" s="18" t="n">
        <v>78278.22</v>
      </c>
      <c r="AB77" s="19" t="n">
        <v>475.31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이자비용</t>
        </is>
      </c>
      <c r="F78" s="9" t="n"/>
      <c r="G78" s="18" t="n">
        <v>35914.99</v>
      </c>
      <c r="H78" s="18" t="n">
        <v>45070.25</v>
      </c>
      <c r="I78" s="18" t="n">
        <v>47540.95</v>
      </c>
      <c r="J78" s="18" t="n">
        <v>49805.16</v>
      </c>
      <c r="K78" s="37" t="n">
        <v>178331.35</v>
      </c>
      <c r="L78" s="18" t="n">
        <v>51779.3</v>
      </c>
      <c r="M78" s="18" t="n">
        <v>73501.45</v>
      </c>
      <c r="N78" s="18" t="n">
        <v>62995.28</v>
      </c>
      <c r="O78" s="18" t="n">
        <v>66368.49000000001</v>
      </c>
      <c r="P78" s="37" t="n">
        <v>254644.52</v>
      </c>
      <c r="Q78" s="18" t="n">
        <v>66011.17</v>
      </c>
      <c r="R78" s="18" t="n">
        <v>92351.53999999999</v>
      </c>
      <c r="S78" s="18" t="n">
        <v>94206.83</v>
      </c>
      <c r="T78" s="18" t="n">
        <v>95237.00999999999</v>
      </c>
      <c r="U78" s="37" t="n">
        <v>347806.55</v>
      </c>
      <c r="V78" s="18" t="n">
        <v>78864.28999999999</v>
      </c>
      <c r="W78" s="18" t="n">
        <v>78934.92999999999</v>
      </c>
      <c r="X78" s="18" t="n">
        <v>90252.5</v>
      </c>
      <c r="Y78" s="18" t="n">
        <v>91793.28</v>
      </c>
      <c r="Z78" s="37" t="n">
        <v>339845</v>
      </c>
      <c r="AA78" s="18" t="n">
        <v>72288.52</v>
      </c>
      <c r="AB78" s="19" t="n">
        <v>75403.96000000001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외환차익</t>
        </is>
      </c>
      <c r="F79" s="9" t="n"/>
      <c r="G79" s="18" t="n">
        <v>18645.12</v>
      </c>
      <c r="H79" s="18" t="n">
        <v>37520.7</v>
      </c>
      <c r="I79" s="18" t="n">
        <v>44645.99</v>
      </c>
      <c r="J79" s="18" t="n">
        <v>36391.16</v>
      </c>
      <c r="K79" s="37" t="n">
        <v>137202.97</v>
      </c>
      <c r="L79" s="18" t="n">
        <v>26667.8</v>
      </c>
      <c r="M79" s="18" t="n">
        <v>26381.53</v>
      </c>
      <c r="N79" s="18" t="n">
        <v>19835.6</v>
      </c>
      <c r="O79" s="18" t="n">
        <v>25749.15</v>
      </c>
      <c r="P79" s="37" t="n">
        <v>98634.08</v>
      </c>
      <c r="Q79" s="18" t="n">
        <v>28985.2</v>
      </c>
      <c r="R79" s="18" t="n">
        <v>29021.28</v>
      </c>
      <c r="S79" s="18" t="n">
        <v>14401.43</v>
      </c>
      <c r="T79" s="18" t="n">
        <v>66663.8</v>
      </c>
      <c r="U79" s="37" t="n">
        <v>139071.71</v>
      </c>
      <c r="V79" s="18" t="n">
        <v>15900.6</v>
      </c>
      <c r="W79" s="18" t="n">
        <v>38399.63</v>
      </c>
      <c r="X79" s="18" t="n">
        <v>25574.32</v>
      </c>
      <c r="Y79" s="18" t="n">
        <v>33953.29</v>
      </c>
      <c r="Z79" s="37" t="n">
        <v>113827.84</v>
      </c>
      <c r="AA79" s="18" t="n">
        <v>21180.12</v>
      </c>
      <c r="AB79" s="19" t="n">
        <v>42412.63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외환차손</t>
        </is>
      </c>
      <c r="F80" s="9" t="n"/>
      <c r="G80" s="18" t="n">
        <v>14682.41</v>
      </c>
      <c r="H80" s="18" t="n">
        <v>23109.87</v>
      </c>
      <c r="I80" s="18" t="n">
        <v>25429</v>
      </c>
      <c r="J80" s="18" t="n">
        <v>39700.82</v>
      </c>
      <c r="K80" s="37" t="n">
        <v>102922.1</v>
      </c>
      <c r="L80" s="18" t="n">
        <v>29261.05</v>
      </c>
      <c r="M80" s="18" t="n">
        <v>20398.24</v>
      </c>
      <c r="N80" s="18" t="n">
        <v>16061.95</v>
      </c>
      <c r="O80" s="18" t="n">
        <v>17418.38</v>
      </c>
      <c r="P80" s="37" t="n">
        <v>83139.62</v>
      </c>
      <c r="Q80" s="18" t="n">
        <v>11995.86</v>
      </c>
      <c r="R80" s="18" t="n">
        <v>10360.83</v>
      </c>
      <c r="S80" s="18" t="n">
        <v>23805.76</v>
      </c>
      <c r="T80" s="18" t="n">
        <v>16623.5</v>
      </c>
      <c r="U80" s="37" t="n">
        <v>62785.95</v>
      </c>
      <c r="V80" s="18" t="n">
        <v>19009.53</v>
      </c>
      <c r="W80" s="18" t="n">
        <v>35308.93</v>
      </c>
      <c r="X80" s="18" t="n">
        <v>31992.77</v>
      </c>
      <c r="Y80" s="18" t="n">
        <v>10033.54</v>
      </c>
      <c r="Z80" s="37" t="n">
        <v>96344.77</v>
      </c>
      <c r="AA80" s="18" t="n">
        <v>11180.82</v>
      </c>
      <c r="AB80" s="19" t="n">
        <v>18254.8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외화환산이익</t>
        </is>
      </c>
      <c r="F81" s="9" t="n"/>
      <c r="G81" s="18" t="n">
        <v>51609.49</v>
      </c>
      <c r="H81" s="18" t="n">
        <v>25151.02</v>
      </c>
      <c r="I81" s="18" t="n">
        <v>10592</v>
      </c>
      <c r="J81" s="18" t="n">
        <v>-47352.59</v>
      </c>
      <c r="K81" s="37" t="n">
        <v>39999.92</v>
      </c>
      <c r="L81" s="18" t="n">
        <v>38497.85</v>
      </c>
      <c r="M81" s="18" t="n">
        <v>61106.82</v>
      </c>
      <c r="N81" s="18" t="n">
        <v>46830.42</v>
      </c>
      <c r="O81" s="18" t="n">
        <v>-106124.03</v>
      </c>
      <c r="P81" s="37" t="n">
        <v>40311.06</v>
      </c>
      <c r="Q81" s="18" t="n">
        <v>45192.81</v>
      </c>
      <c r="R81" s="18" t="n">
        <v>53139.72</v>
      </c>
      <c r="S81" s="18" t="n">
        <v>-65314.42</v>
      </c>
      <c r="T81" s="18" t="n">
        <v>82531.74000000001</v>
      </c>
      <c r="U81" s="37" t="n">
        <v>115549.85</v>
      </c>
      <c r="V81" s="18" t="n">
        <v>37598.45</v>
      </c>
      <c r="W81" s="18" t="n">
        <v>34797.71</v>
      </c>
      <c r="X81" s="18" t="n">
        <v>-4647.71</v>
      </c>
      <c r="Y81" s="18" t="n">
        <v>13358.45</v>
      </c>
      <c r="Z81" s="37" t="n">
        <v>81106.89999999999</v>
      </c>
      <c r="AA81" s="18" t="n">
        <v>68669.38</v>
      </c>
      <c r="AB81" s="19" t="n">
        <v>3281.19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외화환산손실</t>
        </is>
      </c>
      <c r="F82" s="9" t="n"/>
      <c r="G82" s="18" t="n">
        <v>53177.18</v>
      </c>
      <c r="H82" s="18" t="n">
        <v>21345.24</v>
      </c>
      <c r="I82" s="18" t="n">
        <v>17103.1</v>
      </c>
      <c r="J82" s="18" t="n">
        <v>-7234.39</v>
      </c>
      <c r="K82" s="37" t="n">
        <v>84391.13</v>
      </c>
      <c r="L82" s="18" t="n">
        <v>51826.15</v>
      </c>
      <c r="M82" s="18" t="n">
        <v>57681.44</v>
      </c>
      <c r="N82" s="18" t="n">
        <v>37136.92</v>
      </c>
      <c r="O82" s="18" t="n">
        <v>-69979.13</v>
      </c>
      <c r="P82" s="37" t="n">
        <v>76665.38</v>
      </c>
      <c r="Q82" s="18" t="n">
        <v>34257.71</v>
      </c>
      <c r="R82" s="18" t="n">
        <v>38852.34</v>
      </c>
      <c r="S82" s="18" t="n">
        <v>-11325.64</v>
      </c>
      <c r="T82" s="18" t="n">
        <v>28984.04</v>
      </c>
      <c r="U82" s="37" t="n">
        <v>90768.45</v>
      </c>
      <c r="V82" s="18" t="n">
        <v>49263.89</v>
      </c>
      <c r="W82" s="18" t="n">
        <v>79895.00999999999</v>
      </c>
      <c r="X82" s="18" t="n">
        <v>-18387.65</v>
      </c>
      <c r="Y82" s="18" t="n">
        <v>36312.17</v>
      </c>
      <c r="Z82" s="37" t="n">
        <v>147083.42</v>
      </c>
      <c r="AA82" s="18" t="n">
        <v>85101.69</v>
      </c>
      <c r="AB82" s="19" t="n">
        <v>27940.25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파생상품이익</t>
        </is>
      </c>
      <c r="F83" s="9" t="n"/>
      <c r="G83" s="18" t="n">
        <v>15339.88</v>
      </c>
      <c r="H83" s="18" t="n">
        <v>13053.82</v>
      </c>
      <c r="I83" s="18" t="n">
        <v>16582.84</v>
      </c>
      <c r="J83" s="18" t="n">
        <v>-19179.86</v>
      </c>
      <c r="K83" s="37" t="n">
        <v>25796.68</v>
      </c>
      <c r="L83" s="18" t="n">
        <v>31822.83</v>
      </c>
      <c r="M83" s="18" t="n">
        <v>19689.76</v>
      </c>
      <c r="N83" s="18" t="n">
        <v>21970.38</v>
      </c>
      <c r="O83" s="18" t="n">
        <v>-47550.93</v>
      </c>
      <c r="P83" s="37" t="n">
        <v>25932.04</v>
      </c>
      <c r="Q83" s="18" t="n">
        <v>6756.51</v>
      </c>
      <c r="R83" s="18" t="n">
        <v>9901.809999999999</v>
      </c>
      <c r="S83" s="18" t="n">
        <v>-65.06</v>
      </c>
      <c r="T83" s="18" t="n">
        <v>6212.8</v>
      </c>
      <c r="U83" s="37" t="n">
        <v>22806.06</v>
      </c>
      <c r="V83" s="18" t="n">
        <v>5394.59</v>
      </c>
      <c r="W83" s="18" t="n">
        <v>1069.6</v>
      </c>
      <c r="X83" s="18" t="n">
        <v>5330.21</v>
      </c>
      <c r="Y83" s="18" t="n">
        <v>5064.25</v>
      </c>
      <c r="Z83" s="37" t="n">
        <v>16858.65</v>
      </c>
      <c r="AA83" s="18" t="n">
        <v>122157.76</v>
      </c>
      <c r="AB83" s="19" t="n">
        <v>51127.49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파생상품손실</t>
        </is>
      </c>
      <c r="F84" s="9" t="n"/>
      <c r="G84" s="18" t="n">
        <v>2415.93</v>
      </c>
      <c r="H84" s="18" t="n">
        <v>1204.86</v>
      </c>
      <c r="I84" s="18" t="n">
        <v>1148.32</v>
      </c>
      <c r="J84" s="18" t="n">
        <v>38446.14</v>
      </c>
      <c r="K84" s="37" t="n">
        <v>43215.25</v>
      </c>
      <c r="L84" s="18" t="n">
        <v>3456.95</v>
      </c>
      <c r="M84" s="18" t="n">
        <v>470.21</v>
      </c>
      <c r="N84" s="18" t="n">
        <v>764.04</v>
      </c>
      <c r="O84" s="18" t="n">
        <v>112308.6</v>
      </c>
      <c r="P84" s="37" t="n">
        <v>116999.8</v>
      </c>
      <c r="Q84" s="18" t="n">
        <v>5403.71</v>
      </c>
      <c r="R84" s="18" t="n">
        <v>5059.23</v>
      </c>
      <c r="S84" s="18" t="n">
        <v>2882</v>
      </c>
      <c r="T84" s="18" t="n">
        <v>905.11</v>
      </c>
      <c r="U84" s="37" t="n">
        <v>14250.05</v>
      </c>
      <c r="V84" s="18" t="n">
        <v>1492.13</v>
      </c>
      <c r="W84" s="18" t="n">
        <v>163.96</v>
      </c>
      <c r="X84" s="18" t="n">
        <v>73656.39999999999</v>
      </c>
      <c r="Y84" s="18" t="n">
        <v>-19085.1</v>
      </c>
      <c r="Z84" s="37" t="n">
        <v>56227.39</v>
      </c>
      <c r="AA84" s="18" t="n">
        <v>13246.43</v>
      </c>
      <c r="AB84" s="19" t="n">
        <v>5429.36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이자손익</t>
        </is>
      </c>
      <c r="F85" s="9" t="n"/>
      <c r="G85" s="18" t="n">
        <v>-34671.41</v>
      </c>
      <c r="H85" s="18" t="n">
        <v>-43783.19</v>
      </c>
      <c r="I85" s="18" t="n">
        <v>-45225.06</v>
      </c>
      <c r="J85" s="18" t="n">
        <v>-44051.65</v>
      </c>
      <c r="K85" s="37" t="n">
        <v>-167731.31</v>
      </c>
      <c r="L85" s="18" t="n">
        <v>-44954.91</v>
      </c>
      <c r="M85" s="18" t="n">
        <v>-65503.04</v>
      </c>
      <c r="N85" s="18" t="n">
        <v>-53941.69</v>
      </c>
      <c r="O85" s="18" t="n">
        <v>-56619.44</v>
      </c>
      <c r="P85" s="37" t="n">
        <v>-221019.08</v>
      </c>
      <c r="Q85" s="18" t="n">
        <v>-56352.52</v>
      </c>
      <c r="R85" s="18" t="n">
        <v>-83105.5</v>
      </c>
      <c r="S85" s="18" t="n">
        <v>-86222.24000000001</v>
      </c>
      <c r="T85" s="18" t="n">
        <v>-86096.45</v>
      </c>
      <c r="U85" s="37" t="n">
        <v>-311776.71</v>
      </c>
      <c r="V85" s="18" t="n">
        <v>-74167.60000000001</v>
      </c>
      <c r="W85" s="18" t="n">
        <v>-73750.92999999999</v>
      </c>
      <c r="X85" s="18" t="n">
        <v>-83412.42</v>
      </c>
      <c r="Y85" s="18" t="n">
        <v>-85393.87</v>
      </c>
      <c r="Z85" s="37" t="n">
        <v>-316724.82</v>
      </c>
      <c r="AA85" s="18" t="n">
        <v>-62853.26</v>
      </c>
      <c r="AB85" s="19" t="n">
        <v>-65673.91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중단사업이익</t>
        </is>
      </c>
      <c r="F86" s="9" t="n"/>
      <c r="K86" s="9" t="n"/>
      <c r="P86" s="9" t="n"/>
      <c r="U86" s="9" t="n"/>
      <c r="Z86" s="9" t="n"/>
      <c r="AB86" s="19" t="n">
        <v>-3631.75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영업활동으로인한현금흐름</t>
        </is>
      </c>
      <c r="E87" s="18" t="n">
        <v>189767.52</v>
      </c>
      <c r="F87" s="9" t="n"/>
      <c r="G87" s="18" t="n">
        <v>-76357.97</v>
      </c>
      <c r="H87" s="18" t="n">
        <v>36313.96</v>
      </c>
      <c r="I87" s="18" t="n">
        <v>206935.87</v>
      </c>
      <c r="J87" s="18" t="n">
        <v>217674.51</v>
      </c>
      <c r="K87" s="37" t="n">
        <v>384566.37</v>
      </c>
      <c r="L87" s="18" t="n">
        <v>19425.33</v>
      </c>
      <c r="M87" s="18" t="n">
        <v>265160.35</v>
      </c>
      <c r="N87" s="18" t="n">
        <v>176899.91</v>
      </c>
      <c r="O87" s="18" t="n">
        <v>326780.74</v>
      </c>
      <c r="P87" s="37" t="n">
        <v>788266.33</v>
      </c>
      <c r="Q87" s="18" t="n">
        <v>113737.76</v>
      </c>
      <c r="R87" s="18" t="n">
        <v>209889</v>
      </c>
      <c r="S87" s="18" t="n">
        <v>134088.68</v>
      </c>
      <c r="T87" s="18" t="n">
        <v>139085.85</v>
      </c>
      <c r="U87" s="37" t="n">
        <v>596801.29</v>
      </c>
      <c r="V87" s="18" t="n">
        <v>109138.48</v>
      </c>
      <c r="W87" s="18" t="n">
        <v>167174.14</v>
      </c>
      <c r="X87" s="18" t="n">
        <v>135288.72</v>
      </c>
      <c r="Y87" s="18" t="n">
        <v>377876.14</v>
      </c>
      <c r="Z87" s="37" t="n">
        <v>789477.48</v>
      </c>
      <c r="AA87" s="18" t="n">
        <v>85181.96000000001</v>
      </c>
      <c r="AB87" s="19" t="n">
        <v>30910.52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감가상각비</t>
        </is>
      </c>
      <c r="E88" s="18" t="n">
        <v>7231.1</v>
      </c>
      <c r="F88" s="9" t="n"/>
      <c r="G88" s="18" t="n">
        <v>6904.18</v>
      </c>
      <c r="H88" s="18" t="n">
        <v>6495.89</v>
      </c>
      <c r="I88" s="18" t="n">
        <v>6792.9</v>
      </c>
      <c r="J88" s="18" t="n">
        <v>7437.76</v>
      </c>
      <c r="K88" s="37" t="n">
        <v>27630.73</v>
      </c>
      <c r="L88" s="18" t="n">
        <v>7069.9</v>
      </c>
      <c r="M88" s="18" t="n">
        <v>7034.24</v>
      </c>
      <c r="N88" s="18" t="n">
        <v>7209.64</v>
      </c>
      <c r="O88" s="18" t="n">
        <v>10742.84</v>
      </c>
      <c r="P88" s="37" t="n">
        <v>32056.62</v>
      </c>
      <c r="Q88" s="18" t="n">
        <v>7059.71</v>
      </c>
      <c r="R88" s="18" t="n">
        <v>7315.32</v>
      </c>
      <c r="S88" s="18" t="n">
        <v>7351.83</v>
      </c>
      <c r="T88" s="18" t="n">
        <v>6808.32</v>
      </c>
      <c r="U88" s="37" t="n">
        <v>28535.18</v>
      </c>
      <c r="V88" s="18" t="n">
        <v>103182.77</v>
      </c>
      <c r="W88" s="18" t="n">
        <v>97615.25</v>
      </c>
      <c r="X88" s="18" t="n">
        <v>-177546.86</v>
      </c>
      <c r="Y88" s="18" t="n">
        <v>386321.79</v>
      </c>
      <c r="Z88" s="37" t="n">
        <v>409572.95</v>
      </c>
      <c r="AA88" s="18" t="n">
        <v>93709.35000000001</v>
      </c>
      <c r="AB88" s="19" t="n">
        <v>91886.07000000001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무형자산상각비</t>
        </is>
      </c>
      <c r="E89" s="18" t="n">
        <v>10316.76</v>
      </c>
      <c r="F89" s="9" t="n"/>
      <c r="G89" s="18" t="n">
        <v>9633.33</v>
      </c>
      <c r="H89" s="18" t="n">
        <v>10783.43</v>
      </c>
      <c r="I89" s="18" t="n">
        <v>11943.51</v>
      </c>
      <c r="J89" s="18" t="n">
        <v>11017.5</v>
      </c>
      <c r="K89" s="37" t="n">
        <v>43377.77</v>
      </c>
      <c r="L89" s="18" t="n">
        <v>15455.79</v>
      </c>
      <c r="M89" s="18" t="n">
        <v>11241.46</v>
      </c>
      <c r="N89" s="18" t="n">
        <v>11390.85</v>
      </c>
      <c r="O89" s="18" t="n">
        <v>8506.49</v>
      </c>
      <c r="P89" s="37" t="n">
        <v>46594.59</v>
      </c>
      <c r="Q89" s="18" t="n">
        <v>12560.41</v>
      </c>
      <c r="R89" s="18" t="n">
        <v>11918.19</v>
      </c>
      <c r="S89" s="18" t="n">
        <v>11597.57</v>
      </c>
      <c r="T89" s="18" t="n">
        <v>12238.65</v>
      </c>
      <c r="U89" s="37" t="n">
        <v>48314.82</v>
      </c>
      <c r="V89" s="18" t="n">
        <v>12507.98</v>
      </c>
      <c r="W89" s="18" t="n">
        <v>12137.41</v>
      </c>
      <c r="X89" s="18" t="n">
        <v>11921.41</v>
      </c>
      <c r="Y89" s="18" t="n">
        <v>12821.84</v>
      </c>
      <c r="Z89" s="37" t="n">
        <v>49388.64</v>
      </c>
      <c r="AA89" s="18" t="n">
        <v>11707.12</v>
      </c>
      <c r="AB89" s="19" t="n">
        <v>12427.34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법인세납부(CF)</t>
        </is>
      </c>
      <c r="E90" s="18" t="n">
        <v>59809.67</v>
      </c>
      <c r="F90" s="9" t="n"/>
      <c r="G90" s="18" t="n">
        <v>-51434.55</v>
      </c>
      <c r="H90" s="18" t="n">
        <v>-51879.03</v>
      </c>
      <c r="I90" s="18" t="n">
        <v>-54912.15</v>
      </c>
      <c r="J90" s="18" t="n">
        <v>-15171.01</v>
      </c>
      <c r="K90" s="37" t="n">
        <v>-173396.74</v>
      </c>
      <c r="L90" s="18" t="n">
        <v>-52806.03</v>
      </c>
      <c r="M90" s="18" t="n">
        <v>-34801.84</v>
      </c>
      <c r="N90" s="18" t="n">
        <v>-29351.47</v>
      </c>
      <c r="O90" s="18" t="n">
        <v>-33724.33</v>
      </c>
      <c r="P90" s="37" t="n">
        <v>-150683.67</v>
      </c>
      <c r="Q90" s="18" t="n">
        <v>-25539.05</v>
      </c>
      <c r="R90" s="18" t="n">
        <v>-41834.59</v>
      </c>
      <c r="S90" s="18" t="n">
        <v>-37308.76</v>
      </c>
      <c r="T90" s="18" t="n">
        <v>-28225.56</v>
      </c>
      <c r="U90" s="37" t="n">
        <v>-132907.96</v>
      </c>
      <c r="V90" s="18" t="n">
        <v>-96171.84</v>
      </c>
      <c r="W90" s="18" t="n">
        <v>-83723.16</v>
      </c>
      <c r="X90" s="18" t="n">
        <v>-53013.38</v>
      </c>
      <c r="Y90" s="18" t="n">
        <v>-44772.23</v>
      </c>
      <c r="Z90" s="37" t="n">
        <v>-277680.61</v>
      </c>
      <c r="AA90" s="18" t="n">
        <v>-61617.87</v>
      </c>
      <c r="AB90" s="19" t="n">
        <v>-9135.620000000001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투자활동으로인한현금흐름</t>
        </is>
      </c>
      <c r="E91" s="18" t="n">
        <v>390031.95</v>
      </c>
      <c r="F91" s="9" t="n"/>
      <c r="G91" s="18" t="n">
        <v>-447113.88</v>
      </c>
      <c r="H91" s="18" t="n">
        <v>-95715.22</v>
      </c>
      <c r="I91" s="18" t="n">
        <v>401282.92</v>
      </c>
      <c r="J91" s="18" t="n">
        <v>177631.35</v>
      </c>
      <c r="K91" s="37" t="n">
        <v>36085.17</v>
      </c>
      <c r="L91" s="18" t="n">
        <v>-128460.36</v>
      </c>
      <c r="M91" s="18" t="n">
        <v>-83739.69</v>
      </c>
      <c r="N91" s="18" t="n">
        <v>-89760.59</v>
      </c>
      <c r="O91" s="18" t="n">
        <v>-53380.52</v>
      </c>
      <c r="P91" s="37" t="n">
        <v>-355341.16</v>
      </c>
      <c r="Q91" s="18" t="n">
        <v>-72833.17999999999</v>
      </c>
      <c r="R91" s="18" t="n">
        <v>507010.91</v>
      </c>
      <c r="S91" s="18" t="n">
        <v>-105491.96</v>
      </c>
      <c r="T91" s="18" t="n">
        <v>-47148.44</v>
      </c>
      <c r="U91" s="37" t="n">
        <v>281537.33</v>
      </c>
      <c r="V91" s="18" t="n">
        <v>-89288.97</v>
      </c>
      <c r="W91" s="18" t="n">
        <v>146540.07</v>
      </c>
      <c r="X91" s="18" t="n">
        <v>105710.03</v>
      </c>
      <c r="Y91" s="18" t="n">
        <v>106421.83</v>
      </c>
      <c r="Z91" s="37" t="n">
        <v>269382.96</v>
      </c>
      <c r="AA91" s="18" t="n">
        <v>-109480.52</v>
      </c>
      <c r="AB91" s="19" t="n">
        <v>67983.59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유형자산의증가</t>
        </is>
      </c>
      <c r="E92" s="18" t="n">
        <v>102819.66</v>
      </c>
      <c r="F92" s="9" t="n"/>
      <c r="G92" s="18" t="n">
        <v>72229.7</v>
      </c>
      <c r="H92" s="18" t="n">
        <v>87111.85000000001</v>
      </c>
      <c r="I92" s="18" t="n">
        <v>101693.09</v>
      </c>
      <c r="J92" s="18" t="n">
        <v>123706.92</v>
      </c>
      <c r="K92" s="37" t="n">
        <v>384741.56</v>
      </c>
      <c r="L92" s="18" t="n">
        <v>114720.08</v>
      </c>
      <c r="M92" s="18" t="n">
        <v>70988.73</v>
      </c>
      <c r="N92" s="18" t="n">
        <v>125619.7</v>
      </c>
      <c r="O92" s="18" t="n">
        <v>67680.85000000001</v>
      </c>
      <c r="P92" s="37" t="n">
        <v>379009.36</v>
      </c>
      <c r="Q92" s="18" t="n">
        <v>55864.07</v>
      </c>
      <c r="R92" s="18" t="n">
        <v>72825.24000000001</v>
      </c>
      <c r="S92" s="18" t="n">
        <v>64949.2</v>
      </c>
      <c r="T92" s="18" t="n">
        <v>64081.33</v>
      </c>
      <c r="U92" s="37" t="n">
        <v>257719.84</v>
      </c>
      <c r="V92" s="18" t="n">
        <v>91179.11</v>
      </c>
      <c r="W92" s="18" t="n">
        <v>46925.54</v>
      </c>
      <c r="X92" s="18" t="n">
        <v>73752.25999999999</v>
      </c>
      <c r="Y92" s="18" t="n">
        <v>108048.61</v>
      </c>
      <c r="Z92" s="37" t="n">
        <v>319905.52</v>
      </c>
      <c r="AA92" s="18" t="n">
        <v>94238.32000000001</v>
      </c>
      <c r="AB92" s="19" t="n">
        <v>83596.02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CAPEX</t>
        </is>
      </c>
      <c r="E93" s="18" t="n">
        <v>104133.59</v>
      </c>
      <c r="F93" s="9" t="n"/>
      <c r="G93" s="18" t="n">
        <v>72627.46000000001</v>
      </c>
      <c r="H93" s="18" t="n">
        <v>89907.98</v>
      </c>
      <c r="I93" s="18" t="n">
        <v>105056.71</v>
      </c>
      <c r="J93" s="18" t="n">
        <v>125439.45</v>
      </c>
      <c r="K93" s="37" t="n">
        <v>393031.6</v>
      </c>
      <c r="L93" s="18" t="n">
        <v>120787.53</v>
      </c>
      <c r="M93" s="18" t="n">
        <v>73053.42999999999</v>
      </c>
      <c r="N93" s="18" t="n">
        <v>126554.27</v>
      </c>
      <c r="O93" s="18" t="n">
        <v>69451.98</v>
      </c>
      <c r="P93" s="37" t="n">
        <v>389847.21</v>
      </c>
      <c r="Q93" s="18" t="n">
        <v>57157.04</v>
      </c>
      <c r="R93" s="18" t="n">
        <v>74065.75</v>
      </c>
      <c r="S93" s="18" t="n">
        <v>65508.53</v>
      </c>
      <c r="T93" s="18" t="n">
        <v>68269.3</v>
      </c>
      <c r="U93" s="37" t="n">
        <v>265000.62</v>
      </c>
      <c r="V93" s="18" t="n">
        <v>92403.92</v>
      </c>
      <c r="W93" s="18" t="n">
        <v>48155.14</v>
      </c>
      <c r="X93" s="18" t="n">
        <v>75674.07000000001</v>
      </c>
      <c r="Y93" s="18" t="n">
        <v>114486.52</v>
      </c>
      <c r="Z93" s="37" t="n">
        <v>330719.65</v>
      </c>
      <c r="AA93" s="18" t="n">
        <v>95027.00999999999</v>
      </c>
      <c r="AB93" s="19" t="n">
        <v>84402.91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무형자산의증가</t>
        </is>
      </c>
      <c r="E94" s="18" t="n">
        <v>1313.93</v>
      </c>
      <c r="F94" s="9" t="n"/>
      <c r="G94" s="18" t="n">
        <v>397.76</v>
      </c>
      <c r="H94" s="18" t="n">
        <v>2796.13</v>
      </c>
      <c r="I94" s="18" t="n">
        <v>3363.62</v>
      </c>
      <c r="J94" s="18" t="n">
        <v>1732.53</v>
      </c>
      <c r="K94" s="37" t="n">
        <v>8290.040000000001</v>
      </c>
      <c r="L94" s="18" t="n">
        <v>6067.45</v>
      </c>
      <c r="M94" s="18" t="n">
        <v>2064.7</v>
      </c>
      <c r="N94" s="18" t="n">
        <v>934.5700000000001</v>
      </c>
      <c r="O94" s="18" t="n">
        <v>1771.13</v>
      </c>
      <c r="P94" s="37" t="n">
        <v>10837.85</v>
      </c>
      <c r="Q94" s="18" t="n">
        <v>1292.97</v>
      </c>
      <c r="R94" s="18" t="n">
        <v>1240.51</v>
      </c>
      <c r="S94" s="18" t="n">
        <v>559.33</v>
      </c>
      <c r="T94" s="18" t="n">
        <v>4187.97</v>
      </c>
      <c r="U94" s="37" t="n">
        <v>7280.78</v>
      </c>
      <c r="V94" s="18" t="n">
        <v>1224.81</v>
      </c>
      <c r="W94" s="18" t="n">
        <v>1229.6</v>
      </c>
      <c r="X94" s="18" t="n">
        <v>1921.81</v>
      </c>
      <c r="Y94" s="18" t="n">
        <v>6437.91</v>
      </c>
      <c r="Z94" s="37" t="n">
        <v>10814.13</v>
      </c>
      <c r="AA94" s="18" t="n">
        <v>788.6900000000001</v>
      </c>
      <c r="AB94" s="19" t="n">
        <v>806.89</v>
      </c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유형자산의감소</t>
        </is>
      </c>
      <c r="E95" s="18" t="n">
        <v>806.04</v>
      </c>
      <c r="F95" s="9" t="n"/>
      <c r="G95" s="18" t="n">
        <v>705.9299999999999</v>
      </c>
      <c r="H95" s="18" t="n">
        <v>2943.72</v>
      </c>
      <c r="I95" s="18" t="n">
        <v>508.07</v>
      </c>
      <c r="J95" s="18" t="n">
        <v>2019.59</v>
      </c>
      <c r="K95" s="37" t="n">
        <v>6177.31</v>
      </c>
      <c r="L95" s="18" t="n">
        <v>45146.72</v>
      </c>
      <c r="N95" s="18" t="n">
        <v>8482.85</v>
      </c>
      <c r="P95" s="9" t="n"/>
      <c r="Q95" s="18" t="n">
        <v>788.05</v>
      </c>
      <c r="R95" s="18" t="n">
        <v>820.5700000000001</v>
      </c>
      <c r="S95" s="18" t="n">
        <v>1244.14</v>
      </c>
      <c r="T95" s="18" t="n">
        <v>4274.97</v>
      </c>
      <c r="U95" s="37" t="n">
        <v>7127.73</v>
      </c>
      <c r="V95" s="18" t="n">
        <v>336.63</v>
      </c>
      <c r="W95" s="18" t="n">
        <v>1113.85</v>
      </c>
      <c r="X95" s="18" t="n">
        <v>5295.68</v>
      </c>
      <c r="Y95" s="18" t="n">
        <v>25821.38</v>
      </c>
      <c r="Z95" s="37" t="n">
        <v>32567.54</v>
      </c>
      <c r="AA95" s="18" t="n">
        <v>1031.43</v>
      </c>
      <c r="AB95" s="19" t="n">
        <v>451.46</v>
      </c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무형자산의감소</t>
        </is>
      </c>
      <c r="E96" s="18" t="n">
        <v>0</v>
      </c>
      <c r="F96" s="9" t="n"/>
      <c r="G96" s="18" t="n">
        <v>0.22</v>
      </c>
      <c r="H96" s="18" t="n">
        <v>2150</v>
      </c>
      <c r="I96" s="18" t="n">
        <v>0</v>
      </c>
      <c r="J96" s="18" t="n">
        <v>0</v>
      </c>
      <c r="K96" s="37" t="n">
        <v>2150.22</v>
      </c>
      <c r="N96" s="18" t="n">
        <v>0.73</v>
      </c>
      <c r="O96" s="18" t="n">
        <v>8.32</v>
      </c>
      <c r="P96" s="9" t="n"/>
      <c r="S96" s="18" t="n">
        <v>3</v>
      </c>
      <c r="T96" s="18" t="n">
        <v>5.84</v>
      </c>
      <c r="U96" s="9" t="n"/>
      <c r="V96" s="18" t="n">
        <v>92.25</v>
      </c>
      <c r="X96" s="18" t="n">
        <v>208.14</v>
      </c>
      <c r="Y96" s="18" t="n">
        <v>75937.03999999999</v>
      </c>
      <c r="Z96" s="9" t="n"/>
      <c r="AA96" s="18" t="n">
        <v>0.01</v>
      </c>
      <c r="AB96" s="19" t="n">
        <v>0.49</v>
      </c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  <row r="97">
      <c r="A97" t="n">
        <v>1</v>
      </c>
      <c r="C97" t="inlineStr">
        <is>
          <t>이자수취(CF)</t>
        </is>
      </c>
      <c r="E97" s="18" t="n">
        <v>-732.52</v>
      </c>
      <c r="F97" s="9" t="n"/>
      <c r="G97" s="18" t="n">
        <v>530.49</v>
      </c>
      <c r="H97" s="18" t="n">
        <v>729.63</v>
      </c>
      <c r="I97" s="18" t="n">
        <v>1381.32</v>
      </c>
      <c r="J97" s="18" t="n">
        <v>3996.46</v>
      </c>
      <c r="K97" s="37" t="n">
        <v>6637.9</v>
      </c>
      <c r="L97" s="18" t="n">
        <v>9399.700000000001</v>
      </c>
      <c r="M97" s="18" t="n">
        <v>7308.47</v>
      </c>
      <c r="N97" s="18" t="n">
        <v>8080.09</v>
      </c>
      <c r="O97" s="18" t="n">
        <v>10292.59</v>
      </c>
      <c r="P97" s="37" t="n">
        <v>35080.85</v>
      </c>
      <c r="Q97" s="18" t="n">
        <v>8656.629999999999</v>
      </c>
      <c r="R97" s="18" t="n">
        <v>7100</v>
      </c>
      <c r="S97" s="18" t="n">
        <v>6164.48</v>
      </c>
      <c r="T97" s="18" t="n">
        <v>7190.6</v>
      </c>
      <c r="U97" s="37" t="n">
        <v>29111.71</v>
      </c>
      <c r="V97" s="18" t="n">
        <v>1182.95</v>
      </c>
      <c r="W97" s="18" t="n">
        <v>2246.77</v>
      </c>
      <c r="X97" s="18" t="n">
        <v>17202.97</v>
      </c>
      <c r="Y97" s="18" t="n">
        <v>3940.35</v>
      </c>
      <c r="Z97" s="37" t="n">
        <v>24573.04</v>
      </c>
      <c r="AA97" s="18" t="n">
        <v>5327.72</v>
      </c>
      <c r="AB97" s="19" t="n">
        <v>14843.15</v>
      </c>
      <c r="AC97" s="10" t="n"/>
      <c r="AD97" s="10" t="n"/>
      <c r="AE97" s="11" t="n"/>
      <c r="AF97" s="10" t="n"/>
      <c r="AG97" s="10" t="n"/>
      <c r="AH97" s="10" t="n"/>
      <c r="AI97" s="10" t="n"/>
      <c r="AJ97" s="11" t="n"/>
      <c r="AK97" s="10" t="n"/>
      <c r="AL97" s="10" t="n"/>
      <c r="AM97" s="10" t="n"/>
      <c r="AN97" s="10" t="n"/>
      <c r="AO97" s="11" t="n"/>
    </row>
    <row r="98">
      <c r="A98" t="n">
        <v>1</v>
      </c>
      <c r="C98" t="inlineStr">
        <is>
          <t>배당금수취(CF)</t>
        </is>
      </c>
      <c r="E98" s="18" t="n">
        <v>90.22</v>
      </c>
      <c r="F98" s="9" t="n"/>
      <c r="G98" s="18" t="n">
        <v>9.24</v>
      </c>
      <c r="H98" s="18" t="n">
        <v>77797.63</v>
      </c>
      <c r="I98" s="18" t="n">
        <v>612.5599999999999</v>
      </c>
      <c r="J98" s="18" t="n">
        <v>0</v>
      </c>
      <c r="K98" s="37" t="n">
        <v>78419.42999999999</v>
      </c>
      <c r="L98" s="18" t="n">
        <v>143.5</v>
      </c>
      <c r="M98" s="18" t="n">
        <v>44983.33</v>
      </c>
      <c r="N98" s="18" t="n">
        <v>458.48</v>
      </c>
      <c r="O98" s="18" t="n">
        <v>0</v>
      </c>
      <c r="P98" s="37" t="n">
        <v>45585.31</v>
      </c>
      <c r="Q98" s="18" t="n">
        <v>143.5</v>
      </c>
      <c r="R98" s="18" t="n">
        <v>126861.47</v>
      </c>
      <c r="S98" s="18" t="n">
        <v>458.48</v>
      </c>
      <c r="T98" s="18" t="n">
        <v>7751.17</v>
      </c>
      <c r="U98" s="37" t="n">
        <v>135214.62</v>
      </c>
      <c r="V98" s="18" t="n">
        <v>205</v>
      </c>
      <c r="W98" s="18" t="n">
        <v>64147</v>
      </c>
      <c r="X98" s="18" t="n">
        <v>9216.450000000001</v>
      </c>
      <c r="Y98" s="18" t="n">
        <v>110.77</v>
      </c>
      <c r="Z98" s="37" t="n">
        <v>73679.22</v>
      </c>
      <c r="AA98" s="18" t="n">
        <v>205</v>
      </c>
      <c r="AB98" s="19" t="n">
        <v>91422.64999999999</v>
      </c>
      <c r="AC98" s="10" t="n"/>
      <c r="AD98" s="10" t="n"/>
      <c r="AE98" s="11" t="n"/>
      <c r="AF98" s="10" t="n"/>
      <c r="AG98" s="10" t="n"/>
      <c r="AH98" s="10" t="n"/>
      <c r="AI98" s="10" t="n"/>
      <c r="AJ98" s="11" t="n"/>
      <c r="AK98" s="10" t="n"/>
      <c r="AL98" s="10" t="n"/>
      <c r="AM98" s="10" t="n"/>
      <c r="AN98" s="10" t="n"/>
      <c r="AO98" s="11" t="n"/>
    </row>
    <row r="99">
      <c r="A99" t="n">
        <v>1</v>
      </c>
      <c r="C99" t="inlineStr">
        <is>
          <t>재무활동으로인한현금흐름</t>
        </is>
      </c>
      <c r="E99" s="18" t="n">
        <v>-540076.34</v>
      </c>
      <c r="F99" s="9" t="n"/>
      <c r="G99" s="18" t="n">
        <v>300042.19</v>
      </c>
      <c r="H99" s="18" t="n">
        <v>51526.02</v>
      </c>
      <c r="I99" s="18" t="n">
        <v>-495251.75</v>
      </c>
      <c r="J99" s="18" t="n">
        <v>-40442.19</v>
      </c>
      <c r="K99" s="37" t="n">
        <v>-184125.73</v>
      </c>
      <c r="L99" s="18" t="n">
        <v>147518.35</v>
      </c>
      <c r="M99" s="18" t="n">
        <v>-26619.29</v>
      </c>
      <c r="N99" s="18" t="n">
        <v>-44782.37</v>
      </c>
      <c r="O99" s="18" t="n">
        <v>-237858.81</v>
      </c>
      <c r="P99" s="37" t="n">
        <v>-161742.12</v>
      </c>
      <c r="Q99" s="18" t="n">
        <v>-19793.14</v>
      </c>
      <c r="R99" s="18" t="n">
        <v>-731808.1899999999</v>
      </c>
      <c r="S99" s="18" t="n">
        <v>-44825.63</v>
      </c>
      <c r="T99" s="18" t="n">
        <v>-657630.63</v>
      </c>
      <c r="U99" s="37" t="n">
        <v>-1454057.59</v>
      </c>
      <c r="V99" s="18" t="n">
        <v>383428.87</v>
      </c>
      <c r="W99" s="18" t="n">
        <v>-417154.8</v>
      </c>
      <c r="X99" s="18" t="n">
        <v>-128890.42</v>
      </c>
      <c r="Y99" s="18" t="n">
        <v>-199765.2</v>
      </c>
      <c r="Z99" s="37" t="n">
        <v>-362381.55</v>
      </c>
      <c r="AA99" s="18" t="n">
        <v>256723.4</v>
      </c>
      <c r="AB99" s="19" t="n">
        <v>-388537.8</v>
      </c>
      <c r="AC99" s="10" t="n"/>
      <c r="AD99" s="10" t="n"/>
      <c r="AE99" s="11" t="n"/>
      <c r="AF99" s="10" t="n"/>
      <c r="AG99" s="10" t="n"/>
      <c r="AH99" s="10" t="n"/>
      <c r="AI99" s="10" t="n"/>
      <c r="AJ99" s="11" t="n"/>
      <c r="AK99" s="10" t="n"/>
      <c r="AL99" s="10" t="n"/>
      <c r="AM99" s="10" t="n"/>
      <c r="AN99" s="10" t="n"/>
      <c r="AO99" s="11" t="n"/>
    </row>
    <row r="100">
      <c r="A100" t="n">
        <v>1</v>
      </c>
      <c r="C100" t="inlineStr">
        <is>
          <t>장기차입금의증가</t>
        </is>
      </c>
      <c r="E100" s="18" t="n">
        <v>0</v>
      </c>
      <c r="F100" s="9" t="n"/>
      <c r="G100" s="18" t="n">
        <v>371564.16</v>
      </c>
      <c r="H100" s="18" t="n">
        <v>0</v>
      </c>
      <c r="I100" s="18" t="n">
        <v>0</v>
      </c>
      <c r="J100" s="18" t="n">
        <v>0</v>
      </c>
      <c r="K100" s="37" t="n">
        <v>371564.16</v>
      </c>
      <c r="L100" s="18" t="n">
        <v>2154454.62</v>
      </c>
      <c r="M100" s="18" t="n">
        <v>32749.71</v>
      </c>
      <c r="N100" s="18" t="n">
        <v>9036.15</v>
      </c>
      <c r="P100" s="9" t="n"/>
      <c r="S100" s="18" t="n">
        <v>4304.06</v>
      </c>
      <c r="U100" s="9" t="n"/>
      <c r="V100" s="18" t="n">
        <v>100000</v>
      </c>
      <c r="W100" s="18" t="n">
        <v>100168</v>
      </c>
      <c r="X100" s="18" t="n">
        <v>0</v>
      </c>
      <c r="Y100" s="18" t="n">
        <v>0</v>
      </c>
      <c r="Z100" s="37" t="n">
        <v>200168</v>
      </c>
      <c r="AB100" s="5" t="n"/>
      <c r="AC100" s="10" t="n"/>
      <c r="AD100" s="10" t="n"/>
      <c r="AE100" s="11" t="n"/>
      <c r="AF100" s="10" t="n"/>
      <c r="AG100" s="10" t="n"/>
      <c r="AH100" s="10" t="n"/>
      <c r="AI100" s="10" t="n"/>
      <c r="AJ100" s="11" t="n"/>
      <c r="AK100" s="10" t="n"/>
      <c r="AL100" s="10" t="n"/>
      <c r="AM100" s="10" t="n"/>
      <c r="AN100" s="10" t="n"/>
      <c r="AO100" s="11" t="n"/>
    </row>
    <row r="101">
      <c r="A101" t="n">
        <v>1</v>
      </c>
      <c r="C101" t="inlineStr">
        <is>
          <t>사채의증가</t>
        </is>
      </c>
      <c r="E101" s="18" t="n">
        <v>249261.26</v>
      </c>
      <c r="F101" s="9" t="n"/>
      <c r="I101" s="18" t="n">
        <v>0</v>
      </c>
      <c r="J101" s="18" t="n">
        <v>0</v>
      </c>
      <c r="K101" s="9" t="n"/>
      <c r="N101" s="18" t="n">
        <v>0</v>
      </c>
      <c r="O101" s="18" t="n">
        <v>0</v>
      </c>
      <c r="P101" s="9" t="n"/>
      <c r="Q101" s="18" t="n">
        <v>578380.4399999999</v>
      </c>
      <c r="R101" s="18" t="n">
        <v>0</v>
      </c>
      <c r="S101" s="18" t="n">
        <v>0</v>
      </c>
      <c r="T101" s="18" t="n">
        <v>299133.46</v>
      </c>
      <c r="U101" s="37" t="n">
        <v>877513.9</v>
      </c>
      <c r="V101" s="18" t="n">
        <v>398851.08</v>
      </c>
      <c r="W101" s="18" t="n">
        <v>0</v>
      </c>
      <c r="X101" s="18" t="n">
        <v>885072.27</v>
      </c>
      <c r="Y101" s="18" t="n">
        <v>945728.41</v>
      </c>
      <c r="Z101" s="37" t="n">
        <v>2229651.76</v>
      </c>
      <c r="AA101" s="18" t="n">
        <v>398861.36</v>
      </c>
      <c r="AB101" s="19" t="n">
        <v>0</v>
      </c>
      <c r="AC101" s="10" t="n"/>
      <c r="AD101" s="10" t="n"/>
      <c r="AE101" s="11" t="n"/>
      <c r="AF101" s="10" t="n"/>
      <c r="AG101" s="10" t="n"/>
      <c r="AH101" s="10" t="n"/>
      <c r="AI101" s="10" t="n"/>
      <c r="AJ101" s="11" t="n"/>
      <c r="AK101" s="10" t="n"/>
      <c r="AL101" s="10" t="n"/>
      <c r="AM101" s="10" t="n"/>
      <c r="AN101" s="10" t="n"/>
      <c r="AO101" s="11" t="n"/>
    </row>
    <row r="102">
      <c r="A102" t="n">
        <v>1</v>
      </c>
      <c r="C102" t="inlineStr">
        <is>
          <t>유동성장기부채의감소</t>
        </is>
      </c>
      <c r="E102" s="18" t="n">
        <v>2482.56</v>
      </c>
      <c r="F102" s="9" t="n"/>
      <c r="G102" s="18" t="n">
        <v>2522.89</v>
      </c>
      <c r="H102" s="18" t="n">
        <v>82628.41</v>
      </c>
      <c r="I102" s="18" t="n">
        <v>102778.2</v>
      </c>
      <c r="J102" s="18" t="n">
        <v>6160.89</v>
      </c>
      <c r="K102" s="37" t="n">
        <v>194090.39</v>
      </c>
      <c r="L102" s="18" t="n">
        <v>283.95</v>
      </c>
      <c r="M102" s="18" t="n">
        <v>3073.77</v>
      </c>
      <c r="N102" s="18" t="n">
        <v>8480.959999999999</v>
      </c>
      <c r="P102" s="9" t="n"/>
      <c r="Q102" s="18" t="n">
        <v>402822.96</v>
      </c>
      <c r="R102" s="18" t="n">
        <v>41594.42</v>
      </c>
      <c r="S102" s="18" t="n">
        <v>7193.09</v>
      </c>
      <c r="T102" s="18" t="n">
        <v>102606.24</v>
      </c>
      <c r="U102" s="37" t="n">
        <v>554216.71</v>
      </c>
      <c r="V102" s="18" t="n">
        <v>141407.31</v>
      </c>
      <c r="W102" s="18" t="n">
        <v>2247.14</v>
      </c>
      <c r="X102" s="18" t="n">
        <v>2937.79</v>
      </c>
      <c r="Y102" s="18" t="n">
        <v>12148.98</v>
      </c>
      <c r="Z102" s="37" t="n">
        <v>158741.22</v>
      </c>
      <c r="AB102" s="5" t="n"/>
      <c r="AC102" s="10" t="n"/>
      <c r="AD102" s="10" t="n"/>
      <c r="AE102" s="11" t="n"/>
      <c r="AF102" s="10" t="n"/>
      <c r="AG102" s="10" t="n"/>
      <c r="AH102" s="10" t="n"/>
      <c r="AI102" s="10" t="n"/>
      <c r="AJ102" s="11" t="n"/>
      <c r="AK102" s="10" t="n"/>
      <c r="AL102" s="10" t="n"/>
      <c r="AM102" s="10" t="n"/>
      <c r="AN102" s="10" t="n"/>
      <c r="AO102" s="11" t="n"/>
    </row>
    <row r="103">
      <c r="A103" t="n">
        <v>1</v>
      </c>
      <c r="C103" t="inlineStr">
        <is>
          <t>사채의감소</t>
        </is>
      </c>
      <c r="E103" s="18" t="n">
        <v>280000</v>
      </c>
      <c r="F103" s="9" t="n"/>
      <c r="K103" s="9" t="n"/>
      <c r="L103" s="18" t="n">
        <v>200000</v>
      </c>
      <c r="M103" s="18" t="n">
        <v>150000</v>
      </c>
      <c r="N103" s="18" t="n">
        <v>0</v>
      </c>
      <c r="O103" s="18" t="n">
        <v>320000</v>
      </c>
      <c r="P103" s="37" t="n">
        <v>670000</v>
      </c>
      <c r="S103" s="18" t="n">
        <v>0</v>
      </c>
      <c r="T103" s="18" t="n">
        <v>170000</v>
      </c>
      <c r="U103" s="9" t="n"/>
      <c r="X103" s="18" t="n">
        <v>0</v>
      </c>
      <c r="Y103" s="18" t="n">
        <v>50000</v>
      </c>
      <c r="Z103" s="9" t="n"/>
      <c r="AA103" s="18" t="n">
        <v>145000</v>
      </c>
      <c r="AB103" s="19" t="n">
        <v>275000</v>
      </c>
      <c r="AC103" s="10" t="n"/>
      <c r="AD103" s="10" t="n"/>
      <c r="AE103" s="11" t="n"/>
      <c r="AF103" s="10" t="n"/>
      <c r="AG103" s="10" t="n"/>
      <c r="AH103" s="10" t="n"/>
      <c r="AI103" s="10" t="n"/>
      <c r="AJ103" s="11" t="n"/>
      <c r="AK103" s="10" t="n"/>
      <c r="AL103" s="10" t="n"/>
      <c r="AM103" s="10" t="n"/>
      <c r="AN103" s="10" t="n"/>
      <c r="AO103" s="11" t="n"/>
    </row>
    <row r="104">
      <c r="A104" t="n">
        <v>1</v>
      </c>
      <c r="C104" t="inlineStr">
        <is>
          <t>리스부채의상환</t>
        </is>
      </c>
      <c r="E104" s="18" t="n">
        <v>6519.81</v>
      </c>
      <c r="F104" s="9" t="n"/>
      <c r="G104" s="18" t="n">
        <v>6289.61</v>
      </c>
      <c r="H104" s="18" t="n">
        <v>6144.73</v>
      </c>
      <c r="I104" s="18" t="n">
        <v>6579.13</v>
      </c>
      <c r="J104" s="18" t="n">
        <v>6539.68</v>
      </c>
      <c r="K104" s="37" t="n">
        <v>25553.15</v>
      </c>
      <c r="L104" s="18" t="n">
        <v>6312.66</v>
      </c>
      <c r="M104" s="18" t="n">
        <v>10488.22</v>
      </c>
      <c r="N104" s="18" t="n">
        <v>8313.530000000001</v>
      </c>
      <c r="O104" s="18" t="n">
        <v>9634.780000000001</v>
      </c>
      <c r="P104" s="37" t="n">
        <v>34749.19</v>
      </c>
      <c r="Q104" s="18" t="n">
        <v>8229.379999999999</v>
      </c>
      <c r="R104" s="18" t="n">
        <v>8705.33</v>
      </c>
      <c r="S104" s="18" t="n">
        <v>8786.16</v>
      </c>
      <c r="T104" s="18" t="n">
        <v>8192.6</v>
      </c>
      <c r="U104" s="37" t="n">
        <v>33913.47</v>
      </c>
      <c r="V104" s="18" t="n">
        <v>9113.860000000001</v>
      </c>
      <c r="W104" s="18" t="n">
        <v>8755.969999999999</v>
      </c>
      <c r="X104" s="18" t="n">
        <v>8945.84</v>
      </c>
      <c r="Y104" s="18" t="n">
        <v>11242</v>
      </c>
      <c r="Z104" s="37" t="n">
        <v>38057.67</v>
      </c>
      <c r="AA104" s="18" t="n">
        <v>10304.71</v>
      </c>
      <c r="AB104" s="19" t="n">
        <v>9825.940000000001</v>
      </c>
      <c r="AC104" s="10" t="n"/>
      <c r="AD104" s="10" t="n"/>
      <c r="AE104" s="11" t="n"/>
      <c r="AF104" s="10" t="n"/>
      <c r="AG104" s="10" t="n"/>
      <c r="AH104" s="10" t="n"/>
      <c r="AI104" s="10" t="n"/>
      <c r="AJ104" s="11" t="n"/>
      <c r="AK104" s="10" t="n"/>
      <c r="AL104" s="10" t="n"/>
      <c r="AM104" s="10" t="n"/>
      <c r="AN104" s="10" t="n"/>
      <c r="AO104" s="11" t="n"/>
    </row>
    <row r="105">
      <c r="A105" t="n">
        <v>1</v>
      </c>
      <c r="C105" t="inlineStr">
        <is>
          <t>이자지급(CF)</t>
        </is>
      </c>
      <c r="E105" s="18" t="n">
        <v>-36812.03</v>
      </c>
      <c r="F105" s="9" t="n"/>
      <c r="G105" s="18" t="n">
        <v>-44471.1</v>
      </c>
      <c r="H105" s="18" t="n">
        <v>-36900.94</v>
      </c>
      <c r="I105" s="18" t="n">
        <v>-40517.01</v>
      </c>
      <c r="J105" s="18" t="n">
        <v>-46861.4</v>
      </c>
      <c r="K105" s="37" t="n">
        <v>-168750.45</v>
      </c>
      <c r="L105" s="18" t="n">
        <v>-48830.07</v>
      </c>
      <c r="M105" s="18" t="n">
        <v>-66047.39999999999</v>
      </c>
      <c r="N105" s="18" t="n">
        <v>-59192.81</v>
      </c>
      <c r="O105" s="18" t="n">
        <v>-70323.56</v>
      </c>
      <c r="P105" s="37" t="n">
        <v>-244393.84</v>
      </c>
      <c r="Q105" s="18" t="n">
        <v>-50542.72</v>
      </c>
      <c r="R105" s="18" t="n">
        <v>-85058.64999999999</v>
      </c>
      <c r="S105" s="18" t="n">
        <v>-85128.08</v>
      </c>
      <c r="T105" s="18" t="n">
        <v>-78992.92999999999</v>
      </c>
      <c r="U105" s="37" t="n">
        <v>-299722.38</v>
      </c>
      <c r="V105" s="18" t="n">
        <v>-72092.56</v>
      </c>
      <c r="W105" s="18" t="n">
        <v>-74337.88</v>
      </c>
      <c r="X105" s="18" t="n">
        <v>-47366.11</v>
      </c>
      <c r="Y105" s="18" t="n">
        <v>-43950.96</v>
      </c>
      <c r="Z105" s="37" t="n">
        <v>-237747.51</v>
      </c>
      <c r="AA105" s="18" t="n">
        <v>-50624.16</v>
      </c>
      <c r="AB105" s="19" t="n">
        <v>-46810.71</v>
      </c>
      <c r="AC105" s="10" t="n"/>
      <c r="AD105" s="10" t="n"/>
      <c r="AE105" s="11" t="n"/>
      <c r="AF105" s="10" t="n"/>
      <c r="AG105" s="10" t="n"/>
      <c r="AH105" s="10" t="n"/>
      <c r="AI105" s="10" t="n"/>
      <c r="AJ105" s="11" t="n"/>
      <c r="AK105" s="10" t="n"/>
      <c r="AL105" s="10" t="n"/>
      <c r="AM105" s="10" t="n"/>
      <c r="AN105" s="10" t="n"/>
      <c r="AO105" s="11" t="n"/>
    </row>
    <row r="106">
      <c r="A106" t="n">
        <v>1</v>
      </c>
      <c r="C106" t="inlineStr">
        <is>
          <t>배당금지급</t>
        </is>
      </c>
      <c r="E106" s="18" t="n">
        <v>0</v>
      </c>
      <c r="F106" s="9" t="n"/>
      <c r="I106" s="18" t="n">
        <v>7354.17</v>
      </c>
      <c r="J106" s="18" t="n">
        <v>0</v>
      </c>
      <c r="K106" s="9" t="n"/>
      <c r="N106" s="18" t="n">
        <v>7354.17</v>
      </c>
      <c r="O106" s="18" t="n">
        <v>0</v>
      </c>
      <c r="P106" s="9" t="n"/>
      <c r="S106" s="18" t="n">
        <v>7354.17</v>
      </c>
      <c r="T106" s="18" t="n">
        <v>0</v>
      </c>
      <c r="U106" s="9" t="n"/>
      <c r="X106" s="18" t="n">
        <v>7354.17</v>
      </c>
      <c r="Y106" s="18" t="n">
        <v>0</v>
      </c>
      <c r="Z106" s="9" t="n"/>
      <c r="AB106" s="5" t="n"/>
      <c r="AC106" s="10" t="n"/>
      <c r="AD106" s="10" t="n"/>
      <c r="AE106" s="11" t="n"/>
      <c r="AF106" s="10" t="n"/>
      <c r="AG106" s="10" t="n"/>
      <c r="AH106" s="10" t="n"/>
      <c r="AI106" s="10" t="n"/>
      <c r="AJ106" s="11" t="n"/>
      <c r="AK106" s="10" t="n"/>
      <c r="AL106" s="10" t="n"/>
      <c r="AM106" s="10" t="n"/>
      <c r="AN106" s="10" t="n"/>
      <c r="AO106" s="11" t="n"/>
    </row>
    <row r="107">
      <c r="A107" t="n">
        <v>1</v>
      </c>
      <c r="C107" t="inlineStr">
        <is>
          <t>현금및현금성자산의증감</t>
        </is>
      </c>
      <c r="E107" s="18" t="n">
        <v>39723.13</v>
      </c>
      <c r="F107" s="9" t="n"/>
      <c r="G107" s="18" t="n">
        <v>-223429.66</v>
      </c>
      <c r="H107" s="18" t="n">
        <v>-7875.24</v>
      </c>
      <c r="I107" s="18" t="n">
        <v>112967.04</v>
      </c>
      <c r="J107" s="18" t="n">
        <v>354863.67</v>
      </c>
      <c r="K107" s="37" t="n">
        <v>236525.81</v>
      </c>
      <c r="L107" s="18" t="n">
        <v>38483.32</v>
      </c>
      <c r="M107" s="18" t="n">
        <v>154801.38</v>
      </c>
      <c r="N107" s="18" t="n">
        <v>42356.94</v>
      </c>
      <c r="O107" s="18" t="n">
        <v>35541.42</v>
      </c>
      <c r="P107" s="37" t="n">
        <v>271183.06</v>
      </c>
      <c r="Q107" s="18" t="n">
        <v>21111.44</v>
      </c>
      <c r="R107" s="18" t="n">
        <v>-14908.28</v>
      </c>
      <c r="S107" s="18" t="n">
        <v>-16228.9</v>
      </c>
      <c r="T107" s="18" t="n">
        <v>-565693.23</v>
      </c>
      <c r="U107" s="37" t="n">
        <v>-575718.97</v>
      </c>
      <c r="V107" s="18" t="n">
        <v>403278.38</v>
      </c>
      <c r="W107" s="18" t="n">
        <v>-103440.58</v>
      </c>
      <c r="X107" s="18" t="n">
        <v>112108.32</v>
      </c>
      <c r="Y107" s="18" t="n">
        <v>284532.77</v>
      </c>
      <c r="Z107" s="37" t="n">
        <v>696478.89</v>
      </c>
      <c r="AA107" s="18" t="n">
        <v>232424.84</v>
      </c>
      <c r="AB107" s="19" t="n">
        <v>-289643.7</v>
      </c>
      <c r="AC107" s="10" t="n"/>
      <c r="AD107" s="10" t="n"/>
      <c r="AE107" s="11" t="n"/>
      <c r="AF107" s="10" t="n"/>
      <c r="AG107" s="10" t="n"/>
      <c r="AH107" s="10" t="n"/>
      <c r="AI107" s="10" t="n"/>
      <c r="AJ107" s="11" t="n"/>
      <c r="AK107" s="10" t="n"/>
      <c r="AL107" s="10" t="n"/>
      <c r="AM107" s="10" t="n"/>
      <c r="AN107" s="10" t="n"/>
      <c r="AO107" s="11" t="n"/>
    </row>
    <row r="108">
      <c r="A108" t="n">
        <v>1</v>
      </c>
      <c r="C108" t="inlineStr">
        <is>
          <t>기말현금및현금성자산</t>
        </is>
      </c>
      <c r="E108" s="18" t="n">
        <v>37910.82</v>
      </c>
      <c r="F108" s="9" t="n"/>
      <c r="G108" s="18" t="n">
        <v>328395.52</v>
      </c>
      <c r="H108" s="18" t="n">
        <v>65758.5</v>
      </c>
      <c r="I108" s="18" t="n">
        <v>73137.35000000001</v>
      </c>
      <c r="J108" s="18" t="n">
        <v>309456.3</v>
      </c>
      <c r="K108" s="37" t="n">
        <v>776747.67</v>
      </c>
      <c r="L108" s="18" t="n">
        <v>830350.62</v>
      </c>
      <c r="M108" s="18" t="n">
        <v>143259.7</v>
      </c>
      <c r="N108" s="18" t="n">
        <v>55829.09</v>
      </c>
      <c r="O108" s="18" t="n">
        <v>15702.7</v>
      </c>
      <c r="P108" s="37" t="n">
        <v>1045142.11</v>
      </c>
      <c r="Q108" s="18" t="n">
        <v>1083647.85</v>
      </c>
      <c r="R108" s="18" t="n">
        <v>-11018.16</v>
      </c>
      <c r="S108" s="18" t="n">
        <v>-31720.07</v>
      </c>
      <c r="T108" s="18" t="n">
        <v>-539579.86</v>
      </c>
      <c r="U108" s="37" t="n">
        <v>501329.76</v>
      </c>
      <c r="V108" s="18" t="n">
        <v>906545.13</v>
      </c>
      <c r="W108" s="18" t="n">
        <v>-124860.27</v>
      </c>
      <c r="X108" s="18" t="n">
        <v>133522.73</v>
      </c>
      <c r="Y108" s="18" t="n">
        <v>278404.85</v>
      </c>
      <c r="Z108" s="37" t="n">
        <v>1193612.44</v>
      </c>
      <c r="AA108" s="18" t="n">
        <v>1469494.85</v>
      </c>
      <c r="AB108" s="19" t="n">
        <v>-292114.55</v>
      </c>
      <c r="AC108" s="10" t="n"/>
      <c r="AD108" s="10" t="n"/>
      <c r="AE108" s="11" t="n"/>
      <c r="AF108" s="10" t="n"/>
      <c r="AG108" s="10" t="n"/>
      <c r="AH108" s="10" t="n"/>
      <c r="AI108" s="10" t="n"/>
      <c r="AJ108" s="11" t="n"/>
      <c r="AK108" s="10" t="n"/>
      <c r="AL108" s="10" t="n"/>
      <c r="AM108" s="10" t="n"/>
      <c r="AN108" s="10" t="n"/>
      <c r="AO108" s="11" t="n"/>
    </row>
    <row r="109">
      <c r="A109" t="n">
        <v>1</v>
      </c>
      <c r="C109" t="inlineStr">
        <is>
          <t>자기주식의취득</t>
        </is>
      </c>
      <c r="F109" s="9" t="n"/>
      <c r="G109" s="18" t="n">
        <v>81426.66</v>
      </c>
      <c r="H109" s="18" t="n">
        <v>18467.27</v>
      </c>
      <c r="I109" s="18" t="n">
        <v>0</v>
      </c>
      <c r="J109" s="18" t="n">
        <v>0</v>
      </c>
      <c r="K109" s="37" t="n">
        <v>99893.92999999999</v>
      </c>
      <c r="P109" s="9" t="n"/>
      <c r="U109" s="9" t="n"/>
      <c r="Z109" s="9" t="n"/>
      <c r="AB109" s="5" t="n"/>
      <c r="AC109" s="10" t="n"/>
      <c r="AD109" s="10" t="n"/>
      <c r="AE109" s="11" t="n"/>
      <c r="AF109" s="10" t="n"/>
      <c r="AG109" s="10" t="n"/>
      <c r="AH109" s="10" t="n"/>
      <c r="AI109" s="10" t="n"/>
      <c r="AJ109" s="11" t="n"/>
      <c r="AK109" s="10" t="n"/>
      <c r="AL109" s="10" t="n"/>
      <c r="AM109" s="10" t="n"/>
      <c r="AN109" s="10" t="n"/>
      <c r="AO109" s="11" t="n"/>
    </row>
    <row r="110">
      <c r="A110" t="n">
        <v>1</v>
      </c>
      <c r="C110" t="inlineStr">
        <is>
          <t>장기차입금의감소</t>
        </is>
      </c>
      <c r="F110" s="9" t="n"/>
      <c r="K110" s="9" t="n"/>
      <c r="L110" s="18" t="n">
        <v>2106067.64</v>
      </c>
      <c r="M110" s="18" t="n">
        <v>71292.67999999999</v>
      </c>
      <c r="O110" s="18" t="n">
        <v>6333.5</v>
      </c>
      <c r="P110" s="9" t="n"/>
      <c r="S110" s="18" t="n">
        <v>0</v>
      </c>
      <c r="T110" s="18" t="n">
        <v>545592</v>
      </c>
      <c r="U110" s="9" t="n"/>
      <c r="X110" s="18" t="n">
        <v>958481.46</v>
      </c>
      <c r="Y110" s="18" t="n">
        <v>787297.34</v>
      </c>
      <c r="Z110" s="9" t="n"/>
      <c r="AB110" s="5" t="n"/>
      <c r="AC110" s="10" t="n"/>
      <c r="AD110" s="10" t="n"/>
      <c r="AE110" s="11" t="n"/>
      <c r="AF110" s="10" t="n"/>
      <c r="AG110" s="10" t="n"/>
      <c r="AH110" s="10" t="n"/>
      <c r="AI110" s="10" t="n"/>
      <c r="AJ110" s="11" t="n"/>
      <c r="AK110" s="10" t="n"/>
      <c r="AL110" s="10" t="n"/>
      <c r="AM110" s="10" t="n"/>
      <c r="AN110" s="10" t="n"/>
      <c r="AO110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9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AB2" s="5" t="n"/>
    </row>
    <row r="3">
      <c r="B3" t="inlineStr">
        <is>
          <t>케이씨씨(별)</t>
        </is>
      </c>
      <c r="C3" s="2" t="inlineStr">
        <is>
          <t>UPDATE: 26-10-12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1704546.27</v>
      </c>
      <c r="F5" s="37" t="n">
        <v>1704546.27</v>
      </c>
      <c r="G5" s="18" t="n">
        <v>2299643.47</v>
      </c>
      <c r="H5" s="18" t="n">
        <v>2395983.2</v>
      </c>
      <c r="I5" s="18" t="n">
        <v>2005125.99</v>
      </c>
      <c r="J5" s="18" t="n">
        <v>1971791.81</v>
      </c>
      <c r="K5" s="37" t="n">
        <v>1971791.81</v>
      </c>
      <c r="L5" s="18" t="n">
        <v>2158317.27</v>
      </c>
      <c r="M5" s="18" t="n">
        <v>2340728.49</v>
      </c>
      <c r="N5" s="18" t="n">
        <v>2401533.06</v>
      </c>
      <c r="O5" s="18" t="n">
        <v>2349590.48</v>
      </c>
      <c r="P5" s="37" t="n">
        <v>2349590.48</v>
      </c>
      <c r="Q5" s="18" t="n">
        <v>2448592.68</v>
      </c>
      <c r="R5" s="18" t="n">
        <v>2420739.35</v>
      </c>
      <c r="S5" s="18" t="n">
        <v>2467466.74</v>
      </c>
      <c r="T5" s="18" t="n">
        <v>1958625.22</v>
      </c>
      <c r="U5" s="37" t="n">
        <v>1958625.22</v>
      </c>
      <c r="V5" s="18" t="n">
        <v>2401953.45</v>
      </c>
      <c r="W5" s="18" t="n">
        <v>2041442.59</v>
      </c>
      <c r="X5" s="18" t="n">
        <v>2021694.73</v>
      </c>
      <c r="Y5" s="18" t="n">
        <v>1975270.37</v>
      </c>
      <c r="Z5" s="37" t="n">
        <v>1975270.37</v>
      </c>
      <c r="AA5" s="18" t="n">
        <v>2417429.1</v>
      </c>
      <c r="AB5" s="19" t="n">
        <v>1946446.98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182739.8</v>
      </c>
      <c r="F6" s="37" t="n">
        <v>182739.8</v>
      </c>
      <c r="G6" s="18" t="n">
        <v>153638.74</v>
      </c>
      <c r="H6" s="18" t="n">
        <v>158022.61</v>
      </c>
      <c r="I6" s="18" t="n">
        <v>227730.27</v>
      </c>
      <c r="J6" s="18" t="n">
        <v>501584.85</v>
      </c>
      <c r="K6" s="37" t="n">
        <v>501584.85</v>
      </c>
      <c r="L6" s="18" t="n">
        <v>555886.47</v>
      </c>
      <c r="M6" s="18" t="n">
        <v>689533.03</v>
      </c>
      <c r="N6" s="18" t="n">
        <v>732684.37</v>
      </c>
      <c r="O6" s="18" t="n">
        <v>724453.17</v>
      </c>
      <c r="P6" s="37" t="n">
        <v>724453.17</v>
      </c>
      <c r="Q6" s="18" t="n">
        <v>730153.27</v>
      </c>
      <c r="R6" s="18" t="n">
        <v>794183.36</v>
      </c>
      <c r="S6" s="18" t="n">
        <v>855245.7</v>
      </c>
      <c r="T6" s="18" t="n">
        <v>276042.67</v>
      </c>
      <c r="U6" s="37" t="n">
        <v>276042.67</v>
      </c>
      <c r="V6" s="18" t="n">
        <v>699444.78</v>
      </c>
      <c r="W6" s="18" t="n">
        <v>561965.16</v>
      </c>
      <c r="X6" s="18" t="n">
        <v>684640.21</v>
      </c>
      <c r="Y6" s="18" t="n">
        <v>886036.62</v>
      </c>
      <c r="Z6" s="37" t="n">
        <v>886036.62</v>
      </c>
      <c r="AA6" s="18" t="n">
        <v>1218978.29</v>
      </c>
      <c r="AB6" s="19" t="n">
        <v>793299.59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592331.14</v>
      </c>
      <c r="F7" s="37" t="n">
        <v>592331.14</v>
      </c>
      <c r="G7" s="18" t="n">
        <v>1101441.33</v>
      </c>
      <c r="H7" s="18" t="n">
        <v>1188377.77</v>
      </c>
      <c r="I7" s="18" t="n">
        <v>702058.35</v>
      </c>
      <c r="J7" s="18" t="n">
        <v>390186.83</v>
      </c>
      <c r="K7" s="37" t="n">
        <v>390186.83</v>
      </c>
      <c r="L7" s="18" t="n">
        <v>474572.4</v>
      </c>
      <c r="M7" s="18" t="n">
        <v>518738.49</v>
      </c>
      <c r="N7" s="18" t="n">
        <v>490438.22</v>
      </c>
      <c r="O7" s="18" t="n">
        <v>483239.54</v>
      </c>
      <c r="P7" s="37" t="n">
        <v>483239.54</v>
      </c>
      <c r="Q7" s="18" t="n">
        <v>526750.73</v>
      </c>
      <c r="R7" s="18" t="n">
        <v>415696.81</v>
      </c>
      <c r="S7" s="18" t="n">
        <v>461144.03</v>
      </c>
      <c r="T7" s="18" t="n">
        <v>481477.35</v>
      </c>
      <c r="U7" s="37" t="n">
        <v>481477.35</v>
      </c>
      <c r="V7" s="18" t="n">
        <v>509061.06</v>
      </c>
      <c r="W7" s="18" t="n">
        <v>349562.92</v>
      </c>
      <c r="X7" s="18" t="n">
        <v>194776.67</v>
      </c>
      <c r="Y7" s="18" t="n">
        <v>8501.549999999999</v>
      </c>
      <c r="Z7" s="37" t="n">
        <v>8501.549999999999</v>
      </c>
      <c r="AA7" s="18" t="n">
        <v>29584.01</v>
      </c>
      <c r="AB7" s="5" t="n"/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592331.14</v>
      </c>
      <c r="F8" s="37" t="n">
        <v>592331.14</v>
      </c>
      <c r="G8" s="18" t="n">
        <v>1101441.33</v>
      </c>
      <c r="H8" s="18" t="n">
        <v>1188377.77</v>
      </c>
      <c r="I8" s="18" t="n">
        <v>702058.35</v>
      </c>
      <c r="J8" s="18" t="n">
        <v>390186.83</v>
      </c>
      <c r="K8" s="37" t="n">
        <v>390186.83</v>
      </c>
      <c r="L8" s="18" t="n">
        <v>474572.4</v>
      </c>
      <c r="M8" s="18" t="n">
        <v>518738.49</v>
      </c>
      <c r="N8" s="18" t="n">
        <v>490438.22</v>
      </c>
      <c r="O8" s="18" t="n">
        <v>483239.54</v>
      </c>
      <c r="P8" s="37" t="n">
        <v>483239.54</v>
      </c>
      <c r="Q8" s="18" t="n">
        <v>526750.73</v>
      </c>
      <c r="R8" s="18" t="n">
        <v>415696.81</v>
      </c>
      <c r="S8" s="18" t="n">
        <v>461144.03</v>
      </c>
      <c r="T8" s="18" t="n">
        <v>481477.35</v>
      </c>
      <c r="U8" s="37" t="n">
        <v>481477.35</v>
      </c>
      <c r="V8" s="18" t="n">
        <v>509061.06</v>
      </c>
      <c r="W8" s="18" t="n">
        <v>349562.92</v>
      </c>
      <c r="X8" s="18" t="n">
        <v>194776.67</v>
      </c>
      <c r="Y8" s="18" t="n">
        <v>8501.549999999999</v>
      </c>
      <c r="Z8" s="37" t="n">
        <v>8501.549999999999</v>
      </c>
      <c r="AA8" s="18" t="n">
        <v>29584.01</v>
      </c>
      <c r="AB8" s="5" t="n"/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매출채권및기타채권</t>
        </is>
      </c>
      <c r="E9" s="18" t="n">
        <v>501805.77</v>
      </c>
      <c r="F9" s="37" t="n">
        <v>501805.77</v>
      </c>
      <c r="G9" s="18" t="n">
        <v>583506.47</v>
      </c>
      <c r="H9" s="18" t="n">
        <v>563766.88</v>
      </c>
      <c r="I9" s="18" t="n">
        <v>584313.78</v>
      </c>
      <c r="J9" s="18" t="n">
        <v>599834.4</v>
      </c>
      <c r="K9" s="37" t="n">
        <v>599834.4</v>
      </c>
      <c r="L9" s="18" t="n">
        <v>633422.24</v>
      </c>
      <c r="M9" s="18" t="n">
        <v>606209.5600000001</v>
      </c>
      <c r="N9" s="18" t="n">
        <v>622336.22</v>
      </c>
      <c r="O9" s="18" t="n">
        <v>598019.1</v>
      </c>
      <c r="P9" s="37" t="n">
        <v>598019.1</v>
      </c>
      <c r="Q9" s="18" t="n">
        <v>644551.23</v>
      </c>
      <c r="R9" s="18" t="n">
        <v>664776.34</v>
      </c>
      <c r="S9" s="18" t="n">
        <v>598688.34</v>
      </c>
      <c r="T9" s="18" t="n">
        <v>622823.1</v>
      </c>
      <c r="U9" s="37" t="n">
        <v>622823.1</v>
      </c>
      <c r="V9" s="18" t="n">
        <v>647886.29</v>
      </c>
      <c r="W9" s="18" t="n">
        <v>617084.63</v>
      </c>
      <c r="X9" s="18" t="n">
        <v>639817.24</v>
      </c>
      <c r="Y9" s="18" t="n">
        <v>566800.48</v>
      </c>
      <c r="Z9" s="37" t="n">
        <v>566800.48</v>
      </c>
      <c r="AA9" s="18" t="n">
        <v>659046.75</v>
      </c>
      <c r="AB9" s="19" t="n">
        <v>637404.65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선급금</t>
        </is>
      </c>
      <c r="E10" s="18" t="n">
        <v>4242.46</v>
      </c>
      <c r="F10" s="37" t="n">
        <v>4242.46</v>
      </c>
      <c r="G10" s="18" t="n">
        <v>4509.98</v>
      </c>
      <c r="H10" s="18" t="n">
        <v>9807.290000000001</v>
      </c>
      <c r="I10" s="18" t="n">
        <v>5648.42</v>
      </c>
      <c r="J10" s="18" t="n">
        <v>4708.45</v>
      </c>
      <c r="K10" s="37" t="n">
        <v>4708.45</v>
      </c>
      <c r="L10" s="18" t="n">
        <v>5190.49</v>
      </c>
      <c r="M10" s="18" t="n">
        <v>6315.52</v>
      </c>
      <c r="N10" s="18" t="n">
        <v>6107.37</v>
      </c>
      <c r="O10" s="18" t="n">
        <v>6777.41</v>
      </c>
      <c r="P10" s="37" t="n">
        <v>6777.41</v>
      </c>
      <c r="Q10" s="18" t="n">
        <v>8053.49</v>
      </c>
      <c r="R10" s="18" t="n">
        <v>5878.91</v>
      </c>
      <c r="S10" s="18" t="n">
        <v>4082.63</v>
      </c>
      <c r="T10" s="18" t="n">
        <v>3795.33</v>
      </c>
      <c r="U10" s="37" t="n">
        <v>3795.33</v>
      </c>
      <c r="V10" s="18" t="n">
        <v>3157.26</v>
      </c>
      <c r="W10" s="18" t="n">
        <v>2966.02</v>
      </c>
      <c r="X10" s="18" t="n">
        <v>2722.44</v>
      </c>
      <c r="Y10" s="18" t="n">
        <v>2736.59</v>
      </c>
      <c r="Z10" s="37" t="n">
        <v>2736.59</v>
      </c>
      <c r="AA10" s="18" t="n">
        <v>1626.35</v>
      </c>
      <c r="AB10" s="19" t="n">
        <v>3171.69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선급금등</t>
        </is>
      </c>
      <c r="E11" s="18" t="n">
        <v>4242.46</v>
      </c>
      <c r="F11" s="37" t="n">
        <v>4242.46</v>
      </c>
      <c r="G11" s="18" t="n">
        <v>4509.98</v>
      </c>
      <c r="H11" s="18" t="n">
        <v>9807.290000000001</v>
      </c>
      <c r="I11" s="18" t="n">
        <v>5648.42</v>
      </c>
      <c r="J11" s="18" t="n">
        <v>4708.45</v>
      </c>
      <c r="K11" s="37" t="n">
        <v>4708.45</v>
      </c>
      <c r="L11" s="18" t="n">
        <v>5190.49</v>
      </c>
      <c r="M11" s="18" t="n">
        <v>6315.52</v>
      </c>
      <c r="N11" s="18" t="n">
        <v>6107.37</v>
      </c>
      <c r="O11" s="18" t="n">
        <v>6777.41</v>
      </c>
      <c r="P11" s="37" t="n">
        <v>6777.41</v>
      </c>
      <c r="Q11" s="18" t="n">
        <v>8053.49</v>
      </c>
      <c r="R11" s="18" t="n">
        <v>5878.91</v>
      </c>
      <c r="S11" s="18" t="n">
        <v>4082.63</v>
      </c>
      <c r="T11" s="18" t="n">
        <v>3795.33</v>
      </c>
      <c r="U11" s="37" t="n">
        <v>3795.33</v>
      </c>
      <c r="V11" s="18" t="n">
        <v>3157.26</v>
      </c>
      <c r="W11" s="18" t="n">
        <v>2966.02</v>
      </c>
      <c r="X11" s="18" t="n">
        <v>2722.44</v>
      </c>
      <c r="Y11" s="18" t="n">
        <v>2736.59</v>
      </c>
      <c r="Z11" s="37" t="n">
        <v>2736.59</v>
      </c>
      <c r="AA11" s="18" t="n">
        <v>1626.35</v>
      </c>
      <c r="AB11" s="19" t="n">
        <v>3171.69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기타유동자산</t>
        </is>
      </c>
      <c r="E12" s="18" t="n">
        <v>14944.86</v>
      </c>
      <c r="F12" s="37" t="n">
        <v>14944.86</v>
      </c>
      <c r="G12" s="18" t="n">
        <v>21138.61</v>
      </c>
      <c r="H12" s="18" t="n">
        <v>24596.28</v>
      </c>
      <c r="I12" s="18" t="n">
        <v>18544.65</v>
      </c>
      <c r="J12" s="18" t="n">
        <v>19104.74</v>
      </c>
      <c r="K12" s="37" t="n">
        <v>19104.74</v>
      </c>
      <c r="L12" s="18" t="n">
        <v>18768.83</v>
      </c>
      <c r="M12" s="18" t="n">
        <v>18451.82</v>
      </c>
      <c r="N12" s="18" t="n">
        <v>16280.14</v>
      </c>
      <c r="O12" s="18" t="n">
        <v>21500.21</v>
      </c>
      <c r="P12" s="37" t="n">
        <v>21500.21</v>
      </c>
      <c r="Q12" s="18" t="n">
        <v>17557.59</v>
      </c>
      <c r="R12" s="18" t="n">
        <v>16353.17</v>
      </c>
      <c r="S12" s="18" t="n">
        <v>10432.9</v>
      </c>
      <c r="T12" s="18" t="n">
        <v>9863.51</v>
      </c>
      <c r="U12" s="37" t="n">
        <v>9863.51</v>
      </c>
      <c r="V12" s="18" t="n">
        <v>9264.790000000001</v>
      </c>
      <c r="W12" s="18" t="n">
        <v>9035.85</v>
      </c>
      <c r="X12" s="18" t="n">
        <v>8027.34</v>
      </c>
      <c r="Y12" s="18" t="n">
        <v>7842.79</v>
      </c>
      <c r="Z12" s="37" t="n">
        <v>7842.79</v>
      </c>
      <c r="AA12" s="18" t="n">
        <v>7381.64</v>
      </c>
      <c r="AB12" s="19" t="n">
        <v>10453.14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기타유동금융자산</t>
        </is>
      </c>
      <c r="E13" s="18" t="n">
        <v>2441.16</v>
      </c>
      <c r="F13" s="37" t="n">
        <v>2441.16</v>
      </c>
      <c r="G13" s="18" t="n">
        <v>3064.61</v>
      </c>
      <c r="H13" s="18" t="n">
        <v>3882.13</v>
      </c>
      <c r="I13" s="18" t="n">
        <v>2942.33</v>
      </c>
      <c r="J13" s="18" t="n">
        <v>3839.8</v>
      </c>
      <c r="K13" s="37" t="n">
        <v>3839.8</v>
      </c>
      <c r="L13" s="18" t="n">
        <v>3404.55</v>
      </c>
      <c r="M13" s="18" t="n">
        <v>5060.48</v>
      </c>
      <c r="N13" s="18" t="n">
        <v>12529.82</v>
      </c>
      <c r="O13" s="18" t="n">
        <v>9768.360000000001</v>
      </c>
      <c r="P13" s="37" t="n">
        <v>9768.360000000001</v>
      </c>
      <c r="Q13" s="18" t="n">
        <v>21085.95</v>
      </c>
      <c r="R13" s="18" t="n">
        <v>18838.42</v>
      </c>
      <c r="S13" s="18" t="n">
        <v>16384.87</v>
      </c>
      <c r="T13" s="18" t="n">
        <v>21688.98</v>
      </c>
      <c r="U13" s="37" t="n">
        <v>21688.98</v>
      </c>
      <c r="V13" s="18" t="n">
        <v>3303.08</v>
      </c>
      <c r="W13" s="18" t="n">
        <v>2833.72</v>
      </c>
      <c r="X13" s="18" t="n">
        <v>1439.78</v>
      </c>
      <c r="Y13" s="18" t="n">
        <v>96.7</v>
      </c>
      <c r="Z13" s="37" t="n">
        <v>96.7</v>
      </c>
      <c r="AA13" s="18" t="n">
        <v>95.68000000000001</v>
      </c>
      <c r="AB13" s="19" t="n">
        <v>37.51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재고자산</t>
        </is>
      </c>
      <c r="E14" s="18" t="n">
        <v>387801.47</v>
      </c>
      <c r="F14" s="37" t="n">
        <v>387801.47</v>
      </c>
      <c r="G14" s="18" t="n">
        <v>414371.65</v>
      </c>
      <c r="H14" s="18" t="n">
        <v>434855.46</v>
      </c>
      <c r="I14" s="18" t="n">
        <v>447054.54</v>
      </c>
      <c r="J14" s="18" t="n">
        <v>457241.18</v>
      </c>
      <c r="K14" s="37" t="n">
        <v>457241.18</v>
      </c>
      <c r="L14" s="18" t="n">
        <v>472262.77</v>
      </c>
      <c r="M14" s="18" t="n">
        <v>502735.1</v>
      </c>
      <c r="N14" s="18" t="n">
        <v>504782.22</v>
      </c>
      <c r="O14" s="18" t="n">
        <v>512610.1</v>
      </c>
      <c r="P14" s="37" t="n">
        <v>512610.1</v>
      </c>
      <c r="Q14" s="18" t="n">
        <v>508493.9</v>
      </c>
      <c r="R14" s="18" t="n">
        <v>510891.27</v>
      </c>
      <c r="S14" s="18" t="n">
        <v>525570.91</v>
      </c>
      <c r="T14" s="18" t="n">
        <v>546729.6</v>
      </c>
      <c r="U14" s="37" t="n">
        <v>546729.6</v>
      </c>
      <c r="V14" s="18" t="n">
        <v>532993.45</v>
      </c>
      <c r="W14" s="18" t="n">
        <v>500960.31</v>
      </c>
      <c r="X14" s="18" t="n">
        <v>492993.48</v>
      </c>
      <c r="Y14" s="18" t="n">
        <v>505992.23</v>
      </c>
      <c r="Z14" s="37" t="n">
        <v>505992.23</v>
      </c>
      <c r="AA14" s="18" t="n">
        <v>502342.73</v>
      </c>
      <c r="AB14" s="19" t="n">
        <v>505252.08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비유동자산</t>
        </is>
      </c>
      <c r="E15" s="18" t="n">
        <v>7105826.15</v>
      </c>
      <c r="F15" s="37" t="n">
        <v>7105826.15</v>
      </c>
      <c r="G15" s="18" t="n">
        <v>6832549.81</v>
      </c>
      <c r="H15" s="18" t="n">
        <v>6961801.97</v>
      </c>
      <c r="I15" s="18" t="n">
        <v>6565494.49</v>
      </c>
      <c r="J15" s="18" t="n">
        <v>6831287.81</v>
      </c>
      <c r="K15" s="37" t="n">
        <v>6831287.81</v>
      </c>
      <c r="L15" s="18" t="n">
        <v>6802872.09</v>
      </c>
      <c r="M15" s="18" t="n">
        <v>6904157.67</v>
      </c>
      <c r="N15" s="18" t="n">
        <v>6915116.85</v>
      </c>
      <c r="O15" s="18" t="n">
        <v>7307682.02</v>
      </c>
      <c r="P15" s="37" t="n">
        <v>7307682.02</v>
      </c>
      <c r="Q15" s="18" t="n">
        <v>7904680.64</v>
      </c>
      <c r="R15" s="18" t="n">
        <v>8068423.86</v>
      </c>
      <c r="S15" s="18" t="n">
        <v>8056915.73</v>
      </c>
      <c r="T15" s="18" t="n">
        <v>8340919.56</v>
      </c>
      <c r="U15" s="37" t="n">
        <v>8340919.56</v>
      </c>
      <c r="V15" s="18" t="n">
        <v>9576913.890000001</v>
      </c>
      <c r="W15" s="18" t="n">
        <v>10814398.81</v>
      </c>
      <c r="X15" s="18" t="n">
        <v>12283419.77</v>
      </c>
      <c r="Y15" s="18" t="n">
        <v>13151278.44</v>
      </c>
      <c r="Z15" s="37" t="n">
        <v>13151278.44</v>
      </c>
      <c r="AA15" s="18" t="n">
        <v>13218320.2</v>
      </c>
      <c r="AB15" s="19" t="n">
        <v>17011650.34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장기매출채권및기타채권</t>
        </is>
      </c>
      <c r="E16" s="18" t="n">
        <v>46770.47</v>
      </c>
      <c r="F16" s="37" t="n">
        <v>46770.47</v>
      </c>
      <c r="G16" s="18" t="n">
        <v>44587.56</v>
      </c>
      <c r="H16" s="18" t="n">
        <v>43302.93</v>
      </c>
      <c r="I16" s="18" t="n">
        <v>42252.85</v>
      </c>
      <c r="J16" s="18" t="n">
        <v>40543.76</v>
      </c>
      <c r="K16" s="37" t="n">
        <v>40543.76</v>
      </c>
      <c r="L16" s="18" t="n">
        <v>879.8200000000001</v>
      </c>
      <c r="M16" s="18" t="n">
        <v>59020.73</v>
      </c>
      <c r="N16" s="18" t="n">
        <v>1529.85</v>
      </c>
      <c r="O16" s="18" t="n">
        <v>56418.12</v>
      </c>
      <c r="P16" s="37" t="n">
        <v>56418.12</v>
      </c>
      <c r="Q16" s="18" t="n">
        <v>189737.13</v>
      </c>
      <c r="R16" s="18" t="n">
        <v>194533.88</v>
      </c>
      <c r="S16" s="18" t="n">
        <v>186485.8</v>
      </c>
      <c r="T16" s="18" t="n">
        <v>197910.67</v>
      </c>
      <c r="U16" s="37" t="n">
        <v>197910.67</v>
      </c>
      <c r="V16" s="18" t="n">
        <v>198194.43</v>
      </c>
      <c r="W16" s="18" t="n">
        <v>189236.85</v>
      </c>
      <c r="X16" s="18" t="n">
        <v>37267.64</v>
      </c>
      <c r="Y16" s="18" t="n">
        <v>47834.76</v>
      </c>
      <c r="Z16" s="37" t="n">
        <v>47834.76</v>
      </c>
      <c r="AA16" s="18" t="n">
        <v>47607.35</v>
      </c>
      <c r="AB16" s="19" t="n">
        <v>45822.1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기타비유동자산</t>
        </is>
      </c>
      <c r="E17" s="18" t="n">
        <v>60933.36</v>
      </c>
      <c r="F17" s="37" t="n">
        <v>60933.36</v>
      </c>
      <c r="G17" s="18" t="n">
        <v>53039.26</v>
      </c>
      <c r="H17" s="18" t="n">
        <v>49310.5</v>
      </c>
      <c r="I17" s="18" t="n">
        <v>41197.55</v>
      </c>
      <c r="J17" s="18" t="n">
        <v>75656.75</v>
      </c>
      <c r="K17" s="37" t="n">
        <v>75656.75</v>
      </c>
      <c r="L17" s="18" t="n">
        <v>67797.53</v>
      </c>
      <c r="M17" s="18" t="n">
        <v>66474.25</v>
      </c>
      <c r="N17" s="18" t="n">
        <v>61613.59</v>
      </c>
      <c r="O17" s="18" t="n">
        <v>35849.4</v>
      </c>
      <c r="P17" s="37" t="n">
        <v>35849.4</v>
      </c>
      <c r="Q17" s="18" t="n">
        <v>28820.77</v>
      </c>
      <c r="R17" s="18" t="n">
        <v>31707.54</v>
      </c>
      <c r="S17" s="18" t="n">
        <v>29851.67</v>
      </c>
      <c r="T17" s="18" t="n">
        <v>43891.26</v>
      </c>
      <c r="U17" s="37" t="n">
        <v>43891.26</v>
      </c>
      <c r="V17" s="18" t="n">
        <v>37309.68</v>
      </c>
      <c r="W17" s="18" t="n">
        <v>32392.54</v>
      </c>
      <c r="X17" s="18" t="n">
        <v>30514.03</v>
      </c>
      <c r="Y17" s="18" t="n">
        <v>34851.46</v>
      </c>
      <c r="Z17" s="37" t="n">
        <v>34851.46</v>
      </c>
      <c r="AA17" s="18" t="n">
        <v>27679.67</v>
      </c>
      <c r="AB17" s="19" t="n">
        <v>24313.6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장기금융자산</t>
        </is>
      </c>
      <c r="E18" s="18" t="n">
        <v>2666973.71</v>
      </c>
      <c r="F18" s="37" t="n">
        <v>2666973.71</v>
      </c>
      <c r="G18" s="18" t="n">
        <v>2384359.1</v>
      </c>
      <c r="H18" s="18" t="n">
        <v>2530953.17</v>
      </c>
      <c r="I18" s="18" t="n">
        <v>2134304.44</v>
      </c>
      <c r="J18" s="18" t="n">
        <v>2287108.98</v>
      </c>
      <c r="K18" s="37" t="n">
        <v>2287108.98</v>
      </c>
      <c r="L18" s="18" t="n">
        <v>2220663.99</v>
      </c>
      <c r="M18" s="18" t="n">
        <v>2306180.13</v>
      </c>
      <c r="N18" s="18" t="n">
        <v>2315995.32</v>
      </c>
      <c r="O18" s="18" t="n">
        <v>2723859.54</v>
      </c>
      <c r="P18" s="37" t="n">
        <v>2723859.54</v>
      </c>
      <c r="Q18" s="18" t="n">
        <v>3207437.76</v>
      </c>
      <c r="R18" s="18" t="n">
        <v>3047759.63</v>
      </c>
      <c r="S18" s="18" t="n">
        <v>3058077.3</v>
      </c>
      <c r="T18" s="18" t="n">
        <v>2767066.43</v>
      </c>
      <c r="U18" s="37" t="n">
        <v>2767066.43</v>
      </c>
      <c r="V18" s="18" t="n">
        <v>2735746.01</v>
      </c>
      <c r="W18" s="18" t="n">
        <v>3989057.93</v>
      </c>
      <c r="X18" s="18" t="n">
        <v>4530146.42</v>
      </c>
      <c r="Y18" s="18" t="n">
        <v>5455560.98</v>
      </c>
      <c r="Z18" s="37" t="n">
        <v>5455560.98</v>
      </c>
      <c r="AA18" s="18" t="n">
        <v>5525797.72</v>
      </c>
      <c r="AB18" s="19" t="n">
        <v>9177343.869999999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투자자산</t>
        </is>
      </c>
      <c r="E19" s="18" t="n">
        <v>4743334.85</v>
      </c>
      <c r="F19" s="37" t="n">
        <v>4743334.85</v>
      </c>
      <c r="G19" s="18" t="n">
        <v>4486239.66</v>
      </c>
      <c r="H19" s="18" t="n">
        <v>4633222.62</v>
      </c>
      <c r="I19" s="18" t="n">
        <v>4238939.01</v>
      </c>
      <c r="J19" s="18" t="n">
        <v>4429827.17</v>
      </c>
      <c r="K19" s="37" t="n">
        <v>4429827.17</v>
      </c>
      <c r="L19" s="18" t="n">
        <v>4376954.42</v>
      </c>
      <c r="M19" s="18" t="n">
        <v>4473207.42</v>
      </c>
      <c r="N19" s="18" t="n">
        <v>4486013.37</v>
      </c>
      <c r="O19" s="18" t="n">
        <v>4898276.06</v>
      </c>
      <c r="P19" s="37" t="n">
        <v>4898276.06</v>
      </c>
      <c r="Q19" s="18" t="n">
        <v>5386811.54</v>
      </c>
      <c r="R19" s="18" t="n">
        <v>5548754.43</v>
      </c>
      <c r="S19" s="18" t="n">
        <v>5560133.11</v>
      </c>
      <c r="T19" s="18" t="n">
        <v>5846810.24</v>
      </c>
      <c r="U19" s="37" t="n">
        <v>5846810.24</v>
      </c>
      <c r="V19" s="18" t="n">
        <v>5815489.82</v>
      </c>
      <c r="W19" s="18" t="n">
        <v>7085790.22</v>
      </c>
      <c r="X19" s="18" t="n">
        <v>8731562.390000001</v>
      </c>
      <c r="Y19" s="18" t="n">
        <v>9656976.949999999</v>
      </c>
      <c r="Z19" s="37" t="n">
        <v>9656976.949999999</v>
      </c>
      <c r="AA19" s="18" t="n">
        <v>9728218.4</v>
      </c>
      <c r="AB19" s="19" t="n">
        <v>13535847.67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종속기업및관계기업투자</t>
        </is>
      </c>
      <c r="E20" s="18" t="n">
        <v>2076361.14</v>
      </c>
      <c r="F20" s="37" t="n">
        <v>2076361.14</v>
      </c>
      <c r="G20" s="18" t="n">
        <v>2101880.56</v>
      </c>
      <c r="H20" s="18" t="n">
        <v>2102269.45</v>
      </c>
      <c r="I20" s="18" t="n">
        <v>2104634.57</v>
      </c>
      <c r="J20" s="18" t="n">
        <v>2142718.19</v>
      </c>
      <c r="K20" s="37" t="n">
        <v>2142718.19</v>
      </c>
      <c r="L20" s="18" t="n">
        <v>2156290.43</v>
      </c>
      <c r="M20" s="18" t="n">
        <v>2167027.29</v>
      </c>
      <c r="N20" s="18" t="n">
        <v>2170018.05</v>
      </c>
      <c r="O20" s="18" t="n">
        <v>2174416.52</v>
      </c>
      <c r="P20" s="37" t="n">
        <v>2174416.52</v>
      </c>
      <c r="Q20" s="18" t="n">
        <v>2179373.78</v>
      </c>
      <c r="R20" s="18" t="n">
        <v>2500994.8</v>
      </c>
      <c r="S20" s="18" t="n">
        <v>2502055.81</v>
      </c>
      <c r="T20" s="18" t="n">
        <v>3079743.81</v>
      </c>
      <c r="U20" s="37" t="n">
        <v>3079743.81</v>
      </c>
      <c r="V20" s="18" t="n">
        <v>3079743.81</v>
      </c>
      <c r="W20" s="18" t="n">
        <v>3096732.29</v>
      </c>
      <c r="X20" s="18" t="n">
        <v>4201415.97</v>
      </c>
      <c r="Y20" s="18" t="n">
        <v>4201415.97</v>
      </c>
      <c r="Z20" s="37" t="n">
        <v>4201415.97</v>
      </c>
      <c r="AA20" s="18" t="n">
        <v>4202420.68</v>
      </c>
      <c r="AB20" s="19" t="n">
        <v>4358503.8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사용권자산</t>
        </is>
      </c>
      <c r="E21" s="18" t="n">
        <v>24633.01</v>
      </c>
      <c r="F21" s="37" t="n">
        <v>24633.01</v>
      </c>
      <c r="G21" s="18" t="n">
        <v>23862.44</v>
      </c>
      <c r="H21" s="18" t="n">
        <v>25286.24</v>
      </c>
      <c r="I21" s="18" t="n">
        <v>24567.87</v>
      </c>
      <c r="J21" s="18" t="n">
        <v>31189.47</v>
      </c>
      <c r="K21" s="37" t="n">
        <v>31189.47</v>
      </c>
      <c r="L21" s="18" t="n">
        <v>28842.12</v>
      </c>
      <c r="M21" s="18" t="n">
        <v>29305.02</v>
      </c>
      <c r="N21" s="18" t="n">
        <v>29263.65</v>
      </c>
      <c r="O21" s="18" t="n">
        <v>29085.44</v>
      </c>
      <c r="P21" s="37" t="n">
        <v>29085.44</v>
      </c>
      <c r="Q21" s="18" t="n">
        <v>27777.07</v>
      </c>
      <c r="R21" s="18" t="n">
        <v>29402.48</v>
      </c>
      <c r="S21" s="18" t="n">
        <v>27730.46</v>
      </c>
      <c r="T21" s="18" t="n">
        <v>31940.33</v>
      </c>
      <c r="U21" s="37" t="n">
        <v>31940.33</v>
      </c>
      <c r="V21" s="18" t="n">
        <v>31429.99</v>
      </c>
      <c r="W21" s="18" t="n">
        <v>29914.93</v>
      </c>
      <c r="X21" s="18" t="n">
        <v>28216.98</v>
      </c>
      <c r="Y21" s="18" t="n">
        <v>20485.31</v>
      </c>
      <c r="Z21" s="37" t="n">
        <v>20485.31</v>
      </c>
      <c r="AA21" s="18" t="n">
        <v>19156.37</v>
      </c>
      <c r="AB21" s="19" t="n">
        <v>21427.52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유형자산</t>
        </is>
      </c>
      <c r="E22" s="18" t="n">
        <v>1686066.61</v>
      </c>
      <c r="F22" s="37" t="n">
        <v>1686066.61</v>
      </c>
      <c r="G22" s="18" t="n">
        <v>1675929.73</v>
      </c>
      <c r="H22" s="18" t="n">
        <v>1651266.07</v>
      </c>
      <c r="I22" s="18" t="n">
        <v>1662029.72</v>
      </c>
      <c r="J22" s="18" t="n">
        <v>1682697.45</v>
      </c>
      <c r="K22" s="37" t="n">
        <v>1682697.45</v>
      </c>
      <c r="L22" s="18" t="n">
        <v>1629393.09</v>
      </c>
      <c r="M22" s="18" t="n">
        <v>1641970.54</v>
      </c>
      <c r="N22" s="18" t="n">
        <v>1660969.35</v>
      </c>
      <c r="O22" s="18" t="n">
        <v>1647382.6</v>
      </c>
      <c r="P22" s="37" t="n">
        <v>1647382.6</v>
      </c>
      <c r="Q22" s="18" t="n">
        <v>1625817.5</v>
      </c>
      <c r="R22" s="18" t="n">
        <v>1622853.43</v>
      </c>
      <c r="S22" s="18" t="n">
        <v>1573265.78</v>
      </c>
      <c r="T22" s="18" t="n">
        <v>1546196.24</v>
      </c>
      <c r="U22" s="37" t="n">
        <v>1546196.24</v>
      </c>
      <c r="V22" s="18" t="n">
        <v>2394751.96</v>
      </c>
      <c r="W22" s="18" t="n">
        <v>2396921.9</v>
      </c>
      <c r="X22" s="18" t="n">
        <v>2360733.57</v>
      </c>
      <c r="Y22" s="18" t="n">
        <v>2298805.12</v>
      </c>
      <c r="Z22" s="37" t="n">
        <v>2298805.12</v>
      </c>
      <c r="AA22" s="18" t="n">
        <v>2303207.93</v>
      </c>
      <c r="AB22" s="19" t="n">
        <v>2276886.63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무형자산</t>
        </is>
      </c>
      <c r="E23" s="18" t="n">
        <v>8389.549999999999</v>
      </c>
      <c r="F23" s="37" t="n">
        <v>8389.549999999999</v>
      </c>
      <c r="G23" s="18" t="n">
        <v>8464.709999999999</v>
      </c>
      <c r="H23" s="18" t="n">
        <v>8275.950000000001</v>
      </c>
      <c r="I23" s="18" t="n">
        <v>8185.89</v>
      </c>
      <c r="J23" s="18" t="n">
        <v>8450.25</v>
      </c>
      <c r="K23" s="37" t="n">
        <v>8450.25</v>
      </c>
      <c r="L23" s="18" t="n">
        <v>8261.530000000001</v>
      </c>
      <c r="M23" s="18" t="n">
        <v>8247.42</v>
      </c>
      <c r="N23" s="18" t="n">
        <v>8074.7</v>
      </c>
      <c r="O23" s="18" t="n">
        <v>7794.26</v>
      </c>
      <c r="P23" s="37" t="n">
        <v>7794.26</v>
      </c>
      <c r="Q23" s="18" t="n">
        <v>7801.54</v>
      </c>
      <c r="R23" s="18" t="n">
        <v>7616.67</v>
      </c>
      <c r="S23" s="18" t="n">
        <v>7398.84</v>
      </c>
      <c r="T23" s="18" t="n">
        <v>7340.67</v>
      </c>
      <c r="U23" s="37" t="n">
        <v>7340.67</v>
      </c>
      <c r="V23" s="18" t="n">
        <v>7175.82</v>
      </c>
      <c r="W23" s="18" t="n">
        <v>7035.25</v>
      </c>
      <c r="X23" s="18" t="n">
        <v>6608.96</v>
      </c>
      <c r="Y23" s="18" t="n">
        <v>6486.98</v>
      </c>
      <c r="Z23" s="37" t="n">
        <v>6486.98</v>
      </c>
      <c r="AA23" s="18" t="n">
        <v>8546.01</v>
      </c>
      <c r="AB23" s="19" t="n">
        <v>8467.16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투자부동산</t>
        </is>
      </c>
      <c r="E24" s="18" t="n">
        <v>560331.3100000001</v>
      </c>
      <c r="F24" s="37" t="n">
        <v>560331.3100000001</v>
      </c>
      <c r="G24" s="18" t="n">
        <v>564288.89</v>
      </c>
      <c r="H24" s="18" t="n">
        <v>576423.9</v>
      </c>
      <c r="I24" s="18" t="n">
        <v>572889.48</v>
      </c>
      <c r="J24" s="18" t="n">
        <v>594112.4300000001</v>
      </c>
      <c r="K24" s="37" t="n">
        <v>594112.4300000001</v>
      </c>
      <c r="L24" s="18" t="n">
        <v>655734.0600000001</v>
      </c>
      <c r="M24" s="18" t="n">
        <v>655237.3100000001</v>
      </c>
      <c r="N24" s="18" t="n">
        <v>640515.15</v>
      </c>
      <c r="O24" s="18" t="n">
        <v>661961.58</v>
      </c>
      <c r="P24" s="37" t="n">
        <v>661961.58</v>
      </c>
      <c r="Q24" s="18" t="n">
        <v>665692.15</v>
      </c>
      <c r="R24" s="18" t="n">
        <v>662957.91</v>
      </c>
      <c r="S24" s="18" t="n">
        <v>699780.53</v>
      </c>
      <c r="T24" s="18" t="n">
        <v>698770.48</v>
      </c>
      <c r="U24" s="37" t="n">
        <v>698770.48</v>
      </c>
      <c r="V24" s="18" t="n">
        <v>1123992.16</v>
      </c>
      <c r="W24" s="18" t="n">
        <v>1103022.05</v>
      </c>
      <c r="X24" s="18" t="n">
        <v>1116733.19</v>
      </c>
      <c r="Y24" s="18" t="n">
        <v>1106323.17</v>
      </c>
      <c r="Z24" s="37" t="n">
        <v>1106323.17</v>
      </c>
      <c r="AA24" s="18" t="n">
        <v>1103060.83</v>
      </c>
      <c r="AB24" s="19" t="n">
        <v>1120313.18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자산총계</t>
        </is>
      </c>
      <c r="E25" s="18" t="n">
        <v>8810372.41</v>
      </c>
      <c r="F25" s="37" t="n">
        <v>8810372.41</v>
      </c>
      <c r="G25" s="18" t="n">
        <v>9132193.279999999</v>
      </c>
      <c r="H25" s="18" t="n">
        <v>9357785.17</v>
      </c>
      <c r="I25" s="18" t="n">
        <v>8570620.470000001</v>
      </c>
      <c r="J25" s="18" t="n">
        <v>8803079.609999999</v>
      </c>
      <c r="K25" s="37" t="n">
        <v>8803079.609999999</v>
      </c>
      <c r="L25" s="18" t="n">
        <v>8961189.35</v>
      </c>
      <c r="M25" s="18" t="n">
        <v>9244886.15</v>
      </c>
      <c r="N25" s="18" t="n">
        <v>9316649.91</v>
      </c>
      <c r="O25" s="18" t="n">
        <v>9657272.5</v>
      </c>
      <c r="P25" s="37" t="n">
        <v>9657272.5</v>
      </c>
      <c r="Q25" s="18" t="n">
        <v>10353273.31</v>
      </c>
      <c r="R25" s="18" t="n">
        <v>10489163.22</v>
      </c>
      <c r="S25" s="18" t="n">
        <v>10524382.47</v>
      </c>
      <c r="T25" s="18" t="n">
        <v>10299544.78</v>
      </c>
      <c r="U25" s="37" t="n">
        <v>10299544.78</v>
      </c>
      <c r="V25" s="18" t="n">
        <v>11978867.34</v>
      </c>
      <c r="W25" s="18" t="n">
        <v>12855841.4</v>
      </c>
      <c r="X25" s="18" t="n">
        <v>14305114.5</v>
      </c>
      <c r="Y25" s="18" t="n">
        <v>15126548.8</v>
      </c>
      <c r="Z25" s="37" t="n">
        <v>15126548.8</v>
      </c>
      <c r="AA25" s="18" t="n">
        <v>15635749.3</v>
      </c>
      <c r="AB25" s="19" t="n">
        <v>18958097.32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유동부채</t>
        </is>
      </c>
      <c r="E26" s="18" t="n">
        <v>1715523.11</v>
      </c>
      <c r="F26" s="37" t="n">
        <v>1715523.11</v>
      </c>
      <c r="G26" s="18" t="n">
        <v>2080099.89</v>
      </c>
      <c r="H26" s="18" t="n">
        <v>2024890.42</v>
      </c>
      <c r="I26" s="18" t="n">
        <v>1617175.37</v>
      </c>
      <c r="J26" s="18" t="n">
        <v>1872544.28</v>
      </c>
      <c r="K26" s="37" t="n">
        <v>1872544.28</v>
      </c>
      <c r="L26" s="18" t="n">
        <v>2548866.86</v>
      </c>
      <c r="M26" s="18" t="n">
        <v>2611180.26</v>
      </c>
      <c r="N26" s="18" t="n">
        <v>2598171.75</v>
      </c>
      <c r="O26" s="18" t="n">
        <v>2940655.63</v>
      </c>
      <c r="P26" s="37" t="n">
        <v>2940655.63</v>
      </c>
      <c r="Q26" s="18" t="n">
        <v>2555316.61</v>
      </c>
      <c r="R26" s="18" t="n">
        <v>2315621.62</v>
      </c>
      <c r="S26" s="18" t="n">
        <v>2323877.13</v>
      </c>
      <c r="T26" s="18" t="n">
        <v>2061750.2</v>
      </c>
      <c r="U26" s="37" t="n">
        <v>2061750.2</v>
      </c>
      <c r="V26" s="18" t="n">
        <v>2179419.69</v>
      </c>
      <c r="W26" s="18" t="n">
        <v>2058958.74</v>
      </c>
      <c r="X26" s="18" t="n">
        <v>3057296.73</v>
      </c>
      <c r="Y26" s="18" t="n">
        <v>3131736.42</v>
      </c>
      <c r="Z26" s="37" t="n">
        <v>3131736.42</v>
      </c>
      <c r="AA26" s="18" t="n">
        <v>3457853.77</v>
      </c>
      <c r="AB26" s="19" t="n">
        <v>3720364.22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매입채무및기타채무</t>
        </is>
      </c>
      <c r="E27" s="18" t="n">
        <v>240105.18</v>
      </c>
      <c r="F27" s="37" t="n">
        <v>240105.18</v>
      </c>
      <c r="G27" s="18" t="n">
        <v>256748.09</v>
      </c>
      <c r="H27" s="18" t="n">
        <v>273919.34</v>
      </c>
      <c r="I27" s="18" t="n">
        <v>261330.37</v>
      </c>
      <c r="J27" s="18" t="n">
        <v>256239.41</v>
      </c>
      <c r="K27" s="37" t="n">
        <v>256239.41</v>
      </c>
      <c r="L27" s="18" t="n">
        <v>254155.66</v>
      </c>
      <c r="M27" s="18" t="n">
        <v>274767.03</v>
      </c>
      <c r="N27" s="18" t="n">
        <v>259248.56</v>
      </c>
      <c r="O27" s="18" t="n">
        <v>269335.43</v>
      </c>
      <c r="P27" s="37" t="n">
        <v>269335.43</v>
      </c>
      <c r="Q27" s="18" t="n">
        <v>264217.76</v>
      </c>
      <c r="R27" s="18" t="n">
        <v>298397.1</v>
      </c>
      <c r="S27" s="18" t="n">
        <v>261625.03</v>
      </c>
      <c r="T27" s="18" t="n">
        <v>252195.8</v>
      </c>
      <c r="U27" s="37" t="n">
        <v>252195.8</v>
      </c>
      <c r="V27" s="18" t="n">
        <v>249991.29</v>
      </c>
      <c r="W27" s="18" t="n">
        <v>262388.7</v>
      </c>
      <c r="X27" s="18" t="n">
        <v>249827.95</v>
      </c>
      <c r="Y27" s="18" t="n">
        <v>235479.98</v>
      </c>
      <c r="Z27" s="37" t="n">
        <v>235479.98</v>
      </c>
      <c r="AA27" s="18" t="n">
        <v>261546.78</v>
      </c>
      <c r="AB27" s="19" t="n">
        <v>316525.44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단기차입금</t>
        </is>
      </c>
      <c r="E28" s="18" t="n">
        <v>817644.85</v>
      </c>
      <c r="F28" s="37" t="n">
        <v>817644.85</v>
      </c>
      <c r="G28" s="18" t="n">
        <v>887986.49</v>
      </c>
      <c r="H28" s="18" t="n">
        <v>751382.88</v>
      </c>
      <c r="I28" s="18" t="n">
        <v>419908.48</v>
      </c>
      <c r="J28" s="18" t="n">
        <v>423861.36</v>
      </c>
      <c r="K28" s="37" t="n">
        <v>423861.36</v>
      </c>
      <c r="L28" s="18" t="n">
        <v>892067.52</v>
      </c>
      <c r="M28" s="18" t="n">
        <v>832370.38</v>
      </c>
      <c r="N28" s="18" t="n">
        <v>818886.4300000001</v>
      </c>
      <c r="O28" s="18" t="n">
        <v>1041051.05</v>
      </c>
      <c r="P28" s="37" t="n">
        <v>1041051.05</v>
      </c>
      <c r="Q28" s="18" t="n">
        <v>879207.37</v>
      </c>
      <c r="R28" s="18" t="n">
        <v>742843.62</v>
      </c>
      <c r="S28" s="18" t="n">
        <v>791293.1800000001</v>
      </c>
      <c r="T28" s="18" t="n">
        <v>688405.34</v>
      </c>
      <c r="U28" s="37" t="n">
        <v>688405.34</v>
      </c>
      <c r="V28" s="18" t="n">
        <v>782545.3</v>
      </c>
      <c r="W28" s="18" t="n">
        <v>769309.89</v>
      </c>
      <c r="X28" s="18" t="n">
        <v>780302.6899999999</v>
      </c>
      <c r="Y28" s="18" t="n">
        <v>733327.35</v>
      </c>
      <c r="Z28" s="37" t="n">
        <v>733327.35</v>
      </c>
      <c r="AA28" s="18" t="n">
        <v>776978.74</v>
      </c>
      <c r="AB28" s="19" t="n">
        <v>769349.41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유동성장기부채</t>
        </is>
      </c>
      <c r="E29" s="18" t="n">
        <v>180000</v>
      </c>
      <c r="F29" s="37" t="n">
        <v>180000</v>
      </c>
      <c r="G29" s="18" t="n">
        <v>379890.05</v>
      </c>
      <c r="H29" s="18" t="n">
        <v>449778.51</v>
      </c>
      <c r="I29" s="18" t="n">
        <v>349846.7</v>
      </c>
      <c r="J29" s="18" t="n">
        <v>669746.22</v>
      </c>
      <c r="K29" s="37" t="n">
        <v>669746.22</v>
      </c>
      <c r="L29" s="18" t="n">
        <v>869846.39</v>
      </c>
      <c r="M29" s="18" t="n">
        <v>959145.61</v>
      </c>
      <c r="N29" s="18" t="n">
        <v>960202.28</v>
      </c>
      <c r="O29" s="18" t="n">
        <v>908487.2</v>
      </c>
      <c r="P29" s="37" t="n">
        <v>908487.2</v>
      </c>
      <c r="Q29" s="18" t="n">
        <v>640994.49</v>
      </c>
      <c r="R29" s="18" t="n">
        <v>673541.98</v>
      </c>
      <c r="S29" s="18" t="n">
        <v>672499.95</v>
      </c>
      <c r="T29" s="18" t="n">
        <v>457495.69</v>
      </c>
      <c r="U29" s="37" t="n">
        <v>457495.69</v>
      </c>
      <c r="V29" s="18" t="n">
        <v>464798.17</v>
      </c>
      <c r="W29" s="18" t="n">
        <v>469645.83</v>
      </c>
      <c r="X29" s="18" t="n">
        <v>1170380.85</v>
      </c>
      <c r="Y29" s="18" t="n">
        <v>1313396.32</v>
      </c>
      <c r="Z29" s="37" t="n">
        <v>1313396.32</v>
      </c>
      <c r="AA29" s="18" t="n">
        <v>1607554.63</v>
      </c>
      <c r="AB29" s="19" t="n">
        <v>2041868.19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단기충당부채</t>
        </is>
      </c>
      <c r="E30" s="18" t="n">
        <v>6543.51</v>
      </c>
      <c r="F30" s="37" t="n">
        <v>6543.51</v>
      </c>
      <c r="G30" s="18" t="n">
        <v>6877.63</v>
      </c>
      <c r="H30" s="18" t="n">
        <v>2627.64</v>
      </c>
      <c r="I30" s="18" t="n">
        <v>2727.72</v>
      </c>
      <c r="J30" s="18" t="n">
        <v>2296.82</v>
      </c>
      <c r="K30" s="37" t="n">
        <v>2296.82</v>
      </c>
      <c r="L30" s="18" t="n">
        <v>2383.94</v>
      </c>
      <c r="M30" s="18" t="n">
        <v>2490.55</v>
      </c>
      <c r="N30" s="18" t="n">
        <v>2573.68</v>
      </c>
      <c r="O30" s="18" t="n">
        <v>2548.08</v>
      </c>
      <c r="P30" s="37" t="n">
        <v>2548.08</v>
      </c>
      <c r="Q30" s="18" t="n">
        <v>2622.01</v>
      </c>
      <c r="R30" s="18" t="n">
        <v>2707.6</v>
      </c>
      <c r="S30" s="18" t="n">
        <v>2676.75</v>
      </c>
      <c r="T30" s="18" t="n">
        <v>2780.74</v>
      </c>
      <c r="U30" s="37" t="n">
        <v>2780.74</v>
      </c>
      <c r="V30" s="18" t="n">
        <v>2691.59</v>
      </c>
      <c r="W30" s="18" t="n">
        <v>2678.54</v>
      </c>
      <c r="X30" s="18" t="n">
        <v>2677.78</v>
      </c>
      <c r="Y30" s="18" t="n">
        <v>2649.08</v>
      </c>
      <c r="Z30" s="37" t="n">
        <v>2649.08</v>
      </c>
      <c r="AA30" s="18" t="n">
        <v>2397.58</v>
      </c>
      <c r="AB30" s="19" t="n">
        <v>2402.44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당기법인세부채(미지급법인세)</t>
        </is>
      </c>
      <c r="E31" s="18" t="n">
        <v>5146.05</v>
      </c>
      <c r="F31" s="37" t="n">
        <v>5146.05</v>
      </c>
      <c r="G31" s="18" t="n">
        <v>51844.16</v>
      </c>
      <c r="H31" s="18" t="n">
        <v>50265.93</v>
      </c>
      <c r="I31" s="18" t="n">
        <v>46773.92</v>
      </c>
      <c r="J31" s="18" t="n">
        <v>16081.26</v>
      </c>
      <c r="K31" s="37" t="n">
        <v>16081.26</v>
      </c>
      <c r="L31" s="18" t="n">
        <v>8310.860000000001</v>
      </c>
      <c r="M31" s="18" t="n">
        <v>20159.57</v>
      </c>
      <c r="N31" s="18" t="n">
        <v>34272.92</v>
      </c>
      <c r="O31" s="18" t="n">
        <v>20312.28</v>
      </c>
      <c r="P31" s="37" t="n">
        <v>20312.28</v>
      </c>
      <c r="Q31" s="18" t="n">
        <v>58598.53</v>
      </c>
      <c r="R31" s="18" t="n">
        <v>67506.56</v>
      </c>
      <c r="S31" s="18" t="n">
        <v>65299.47</v>
      </c>
      <c r="T31" s="18" t="n">
        <v>102655.11</v>
      </c>
      <c r="U31" s="37" t="n">
        <v>102655.11</v>
      </c>
      <c r="V31" s="18" t="n">
        <v>97021.45</v>
      </c>
      <c r="W31" s="18" t="n">
        <v>42736.02</v>
      </c>
      <c r="X31" s="18" t="n">
        <v>41623.6</v>
      </c>
      <c r="Y31" s="18" t="n">
        <v>36673.8</v>
      </c>
      <c r="Z31" s="37" t="n">
        <v>36673.8</v>
      </c>
      <c r="AA31" s="18" t="n">
        <v>40663.25</v>
      </c>
      <c r="AB31" s="19" t="n">
        <v>27111.65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비유동부채</t>
        </is>
      </c>
      <c r="E32" s="18" t="n">
        <v>2041225.42</v>
      </c>
      <c r="F32" s="37" t="n">
        <v>2041225.42</v>
      </c>
      <c r="G32" s="18" t="n">
        <v>2164830.48</v>
      </c>
      <c r="H32" s="18" t="n">
        <v>2341735.69</v>
      </c>
      <c r="I32" s="18" t="n">
        <v>2250087.38</v>
      </c>
      <c r="J32" s="18" t="n">
        <v>2018562.71</v>
      </c>
      <c r="K32" s="37" t="n">
        <v>2018562.71</v>
      </c>
      <c r="L32" s="18" t="n">
        <v>1495006.46</v>
      </c>
      <c r="M32" s="18" t="n">
        <v>1579191.92</v>
      </c>
      <c r="N32" s="18" t="n">
        <v>1572846.8</v>
      </c>
      <c r="O32" s="18" t="n">
        <v>1358330.69</v>
      </c>
      <c r="P32" s="37" t="n">
        <v>1358330.69</v>
      </c>
      <c r="Q32" s="18" t="n">
        <v>1916095.69</v>
      </c>
      <c r="R32" s="18" t="n">
        <v>2271867.9</v>
      </c>
      <c r="S32" s="18" t="n">
        <v>2269337.02</v>
      </c>
      <c r="T32" s="18" t="n">
        <v>2373548.47</v>
      </c>
      <c r="U32" s="37" t="n">
        <v>2373548.47</v>
      </c>
      <c r="V32" s="18" t="n">
        <v>2900929.42</v>
      </c>
      <c r="W32" s="18" t="n">
        <v>2959819.87</v>
      </c>
      <c r="X32" s="18" t="n">
        <v>3056512.57</v>
      </c>
      <c r="Y32" s="18" t="n">
        <v>3140683.53</v>
      </c>
      <c r="Z32" s="37" t="n">
        <v>3140683.53</v>
      </c>
      <c r="AA32" s="18" t="n">
        <v>3203626.81</v>
      </c>
      <c r="AB32" s="19" t="n">
        <v>3433354.05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장기차입금</t>
        </is>
      </c>
      <c r="E33" s="18" t="n">
        <v>434820.79</v>
      </c>
      <c r="F33" s="37" t="n">
        <v>434820.79</v>
      </c>
      <c r="G33" s="18" t="n">
        <v>807010.15</v>
      </c>
      <c r="H33" s="18" t="n">
        <v>809488.33</v>
      </c>
      <c r="I33" s="18" t="n">
        <v>819149.17</v>
      </c>
      <c r="J33" s="18" t="n">
        <v>809051.14</v>
      </c>
      <c r="K33" s="37" t="n">
        <v>809051.14</v>
      </c>
      <c r="L33" s="18" t="n">
        <v>266587.06</v>
      </c>
      <c r="M33" s="18" t="n">
        <v>228037.34</v>
      </c>
      <c r="N33" s="18" t="n">
        <v>227716.38</v>
      </c>
      <c r="O33" s="18" t="n">
        <v>128268.45</v>
      </c>
      <c r="P33" s="37" t="n">
        <v>128268.45</v>
      </c>
      <c r="Q33" s="18" t="n">
        <v>0</v>
      </c>
      <c r="R33" s="18" t="n">
        <v>644589.99</v>
      </c>
      <c r="S33" s="18" t="n">
        <v>644626.5</v>
      </c>
      <c r="T33" s="18" t="n">
        <v>644663.01</v>
      </c>
      <c r="U33" s="37" t="n">
        <v>644663.01</v>
      </c>
      <c r="V33" s="18" t="n">
        <v>644698.74</v>
      </c>
      <c r="W33" s="18" t="n">
        <v>644734.87</v>
      </c>
      <c r="X33" s="18" t="n">
        <v>644771.41</v>
      </c>
      <c r="Y33" s="18" t="n">
        <v>644807.96</v>
      </c>
      <c r="Z33" s="37" t="n">
        <v>644807.96</v>
      </c>
      <c r="AA33" s="18" t="n">
        <v>644843.73</v>
      </c>
      <c r="AB33" s="5" t="n"/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사채</t>
        </is>
      </c>
      <c r="E34" s="18" t="n">
        <v>1168017.83</v>
      </c>
      <c r="F34" s="37" t="n">
        <v>1168017.83</v>
      </c>
      <c r="G34" s="18" t="n">
        <v>968354.8100000001</v>
      </c>
      <c r="H34" s="18" t="n">
        <v>1117873.45</v>
      </c>
      <c r="I34" s="18" t="n">
        <v>1118099.16</v>
      </c>
      <c r="J34" s="18" t="n">
        <v>798493.51</v>
      </c>
      <c r="K34" s="37" t="n">
        <v>798493.51</v>
      </c>
      <c r="L34" s="18" t="n">
        <v>798672.52</v>
      </c>
      <c r="M34" s="18" t="n">
        <v>918134.6800000001</v>
      </c>
      <c r="N34" s="18" t="n">
        <v>918321.73</v>
      </c>
      <c r="O34" s="18" t="n">
        <v>748637.26</v>
      </c>
      <c r="P34" s="37" t="n">
        <v>748637.26</v>
      </c>
      <c r="Q34" s="18" t="n">
        <v>1327304.97</v>
      </c>
      <c r="R34" s="18" t="n">
        <v>1057792.36</v>
      </c>
      <c r="S34" s="18" t="n">
        <v>1058013.45</v>
      </c>
      <c r="T34" s="18" t="n">
        <v>1307469.09</v>
      </c>
      <c r="U34" s="37" t="n">
        <v>1307469.09</v>
      </c>
      <c r="V34" s="18" t="n">
        <v>1561826.92</v>
      </c>
      <c r="W34" s="18" t="n">
        <v>1287383.69</v>
      </c>
      <c r="X34" s="18" t="n">
        <v>1287652.9</v>
      </c>
      <c r="Y34" s="18" t="n">
        <v>1128051.57</v>
      </c>
      <c r="Z34" s="37" t="n">
        <v>1128051.57</v>
      </c>
      <c r="AA34" s="18" t="n">
        <v>1147519.77</v>
      </c>
      <c r="AB34" s="19" t="n">
        <v>1117780.9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기타비유동금융부채</t>
        </is>
      </c>
      <c r="E35" s="18" t="n">
        <v>18940.58</v>
      </c>
      <c r="F35" s="37" t="n">
        <v>18940.58</v>
      </c>
      <c r="G35" s="18" t="n">
        <v>8621.139999999999</v>
      </c>
      <c r="H35" s="18" t="n">
        <v>5566.21</v>
      </c>
      <c r="I35" s="18" t="n">
        <v>1607.17</v>
      </c>
      <c r="J35" s="18" t="n">
        <v>57445.32</v>
      </c>
      <c r="K35" s="37" t="n">
        <v>57445.32</v>
      </c>
      <c r="L35" s="18" t="n">
        <v>31577.61</v>
      </c>
      <c r="M35" s="18" t="n">
        <v>20696.72</v>
      </c>
      <c r="N35" s="18" t="n">
        <v>3749.29</v>
      </c>
      <c r="P35" s="9" t="n"/>
      <c r="U35" s="9" t="n"/>
      <c r="Z35" s="9" t="n"/>
      <c r="AB35" s="5" t="n"/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장기금융부채</t>
        </is>
      </c>
      <c r="E36" s="18" t="n">
        <v>18940.58</v>
      </c>
      <c r="F36" s="37" t="n">
        <v>18940.58</v>
      </c>
      <c r="G36" s="18" t="n">
        <v>8621.139999999999</v>
      </c>
      <c r="H36" s="18" t="n">
        <v>5566.21</v>
      </c>
      <c r="I36" s="18" t="n">
        <v>1607.17</v>
      </c>
      <c r="J36" s="18" t="n">
        <v>57445.32</v>
      </c>
      <c r="K36" s="37" t="n">
        <v>57445.32</v>
      </c>
      <c r="L36" s="18" t="n">
        <v>31577.61</v>
      </c>
      <c r="M36" s="18" t="n">
        <v>20696.72</v>
      </c>
      <c r="N36" s="18" t="n">
        <v>3749.29</v>
      </c>
      <c r="P36" s="9" t="n"/>
      <c r="U36" s="9" t="n"/>
      <c r="Z36" s="9" t="n"/>
      <c r="AB36" s="5" t="n"/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확정급여부채</t>
        </is>
      </c>
      <c r="E37" s="18" t="n">
        <v>3662.09</v>
      </c>
      <c r="F37" s="37" t="n">
        <v>3662.09</v>
      </c>
      <c r="G37" s="18" t="n">
        <v>3663.42</v>
      </c>
      <c r="H37" s="18" t="n">
        <v>3583.57</v>
      </c>
      <c r="I37" s="18" t="n">
        <v>3529.66</v>
      </c>
      <c r="J37" s="18" t="n">
        <v>3850.89</v>
      </c>
      <c r="K37" s="37" t="n">
        <v>3850.89</v>
      </c>
      <c r="L37" s="18" t="n">
        <v>4086.22</v>
      </c>
      <c r="M37" s="18" t="n">
        <v>4137.5</v>
      </c>
      <c r="N37" s="18" t="n">
        <v>4312.39</v>
      </c>
      <c r="O37" s="18" t="n">
        <v>5569.62</v>
      </c>
      <c r="P37" s="37" t="n">
        <v>5569.62</v>
      </c>
      <c r="Q37" s="18" t="n">
        <v>5481.84</v>
      </c>
      <c r="R37" s="18" t="n">
        <v>6144.64</v>
      </c>
      <c r="S37" s="18" t="n">
        <v>11966.1</v>
      </c>
      <c r="T37" s="18" t="n">
        <v>7515.15</v>
      </c>
      <c r="U37" s="37" t="n">
        <v>7515.15</v>
      </c>
      <c r="V37" s="18" t="n">
        <v>7468.03</v>
      </c>
      <c r="W37" s="18" t="n">
        <v>9725.969999999999</v>
      </c>
      <c r="X37" s="18" t="n">
        <v>15543.98</v>
      </c>
      <c r="Y37" s="18" t="n">
        <v>9931.4</v>
      </c>
      <c r="Z37" s="37" t="n">
        <v>9931.4</v>
      </c>
      <c r="AA37" s="18" t="n">
        <v>9862.459999999999</v>
      </c>
      <c r="AB37" s="19" t="n">
        <v>9791.24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장기충당부채</t>
        </is>
      </c>
      <c r="E38" s="18" t="n">
        <v>688.12</v>
      </c>
      <c r="F38" s="37" t="n">
        <v>688.12</v>
      </c>
      <c r="G38" s="18" t="n">
        <v>693.27</v>
      </c>
      <c r="H38" s="18" t="n">
        <v>596.1799999999999</v>
      </c>
      <c r="I38" s="18" t="n">
        <v>608.09</v>
      </c>
      <c r="J38" s="18" t="n">
        <v>660.39</v>
      </c>
      <c r="K38" s="37" t="n">
        <v>660.39</v>
      </c>
      <c r="L38" s="18" t="n">
        <v>714.9299999999999</v>
      </c>
      <c r="M38" s="18" t="n">
        <v>724.29</v>
      </c>
      <c r="N38" s="18" t="n">
        <v>764.59</v>
      </c>
      <c r="O38" s="18" t="n">
        <v>787.65</v>
      </c>
      <c r="P38" s="37" t="n">
        <v>787.65</v>
      </c>
      <c r="Q38" s="18" t="n">
        <v>833.98</v>
      </c>
      <c r="R38" s="18" t="n">
        <v>856.55</v>
      </c>
      <c r="S38" s="18" t="n">
        <v>909.33</v>
      </c>
      <c r="T38" s="18" t="n">
        <v>923.5700000000001</v>
      </c>
      <c r="U38" s="37" t="n">
        <v>923.5700000000001</v>
      </c>
      <c r="V38" s="18" t="n">
        <v>967.2</v>
      </c>
      <c r="W38" s="18" t="n">
        <v>951.27</v>
      </c>
      <c r="X38" s="18" t="n">
        <v>1001.14</v>
      </c>
      <c r="Y38" s="18" t="n">
        <v>992.6</v>
      </c>
      <c r="Z38" s="37" t="n">
        <v>992.6</v>
      </c>
      <c r="AA38" s="18" t="n">
        <v>1055.97</v>
      </c>
      <c r="AB38" s="19" t="n">
        <v>1038.89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이연법인세부채</t>
        </is>
      </c>
      <c r="E39" s="18" t="n">
        <v>339243.99</v>
      </c>
      <c r="F39" s="37" t="n">
        <v>339243.99</v>
      </c>
      <c r="G39" s="18" t="n">
        <v>299512.84</v>
      </c>
      <c r="H39" s="18" t="n">
        <v>331373.93</v>
      </c>
      <c r="I39" s="18" t="n">
        <v>235605.99</v>
      </c>
      <c r="J39" s="18" t="n">
        <v>273884.26</v>
      </c>
      <c r="K39" s="37" t="n">
        <v>273884.26</v>
      </c>
      <c r="L39" s="18" t="n">
        <v>296835.38</v>
      </c>
      <c r="M39" s="18" t="n">
        <v>318147.33</v>
      </c>
      <c r="N39" s="18" t="n">
        <v>329454.99</v>
      </c>
      <c r="O39" s="18" t="n">
        <v>388026.54</v>
      </c>
      <c r="P39" s="37" t="n">
        <v>388026.54</v>
      </c>
      <c r="Q39" s="18" t="n">
        <v>484101.22</v>
      </c>
      <c r="R39" s="18" t="n">
        <v>464401.31</v>
      </c>
      <c r="S39" s="18" t="n">
        <v>468071.15</v>
      </c>
      <c r="T39" s="18" t="n">
        <v>323425.27</v>
      </c>
      <c r="U39" s="37" t="n">
        <v>323425.27</v>
      </c>
      <c r="V39" s="18" t="n">
        <v>590666.21</v>
      </c>
      <c r="W39" s="18" t="n">
        <v>931221.71</v>
      </c>
      <c r="X39" s="18" t="n">
        <v>1027604.83</v>
      </c>
      <c r="Y39" s="18" t="n">
        <v>1277184.49</v>
      </c>
      <c r="Z39" s="37" t="n">
        <v>1277184.49</v>
      </c>
      <c r="AA39" s="18" t="n">
        <v>1323531.88</v>
      </c>
      <c r="AB39" s="19" t="n">
        <v>2234715.14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부채총계</t>
        </is>
      </c>
      <c r="E40" s="18" t="n">
        <v>3756748.54</v>
      </c>
      <c r="F40" s="37" t="n">
        <v>3756748.54</v>
      </c>
      <c r="G40" s="18" t="n">
        <v>4244930.37</v>
      </c>
      <c r="H40" s="18" t="n">
        <v>4366626.11</v>
      </c>
      <c r="I40" s="18" t="n">
        <v>3867262.75</v>
      </c>
      <c r="J40" s="18" t="n">
        <v>3891106.99</v>
      </c>
      <c r="K40" s="37" t="n">
        <v>3891106.99</v>
      </c>
      <c r="L40" s="18" t="n">
        <v>4043873.32</v>
      </c>
      <c r="M40" s="18" t="n">
        <v>4190372.18</v>
      </c>
      <c r="N40" s="18" t="n">
        <v>4171018.55</v>
      </c>
      <c r="O40" s="18" t="n">
        <v>4298986.32</v>
      </c>
      <c r="P40" s="37" t="n">
        <v>4298986.32</v>
      </c>
      <c r="Q40" s="18" t="n">
        <v>4471412.3</v>
      </c>
      <c r="R40" s="18" t="n">
        <v>4587489.52</v>
      </c>
      <c r="S40" s="18" t="n">
        <v>4593214.15</v>
      </c>
      <c r="T40" s="18" t="n">
        <v>4435298.67</v>
      </c>
      <c r="U40" s="37" t="n">
        <v>4435298.67</v>
      </c>
      <c r="V40" s="18" t="n">
        <v>5080349.11</v>
      </c>
      <c r="W40" s="18" t="n">
        <v>5018778.61</v>
      </c>
      <c r="X40" s="18" t="n">
        <v>6113809.29</v>
      </c>
      <c r="Y40" s="18" t="n">
        <v>6272419.95</v>
      </c>
      <c r="Z40" s="37" t="n">
        <v>6272419.95</v>
      </c>
      <c r="AA40" s="18" t="n">
        <v>6661480.58</v>
      </c>
      <c r="AB40" s="19" t="n">
        <v>7153718.28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자본금</t>
        </is>
      </c>
      <c r="E41" s="18" t="n">
        <v>48084.66</v>
      </c>
      <c r="F41" s="37" t="n">
        <v>48084.66</v>
      </c>
      <c r="G41" s="18" t="n">
        <v>48084.66</v>
      </c>
      <c r="H41" s="18" t="n">
        <v>48084.66</v>
      </c>
      <c r="I41" s="18" t="n">
        <v>48084.66</v>
      </c>
      <c r="J41" s="18" t="n">
        <v>48084.66</v>
      </c>
      <c r="K41" s="37" t="n">
        <v>48084.66</v>
      </c>
      <c r="L41" s="18" t="n">
        <v>48084.66</v>
      </c>
      <c r="M41" s="18" t="n">
        <v>48084.66</v>
      </c>
      <c r="N41" s="18" t="n">
        <v>48084.66</v>
      </c>
      <c r="O41" s="18" t="n">
        <v>48084.66</v>
      </c>
      <c r="P41" s="37" t="n">
        <v>48084.66</v>
      </c>
      <c r="Q41" s="18" t="n">
        <v>48084.66</v>
      </c>
      <c r="R41" s="18" t="n">
        <v>48084.66</v>
      </c>
      <c r="S41" s="18" t="n">
        <v>48084.66</v>
      </c>
      <c r="T41" s="18" t="n">
        <v>48084.66</v>
      </c>
      <c r="U41" s="37" t="n">
        <v>48084.66</v>
      </c>
      <c r="V41" s="18" t="n">
        <v>48084.66</v>
      </c>
      <c r="W41" s="18" t="n">
        <v>48084.66</v>
      </c>
      <c r="X41" s="18" t="n">
        <v>48084.66</v>
      </c>
      <c r="Y41" s="18" t="n">
        <v>48084.66</v>
      </c>
      <c r="Z41" s="37" t="n">
        <v>48084.66</v>
      </c>
      <c r="AA41" s="18" t="n">
        <v>48084.66</v>
      </c>
      <c r="AB41" s="19" t="n">
        <v>48084.66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자본잉여금</t>
        </is>
      </c>
      <c r="E42" s="18" t="n">
        <v>553070.8100000001</v>
      </c>
      <c r="F42" s="37" t="n">
        <v>553070.8100000001</v>
      </c>
      <c r="G42" s="18" t="n">
        <v>553070.8100000001</v>
      </c>
      <c r="H42" s="18" t="n">
        <v>553070.8100000001</v>
      </c>
      <c r="I42" s="18" t="n">
        <v>553070.8100000001</v>
      </c>
      <c r="J42" s="18" t="n">
        <v>553070.8100000001</v>
      </c>
      <c r="K42" s="37" t="n">
        <v>553070.8100000001</v>
      </c>
      <c r="L42" s="18" t="n">
        <v>553070.8100000001</v>
      </c>
      <c r="M42" s="18" t="n">
        <v>553070.8100000001</v>
      </c>
      <c r="N42" s="18" t="n">
        <v>553070.8100000001</v>
      </c>
      <c r="O42" s="18" t="n">
        <v>553070.8100000001</v>
      </c>
      <c r="P42" s="37" t="n">
        <v>553070.8100000001</v>
      </c>
      <c r="Q42" s="18" t="n">
        <v>553070.8100000001</v>
      </c>
      <c r="R42" s="18" t="n">
        <v>553070.8100000001</v>
      </c>
      <c r="S42" s="18" t="n">
        <v>553070.8100000001</v>
      </c>
      <c r="T42" s="18" t="n">
        <v>553070.8100000001</v>
      </c>
      <c r="U42" s="37" t="n">
        <v>553070.8100000001</v>
      </c>
      <c r="V42" s="18" t="n">
        <v>553070.8100000001</v>
      </c>
      <c r="W42" s="18" t="n">
        <v>553070.8100000001</v>
      </c>
      <c r="X42" s="18" t="n">
        <v>553070.8100000001</v>
      </c>
      <c r="Y42" s="18" t="n">
        <v>553070.8100000001</v>
      </c>
      <c r="Z42" s="37" t="n">
        <v>553070.8100000001</v>
      </c>
      <c r="AA42" s="18" t="n">
        <v>516415.92</v>
      </c>
      <c r="AB42" s="19" t="n">
        <v>516415.92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기타자본</t>
        </is>
      </c>
      <c r="E43" s="18" t="n">
        <v>-204952.84</v>
      </c>
      <c r="F43" s="37" t="n">
        <v>-204952.84</v>
      </c>
      <c r="G43" s="18" t="n">
        <v>-286379.5</v>
      </c>
      <c r="H43" s="18" t="n">
        <v>-304846.77</v>
      </c>
      <c r="I43" s="18" t="n">
        <v>-304846.77</v>
      </c>
      <c r="J43" s="18" t="n">
        <v>-304846.77</v>
      </c>
      <c r="K43" s="37" t="n">
        <v>-304846.77</v>
      </c>
      <c r="L43" s="18" t="n">
        <v>-304846.77</v>
      </c>
      <c r="M43" s="18" t="n">
        <v>-304846.77</v>
      </c>
      <c r="N43" s="18" t="n">
        <v>-304846.77</v>
      </c>
      <c r="O43" s="18" t="n">
        <v>-304846.77</v>
      </c>
      <c r="P43" s="37" t="n">
        <v>-304846.77</v>
      </c>
      <c r="Q43" s="18" t="n">
        <v>-304846.77</v>
      </c>
      <c r="R43" s="18" t="n">
        <v>-304846.77</v>
      </c>
      <c r="S43" s="18" t="n">
        <v>-304846.77</v>
      </c>
      <c r="T43" s="18" t="n">
        <v>-304846.77</v>
      </c>
      <c r="U43" s="37" t="n">
        <v>-304846.77</v>
      </c>
      <c r="V43" s="18" t="n">
        <v>-304846.77</v>
      </c>
      <c r="W43" s="18" t="n">
        <v>-304846.77</v>
      </c>
      <c r="X43" s="18" t="n">
        <v>-304846.77</v>
      </c>
      <c r="Y43" s="18" t="n">
        <v>-304846.77</v>
      </c>
      <c r="Z43" s="37" t="n">
        <v>-304846.77</v>
      </c>
      <c r="AA43" s="18" t="n">
        <v>-304846.77</v>
      </c>
      <c r="AB43" s="19" t="n">
        <v>-246440.9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기타포괄이익누계액</t>
        </is>
      </c>
      <c r="E44" s="18" t="n">
        <v>-22922.71</v>
      </c>
      <c r="F44" s="37" t="n">
        <v>-22922.71</v>
      </c>
      <c r="G44" s="18" t="n">
        <v>-21421.96</v>
      </c>
      <c r="H44" s="18" t="n">
        <v>-27875.2</v>
      </c>
      <c r="I44" s="18" t="n">
        <v>-31477</v>
      </c>
      <c r="J44" s="18" t="n">
        <v>-33244.08</v>
      </c>
      <c r="K44" s="37" t="n">
        <v>-33244.08</v>
      </c>
      <c r="L44" s="18" t="n">
        <v>-32073.59</v>
      </c>
      <c r="M44" s="18" t="n">
        <v>-29984.94</v>
      </c>
      <c r="N44" s="18" t="n">
        <v>-31507.91</v>
      </c>
      <c r="O44" s="18" t="n">
        <v>-31464.4</v>
      </c>
      <c r="P44" s="37" t="n">
        <v>-31464.4</v>
      </c>
      <c r="Q44" s="18" t="n">
        <v>-31972.32</v>
      </c>
      <c r="R44" s="18" t="n">
        <v>-32214</v>
      </c>
      <c r="S44" s="18" t="n">
        <v>-32214</v>
      </c>
      <c r="T44" s="18" t="n">
        <v>-27839.89</v>
      </c>
      <c r="U44" s="37" t="n">
        <v>-27839.89</v>
      </c>
      <c r="V44" s="18" t="n">
        <v>647600.41</v>
      </c>
      <c r="W44" s="18" t="n">
        <v>652205.16</v>
      </c>
      <c r="X44" s="18" t="n">
        <v>647316.71</v>
      </c>
      <c r="Y44" s="18" t="n">
        <v>628418.0699999999</v>
      </c>
      <c r="Z44" s="37" t="n">
        <v>628418.0699999999</v>
      </c>
      <c r="AA44" s="18" t="n">
        <v>629641.25</v>
      </c>
      <c r="AB44" s="19" t="n">
        <v>634175.67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이익잉여금</t>
        </is>
      </c>
      <c r="E45" s="18" t="n">
        <v>4680343.95</v>
      </c>
      <c r="F45" s="37" t="n">
        <v>4680343.95</v>
      </c>
      <c r="G45" s="18" t="n">
        <v>4593908.89</v>
      </c>
      <c r="H45" s="18" t="n">
        <v>4722725.55</v>
      </c>
      <c r="I45" s="18" t="n">
        <v>4438526.02</v>
      </c>
      <c r="J45" s="18" t="n">
        <v>4648908</v>
      </c>
      <c r="K45" s="37" t="n">
        <v>4648908</v>
      </c>
      <c r="L45" s="18" t="n">
        <v>4653080.92</v>
      </c>
      <c r="M45" s="18" t="n">
        <v>4788190.21</v>
      </c>
      <c r="N45" s="18" t="n">
        <v>4880830.57</v>
      </c>
      <c r="O45" s="18" t="n">
        <v>5093441.88</v>
      </c>
      <c r="P45" s="37" t="n">
        <v>5093441.88</v>
      </c>
      <c r="Q45" s="18" t="n">
        <v>5617524.62</v>
      </c>
      <c r="R45" s="18" t="n">
        <v>5637579</v>
      </c>
      <c r="S45" s="18" t="n">
        <v>5667073.61</v>
      </c>
      <c r="T45" s="18" t="n">
        <v>5595777.29</v>
      </c>
      <c r="U45" s="37" t="n">
        <v>5595777.29</v>
      </c>
      <c r="V45" s="18" t="n">
        <v>5954609.11</v>
      </c>
      <c r="W45" s="18" t="n">
        <v>6888548.93</v>
      </c>
      <c r="X45" s="18" t="n">
        <v>7247679.79</v>
      </c>
      <c r="Y45" s="18" t="n">
        <v>7929402.08</v>
      </c>
      <c r="Z45" s="37" t="n">
        <v>7929402.08</v>
      </c>
      <c r="AA45" s="18" t="n">
        <v>8084973.66</v>
      </c>
      <c r="AB45" s="19" t="n">
        <v>10852143.7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자본총계</t>
        </is>
      </c>
      <c r="E46" s="18" t="n">
        <v>5053623.87</v>
      </c>
      <c r="F46" s="37" t="n">
        <v>5053623.87</v>
      </c>
      <c r="G46" s="18" t="n">
        <v>4887262.91</v>
      </c>
      <c r="H46" s="18" t="n">
        <v>4991159.06</v>
      </c>
      <c r="I46" s="18" t="n">
        <v>4703357.72</v>
      </c>
      <c r="J46" s="18" t="n">
        <v>4911972.62</v>
      </c>
      <c r="K46" s="37" t="n">
        <v>4911972.62</v>
      </c>
      <c r="L46" s="18" t="n">
        <v>4917316.04</v>
      </c>
      <c r="M46" s="18" t="n">
        <v>5054513.97</v>
      </c>
      <c r="N46" s="18" t="n">
        <v>5145631.36</v>
      </c>
      <c r="O46" s="18" t="n">
        <v>5358286.19</v>
      </c>
      <c r="P46" s="37" t="n">
        <v>5358286.19</v>
      </c>
      <c r="Q46" s="18" t="n">
        <v>5881861.01</v>
      </c>
      <c r="R46" s="18" t="n">
        <v>5901673.7</v>
      </c>
      <c r="S46" s="18" t="n">
        <v>5931168.32</v>
      </c>
      <c r="T46" s="18" t="n">
        <v>5864246.1</v>
      </c>
      <c r="U46" s="37" t="n">
        <v>5864246.1</v>
      </c>
      <c r="V46" s="18" t="n">
        <v>6898518.22</v>
      </c>
      <c r="W46" s="18" t="n">
        <v>7837062.79</v>
      </c>
      <c r="X46" s="18" t="n">
        <v>8191305.21</v>
      </c>
      <c r="Y46" s="18" t="n">
        <v>8854128.859999999</v>
      </c>
      <c r="Z46" s="37" t="n">
        <v>8854128.859999999</v>
      </c>
      <c r="AA46" s="18" t="n">
        <v>8974268.720000001</v>
      </c>
      <c r="AB46" s="19" t="n">
        <v>11804379.04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부채와자본총계</t>
        </is>
      </c>
      <c r="E47" s="18" t="n">
        <v>8810372.41</v>
      </c>
      <c r="F47" s="37" t="n">
        <v>8810372.41</v>
      </c>
      <c r="G47" s="18" t="n">
        <v>9132193.279999999</v>
      </c>
      <c r="H47" s="18" t="n">
        <v>9357785.17</v>
      </c>
      <c r="I47" s="18" t="n">
        <v>8570620.470000001</v>
      </c>
      <c r="J47" s="18" t="n">
        <v>8803079.609999999</v>
      </c>
      <c r="K47" s="37" t="n">
        <v>8803079.609999999</v>
      </c>
      <c r="L47" s="18" t="n">
        <v>8961189.35</v>
      </c>
      <c r="M47" s="18" t="n">
        <v>9244886.15</v>
      </c>
      <c r="N47" s="18" t="n">
        <v>9316649.91</v>
      </c>
      <c r="O47" s="18" t="n">
        <v>9657272.5</v>
      </c>
      <c r="P47" s="37" t="n">
        <v>9657272.5</v>
      </c>
      <c r="Q47" s="18" t="n">
        <v>10353273.31</v>
      </c>
      <c r="R47" s="18" t="n">
        <v>10489163.22</v>
      </c>
      <c r="S47" s="18" t="n">
        <v>10524382.47</v>
      </c>
      <c r="T47" s="18" t="n">
        <v>10299544.78</v>
      </c>
      <c r="U47" s="37" t="n">
        <v>10299544.78</v>
      </c>
      <c r="V47" s="18" t="n">
        <v>11978867.34</v>
      </c>
      <c r="W47" s="18" t="n">
        <v>12855841.4</v>
      </c>
      <c r="X47" s="18" t="n">
        <v>14305114.5</v>
      </c>
      <c r="Y47" s="18" t="n">
        <v>15126548.8</v>
      </c>
      <c r="Z47" s="37" t="n">
        <v>15126548.8</v>
      </c>
      <c r="AA47" s="18" t="n">
        <v>15635749.3</v>
      </c>
      <c r="AB47" s="19" t="n">
        <v>18958097.32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지배주주지분</t>
        </is>
      </c>
      <c r="E48" s="18" t="n">
        <v>5053623.87</v>
      </c>
      <c r="F48" s="37" t="n">
        <v>5053623.87</v>
      </c>
      <c r="G48" s="18" t="n">
        <v>4887262.91</v>
      </c>
      <c r="H48" s="18" t="n">
        <v>4991159.06</v>
      </c>
      <c r="I48" s="18" t="n">
        <v>4703357.72</v>
      </c>
      <c r="J48" s="18" t="n">
        <v>4911972.62</v>
      </c>
      <c r="K48" s="37" t="n">
        <v>4911972.62</v>
      </c>
      <c r="L48" s="18" t="n">
        <v>4917316.04</v>
      </c>
      <c r="M48" s="18" t="n">
        <v>5054513.97</v>
      </c>
      <c r="N48" s="18" t="n">
        <v>5145631.36</v>
      </c>
      <c r="O48" s="18" t="n">
        <v>5358286.19</v>
      </c>
      <c r="P48" s="37" t="n">
        <v>5358286.19</v>
      </c>
      <c r="Q48" s="18" t="n">
        <v>5881861.01</v>
      </c>
      <c r="R48" s="18" t="n">
        <v>5901673.7</v>
      </c>
      <c r="S48" s="18" t="n">
        <v>5931168.32</v>
      </c>
      <c r="T48" s="18" t="n">
        <v>5864246.1</v>
      </c>
      <c r="U48" s="37" t="n">
        <v>5864246.1</v>
      </c>
      <c r="V48" s="18" t="n">
        <v>6898518.22</v>
      </c>
      <c r="W48" s="18" t="n">
        <v>7837062.79</v>
      </c>
      <c r="X48" s="18" t="n">
        <v>8191305.21</v>
      </c>
      <c r="Y48" s="18" t="n">
        <v>8854128.859999999</v>
      </c>
      <c r="Z48" s="37" t="n">
        <v>8854128.859999999</v>
      </c>
      <c r="AA48" s="18" t="n">
        <v>8974268.720000001</v>
      </c>
      <c r="AB48" s="19" t="n">
        <v>11804379.04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총차입금</t>
        </is>
      </c>
      <c r="E49" s="18" t="n">
        <v>2600483.47</v>
      </c>
      <c r="F49" s="37" t="n">
        <v>2600483.47</v>
      </c>
      <c r="G49" s="18" t="n">
        <v>3043241.5</v>
      </c>
      <c r="H49" s="18" t="n">
        <v>3128523.17</v>
      </c>
      <c r="I49" s="18" t="n">
        <v>2707003.51</v>
      </c>
      <c r="J49" s="18" t="n">
        <v>2701152.23</v>
      </c>
      <c r="K49" s="37" t="n">
        <v>2701152.23</v>
      </c>
      <c r="L49" s="18" t="n">
        <v>2827173.49</v>
      </c>
      <c r="M49" s="18" t="n">
        <v>2937688.01</v>
      </c>
      <c r="N49" s="18" t="n">
        <v>2925126.82</v>
      </c>
      <c r="O49" s="18" t="n">
        <v>2826443.96</v>
      </c>
      <c r="P49" s="37" t="n">
        <v>2826443.96</v>
      </c>
      <c r="Q49" s="18" t="n">
        <v>2847506.83</v>
      </c>
      <c r="R49" s="18" t="n">
        <v>3118767.95</v>
      </c>
      <c r="S49" s="18" t="n">
        <v>3166433.08</v>
      </c>
      <c r="T49" s="18" t="n">
        <v>3098033.13</v>
      </c>
      <c r="U49" s="37" t="n">
        <v>3098033.13</v>
      </c>
      <c r="V49" s="18" t="n">
        <v>3453869.13</v>
      </c>
      <c r="W49" s="18" t="n">
        <v>3171074.28</v>
      </c>
      <c r="X49" s="18" t="n">
        <v>3883107.85</v>
      </c>
      <c r="Y49" s="18" t="n">
        <v>3819583.2</v>
      </c>
      <c r="Z49" s="37" t="n">
        <v>3819583.2</v>
      </c>
      <c r="AA49" s="18" t="n">
        <v>4176896.87</v>
      </c>
      <c r="AB49" s="19" t="n">
        <v>3928998.5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순차입금</t>
        </is>
      </c>
      <c r="E50" s="18" t="n">
        <v>1825412.53</v>
      </c>
      <c r="F50" s="37" t="n">
        <v>1825412.53</v>
      </c>
      <c r="G50" s="18" t="n">
        <v>1788161.43</v>
      </c>
      <c r="H50" s="18" t="n">
        <v>1782122.79</v>
      </c>
      <c r="I50" s="18" t="n">
        <v>1777214.89</v>
      </c>
      <c r="J50" s="18" t="n">
        <v>1809380.55</v>
      </c>
      <c r="K50" s="37" t="n">
        <v>1809380.55</v>
      </c>
      <c r="L50" s="18" t="n">
        <v>1796714.62</v>
      </c>
      <c r="M50" s="18" t="n">
        <v>1729416.49</v>
      </c>
      <c r="N50" s="18" t="n">
        <v>1702004.23</v>
      </c>
      <c r="O50" s="18" t="n">
        <v>1618751.25</v>
      </c>
      <c r="P50" s="37" t="n">
        <v>1618751.25</v>
      </c>
      <c r="Q50" s="18" t="n">
        <v>1590602.83</v>
      </c>
      <c r="R50" s="18" t="n">
        <v>1908887.78</v>
      </c>
      <c r="S50" s="18" t="n">
        <v>1850043.35</v>
      </c>
      <c r="T50" s="18" t="n">
        <v>2340513.11</v>
      </c>
      <c r="U50" s="37" t="n">
        <v>2340513.11</v>
      </c>
      <c r="V50" s="18" t="n">
        <v>2245363.29</v>
      </c>
      <c r="W50" s="18" t="n">
        <v>2259546.2</v>
      </c>
      <c r="X50" s="18" t="n">
        <v>3003690.97</v>
      </c>
      <c r="Y50" s="18" t="n">
        <v>2925045.03</v>
      </c>
      <c r="Z50" s="37" t="n">
        <v>2925045.03</v>
      </c>
      <c r="AA50" s="18" t="n">
        <v>2928334.57</v>
      </c>
      <c r="AB50" s="19" t="n">
        <v>3135698.91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이자발생자산</t>
        </is>
      </c>
      <c r="E51" s="18" t="n">
        <v>3442044.65</v>
      </c>
      <c r="F51" s="37" t="n">
        <v>3442044.65</v>
      </c>
      <c r="G51" s="18" t="n">
        <v>3639439.17</v>
      </c>
      <c r="H51" s="18" t="n">
        <v>3877353.55</v>
      </c>
      <c r="I51" s="18" t="n">
        <v>3064093.06</v>
      </c>
      <c r="J51" s="18" t="n">
        <v>3178880.66</v>
      </c>
      <c r="K51" s="37" t="n">
        <v>3178880.66</v>
      </c>
      <c r="L51" s="18" t="n">
        <v>3251122.86</v>
      </c>
      <c r="M51" s="18" t="n">
        <v>3514451.65</v>
      </c>
      <c r="N51" s="18" t="n">
        <v>3539117.91</v>
      </c>
      <c r="O51" s="18" t="n">
        <v>3931552.25</v>
      </c>
      <c r="P51" s="37" t="n">
        <v>3931552.25</v>
      </c>
      <c r="Q51" s="18" t="n">
        <v>4464341.76</v>
      </c>
      <c r="R51" s="18" t="n">
        <v>4257639.8</v>
      </c>
      <c r="S51" s="18" t="n">
        <v>4374467.03</v>
      </c>
      <c r="T51" s="18" t="n">
        <v>3524586.45</v>
      </c>
      <c r="U51" s="37" t="n">
        <v>3524586.45</v>
      </c>
      <c r="V51" s="18" t="n">
        <v>3944251.85</v>
      </c>
      <c r="W51" s="18" t="n">
        <v>4900586.01</v>
      </c>
      <c r="X51" s="18" t="n">
        <v>5409563.3</v>
      </c>
      <c r="Y51" s="18" t="n">
        <v>6350099.15</v>
      </c>
      <c r="Z51" s="37" t="n">
        <v>6350099.15</v>
      </c>
      <c r="AA51" s="18" t="n">
        <v>6774360.02</v>
      </c>
      <c r="AB51" s="19" t="n">
        <v>9970643.460000001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기타유동금융부채</t>
        </is>
      </c>
      <c r="F52" s="9" t="n"/>
      <c r="K52" s="9" t="n"/>
      <c r="O52" s="18" t="n">
        <v>164369.97</v>
      </c>
      <c r="P52" s="37" t="n">
        <v>164369.97</v>
      </c>
      <c r="Q52" s="18" t="n">
        <v>168939.66</v>
      </c>
      <c r="U52" s="9" t="n"/>
      <c r="X52" s="18" t="n">
        <v>299131.33</v>
      </c>
      <c r="Y52" s="18" t="n">
        <v>275328.61</v>
      </c>
      <c r="Z52" s="37" t="n">
        <v>275328.61</v>
      </c>
      <c r="AA52" s="18" t="n">
        <v>168371.8</v>
      </c>
      <c r="AB52" s="19" t="n">
        <v>136569.19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단기금융부채</t>
        </is>
      </c>
      <c r="F53" s="9" t="n"/>
      <c r="K53" s="9" t="n"/>
      <c r="O53" s="18" t="n">
        <v>164369.97</v>
      </c>
      <c r="P53" s="37" t="n">
        <v>164369.97</v>
      </c>
      <c r="Q53" s="18" t="n">
        <v>168939.66</v>
      </c>
      <c r="U53" s="9" t="n"/>
      <c r="X53" s="18" t="n">
        <v>299131.33</v>
      </c>
      <c r="Y53" s="18" t="n">
        <v>275328.61</v>
      </c>
      <c r="Z53" s="37" t="n">
        <v>275328.61</v>
      </c>
      <c r="AA53" s="18" t="n">
        <v>168371.8</v>
      </c>
      <c r="AB53" s="19" t="n">
        <v>136569.19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매출액(수익)</t>
        </is>
      </c>
      <c r="E54" s="18" t="n">
        <v>630575.28</v>
      </c>
      <c r="F54" s="9" t="n"/>
      <c r="G54" s="18" t="n">
        <v>591633.9399999999</v>
      </c>
      <c r="H54" s="18" t="n">
        <v>691108.74</v>
      </c>
      <c r="I54" s="18" t="n">
        <v>685954.1800000001</v>
      </c>
      <c r="J54" s="18" t="n">
        <v>733008.72</v>
      </c>
      <c r="K54" s="37" t="n">
        <v>2701705.58</v>
      </c>
      <c r="L54" s="18" t="n">
        <v>698957.77</v>
      </c>
      <c r="M54" s="18" t="n">
        <v>746470.85</v>
      </c>
      <c r="N54" s="18" t="n">
        <v>755998.4399999999</v>
      </c>
      <c r="O54" s="18" t="n">
        <v>798089.54</v>
      </c>
      <c r="P54" s="37" t="n">
        <v>2999516.6</v>
      </c>
      <c r="Q54" s="18" t="n">
        <v>761600.28</v>
      </c>
      <c r="R54" s="18" t="n">
        <v>855758.96</v>
      </c>
      <c r="S54" s="18" t="n">
        <v>748529.62</v>
      </c>
      <c r="T54" s="18" t="n">
        <v>761041.63</v>
      </c>
      <c r="U54" s="37" t="n">
        <v>3126930.49</v>
      </c>
      <c r="V54" s="18" t="n">
        <v>700063.86</v>
      </c>
      <c r="W54" s="18" t="n">
        <v>782984.14</v>
      </c>
      <c r="X54" s="18" t="n">
        <v>746115.12</v>
      </c>
      <c r="Y54" s="18" t="n">
        <v>706560.75</v>
      </c>
      <c r="Z54" s="37" t="n">
        <v>2935723.87</v>
      </c>
      <c r="AA54" s="18" t="n">
        <v>700342.9399999999</v>
      </c>
      <c r="AB54" s="19" t="n">
        <v>770047.6899999999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매출원가</t>
        </is>
      </c>
      <c r="E55" s="18" t="n">
        <v>507378.36</v>
      </c>
      <c r="F55" s="9" t="n"/>
      <c r="G55" s="18" t="n">
        <v>470560.92</v>
      </c>
      <c r="H55" s="18" t="n">
        <v>534116.8</v>
      </c>
      <c r="I55" s="18" t="n">
        <v>543545.48</v>
      </c>
      <c r="J55" s="18" t="n">
        <v>581791.1800000001</v>
      </c>
      <c r="K55" s="37" t="n">
        <v>2130014.38</v>
      </c>
      <c r="L55" s="18" t="n">
        <v>553162.6899999999</v>
      </c>
      <c r="M55" s="18" t="n">
        <v>541461.97</v>
      </c>
      <c r="N55" s="18" t="n">
        <v>546661.5</v>
      </c>
      <c r="O55" s="18" t="n">
        <v>587008.28</v>
      </c>
      <c r="P55" s="37" t="n">
        <v>2228294.44</v>
      </c>
      <c r="Q55" s="18" t="n">
        <v>570438.14</v>
      </c>
      <c r="R55" s="18" t="n">
        <v>638194.87</v>
      </c>
      <c r="S55" s="18" t="n">
        <v>564653.11</v>
      </c>
      <c r="T55" s="18" t="n">
        <v>569674.37</v>
      </c>
      <c r="U55" s="37" t="n">
        <v>2342960.49</v>
      </c>
      <c r="V55" s="18" t="n">
        <v>536699.1899999999</v>
      </c>
      <c r="W55" s="18" t="n">
        <v>594586.73</v>
      </c>
      <c r="X55" s="18" t="n">
        <v>562215.33</v>
      </c>
      <c r="Y55" s="18" t="n">
        <v>535761.05</v>
      </c>
      <c r="Z55" s="37" t="n">
        <v>2229262.3</v>
      </c>
      <c r="AA55" s="18" t="n">
        <v>527331.83</v>
      </c>
      <c r="AB55" s="19" t="n">
        <v>584863.65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매출총이익</t>
        </is>
      </c>
      <c r="E56" s="18" t="n">
        <v>123196.91</v>
      </c>
      <c r="F56" s="9" t="n"/>
      <c r="G56" s="18" t="n">
        <v>121073.02</v>
      </c>
      <c r="H56" s="18" t="n">
        <v>156991.94</v>
      </c>
      <c r="I56" s="18" t="n">
        <v>142408.7</v>
      </c>
      <c r="J56" s="18" t="n">
        <v>151217.53</v>
      </c>
      <c r="K56" s="37" t="n">
        <v>571691.1899999999</v>
      </c>
      <c r="L56" s="18" t="n">
        <v>145795.07</v>
      </c>
      <c r="M56" s="18" t="n">
        <v>205008.88</v>
      </c>
      <c r="N56" s="18" t="n">
        <v>209336.93</v>
      </c>
      <c r="O56" s="18" t="n">
        <v>211081.26</v>
      </c>
      <c r="P56" s="37" t="n">
        <v>771222.14</v>
      </c>
      <c r="Q56" s="18" t="n">
        <v>191162.14</v>
      </c>
      <c r="R56" s="18" t="n">
        <v>217564.09</v>
      </c>
      <c r="S56" s="18" t="n">
        <v>183876.51</v>
      </c>
      <c r="T56" s="18" t="n">
        <v>191367.26</v>
      </c>
      <c r="U56" s="37" t="n">
        <v>783970</v>
      </c>
      <c r="V56" s="18" t="n">
        <v>163364.67</v>
      </c>
      <c r="W56" s="18" t="n">
        <v>188397.41</v>
      </c>
      <c r="X56" s="18" t="n">
        <v>183899.79</v>
      </c>
      <c r="Y56" s="18" t="n">
        <v>170799.7</v>
      </c>
      <c r="Z56" s="37" t="n">
        <v>706461.5699999999</v>
      </c>
      <c r="AA56" s="18" t="n">
        <v>173011.11</v>
      </c>
      <c r="AB56" s="19" t="n">
        <v>185184.04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판관비</t>
        </is>
      </c>
      <c r="E57" s="18" t="n">
        <v>103182.21</v>
      </c>
      <c r="F57" s="9" t="n"/>
      <c r="G57" s="18" t="n">
        <v>95815.64999999999</v>
      </c>
      <c r="H57" s="18" t="n">
        <v>95848.57000000001</v>
      </c>
      <c r="I57" s="18" t="n">
        <v>90805.56</v>
      </c>
      <c r="J57" s="18" t="n">
        <v>111430.06</v>
      </c>
      <c r="K57" s="37" t="n">
        <v>393899.84</v>
      </c>
      <c r="L57" s="18" t="n">
        <v>94556.38</v>
      </c>
      <c r="M57" s="18" t="n">
        <v>107361.67</v>
      </c>
      <c r="N57" s="18" t="n">
        <v>99067.66</v>
      </c>
      <c r="O57" s="18" t="n">
        <v>124953.6</v>
      </c>
      <c r="P57" s="37" t="n">
        <v>425939.31</v>
      </c>
      <c r="Q57" s="18" t="n">
        <v>102979.56</v>
      </c>
      <c r="R57" s="18" t="n">
        <v>115435</v>
      </c>
      <c r="S57" s="18" t="n">
        <v>107567.69</v>
      </c>
      <c r="T57" s="18" t="n">
        <v>120975.15</v>
      </c>
      <c r="U57" s="37" t="n">
        <v>446957.4</v>
      </c>
      <c r="V57" s="18" t="n">
        <v>101661.53</v>
      </c>
      <c r="W57" s="18" t="n">
        <v>105216.4</v>
      </c>
      <c r="X57" s="18" t="n">
        <v>105672.55</v>
      </c>
      <c r="Y57" s="18" t="n">
        <v>111076.58</v>
      </c>
      <c r="Z57" s="37" t="n">
        <v>423627.06</v>
      </c>
      <c r="AA57" s="18" t="n">
        <v>107374.68</v>
      </c>
      <c r="AB57" s="19" t="n">
        <v>107944.59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영업이익</t>
        </is>
      </c>
      <c r="E58" s="18" t="n">
        <v>20014.71</v>
      </c>
      <c r="F58" s="9" t="n"/>
      <c r="G58" s="18" t="n">
        <v>25257.37</v>
      </c>
      <c r="H58" s="18" t="n">
        <v>61143.37</v>
      </c>
      <c r="I58" s="18" t="n">
        <v>51603.13</v>
      </c>
      <c r="J58" s="18" t="n">
        <v>39787.47</v>
      </c>
      <c r="K58" s="37" t="n">
        <v>177791.34</v>
      </c>
      <c r="L58" s="18" t="n">
        <v>51238.69</v>
      </c>
      <c r="M58" s="18" t="n">
        <v>97647.21000000001</v>
      </c>
      <c r="N58" s="18" t="n">
        <v>110269.27</v>
      </c>
      <c r="O58" s="18" t="n">
        <v>86127.67</v>
      </c>
      <c r="P58" s="37" t="n">
        <v>345282.84</v>
      </c>
      <c r="Q58" s="18" t="n">
        <v>88182.58</v>
      </c>
      <c r="R58" s="18" t="n">
        <v>102129.09</v>
      </c>
      <c r="S58" s="18" t="n">
        <v>76308.82000000001</v>
      </c>
      <c r="T58" s="18" t="n">
        <v>70392.11</v>
      </c>
      <c r="U58" s="37" t="n">
        <v>337012.6</v>
      </c>
      <c r="V58" s="18" t="n">
        <v>61703.14</v>
      </c>
      <c r="W58" s="18" t="n">
        <v>83181.02</v>
      </c>
      <c r="X58" s="18" t="n">
        <v>78227.23</v>
      </c>
      <c r="Y58" s="18" t="n">
        <v>59723.1</v>
      </c>
      <c r="Z58" s="37" t="n">
        <v>282834.49</v>
      </c>
      <c r="AA58" s="18" t="n">
        <v>65636.42999999999</v>
      </c>
      <c r="AB58" s="19" t="n">
        <v>77239.45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금융손익</t>
        </is>
      </c>
      <c r="E59" s="18" t="n">
        <v>-119146.63</v>
      </c>
      <c r="F59" s="9" t="n"/>
      <c r="G59" s="18" t="n">
        <v>-56442.96</v>
      </c>
      <c r="H59" s="18" t="n">
        <v>119717.86</v>
      </c>
      <c r="I59" s="18" t="n">
        <v>-401686.64</v>
      </c>
      <c r="J59" s="18" t="n">
        <v>118680.8</v>
      </c>
      <c r="K59" s="37" t="n">
        <v>-219730.94</v>
      </c>
      <c r="L59" s="18" t="n">
        <v>721.46</v>
      </c>
      <c r="M59" s="18" t="n">
        <v>81318.32000000001</v>
      </c>
      <c r="N59" s="18" t="n">
        <v>17212.47</v>
      </c>
      <c r="O59" s="18" t="n">
        <v>227467.7</v>
      </c>
      <c r="P59" s="37" t="n">
        <v>326719.95</v>
      </c>
      <c r="Q59" s="18" t="n">
        <v>617436.2</v>
      </c>
      <c r="R59" s="18" t="n">
        <v>-75179.35000000001</v>
      </c>
      <c r="S59" s="18" t="n">
        <v>-36503.12</v>
      </c>
      <c r="T59" s="18" t="n">
        <v>-232867.64</v>
      </c>
      <c r="U59" s="37" t="n">
        <v>272886.09</v>
      </c>
      <c r="V59" s="18" t="n">
        <v>17367.57</v>
      </c>
      <c r="W59" s="18" t="n">
        <v>1195591.5</v>
      </c>
      <c r="X59" s="18" t="n">
        <v>397029.7</v>
      </c>
      <c r="Y59" s="18" t="n">
        <v>898787.41</v>
      </c>
      <c r="Z59" s="37" t="n">
        <v>2508776.18</v>
      </c>
      <c r="AA59" s="18" t="n">
        <v>203543.21</v>
      </c>
      <c r="AB59" s="19" t="n">
        <v>3635127.83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금융수익</t>
        </is>
      </c>
      <c r="E60" s="18" t="n">
        <v>20128.86</v>
      </c>
      <c r="F60" s="9" t="n"/>
      <c r="G60" s="18" t="n">
        <v>114126.65</v>
      </c>
      <c r="H60" s="18" t="n">
        <v>191875.39</v>
      </c>
      <c r="I60" s="18" t="n">
        <v>70331.97</v>
      </c>
      <c r="J60" s="18" t="n">
        <v>35582.08</v>
      </c>
      <c r="K60" s="37" t="n">
        <v>411916.09</v>
      </c>
      <c r="L60" s="18" t="n">
        <v>145009.78</v>
      </c>
      <c r="M60" s="18" t="n">
        <v>171792.24</v>
      </c>
      <c r="N60" s="18" t="n">
        <v>54776.42</v>
      </c>
      <c r="O60" s="18" t="n">
        <v>275596.59</v>
      </c>
      <c r="P60" s="37" t="n">
        <v>647175.03</v>
      </c>
      <c r="Q60" s="18" t="n">
        <v>687489.22</v>
      </c>
      <c r="R60" s="18" t="n">
        <v>135197.42</v>
      </c>
      <c r="S60" s="18" t="n">
        <v>15993.77</v>
      </c>
      <c r="T60" s="18" t="n">
        <v>73901.48</v>
      </c>
      <c r="U60" s="37" t="n">
        <v>912581.89</v>
      </c>
      <c r="V60" s="18" t="n">
        <v>142894.84</v>
      </c>
      <c r="W60" s="18" t="n">
        <v>1277748.26</v>
      </c>
      <c r="X60" s="18" t="n">
        <v>544299.05</v>
      </c>
      <c r="Y60" s="18" t="n">
        <v>966146.05</v>
      </c>
      <c r="Z60" s="37" t="n">
        <v>2931088.2</v>
      </c>
      <c r="AA60" s="18" t="n">
        <v>510719.78</v>
      </c>
      <c r="AB60" s="19" t="n">
        <v>3730158.75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금융비용</t>
        </is>
      </c>
      <c r="E61" s="18" t="n">
        <v>139275.49</v>
      </c>
      <c r="F61" s="9" t="n"/>
      <c r="G61" s="18" t="n">
        <v>170569.61</v>
      </c>
      <c r="H61" s="18" t="n">
        <v>72157.53</v>
      </c>
      <c r="I61" s="18" t="n">
        <v>472018.62</v>
      </c>
      <c r="J61" s="18" t="n">
        <v>-83098.73</v>
      </c>
      <c r="K61" s="37" t="n">
        <v>631647.03</v>
      </c>
      <c r="L61" s="18" t="n">
        <v>144288.32</v>
      </c>
      <c r="M61" s="18" t="n">
        <v>90473.92</v>
      </c>
      <c r="N61" s="18" t="n">
        <v>37563.95</v>
      </c>
      <c r="O61" s="18" t="n">
        <v>48128.9</v>
      </c>
      <c r="P61" s="37" t="n">
        <v>320455.09</v>
      </c>
      <c r="Q61" s="18" t="n">
        <v>70053.03</v>
      </c>
      <c r="R61" s="18" t="n">
        <v>210376.77</v>
      </c>
      <c r="S61" s="18" t="n">
        <v>52496.89</v>
      </c>
      <c r="T61" s="18" t="n">
        <v>306769.12</v>
      </c>
      <c r="U61" s="37" t="n">
        <v>639695.8100000001</v>
      </c>
      <c r="V61" s="18" t="n">
        <v>125527.27</v>
      </c>
      <c r="W61" s="18" t="n">
        <v>82156.75</v>
      </c>
      <c r="X61" s="18" t="n">
        <v>147269.35</v>
      </c>
      <c r="Y61" s="18" t="n">
        <v>67358.64</v>
      </c>
      <c r="Z61" s="37" t="n">
        <v>422312.01</v>
      </c>
      <c r="AA61" s="18" t="n">
        <v>307176.57</v>
      </c>
      <c r="AB61" s="19" t="n">
        <v>95030.92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기타영업외손익</t>
        </is>
      </c>
      <c r="E62" s="18" t="n">
        <v>73652.06</v>
      </c>
      <c r="F62" s="9" t="n"/>
      <c r="G62" s="18" t="n">
        <v>4743</v>
      </c>
      <c r="H62" s="18" t="n">
        <v>3509.43</v>
      </c>
      <c r="I62" s="18" t="n">
        <v>-300.31</v>
      </c>
      <c r="J62" s="18" t="n">
        <v>41906.39</v>
      </c>
      <c r="K62" s="37" t="n">
        <v>49858.51</v>
      </c>
      <c r="L62" s="18" t="n">
        <v>19719.72</v>
      </c>
      <c r="M62" s="18" t="n">
        <v>-328.06</v>
      </c>
      <c r="N62" s="18" t="n">
        <v>9078.969999999999</v>
      </c>
      <c r="O62" s="18" t="n">
        <v>4909.24</v>
      </c>
      <c r="P62" s="37" t="n">
        <v>33379.87</v>
      </c>
      <c r="Q62" s="18" t="n">
        <v>7074.07</v>
      </c>
      <c r="R62" s="18" t="n">
        <v>6620.77</v>
      </c>
      <c r="S62" s="18" t="n">
        <v>8801.700000000001</v>
      </c>
      <c r="T62" s="18" t="n">
        <v>5948.41</v>
      </c>
      <c r="U62" s="37" t="n">
        <v>28444.95</v>
      </c>
      <c r="V62" s="18" t="n">
        <v>30044.02</v>
      </c>
      <c r="W62" s="18" t="n">
        <v>800.99</v>
      </c>
      <c r="X62" s="18" t="n">
        <v>10117.81</v>
      </c>
      <c r="Y62" s="18" t="n">
        <v>-46210.73</v>
      </c>
      <c r="Z62" s="37" t="n">
        <v>-5247.91</v>
      </c>
      <c r="AA62" s="18" t="n">
        <v>19692.88</v>
      </c>
      <c r="AB62" s="19" t="n">
        <v>1388.7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기타영업외수익</t>
        </is>
      </c>
      <c r="E63" s="18" t="n">
        <v>76741.7</v>
      </c>
      <c r="F63" s="9" t="n"/>
      <c r="G63" s="18" t="n">
        <v>9238.58</v>
      </c>
      <c r="H63" s="18" t="n">
        <v>12838.18</v>
      </c>
      <c r="I63" s="18" t="n">
        <v>11281.15</v>
      </c>
      <c r="J63" s="18" t="n">
        <v>51720.32</v>
      </c>
      <c r="K63" s="37" t="n">
        <v>85078.23</v>
      </c>
      <c r="L63" s="18" t="n">
        <v>29164.63</v>
      </c>
      <c r="M63" s="18" t="n">
        <v>15711.25</v>
      </c>
      <c r="N63" s="18" t="n">
        <v>10759.17</v>
      </c>
      <c r="O63" s="18" t="n">
        <v>13467.46</v>
      </c>
      <c r="P63" s="37" t="n">
        <v>69102.50999999999</v>
      </c>
      <c r="Q63" s="18" t="n">
        <v>10408.33</v>
      </c>
      <c r="R63" s="18" t="n">
        <v>14634.28</v>
      </c>
      <c r="S63" s="18" t="n">
        <v>11562.7</v>
      </c>
      <c r="T63" s="18" t="n">
        <v>14346.47</v>
      </c>
      <c r="U63" s="37" t="n">
        <v>50951.78</v>
      </c>
      <c r="V63" s="18" t="n">
        <v>43699.35</v>
      </c>
      <c r="W63" s="18" t="n">
        <v>12739.58</v>
      </c>
      <c r="X63" s="18" t="n">
        <v>14372.91</v>
      </c>
      <c r="Y63" s="18" t="n">
        <v>15162.62</v>
      </c>
      <c r="Z63" s="37" t="n">
        <v>85974.46000000001</v>
      </c>
      <c r="AA63" s="18" t="n">
        <v>23348.48</v>
      </c>
      <c r="AB63" s="19" t="n">
        <v>15237.11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기타영업외비용</t>
        </is>
      </c>
      <c r="E64" s="18" t="n">
        <v>3089.64</v>
      </c>
      <c r="F64" s="9" t="n"/>
      <c r="G64" s="18" t="n">
        <v>4495.57</v>
      </c>
      <c r="H64" s="18" t="n">
        <v>9328.74</v>
      </c>
      <c r="I64" s="18" t="n">
        <v>11581.46</v>
      </c>
      <c r="J64" s="18" t="n">
        <v>9813.950000000001</v>
      </c>
      <c r="K64" s="37" t="n">
        <v>35219.72</v>
      </c>
      <c r="L64" s="18" t="n">
        <v>9444.91</v>
      </c>
      <c r="M64" s="18" t="n">
        <v>16039.31</v>
      </c>
      <c r="N64" s="18" t="n">
        <v>1680.21</v>
      </c>
      <c r="O64" s="18" t="n">
        <v>8558.219999999999</v>
      </c>
      <c r="P64" s="37" t="n">
        <v>35722.65</v>
      </c>
      <c r="Q64" s="18" t="n">
        <v>3334.25</v>
      </c>
      <c r="R64" s="18" t="n">
        <v>8013.51</v>
      </c>
      <c r="S64" s="18" t="n">
        <v>2760.99</v>
      </c>
      <c r="T64" s="18" t="n">
        <v>8398.07</v>
      </c>
      <c r="U64" s="37" t="n">
        <v>22506.82</v>
      </c>
      <c r="V64" s="18" t="n">
        <v>13655.34</v>
      </c>
      <c r="W64" s="18" t="n">
        <v>11938.59</v>
      </c>
      <c r="X64" s="18" t="n">
        <v>4255.1</v>
      </c>
      <c r="Y64" s="18" t="n">
        <v>61373.35</v>
      </c>
      <c r="Z64" s="37" t="n">
        <v>91222.38</v>
      </c>
      <c r="AA64" s="18" t="n">
        <v>3655.59</v>
      </c>
      <c r="AB64" s="19" t="n">
        <v>13848.41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법인세비용차감전계속사업이익</t>
        </is>
      </c>
      <c r="E65" s="18" t="n">
        <v>-25479.86</v>
      </c>
      <c r="F65" s="9" t="n"/>
      <c r="G65" s="18" t="n">
        <v>-26442.59</v>
      </c>
      <c r="H65" s="18" t="n">
        <v>184370.67</v>
      </c>
      <c r="I65" s="18" t="n">
        <v>-350383.82</v>
      </c>
      <c r="J65" s="18" t="n">
        <v>200374.65</v>
      </c>
      <c r="K65" s="37" t="n">
        <v>7918.91</v>
      </c>
      <c r="L65" s="18" t="n">
        <v>71679.87</v>
      </c>
      <c r="M65" s="18" t="n">
        <v>178637.47</v>
      </c>
      <c r="N65" s="18" t="n">
        <v>136560.71</v>
      </c>
      <c r="O65" s="18" t="n">
        <v>318504.6</v>
      </c>
      <c r="P65" s="37" t="n">
        <v>705382.65</v>
      </c>
      <c r="Q65" s="18" t="n">
        <v>712692.84</v>
      </c>
      <c r="R65" s="18" t="n">
        <v>33570.51</v>
      </c>
      <c r="S65" s="18" t="n">
        <v>48607.4</v>
      </c>
      <c r="T65" s="18" t="n">
        <v>-156527.12</v>
      </c>
      <c r="U65" s="37" t="n">
        <v>638343.63</v>
      </c>
      <c r="V65" s="18" t="n">
        <v>109114.73</v>
      </c>
      <c r="W65" s="18" t="n">
        <v>1279573.51</v>
      </c>
      <c r="X65" s="18" t="n">
        <v>485374.74</v>
      </c>
      <c r="Y65" s="18" t="n">
        <v>912299.78</v>
      </c>
      <c r="Z65" s="37" t="n">
        <v>2786362.76</v>
      </c>
      <c r="AA65" s="18" t="n">
        <v>288872.52</v>
      </c>
      <c r="AB65" s="19" t="n">
        <v>3713755.98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법인세비용</t>
        </is>
      </c>
      <c r="E66" s="18" t="n">
        <v>-14725.27</v>
      </c>
      <c r="F66" s="9" t="n"/>
      <c r="G66" s="18" t="n">
        <v>14043.55</v>
      </c>
      <c r="H66" s="18" t="n">
        <v>55554.01</v>
      </c>
      <c r="I66" s="18" t="n">
        <v>-73538.46000000001</v>
      </c>
      <c r="J66" s="18" t="n">
        <v>4517.04</v>
      </c>
      <c r="K66" s="37" t="n">
        <v>576.14</v>
      </c>
      <c r="L66" s="18" t="n">
        <v>16027.75</v>
      </c>
      <c r="M66" s="18" t="n">
        <v>43528.18</v>
      </c>
      <c r="N66" s="18" t="n">
        <v>36566.18</v>
      </c>
      <c r="O66" s="18" t="n">
        <v>68431.09</v>
      </c>
      <c r="P66" s="37" t="n">
        <v>164553.2</v>
      </c>
      <c r="Q66" s="18" t="n">
        <v>137130.91</v>
      </c>
      <c r="R66" s="18" t="n">
        <v>13516.14</v>
      </c>
      <c r="S66" s="18" t="n">
        <v>11758.61</v>
      </c>
      <c r="T66" s="18" t="n">
        <v>-94909.16</v>
      </c>
      <c r="U66" s="37" t="n">
        <v>67496.5</v>
      </c>
      <c r="V66" s="18" t="n">
        <v>2461.13</v>
      </c>
      <c r="W66" s="18" t="n">
        <v>345633.68</v>
      </c>
      <c r="X66" s="18" t="n">
        <v>118889.71</v>
      </c>
      <c r="Y66" s="18" t="n">
        <v>254483.45</v>
      </c>
      <c r="Z66" s="37" t="n">
        <v>721467.97</v>
      </c>
      <c r="AA66" s="18" t="n">
        <v>67020.48</v>
      </c>
      <c r="AB66" s="19" t="n">
        <v>884548.3199999999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계속사업이익</t>
        </is>
      </c>
      <c r="E67" s="18" t="n">
        <v>-10754.59</v>
      </c>
      <c r="F67" s="9" t="n"/>
      <c r="G67" s="18" t="n">
        <v>-40486.14</v>
      </c>
      <c r="H67" s="18" t="n">
        <v>128816.66</v>
      </c>
      <c r="I67" s="18" t="n">
        <v>-276845.36</v>
      </c>
      <c r="J67" s="18" t="n">
        <v>195857.61</v>
      </c>
      <c r="K67" s="37" t="n">
        <v>7342.77</v>
      </c>
      <c r="L67" s="18" t="n">
        <v>55652.12</v>
      </c>
      <c r="M67" s="18" t="n">
        <v>135109.29</v>
      </c>
      <c r="N67" s="18" t="n">
        <v>99994.53</v>
      </c>
      <c r="O67" s="18" t="n">
        <v>250073.51</v>
      </c>
      <c r="P67" s="37" t="n">
        <v>540829.45</v>
      </c>
      <c r="Q67" s="18" t="n">
        <v>575561.9399999999</v>
      </c>
      <c r="R67" s="18" t="n">
        <v>20054.37</v>
      </c>
      <c r="S67" s="18" t="n">
        <v>36848.79</v>
      </c>
      <c r="T67" s="18" t="n">
        <v>-61617.96</v>
      </c>
      <c r="U67" s="37" t="n">
        <v>570847.14</v>
      </c>
      <c r="V67" s="18" t="n">
        <v>106653.59</v>
      </c>
      <c r="W67" s="18" t="n">
        <v>933939.8199999999</v>
      </c>
      <c r="X67" s="18" t="n">
        <v>366485.04</v>
      </c>
      <c r="Y67" s="18" t="n">
        <v>657816.33</v>
      </c>
      <c r="Z67" s="37" t="n">
        <v>2064894.78</v>
      </c>
      <c r="AA67" s="18" t="n">
        <v>221852.04</v>
      </c>
      <c r="AB67" s="19" t="n">
        <v>2829207.66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중단사업이익</t>
        </is>
      </c>
      <c r="E68" s="18" t="n">
        <v>284.9</v>
      </c>
      <c r="F68" s="9" t="n"/>
      <c r="K68" s="9" t="n"/>
      <c r="P68" s="9" t="n"/>
      <c r="U68" s="9" t="n"/>
      <c r="Z68" s="9" t="n"/>
      <c r="AB68" s="19" t="n">
        <v>-3631.75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당기순이익</t>
        </is>
      </c>
      <c r="E69" s="18" t="n">
        <v>-10469.68</v>
      </c>
      <c r="F69" s="9" t="n"/>
      <c r="G69" s="18" t="n">
        <v>-40486.14</v>
      </c>
      <c r="H69" s="18" t="n">
        <v>128816.66</v>
      </c>
      <c r="I69" s="18" t="n">
        <v>-276845.36</v>
      </c>
      <c r="J69" s="18" t="n">
        <v>195857.61</v>
      </c>
      <c r="K69" s="37" t="n">
        <v>7342.77</v>
      </c>
      <c r="L69" s="18" t="n">
        <v>55652.12</v>
      </c>
      <c r="M69" s="18" t="n">
        <v>135109.29</v>
      </c>
      <c r="N69" s="18" t="n">
        <v>99994.53</v>
      </c>
      <c r="O69" s="18" t="n">
        <v>250073.51</v>
      </c>
      <c r="P69" s="37" t="n">
        <v>540829.45</v>
      </c>
      <c r="Q69" s="18" t="n">
        <v>575561.9399999999</v>
      </c>
      <c r="R69" s="18" t="n">
        <v>20054.37</v>
      </c>
      <c r="S69" s="18" t="n">
        <v>36848.79</v>
      </c>
      <c r="T69" s="18" t="n">
        <v>-61617.96</v>
      </c>
      <c r="U69" s="37" t="n">
        <v>570847.14</v>
      </c>
      <c r="V69" s="18" t="n">
        <v>106653.59</v>
      </c>
      <c r="W69" s="18" t="n">
        <v>933939.8199999999</v>
      </c>
      <c r="X69" s="18" t="n">
        <v>366485.04</v>
      </c>
      <c r="Y69" s="18" t="n">
        <v>657816.33</v>
      </c>
      <c r="Z69" s="37" t="n">
        <v>2064894.78</v>
      </c>
      <c r="AA69" s="18" t="n">
        <v>221852.04</v>
      </c>
      <c r="AB69" s="19" t="n">
        <v>2825575.91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총포괄손익</t>
        </is>
      </c>
      <c r="E70" s="18" t="n">
        <v>-14487.8</v>
      </c>
      <c r="F70" s="9" t="n"/>
      <c r="G70" s="18" t="n">
        <v>-38985.39</v>
      </c>
      <c r="H70" s="18" t="n">
        <v>122363.42</v>
      </c>
      <c r="I70" s="18" t="n">
        <v>-280447.17</v>
      </c>
      <c r="J70" s="18" t="n">
        <v>208614.9</v>
      </c>
      <c r="K70" s="37" t="n">
        <v>11545.76</v>
      </c>
      <c r="L70" s="18" t="n">
        <v>56822.61</v>
      </c>
      <c r="M70" s="18" t="n">
        <v>137197.93</v>
      </c>
      <c r="N70" s="18" t="n">
        <v>98471.56</v>
      </c>
      <c r="O70" s="18" t="n">
        <v>212654.83</v>
      </c>
      <c r="P70" s="37" t="n">
        <v>505146.93</v>
      </c>
      <c r="Q70" s="18" t="n">
        <v>575054.02</v>
      </c>
      <c r="R70" s="18" t="n">
        <v>19812.69</v>
      </c>
      <c r="S70" s="18" t="n">
        <v>36848.79</v>
      </c>
      <c r="T70" s="18" t="n">
        <v>-66922.22</v>
      </c>
      <c r="U70" s="37" t="n">
        <v>564793.28</v>
      </c>
      <c r="V70" s="18" t="n">
        <v>782093.89</v>
      </c>
      <c r="W70" s="18" t="n">
        <v>938544.5699999999</v>
      </c>
      <c r="X70" s="18" t="n">
        <v>361596.59</v>
      </c>
      <c r="Y70" s="18" t="n">
        <v>662823.65</v>
      </c>
      <c r="Z70" s="37" t="n">
        <v>2745058.7</v>
      </c>
      <c r="AA70" s="18" t="n">
        <v>223098.26</v>
      </c>
      <c r="AB70" s="19" t="n">
        <v>2830110.32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(지배주주지분)당기순이익</t>
        </is>
      </c>
      <c r="E71" s="18" t="n">
        <v>-10469.68</v>
      </c>
      <c r="F71" s="9" t="n"/>
      <c r="G71" s="18" t="n">
        <v>-40486.14</v>
      </c>
      <c r="H71" s="18" t="n">
        <v>128816.66</v>
      </c>
      <c r="I71" s="18" t="n">
        <v>-276845.36</v>
      </c>
      <c r="J71" s="18" t="n">
        <v>195857.61</v>
      </c>
      <c r="K71" s="37" t="n">
        <v>7342.77</v>
      </c>
      <c r="L71" s="18" t="n">
        <v>55652.12</v>
      </c>
      <c r="M71" s="18" t="n">
        <v>135109.29</v>
      </c>
      <c r="N71" s="18" t="n">
        <v>99994.53</v>
      </c>
      <c r="O71" s="18" t="n">
        <v>250073.51</v>
      </c>
      <c r="P71" s="37" t="n">
        <v>540829.45</v>
      </c>
      <c r="Q71" s="18" t="n">
        <v>575561.9399999999</v>
      </c>
      <c r="R71" s="18" t="n">
        <v>20054.37</v>
      </c>
      <c r="S71" s="18" t="n">
        <v>36848.79</v>
      </c>
      <c r="T71" s="18" t="n">
        <v>-61617.96</v>
      </c>
      <c r="U71" s="37" t="n">
        <v>570847.14</v>
      </c>
      <c r="V71" s="18" t="n">
        <v>106653.59</v>
      </c>
      <c r="W71" s="18" t="n">
        <v>933939.8199999999</v>
      </c>
      <c r="X71" s="18" t="n">
        <v>366485.04</v>
      </c>
      <c r="Y71" s="18" t="n">
        <v>657816.33</v>
      </c>
      <c r="Z71" s="37" t="n">
        <v>2064894.78</v>
      </c>
      <c r="AA71" s="18" t="n">
        <v>221852.04</v>
      </c>
      <c r="AB71" s="19" t="n">
        <v>2825575.91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영업활동으로인한현금흐름</t>
        </is>
      </c>
      <c r="E72" s="18" t="n">
        <v>55262.03</v>
      </c>
      <c r="F72" s="9" t="n"/>
      <c r="G72" s="18" t="n">
        <v>40549.7</v>
      </c>
      <c r="H72" s="18" t="n">
        <v>46685.51</v>
      </c>
      <c r="I72" s="18" t="n">
        <v>61101.3</v>
      </c>
      <c r="J72" s="18" t="n">
        <v>46341.16</v>
      </c>
      <c r="K72" s="37" t="n">
        <v>194677.67</v>
      </c>
      <c r="L72" s="18" t="n">
        <v>61146.89</v>
      </c>
      <c r="M72" s="18" t="n">
        <v>142577.1</v>
      </c>
      <c r="N72" s="18" t="n">
        <v>116191.4</v>
      </c>
      <c r="O72" s="18" t="n">
        <v>143487.23</v>
      </c>
      <c r="P72" s="37" t="n">
        <v>463402.62</v>
      </c>
      <c r="Q72" s="18" t="n">
        <v>88103.09</v>
      </c>
      <c r="R72" s="18" t="n">
        <v>145876.06</v>
      </c>
      <c r="S72" s="18" t="n">
        <v>110520.55</v>
      </c>
      <c r="T72" s="18" t="n">
        <v>100878.48</v>
      </c>
      <c r="U72" s="37" t="n">
        <v>445378.18</v>
      </c>
      <c r="V72" s="18" t="n">
        <v>108895.33</v>
      </c>
      <c r="W72" s="18" t="n">
        <v>77750.99000000001</v>
      </c>
      <c r="X72" s="18" t="n">
        <v>68771.97</v>
      </c>
      <c r="Y72" s="18" t="n">
        <v>159471.63</v>
      </c>
      <c r="Z72" s="37" t="n">
        <v>414889.92</v>
      </c>
      <c r="AA72" s="18" t="n">
        <v>86881.58</v>
      </c>
      <c r="AB72" s="19" t="n">
        <v>57074.6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감가상각비</t>
        </is>
      </c>
      <c r="E73" s="18" t="n">
        <v>2700.6</v>
      </c>
      <c r="F73" s="9" t="n"/>
      <c r="G73" s="18" t="n">
        <v>1595.29</v>
      </c>
      <c r="H73" s="18" t="n">
        <v>1435.81</v>
      </c>
      <c r="I73" s="18" t="n">
        <v>1521.73</v>
      </c>
      <c r="J73" s="18" t="n">
        <v>1735.28</v>
      </c>
      <c r="K73" s="37" t="n">
        <v>6288.11</v>
      </c>
      <c r="L73" s="18" t="n">
        <v>1747.1</v>
      </c>
      <c r="M73" s="18" t="n">
        <v>1663.29</v>
      </c>
      <c r="N73" s="18" t="n">
        <v>1710.02</v>
      </c>
      <c r="O73" s="18" t="n">
        <v>1927.27</v>
      </c>
      <c r="P73" s="37" t="n">
        <v>7047.68</v>
      </c>
      <c r="Q73" s="18" t="n">
        <v>1870.42</v>
      </c>
      <c r="R73" s="18" t="n">
        <v>2085.98</v>
      </c>
      <c r="S73" s="18" t="n">
        <v>2054.56</v>
      </c>
      <c r="T73" s="18" t="n">
        <v>2096.31</v>
      </c>
      <c r="U73" s="37" t="n">
        <v>8107.27</v>
      </c>
      <c r="V73" s="18" t="n">
        <v>36089.52</v>
      </c>
      <c r="W73" s="18" t="n">
        <v>35970.29</v>
      </c>
      <c r="X73" s="18" t="n">
        <v>-65540.87</v>
      </c>
      <c r="Y73" s="18" t="n">
        <v>2177.14</v>
      </c>
      <c r="Z73" s="37" t="n">
        <v>8696.08</v>
      </c>
      <c r="AA73" s="18" t="n">
        <v>30148.76</v>
      </c>
      <c r="AB73" s="19" t="n">
        <v>28325.79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무형자산상각비</t>
        </is>
      </c>
      <c r="E74" s="18" t="n">
        <v>233.61</v>
      </c>
      <c r="F74" s="9" t="n"/>
      <c r="G74" s="18" t="n">
        <v>265.79</v>
      </c>
      <c r="H74" s="18" t="n">
        <v>272.01</v>
      </c>
      <c r="I74" s="18" t="n">
        <v>279.46</v>
      </c>
      <c r="J74" s="18" t="n">
        <v>291.47</v>
      </c>
      <c r="K74" s="37" t="n">
        <v>1108.73</v>
      </c>
      <c r="L74" s="18" t="n">
        <v>311.5</v>
      </c>
      <c r="M74" s="18" t="n">
        <v>318.2</v>
      </c>
      <c r="N74" s="18" t="n">
        <v>332.73</v>
      </c>
      <c r="O74" s="18" t="n">
        <v>336.45</v>
      </c>
      <c r="P74" s="37" t="n">
        <v>1298.88</v>
      </c>
      <c r="Q74" s="18" t="n">
        <v>306.78</v>
      </c>
      <c r="R74" s="18" t="n">
        <v>294.28</v>
      </c>
      <c r="S74" s="18" t="n">
        <v>295.32</v>
      </c>
      <c r="T74" s="18" t="n">
        <v>300.54</v>
      </c>
      <c r="U74" s="37" t="n">
        <v>1196.92</v>
      </c>
      <c r="V74" s="18" t="n">
        <v>303.87</v>
      </c>
      <c r="W74" s="18" t="n">
        <v>386.78</v>
      </c>
      <c r="X74" s="18" t="n">
        <v>316.62</v>
      </c>
      <c r="Y74" s="18" t="n">
        <v>223.93</v>
      </c>
      <c r="Z74" s="37" t="n">
        <v>1231.2</v>
      </c>
      <c r="AA74" s="18" t="n">
        <v>219.23</v>
      </c>
      <c r="AB74" s="19" t="n">
        <v>275.37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법인세납부(CF)</t>
        </is>
      </c>
      <c r="E75" s="18" t="n">
        <v>-2014.92</v>
      </c>
      <c r="F75" s="9" t="n"/>
      <c r="G75" s="18" t="n">
        <v>-7577.65</v>
      </c>
      <c r="H75" s="18" t="n">
        <v>-23116.63</v>
      </c>
      <c r="I75" s="18" t="n">
        <v>-24518.95</v>
      </c>
      <c r="J75" s="18" t="n">
        <v>-1551.75</v>
      </c>
      <c r="K75" s="37" t="n">
        <v>-56764.98</v>
      </c>
      <c r="L75" s="18" t="n">
        <v>-1220.77</v>
      </c>
      <c r="M75" s="18" t="n">
        <v>-11024.21</v>
      </c>
      <c r="N75" s="18" t="n">
        <v>-10666.34</v>
      </c>
      <c r="O75" s="18" t="n">
        <v>-12055.52</v>
      </c>
      <c r="P75" s="37" t="n">
        <v>-34966.84</v>
      </c>
      <c r="Q75" s="18" t="n">
        <v>-3020.52</v>
      </c>
      <c r="R75" s="18" t="n">
        <v>-24235.13</v>
      </c>
      <c r="S75" s="18" t="n">
        <v>-10295.87</v>
      </c>
      <c r="T75" s="18" t="n">
        <v>-10788.77</v>
      </c>
      <c r="U75" s="37" t="n">
        <v>-48340.29</v>
      </c>
      <c r="V75" s="18" t="n">
        <v>-49833.53</v>
      </c>
      <c r="W75" s="18" t="n">
        <v>-60790.76</v>
      </c>
      <c r="X75" s="18" t="n">
        <v>-22103.94</v>
      </c>
      <c r="Y75" s="18" t="n">
        <v>-20064.1</v>
      </c>
      <c r="Z75" s="37" t="n">
        <v>-152792.33</v>
      </c>
      <c r="AA75" s="18" t="n">
        <v>-16641.51</v>
      </c>
      <c r="AB75" s="19" t="n">
        <v>12767.88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투자활동으로인한현금흐름</t>
        </is>
      </c>
      <c r="E76" s="18" t="n">
        <v>487807.47</v>
      </c>
      <c r="F76" s="9" t="n"/>
      <c r="G76" s="18" t="n">
        <v>-403500.26</v>
      </c>
      <c r="H76" s="18" t="n">
        <v>-41200.89</v>
      </c>
      <c r="I76" s="18" t="n">
        <v>464642.68</v>
      </c>
      <c r="J76" s="18" t="n">
        <v>246974.87</v>
      </c>
      <c r="K76" s="37" t="n">
        <v>266916.4</v>
      </c>
      <c r="L76" s="18" t="n">
        <v>-109839.3</v>
      </c>
      <c r="M76" s="18" t="n">
        <v>-46355.64</v>
      </c>
      <c r="N76" s="18" t="n">
        <v>-34459.7</v>
      </c>
      <c r="O76" s="18" t="n">
        <v>-1837.63</v>
      </c>
      <c r="P76" s="37" t="n">
        <v>-192492.27</v>
      </c>
      <c r="Q76" s="18" t="n">
        <v>-110680.21</v>
      </c>
      <c r="R76" s="18" t="n">
        <v>-259449.17</v>
      </c>
      <c r="S76" s="18" t="n">
        <v>-56792.76</v>
      </c>
      <c r="T76" s="18" t="n">
        <v>-579304.48</v>
      </c>
      <c r="U76" s="37" t="n">
        <v>-1006226.62</v>
      </c>
      <c r="V76" s="18" t="n">
        <v>-19778.95</v>
      </c>
      <c r="W76" s="18" t="n">
        <v>190156.65</v>
      </c>
      <c r="X76" s="18" t="n">
        <v>-818078.14</v>
      </c>
      <c r="Y76" s="18" t="n">
        <v>178601.86</v>
      </c>
      <c r="Z76" s="37" t="n">
        <v>-469098.58</v>
      </c>
      <c r="AA76" s="18" t="n">
        <v>-46664.01</v>
      </c>
      <c r="AB76" s="19" t="n">
        <v>-43977.87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유형자산의증가</t>
        </is>
      </c>
      <c r="E77" s="18" t="n">
        <v>25443.74</v>
      </c>
      <c r="F77" s="9" t="n"/>
      <c r="G77" s="18" t="n">
        <v>30879.31</v>
      </c>
      <c r="H77" s="18" t="n">
        <v>24361.41</v>
      </c>
      <c r="I77" s="18" t="n">
        <v>41142.14</v>
      </c>
      <c r="J77" s="18" t="n">
        <v>49551.38</v>
      </c>
      <c r="K77" s="37" t="n">
        <v>145934.24</v>
      </c>
      <c r="L77" s="18" t="n">
        <v>56905.8</v>
      </c>
      <c r="M77" s="18" t="n">
        <v>50598.74</v>
      </c>
      <c r="N77" s="18" t="n">
        <v>60546.09</v>
      </c>
      <c r="O77" s="18" t="n">
        <v>23978.74</v>
      </c>
      <c r="P77" s="37" t="n">
        <v>192029.37</v>
      </c>
      <c r="Q77" s="18" t="n">
        <v>21543.7</v>
      </c>
      <c r="R77" s="18" t="n">
        <v>30565.81</v>
      </c>
      <c r="S77" s="18" t="n">
        <v>21436.25</v>
      </c>
      <c r="T77" s="18" t="n">
        <v>12580.7</v>
      </c>
      <c r="U77" s="37" t="n">
        <v>86126.46000000001</v>
      </c>
      <c r="V77" s="18" t="n">
        <v>17729.21</v>
      </c>
      <c r="W77" s="18" t="n">
        <v>13172.56</v>
      </c>
      <c r="X77" s="18" t="n">
        <v>17958.43</v>
      </c>
      <c r="Y77" s="18" t="n">
        <v>37379.49</v>
      </c>
      <c r="Z77" s="37" t="n">
        <v>86239.69</v>
      </c>
      <c r="AA77" s="18" t="n">
        <v>30987.63</v>
      </c>
      <c r="AB77" s="19" t="n">
        <v>10565.74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CAPEX</t>
        </is>
      </c>
      <c r="E78" s="18" t="n">
        <v>26125.17</v>
      </c>
      <c r="F78" s="9" t="n"/>
      <c r="G78" s="18" t="n">
        <v>31047.65</v>
      </c>
      <c r="H78" s="18" t="n">
        <v>26553.8</v>
      </c>
      <c r="I78" s="18" t="n">
        <v>41349.35</v>
      </c>
      <c r="J78" s="18" t="n">
        <v>50008.86</v>
      </c>
      <c r="K78" s="37" t="n">
        <v>148959.66</v>
      </c>
      <c r="L78" s="18" t="n">
        <v>57114.96</v>
      </c>
      <c r="M78" s="18" t="n">
        <v>50877.37</v>
      </c>
      <c r="N78" s="18" t="n">
        <v>60733.76</v>
      </c>
      <c r="O78" s="18" t="n">
        <v>24228.55</v>
      </c>
      <c r="P78" s="37" t="n">
        <v>192954.64</v>
      </c>
      <c r="Q78" s="18" t="n">
        <v>21910.92</v>
      </c>
      <c r="R78" s="18" t="n">
        <v>30801.43</v>
      </c>
      <c r="S78" s="18" t="n">
        <v>21646.68</v>
      </c>
      <c r="T78" s="18" t="n">
        <v>12885.41</v>
      </c>
      <c r="U78" s="37" t="n">
        <v>87244.44</v>
      </c>
      <c r="V78" s="18" t="n">
        <v>17953.67</v>
      </c>
      <c r="W78" s="18" t="n">
        <v>13532.35</v>
      </c>
      <c r="X78" s="18" t="n">
        <v>18043.55</v>
      </c>
      <c r="Y78" s="18" t="n">
        <v>37683.66</v>
      </c>
      <c r="Z78" s="37" t="n">
        <v>87213.23</v>
      </c>
      <c r="AA78" s="18" t="n">
        <v>31200.45</v>
      </c>
      <c r="AB78" s="19" t="n">
        <v>10769.98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무형자산의증가</t>
        </is>
      </c>
      <c r="E79" s="18" t="n">
        <v>681.4299999999999</v>
      </c>
      <c r="F79" s="9" t="n"/>
      <c r="G79" s="18" t="n">
        <v>168.34</v>
      </c>
      <c r="H79" s="18" t="n">
        <v>2192.39</v>
      </c>
      <c r="I79" s="18" t="n">
        <v>207.21</v>
      </c>
      <c r="J79" s="18" t="n">
        <v>457.48</v>
      </c>
      <c r="K79" s="37" t="n">
        <v>3025.42</v>
      </c>
      <c r="L79" s="18" t="n">
        <v>209.16</v>
      </c>
      <c r="M79" s="18" t="n">
        <v>278.63</v>
      </c>
      <c r="N79" s="18" t="n">
        <v>187.67</v>
      </c>
      <c r="O79" s="18" t="n">
        <v>249.81</v>
      </c>
      <c r="P79" s="37" t="n">
        <v>925.27</v>
      </c>
      <c r="Q79" s="18" t="n">
        <v>367.22</v>
      </c>
      <c r="R79" s="18" t="n">
        <v>235.62</v>
      </c>
      <c r="S79" s="18" t="n">
        <v>210.43</v>
      </c>
      <c r="T79" s="18" t="n">
        <v>304.71</v>
      </c>
      <c r="U79" s="37" t="n">
        <v>1117.98</v>
      </c>
      <c r="V79" s="18" t="n">
        <v>224.46</v>
      </c>
      <c r="W79" s="18" t="n">
        <v>359.79</v>
      </c>
      <c r="X79" s="18" t="n">
        <v>85.12</v>
      </c>
      <c r="Y79" s="18" t="n">
        <v>304.17</v>
      </c>
      <c r="Z79" s="37" t="n">
        <v>973.54</v>
      </c>
      <c r="AA79" s="18" t="n">
        <v>212.82</v>
      </c>
      <c r="AB79" s="19" t="n">
        <v>204.24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유형자산의감소</t>
        </is>
      </c>
      <c r="E80" s="18" t="n">
        <v>865.95</v>
      </c>
      <c r="F80" s="9" t="n"/>
      <c r="G80" s="18" t="n">
        <v>807.17</v>
      </c>
      <c r="H80" s="18" t="n">
        <v>2850.64</v>
      </c>
      <c r="I80" s="18" t="n">
        <v>361.18</v>
      </c>
      <c r="J80" s="18" t="n">
        <v>1388.14</v>
      </c>
      <c r="K80" s="37" t="n">
        <v>5407.13</v>
      </c>
      <c r="L80" s="18" t="n">
        <v>20736.11</v>
      </c>
      <c r="M80" s="18" t="n">
        <v>6559.39</v>
      </c>
      <c r="N80" s="18" t="n">
        <v>842.54</v>
      </c>
      <c r="O80" s="18" t="n">
        <v>1107.53</v>
      </c>
      <c r="P80" s="37" t="n">
        <v>29245.57</v>
      </c>
      <c r="Q80" s="18" t="n">
        <v>649.33</v>
      </c>
      <c r="R80" s="18" t="n">
        <v>759.27</v>
      </c>
      <c r="S80" s="18" t="n">
        <v>992.29</v>
      </c>
      <c r="T80" s="18" t="n">
        <v>4203.36</v>
      </c>
      <c r="U80" s="37" t="n">
        <v>6604.25</v>
      </c>
      <c r="V80" s="18" t="n">
        <v>251.05</v>
      </c>
      <c r="W80" s="18" t="n">
        <v>1103.02</v>
      </c>
      <c r="X80" s="18" t="n">
        <v>5100.63</v>
      </c>
      <c r="Y80" s="18" t="n">
        <v>25860.7</v>
      </c>
      <c r="Z80" s="37" t="n">
        <v>32315.4</v>
      </c>
      <c r="AA80" s="18" t="n">
        <v>186.35</v>
      </c>
      <c r="AB80" s="19" t="n">
        <v>420.98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무형자산의감소</t>
        </is>
      </c>
      <c r="E81" s="18" t="n">
        <v>0</v>
      </c>
      <c r="F81" s="9" t="n"/>
      <c r="G81" s="18" t="n">
        <v>0.22</v>
      </c>
      <c r="H81" s="18" t="n">
        <v>2150</v>
      </c>
      <c r="I81" s="18" t="n">
        <v>0</v>
      </c>
      <c r="J81" s="18" t="n">
        <v>0</v>
      </c>
      <c r="K81" s="37" t="n">
        <v>2150.22</v>
      </c>
      <c r="N81" s="18" t="n">
        <v>0.73</v>
      </c>
      <c r="O81" s="18" t="n">
        <v>0</v>
      </c>
      <c r="P81" s="9" t="n"/>
      <c r="T81" s="18" t="n">
        <v>5.85</v>
      </c>
      <c r="U81" s="9" t="n"/>
      <c r="V81" s="18" t="n">
        <v>1.15</v>
      </c>
      <c r="W81" s="18" t="n">
        <v>0.24</v>
      </c>
      <c r="X81" s="18" t="n">
        <v>209.09</v>
      </c>
      <c r="Y81" s="18" t="n">
        <v>0</v>
      </c>
      <c r="Z81" s="37" t="n">
        <v>210.48</v>
      </c>
      <c r="AB81" s="5" t="n"/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이자수취(CF)</t>
        </is>
      </c>
      <c r="E82" s="18" t="n">
        <v>1987.14</v>
      </c>
      <c r="F82" s="9" t="n"/>
      <c r="G82" s="18" t="n">
        <v>311.34</v>
      </c>
      <c r="H82" s="18" t="n">
        <v>395.08</v>
      </c>
      <c r="I82" s="18" t="n">
        <v>961.47</v>
      </c>
      <c r="J82" s="18" t="n">
        <v>3043.58</v>
      </c>
      <c r="K82" s="37" t="n">
        <v>4711.47</v>
      </c>
      <c r="L82" s="18" t="n">
        <v>4350.76</v>
      </c>
      <c r="M82" s="18" t="n">
        <v>5329.17</v>
      </c>
      <c r="N82" s="18" t="n">
        <v>6718.03</v>
      </c>
      <c r="O82" s="18" t="n">
        <v>8378.450000000001</v>
      </c>
      <c r="P82" s="37" t="n">
        <v>24776.41</v>
      </c>
      <c r="Q82" s="18" t="n">
        <v>7188.55</v>
      </c>
      <c r="R82" s="18" t="n">
        <v>7636.26</v>
      </c>
      <c r="S82" s="18" t="n">
        <v>6764.26</v>
      </c>
      <c r="T82" s="18" t="n">
        <v>8165.82</v>
      </c>
      <c r="U82" s="37" t="n">
        <v>29754.89</v>
      </c>
      <c r="V82" s="18" t="n">
        <v>1908.06</v>
      </c>
      <c r="W82" s="18" t="n">
        <v>2777.28</v>
      </c>
      <c r="X82" s="18" t="n">
        <v>15710.58</v>
      </c>
      <c r="Y82" s="18" t="n">
        <v>4136.45</v>
      </c>
      <c r="Z82" s="37" t="n">
        <v>24532.37</v>
      </c>
      <c r="AA82" s="18" t="n">
        <v>4471.73</v>
      </c>
      <c r="AB82" s="19" t="n">
        <v>13438.65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배당금수취(CF)</t>
        </is>
      </c>
      <c r="E83" s="18" t="n">
        <v>90.22</v>
      </c>
      <c r="F83" s="9" t="n"/>
      <c r="G83" s="18" t="n">
        <v>152.74</v>
      </c>
      <c r="H83" s="18" t="n">
        <v>77654.13</v>
      </c>
      <c r="I83" s="18" t="n">
        <v>612.5599999999999</v>
      </c>
      <c r="J83" s="18" t="n">
        <v>0</v>
      </c>
      <c r="K83" s="37" t="n">
        <v>78419.42999999999</v>
      </c>
      <c r="L83" s="18" t="n">
        <v>143.5</v>
      </c>
      <c r="M83" s="18" t="n">
        <v>44983.33</v>
      </c>
      <c r="N83" s="18" t="n">
        <v>458.48</v>
      </c>
      <c r="O83" s="18" t="n">
        <v>0</v>
      </c>
      <c r="P83" s="37" t="n">
        <v>45585.31</v>
      </c>
      <c r="Q83" s="18" t="n">
        <v>72625.92</v>
      </c>
      <c r="R83" s="18" t="n">
        <v>126861.47</v>
      </c>
      <c r="S83" s="18" t="n">
        <v>458.48</v>
      </c>
      <c r="T83" s="18" t="n">
        <v>0</v>
      </c>
      <c r="U83" s="37" t="n">
        <v>199945.87</v>
      </c>
      <c r="V83" s="18" t="n">
        <v>205</v>
      </c>
      <c r="W83" s="18" t="n">
        <v>64147</v>
      </c>
      <c r="X83" s="18" t="n">
        <v>9216.450000000001</v>
      </c>
      <c r="Y83" s="18" t="n">
        <v>110.77</v>
      </c>
      <c r="Z83" s="37" t="n">
        <v>73679.22</v>
      </c>
      <c r="AA83" s="18" t="n">
        <v>205</v>
      </c>
      <c r="AB83" s="19" t="n">
        <v>79820.42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재무활동으로인한현금흐름</t>
        </is>
      </c>
      <c r="E84" s="18" t="n">
        <v>-511388.9</v>
      </c>
      <c r="F84" s="9" t="n"/>
      <c r="G84" s="18" t="n">
        <v>333582.22</v>
      </c>
      <c r="H84" s="18" t="n">
        <v>-972.04</v>
      </c>
      <c r="I84" s="18" t="n">
        <v>-462377.9</v>
      </c>
      <c r="J84" s="18" t="n">
        <v>2732.4</v>
      </c>
      <c r="K84" s="37" t="n">
        <v>-127035.32</v>
      </c>
      <c r="L84" s="18" t="n">
        <v>97094.24000000001</v>
      </c>
      <c r="M84" s="18" t="n">
        <v>41378.47</v>
      </c>
      <c r="N84" s="18" t="n">
        <v>-48064.51</v>
      </c>
      <c r="O84" s="18" t="n">
        <v>-137036.1</v>
      </c>
      <c r="P84" s="37" t="n">
        <v>-46627.9</v>
      </c>
      <c r="Q84" s="18" t="n">
        <v>21205.85</v>
      </c>
      <c r="R84" s="18" t="n">
        <v>174088.76</v>
      </c>
      <c r="S84" s="18" t="n">
        <v>22366.67</v>
      </c>
      <c r="T84" s="18" t="n">
        <v>-109995.62</v>
      </c>
      <c r="U84" s="37" t="n">
        <v>107665.66</v>
      </c>
      <c r="V84" s="18" t="n">
        <v>330986.87</v>
      </c>
      <c r="W84" s="18" t="n">
        <v>-388864.99</v>
      </c>
      <c r="X84" s="18" t="n">
        <v>855895.03</v>
      </c>
      <c r="Y84" s="18" t="n">
        <v>-130132.8</v>
      </c>
      <c r="Z84" s="37" t="n">
        <v>667884.11</v>
      </c>
      <c r="AA84" s="18" t="n">
        <v>263512.1</v>
      </c>
      <c r="AB84" s="19" t="n">
        <v>-425948.17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장기차입금의증가</t>
        </is>
      </c>
      <c r="E85" s="18" t="n">
        <v>0</v>
      </c>
      <c r="F85" s="9" t="n"/>
      <c r="G85" s="18" t="n">
        <v>371564.16</v>
      </c>
      <c r="H85" s="18" t="n">
        <v>0</v>
      </c>
      <c r="I85" s="18" t="n">
        <v>0</v>
      </c>
      <c r="J85" s="18" t="n">
        <v>0</v>
      </c>
      <c r="K85" s="37" t="n">
        <v>371564.16</v>
      </c>
      <c r="P85" s="9" t="n"/>
      <c r="S85" s="18" t="n">
        <v>0</v>
      </c>
      <c r="T85" s="18" t="n">
        <v>0</v>
      </c>
      <c r="U85" s="9" t="n"/>
      <c r="Z85" s="9" t="n"/>
      <c r="AB85" s="5" t="n"/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사채의증가</t>
        </is>
      </c>
      <c r="E86" s="18" t="n">
        <v>249261.26</v>
      </c>
      <c r="F86" s="9" t="n"/>
      <c r="I86" s="18" t="n">
        <v>0</v>
      </c>
      <c r="J86" s="18" t="n">
        <v>0</v>
      </c>
      <c r="K86" s="9" t="n"/>
      <c r="N86" s="18" t="n">
        <v>0</v>
      </c>
      <c r="O86" s="18" t="n">
        <v>0</v>
      </c>
      <c r="P86" s="9" t="n"/>
      <c r="Q86" s="18" t="n">
        <v>578380.4399999999</v>
      </c>
      <c r="R86" s="18" t="n">
        <v>0</v>
      </c>
      <c r="S86" s="18" t="n">
        <v>0</v>
      </c>
      <c r="T86" s="18" t="n">
        <v>299133.46</v>
      </c>
      <c r="U86" s="37" t="n">
        <v>877513.9</v>
      </c>
      <c r="V86" s="18" t="n">
        <v>398851.08</v>
      </c>
      <c r="W86" s="18" t="n">
        <v>0</v>
      </c>
      <c r="X86" s="18" t="n">
        <v>885072.27</v>
      </c>
      <c r="Y86" s="18" t="n">
        <v>0</v>
      </c>
      <c r="Z86" s="37" t="n">
        <v>1283923.35</v>
      </c>
      <c r="AA86" s="18" t="n">
        <v>398861.36</v>
      </c>
      <c r="AB86" s="19" t="n">
        <v>0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유동성장기부채의감소</t>
        </is>
      </c>
      <c r="E87" s="18" t="n">
        <v>0</v>
      </c>
      <c r="F87" s="9" t="n"/>
      <c r="I87" s="18" t="n">
        <v>100000</v>
      </c>
      <c r="J87" s="18" t="n">
        <v>0</v>
      </c>
      <c r="K87" s="9" t="n"/>
      <c r="P87" s="9" t="n"/>
      <c r="Q87" s="18" t="n">
        <v>400000</v>
      </c>
      <c r="R87" s="18" t="n">
        <v>238682</v>
      </c>
      <c r="S87" s="18" t="n">
        <v>0</v>
      </c>
      <c r="T87" s="18" t="n">
        <v>270000</v>
      </c>
      <c r="U87" s="37" t="n">
        <v>908682</v>
      </c>
      <c r="V87" s="18" t="n">
        <v>137585.7</v>
      </c>
      <c r="W87" s="18" t="n">
        <v>270000</v>
      </c>
      <c r="X87" s="18" t="n">
        <v>0</v>
      </c>
      <c r="Z87" s="9" t="n"/>
      <c r="AB87" s="5" t="n"/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사채의감소</t>
        </is>
      </c>
      <c r="E88" s="18" t="n">
        <v>280000</v>
      </c>
      <c r="F88" s="9" t="n"/>
      <c r="K88" s="9" t="n"/>
      <c r="L88" s="18" t="n">
        <v>200000</v>
      </c>
      <c r="M88" s="18" t="n">
        <v>150000</v>
      </c>
      <c r="P88" s="9" t="n"/>
      <c r="U88" s="9" t="n"/>
      <c r="Z88" s="9" t="n"/>
      <c r="AA88" s="18" t="n">
        <v>145000</v>
      </c>
      <c r="AB88" s="19" t="n">
        <v>275000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리스부채의상환</t>
        </is>
      </c>
      <c r="E89" s="18" t="n">
        <v>2374.58</v>
      </c>
      <c r="F89" s="9" t="n"/>
      <c r="G89" s="18" t="n">
        <v>1374.8</v>
      </c>
      <c r="H89" s="18" t="n">
        <v>1347.65</v>
      </c>
      <c r="I89" s="18" t="n">
        <v>1521.11</v>
      </c>
      <c r="J89" s="18" t="n">
        <v>1564.83</v>
      </c>
      <c r="K89" s="37" t="n">
        <v>5808.39</v>
      </c>
      <c r="L89" s="18" t="n">
        <v>1556.99</v>
      </c>
      <c r="M89" s="18" t="n">
        <v>2004.82</v>
      </c>
      <c r="N89" s="18" t="n">
        <v>1954.1</v>
      </c>
      <c r="O89" s="18" t="n">
        <v>2043.67</v>
      </c>
      <c r="P89" s="37" t="n">
        <v>7559.58</v>
      </c>
      <c r="Q89" s="18" t="n">
        <v>1987.4</v>
      </c>
      <c r="R89" s="18" t="n">
        <v>2218.97</v>
      </c>
      <c r="S89" s="18" t="n">
        <v>2348.56</v>
      </c>
      <c r="T89" s="18" t="n">
        <v>2230</v>
      </c>
      <c r="U89" s="37" t="n">
        <v>8784.93</v>
      </c>
      <c r="V89" s="18" t="n">
        <v>2322.56</v>
      </c>
      <c r="W89" s="18" t="n">
        <v>2314.88</v>
      </c>
      <c r="X89" s="18" t="n">
        <v>2445.55</v>
      </c>
      <c r="Y89" s="18" t="n">
        <v>2327.44</v>
      </c>
      <c r="Z89" s="37" t="n">
        <v>9410.43</v>
      </c>
      <c r="AA89" s="18" t="n">
        <v>2333.97</v>
      </c>
      <c r="AB89" s="19" t="n">
        <v>2110.26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이자지급(CF)</t>
        </is>
      </c>
      <c r="E90" s="18" t="n">
        <v>-13698.32</v>
      </c>
      <c r="F90" s="9" t="n"/>
      <c r="G90" s="18" t="n">
        <v>-23797.12</v>
      </c>
      <c r="H90" s="18" t="n">
        <v>-12442.16</v>
      </c>
      <c r="I90" s="18" t="n">
        <v>-14294.45</v>
      </c>
      <c r="J90" s="18" t="n">
        <v>-17833.24</v>
      </c>
      <c r="K90" s="37" t="n">
        <v>-68366.97</v>
      </c>
      <c r="L90" s="18" t="n">
        <v>-18227.7</v>
      </c>
      <c r="M90" s="18" t="n">
        <v>-18946.82</v>
      </c>
      <c r="N90" s="18" t="n">
        <v>-22566.28</v>
      </c>
      <c r="O90" s="18" t="n">
        <v>-32943.06</v>
      </c>
      <c r="P90" s="37" t="n">
        <v>-92683.86</v>
      </c>
      <c r="Q90" s="18" t="n">
        <v>-18437.81</v>
      </c>
      <c r="R90" s="18" t="n">
        <v>-29567.42</v>
      </c>
      <c r="S90" s="18" t="n">
        <v>-29042.57</v>
      </c>
      <c r="T90" s="18" t="n">
        <v>-31428.48</v>
      </c>
      <c r="U90" s="37" t="n">
        <v>-108476.28</v>
      </c>
      <c r="V90" s="18" t="n">
        <v>-30469.07</v>
      </c>
      <c r="W90" s="18" t="n">
        <v>-32825.28</v>
      </c>
      <c r="X90" s="18" t="n">
        <v>-29441.59</v>
      </c>
      <c r="Y90" s="18" t="n">
        <v>-29610.53</v>
      </c>
      <c r="Z90" s="37" t="n">
        <v>-122346.47</v>
      </c>
      <c r="AA90" s="18" t="n">
        <v>-37883.22</v>
      </c>
      <c r="AB90" s="19" t="n">
        <v>-32205.73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배당금지급</t>
        </is>
      </c>
      <c r="E91" s="18" t="n">
        <v>0</v>
      </c>
      <c r="F91" s="9" t="n"/>
      <c r="I91" s="18" t="n">
        <v>7354.17</v>
      </c>
      <c r="J91" s="18" t="n">
        <v>0</v>
      </c>
      <c r="K91" s="9" t="n"/>
      <c r="N91" s="18" t="n">
        <v>7354.17</v>
      </c>
      <c r="O91" s="18" t="n">
        <v>0</v>
      </c>
      <c r="P91" s="9" t="n"/>
      <c r="S91" s="18" t="n">
        <v>7354.17</v>
      </c>
      <c r="T91" s="18" t="n">
        <v>0</v>
      </c>
      <c r="U91" s="9" t="n"/>
      <c r="X91" s="18" t="n">
        <v>7354.17</v>
      </c>
      <c r="Y91" s="18" t="n">
        <v>0</v>
      </c>
      <c r="Z91" s="9" t="n"/>
      <c r="AB91" s="5" t="n"/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현금및현금성자산의증감</t>
        </is>
      </c>
      <c r="E92" s="18" t="n">
        <v>31680.61</v>
      </c>
      <c r="F92" s="9" t="n"/>
      <c r="G92" s="18" t="n">
        <v>-29368.34</v>
      </c>
      <c r="H92" s="18" t="n">
        <v>4512.58</v>
      </c>
      <c r="I92" s="18" t="n">
        <v>63366.07</v>
      </c>
      <c r="J92" s="18" t="n">
        <v>296048.44</v>
      </c>
      <c r="K92" s="37" t="n">
        <v>334558.75</v>
      </c>
      <c r="L92" s="18" t="n">
        <v>48401.82</v>
      </c>
      <c r="M92" s="18" t="n">
        <v>137599.94</v>
      </c>
      <c r="N92" s="18" t="n">
        <v>33667.19</v>
      </c>
      <c r="O92" s="18" t="n">
        <v>4613.49</v>
      </c>
      <c r="P92" s="37" t="n">
        <v>224282.44</v>
      </c>
      <c r="Q92" s="18" t="n">
        <v>-1371.27</v>
      </c>
      <c r="R92" s="18" t="n">
        <v>60515.65</v>
      </c>
      <c r="S92" s="18" t="n">
        <v>76094.46000000001</v>
      </c>
      <c r="T92" s="18" t="n">
        <v>-588421.62</v>
      </c>
      <c r="U92" s="37" t="n">
        <v>-453182.78</v>
      </c>
      <c r="V92" s="18" t="n">
        <v>420103.25</v>
      </c>
      <c r="W92" s="18" t="n">
        <v>-120957.34</v>
      </c>
      <c r="X92" s="18" t="n">
        <v>106588.84</v>
      </c>
      <c r="Y92" s="18" t="n">
        <v>207940.71</v>
      </c>
      <c r="Z92" s="37" t="n">
        <v>613675.46</v>
      </c>
      <c r="AA92" s="18" t="n">
        <v>303729.67</v>
      </c>
      <c r="AB92" s="19" t="n">
        <v>-412851.44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기말현금및현금성자산</t>
        </is>
      </c>
      <c r="E93" s="18" t="n">
        <v>30152.04</v>
      </c>
      <c r="F93" s="9" t="n"/>
      <c r="G93" s="18" t="n">
        <v>153638.74</v>
      </c>
      <c r="H93" s="18" t="n">
        <v>4383.87</v>
      </c>
      <c r="I93" s="18" t="n">
        <v>69707.66</v>
      </c>
      <c r="J93" s="18" t="n">
        <v>273854.58</v>
      </c>
      <c r="K93" s="37" t="n">
        <v>501584.85</v>
      </c>
      <c r="L93" s="18" t="n">
        <v>555886.47</v>
      </c>
      <c r="M93" s="18" t="n">
        <v>133646.56</v>
      </c>
      <c r="N93" s="18" t="n">
        <v>43151.34</v>
      </c>
      <c r="O93" s="18" t="n">
        <v>-8231.200000000001</v>
      </c>
      <c r="P93" s="37" t="n">
        <v>724453.17</v>
      </c>
      <c r="Q93" s="18" t="n">
        <v>730153.27</v>
      </c>
      <c r="R93" s="18" t="n">
        <v>64030.09</v>
      </c>
      <c r="S93" s="18" t="n">
        <v>61062.34</v>
      </c>
      <c r="T93" s="18" t="n">
        <v>-579203.03</v>
      </c>
      <c r="U93" s="37" t="n">
        <v>276042.67</v>
      </c>
      <c r="V93" s="18" t="n">
        <v>699444.78</v>
      </c>
      <c r="W93" s="18" t="n">
        <v>-137479.62</v>
      </c>
      <c r="X93" s="18" t="n">
        <v>122675.05</v>
      </c>
      <c r="Y93" s="18" t="n">
        <v>201396.41</v>
      </c>
      <c r="Z93" s="37" t="n">
        <v>886036.62</v>
      </c>
      <c r="AA93" s="18" t="n">
        <v>1218978.29</v>
      </c>
      <c r="AB93" s="19" t="n">
        <v>-425678.7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자기주식의취득</t>
        </is>
      </c>
      <c r="F94" s="9" t="n"/>
      <c r="G94" s="18" t="n">
        <v>81426.66</v>
      </c>
      <c r="H94" s="18" t="n">
        <v>18467.27</v>
      </c>
      <c r="I94" s="18" t="n">
        <v>0</v>
      </c>
      <c r="J94" s="18" t="n">
        <v>0</v>
      </c>
      <c r="K94" s="37" t="n">
        <v>99893.92999999999</v>
      </c>
      <c r="P94" s="9" t="n"/>
      <c r="U94" s="9" t="n"/>
      <c r="Z94" s="9" t="n"/>
      <c r="AB94" s="5" t="n"/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IFERROR(VLOOKUP($D5,BS연결,MATCH(E$1,BS연결H,0),0)/100,"")</f>
        <v/>
      </c>
      <c r="F5" s="37" t="n"/>
      <c r="G5" s="18">
        <f>IFERROR(VLOOKUP($D5,BS연결,MATCH(G$1,BS연결H,0),0)/100,"")</f>
        <v/>
      </c>
      <c r="H5" s="18">
        <f>IFERROR(VLOOKUP($D5,BS연결,MATCH(H$1,BS연결H,0),0)/100,"")</f>
        <v/>
      </c>
      <c r="I5" s="18">
        <f>IFERROR(VLOOKUP($D5,BS연결,MATCH(I$1,BS연결H,0),0)/100,"")</f>
        <v/>
      </c>
      <c r="J5" s="18">
        <f>IFERROR(VLOOKUP($D5,BS연결,MATCH(J$1,BS연결H,0),0)/100,"")</f>
        <v/>
      </c>
      <c r="K5" s="37">
        <f>IFERROR(VLOOKUP($D5,BS연결,MATCH(K$1,BS연결H,0),0)/100,"")</f>
        <v/>
      </c>
      <c r="L5" s="18">
        <f>IFERROR(VLOOKUP($D5,BS연결,MATCH(L$1,BS연결H,0),0)/100,"")</f>
        <v/>
      </c>
      <c r="M5" s="18">
        <f>IFERROR(VLOOKUP($D5,BS연결,MATCH(M$1,BS연결H,0),0)/100,"")</f>
        <v/>
      </c>
      <c r="N5" s="18">
        <f>IFERROR(VLOOKUP($D5,BS연결,MATCH(N$1,BS연결H,0),0)/100,"")</f>
        <v/>
      </c>
      <c r="O5" s="18">
        <f>IFERROR(VLOOKUP($D5,BS연결,MATCH(O$1,BS연결H,0),0)/100,"")</f>
        <v/>
      </c>
      <c r="P5" s="37">
        <f>IFERROR(VLOOKUP($D5,BS연결,MATCH(P$1,BS연결H,0),0)/100,"")</f>
        <v/>
      </c>
      <c r="Q5" s="18">
        <f>IFERROR(VLOOKUP($D5,BS연결,MATCH(Q$1,BS연결H,0),0)/100,"")</f>
        <v/>
      </c>
      <c r="R5" s="18">
        <f>IFERROR(VLOOKUP($D5,BS연결,MATCH(R$1,BS연결H,0),0)/100,"")</f>
        <v/>
      </c>
      <c r="S5" s="18">
        <f>IFERROR(VLOOKUP($D5,BS연결,MATCH(S$1,BS연결H,0),0)/100,"")</f>
        <v/>
      </c>
      <c r="T5" s="18">
        <f>IFERROR(VLOOKUP($D5,BS연결,MATCH(T$1,BS연결H,0),0)/100,"")</f>
        <v/>
      </c>
      <c r="U5" s="37">
        <f>IFERROR(VLOOKUP($D5,BS연결,MATCH(U$1,BS연결H,0),0)/100,"")</f>
        <v/>
      </c>
      <c r="V5" s="18">
        <f>IFERROR(VLOOKUP($D5,BS연결,MATCH(V$1,BS연결H,0),0)/100,"")</f>
        <v/>
      </c>
      <c r="W5" s="18">
        <f>IFERROR(VLOOKUP($D5,BS연결,MATCH(W$1,BS연결H,0),0)/100,"")</f>
        <v/>
      </c>
      <c r="X5" s="18">
        <f>IFERROR(VLOOKUP($D5,BS연결,MATCH(X$1,BS연결H,0),0)/100,"")</f>
        <v/>
      </c>
      <c r="Y5" s="18">
        <f>IFERROR(VLOOKUP($D5,BS연결,MATCH(Y$1,BS연결H,0),0)/100,"")</f>
        <v/>
      </c>
      <c r="Z5" s="37">
        <f>IFERROR(VLOOKUP($D5,BS연결,MATCH(Z$1,BS연결H,0),0)/100,"")</f>
        <v/>
      </c>
      <c r="AA5" s="18">
        <f>IFERROR(VLOOKUP($D5,BS연결,MATCH(AA$1,BS연결H,0),0)/100,"")</f>
        <v/>
      </c>
      <c r="AB5" s="19">
        <f>IFERROR(VLOOKUP($D5,BS연결,MATCH(AB$1,BS연결H,0),0)/100,"")</f>
        <v/>
      </c>
      <c r="AC5" s="20">
        <f>IFERROR(X5*(1+변수!AC21),"")</f>
        <v/>
      </c>
      <c r="AD5" s="20">
        <f>IFERROR(Y5*(1+변수!AD21),"")</f>
        <v/>
      </c>
      <c r="AE5" s="38">
        <f>SUM(AA5:AD5)</f>
        <v/>
      </c>
      <c r="AF5" s="20">
        <f>IFERROR(AA5*(1+변수!AF21),"")</f>
        <v/>
      </c>
      <c r="AG5" s="20">
        <f>IFERROR(AB5*(1+변수!AG21),"")</f>
        <v/>
      </c>
      <c r="AH5" s="20">
        <f>IFERROR(AC5*(1+변수!AH21),"")</f>
        <v/>
      </c>
      <c r="AI5" s="20">
        <f>IFERROR(AD5*(1+변수!AI21),"")</f>
        <v/>
      </c>
      <c r="AJ5" s="38">
        <f>SUM(AF5:AI5)</f>
        <v/>
      </c>
      <c r="AK5" s="20">
        <f>IFERROR(AF5*(1+변수!AK21),"")</f>
        <v/>
      </c>
      <c r="AL5" s="20">
        <f>IFERROR(AG5*(1+변수!AL21),"")</f>
        <v/>
      </c>
      <c r="AM5" s="20">
        <f>IFERROR(AH5*(1+변수!AM21),"")</f>
        <v/>
      </c>
      <c r="AN5" s="20">
        <f>IFERROR(AI5*(1+변수!AN21),"")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IFERROR(VLOOKUP($D6,BS연결,MATCH(E$1,BS연결H,0),0)/100,"")</f>
        <v/>
      </c>
      <c r="F6" s="37" t="n"/>
      <c r="G6" s="18">
        <f>IFERROR(VLOOKUP($D6,BS연결,MATCH(G$1,BS연결H,0),0)/100,"")</f>
        <v/>
      </c>
      <c r="H6" s="18">
        <f>IFERROR(VLOOKUP($D6,BS연결,MATCH(H$1,BS연결H,0),0)/100,"")</f>
        <v/>
      </c>
      <c r="I6" s="18">
        <f>IFERROR(VLOOKUP($D6,BS연결,MATCH(I$1,BS연결H,0),0)/100,"")</f>
        <v/>
      </c>
      <c r="J6" s="18">
        <f>IFERROR(VLOOKUP($D6,BS연결,MATCH(J$1,BS연결H,0),0)/100,"")</f>
        <v/>
      </c>
      <c r="K6" s="37">
        <f>IFERROR(VLOOKUP($D6,BS연결,MATCH(K$1,BS연결H,0),0)/100,"")</f>
        <v/>
      </c>
      <c r="L6" s="18">
        <f>IFERROR(VLOOKUP($D6,BS연결,MATCH(L$1,BS연결H,0),0)/100,"")</f>
        <v/>
      </c>
      <c r="M6" s="18">
        <f>IFERROR(VLOOKUP($D6,BS연결,MATCH(M$1,BS연결H,0),0)/100,"")</f>
        <v/>
      </c>
      <c r="N6" s="18">
        <f>IFERROR(VLOOKUP($D6,BS연결,MATCH(N$1,BS연결H,0),0)/100,"")</f>
        <v/>
      </c>
      <c r="O6" s="18">
        <f>IFERROR(VLOOKUP($D6,BS연결,MATCH(O$1,BS연결H,0),0)/100,"")</f>
        <v/>
      </c>
      <c r="P6" s="37">
        <f>IFERROR(VLOOKUP($D6,BS연결,MATCH(P$1,BS연결H,0),0)/100,"")</f>
        <v/>
      </c>
      <c r="Q6" s="18">
        <f>IFERROR(VLOOKUP($D6,BS연결,MATCH(Q$1,BS연결H,0),0)/100,"")</f>
        <v/>
      </c>
      <c r="R6" s="18">
        <f>IFERROR(VLOOKUP($D6,BS연결,MATCH(R$1,BS연결H,0),0)/100,"")</f>
        <v/>
      </c>
      <c r="S6" s="18">
        <f>IFERROR(VLOOKUP($D6,BS연결,MATCH(S$1,BS연결H,0),0)/100,"")</f>
        <v/>
      </c>
      <c r="T6" s="18">
        <f>IFERROR(VLOOKUP($D6,BS연결,MATCH(T$1,BS연결H,0),0)/100,"")</f>
        <v/>
      </c>
      <c r="U6" s="37">
        <f>IFERROR(VLOOKUP($D6,BS연결,MATCH(U$1,BS연결H,0),0)/100,"")</f>
        <v/>
      </c>
      <c r="V6" s="18">
        <f>IFERROR(VLOOKUP($D6,BS연결,MATCH(V$1,BS연결H,0),0)/100,"")</f>
        <v/>
      </c>
      <c r="W6" s="18">
        <f>IFERROR(VLOOKUP($D6,BS연결,MATCH(W$1,BS연결H,0),0)/100,"")</f>
        <v/>
      </c>
      <c r="X6" s="18">
        <f>IFERROR(VLOOKUP($D6,BS연결,MATCH(X$1,BS연결H,0),0)/100,"")</f>
        <v/>
      </c>
      <c r="Y6" s="18">
        <f>IFERROR(VLOOKUP($D6,BS연결,MATCH(Y$1,BS연결H,0),0)/100,"")</f>
        <v/>
      </c>
      <c r="Z6" s="37">
        <f>IFERROR(VLOOKUP($D6,BS연결,MATCH(Z$1,BS연결H,0),0)/100,"")</f>
        <v/>
      </c>
      <c r="AA6" s="18">
        <f>IFERROR(VLOOKUP($D6,BS연결,MATCH(AA$1,BS연결H,0),0)/100,"")</f>
        <v/>
      </c>
      <c r="AB6" s="19">
        <f>IFERROR(VLOOKUP($D6,BS연결,MATCH(AB$1,BS연결H,0),0)/100,"")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  <c r="AF6" s="20">
        <f>IFERROR(AF5-AF7,"")</f>
        <v/>
      </c>
      <c r="AG6" s="20">
        <f>IFERROR(AG5-AG7,"")</f>
        <v/>
      </c>
      <c r="AH6" s="20">
        <f>IFERROR(AH5-AH7,"")</f>
        <v/>
      </c>
      <c r="AI6" s="20">
        <f>IFERROR(AI5-AI7,"")</f>
        <v/>
      </c>
      <c r="AJ6" s="38">
        <f>SUM(AF6:AI6)</f>
        <v/>
      </c>
      <c r="AK6" s="20">
        <f>IFERROR(AK5-AK7,"")</f>
        <v/>
      </c>
      <c r="AL6" s="20">
        <f>IFERROR(AL5-AL7,"")</f>
        <v/>
      </c>
      <c r="AM6" s="20">
        <f>IFERROR(AM5-AM7,"")</f>
        <v/>
      </c>
      <c r="AN6" s="20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IFERROR(VLOOKUP($D7,BS연결,MATCH(E$1,BS연결H,0),0)/100,"")</f>
        <v/>
      </c>
      <c r="F7" s="37" t="n"/>
      <c r="G7" s="18">
        <f>IFERROR(VLOOKUP($D7,BS연결,MATCH(G$1,BS연결H,0),0)/100,"")</f>
        <v/>
      </c>
      <c r="H7" s="18">
        <f>IFERROR(VLOOKUP($D7,BS연결,MATCH(H$1,BS연결H,0),0)/100,"")</f>
        <v/>
      </c>
      <c r="I7" s="18">
        <f>IFERROR(VLOOKUP($D7,BS연결,MATCH(I$1,BS연결H,0),0)/100,"")</f>
        <v/>
      </c>
      <c r="J7" s="18">
        <f>IFERROR(VLOOKUP($D7,BS연결,MATCH(J$1,BS연결H,0),0)/100,"")</f>
        <v/>
      </c>
      <c r="K7" s="37">
        <f>IFERROR(VLOOKUP($D7,BS연결,MATCH(K$1,BS연결H,0),0)/100,"")</f>
        <v/>
      </c>
      <c r="L7" s="18">
        <f>IFERROR(VLOOKUP($D7,BS연결,MATCH(L$1,BS연결H,0),0)/100,"")</f>
        <v/>
      </c>
      <c r="M7" s="18">
        <f>IFERROR(VLOOKUP($D7,BS연결,MATCH(M$1,BS연결H,0),0)/100,"")</f>
        <v/>
      </c>
      <c r="N7" s="18">
        <f>IFERROR(VLOOKUP($D7,BS연결,MATCH(N$1,BS연결H,0),0)/100,"")</f>
        <v/>
      </c>
      <c r="O7" s="18">
        <f>IFERROR(VLOOKUP($D7,BS연결,MATCH(O$1,BS연결H,0),0)/100,"")</f>
        <v/>
      </c>
      <c r="P7" s="37">
        <f>IFERROR(VLOOKUP($D7,BS연결,MATCH(P$1,BS연결H,0),0)/100,"")</f>
        <v/>
      </c>
      <c r="Q7" s="18">
        <f>IFERROR(VLOOKUP($D7,BS연결,MATCH(Q$1,BS연결H,0),0)/100,"")</f>
        <v/>
      </c>
      <c r="R7" s="18">
        <f>IFERROR(VLOOKUP($D7,BS연결,MATCH(R$1,BS연결H,0),0)/100,"")</f>
        <v/>
      </c>
      <c r="S7" s="18">
        <f>IFERROR(VLOOKUP($D7,BS연결,MATCH(S$1,BS연결H,0),0)/100,"")</f>
        <v/>
      </c>
      <c r="T7" s="18">
        <f>IFERROR(VLOOKUP($D7,BS연결,MATCH(T$1,BS연결H,0),0)/100,"")</f>
        <v/>
      </c>
      <c r="U7" s="37">
        <f>IFERROR(VLOOKUP($D7,BS연결,MATCH(U$1,BS연결H,0),0)/100,"")</f>
        <v/>
      </c>
      <c r="V7" s="18">
        <f>IFERROR(VLOOKUP($D7,BS연결,MATCH(V$1,BS연결H,0),0)/100,"")</f>
        <v/>
      </c>
      <c r="W7" s="18">
        <f>IFERROR(VLOOKUP($D7,BS연결,MATCH(W$1,BS연결H,0),0)/100,"")</f>
        <v/>
      </c>
      <c r="X7" s="18">
        <f>IFERROR(VLOOKUP($D7,BS연결,MATCH(X$1,BS연결H,0),0)/100,"")</f>
        <v/>
      </c>
      <c r="Y7" s="18">
        <f>IFERROR(VLOOKUP($D7,BS연결,MATCH(Y$1,BS연결H,0),0)/100,"")</f>
        <v/>
      </c>
      <c r="Z7" s="37">
        <f>IFERROR(VLOOKUP($D7,BS연결,MATCH(Z$1,BS연결H,0),0)/100,"")</f>
        <v/>
      </c>
      <c r="AA7" s="18">
        <f>IFERROR(VLOOKUP($D7,BS연결,MATCH(AA$1,BS연결H,0),0)/100,"")</f>
        <v/>
      </c>
      <c r="AB7" s="19">
        <f>IFERROR(VLOOKUP($D7,BS연결,MATCH(AB$1,BS연결H,0),0)/100,"")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  <c r="AF7" s="20">
        <f>IFERROR(AF9+AF8,"")</f>
        <v/>
      </c>
      <c r="AG7" s="20">
        <f>IFERROR(AG9+AG8,"")</f>
        <v/>
      </c>
      <c r="AH7" s="20">
        <f>IFERROR(AH9+AH8,"")</f>
        <v/>
      </c>
      <c r="AI7" s="20">
        <f>IFERROR(AI9+AI8,"")</f>
        <v/>
      </c>
      <c r="AJ7" s="38">
        <f>SUM(AF7:AI7)</f>
        <v/>
      </c>
      <c r="AK7" s="20">
        <f>IFERROR(AK9+AK8,"")</f>
        <v/>
      </c>
      <c r="AL7" s="20">
        <f>IFERROR(AL9+AL8,"")</f>
        <v/>
      </c>
      <c r="AM7" s="20">
        <f>IFERROR(AM9+AM8,"")</f>
        <v/>
      </c>
      <c r="AN7" s="20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IFERROR(VLOOKUP($D8,BS연결,MATCH(E$1,BS연결H,0),0)/100,"")</f>
        <v/>
      </c>
      <c r="F8" s="37" t="n"/>
      <c r="G8" s="18">
        <f>IFERROR(VLOOKUP($D8,BS연결,MATCH(G$1,BS연결H,0),0)/100,"")</f>
        <v/>
      </c>
      <c r="H8" s="18">
        <f>IFERROR(VLOOKUP($D8,BS연결,MATCH(H$1,BS연결H,0),0)/100,"")</f>
        <v/>
      </c>
      <c r="I8" s="18">
        <f>IFERROR(VLOOKUP($D8,BS연결,MATCH(I$1,BS연결H,0),0)/100,"")</f>
        <v/>
      </c>
      <c r="J8" s="18">
        <f>IFERROR(VLOOKUP($D8,BS연결,MATCH(J$1,BS연결H,0),0)/100,"")</f>
        <v/>
      </c>
      <c r="K8" s="37">
        <f>IFERROR(VLOOKUP($D8,BS연결,MATCH(K$1,BS연결H,0),0)/100,"")</f>
        <v/>
      </c>
      <c r="L8" s="18">
        <f>IFERROR(VLOOKUP($D8,BS연결,MATCH(L$1,BS연결H,0),0)/100,"")</f>
        <v/>
      </c>
      <c r="M8" s="18">
        <f>IFERROR(VLOOKUP($D8,BS연결,MATCH(M$1,BS연결H,0),0)/100,"")</f>
        <v/>
      </c>
      <c r="N8" s="18">
        <f>IFERROR(VLOOKUP($D8,BS연결,MATCH(N$1,BS연결H,0),0)/100,"")</f>
        <v/>
      </c>
      <c r="O8" s="18">
        <f>IFERROR(VLOOKUP($D8,BS연결,MATCH(O$1,BS연결H,0),0)/100,"")</f>
        <v/>
      </c>
      <c r="P8" s="37">
        <f>IFERROR(VLOOKUP($D8,BS연결,MATCH(P$1,BS연결H,0),0)/100,"")</f>
        <v/>
      </c>
      <c r="Q8" s="18">
        <f>IFERROR(VLOOKUP($D8,BS연결,MATCH(Q$1,BS연결H,0),0)/100,"")</f>
        <v/>
      </c>
      <c r="R8" s="18">
        <f>IFERROR(VLOOKUP($D8,BS연결,MATCH(R$1,BS연결H,0),0)/100,"")</f>
        <v/>
      </c>
      <c r="S8" s="18">
        <f>IFERROR(VLOOKUP($D8,BS연결,MATCH(S$1,BS연결H,0),0)/100,"")</f>
        <v/>
      </c>
      <c r="T8" s="18">
        <f>IFERROR(VLOOKUP($D8,BS연결,MATCH(T$1,BS연결H,0),0)/100,"")</f>
        <v/>
      </c>
      <c r="U8" s="37">
        <f>IFERROR(VLOOKUP($D8,BS연결,MATCH(U$1,BS연결H,0),0)/100,"")</f>
        <v/>
      </c>
      <c r="V8" s="18">
        <f>IFERROR(VLOOKUP($D8,BS연결,MATCH(V$1,BS연결H,0),0)/100,"")</f>
        <v/>
      </c>
      <c r="W8" s="18">
        <f>IFERROR(VLOOKUP($D8,BS연결,MATCH(W$1,BS연결H,0),0)/100,"")</f>
        <v/>
      </c>
      <c r="X8" s="18">
        <f>IFERROR(VLOOKUP($D8,BS연결,MATCH(X$1,BS연결H,0),0)/100,"")</f>
        <v/>
      </c>
      <c r="Y8" s="18">
        <f>IFERROR(VLOOKUP($D8,BS연결,MATCH(Y$1,BS연결H,0),0)/100,"")</f>
        <v/>
      </c>
      <c r="Z8" s="37">
        <f>IFERROR(VLOOKUP($D8,BS연결,MATCH(Z$1,BS연결H,0),0)/100,"")</f>
        <v/>
      </c>
      <c r="AA8" s="18">
        <f>IFERROR(VLOOKUP($D8,BS연결,MATCH(AA$1,BS연결H,0),0)/100,"")</f>
        <v/>
      </c>
      <c r="AB8" s="19">
        <f>IFERROR(VLOOKUP($D8,BS연결,MATCH(AB$1,BS연결H,0),0)/100,"")</f>
        <v/>
      </c>
      <c r="AC8" s="20">
        <f>IFERROR(AC5*변수!AC22,"")</f>
        <v/>
      </c>
      <c r="AD8" s="20">
        <f>IFERROR(AD5*변수!AD22,"")</f>
        <v/>
      </c>
      <c r="AE8" s="38">
        <f>SUM(AA8:AD8)</f>
        <v/>
      </c>
      <c r="AF8" s="20">
        <f>IFERROR(AF5*변수!AF22,"")</f>
        <v/>
      </c>
      <c r="AG8" s="20">
        <f>IFERROR(AG5*변수!AG22,"")</f>
        <v/>
      </c>
      <c r="AH8" s="20">
        <f>IFERROR(AH5*변수!AH22,"")</f>
        <v/>
      </c>
      <c r="AI8" s="20">
        <f>IFERROR(AI5*변수!AI22,"")</f>
        <v/>
      </c>
      <c r="AJ8" s="38">
        <f>SUM(AF8:AI8)</f>
        <v/>
      </c>
      <c r="AK8" s="20">
        <f>IFERROR(AK5*변수!AK22,"")</f>
        <v/>
      </c>
      <c r="AL8" s="20">
        <f>IFERROR(AL5*변수!AL22,"")</f>
        <v/>
      </c>
      <c r="AM8" s="20">
        <f>IFERROR(AM5*변수!AM22,"")</f>
        <v/>
      </c>
      <c r="AN8" s="20">
        <f>IFERROR(AN5*변수!AN22,"")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IFERROR(VLOOKUP($D9,BS연결,MATCH(E$1,BS연결H,0),0)/100,"")</f>
        <v/>
      </c>
      <c r="F9" s="37" t="n"/>
      <c r="G9" s="18">
        <f>IFERROR(VLOOKUP($D9,BS연결,MATCH(G$1,BS연결H,0),0)/100,"")</f>
        <v/>
      </c>
      <c r="H9" s="18">
        <f>IFERROR(VLOOKUP($D9,BS연결,MATCH(H$1,BS연결H,0),0)/100,"")</f>
        <v/>
      </c>
      <c r="I9" s="18">
        <f>IFERROR(VLOOKUP($D9,BS연결,MATCH(I$1,BS연결H,0),0)/100,"")</f>
        <v/>
      </c>
      <c r="J9" s="18">
        <f>IFERROR(VLOOKUP($D9,BS연결,MATCH(J$1,BS연결H,0),0)/100,"")</f>
        <v/>
      </c>
      <c r="K9" s="37">
        <f>IFERROR(VLOOKUP($D9,BS연결,MATCH(K$1,BS연결H,0),0)/100,"")</f>
        <v/>
      </c>
      <c r="L9" s="18">
        <f>IFERROR(VLOOKUP($D9,BS연결,MATCH(L$1,BS연결H,0),0)/100,"")</f>
        <v/>
      </c>
      <c r="M9" s="18">
        <f>IFERROR(VLOOKUP($D9,BS연결,MATCH(M$1,BS연결H,0),0)/100,"")</f>
        <v/>
      </c>
      <c r="N9" s="18">
        <f>IFERROR(VLOOKUP($D9,BS연결,MATCH(N$1,BS연결H,0),0)/100,"")</f>
        <v/>
      </c>
      <c r="O9" s="18">
        <f>IFERROR(VLOOKUP($D9,BS연결,MATCH(O$1,BS연결H,0),0)/100,"")</f>
        <v/>
      </c>
      <c r="P9" s="37">
        <f>IFERROR(VLOOKUP($D9,BS연결,MATCH(P$1,BS연결H,0),0)/100,"")</f>
        <v/>
      </c>
      <c r="Q9" s="18">
        <f>IFERROR(VLOOKUP($D9,BS연결,MATCH(Q$1,BS연결H,0),0)/100,"")</f>
        <v/>
      </c>
      <c r="R9" s="18">
        <f>IFERROR(VLOOKUP($D9,BS연결,MATCH(R$1,BS연결H,0),0)/100,"")</f>
        <v/>
      </c>
      <c r="S9" s="18">
        <f>IFERROR(VLOOKUP($D9,BS연결,MATCH(S$1,BS연결H,0),0)/100,"")</f>
        <v/>
      </c>
      <c r="T9" s="18">
        <f>IFERROR(VLOOKUP($D9,BS연결,MATCH(T$1,BS연결H,0),0)/100,"")</f>
        <v/>
      </c>
      <c r="U9" s="37">
        <f>IFERROR(VLOOKUP($D9,BS연결,MATCH(U$1,BS연결H,0),0)/100,"")</f>
        <v/>
      </c>
      <c r="V9" s="18">
        <f>IFERROR(VLOOKUP($D9,BS연결,MATCH(V$1,BS연결H,0),0)/100,"")</f>
        <v/>
      </c>
      <c r="W9" s="18">
        <f>IFERROR(VLOOKUP($D9,BS연결,MATCH(W$1,BS연결H,0),0)/100,"")</f>
        <v/>
      </c>
      <c r="X9" s="18">
        <f>IFERROR(VLOOKUP($D9,BS연결,MATCH(X$1,BS연결H,0),0)/100,"")</f>
        <v/>
      </c>
      <c r="Y9" s="18">
        <f>IFERROR(VLOOKUP($D9,BS연결,MATCH(Y$1,BS연결H,0),0)/100,"")</f>
        <v/>
      </c>
      <c r="Z9" s="37">
        <f>IFERROR(VLOOKUP($D9,BS연결,MATCH(Z$1,BS연결H,0),0)/100,"")</f>
        <v/>
      </c>
      <c r="AA9" s="18">
        <f>IFERROR(VLOOKUP($D9,BS연결,MATCH(AA$1,BS연결H,0),0)/100,"")</f>
        <v/>
      </c>
      <c r="AB9" s="19">
        <f>IFERROR(VLOOKUP($D9,BS연결,MATCH(AB$1,BS연결H,0),0)/100,"")</f>
        <v/>
      </c>
      <c r="AC9" s="20">
        <f>IFERROR(AC5*변수!AC23,"")</f>
        <v/>
      </c>
      <c r="AD9" s="20">
        <f>IFERROR(AD5*변수!AD23,"")</f>
        <v/>
      </c>
      <c r="AE9" s="38">
        <f>SUM(AA9:AD9)</f>
        <v/>
      </c>
      <c r="AF9" s="20">
        <f>IFERROR(AF5*변수!AF23,"")</f>
        <v/>
      </c>
      <c r="AG9" s="20">
        <f>IFERROR(AG5*변수!AG23,"")</f>
        <v/>
      </c>
      <c r="AH9" s="20">
        <f>IFERROR(AH5*변수!AH23,"")</f>
        <v/>
      </c>
      <c r="AI9" s="20">
        <f>IFERROR(AI5*변수!AI23,"")</f>
        <v/>
      </c>
      <c r="AJ9" s="38">
        <f>SUM(AF9:AI9)</f>
        <v/>
      </c>
      <c r="AK9" s="20">
        <f>IFERROR(AK5*변수!AK23,"")</f>
        <v/>
      </c>
      <c r="AL9" s="20">
        <f>IFERROR(AL5*변수!AL23,"")</f>
        <v/>
      </c>
      <c r="AM9" s="20">
        <f>IFERROR(AM5*변수!AM23,"")</f>
        <v/>
      </c>
      <c r="AN9" s="20">
        <f>IFERROR(AN5*변수!AN23,"")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2" t="n"/>
      <c r="G10" s="21">
        <f>IFERROR(G9/G5,"")</f>
        <v/>
      </c>
      <c r="H10" s="21">
        <f>IFERROR(H9/H5,"")</f>
        <v/>
      </c>
      <c r="I10" s="21">
        <f>IFERROR(I9/I5,"")</f>
        <v/>
      </c>
      <c r="J10" s="21">
        <f>IFERROR(J9/J5,"")</f>
        <v/>
      </c>
      <c r="K10" s="22">
        <f>IFERROR(K9/K5,"")</f>
        <v/>
      </c>
      <c r="L10" s="21">
        <f>IFERROR(L9/L5,"")</f>
        <v/>
      </c>
      <c r="M10" s="21">
        <f>IFERROR(M9/M5,"")</f>
        <v/>
      </c>
      <c r="N10" s="21">
        <f>IFERROR(N9/N5,"")</f>
        <v/>
      </c>
      <c r="O10" s="21">
        <f>IFERROR(O9/O5,"")</f>
        <v/>
      </c>
      <c r="P10" s="22">
        <f>IFERROR(P9/P5,"")</f>
        <v/>
      </c>
      <c r="Q10" s="21">
        <f>IFERROR(Q9/Q5,"")</f>
        <v/>
      </c>
      <c r="R10" s="21">
        <f>IFERROR(R9/R5,"")</f>
        <v/>
      </c>
      <c r="S10" s="21">
        <f>IFERROR(S9/S5,"")</f>
        <v/>
      </c>
      <c r="T10" s="21">
        <f>IFERROR(T9/T5,"")</f>
        <v/>
      </c>
      <c r="U10" s="22">
        <f>IFERROR(U9/U5,"")</f>
        <v/>
      </c>
      <c r="V10" s="21">
        <f>IFERROR(V9/V5,"")</f>
        <v/>
      </c>
      <c r="W10" s="21">
        <f>IFERROR(W9/W5,"")</f>
        <v/>
      </c>
      <c r="X10" s="21">
        <f>IFERROR(X9/X5,"")</f>
        <v/>
      </c>
      <c r="Y10" s="21">
        <f>IFERROR(Y9/Y5,"")</f>
        <v/>
      </c>
      <c r="Z10" s="22">
        <f>IFERROR(Z9/Z5,"")</f>
        <v/>
      </c>
      <c r="AA10" s="21">
        <f>IFERROR(AA9/AA5,"")</f>
        <v/>
      </c>
      <c r="AB10" s="23">
        <f>IFERROR(AB9/AB5,"")</f>
        <v/>
      </c>
      <c r="AC10" s="33">
        <f>IFERROR(AC9/AC5,"")</f>
        <v/>
      </c>
      <c r="AD10" s="33">
        <f>IFERROR(AD9/AD5,"")</f>
        <v/>
      </c>
      <c r="AE10" s="25">
        <f>IFERROR(AE9/AE5,"")</f>
        <v/>
      </c>
      <c r="AF10" s="33">
        <f>IFERROR(AF9/AF5,"")</f>
        <v/>
      </c>
      <c r="AG10" s="33">
        <f>IFERROR(AG9/AG5,"")</f>
        <v/>
      </c>
      <c r="AH10" s="33">
        <f>IFERROR(AH9/AH5,"")</f>
        <v/>
      </c>
      <c r="AI10" s="33">
        <f>IFERROR(AI9/AI5,"")</f>
        <v/>
      </c>
      <c r="AJ10" s="25">
        <f>IFERROR(AJ9/AJ5,"")</f>
        <v/>
      </c>
      <c r="AK10" s="33">
        <f>IFERROR(AK9/AK5,"")</f>
        <v/>
      </c>
      <c r="AL10" s="33">
        <f>IFERROR(AL9/AL5,"")</f>
        <v/>
      </c>
      <c r="AM10" s="33">
        <f>IFERROR(AM9/AM5,"")</f>
        <v/>
      </c>
      <c r="AN10" s="33">
        <f>IFERROR(AN9/AN5,"")</f>
        <v/>
      </c>
      <c r="AO10" s="25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IFERROR(VLOOKUP($D11,BS연결,MATCH(E$1,BS연결H,0),0)/100,"")</f>
        <v/>
      </c>
      <c r="F11" s="37" t="n"/>
      <c r="G11" s="18">
        <f>IFERROR(VLOOKUP($D11,BS연결,MATCH(G$1,BS연결H,0),0)/100,"")</f>
        <v/>
      </c>
      <c r="H11" s="18">
        <f>IFERROR(VLOOKUP($D11,BS연결,MATCH(H$1,BS연결H,0),0)/100,"")</f>
        <v/>
      </c>
      <c r="I11" s="18">
        <f>IFERROR(VLOOKUP($D11,BS연결,MATCH(I$1,BS연결H,0),0)/100,"")</f>
        <v/>
      </c>
      <c r="J11" s="18">
        <f>IFERROR(VLOOKUP($D11,BS연결,MATCH(J$1,BS연결H,0),0)/100,"")</f>
        <v/>
      </c>
      <c r="K11" s="37">
        <f>IFERROR(VLOOKUP($D11,BS연결,MATCH(K$1,BS연결H,0),0)/100,"")</f>
        <v/>
      </c>
      <c r="L11" s="18">
        <f>IFERROR(VLOOKUP($D11,BS연결,MATCH(L$1,BS연결H,0),0)/100,"")</f>
        <v/>
      </c>
      <c r="M11" s="18">
        <f>IFERROR(VLOOKUP($D11,BS연결,MATCH(M$1,BS연결H,0),0)/100,"")</f>
        <v/>
      </c>
      <c r="N11" s="18">
        <f>IFERROR(VLOOKUP($D11,BS연결,MATCH(N$1,BS연결H,0),0)/100,"")</f>
        <v/>
      </c>
      <c r="O11" s="18">
        <f>IFERROR(VLOOKUP($D11,BS연결,MATCH(O$1,BS연결H,0),0)/100,"")</f>
        <v/>
      </c>
      <c r="P11" s="37">
        <f>IFERROR(VLOOKUP($D11,BS연결,MATCH(P$1,BS연결H,0),0)/100,"")</f>
        <v/>
      </c>
      <c r="Q11" s="18">
        <f>IFERROR(VLOOKUP($D11,BS연결,MATCH(Q$1,BS연결H,0),0)/100,"")</f>
        <v/>
      </c>
      <c r="R11" s="18">
        <f>IFERROR(VLOOKUP($D11,BS연결,MATCH(R$1,BS연결H,0),0)/100,"")</f>
        <v/>
      </c>
      <c r="S11" s="18">
        <f>IFERROR(VLOOKUP($D11,BS연결,MATCH(S$1,BS연결H,0),0)/100,"")</f>
        <v/>
      </c>
      <c r="T11" s="18">
        <f>IFERROR(VLOOKUP($D11,BS연결,MATCH(T$1,BS연결H,0),0)/100,"")</f>
        <v/>
      </c>
      <c r="U11" s="37">
        <f>IFERROR(VLOOKUP($D11,BS연결,MATCH(U$1,BS연결H,0),0)/100,"")</f>
        <v/>
      </c>
      <c r="V11" s="18">
        <f>IFERROR(VLOOKUP($D11,BS연결,MATCH(V$1,BS연결H,0),0)/100,"")</f>
        <v/>
      </c>
      <c r="W11" s="18">
        <f>IFERROR(VLOOKUP($D11,BS연결,MATCH(W$1,BS연결H,0),0)/100,"")</f>
        <v/>
      </c>
      <c r="X11" s="18">
        <f>IFERROR(VLOOKUP($D11,BS연결,MATCH(X$1,BS연결H,0),0)/100,"")</f>
        <v/>
      </c>
      <c r="Y11" s="18">
        <f>IFERROR(VLOOKUP($D11,BS연결,MATCH(Y$1,BS연결H,0),0)/100,"")</f>
        <v/>
      </c>
      <c r="Z11" s="37">
        <f>IFERROR(VLOOKUP($D11,BS연결,MATCH(Z$1,BS연결H,0),0)/100,"")</f>
        <v/>
      </c>
      <c r="AA11" s="18">
        <f>IFERROR(VLOOKUP($D11,BS연결,MATCH(AA$1,BS연결H,0),0)/100,"")</f>
        <v/>
      </c>
      <c r="AB11" s="19">
        <f>IFERROR(VLOOKUP($D11,BS연결,MATCH(AB$1,BS연결H,0),0)/100,"")</f>
        <v/>
      </c>
      <c r="AC11" s="20">
        <f>IFERROR(AC12+AC13+AC14+AC15,"")</f>
        <v/>
      </c>
      <c r="AD11" s="20">
        <f>IFERROR(AD12+AD13+AD14+AD15,"")</f>
        <v/>
      </c>
      <c r="AE11" s="38">
        <f>SUM(AA11:AD11)</f>
        <v/>
      </c>
      <c r="AF11" s="20">
        <f>IFERROR(AF12+AF13+AF14+AF15,"")</f>
        <v/>
      </c>
      <c r="AG11" s="20">
        <f>IFERROR(AG12+AG13+AG14+AG15,"")</f>
        <v/>
      </c>
      <c r="AH11" s="20">
        <f>IFERROR(AH12+AH13+AH14+AH15,"")</f>
        <v/>
      </c>
      <c r="AI11" s="20">
        <f>IFERROR(AI12+AI13+AI14+AI15,"")</f>
        <v/>
      </c>
      <c r="AJ11" s="38">
        <f>SUM(AF11:AI11)</f>
        <v/>
      </c>
      <c r="AK11" s="20">
        <f>IFERROR(AK12+AK13+AK14+AK15,"")</f>
        <v/>
      </c>
      <c r="AL11" s="20">
        <f>IFERROR(AL12+AL13+AL14+AL15,"")</f>
        <v/>
      </c>
      <c r="AM11" s="20">
        <f>IFERROR(AM12+AM13+AM14+AM15,"")</f>
        <v/>
      </c>
      <c r="AN11" s="20">
        <f>IFERROR(AN12+AN13+AN14+AN15,"")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 t="n"/>
      <c r="F12" s="37" t="n"/>
      <c r="G12" s="18">
        <f>IFERROR(VLOOKUP($D12,BS연결,MATCH(G$1,BS연결H,0),0)/100,"")</f>
        <v/>
      </c>
      <c r="H12" s="18">
        <f>IFERROR(VLOOKUP($D12,BS연결,MATCH(H$1,BS연결H,0),0)/100,"")</f>
        <v/>
      </c>
      <c r="I12" s="18">
        <f>IFERROR(VLOOKUP($D12,BS연결,MATCH(I$1,BS연결H,0),0)/100,"")</f>
        <v/>
      </c>
      <c r="J12" s="18">
        <f>IFERROR(VLOOKUP($D12,BS연결,MATCH(J$1,BS연결H,0),0)/100,"")</f>
        <v/>
      </c>
      <c r="K12" s="37">
        <f>IFERROR(VLOOKUP($D12,BS연결,MATCH(K$1,BS연결H,0),0)/100,"")</f>
        <v/>
      </c>
      <c r="L12" s="18">
        <f>IFERROR(VLOOKUP($D12,BS연결,MATCH(L$1,BS연결H,0),0)/100,"")</f>
        <v/>
      </c>
      <c r="M12" s="18">
        <f>IFERROR(VLOOKUP($D12,BS연결,MATCH(M$1,BS연결H,0),0)/100,"")</f>
        <v/>
      </c>
      <c r="N12" s="18">
        <f>IFERROR(VLOOKUP($D12,BS연결,MATCH(N$1,BS연결H,0),0)/100,"")</f>
        <v/>
      </c>
      <c r="O12" s="18">
        <f>IFERROR(VLOOKUP($D12,BS연결,MATCH(O$1,BS연결H,0),0)/100,"")</f>
        <v/>
      </c>
      <c r="P12" s="37">
        <f>IFERROR(VLOOKUP($D12,BS연결,MATCH(P$1,BS연결H,0),0)/100,"")</f>
        <v/>
      </c>
      <c r="Q12" s="18">
        <f>IFERROR(VLOOKUP($D12,BS연결,MATCH(Q$1,BS연결H,0),0)/100,"")</f>
        <v/>
      </c>
      <c r="R12" s="18">
        <f>IFERROR(VLOOKUP($D12,BS연결,MATCH(R$1,BS연결H,0),0)/100,"")</f>
        <v/>
      </c>
      <c r="S12" s="18">
        <f>IFERROR(VLOOKUP($D12,BS연결,MATCH(S$1,BS연결H,0),0)/100,"")</f>
        <v/>
      </c>
      <c r="T12" s="18">
        <f>IFERROR(VLOOKUP($D12,BS연결,MATCH(T$1,BS연결H,0),0)/100,"")</f>
        <v/>
      </c>
      <c r="U12" s="37">
        <f>IFERROR(VLOOKUP($D12,BS연결,MATCH(U$1,BS연결H,0),0)/100,"")</f>
        <v/>
      </c>
      <c r="V12" s="18">
        <f>IFERROR(VLOOKUP($D12,BS연결,MATCH(V$1,BS연결H,0),0)/100,"")</f>
        <v/>
      </c>
      <c r="W12" s="18">
        <f>IFERROR(VLOOKUP($D12,BS연결,MATCH(W$1,BS연결H,0),0)/100,"")</f>
        <v/>
      </c>
      <c r="X12" s="18">
        <f>IFERROR(VLOOKUP($D12,BS연결,MATCH(X$1,BS연결H,0),0)/100,"")</f>
        <v/>
      </c>
      <c r="Y12" s="18">
        <f>IFERROR(VLOOKUP($D12,BS연결,MATCH(Y$1,BS연결H,0),0)/100,"")</f>
        <v/>
      </c>
      <c r="Z12" s="37">
        <f>IFERROR(VLOOKUP($D12,BS연결,MATCH(Z$1,BS연결H,0),0)/100,"")</f>
        <v/>
      </c>
      <c r="AA12" s="18">
        <f>IFERROR(VLOOKUP($D12,BS연결,MATCH(AA$1,BS연결H,0),0)/100,"")</f>
        <v/>
      </c>
      <c r="AB12" s="19">
        <f>IFERROR(VLOOKUP($D12,BS연결,MATCH(AB$1,BS연결H,0),0)/100,"")</f>
        <v/>
      </c>
      <c r="AC12" s="20">
        <f>IFERROR((AB31*변수!$D$56-AB29*변수!$D$57)/4,"")</f>
        <v/>
      </c>
      <c r="AD12" s="20">
        <f>IFERROR((AC31*변수!$D$56-AC29*변수!$D$57)/4,"")</f>
        <v/>
      </c>
      <c r="AE12" s="38">
        <f>SUM(AA12:AD12)</f>
        <v/>
      </c>
      <c r="AF12" s="20">
        <f>IFERROR((AD31*변수!$D$56-AD29*변수!$D$57)/4,"")</f>
        <v/>
      </c>
      <c r="AG12" s="20">
        <f>IFERROR((AF31*변수!$D$56-AF29*변수!$D$57)/4,"")</f>
        <v/>
      </c>
      <c r="AH12" s="20">
        <f>IFERROR((AG31*변수!$D$56-AG29*변수!$D$57)/4,"")</f>
        <v/>
      </c>
      <c r="AI12" s="20">
        <f>IFERROR((AH31*변수!$D$56-AH29*변수!$D$57)/4,"")</f>
        <v/>
      </c>
      <c r="AJ12" s="38">
        <f>SUM(AF12:AI12)</f>
        <v/>
      </c>
      <c r="AK12" s="20">
        <f>IFERROR((AI31*변수!$D$56-AI29*변수!$D$57)/4,"")</f>
        <v/>
      </c>
      <c r="AL12" s="20">
        <f>IFERROR((AK31*변수!$D$56-AK29*변수!$D$57)/4,"")</f>
        <v/>
      </c>
      <c r="AM12" s="20">
        <f>IFERROR((AL31*변수!$D$56-AL29*변수!$D$57)/4,"")</f>
        <v/>
      </c>
      <c r="AN12" s="20">
        <f>IFERROR((AM31*변수!$D$56-AM29*변수!$D$57)/4,"")</f>
        <v/>
      </c>
      <c r="AO12" s="38">
        <f>SUM(AK12:AN12)</f>
        <v/>
      </c>
    </row>
    <row r="13">
      <c r="A13" s="12" t="inlineStr">
        <is>
          <t>외환손익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외환손익(실적만; 추정 환효과는 환관련손익)</t>
        </is>
      </c>
      <c r="E13" s="18" t="n"/>
      <c r="F13" s="37" t="n"/>
      <c r="G13" s="18">
        <f>IFERROR((VLOOKUP("외환차익",BS연결,MATCH(G$1,BS연결H,0),0)-VLOOKUP("외환차손",BS연결,MATCH(G$1,BS연결H,0),0)+VLOOKUP("외화환산이익",BS연결,MATCH(G$1,BS연결H,0),0)-VLOOKUP("외화환산손실",BS연결,MATCH(G$1,BS연결H,0),0))/100,"")</f>
        <v/>
      </c>
      <c r="H13" s="18">
        <f>IFERROR((VLOOKUP("외환차익",BS연결,MATCH(H$1,BS연결H,0),0)-VLOOKUP("외환차손",BS연결,MATCH(H$1,BS연결H,0),0)+VLOOKUP("외화환산이익",BS연결,MATCH(H$1,BS연결H,0),0)-VLOOKUP("외화환산손실",BS연결,MATCH(H$1,BS연결H,0),0))/100,"")</f>
        <v/>
      </c>
      <c r="I13" s="18">
        <f>IFERROR((VLOOKUP("외환차익",BS연결,MATCH(I$1,BS연결H,0),0)-VLOOKUP("외환차손",BS연결,MATCH(I$1,BS연결H,0),0)+VLOOKUP("외화환산이익",BS연결,MATCH(I$1,BS연결H,0),0)-VLOOKUP("외화환산손실",BS연결,MATCH(I$1,BS연결H,0),0))/100,"")</f>
        <v/>
      </c>
      <c r="J13" s="18">
        <f>IFERROR((VLOOKUP("외환차익",BS연결,MATCH(J$1,BS연결H,0),0)-VLOOKUP("외환차손",BS연결,MATCH(J$1,BS연결H,0),0)+VLOOKUP("외화환산이익",BS연결,MATCH(J$1,BS연결H,0),0)-VLOOKUP("외화환산손실",BS연결,MATCH(J$1,BS연결H,0),0))/100,"")</f>
        <v/>
      </c>
      <c r="K13" s="37">
        <f>SUM(G13:J13)</f>
        <v/>
      </c>
      <c r="L13" s="18">
        <f>IFERROR((VLOOKUP("외환차익",BS연결,MATCH(L$1,BS연결H,0),0)-VLOOKUP("외환차손",BS연결,MATCH(L$1,BS연결H,0),0)+VLOOKUP("외화환산이익",BS연결,MATCH(L$1,BS연결H,0),0)-VLOOKUP("외화환산손실",BS연결,MATCH(L$1,BS연결H,0),0))/100,"")</f>
        <v/>
      </c>
      <c r="M13" s="18">
        <f>IFERROR((VLOOKUP("외환차익",BS연결,MATCH(M$1,BS연결H,0),0)-VLOOKUP("외환차손",BS연결,MATCH(M$1,BS연결H,0),0)+VLOOKUP("외화환산이익",BS연결,MATCH(M$1,BS연결H,0),0)-VLOOKUP("외화환산손실",BS연결,MATCH(M$1,BS연결H,0),0))/100,"")</f>
        <v/>
      </c>
      <c r="N13" s="18">
        <f>IFERROR((VLOOKUP("외환차익",BS연결,MATCH(N$1,BS연결H,0),0)-VLOOKUP("외환차손",BS연결,MATCH(N$1,BS연결H,0),0)+VLOOKUP("외화환산이익",BS연결,MATCH(N$1,BS연결H,0),0)-VLOOKUP("외화환산손실",BS연결,MATCH(N$1,BS연결H,0),0))/100,"")</f>
        <v/>
      </c>
      <c r="O13" s="18">
        <f>IFERROR((VLOOKUP("외환차익",BS연결,MATCH(O$1,BS연결H,0),0)-VLOOKUP("외환차손",BS연결,MATCH(O$1,BS연결H,0),0)+VLOOKUP("외화환산이익",BS연결,MATCH(O$1,BS연결H,0),0)-VLOOKUP("외화환산손실",BS연결,MATCH(O$1,BS연결H,0),0))/100,"")</f>
        <v/>
      </c>
      <c r="P13" s="37">
        <f>SUM(L13:O13)</f>
        <v/>
      </c>
      <c r="Q13" s="18">
        <f>IFERROR((VLOOKUP("외환차익",BS연결,MATCH(Q$1,BS연결H,0),0)-VLOOKUP("외환차손",BS연결,MATCH(Q$1,BS연결H,0),0)+VLOOKUP("외화환산이익",BS연결,MATCH(Q$1,BS연결H,0),0)-VLOOKUP("외화환산손실",BS연결,MATCH(Q$1,BS연결H,0),0))/100,"")</f>
        <v/>
      </c>
      <c r="R13" s="18">
        <f>IFERROR((VLOOKUP("외환차익",BS연결,MATCH(R$1,BS연결H,0),0)-VLOOKUP("외환차손",BS연결,MATCH(R$1,BS연결H,0),0)+VLOOKUP("외화환산이익",BS연결,MATCH(R$1,BS연결H,0),0)-VLOOKUP("외화환산손실",BS연결,MATCH(R$1,BS연결H,0),0))/100,"")</f>
        <v/>
      </c>
      <c r="S13" s="18">
        <f>IFERROR((VLOOKUP("외환차익",BS연결,MATCH(S$1,BS연결H,0),0)-VLOOKUP("외환차손",BS연결,MATCH(S$1,BS연결H,0),0)+VLOOKUP("외화환산이익",BS연결,MATCH(S$1,BS연결H,0),0)-VLOOKUP("외화환산손실",BS연결,MATCH(S$1,BS연결H,0),0))/100,"")</f>
        <v/>
      </c>
      <c r="T13" s="18">
        <f>IFERROR((VLOOKUP("외환차익",BS연결,MATCH(T$1,BS연결H,0),0)-VLOOKUP("외환차손",BS연결,MATCH(T$1,BS연결H,0),0)+VLOOKUP("외화환산이익",BS연결,MATCH(T$1,BS연결H,0),0)-VLOOKUP("외화환산손실",BS연결,MATCH(T$1,BS연결H,0),0))/100,"")</f>
        <v/>
      </c>
      <c r="U13" s="37">
        <f>SUM(Q13:T13)</f>
        <v/>
      </c>
      <c r="V13" s="18">
        <f>IFERROR((VLOOKUP("외환차익",BS연결,MATCH(V$1,BS연결H,0),0)-VLOOKUP("외환차손",BS연결,MATCH(V$1,BS연결H,0),0)+VLOOKUP("외화환산이익",BS연결,MATCH(V$1,BS연결H,0),0)-VLOOKUP("외화환산손실",BS연결,MATCH(V$1,BS연결H,0),0))/100,"")</f>
        <v/>
      </c>
      <c r="W13" s="18">
        <f>IFERROR((VLOOKUP("외환차익",BS연결,MATCH(W$1,BS연결H,0),0)-VLOOKUP("외환차손",BS연결,MATCH(W$1,BS연결H,0),0)+VLOOKUP("외화환산이익",BS연결,MATCH(W$1,BS연결H,0),0)-VLOOKUP("외화환산손실",BS연결,MATCH(W$1,BS연결H,0),0))/100,"")</f>
        <v/>
      </c>
      <c r="X13" s="18">
        <f>IFERROR((VLOOKUP("외환차익",BS연결,MATCH(X$1,BS연결H,0),0)-VLOOKUP("외환차손",BS연결,MATCH(X$1,BS연결H,0),0)+VLOOKUP("외화환산이익",BS연결,MATCH(X$1,BS연결H,0),0)-VLOOKUP("외화환산손실",BS연결,MATCH(X$1,BS연결H,0),0))/100,"")</f>
        <v/>
      </c>
      <c r="Y13" s="18">
        <f>IFERROR((VLOOKUP("외환차익",BS연결,MATCH(Y$1,BS연결H,0),0)-VLOOKUP("외환차손",BS연결,MATCH(Y$1,BS연결H,0),0)+VLOOKUP("외화환산이익",BS연결,MATCH(Y$1,BS연결H,0),0)-VLOOKUP("외화환산손실",BS연결,MATCH(Y$1,BS연결H,0),0))/100,"")</f>
        <v/>
      </c>
      <c r="Z13" s="37">
        <f>SUM(V13:Y13)</f>
        <v/>
      </c>
      <c r="AA13" s="18">
        <f>IFERROR((VLOOKUP("외환차익",BS연결,MATCH(AA$1,BS연결H,0),0)-VLOOKUP("외환차손",BS연결,MATCH(AA$1,BS연결H,0),0)+VLOOKUP("외화환산이익",BS연결,MATCH(AA$1,BS연결H,0),0)-VLOOKUP("외화환산손실",BS연결,MATCH(AA$1,BS연결H,0),0))/100,"")</f>
        <v/>
      </c>
      <c r="AB13" s="19">
        <f>IFERROR((VLOOKUP("외환차익",BS연결,MATCH(AB$1,BS연결H,0),0)-VLOOKUP("외환차손",BS연결,MATCH(AB$1,BS연결H,0),0)+VLOOKUP("외화환산이익",BS연결,MATCH(AB$1,BS연결H,0),0)-VLOOKUP("외화환산손실",BS연결,MATCH(AB$1,BS연결H,0),0))/100,"")</f>
        <v/>
      </c>
      <c r="AC13" s="20">
        <f>변수!AC24</f>
        <v/>
      </c>
      <c r="AD13" s="20">
        <f>변수!AD24</f>
        <v/>
      </c>
      <c r="AE13" s="38">
        <f>SUM(AA13:AD13)</f>
        <v/>
      </c>
      <c r="AF13" s="20">
        <f>변수!AF24</f>
        <v/>
      </c>
      <c r="AG13" s="20">
        <f>변수!AG24</f>
        <v/>
      </c>
      <c r="AH13" s="20">
        <f>변수!AH24</f>
        <v/>
      </c>
      <c r="AI13" s="20">
        <f>변수!AI24</f>
        <v/>
      </c>
      <c r="AJ13" s="38">
        <f>SUM(AF13:AI13)</f>
        <v/>
      </c>
      <c r="AK13" s="20">
        <f>변수!AK24</f>
        <v/>
      </c>
      <c r="AL13" s="20">
        <f>변수!AL24</f>
        <v/>
      </c>
      <c r="AM13" s="20">
        <f>변수!AM24</f>
        <v/>
      </c>
      <c r="AN13" s="20">
        <f>변수!AN24</f>
        <v/>
      </c>
      <c r="AO13" s="38">
        <f>SUM(AK13:AN13)</f>
        <v/>
      </c>
    </row>
    <row r="14">
      <c r="A14" s="12" t="inlineStr">
        <is>
          <t>파생상품손익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파생상품손익</t>
        </is>
      </c>
      <c r="E14" s="18" t="n"/>
      <c r="F14" s="37" t="n"/>
      <c r="G14" s="18">
        <f>IFERROR((VLOOKUP("파생상품이익",BS연결,MATCH(G$1,BS연결H,0),0)-VLOOKUP("파생상품손실",BS연결,MATCH(G$1,BS연결H,0),0))/100,"")</f>
        <v/>
      </c>
      <c r="H14" s="18">
        <f>IFERROR((VLOOKUP("파생상품이익",BS연결,MATCH(H$1,BS연결H,0),0)-VLOOKUP("파생상품손실",BS연결,MATCH(H$1,BS연결H,0),0))/100,"")</f>
        <v/>
      </c>
      <c r="I14" s="18">
        <f>IFERROR((VLOOKUP("파생상품이익",BS연결,MATCH(I$1,BS연결H,0),0)-VLOOKUP("파생상품손실",BS연결,MATCH(I$1,BS연결H,0),0))/100,"")</f>
        <v/>
      </c>
      <c r="J14" s="18">
        <f>IFERROR((VLOOKUP("파생상품이익",BS연결,MATCH(J$1,BS연결H,0),0)-VLOOKUP("파생상품손실",BS연결,MATCH(J$1,BS연결H,0),0))/100,"")</f>
        <v/>
      </c>
      <c r="K14" s="37">
        <f>SUM(G14:J14)</f>
        <v/>
      </c>
      <c r="L14" s="18">
        <f>IFERROR((VLOOKUP("파생상품이익",BS연결,MATCH(L$1,BS연결H,0),0)-VLOOKUP("파생상품손실",BS연결,MATCH(L$1,BS연결H,0),0))/100,"")</f>
        <v/>
      </c>
      <c r="M14" s="18">
        <f>IFERROR((VLOOKUP("파생상품이익",BS연결,MATCH(M$1,BS연결H,0),0)-VLOOKUP("파생상품손실",BS연결,MATCH(M$1,BS연결H,0),0))/100,"")</f>
        <v/>
      </c>
      <c r="N14" s="18">
        <f>IFERROR((VLOOKUP("파생상품이익",BS연결,MATCH(N$1,BS연결H,0),0)-VLOOKUP("파생상품손실",BS연결,MATCH(N$1,BS연결H,0),0))/100,"")</f>
        <v/>
      </c>
      <c r="O14" s="18">
        <f>IFERROR((VLOOKUP("파생상품이익",BS연결,MATCH(O$1,BS연결H,0),0)-VLOOKUP("파생상품손실",BS연결,MATCH(O$1,BS연결H,0),0))/100,"")</f>
        <v/>
      </c>
      <c r="P14" s="37">
        <f>SUM(L14:O14)</f>
        <v/>
      </c>
      <c r="Q14" s="18">
        <f>IFERROR((VLOOKUP("파생상품이익",BS연결,MATCH(Q$1,BS연결H,0),0)-VLOOKUP("파생상품손실",BS연결,MATCH(Q$1,BS연결H,0),0))/100,"")</f>
        <v/>
      </c>
      <c r="R14" s="18">
        <f>IFERROR((VLOOKUP("파생상품이익",BS연결,MATCH(R$1,BS연결H,0),0)-VLOOKUP("파생상품손실",BS연결,MATCH(R$1,BS연결H,0),0))/100,"")</f>
        <v/>
      </c>
      <c r="S14" s="18">
        <f>IFERROR((VLOOKUP("파생상품이익",BS연결,MATCH(S$1,BS연결H,0),0)-VLOOKUP("파생상품손실",BS연결,MATCH(S$1,BS연결H,0),0))/100,"")</f>
        <v/>
      </c>
      <c r="T14" s="18">
        <f>IFERROR((VLOOKUP("파생상품이익",BS연결,MATCH(T$1,BS연결H,0),0)-VLOOKUP("파생상품손실",BS연결,MATCH(T$1,BS연결H,0),0))/100,"")</f>
        <v/>
      </c>
      <c r="U14" s="37">
        <f>SUM(Q14:T14)</f>
        <v/>
      </c>
      <c r="V14" s="18">
        <f>IFERROR((VLOOKUP("파생상품이익",BS연결,MATCH(V$1,BS연결H,0),0)-VLOOKUP("파생상품손실",BS연결,MATCH(V$1,BS연결H,0),0))/100,"")</f>
        <v/>
      </c>
      <c r="W14" s="18">
        <f>IFERROR((VLOOKUP("파생상품이익",BS연결,MATCH(W$1,BS연결H,0),0)-VLOOKUP("파생상품손실",BS연결,MATCH(W$1,BS연결H,0),0))/100,"")</f>
        <v/>
      </c>
      <c r="X14" s="18">
        <f>IFERROR((VLOOKUP("파생상품이익",BS연결,MATCH(X$1,BS연결H,0),0)-VLOOKUP("파생상품손실",BS연결,MATCH(X$1,BS연결H,0),0))/100,"")</f>
        <v/>
      </c>
      <c r="Y14" s="18">
        <f>IFERROR((VLOOKUP("파생상품이익",BS연결,MATCH(Y$1,BS연결H,0),0)-VLOOKUP("파생상품손실",BS연결,MATCH(Y$1,BS연결H,0),0))/100,"")</f>
        <v/>
      </c>
      <c r="Z14" s="37">
        <f>SUM(V14:Y14)</f>
        <v/>
      </c>
      <c r="AA14" s="18">
        <f>IFERROR((VLOOKUP("파생상품이익",BS연결,MATCH(AA$1,BS연결H,0),0)-VLOOKUP("파생상품손실",BS연결,MATCH(AA$1,BS연결H,0),0))/100,"")</f>
        <v/>
      </c>
      <c r="AB14" s="19">
        <f>IFERROR((VLOOKUP("파생상품이익",BS연결,MATCH(AB$1,BS연결H,0),0)-VLOOKUP("파생상품손실",BS연결,MATCH(AB$1,BS연결H,0),0))/100,"")</f>
        <v/>
      </c>
      <c r="AC14" s="20">
        <f>변수!AC25</f>
        <v/>
      </c>
      <c r="AD14" s="20">
        <f>변수!AD25</f>
        <v/>
      </c>
      <c r="AE14" s="38">
        <f>SUM(AA14:AD14)</f>
        <v/>
      </c>
      <c r="AF14" s="20">
        <f>변수!AF25</f>
        <v/>
      </c>
      <c r="AG14" s="20">
        <f>변수!AG25</f>
        <v/>
      </c>
      <c r="AH14" s="20">
        <f>변수!AH25</f>
        <v/>
      </c>
      <c r="AI14" s="20">
        <f>변수!AI25</f>
        <v/>
      </c>
      <c r="AJ14" s="38">
        <f>SUM(AF14:AI14)</f>
        <v/>
      </c>
      <c r="AK14" s="20">
        <f>변수!AK25</f>
        <v/>
      </c>
      <c r="AL14" s="20">
        <f>변수!AL25</f>
        <v/>
      </c>
      <c r="AM14" s="20">
        <f>변수!AM25</f>
        <v/>
      </c>
      <c r="AN14" s="20">
        <f>변수!AN25</f>
        <v/>
      </c>
      <c r="AO14" s="38">
        <f>SUM(AK14:AN14)</f>
        <v/>
      </c>
    </row>
    <row r="15">
      <c r="A15" s="12" t="inlineStr">
        <is>
          <t>기타금융손익</t>
        </is>
      </c>
      <c r="B15" t="inlineStr">
        <is>
          <t>손익</t>
        </is>
      </c>
      <c r="C15" t="inlineStr">
        <is>
          <t>억원</t>
        </is>
      </c>
      <c r="D15" t="inlineStr">
        <is>
          <t>기타금융손익(금융손익 잔차)</t>
        </is>
      </c>
      <c r="E15" s="18" t="n"/>
      <c r="F15" s="37" t="n"/>
      <c r="G15" s="18">
        <f>IFERROR(G11-G12-G13-G14,"")</f>
        <v/>
      </c>
      <c r="H15" s="18">
        <f>IFERROR(H11-H12-H13-H14,"")</f>
        <v/>
      </c>
      <c r="I15" s="18">
        <f>IFERROR(I11-I12-I13-I14,"")</f>
        <v/>
      </c>
      <c r="J15" s="18">
        <f>IFERROR(J11-J12-J13-J14,"")</f>
        <v/>
      </c>
      <c r="K15" s="37">
        <f>SUM(G15:J15)</f>
        <v/>
      </c>
      <c r="L15" s="18">
        <f>IFERROR(L11-L12-L13-L14,"")</f>
        <v/>
      </c>
      <c r="M15" s="18">
        <f>IFERROR(M11-M12-M13-M14,"")</f>
        <v/>
      </c>
      <c r="N15" s="18">
        <f>IFERROR(N11-N12-N13-N14,"")</f>
        <v/>
      </c>
      <c r="O15" s="18">
        <f>IFERROR(O11-O12-O13-O14,"")</f>
        <v/>
      </c>
      <c r="P15" s="37">
        <f>SUM(L15:O15)</f>
        <v/>
      </c>
      <c r="Q15" s="18">
        <f>IFERROR(Q11-Q12-Q13-Q14,"")</f>
        <v/>
      </c>
      <c r="R15" s="18">
        <f>IFERROR(R11-R12-R13-R14,"")</f>
        <v/>
      </c>
      <c r="S15" s="18">
        <f>IFERROR(S11-S12-S13-S14,"")</f>
        <v/>
      </c>
      <c r="T15" s="18">
        <f>IFERROR(T11-T12-T13-T14,"")</f>
        <v/>
      </c>
      <c r="U15" s="37">
        <f>SUM(Q15:T15)</f>
        <v/>
      </c>
      <c r="V15" s="18">
        <f>IFERROR(V11-V12-V13-V14,"")</f>
        <v/>
      </c>
      <c r="W15" s="18">
        <f>IFERROR(W11-W12-W13-W14,"")</f>
        <v/>
      </c>
      <c r="X15" s="18">
        <f>IFERROR(X11-X12-X13-X14,"")</f>
        <v/>
      </c>
      <c r="Y15" s="18">
        <f>IFERROR(Y11-Y12-Y13-Y14,"")</f>
        <v/>
      </c>
      <c r="Z15" s="37">
        <f>SUM(V15:Y15)</f>
        <v/>
      </c>
      <c r="AA15" s="18">
        <f>IFERROR(AA11-AA12-AA13-AA14,"")</f>
        <v/>
      </c>
      <c r="AB15" s="19">
        <f>IFERROR(AB11-AB12-AB13-AB14,"")</f>
        <v/>
      </c>
      <c r="AC15" s="20">
        <f>변수!AC26</f>
        <v/>
      </c>
      <c r="AD15" s="20">
        <f>변수!AD26</f>
        <v/>
      </c>
      <c r="AE15" s="38">
        <f>SUM(AA15:AD15)</f>
        <v/>
      </c>
      <c r="AF15" s="20">
        <f>변수!AF26</f>
        <v/>
      </c>
      <c r="AG15" s="20">
        <f>변수!AG26</f>
        <v/>
      </c>
      <c r="AH15" s="20">
        <f>변수!AH26</f>
        <v/>
      </c>
      <c r="AI15" s="20">
        <f>변수!AI26</f>
        <v/>
      </c>
      <c r="AJ15" s="38">
        <f>SUM(AF15:AI15)</f>
        <v/>
      </c>
      <c r="AK15" s="20">
        <f>변수!AK26</f>
        <v/>
      </c>
      <c r="AL15" s="20">
        <f>변수!AL26</f>
        <v/>
      </c>
      <c r="AM15" s="20">
        <f>변수!AM26</f>
        <v/>
      </c>
      <c r="AN15" s="20">
        <f>변수!AN26</f>
        <v/>
      </c>
      <c r="AO15" s="38">
        <f>SUM(AK15:AN15)</f>
        <v/>
      </c>
    </row>
    <row r="16">
      <c r="A16" s="12" t="inlineStr">
        <is>
          <t>기타영업외손익</t>
        </is>
      </c>
      <c r="B16" t="inlineStr">
        <is>
          <t>손익</t>
        </is>
      </c>
      <c r="C16" t="inlineStr">
        <is>
          <t>억원</t>
        </is>
      </c>
      <c r="D16" t="inlineStr">
        <is>
          <t>기타영업외손익</t>
        </is>
      </c>
      <c r="E16" s="18">
        <f>IFERROR(VLOOKUP($D16,BS연결,MATCH(E$1,BS연결H,0),0)/100,"")</f>
        <v/>
      </c>
      <c r="F16" s="37" t="n"/>
      <c r="G16" s="18">
        <f>IFERROR(VLOOKUP($D16,BS연결,MATCH(G$1,BS연결H,0),0)/100,"")</f>
        <v/>
      </c>
      <c r="H16" s="18">
        <f>IFERROR(VLOOKUP($D16,BS연결,MATCH(H$1,BS연결H,0),0)/100,"")</f>
        <v/>
      </c>
      <c r="I16" s="18">
        <f>IFERROR(VLOOKUP($D16,BS연결,MATCH(I$1,BS연결H,0),0)/100,"")</f>
        <v/>
      </c>
      <c r="J16" s="18">
        <f>IFERROR(VLOOKUP($D16,BS연결,MATCH(J$1,BS연결H,0),0)/100,"")</f>
        <v/>
      </c>
      <c r="K16" s="37">
        <f>IFERROR(VLOOKUP($D16,BS연결,MATCH(K$1,BS연결H,0),0)/100,"")</f>
        <v/>
      </c>
      <c r="L16" s="18">
        <f>IFERROR(VLOOKUP($D16,BS연결,MATCH(L$1,BS연결H,0),0)/100,"")</f>
        <v/>
      </c>
      <c r="M16" s="18">
        <f>IFERROR(VLOOKUP($D16,BS연결,MATCH(M$1,BS연결H,0),0)/100,"")</f>
        <v/>
      </c>
      <c r="N16" s="18">
        <f>IFERROR(VLOOKUP($D16,BS연결,MATCH(N$1,BS연결H,0),0)/100,"")</f>
        <v/>
      </c>
      <c r="O16" s="18">
        <f>IFERROR(VLOOKUP($D16,BS연결,MATCH(O$1,BS연결H,0),0)/100,"")</f>
        <v/>
      </c>
      <c r="P16" s="37">
        <f>IFERROR(VLOOKUP($D16,BS연결,MATCH(P$1,BS연결H,0),0)/100,"")</f>
        <v/>
      </c>
      <c r="Q16" s="18">
        <f>IFERROR(VLOOKUP($D16,BS연결,MATCH(Q$1,BS연결H,0),0)/100,"")</f>
        <v/>
      </c>
      <c r="R16" s="18">
        <f>IFERROR(VLOOKUP($D16,BS연결,MATCH(R$1,BS연결H,0),0)/100,"")</f>
        <v/>
      </c>
      <c r="S16" s="18">
        <f>IFERROR(VLOOKUP($D16,BS연결,MATCH(S$1,BS연결H,0),0)/100,"")</f>
        <v/>
      </c>
      <c r="T16" s="18">
        <f>IFERROR(VLOOKUP($D16,BS연결,MATCH(T$1,BS연결H,0),0)/100,"")</f>
        <v/>
      </c>
      <c r="U16" s="37">
        <f>IFERROR(VLOOKUP($D16,BS연결,MATCH(U$1,BS연결H,0),0)/100,"")</f>
        <v/>
      </c>
      <c r="V16" s="18">
        <f>IFERROR(VLOOKUP($D16,BS연결,MATCH(V$1,BS연결H,0),0)/100,"")</f>
        <v/>
      </c>
      <c r="W16" s="18">
        <f>IFERROR(VLOOKUP($D16,BS연결,MATCH(W$1,BS연결H,0),0)/100,"")</f>
        <v/>
      </c>
      <c r="X16" s="18">
        <f>IFERROR(VLOOKUP($D16,BS연결,MATCH(X$1,BS연결H,0),0)/100,"")</f>
        <v/>
      </c>
      <c r="Y16" s="18">
        <f>IFERROR(VLOOKUP($D16,BS연결,MATCH(Y$1,BS연결H,0),0)/100,"")</f>
        <v/>
      </c>
      <c r="Z16" s="37">
        <f>IFERROR(VLOOKUP($D16,BS연결,MATCH(Z$1,BS연결H,0),0)/100,"")</f>
        <v/>
      </c>
      <c r="AA16" s="18">
        <f>IFERROR(VLOOKUP($D16,BS연결,MATCH(AA$1,BS연결H,0),0)/100,"")</f>
        <v/>
      </c>
      <c r="AB16" s="19">
        <f>IFERROR(VLOOKUP($D16,BS연결,MATCH(AB$1,BS연결H,0),0)/100,"")</f>
        <v/>
      </c>
      <c r="AC16" s="20">
        <f>변수!AC27</f>
        <v/>
      </c>
      <c r="AD16" s="20">
        <f>변수!AD27</f>
        <v/>
      </c>
      <c r="AE16" s="38">
        <f>SUM(AA16:AD16)</f>
        <v/>
      </c>
      <c r="AF16" s="20">
        <f>변수!AF27</f>
        <v/>
      </c>
      <c r="AG16" s="20">
        <f>변수!AG27</f>
        <v/>
      </c>
      <c r="AH16" s="20">
        <f>변수!AH27</f>
        <v/>
      </c>
      <c r="AI16" s="20">
        <f>변수!AI27</f>
        <v/>
      </c>
      <c r="AJ16" s="38">
        <f>SUM(AF16:AI16)</f>
        <v/>
      </c>
      <c r="AK16" s="20">
        <f>변수!AK27</f>
        <v/>
      </c>
      <c r="AL16" s="20">
        <f>변수!AL27</f>
        <v/>
      </c>
      <c r="AM16" s="20">
        <f>변수!AM27</f>
        <v/>
      </c>
      <c r="AN16" s="20">
        <f>변수!AN27</f>
        <v/>
      </c>
      <c r="AO16" s="38">
        <f>SUM(AK16:AN16)</f>
        <v/>
      </c>
    </row>
    <row r="17">
      <c r="A17" s="12" t="inlineStr">
        <is>
          <t>지분법손익</t>
        </is>
      </c>
      <c r="B17" t="inlineStr">
        <is>
          <t>손익</t>
        </is>
      </c>
      <c r="C17" t="inlineStr">
        <is>
          <t>억원</t>
        </is>
      </c>
      <c r="D17" t="inlineStr">
        <is>
          <t>종속기업,공동지배기업및관계기업관련손익</t>
        </is>
      </c>
      <c r="E17" s="18">
        <f>IFERROR(VLOOKUP($D17,BS연결,MATCH(E$1,BS연결H,0),0)/100,"")</f>
        <v/>
      </c>
      <c r="F17" s="37" t="n"/>
      <c r="G17" s="18">
        <f>IFERROR(VLOOKUP($D17,BS연결,MATCH(G$1,BS연결H,0),0)/100,"")</f>
        <v/>
      </c>
      <c r="H17" s="18">
        <f>IFERROR(VLOOKUP($D17,BS연결,MATCH(H$1,BS연결H,0),0)/100,"")</f>
        <v/>
      </c>
      <c r="I17" s="18">
        <f>IFERROR(VLOOKUP($D17,BS연결,MATCH(I$1,BS연결H,0),0)/100,"")</f>
        <v/>
      </c>
      <c r="J17" s="18">
        <f>IFERROR(VLOOKUP($D17,BS연결,MATCH(J$1,BS연결H,0),0)/100,"")</f>
        <v/>
      </c>
      <c r="K17" s="37">
        <f>IFERROR(VLOOKUP($D17,BS연결,MATCH(K$1,BS연결H,0),0)/100,"")</f>
        <v/>
      </c>
      <c r="L17" s="18">
        <f>IFERROR(VLOOKUP($D17,BS연결,MATCH(L$1,BS연결H,0),0)/100,"")</f>
        <v/>
      </c>
      <c r="M17" s="18">
        <f>IFERROR(VLOOKUP($D17,BS연결,MATCH(M$1,BS연결H,0),0)/100,"")</f>
        <v/>
      </c>
      <c r="N17" s="18">
        <f>IFERROR(VLOOKUP($D17,BS연결,MATCH(N$1,BS연결H,0),0)/100,"")</f>
        <v/>
      </c>
      <c r="O17" s="18">
        <f>IFERROR(VLOOKUP($D17,BS연결,MATCH(O$1,BS연결H,0),0)/100,"")</f>
        <v/>
      </c>
      <c r="P17" s="37">
        <f>IFERROR(VLOOKUP($D17,BS연결,MATCH(P$1,BS연결H,0),0)/100,"")</f>
        <v/>
      </c>
      <c r="Q17" s="18">
        <f>IFERROR(VLOOKUP($D17,BS연결,MATCH(Q$1,BS연결H,0),0)/100,"")</f>
        <v/>
      </c>
      <c r="R17" s="18">
        <f>IFERROR(VLOOKUP($D17,BS연결,MATCH(R$1,BS연결H,0),0)/100,"")</f>
        <v/>
      </c>
      <c r="S17" s="18">
        <f>IFERROR(VLOOKUP($D17,BS연결,MATCH(S$1,BS연결H,0),0)/100,"")</f>
        <v/>
      </c>
      <c r="T17" s="18">
        <f>IFERROR(VLOOKUP($D17,BS연결,MATCH(T$1,BS연결H,0),0)/100,"")</f>
        <v/>
      </c>
      <c r="U17" s="37">
        <f>IFERROR(VLOOKUP($D17,BS연결,MATCH(U$1,BS연결H,0),0)/100,"")</f>
        <v/>
      </c>
      <c r="V17" s="18">
        <f>IFERROR(VLOOKUP($D17,BS연결,MATCH(V$1,BS연결H,0),0)/100,"")</f>
        <v/>
      </c>
      <c r="W17" s="18">
        <f>IFERROR(VLOOKUP($D17,BS연결,MATCH(W$1,BS연결H,0),0)/100,"")</f>
        <v/>
      </c>
      <c r="X17" s="18">
        <f>IFERROR(VLOOKUP($D17,BS연결,MATCH(X$1,BS연결H,0),0)/100,"")</f>
        <v/>
      </c>
      <c r="Y17" s="18">
        <f>IFERROR(VLOOKUP($D17,BS연결,MATCH(Y$1,BS연결H,0),0)/100,"")</f>
        <v/>
      </c>
      <c r="Z17" s="37">
        <f>IFERROR(VLOOKUP($D17,BS연결,MATCH(Z$1,BS연결H,0),0)/100,"")</f>
        <v/>
      </c>
      <c r="AA17" s="18">
        <f>IFERROR(VLOOKUP($D17,BS연결,MATCH(AA$1,BS연결H,0),0)/100,"")</f>
        <v/>
      </c>
      <c r="AB17" s="19">
        <f>IFERROR(VLOOKUP($D17,BS연결,MATCH(AB$1,BS연결H,0),0)/100,"")</f>
        <v/>
      </c>
      <c r="AC17" s="20">
        <f>변수!AC28</f>
        <v/>
      </c>
      <c r="AD17" s="20">
        <f>변수!AD28</f>
        <v/>
      </c>
      <c r="AE17" s="38">
        <f>SUM(AA17:AD17)</f>
        <v/>
      </c>
      <c r="AF17" s="20">
        <f>변수!AF28</f>
        <v/>
      </c>
      <c r="AG17" s="20">
        <f>변수!AG28</f>
        <v/>
      </c>
      <c r="AH17" s="20">
        <f>변수!AH28</f>
        <v/>
      </c>
      <c r="AI17" s="20">
        <f>변수!AI28</f>
        <v/>
      </c>
      <c r="AJ17" s="38">
        <f>SUM(AF17:AI17)</f>
        <v/>
      </c>
      <c r="AK17" s="20">
        <f>변수!AK28</f>
        <v/>
      </c>
      <c r="AL17" s="20">
        <f>변수!AL28</f>
        <v/>
      </c>
      <c r="AM17" s="20">
        <f>변수!AM28</f>
        <v/>
      </c>
      <c r="AN17" s="20">
        <f>변수!AN28</f>
        <v/>
      </c>
      <c r="AO17" s="38">
        <f>SUM(AK17:AN17)</f>
        <v/>
      </c>
    </row>
    <row r="18">
      <c r="A18" s="12" t="inlineStr">
        <is>
          <t>세전이익</t>
        </is>
      </c>
      <c r="B18" t="inlineStr">
        <is>
          <t>손익</t>
        </is>
      </c>
      <c r="C18" t="inlineStr">
        <is>
          <t>억원</t>
        </is>
      </c>
      <c r="D18" t="inlineStr">
        <is>
          <t>법인세비용차감전계속사업이익</t>
        </is>
      </c>
      <c r="E18" s="18">
        <f>IFERROR(VLOOKUP($D18,BS연결,MATCH(E$1,BS연결H,0),0)/100,"")</f>
        <v/>
      </c>
      <c r="F18" s="37" t="n"/>
      <c r="G18" s="18">
        <f>IFERROR(VLOOKUP($D18,BS연결,MATCH(G$1,BS연결H,0),0)/100,"")</f>
        <v/>
      </c>
      <c r="H18" s="18">
        <f>IFERROR(VLOOKUP($D18,BS연결,MATCH(H$1,BS연결H,0),0)/100,"")</f>
        <v/>
      </c>
      <c r="I18" s="18">
        <f>IFERROR(VLOOKUP($D18,BS연결,MATCH(I$1,BS연결H,0),0)/100,"")</f>
        <v/>
      </c>
      <c r="J18" s="18">
        <f>IFERROR(VLOOKUP($D18,BS연결,MATCH(J$1,BS연결H,0),0)/100,"")</f>
        <v/>
      </c>
      <c r="K18" s="37">
        <f>IFERROR(VLOOKUP($D18,BS연결,MATCH(K$1,BS연결H,0),0)/100,"")</f>
        <v/>
      </c>
      <c r="L18" s="18">
        <f>IFERROR(VLOOKUP($D18,BS연결,MATCH(L$1,BS연결H,0),0)/100,"")</f>
        <v/>
      </c>
      <c r="M18" s="18">
        <f>IFERROR(VLOOKUP($D18,BS연결,MATCH(M$1,BS연결H,0),0)/100,"")</f>
        <v/>
      </c>
      <c r="N18" s="18">
        <f>IFERROR(VLOOKUP($D18,BS연결,MATCH(N$1,BS연결H,0),0)/100,"")</f>
        <v/>
      </c>
      <c r="O18" s="18">
        <f>IFERROR(VLOOKUP($D18,BS연결,MATCH(O$1,BS연결H,0),0)/100,"")</f>
        <v/>
      </c>
      <c r="P18" s="37">
        <f>IFERROR(VLOOKUP($D18,BS연결,MATCH(P$1,BS연결H,0),0)/100,"")</f>
        <v/>
      </c>
      <c r="Q18" s="18">
        <f>IFERROR(VLOOKUP($D18,BS연결,MATCH(Q$1,BS연결H,0),0)/100,"")</f>
        <v/>
      </c>
      <c r="R18" s="18">
        <f>IFERROR(VLOOKUP($D18,BS연결,MATCH(R$1,BS연결H,0),0)/100,"")</f>
        <v/>
      </c>
      <c r="S18" s="18">
        <f>IFERROR(VLOOKUP($D18,BS연결,MATCH(S$1,BS연결H,0),0)/100,"")</f>
        <v/>
      </c>
      <c r="T18" s="18">
        <f>IFERROR(VLOOKUP($D18,BS연결,MATCH(T$1,BS연결H,0),0)/100,"")</f>
        <v/>
      </c>
      <c r="U18" s="37">
        <f>IFERROR(VLOOKUP($D18,BS연결,MATCH(U$1,BS연결H,0),0)/100,"")</f>
        <v/>
      </c>
      <c r="V18" s="18">
        <f>IFERROR(VLOOKUP($D18,BS연결,MATCH(V$1,BS연결H,0),0)/100,"")</f>
        <v/>
      </c>
      <c r="W18" s="18">
        <f>IFERROR(VLOOKUP($D18,BS연결,MATCH(W$1,BS연결H,0),0)/100,"")</f>
        <v/>
      </c>
      <c r="X18" s="18">
        <f>IFERROR(VLOOKUP($D18,BS연결,MATCH(X$1,BS연결H,0),0)/100,"")</f>
        <v/>
      </c>
      <c r="Y18" s="18">
        <f>IFERROR(VLOOKUP($D18,BS연결,MATCH(Y$1,BS연결H,0),0)/100,"")</f>
        <v/>
      </c>
      <c r="Z18" s="37">
        <f>IFERROR(VLOOKUP($D18,BS연결,MATCH(Z$1,BS연결H,0),0)/100,"")</f>
        <v/>
      </c>
      <c r="AA18" s="18">
        <f>IFERROR(VLOOKUP($D18,BS연결,MATCH(AA$1,BS연결H,0),0)/100,"")</f>
        <v/>
      </c>
      <c r="AB18" s="19">
        <f>IFERROR(VLOOKUP($D18,BS연결,MATCH(AB$1,BS연결H,0),0)/100,"")</f>
        <v/>
      </c>
      <c r="AC18" s="20">
        <f>IFERROR(AC9+AC11+AC16+AC17,"")</f>
        <v/>
      </c>
      <c r="AD18" s="20">
        <f>IFERROR(AD9+AD11+AD16+AD17,"")</f>
        <v/>
      </c>
      <c r="AE18" s="38">
        <f>SUM(AA18:AD18)</f>
        <v/>
      </c>
      <c r="AF18" s="20">
        <f>IFERROR(AF9+AF11+AF16+AF17,"")</f>
        <v/>
      </c>
      <c r="AG18" s="20">
        <f>IFERROR(AG9+AG11+AG16+AG17,"")</f>
        <v/>
      </c>
      <c r="AH18" s="20">
        <f>IFERROR(AH9+AH11+AH16+AH17,"")</f>
        <v/>
      </c>
      <c r="AI18" s="20">
        <f>IFERROR(AI9+AI11+AI16+AI17,"")</f>
        <v/>
      </c>
      <c r="AJ18" s="38">
        <f>SUM(AF18:AI18)</f>
        <v/>
      </c>
      <c r="AK18" s="20">
        <f>IFERROR(AK9+AK11+AK16+AK17,"")</f>
        <v/>
      </c>
      <c r="AL18" s="20">
        <f>IFERROR(AL9+AL11+AL16+AL17,"")</f>
        <v/>
      </c>
      <c r="AM18" s="20">
        <f>IFERROR(AM9+AM11+AM16+AM17,"")</f>
        <v/>
      </c>
      <c r="AN18" s="20">
        <f>IFERROR(AN9+AN11+AN16+AN17,"")</f>
        <v/>
      </c>
      <c r="AO18" s="38">
        <f>SUM(AK18:AN18)</f>
        <v/>
      </c>
    </row>
    <row r="19">
      <c r="A19" s="12" t="inlineStr">
        <is>
          <t>법인세비용</t>
        </is>
      </c>
      <c r="B19" t="inlineStr">
        <is>
          <t>손익</t>
        </is>
      </c>
      <c r="C19" t="inlineStr">
        <is>
          <t>억원</t>
        </is>
      </c>
      <c r="D19" t="inlineStr">
        <is>
          <t>법인세비용</t>
        </is>
      </c>
      <c r="E19" s="18">
        <f>IFERROR(VLOOKUP($D19,BS연결,MATCH(E$1,BS연결H,0),0)/100,"")</f>
        <v/>
      </c>
      <c r="F19" s="37" t="n"/>
      <c r="G19" s="18">
        <f>IFERROR(VLOOKUP($D19,BS연결,MATCH(G$1,BS연결H,0),0)/100,"")</f>
        <v/>
      </c>
      <c r="H19" s="18">
        <f>IFERROR(VLOOKUP($D19,BS연결,MATCH(H$1,BS연결H,0),0)/100,"")</f>
        <v/>
      </c>
      <c r="I19" s="18">
        <f>IFERROR(VLOOKUP($D19,BS연결,MATCH(I$1,BS연결H,0),0)/100,"")</f>
        <v/>
      </c>
      <c r="J19" s="18">
        <f>IFERROR(VLOOKUP($D19,BS연결,MATCH(J$1,BS연결H,0),0)/100,"")</f>
        <v/>
      </c>
      <c r="K19" s="37">
        <f>IFERROR(VLOOKUP($D19,BS연결,MATCH(K$1,BS연결H,0),0)/100,"")</f>
        <v/>
      </c>
      <c r="L19" s="18">
        <f>IFERROR(VLOOKUP($D19,BS연결,MATCH(L$1,BS연결H,0),0)/100,"")</f>
        <v/>
      </c>
      <c r="M19" s="18">
        <f>IFERROR(VLOOKUP($D19,BS연결,MATCH(M$1,BS연결H,0),0)/100,"")</f>
        <v/>
      </c>
      <c r="N19" s="18">
        <f>IFERROR(VLOOKUP($D19,BS연결,MATCH(N$1,BS연결H,0),0)/100,"")</f>
        <v/>
      </c>
      <c r="O19" s="18">
        <f>IFERROR(VLOOKUP($D19,BS연결,MATCH(O$1,BS연결H,0),0)/100,"")</f>
        <v/>
      </c>
      <c r="P19" s="37">
        <f>IFERROR(VLOOKUP($D19,BS연결,MATCH(P$1,BS연결H,0),0)/100,"")</f>
        <v/>
      </c>
      <c r="Q19" s="18">
        <f>IFERROR(VLOOKUP($D19,BS연결,MATCH(Q$1,BS연결H,0),0)/100,"")</f>
        <v/>
      </c>
      <c r="R19" s="18">
        <f>IFERROR(VLOOKUP($D19,BS연결,MATCH(R$1,BS연결H,0),0)/100,"")</f>
        <v/>
      </c>
      <c r="S19" s="18">
        <f>IFERROR(VLOOKUP($D19,BS연결,MATCH(S$1,BS연결H,0),0)/100,"")</f>
        <v/>
      </c>
      <c r="T19" s="18">
        <f>IFERROR(VLOOKUP($D19,BS연결,MATCH(T$1,BS연결H,0),0)/100,"")</f>
        <v/>
      </c>
      <c r="U19" s="37">
        <f>IFERROR(VLOOKUP($D19,BS연결,MATCH(U$1,BS연결H,0),0)/100,"")</f>
        <v/>
      </c>
      <c r="V19" s="18">
        <f>IFERROR(VLOOKUP($D19,BS연결,MATCH(V$1,BS연결H,0),0)/100,"")</f>
        <v/>
      </c>
      <c r="W19" s="18">
        <f>IFERROR(VLOOKUP($D19,BS연결,MATCH(W$1,BS연결H,0),0)/100,"")</f>
        <v/>
      </c>
      <c r="X19" s="18">
        <f>IFERROR(VLOOKUP($D19,BS연결,MATCH(X$1,BS연결H,0),0)/100,"")</f>
        <v/>
      </c>
      <c r="Y19" s="18">
        <f>IFERROR(VLOOKUP($D19,BS연결,MATCH(Y$1,BS연결H,0),0)/100,"")</f>
        <v/>
      </c>
      <c r="Z19" s="37">
        <f>IFERROR(VLOOKUP($D19,BS연결,MATCH(Z$1,BS연결H,0),0)/100,"")</f>
        <v/>
      </c>
      <c r="AA19" s="18">
        <f>IFERROR(VLOOKUP($D19,BS연결,MATCH(AA$1,BS연결H,0),0)/100,"")</f>
        <v/>
      </c>
      <c r="AB19" s="19">
        <f>IFERROR(VLOOKUP($D19,BS연결,MATCH(AB$1,BS연결H,0),0)/100,"")</f>
        <v/>
      </c>
      <c r="AC19" s="20">
        <f>IFERROR(MAX(AC18,0)*변수!AC29,"")</f>
        <v/>
      </c>
      <c r="AD19" s="20">
        <f>IFERROR(MAX(AD18,0)*변수!AD29,"")</f>
        <v/>
      </c>
      <c r="AE19" s="38">
        <f>SUM(AA19:AD19)</f>
        <v/>
      </c>
      <c r="AF19" s="20">
        <f>IFERROR(MAX(AF18,0)*변수!AF29,"")</f>
        <v/>
      </c>
      <c r="AG19" s="20">
        <f>IFERROR(MAX(AG18,0)*변수!AG29,"")</f>
        <v/>
      </c>
      <c r="AH19" s="20">
        <f>IFERROR(MAX(AH18,0)*변수!AH29,"")</f>
        <v/>
      </c>
      <c r="AI19" s="20">
        <f>IFERROR(MAX(AI18,0)*변수!AI29,"")</f>
        <v/>
      </c>
      <c r="AJ19" s="38">
        <f>SUM(AF19:AI19)</f>
        <v/>
      </c>
      <c r="AK19" s="20">
        <f>IFERROR(MAX(AK18,0)*변수!AK29,"")</f>
        <v/>
      </c>
      <c r="AL19" s="20">
        <f>IFERROR(MAX(AL18,0)*변수!AL29,"")</f>
        <v/>
      </c>
      <c r="AM19" s="20">
        <f>IFERROR(MAX(AM18,0)*변수!AM29,"")</f>
        <v/>
      </c>
      <c r="AN19" s="20">
        <f>IFERROR(MAX(AN18,0)*변수!AN29,"")</f>
        <v/>
      </c>
      <c r="AO19" s="38">
        <f>SUM(AK19:AN19)</f>
        <v/>
      </c>
    </row>
    <row r="20">
      <c r="A20" s="12" t="inlineStr">
        <is>
          <t>당기순이익</t>
        </is>
      </c>
      <c r="B20" t="inlineStr">
        <is>
          <t>손익</t>
        </is>
      </c>
      <c r="C20" t="inlineStr">
        <is>
          <t>억원</t>
        </is>
      </c>
      <c r="D20" t="inlineStr">
        <is>
          <t>당기순이익</t>
        </is>
      </c>
      <c r="E20" s="18">
        <f>IFERROR(VLOOKUP($D20,BS연결,MATCH(E$1,BS연결H,0),0)/100,"")</f>
        <v/>
      </c>
      <c r="F20" s="37" t="n"/>
      <c r="G20" s="18">
        <f>IFERROR(VLOOKUP($D20,BS연결,MATCH(G$1,BS연결H,0),0)/100,"")</f>
        <v/>
      </c>
      <c r="H20" s="18">
        <f>IFERROR(VLOOKUP($D20,BS연결,MATCH(H$1,BS연결H,0),0)/100,"")</f>
        <v/>
      </c>
      <c r="I20" s="18">
        <f>IFERROR(VLOOKUP($D20,BS연결,MATCH(I$1,BS연결H,0),0)/100,"")</f>
        <v/>
      </c>
      <c r="J20" s="18">
        <f>IFERROR(VLOOKUP($D20,BS연결,MATCH(J$1,BS연결H,0),0)/100,"")</f>
        <v/>
      </c>
      <c r="K20" s="37">
        <f>IFERROR(VLOOKUP($D20,BS연결,MATCH(K$1,BS연결H,0),0)/100,"")</f>
        <v/>
      </c>
      <c r="L20" s="18">
        <f>IFERROR(VLOOKUP($D20,BS연결,MATCH(L$1,BS연결H,0),0)/100,"")</f>
        <v/>
      </c>
      <c r="M20" s="18">
        <f>IFERROR(VLOOKUP($D20,BS연결,MATCH(M$1,BS연결H,0),0)/100,"")</f>
        <v/>
      </c>
      <c r="N20" s="18">
        <f>IFERROR(VLOOKUP($D20,BS연결,MATCH(N$1,BS연결H,0),0)/100,"")</f>
        <v/>
      </c>
      <c r="O20" s="18">
        <f>IFERROR(VLOOKUP($D20,BS연결,MATCH(O$1,BS연결H,0),0)/100,"")</f>
        <v/>
      </c>
      <c r="P20" s="37">
        <f>IFERROR(VLOOKUP($D20,BS연결,MATCH(P$1,BS연결H,0),0)/100,"")</f>
        <v/>
      </c>
      <c r="Q20" s="18">
        <f>IFERROR(VLOOKUP($D20,BS연결,MATCH(Q$1,BS연결H,0),0)/100,"")</f>
        <v/>
      </c>
      <c r="R20" s="18">
        <f>IFERROR(VLOOKUP($D20,BS연결,MATCH(R$1,BS연결H,0),0)/100,"")</f>
        <v/>
      </c>
      <c r="S20" s="18">
        <f>IFERROR(VLOOKUP($D20,BS연결,MATCH(S$1,BS연결H,0),0)/100,"")</f>
        <v/>
      </c>
      <c r="T20" s="18">
        <f>IFERROR(VLOOKUP($D20,BS연결,MATCH(T$1,BS연결H,0),0)/100,"")</f>
        <v/>
      </c>
      <c r="U20" s="37">
        <f>IFERROR(VLOOKUP($D20,BS연결,MATCH(U$1,BS연결H,0),0)/100,"")</f>
        <v/>
      </c>
      <c r="V20" s="18">
        <f>IFERROR(VLOOKUP($D20,BS연결,MATCH(V$1,BS연결H,0),0)/100,"")</f>
        <v/>
      </c>
      <c r="W20" s="18">
        <f>IFERROR(VLOOKUP($D20,BS연결,MATCH(W$1,BS연결H,0),0)/100,"")</f>
        <v/>
      </c>
      <c r="X20" s="18">
        <f>IFERROR(VLOOKUP($D20,BS연결,MATCH(X$1,BS연결H,0),0)/100,"")</f>
        <v/>
      </c>
      <c r="Y20" s="18">
        <f>IFERROR(VLOOKUP($D20,BS연결,MATCH(Y$1,BS연결H,0),0)/100,"")</f>
        <v/>
      </c>
      <c r="Z20" s="37">
        <f>IFERROR(VLOOKUP($D20,BS연결,MATCH(Z$1,BS연결H,0),0)/100,"")</f>
        <v/>
      </c>
      <c r="AA20" s="18">
        <f>IFERROR(VLOOKUP($D20,BS연결,MATCH(AA$1,BS연결H,0),0)/100,"")</f>
        <v/>
      </c>
      <c r="AB20" s="19">
        <f>IFERROR(VLOOKUP($D20,BS연결,MATCH(AB$1,BS연결H,0),0)/100,"")</f>
        <v/>
      </c>
      <c r="AC20" s="20">
        <f>IFERROR(AC18-AC19,"")</f>
        <v/>
      </c>
      <c r="AD20" s="20">
        <f>IFERROR(AD18-AD19,"")</f>
        <v/>
      </c>
      <c r="AE20" s="38">
        <f>SUM(AA20:AD20)</f>
        <v/>
      </c>
      <c r="AF20" s="20">
        <f>IFERROR(AF18-AF19,"")</f>
        <v/>
      </c>
      <c r="AG20" s="20">
        <f>IFERROR(AG18-AG19,"")</f>
        <v/>
      </c>
      <c r="AH20" s="20">
        <f>IFERROR(AH18-AH19,"")</f>
        <v/>
      </c>
      <c r="AI20" s="20">
        <f>IFERROR(AI18-AI19,"")</f>
        <v/>
      </c>
      <c r="AJ20" s="38">
        <f>SUM(AF20:AI20)</f>
        <v/>
      </c>
      <c r="AK20" s="20">
        <f>IFERROR(AK18-AK19,"")</f>
        <v/>
      </c>
      <c r="AL20" s="20">
        <f>IFERROR(AL18-AL19,"")</f>
        <v/>
      </c>
      <c r="AM20" s="20">
        <f>IFERROR(AM18-AM19,"")</f>
        <v/>
      </c>
      <c r="AN20" s="20">
        <f>IFERROR(AN18-AN19,"")</f>
        <v/>
      </c>
      <c r="AO20" s="38">
        <f>SUM(AK20:AN20)</f>
        <v/>
      </c>
    </row>
    <row r="21">
      <c r="A21" s="12" t="inlineStr">
        <is>
          <t>지배주주순이익</t>
        </is>
      </c>
      <c r="B21" t="inlineStr">
        <is>
          <t>손익</t>
        </is>
      </c>
      <c r="C21" t="inlineStr">
        <is>
          <t>억원</t>
        </is>
      </c>
      <c r="D21" t="inlineStr">
        <is>
          <t>(지배주주지분)당기순이익</t>
        </is>
      </c>
      <c r="E21" s="18">
        <f>IFERROR(VLOOKUP($D21,BS연결,MATCH(E$1,BS연결H,0),0)/100,"")</f>
        <v/>
      </c>
      <c r="F21" s="37" t="n"/>
      <c r="G21" s="18">
        <f>IFERROR(VLOOKUP($D21,BS연결,MATCH(G$1,BS연결H,0),0)/100,"")</f>
        <v/>
      </c>
      <c r="H21" s="18">
        <f>IFERROR(VLOOKUP($D21,BS연결,MATCH(H$1,BS연결H,0),0)/100,"")</f>
        <v/>
      </c>
      <c r="I21" s="18">
        <f>IFERROR(VLOOKUP($D21,BS연결,MATCH(I$1,BS연결H,0),0)/100,"")</f>
        <v/>
      </c>
      <c r="J21" s="18">
        <f>IFERROR(VLOOKUP($D21,BS연결,MATCH(J$1,BS연결H,0),0)/100,"")</f>
        <v/>
      </c>
      <c r="K21" s="37">
        <f>IFERROR(VLOOKUP($D21,BS연결,MATCH(K$1,BS연결H,0),0)/100,"")</f>
        <v/>
      </c>
      <c r="L21" s="18">
        <f>IFERROR(VLOOKUP($D21,BS연결,MATCH(L$1,BS연결H,0),0)/100,"")</f>
        <v/>
      </c>
      <c r="M21" s="18">
        <f>IFERROR(VLOOKUP($D21,BS연결,MATCH(M$1,BS연결H,0),0)/100,"")</f>
        <v/>
      </c>
      <c r="N21" s="18">
        <f>IFERROR(VLOOKUP($D21,BS연결,MATCH(N$1,BS연결H,0),0)/100,"")</f>
        <v/>
      </c>
      <c r="O21" s="18">
        <f>IFERROR(VLOOKUP($D21,BS연결,MATCH(O$1,BS연결H,0),0)/100,"")</f>
        <v/>
      </c>
      <c r="P21" s="37">
        <f>IFERROR(VLOOKUP($D21,BS연결,MATCH(P$1,BS연결H,0),0)/100,"")</f>
        <v/>
      </c>
      <c r="Q21" s="18">
        <f>IFERROR(VLOOKUP($D21,BS연결,MATCH(Q$1,BS연결H,0),0)/100,"")</f>
        <v/>
      </c>
      <c r="R21" s="18">
        <f>IFERROR(VLOOKUP($D21,BS연결,MATCH(R$1,BS연결H,0),0)/100,"")</f>
        <v/>
      </c>
      <c r="S21" s="18">
        <f>IFERROR(VLOOKUP($D21,BS연결,MATCH(S$1,BS연결H,0),0)/100,"")</f>
        <v/>
      </c>
      <c r="T21" s="18">
        <f>IFERROR(VLOOKUP($D21,BS연결,MATCH(T$1,BS연결H,0),0)/100,"")</f>
        <v/>
      </c>
      <c r="U21" s="37">
        <f>IFERROR(VLOOKUP($D21,BS연결,MATCH(U$1,BS연결H,0),0)/100,"")</f>
        <v/>
      </c>
      <c r="V21" s="18">
        <f>IFERROR(VLOOKUP($D21,BS연결,MATCH(V$1,BS연결H,0),0)/100,"")</f>
        <v/>
      </c>
      <c r="W21" s="18">
        <f>IFERROR(VLOOKUP($D21,BS연결,MATCH(W$1,BS연결H,0),0)/100,"")</f>
        <v/>
      </c>
      <c r="X21" s="18">
        <f>IFERROR(VLOOKUP($D21,BS연결,MATCH(X$1,BS연결H,0),0)/100,"")</f>
        <v/>
      </c>
      <c r="Y21" s="18">
        <f>IFERROR(VLOOKUP($D21,BS연결,MATCH(Y$1,BS연결H,0),0)/100,"")</f>
        <v/>
      </c>
      <c r="Z21" s="37">
        <f>IFERROR(VLOOKUP($D21,BS연결,MATCH(Z$1,BS연결H,0),0)/100,"")</f>
        <v/>
      </c>
      <c r="AA21" s="18">
        <f>IFERROR(VLOOKUP($D21,BS연결,MATCH(AA$1,BS연결H,0),0)/100,"")</f>
        <v/>
      </c>
      <c r="AB21" s="19">
        <f>IFERROR(VLOOKUP($D21,BS연결,MATCH(AB$1,BS연결H,0),0)/100,"")</f>
        <v/>
      </c>
      <c r="AC21" s="20">
        <f>IFERROR(AC20*변수!AC30,"")</f>
        <v/>
      </c>
      <c r="AD21" s="20">
        <f>IFERROR(AD20*변수!AD30,"")</f>
        <v/>
      </c>
      <c r="AE21" s="38">
        <f>SUM(AA21:AD21)</f>
        <v/>
      </c>
      <c r="AF21" s="20">
        <f>IFERROR(AF20*변수!AF30,"")</f>
        <v/>
      </c>
      <c r="AG21" s="20">
        <f>IFERROR(AG20*변수!AG30,"")</f>
        <v/>
      </c>
      <c r="AH21" s="20">
        <f>IFERROR(AH20*변수!AH30,"")</f>
        <v/>
      </c>
      <c r="AI21" s="20">
        <f>IFERROR(AI20*변수!AI30,"")</f>
        <v/>
      </c>
      <c r="AJ21" s="38">
        <f>SUM(AF21:AI21)</f>
        <v/>
      </c>
      <c r="AK21" s="20">
        <f>IFERROR(AK20*변수!AK30,"")</f>
        <v/>
      </c>
      <c r="AL21" s="20">
        <f>IFERROR(AL20*변수!AL30,"")</f>
        <v/>
      </c>
      <c r="AM21" s="20">
        <f>IFERROR(AM20*변수!AM30,"")</f>
        <v/>
      </c>
      <c r="AN21" s="20">
        <f>IFERROR(AN20*변수!AN30,"")</f>
        <v/>
      </c>
      <c r="AO21" s="38">
        <f>SUM(AK21:AN21)</f>
        <v/>
      </c>
    </row>
    <row r="22">
      <c r="A22" s="12" t="inlineStr">
        <is>
          <t>중단사업이익</t>
        </is>
      </c>
      <c r="B22" t="inlineStr">
        <is>
          <t>손익</t>
        </is>
      </c>
      <c r="C22" t="inlineStr">
        <is>
          <t>억원</t>
        </is>
      </c>
      <c r="D22" t="inlineStr">
        <is>
          <t>중단사업이익</t>
        </is>
      </c>
      <c r="E22" s="18" t="n"/>
      <c r="F22" s="37" t="n"/>
      <c r="G22" s="18" t="n"/>
      <c r="H22" s="18" t="n"/>
      <c r="I22" s="18" t="n"/>
      <c r="J22" s="18" t="n"/>
      <c r="K22" s="37">
        <f>SUM(G22:J22)</f>
        <v/>
      </c>
      <c r="L22" s="18" t="n"/>
      <c r="M22" s="18" t="n"/>
      <c r="N22" s="18" t="n"/>
      <c r="O22" s="18" t="n"/>
      <c r="P22" s="37">
        <f>SUM(L22:O22)</f>
        <v/>
      </c>
      <c r="Q22" s="18" t="n"/>
      <c r="R22" s="18" t="n"/>
      <c r="S22" s="18" t="n"/>
      <c r="T22" s="18" t="n"/>
      <c r="U22" s="37">
        <f>SUM(Q22:T22)</f>
        <v/>
      </c>
      <c r="V22" s="18" t="n"/>
      <c r="W22" s="18" t="n"/>
      <c r="X22" s="18" t="n"/>
      <c r="Y22" s="18" t="n"/>
      <c r="Z22" s="37">
        <f>SUM(V22:Y22)</f>
        <v/>
      </c>
      <c r="AA22" s="18" t="n"/>
      <c r="AB22" s="19">
        <f>IFERROR(VLOOKUP($D22,BS연결,MATCH(AB$1,BS연결H,0),0)/100,"")</f>
        <v/>
      </c>
      <c r="AC22" s="20" t="n"/>
      <c r="AD22" s="20" t="n"/>
      <c r="AE22" s="38">
        <f>SUM(AA22:AD22)</f>
        <v/>
      </c>
      <c r="AF22" s="20" t="n"/>
      <c r="AG22" s="20" t="n"/>
      <c r="AH22" s="20" t="n"/>
      <c r="AI22" s="20" t="n"/>
      <c r="AJ22" s="38">
        <f>SUM(AF22:AI22)</f>
        <v/>
      </c>
      <c r="AK22" s="20" t="n"/>
      <c r="AL22" s="20" t="n"/>
      <c r="AM22" s="20" t="n"/>
      <c r="AN22" s="20" t="n"/>
      <c r="AO22" s="38">
        <f>SUM(AK22:AN22)</f>
        <v/>
      </c>
    </row>
    <row r="23">
      <c r="A23" s="12" t="inlineStr">
        <is>
          <t>감가상각비</t>
        </is>
      </c>
      <c r="B23" t="inlineStr">
        <is>
          <t>손익</t>
        </is>
      </c>
      <c r="C23" t="inlineStr">
        <is>
          <t>억원</t>
        </is>
      </c>
      <c r="D23" t="inlineStr">
        <is>
          <t>감가상각비</t>
        </is>
      </c>
      <c r="E23" s="18">
        <f>IFERROR(VLOOKUP($D23,BS연결,MATCH(E$1,BS연결H,0),0)/100,"")</f>
        <v/>
      </c>
      <c r="F23" s="37" t="n"/>
      <c r="G23" s="18">
        <f>IFERROR(VLOOKUP($D23,BS연결,MATCH(G$1,BS연결H,0),0)/100,"")</f>
        <v/>
      </c>
      <c r="H23" s="18">
        <f>IFERROR(VLOOKUP($D23,BS연결,MATCH(H$1,BS연결H,0),0)/100,"")</f>
        <v/>
      </c>
      <c r="I23" s="18">
        <f>IFERROR(VLOOKUP($D23,BS연결,MATCH(I$1,BS연결H,0),0)/100,"")</f>
        <v/>
      </c>
      <c r="J23" s="18">
        <f>IFERROR(VLOOKUP($D23,BS연결,MATCH(J$1,BS연결H,0),0)/100,"")</f>
        <v/>
      </c>
      <c r="K23" s="37">
        <f>IFERROR(VLOOKUP($D23,BS연결,MATCH(K$1,BS연결H,0),0)/100,"")</f>
        <v/>
      </c>
      <c r="L23" s="18">
        <f>IFERROR(VLOOKUP($D23,BS연결,MATCH(L$1,BS연결H,0),0)/100,"")</f>
        <v/>
      </c>
      <c r="M23" s="18">
        <f>IFERROR(VLOOKUP($D23,BS연결,MATCH(M$1,BS연결H,0),0)/100,"")</f>
        <v/>
      </c>
      <c r="N23" s="18">
        <f>IFERROR(VLOOKUP($D23,BS연결,MATCH(N$1,BS연결H,0),0)/100,"")</f>
        <v/>
      </c>
      <c r="O23" s="18">
        <f>IFERROR(VLOOKUP($D23,BS연결,MATCH(O$1,BS연결H,0),0)/100,"")</f>
        <v/>
      </c>
      <c r="P23" s="37">
        <f>IFERROR(VLOOKUP($D23,BS연결,MATCH(P$1,BS연결H,0),0)/100,"")</f>
        <v/>
      </c>
      <c r="Q23" s="18">
        <f>IFERROR(VLOOKUP($D23,BS연결,MATCH(Q$1,BS연결H,0),0)/100,"")</f>
        <v/>
      </c>
      <c r="R23" s="18">
        <f>IFERROR(VLOOKUP($D23,BS연결,MATCH(R$1,BS연결H,0),0)/100,"")</f>
        <v/>
      </c>
      <c r="S23" s="18">
        <f>IFERROR(VLOOKUP($D23,BS연결,MATCH(S$1,BS연결H,0),0)/100,"")</f>
        <v/>
      </c>
      <c r="T23" s="18">
        <f>IFERROR(VLOOKUP($D23,BS연결,MATCH(T$1,BS연결H,0),0)/100,"")</f>
        <v/>
      </c>
      <c r="U23" s="37">
        <f>IFERROR(VLOOKUP($D23,BS연결,MATCH(U$1,BS연결H,0),0)/100,"")</f>
        <v/>
      </c>
      <c r="V23" s="18">
        <f>IFERROR(VLOOKUP($D23,BS연결,MATCH(V$1,BS연결H,0),0)/100,"")</f>
        <v/>
      </c>
      <c r="W23" s="18">
        <f>IFERROR(VLOOKUP($D23,BS연결,MATCH(W$1,BS연결H,0),0)/100,"")</f>
        <v/>
      </c>
      <c r="X23" s="18">
        <f>IFERROR(VLOOKUP($D23,BS연결,MATCH(X$1,BS연결H,0),0)/100,"")</f>
        <v/>
      </c>
      <c r="Y23" s="18">
        <f>IFERROR(VLOOKUP($D23,BS연결,MATCH(Y$1,BS연결H,0),0)/100,"")</f>
        <v/>
      </c>
      <c r="Z23" s="37">
        <f>IFERROR(VLOOKUP($D23,BS연결,MATCH(Z$1,BS연결H,0),0)/100,"")</f>
        <v/>
      </c>
      <c r="AA23" s="18">
        <f>IFERROR(VLOOKUP($D23,BS연결,MATCH(AA$1,BS연결H,0),0)/100,"")</f>
        <v/>
      </c>
      <c r="AB23" s="19">
        <f>IFERROR(VLOOKUP($D23,BS연결,MATCH(AB$1,BS연결H,0),0)/100,"")</f>
        <v/>
      </c>
      <c r="AC23" s="20">
        <f>변수!AC32</f>
        <v/>
      </c>
      <c r="AD23" s="20">
        <f>변수!AD32</f>
        <v/>
      </c>
      <c r="AE23" s="38">
        <f>SUM(AA23:AD23)</f>
        <v/>
      </c>
      <c r="AF23" s="20">
        <f>변수!AF32</f>
        <v/>
      </c>
      <c r="AG23" s="20">
        <f>변수!AG32</f>
        <v/>
      </c>
      <c r="AH23" s="20">
        <f>변수!AH32</f>
        <v/>
      </c>
      <c r="AI23" s="20">
        <f>변수!AI32</f>
        <v/>
      </c>
      <c r="AJ23" s="38">
        <f>SUM(AF23:AI23)</f>
        <v/>
      </c>
      <c r="AK23" s="20">
        <f>변수!AK32</f>
        <v/>
      </c>
      <c r="AL23" s="20">
        <f>변수!AL32</f>
        <v/>
      </c>
      <c r="AM23" s="20">
        <f>변수!AM32</f>
        <v/>
      </c>
      <c r="AN23" s="20">
        <f>변수!AN32</f>
        <v/>
      </c>
      <c r="AO23" s="38">
        <f>SUM(AK23:AN23)</f>
        <v/>
      </c>
    </row>
    <row r="24">
      <c r="A24" s="12" t="inlineStr">
        <is>
          <t>EBITDA</t>
        </is>
      </c>
      <c r="B24" t="inlineStr">
        <is>
          <t>손익</t>
        </is>
      </c>
      <c r="C24" t="inlineStr">
        <is>
          <t>억원</t>
        </is>
      </c>
      <c r="D24" t="inlineStr">
        <is>
          <t>EBITDA</t>
        </is>
      </c>
      <c r="E24" s="18" t="n">
        <v>816.21</v>
      </c>
      <c r="F24" s="37" t="n"/>
      <c r="G24" s="18" t="n">
        <v>1563.12</v>
      </c>
      <c r="H24" s="18" t="n">
        <v>1707.3</v>
      </c>
      <c r="I24" s="18" t="n">
        <v>1031.72</v>
      </c>
      <c r="J24" s="18" t="n">
        <v>650.78</v>
      </c>
      <c r="K24" s="37">
        <f>SUM(G24:J24)</f>
        <v/>
      </c>
      <c r="L24" s="18" t="n">
        <v>828.98</v>
      </c>
      <c r="M24" s="18" t="n">
        <v>974.1799999999999</v>
      </c>
      <c r="N24" s="18" t="n">
        <v>956.39</v>
      </c>
      <c r="O24" s="18" t="n">
        <v>686.3200000000001</v>
      </c>
      <c r="P24" s="37">
        <f>SUM(L24:O24)</f>
        <v/>
      </c>
      <c r="Q24" s="18" t="n">
        <v>1139.67</v>
      </c>
      <c r="R24" s="18" t="n">
        <v>1478.76</v>
      </c>
      <c r="S24" s="18" t="n">
        <v>1326.8</v>
      </c>
      <c r="T24" s="18" t="n">
        <v>1051.3</v>
      </c>
      <c r="U24" s="37">
        <f>SUM(Q24:T24)</f>
        <v/>
      </c>
      <c r="V24" s="18" t="n">
        <v>2066.27</v>
      </c>
      <c r="W24" s="18" t="n">
        <v>2379.96</v>
      </c>
      <c r="X24" s="18" t="n">
        <v>-602.83</v>
      </c>
      <c r="Y24" s="18" t="n">
        <v>4528.49</v>
      </c>
      <c r="Z24" s="37">
        <f>SUM(V24:Y24)</f>
        <v/>
      </c>
      <c r="AA24" s="18" t="n">
        <v>1818.37</v>
      </c>
      <c r="AB24" s="19" t="n">
        <v>2207.7</v>
      </c>
      <c r="AC24" s="20">
        <f>IFERROR(AC9+AC23,"")</f>
        <v/>
      </c>
      <c r="AD24" s="20">
        <f>IFERROR(AD9+AD23,"")</f>
        <v/>
      </c>
      <c r="AE24" s="38">
        <f>SUM(AA24:AD24)</f>
        <v/>
      </c>
      <c r="AF24" s="20">
        <f>IFERROR(AF9+AF23,"")</f>
        <v/>
      </c>
      <c r="AG24" s="20">
        <f>IFERROR(AG9+AG23,"")</f>
        <v/>
      </c>
      <c r="AH24" s="20">
        <f>IFERROR(AH9+AH23,"")</f>
        <v/>
      </c>
      <c r="AI24" s="20">
        <f>IFERROR(AI9+AI23,"")</f>
        <v/>
      </c>
      <c r="AJ24" s="38">
        <f>SUM(AF24:AI24)</f>
        <v/>
      </c>
      <c r="AK24" s="20">
        <f>IFERROR(AK9+AK23,"")</f>
        <v/>
      </c>
      <c r="AL24" s="20">
        <f>IFERROR(AL9+AL23,"")</f>
        <v/>
      </c>
      <c r="AM24" s="20">
        <f>IFERROR(AM9+AM23,"")</f>
        <v/>
      </c>
      <c r="AN24" s="20">
        <f>IFERROR(AN9+AN23,"")</f>
        <v/>
      </c>
      <c r="AO24" s="38">
        <f>SUM(AK24:AN24)</f>
        <v/>
      </c>
    </row>
    <row r="25">
      <c r="A25" s="12" t="inlineStr">
        <is>
          <t>자산총계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자산총계</t>
        </is>
      </c>
      <c r="E25" s="18">
        <f>IFERROR(VLOOKUP($D25,BS연결,MATCH(E$1,BS연결H,0),0)/100,"")</f>
        <v/>
      </c>
      <c r="F25" s="37">
        <f>IFERROR(VLOOKUP($D25,BS연결,MATCH(F$1,BS연결H,0),0)/100,"")</f>
        <v/>
      </c>
      <c r="G25" s="18">
        <f>IFERROR(VLOOKUP($D25,BS연결,MATCH(G$1,BS연결H,0),0)/100,"")</f>
        <v/>
      </c>
      <c r="H25" s="18">
        <f>IFERROR(VLOOKUP($D25,BS연결,MATCH(H$1,BS연결H,0),0)/100,"")</f>
        <v/>
      </c>
      <c r="I25" s="18">
        <f>IFERROR(VLOOKUP($D25,BS연결,MATCH(I$1,BS연결H,0),0)/100,"")</f>
        <v/>
      </c>
      <c r="J25" s="18">
        <f>IFERROR(VLOOKUP($D25,BS연결,MATCH(J$1,BS연결H,0),0)/100,"")</f>
        <v/>
      </c>
      <c r="K25" s="37">
        <f>IFERROR(VLOOKUP($D25,BS연결,MATCH(K$1,BS연결H,0),0)/100,"")</f>
        <v/>
      </c>
      <c r="L25" s="18">
        <f>IFERROR(VLOOKUP($D25,BS연결,MATCH(L$1,BS연결H,0),0)/100,"")</f>
        <v/>
      </c>
      <c r="M25" s="18">
        <f>IFERROR(VLOOKUP($D25,BS연결,MATCH(M$1,BS연결H,0),0)/100,"")</f>
        <v/>
      </c>
      <c r="N25" s="18">
        <f>IFERROR(VLOOKUP($D25,BS연결,MATCH(N$1,BS연결H,0),0)/100,"")</f>
        <v/>
      </c>
      <c r="O25" s="18">
        <f>IFERROR(VLOOKUP($D25,BS연결,MATCH(O$1,BS연결H,0),0)/100,"")</f>
        <v/>
      </c>
      <c r="P25" s="37">
        <f>IFERROR(VLOOKUP($D25,BS연결,MATCH(P$1,BS연결H,0),0)/100,"")</f>
        <v/>
      </c>
      <c r="Q25" s="18">
        <f>IFERROR(VLOOKUP($D25,BS연결,MATCH(Q$1,BS연결H,0),0)/100,"")</f>
        <v/>
      </c>
      <c r="R25" s="18">
        <f>IFERROR(VLOOKUP($D25,BS연결,MATCH(R$1,BS연결H,0),0)/100,"")</f>
        <v/>
      </c>
      <c r="S25" s="18">
        <f>IFERROR(VLOOKUP($D25,BS연결,MATCH(S$1,BS연결H,0),0)/100,"")</f>
        <v/>
      </c>
      <c r="T25" s="18">
        <f>IFERROR(VLOOKUP($D25,BS연결,MATCH(T$1,BS연결H,0),0)/100,"")</f>
        <v/>
      </c>
      <c r="U25" s="37">
        <f>IFERROR(VLOOKUP($D25,BS연결,MATCH(U$1,BS연결H,0),0)/100,"")</f>
        <v/>
      </c>
      <c r="V25" s="18">
        <f>IFERROR(VLOOKUP($D25,BS연결,MATCH(V$1,BS연결H,0),0)/100,"")</f>
        <v/>
      </c>
      <c r="W25" s="18">
        <f>IFERROR(VLOOKUP($D25,BS연결,MATCH(W$1,BS연결H,0),0)/100,"")</f>
        <v/>
      </c>
      <c r="X25" s="18">
        <f>IFERROR(VLOOKUP($D25,BS연결,MATCH(X$1,BS연결H,0),0)/100,"")</f>
        <v/>
      </c>
      <c r="Y25" s="18">
        <f>IFERROR(VLOOKUP($D25,BS연결,MATCH(Y$1,BS연결H,0),0)/100,"")</f>
        <v/>
      </c>
      <c r="Z25" s="37">
        <f>IFERROR(VLOOKUP($D25,BS연결,MATCH(Z$1,BS연결H,0),0)/100,"")</f>
        <v/>
      </c>
      <c r="AA25" s="18">
        <f>IFERROR(VLOOKUP($D25,BS연결,MATCH(AA$1,BS연결H,0),0)/100,"")</f>
        <v/>
      </c>
      <c r="AB25" s="19">
        <f>IFERROR(VLOOKUP($D25,BS연결,MATCH(AB$1,BS연결H,0),0)/100,"")</f>
        <v/>
      </c>
      <c r="AC25" s="20">
        <f>IFERROR(AC26+AC27,"")</f>
        <v/>
      </c>
      <c r="AD25" s="20">
        <f>IFERROR(AD26+AD27,"")</f>
        <v/>
      </c>
      <c r="AE25" s="38">
        <f>AD25</f>
        <v/>
      </c>
      <c r="AF25" s="20">
        <f>IFERROR(AF26+AF27,"")</f>
        <v/>
      </c>
      <c r="AG25" s="20">
        <f>IFERROR(AG26+AG27,"")</f>
        <v/>
      </c>
      <c r="AH25" s="20">
        <f>IFERROR(AH26+AH27,"")</f>
        <v/>
      </c>
      <c r="AI25" s="20">
        <f>IFERROR(AI26+AI27,"")</f>
        <v/>
      </c>
      <c r="AJ25" s="38">
        <f>AI25</f>
        <v/>
      </c>
      <c r="AK25" s="20">
        <f>IFERROR(AK26+AK27,"")</f>
        <v/>
      </c>
      <c r="AL25" s="20">
        <f>IFERROR(AL26+AL27,"")</f>
        <v/>
      </c>
      <c r="AM25" s="20">
        <f>IFERROR(AM26+AM27,"")</f>
        <v/>
      </c>
      <c r="AN25" s="20">
        <f>IFERROR(AN26+AN27,"")</f>
        <v/>
      </c>
      <c r="AO25" s="38">
        <f>AN25</f>
        <v/>
      </c>
    </row>
    <row r="26">
      <c r="A26" s="12" t="inlineStr">
        <is>
          <t>부채총계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부채총계</t>
        </is>
      </c>
      <c r="E26" s="18">
        <f>IFERROR(VLOOKUP($D26,BS연결,MATCH(E$1,BS연결H,0),0)/100,"")</f>
        <v/>
      </c>
      <c r="F26" s="37">
        <f>IFERROR(VLOOKUP($D26,BS연결,MATCH(F$1,BS연결H,0),0)/100,"")</f>
        <v/>
      </c>
      <c r="G26" s="18">
        <f>IFERROR(VLOOKUP($D26,BS연결,MATCH(G$1,BS연결H,0),0)/100,"")</f>
        <v/>
      </c>
      <c r="H26" s="18">
        <f>IFERROR(VLOOKUP($D26,BS연결,MATCH(H$1,BS연결H,0),0)/100,"")</f>
        <v/>
      </c>
      <c r="I26" s="18">
        <f>IFERROR(VLOOKUP($D26,BS연결,MATCH(I$1,BS연결H,0),0)/100,"")</f>
        <v/>
      </c>
      <c r="J26" s="18">
        <f>IFERROR(VLOOKUP($D26,BS연결,MATCH(J$1,BS연결H,0),0)/100,"")</f>
        <v/>
      </c>
      <c r="K26" s="37">
        <f>IFERROR(VLOOKUP($D26,BS연결,MATCH(K$1,BS연결H,0),0)/100,"")</f>
        <v/>
      </c>
      <c r="L26" s="18">
        <f>IFERROR(VLOOKUP($D26,BS연결,MATCH(L$1,BS연결H,0),0)/100,"")</f>
        <v/>
      </c>
      <c r="M26" s="18">
        <f>IFERROR(VLOOKUP($D26,BS연결,MATCH(M$1,BS연결H,0),0)/100,"")</f>
        <v/>
      </c>
      <c r="N26" s="18">
        <f>IFERROR(VLOOKUP($D26,BS연결,MATCH(N$1,BS연결H,0),0)/100,"")</f>
        <v/>
      </c>
      <c r="O26" s="18">
        <f>IFERROR(VLOOKUP($D26,BS연결,MATCH(O$1,BS연결H,0),0)/100,"")</f>
        <v/>
      </c>
      <c r="P26" s="37">
        <f>IFERROR(VLOOKUP($D26,BS연결,MATCH(P$1,BS연결H,0),0)/100,"")</f>
        <v/>
      </c>
      <c r="Q26" s="18">
        <f>IFERROR(VLOOKUP($D26,BS연결,MATCH(Q$1,BS연결H,0),0)/100,"")</f>
        <v/>
      </c>
      <c r="R26" s="18">
        <f>IFERROR(VLOOKUP($D26,BS연결,MATCH(R$1,BS연결H,0),0)/100,"")</f>
        <v/>
      </c>
      <c r="S26" s="18">
        <f>IFERROR(VLOOKUP($D26,BS연결,MATCH(S$1,BS연결H,0),0)/100,"")</f>
        <v/>
      </c>
      <c r="T26" s="18">
        <f>IFERROR(VLOOKUP($D26,BS연결,MATCH(T$1,BS연결H,0),0)/100,"")</f>
        <v/>
      </c>
      <c r="U26" s="37">
        <f>IFERROR(VLOOKUP($D26,BS연결,MATCH(U$1,BS연결H,0),0)/100,"")</f>
        <v/>
      </c>
      <c r="V26" s="18">
        <f>IFERROR(VLOOKUP($D26,BS연결,MATCH(V$1,BS연결H,0),0)/100,"")</f>
        <v/>
      </c>
      <c r="W26" s="18">
        <f>IFERROR(VLOOKUP($D26,BS연결,MATCH(W$1,BS연결H,0),0)/100,"")</f>
        <v/>
      </c>
      <c r="X26" s="18">
        <f>IFERROR(VLOOKUP($D26,BS연결,MATCH(X$1,BS연결H,0),0)/100,"")</f>
        <v/>
      </c>
      <c r="Y26" s="18">
        <f>IFERROR(VLOOKUP($D26,BS연결,MATCH(Y$1,BS연결H,0),0)/100,"")</f>
        <v/>
      </c>
      <c r="Z26" s="37">
        <f>IFERROR(VLOOKUP($D26,BS연결,MATCH(Z$1,BS연결H,0),0)/100,"")</f>
        <v/>
      </c>
      <c r="AA26" s="18">
        <f>IFERROR(VLOOKUP($D26,BS연결,MATCH(AA$1,BS연결H,0),0)/100,"")</f>
        <v/>
      </c>
      <c r="AB26" s="19">
        <f>IFERROR(VLOOKUP($D26,BS연결,MATCH(AB$1,BS연결H,0),0)/100,"")</f>
        <v/>
      </c>
      <c r="AC26" s="20">
        <f>IFERROR(AB26*(1+변수!AC33),"")</f>
        <v/>
      </c>
      <c r="AD26" s="20">
        <f>IFERROR(AC26*(1+변수!AD33),"")</f>
        <v/>
      </c>
      <c r="AE26" s="38">
        <f>AD26</f>
        <v/>
      </c>
      <c r="AF26" s="20">
        <f>IFERROR(AD26*(1+변수!AF33),"")</f>
        <v/>
      </c>
      <c r="AG26" s="20">
        <f>IFERROR(AF26*(1+변수!AG33),"")</f>
        <v/>
      </c>
      <c r="AH26" s="20">
        <f>IFERROR(AG26*(1+변수!AH33),"")</f>
        <v/>
      </c>
      <c r="AI26" s="20">
        <f>IFERROR(AH26*(1+변수!AI33),"")</f>
        <v/>
      </c>
      <c r="AJ26" s="38">
        <f>AI26</f>
        <v/>
      </c>
      <c r="AK26" s="20">
        <f>IFERROR(AI26*(1+변수!AK33),"")</f>
        <v/>
      </c>
      <c r="AL26" s="20">
        <f>IFERROR(AK26*(1+변수!AL33),"")</f>
        <v/>
      </c>
      <c r="AM26" s="20">
        <f>IFERROR(AL26*(1+변수!AM33),"")</f>
        <v/>
      </c>
      <c r="AN26" s="20">
        <f>IFERROR(AM26*(1+변수!AN33),"")</f>
        <v/>
      </c>
      <c r="AO26" s="38">
        <f>AN26</f>
        <v/>
      </c>
    </row>
    <row r="27">
      <c r="A27" s="12" t="inlineStr">
        <is>
          <t>자본총계</t>
        </is>
      </c>
      <c r="B27" t="inlineStr">
        <is>
          <t>재무상태</t>
        </is>
      </c>
      <c r="C27" t="inlineStr">
        <is>
          <t>억원</t>
        </is>
      </c>
      <c r="D27" t="inlineStr">
        <is>
          <t>자본총계</t>
        </is>
      </c>
      <c r="E27" s="18">
        <f>IFERROR(VLOOKUP($D27,BS연결,MATCH(E$1,BS연결H,0),0)/100,"")</f>
        <v/>
      </c>
      <c r="F27" s="37">
        <f>IFERROR(VLOOKUP($D27,BS연결,MATCH(F$1,BS연결H,0),0)/100,"")</f>
        <v/>
      </c>
      <c r="G27" s="18">
        <f>IFERROR(VLOOKUP($D27,BS연결,MATCH(G$1,BS연결H,0),0)/100,"")</f>
        <v/>
      </c>
      <c r="H27" s="18">
        <f>IFERROR(VLOOKUP($D27,BS연결,MATCH(H$1,BS연결H,0),0)/100,"")</f>
        <v/>
      </c>
      <c r="I27" s="18">
        <f>IFERROR(VLOOKUP($D27,BS연결,MATCH(I$1,BS연결H,0),0)/100,"")</f>
        <v/>
      </c>
      <c r="J27" s="18">
        <f>IFERROR(VLOOKUP($D27,BS연결,MATCH(J$1,BS연결H,0),0)/100,"")</f>
        <v/>
      </c>
      <c r="K27" s="37">
        <f>IFERROR(VLOOKUP($D27,BS연결,MATCH(K$1,BS연결H,0),0)/100,"")</f>
        <v/>
      </c>
      <c r="L27" s="18">
        <f>IFERROR(VLOOKUP($D27,BS연결,MATCH(L$1,BS연결H,0),0)/100,"")</f>
        <v/>
      </c>
      <c r="M27" s="18">
        <f>IFERROR(VLOOKUP($D27,BS연결,MATCH(M$1,BS연결H,0),0)/100,"")</f>
        <v/>
      </c>
      <c r="N27" s="18">
        <f>IFERROR(VLOOKUP($D27,BS연결,MATCH(N$1,BS연결H,0),0)/100,"")</f>
        <v/>
      </c>
      <c r="O27" s="18">
        <f>IFERROR(VLOOKUP($D27,BS연결,MATCH(O$1,BS연결H,0),0)/100,"")</f>
        <v/>
      </c>
      <c r="P27" s="37">
        <f>IFERROR(VLOOKUP($D27,BS연결,MATCH(P$1,BS연결H,0),0)/100,"")</f>
        <v/>
      </c>
      <c r="Q27" s="18">
        <f>IFERROR(VLOOKUP($D27,BS연결,MATCH(Q$1,BS연결H,0),0)/100,"")</f>
        <v/>
      </c>
      <c r="R27" s="18">
        <f>IFERROR(VLOOKUP($D27,BS연결,MATCH(R$1,BS연결H,0),0)/100,"")</f>
        <v/>
      </c>
      <c r="S27" s="18">
        <f>IFERROR(VLOOKUP($D27,BS연결,MATCH(S$1,BS연결H,0),0)/100,"")</f>
        <v/>
      </c>
      <c r="T27" s="18">
        <f>IFERROR(VLOOKUP($D27,BS연결,MATCH(T$1,BS연결H,0),0)/100,"")</f>
        <v/>
      </c>
      <c r="U27" s="37">
        <f>IFERROR(VLOOKUP($D27,BS연결,MATCH(U$1,BS연결H,0),0)/100,"")</f>
        <v/>
      </c>
      <c r="V27" s="18">
        <f>IFERROR(VLOOKUP($D27,BS연결,MATCH(V$1,BS연결H,0),0)/100,"")</f>
        <v/>
      </c>
      <c r="W27" s="18">
        <f>IFERROR(VLOOKUP($D27,BS연결,MATCH(W$1,BS연결H,0),0)/100,"")</f>
        <v/>
      </c>
      <c r="X27" s="18">
        <f>IFERROR(VLOOKUP($D27,BS연결,MATCH(X$1,BS연결H,0),0)/100,"")</f>
        <v/>
      </c>
      <c r="Y27" s="18">
        <f>IFERROR(VLOOKUP($D27,BS연결,MATCH(Y$1,BS연결H,0),0)/100,"")</f>
        <v/>
      </c>
      <c r="Z27" s="37">
        <f>IFERROR(VLOOKUP($D27,BS연결,MATCH(Z$1,BS연결H,0),0)/100,"")</f>
        <v/>
      </c>
      <c r="AA27" s="18">
        <f>IFERROR(VLOOKUP($D27,BS연결,MATCH(AA$1,BS연결H,0),0)/100,"")</f>
        <v/>
      </c>
      <c r="AB27" s="19">
        <f>IFERROR(VLOOKUP($D27,BS연결,MATCH(AB$1,BS연결H,0),0)/100,"")</f>
        <v/>
      </c>
      <c r="AC27" s="20">
        <f>IFERROR(AB27+AC20-변수!AC34,"")</f>
        <v/>
      </c>
      <c r="AD27" s="20">
        <f>IFERROR(AC27+AD20-변수!AD34,"")</f>
        <v/>
      </c>
      <c r="AE27" s="38">
        <f>AD27</f>
        <v/>
      </c>
      <c r="AF27" s="20">
        <f>IFERROR(AD27+AF20-변수!AF34,"")</f>
        <v/>
      </c>
      <c r="AG27" s="20">
        <f>IFERROR(AF27+AG20-변수!AG34,"")</f>
        <v/>
      </c>
      <c r="AH27" s="20">
        <f>IFERROR(AG27+AH20-변수!AH34,"")</f>
        <v/>
      </c>
      <c r="AI27" s="20">
        <f>IFERROR(AH27+AI20-변수!AI34,"")</f>
        <v/>
      </c>
      <c r="AJ27" s="38">
        <f>AI27</f>
        <v/>
      </c>
      <c r="AK27" s="20">
        <f>IFERROR(AI27+AK20-변수!AK34,"")</f>
        <v/>
      </c>
      <c r="AL27" s="20">
        <f>IFERROR(AK27+AL20-변수!AL34,"")</f>
        <v/>
      </c>
      <c r="AM27" s="20">
        <f>IFERROR(AL27+AM20-변수!AM34,"")</f>
        <v/>
      </c>
      <c r="AN27" s="20">
        <f>IFERROR(AM27+AN20-변수!AN34,"")</f>
        <v/>
      </c>
      <c r="AO27" s="38">
        <f>AN27</f>
        <v/>
      </c>
    </row>
    <row r="28">
      <c r="A28" s="12" t="inlineStr">
        <is>
          <t>지배주주지분</t>
        </is>
      </c>
      <c r="B28" t="inlineStr">
        <is>
          <t>재무상태</t>
        </is>
      </c>
      <c r="C28" t="inlineStr">
        <is>
          <t>억원</t>
        </is>
      </c>
      <c r="D28" t="inlineStr">
        <is>
          <t>지배주주지분</t>
        </is>
      </c>
      <c r="E28" s="18">
        <f>IFERROR(VLOOKUP($D28,BS연결,MATCH(E$1,BS연결H,0),0)/100,"")</f>
        <v/>
      </c>
      <c r="F28" s="37">
        <f>IFERROR(VLOOKUP($D28,BS연결,MATCH(F$1,BS연결H,0),0)/100,"")</f>
        <v/>
      </c>
      <c r="G28" s="18">
        <f>IFERROR(VLOOKUP($D28,BS연결,MATCH(G$1,BS연결H,0),0)/100,"")</f>
        <v/>
      </c>
      <c r="H28" s="18">
        <f>IFERROR(VLOOKUP($D28,BS연결,MATCH(H$1,BS연결H,0),0)/100,"")</f>
        <v/>
      </c>
      <c r="I28" s="18">
        <f>IFERROR(VLOOKUP($D28,BS연결,MATCH(I$1,BS연결H,0),0)/100,"")</f>
        <v/>
      </c>
      <c r="J28" s="18">
        <f>IFERROR(VLOOKUP($D28,BS연결,MATCH(J$1,BS연결H,0),0)/100,"")</f>
        <v/>
      </c>
      <c r="K28" s="37">
        <f>IFERROR(VLOOKUP($D28,BS연결,MATCH(K$1,BS연결H,0),0)/100,"")</f>
        <v/>
      </c>
      <c r="L28" s="18">
        <f>IFERROR(VLOOKUP($D28,BS연결,MATCH(L$1,BS연결H,0),0)/100,"")</f>
        <v/>
      </c>
      <c r="M28" s="18">
        <f>IFERROR(VLOOKUP($D28,BS연결,MATCH(M$1,BS연결H,0),0)/100,"")</f>
        <v/>
      </c>
      <c r="N28" s="18">
        <f>IFERROR(VLOOKUP($D28,BS연결,MATCH(N$1,BS연결H,0),0)/100,"")</f>
        <v/>
      </c>
      <c r="O28" s="18">
        <f>IFERROR(VLOOKUP($D28,BS연결,MATCH(O$1,BS연결H,0),0)/100,"")</f>
        <v/>
      </c>
      <c r="P28" s="37">
        <f>IFERROR(VLOOKUP($D28,BS연결,MATCH(P$1,BS연결H,0),0)/100,"")</f>
        <v/>
      </c>
      <c r="Q28" s="18">
        <f>IFERROR(VLOOKUP($D28,BS연결,MATCH(Q$1,BS연결H,0),0)/100,"")</f>
        <v/>
      </c>
      <c r="R28" s="18">
        <f>IFERROR(VLOOKUP($D28,BS연결,MATCH(R$1,BS연결H,0),0)/100,"")</f>
        <v/>
      </c>
      <c r="S28" s="18">
        <f>IFERROR(VLOOKUP($D28,BS연결,MATCH(S$1,BS연결H,0),0)/100,"")</f>
        <v/>
      </c>
      <c r="T28" s="18">
        <f>IFERROR(VLOOKUP($D28,BS연결,MATCH(T$1,BS연결H,0),0)/100,"")</f>
        <v/>
      </c>
      <c r="U28" s="37">
        <f>IFERROR(VLOOKUP($D28,BS연결,MATCH(U$1,BS연결H,0),0)/100,"")</f>
        <v/>
      </c>
      <c r="V28" s="18">
        <f>IFERROR(VLOOKUP($D28,BS연결,MATCH(V$1,BS연결H,0),0)/100,"")</f>
        <v/>
      </c>
      <c r="W28" s="18">
        <f>IFERROR(VLOOKUP($D28,BS연결,MATCH(W$1,BS연결H,0),0)/100,"")</f>
        <v/>
      </c>
      <c r="X28" s="18">
        <f>IFERROR(VLOOKUP($D28,BS연결,MATCH(X$1,BS연결H,0),0)/100,"")</f>
        <v/>
      </c>
      <c r="Y28" s="18">
        <f>IFERROR(VLOOKUP($D28,BS연결,MATCH(Y$1,BS연결H,0),0)/100,"")</f>
        <v/>
      </c>
      <c r="Z28" s="37">
        <f>IFERROR(VLOOKUP($D28,BS연결,MATCH(Z$1,BS연결H,0),0)/100,"")</f>
        <v/>
      </c>
      <c r="AA28" s="18">
        <f>IFERROR(VLOOKUP($D28,BS연결,MATCH(AA$1,BS연결H,0),0)/100,"")</f>
        <v/>
      </c>
      <c r="AB28" s="19">
        <f>IFERROR(VLOOKUP($D28,BS연결,MATCH(AB$1,BS연결H,0),0)/100,"")</f>
        <v/>
      </c>
      <c r="AC28" s="20">
        <f>IFERROR(AB28+AC21-변수!AC35,"")</f>
        <v/>
      </c>
      <c r="AD28" s="20">
        <f>IFERROR(AC28+AD21-변수!AD35,"")</f>
        <v/>
      </c>
      <c r="AE28" s="38">
        <f>AD28</f>
        <v/>
      </c>
      <c r="AF28" s="20">
        <f>IFERROR(AD28+AF21-변수!AF35,"")</f>
        <v/>
      </c>
      <c r="AG28" s="20">
        <f>IFERROR(AF28+AG21-변수!AG35,"")</f>
        <v/>
      </c>
      <c r="AH28" s="20">
        <f>IFERROR(AG28+AH21-변수!AH35,"")</f>
        <v/>
      </c>
      <c r="AI28" s="20">
        <f>IFERROR(AH28+AI21-변수!AI35,"")</f>
        <v/>
      </c>
      <c r="AJ28" s="38">
        <f>AI28</f>
        <v/>
      </c>
      <c r="AK28" s="20">
        <f>IFERROR(AI28+AK21-변수!AK35,"")</f>
        <v/>
      </c>
      <c r="AL28" s="20">
        <f>IFERROR(AK28+AL21-변수!AL35,"")</f>
        <v/>
      </c>
      <c r="AM28" s="20">
        <f>IFERROR(AL28+AM21-변수!AM35,"")</f>
        <v/>
      </c>
      <c r="AN28" s="20">
        <f>IFERROR(AM28+AN21-변수!AN35,"")</f>
        <v/>
      </c>
      <c r="AO28" s="38">
        <f>AN28</f>
        <v/>
      </c>
    </row>
    <row r="29">
      <c r="A29" s="12" t="inlineStr">
        <is>
          <t>총차입금</t>
        </is>
      </c>
      <c r="B29" t="inlineStr">
        <is>
          <t>재무상태</t>
        </is>
      </c>
      <c r="C29" t="inlineStr">
        <is>
          <t>억원</t>
        </is>
      </c>
      <c r="D29" t="inlineStr">
        <is>
          <t>총차입금</t>
        </is>
      </c>
      <c r="E29" s="18">
        <f>IFERROR(VLOOKUP($D29,BS연결,MATCH(E$1,BS연결H,0),0)/100,"")</f>
        <v/>
      </c>
      <c r="F29" s="37">
        <f>IFERROR(VLOOKUP($D29,BS연결,MATCH(F$1,BS연결H,0),0)/100,"")</f>
        <v/>
      </c>
      <c r="G29" s="18">
        <f>IFERROR(VLOOKUP($D29,BS연결,MATCH(G$1,BS연결H,0),0)/100,"")</f>
        <v/>
      </c>
      <c r="H29" s="18">
        <f>IFERROR(VLOOKUP($D29,BS연결,MATCH(H$1,BS연결H,0),0)/100,"")</f>
        <v/>
      </c>
      <c r="I29" s="18">
        <f>IFERROR(VLOOKUP($D29,BS연결,MATCH(I$1,BS연결H,0),0)/100,"")</f>
        <v/>
      </c>
      <c r="J29" s="18">
        <f>IFERROR(VLOOKUP($D29,BS연결,MATCH(J$1,BS연결H,0),0)/100,"")</f>
        <v/>
      </c>
      <c r="K29" s="37">
        <f>IFERROR(VLOOKUP($D29,BS연결,MATCH(K$1,BS연결H,0),0)/100,"")</f>
        <v/>
      </c>
      <c r="L29" s="18">
        <f>IFERROR(VLOOKUP($D29,BS연결,MATCH(L$1,BS연결H,0),0)/100,"")</f>
        <v/>
      </c>
      <c r="M29" s="18">
        <f>IFERROR(VLOOKUP($D29,BS연결,MATCH(M$1,BS연결H,0),0)/100,"")</f>
        <v/>
      </c>
      <c r="N29" s="18">
        <f>IFERROR(VLOOKUP($D29,BS연결,MATCH(N$1,BS연결H,0),0)/100,"")</f>
        <v/>
      </c>
      <c r="O29" s="18">
        <f>IFERROR(VLOOKUP($D29,BS연결,MATCH(O$1,BS연결H,0),0)/100,"")</f>
        <v/>
      </c>
      <c r="P29" s="37">
        <f>IFERROR(VLOOKUP($D29,BS연결,MATCH(P$1,BS연결H,0),0)/100,"")</f>
        <v/>
      </c>
      <c r="Q29" s="18">
        <f>IFERROR(VLOOKUP($D29,BS연결,MATCH(Q$1,BS연결H,0),0)/100,"")</f>
        <v/>
      </c>
      <c r="R29" s="18">
        <f>IFERROR(VLOOKUP($D29,BS연결,MATCH(R$1,BS연결H,0),0)/100,"")</f>
        <v/>
      </c>
      <c r="S29" s="18">
        <f>IFERROR(VLOOKUP($D29,BS연결,MATCH(S$1,BS연결H,0),0)/100,"")</f>
        <v/>
      </c>
      <c r="T29" s="18">
        <f>IFERROR(VLOOKUP($D29,BS연결,MATCH(T$1,BS연결H,0),0)/100,"")</f>
        <v/>
      </c>
      <c r="U29" s="37">
        <f>IFERROR(VLOOKUP($D29,BS연결,MATCH(U$1,BS연결H,0),0)/100,"")</f>
        <v/>
      </c>
      <c r="V29" s="18">
        <f>IFERROR(VLOOKUP($D29,BS연결,MATCH(V$1,BS연결H,0),0)/100,"")</f>
        <v/>
      </c>
      <c r="W29" s="18">
        <f>IFERROR(VLOOKUP($D29,BS연결,MATCH(W$1,BS연결H,0),0)/100,"")</f>
        <v/>
      </c>
      <c r="X29" s="18">
        <f>IFERROR(VLOOKUP($D29,BS연결,MATCH(X$1,BS연결H,0),0)/100,"")</f>
        <v/>
      </c>
      <c r="Y29" s="18">
        <f>IFERROR(VLOOKUP($D29,BS연결,MATCH(Y$1,BS연결H,0),0)/100,"")</f>
        <v/>
      </c>
      <c r="Z29" s="37">
        <f>IFERROR(VLOOKUP($D29,BS연결,MATCH(Z$1,BS연결H,0),0)/100,"")</f>
        <v/>
      </c>
      <c r="AA29" s="18">
        <f>IFERROR(VLOOKUP($D29,BS연결,MATCH(AA$1,BS연결H,0),0)/100,"")</f>
        <v/>
      </c>
      <c r="AB29" s="19">
        <f>IFERROR(VLOOKUP($D29,BS연결,MATCH(AB$1,BS연결H,0),0)/100,"")</f>
        <v/>
      </c>
      <c r="AC29" s="20">
        <f>IFERROR(AB29*(1+변수!AC36),"")</f>
        <v/>
      </c>
      <c r="AD29" s="20">
        <f>IFERROR(AC29*(1+변수!AD36),"")</f>
        <v/>
      </c>
      <c r="AE29" s="38">
        <f>AD29</f>
        <v/>
      </c>
      <c r="AF29" s="20">
        <f>IFERROR(AD29*(1+변수!AF36),"")</f>
        <v/>
      </c>
      <c r="AG29" s="20">
        <f>IFERROR(AF29*(1+변수!AG36),"")</f>
        <v/>
      </c>
      <c r="AH29" s="20">
        <f>IFERROR(AG29*(1+변수!AH36),"")</f>
        <v/>
      </c>
      <c r="AI29" s="20">
        <f>IFERROR(AH29*(1+변수!AI36),"")</f>
        <v/>
      </c>
      <c r="AJ29" s="38">
        <f>AI29</f>
        <v/>
      </c>
      <c r="AK29" s="20">
        <f>IFERROR(AI29*(1+변수!AK36),"")</f>
        <v/>
      </c>
      <c r="AL29" s="20">
        <f>IFERROR(AK29*(1+변수!AL36),"")</f>
        <v/>
      </c>
      <c r="AM29" s="20">
        <f>IFERROR(AL29*(1+변수!AM36),"")</f>
        <v/>
      </c>
      <c r="AN29" s="20">
        <f>IFERROR(AM29*(1+변수!AN36),"")</f>
        <v/>
      </c>
      <c r="AO29" s="38">
        <f>AN29</f>
        <v/>
      </c>
    </row>
    <row r="30">
      <c r="A30" s="12" t="inlineStr">
        <is>
          <t>순차입금</t>
        </is>
      </c>
      <c r="B30" t="inlineStr">
        <is>
          <t>재무상태</t>
        </is>
      </c>
      <c r="C30" t="inlineStr">
        <is>
          <t>억원</t>
        </is>
      </c>
      <c r="D30" t="inlineStr">
        <is>
          <t>순차입금</t>
        </is>
      </c>
      <c r="E30" s="18">
        <f>IFERROR(VLOOKUP($D30,BS연결,MATCH(E$1,BS연결H,0),0)/100,"")</f>
        <v/>
      </c>
      <c r="F30" s="37">
        <f>IFERROR(VLOOKUP($D30,BS연결,MATCH(F$1,BS연결H,0),0)/100,"")</f>
        <v/>
      </c>
      <c r="G30" s="18">
        <f>IFERROR(VLOOKUP($D30,BS연결,MATCH(G$1,BS연결H,0),0)/100,"")</f>
        <v/>
      </c>
      <c r="H30" s="18">
        <f>IFERROR(VLOOKUP($D30,BS연결,MATCH(H$1,BS연결H,0),0)/100,"")</f>
        <v/>
      </c>
      <c r="I30" s="18">
        <f>IFERROR(VLOOKUP($D30,BS연결,MATCH(I$1,BS연결H,0),0)/100,"")</f>
        <v/>
      </c>
      <c r="J30" s="18">
        <f>IFERROR(VLOOKUP($D30,BS연결,MATCH(J$1,BS연결H,0),0)/100,"")</f>
        <v/>
      </c>
      <c r="K30" s="37">
        <f>IFERROR(VLOOKUP($D30,BS연결,MATCH(K$1,BS연결H,0),0)/100,"")</f>
        <v/>
      </c>
      <c r="L30" s="18">
        <f>IFERROR(VLOOKUP($D30,BS연결,MATCH(L$1,BS연결H,0),0)/100,"")</f>
        <v/>
      </c>
      <c r="M30" s="18">
        <f>IFERROR(VLOOKUP($D30,BS연결,MATCH(M$1,BS연결H,0),0)/100,"")</f>
        <v/>
      </c>
      <c r="N30" s="18">
        <f>IFERROR(VLOOKUP($D30,BS연결,MATCH(N$1,BS연결H,0),0)/100,"")</f>
        <v/>
      </c>
      <c r="O30" s="18">
        <f>IFERROR(VLOOKUP($D30,BS연결,MATCH(O$1,BS연결H,0),0)/100,"")</f>
        <v/>
      </c>
      <c r="P30" s="37">
        <f>IFERROR(VLOOKUP($D30,BS연결,MATCH(P$1,BS연결H,0),0)/100,"")</f>
        <v/>
      </c>
      <c r="Q30" s="18">
        <f>IFERROR(VLOOKUP($D30,BS연결,MATCH(Q$1,BS연결H,0),0)/100,"")</f>
        <v/>
      </c>
      <c r="R30" s="18">
        <f>IFERROR(VLOOKUP($D30,BS연결,MATCH(R$1,BS연결H,0),0)/100,"")</f>
        <v/>
      </c>
      <c r="S30" s="18">
        <f>IFERROR(VLOOKUP($D30,BS연결,MATCH(S$1,BS연결H,0),0)/100,"")</f>
        <v/>
      </c>
      <c r="T30" s="18">
        <f>IFERROR(VLOOKUP($D30,BS연결,MATCH(T$1,BS연결H,0),0)/100,"")</f>
        <v/>
      </c>
      <c r="U30" s="37">
        <f>IFERROR(VLOOKUP($D30,BS연결,MATCH(U$1,BS연결H,0),0)/100,"")</f>
        <v/>
      </c>
      <c r="V30" s="18">
        <f>IFERROR(VLOOKUP($D30,BS연결,MATCH(V$1,BS연결H,0),0)/100,"")</f>
        <v/>
      </c>
      <c r="W30" s="18">
        <f>IFERROR(VLOOKUP($D30,BS연결,MATCH(W$1,BS연결H,0),0)/100,"")</f>
        <v/>
      </c>
      <c r="X30" s="18">
        <f>IFERROR(VLOOKUP($D30,BS연결,MATCH(X$1,BS연결H,0),0)/100,"")</f>
        <v/>
      </c>
      <c r="Y30" s="18">
        <f>IFERROR(VLOOKUP($D30,BS연결,MATCH(Y$1,BS연결H,0),0)/100,"")</f>
        <v/>
      </c>
      <c r="Z30" s="37">
        <f>IFERROR(VLOOKUP($D30,BS연결,MATCH(Z$1,BS연결H,0),0)/100,"")</f>
        <v/>
      </c>
      <c r="AA30" s="18">
        <f>IFERROR(VLOOKUP($D30,BS연결,MATCH(AA$1,BS연결H,0),0)/100,"")</f>
        <v/>
      </c>
      <c r="AB30" s="19">
        <f>IFERROR(VLOOKUP($D30,BS연결,MATCH(AB$1,BS연결H,0),0)/100,"")</f>
        <v/>
      </c>
      <c r="AC30" s="20">
        <f>IFERROR(AB30*(1+변수!AC37),"")</f>
        <v/>
      </c>
      <c r="AD30" s="20">
        <f>IFERROR(AC30*(1+변수!AD37),"")</f>
        <v/>
      </c>
      <c r="AE30" s="38">
        <f>AD30</f>
        <v/>
      </c>
      <c r="AF30" s="20">
        <f>IFERROR(AD30*(1+변수!AF37),"")</f>
        <v/>
      </c>
      <c r="AG30" s="20">
        <f>IFERROR(AF30*(1+변수!AG37),"")</f>
        <v/>
      </c>
      <c r="AH30" s="20">
        <f>IFERROR(AG30*(1+변수!AH37),"")</f>
        <v/>
      </c>
      <c r="AI30" s="20">
        <f>IFERROR(AH30*(1+변수!AI37),"")</f>
        <v/>
      </c>
      <c r="AJ30" s="38">
        <f>AI30</f>
        <v/>
      </c>
      <c r="AK30" s="20">
        <f>IFERROR(AI30*(1+변수!AK37),"")</f>
        <v/>
      </c>
      <c r="AL30" s="20">
        <f>IFERROR(AK30*(1+변수!AL37),"")</f>
        <v/>
      </c>
      <c r="AM30" s="20">
        <f>IFERROR(AL30*(1+변수!AM37),"")</f>
        <v/>
      </c>
      <c r="AN30" s="20">
        <f>IFERROR(AM30*(1+변수!AN37),"")</f>
        <v/>
      </c>
      <c r="AO30" s="38">
        <f>AN30</f>
        <v/>
      </c>
    </row>
    <row r="31">
      <c r="A31" s="12" t="inlineStr">
        <is>
          <t>이자발생자산</t>
        </is>
      </c>
      <c r="B31" t="inlineStr">
        <is>
          <t>재무상태</t>
        </is>
      </c>
      <c r="C31" t="inlineStr">
        <is>
          <t>억원</t>
        </is>
      </c>
      <c r="D31" t="inlineStr">
        <is>
          <t>이자발생자산</t>
        </is>
      </c>
      <c r="E31" s="18">
        <f>IFERROR(VLOOKUP($D31,BS연결,MATCH(E$1,BS연결H,0),0)/100,"")</f>
        <v/>
      </c>
      <c r="F31" s="37">
        <f>IFERROR(VLOOKUP($D31,BS연결,MATCH(F$1,BS연결H,0),0)/100,"")</f>
        <v/>
      </c>
      <c r="G31" s="18">
        <f>IFERROR(VLOOKUP($D31,BS연결,MATCH(G$1,BS연결H,0),0)/100,"")</f>
        <v/>
      </c>
      <c r="H31" s="18">
        <f>IFERROR(VLOOKUP($D31,BS연결,MATCH(H$1,BS연결H,0),0)/100,"")</f>
        <v/>
      </c>
      <c r="I31" s="18">
        <f>IFERROR(VLOOKUP($D31,BS연결,MATCH(I$1,BS연결H,0),0)/100,"")</f>
        <v/>
      </c>
      <c r="J31" s="18">
        <f>IFERROR(VLOOKUP($D31,BS연결,MATCH(J$1,BS연결H,0),0)/100,"")</f>
        <v/>
      </c>
      <c r="K31" s="37">
        <f>IFERROR(VLOOKUP($D31,BS연결,MATCH(K$1,BS연결H,0),0)/100,"")</f>
        <v/>
      </c>
      <c r="L31" s="18">
        <f>IFERROR(VLOOKUP($D31,BS연결,MATCH(L$1,BS연결H,0),0)/100,"")</f>
        <v/>
      </c>
      <c r="M31" s="18">
        <f>IFERROR(VLOOKUP($D31,BS연결,MATCH(M$1,BS연결H,0),0)/100,"")</f>
        <v/>
      </c>
      <c r="N31" s="18">
        <f>IFERROR(VLOOKUP($D31,BS연결,MATCH(N$1,BS연결H,0),0)/100,"")</f>
        <v/>
      </c>
      <c r="O31" s="18">
        <f>IFERROR(VLOOKUP($D31,BS연결,MATCH(O$1,BS연결H,0),0)/100,"")</f>
        <v/>
      </c>
      <c r="P31" s="37">
        <f>IFERROR(VLOOKUP($D31,BS연결,MATCH(P$1,BS연결H,0),0)/100,"")</f>
        <v/>
      </c>
      <c r="Q31" s="18">
        <f>IFERROR(VLOOKUP($D31,BS연결,MATCH(Q$1,BS연결H,0),0)/100,"")</f>
        <v/>
      </c>
      <c r="R31" s="18">
        <f>IFERROR(VLOOKUP($D31,BS연결,MATCH(R$1,BS연결H,0),0)/100,"")</f>
        <v/>
      </c>
      <c r="S31" s="18">
        <f>IFERROR(VLOOKUP($D31,BS연결,MATCH(S$1,BS연결H,0),0)/100,"")</f>
        <v/>
      </c>
      <c r="T31" s="18">
        <f>IFERROR(VLOOKUP($D31,BS연결,MATCH(T$1,BS연결H,0),0)/100,"")</f>
        <v/>
      </c>
      <c r="U31" s="37">
        <f>IFERROR(VLOOKUP($D31,BS연결,MATCH(U$1,BS연결H,0),0)/100,"")</f>
        <v/>
      </c>
      <c r="V31" s="18">
        <f>IFERROR(VLOOKUP($D31,BS연결,MATCH(V$1,BS연결H,0),0)/100,"")</f>
        <v/>
      </c>
      <c r="W31" s="18">
        <f>IFERROR(VLOOKUP($D31,BS연결,MATCH(W$1,BS연결H,0),0)/100,"")</f>
        <v/>
      </c>
      <c r="X31" s="18">
        <f>IFERROR(VLOOKUP($D31,BS연결,MATCH(X$1,BS연결H,0),0)/100,"")</f>
        <v/>
      </c>
      <c r="Y31" s="18">
        <f>IFERROR(VLOOKUP($D31,BS연결,MATCH(Y$1,BS연결H,0),0)/100,"")</f>
        <v/>
      </c>
      <c r="Z31" s="37">
        <f>IFERROR(VLOOKUP($D31,BS연결,MATCH(Z$1,BS연결H,0),0)/100,"")</f>
        <v/>
      </c>
      <c r="AA31" s="18">
        <f>IFERROR(VLOOKUP($D31,BS연결,MATCH(AA$1,BS연결H,0),0)/100,"")</f>
        <v/>
      </c>
      <c r="AB31" s="19">
        <f>IFERROR(VLOOKUP($D31,BS연결,MATCH(AB$1,BS연결H,0),0)/100,"")</f>
        <v/>
      </c>
      <c r="AC31" s="20">
        <f>IFERROR(AB31*(1+변수!AC38),"")</f>
        <v/>
      </c>
      <c r="AD31" s="20">
        <f>IFERROR(AC31*(1+변수!AD38),"")</f>
        <v/>
      </c>
      <c r="AE31" s="38">
        <f>AD31</f>
        <v/>
      </c>
      <c r="AF31" s="20">
        <f>IFERROR(AD31*(1+변수!AF38),"")</f>
        <v/>
      </c>
      <c r="AG31" s="20">
        <f>IFERROR(AF31*(1+변수!AG38),"")</f>
        <v/>
      </c>
      <c r="AH31" s="20">
        <f>IFERROR(AG31*(1+변수!AH38),"")</f>
        <v/>
      </c>
      <c r="AI31" s="20">
        <f>IFERROR(AH31*(1+변수!AI38),"")</f>
        <v/>
      </c>
      <c r="AJ31" s="38">
        <f>AI31</f>
        <v/>
      </c>
      <c r="AK31" s="20">
        <f>IFERROR(AI31*(1+변수!AK38),"")</f>
        <v/>
      </c>
      <c r="AL31" s="20">
        <f>IFERROR(AK31*(1+변수!AL38),"")</f>
        <v/>
      </c>
      <c r="AM31" s="20">
        <f>IFERROR(AL31*(1+변수!AM38),"")</f>
        <v/>
      </c>
      <c r="AN31" s="20">
        <f>IFERROR(AM31*(1+변수!AN38),"")</f>
        <v/>
      </c>
      <c r="AO31" s="38">
        <f>AN31</f>
        <v/>
      </c>
    </row>
    <row r="32">
      <c r="A32" s="12" t="inlineStr">
        <is>
          <t>현금및현금성자산</t>
        </is>
      </c>
      <c r="B32" t="inlineStr">
        <is>
          <t>재무상태</t>
        </is>
      </c>
      <c r="C32" t="inlineStr">
        <is>
          <t>억원</t>
        </is>
      </c>
      <c r="D32" t="inlineStr">
        <is>
          <t>현금및현금성자산</t>
        </is>
      </c>
      <c r="E32" s="18">
        <f>IFERROR(VLOOKUP($D32,BS연결,MATCH(E$1,BS연결H,0),0)/100,"")</f>
        <v/>
      </c>
      <c r="F32" s="37">
        <f>IFERROR(VLOOKUP($D32,BS연결,MATCH(F$1,BS연결H,0),0)/100,"")</f>
        <v/>
      </c>
      <c r="G32" s="18">
        <f>IFERROR(VLOOKUP($D32,BS연결,MATCH(G$1,BS연결H,0),0)/100,"")</f>
        <v/>
      </c>
      <c r="H32" s="18">
        <f>IFERROR(VLOOKUP($D32,BS연결,MATCH(H$1,BS연결H,0),0)/100,"")</f>
        <v/>
      </c>
      <c r="I32" s="18">
        <f>IFERROR(VLOOKUP($D32,BS연결,MATCH(I$1,BS연결H,0),0)/100,"")</f>
        <v/>
      </c>
      <c r="J32" s="18">
        <f>IFERROR(VLOOKUP($D32,BS연결,MATCH(J$1,BS연결H,0),0)/100,"")</f>
        <v/>
      </c>
      <c r="K32" s="37">
        <f>IFERROR(VLOOKUP($D32,BS연결,MATCH(K$1,BS연결H,0),0)/100,"")</f>
        <v/>
      </c>
      <c r="L32" s="18">
        <f>IFERROR(VLOOKUP($D32,BS연결,MATCH(L$1,BS연결H,0),0)/100,"")</f>
        <v/>
      </c>
      <c r="M32" s="18">
        <f>IFERROR(VLOOKUP($D32,BS연결,MATCH(M$1,BS연결H,0),0)/100,"")</f>
        <v/>
      </c>
      <c r="N32" s="18">
        <f>IFERROR(VLOOKUP($D32,BS연결,MATCH(N$1,BS연결H,0),0)/100,"")</f>
        <v/>
      </c>
      <c r="O32" s="18">
        <f>IFERROR(VLOOKUP($D32,BS연결,MATCH(O$1,BS연결H,0),0)/100,"")</f>
        <v/>
      </c>
      <c r="P32" s="37">
        <f>IFERROR(VLOOKUP($D32,BS연결,MATCH(P$1,BS연결H,0),0)/100,"")</f>
        <v/>
      </c>
      <c r="Q32" s="18">
        <f>IFERROR(VLOOKUP($D32,BS연결,MATCH(Q$1,BS연결H,0),0)/100,"")</f>
        <v/>
      </c>
      <c r="R32" s="18">
        <f>IFERROR(VLOOKUP($D32,BS연결,MATCH(R$1,BS연결H,0),0)/100,"")</f>
        <v/>
      </c>
      <c r="S32" s="18">
        <f>IFERROR(VLOOKUP($D32,BS연결,MATCH(S$1,BS연결H,0),0)/100,"")</f>
        <v/>
      </c>
      <c r="T32" s="18">
        <f>IFERROR(VLOOKUP($D32,BS연결,MATCH(T$1,BS연결H,0),0)/100,"")</f>
        <v/>
      </c>
      <c r="U32" s="37">
        <f>IFERROR(VLOOKUP($D32,BS연결,MATCH(U$1,BS연결H,0),0)/100,"")</f>
        <v/>
      </c>
      <c r="V32" s="18">
        <f>IFERROR(VLOOKUP($D32,BS연결,MATCH(V$1,BS연결H,0),0)/100,"")</f>
        <v/>
      </c>
      <c r="W32" s="18">
        <f>IFERROR(VLOOKUP($D32,BS연결,MATCH(W$1,BS연결H,0),0)/100,"")</f>
        <v/>
      </c>
      <c r="X32" s="18">
        <f>IFERROR(VLOOKUP($D32,BS연결,MATCH(X$1,BS연결H,0),0)/100,"")</f>
        <v/>
      </c>
      <c r="Y32" s="18">
        <f>IFERROR(VLOOKUP($D32,BS연결,MATCH(Y$1,BS연결H,0),0)/100,"")</f>
        <v/>
      </c>
      <c r="Z32" s="37">
        <f>IFERROR(VLOOKUP($D32,BS연결,MATCH(Z$1,BS연결H,0),0)/100,"")</f>
        <v/>
      </c>
      <c r="AA32" s="18">
        <f>IFERROR(VLOOKUP($D32,BS연결,MATCH(AA$1,BS연결H,0),0)/100,"")</f>
        <v/>
      </c>
      <c r="AB32" s="19">
        <f>IFERROR(VLOOKUP($D32,BS연결,MATCH(AB$1,BS연결H,0),0)/100,"")</f>
        <v/>
      </c>
      <c r="AC32" s="20" t="n"/>
      <c r="AD32" s="20" t="n"/>
      <c r="AE32" s="38">
        <f>AD32</f>
        <v/>
      </c>
      <c r="AF32" s="20" t="n"/>
      <c r="AG32" s="20" t="n"/>
      <c r="AH32" s="20" t="n"/>
      <c r="AI32" s="20" t="n"/>
      <c r="AJ32" s="38">
        <f>AI32</f>
        <v/>
      </c>
      <c r="AK32" s="20" t="n"/>
      <c r="AL32" s="20" t="n"/>
      <c r="AM32" s="20" t="n"/>
      <c r="AN32" s="20" t="n"/>
      <c r="AO32" s="38">
        <f>AN32</f>
        <v/>
      </c>
    </row>
    <row r="33">
      <c r="A33" s="12" t="inlineStr">
        <is>
          <t>CAPEX</t>
        </is>
      </c>
      <c r="B33" t="inlineStr">
        <is>
          <t>현금흐름</t>
        </is>
      </c>
      <c r="C33" t="inlineStr">
        <is>
          <t>억원</t>
        </is>
      </c>
      <c r="D33" t="inlineStr">
        <is>
          <t>CAPEX</t>
        </is>
      </c>
      <c r="E33" s="18">
        <f>IFERROR(VLOOKUP($D33,BS연결,MATCH(E$1,BS연결H,0),0)/100,"")</f>
        <v/>
      </c>
      <c r="F33" s="37" t="n"/>
      <c r="G33" s="18">
        <f>IFERROR(VLOOKUP($D33,BS연결,MATCH(G$1,BS연결H,0),0)/100,"")</f>
        <v/>
      </c>
      <c r="H33" s="18">
        <f>IFERROR(VLOOKUP($D33,BS연결,MATCH(H$1,BS연결H,0),0)/100,"")</f>
        <v/>
      </c>
      <c r="I33" s="18">
        <f>IFERROR(VLOOKUP($D33,BS연결,MATCH(I$1,BS연결H,0),0)/100,"")</f>
        <v/>
      </c>
      <c r="J33" s="18">
        <f>IFERROR(VLOOKUP($D33,BS연결,MATCH(J$1,BS연결H,0),0)/100,"")</f>
        <v/>
      </c>
      <c r="K33" s="37">
        <f>IFERROR(VLOOKUP($D33,BS연결,MATCH(K$1,BS연결H,0),0)/100,"")</f>
        <v/>
      </c>
      <c r="L33" s="18">
        <f>IFERROR(VLOOKUP($D33,BS연결,MATCH(L$1,BS연결H,0),0)/100,"")</f>
        <v/>
      </c>
      <c r="M33" s="18">
        <f>IFERROR(VLOOKUP($D33,BS연결,MATCH(M$1,BS연결H,0),0)/100,"")</f>
        <v/>
      </c>
      <c r="N33" s="18">
        <f>IFERROR(VLOOKUP($D33,BS연결,MATCH(N$1,BS연결H,0),0)/100,"")</f>
        <v/>
      </c>
      <c r="O33" s="18">
        <f>IFERROR(VLOOKUP($D33,BS연결,MATCH(O$1,BS연결H,0),0)/100,"")</f>
        <v/>
      </c>
      <c r="P33" s="37">
        <f>IFERROR(VLOOKUP($D33,BS연결,MATCH(P$1,BS연결H,0),0)/100,"")</f>
        <v/>
      </c>
      <c r="Q33" s="18">
        <f>IFERROR(VLOOKUP($D33,BS연결,MATCH(Q$1,BS연결H,0),0)/100,"")</f>
        <v/>
      </c>
      <c r="R33" s="18">
        <f>IFERROR(VLOOKUP($D33,BS연결,MATCH(R$1,BS연결H,0),0)/100,"")</f>
        <v/>
      </c>
      <c r="S33" s="18">
        <f>IFERROR(VLOOKUP($D33,BS연결,MATCH(S$1,BS연결H,0),0)/100,"")</f>
        <v/>
      </c>
      <c r="T33" s="18">
        <f>IFERROR(VLOOKUP($D33,BS연결,MATCH(T$1,BS연결H,0),0)/100,"")</f>
        <v/>
      </c>
      <c r="U33" s="37">
        <f>IFERROR(VLOOKUP($D33,BS연결,MATCH(U$1,BS연결H,0),0)/100,"")</f>
        <v/>
      </c>
      <c r="V33" s="18">
        <f>IFERROR(VLOOKUP($D33,BS연결,MATCH(V$1,BS연결H,0),0)/100,"")</f>
        <v/>
      </c>
      <c r="W33" s="18">
        <f>IFERROR(VLOOKUP($D33,BS연결,MATCH(W$1,BS연결H,0),0)/100,"")</f>
        <v/>
      </c>
      <c r="X33" s="18">
        <f>IFERROR(VLOOKUP($D33,BS연결,MATCH(X$1,BS연결H,0),0)/100,"")</f>
        <v/>
      </c>
      <c r="Y33" s="18">
        <f>IFERROR(VLOOKUP($D33,BS연결,MATCH(Y$1,BS연결H,0),0)/100,"")</f>
        <v/>
      </c>
      <c r="Z33" s="37">
        <f>IFERROR(VLOOKUP($D33,BS연결,MATCH(Z$1,BS연결H,0),0)/100,"")</f>
        <v/>
      </c>
      <c r="AA33" s="18">
        <f>IFERROR(VLOOKUP($D33,BS연결,MATCH(AA$1,BS연결H,0),0)/100,"")</f>
        <v/>
      </c>
      <c r="AB33" s="19">
        <f>IFERROR(VLOOKUP($D33,BS연결,MATCH(AB$1,BS연결H,0),0)/100,"")</f>
        <v/>
      </c>
      <c r="AC33" s="20">
        <f>IFERROR(X33*(1+변수!AC40),"")</f>
        <v/>
      </c>
      <c r="AD33" s="20">
        <f>IFERROR(Y33*(1+변수!AD40),"")</f>
        <v/>
      </c>
      <c r="AE33" s="38">
        <f>SUM(AA33:AD33)</f>
        <v/>
      </c>
      <c r="AF33" s="20">
        <f>IFERROR(AA33*(1+변수!AF40),"")</f>
        <v/>
      </c>
      <c r="AG33" s="20">
        <f>IFERROR(AB33*(1+변수!AG40),"")</f>
        <v/>
      </c>
      <c r="AH33" s="20">
        <f>IFERROR(AC33*(1+변수!AH40),"")</f>
        <v/>
      </c>
      <c r="AI33" s="20">
        <f>IFERROR(AD33*(1+변수!AI40),"")</f>
        <v/>
      </c>
      <c r="AJ33" s="38">
        <f>SUM(AF33:AI33)</f>
        <v/>
      </c>
      <c r="AK33" s="20">
        <f>IFERROR(AF33*(1+변수!AK40),"")</f>
        <v/>
      </c>
      <c r="AL33" s="20">
        <f>IFERROR(AG33*(1+변수!AL40),"")</f>
        <v/>
      </c>
      <c r="AM33" s="20">
        <f>IFERROR(AH33*(1+변수!AM40),"")</f>
        <v/>
      </c>
      <c r="AN33" s="20">
        <f>IFERROR(AI33*(1+변수!AN40),"")</f>
        <v/>
      </c>
      <c r="AO33" s="38">
        <f>SUM(AK33:AN33)</f>
        <v/>
      </c>
    </row>
    <row r="34">
      <c r="A34" s="12" t="inlineStr">
        <is>
          <t>영업활동현금흐름</t>
        </is>
      </c>
      <c r="B34" t="inlineStr">
        <is>
          <t>현금흐름</t>
        </is>
      </c>
      <c r="C34" t="inlineStr">
        <is>
          <t>억원</t>
        </is>
      </c>
      <c r="D34" t="inlineStr">
        <is>
          <t>영업활동으로인한현금흐름</t>
        </is>
      </c>
      <c r="E34" s="18">
        <f>IFERROR(VLOOKUP($D34,BS연결,MATCH(E$1,BS연결H,0),0)/100,"")</f>
        <v/>
      </c>
      <c r="F34" s="37" t="n"/>
      <c r="G34" s="18">
        <f>IFERROR(VLOOKUP($D34,BS연결,MATCH(G$1,BS연결H,0),0)/100,"")</f>
        <v/>
      </c>
      <c r="H34" s="18">
        <f>IFERROR(VLOOKUP($D34,BS연결,MATCH(H$1,BS연결H,0),0)/100,"")</f>
        <v/>
      </c>
      <c r="I34" s="18">
        <f>IFERROR(VLOOKUP($D34,BS연결,MATCH(I$1,BS연결H,0),0)/100,"")</f>
        <v/>
      </c>
      <c r="J34" s="18">
        <f>IFERROR(VLOOKUP($D34,BS연결,MATCH(J$1,BS연결H,0),0)/100,"")</f>
        <v/>
      </c>
      <c r="K34" s="37">
        <f>IFERROR(VLOOKUP($D34,BS연결,MATCH(K$1,BS연결H,0),0)/100,"")</f>
        <v/>
      </c>
      <c r="L34" s="18">
        <f>IFERROR(VLOOKUP($D34,BS연결,MATCH(L$1,BS연결H,0),0)/100,"")</f>
        <v/>
      </c>
      <c r="M34" s="18">
        <f>IFERROR(VLOOKUP($D34,BS연결,MATCH(M$1,BS연결H,0),0)/100,"")</f>
        <v/>
      </c>
      <c r="N34" s="18">
        <f>IFERROR(VLOOKUP($D34,BS연결,MATCH(N$1,BS연결H,0),0)/100,"")</f>
        <v/>
      </c>
      <c r="O34" s="18">
        <f>IFERROR(VLOOKUP($D34,BS연결,MATCH(O$1,BS연결H,0),0)/100,"")</f>
        <v/>
      </c>
      <c r="P34" s="37">
        <f>IFERROR(VLOOKUP($D34,BS연결,MATCH(P$1,BS연결H,0),0)/100,"")</f>
        <v/>
      </c>
      <c r="Q34" s="18">
        <f>IFERROR(VLOOKUP($D34,BS연결,MATCH(Q$1,BS연결H,0),0)/100,"")</f>
        <v/>
      </c>
      <c r="R34" s="18">
        <f>IFERROR(VLOOKUP($D34,BS연결,MATCH(R$1,BS연결H,0),0)/100,"")</f>
        <v/>
      </c>
      <c r="S34" s="18">
        <f>IFERROR(VLOOKUP($D34,BS연결,MATCH(S$1,BS연결H,0),0)/100,"")</f>
        <v/>
      </c>
      <c r="T34" s="18">
        <f>IFERROR(VLOOKUP($D34,BS연결,MATCH(T$1,BS연결H,0),0)/100,"")</f>
        <v/>
      </c>
      <c r="U34" s="37">
        <f>IFERROR(VLOOKUP($D34,BS연결,MATCH(U$1,BS연결H,0),0)/100,"")</f>
        <v/>
      </c>
      <c r="V34" s="18">
        <f>IFERROR(VLOOKUP($D34,BS연결,MATCH(V$1,BS연결H,0),0)/100,"")</f>
        <v/>
      </c>
      <c r="W34" s="18">
        <f>IFERROR(VLOOKUP($D34,BS연결,MATCH(W$1,BS연결H,0),0)/100,"")</f>
        <v/>
      </c>
      <c r="X34" s="18">
        <f>IFERROR(VLOOKUP($D34,BS연결,MATCH(X$1,BS연결H,0),0)/100,"")</f>
        <v/>
      </c>
      <c r="Y34" s="18">
        <f>IFERROR(VLOOKUP($D34,BS연결,MATCH(Y$1,BS연결H,0),0)/100,"")</f>
        <v/>
      </c>
      <c r="Z34" s="37">
        <f>IFERROR(VLOOKUP($D34,BS연결,MATCH(Z$1,BS연결H,0),0)/100,"")</f>
        <v/>
      </c>
      <c r="AA34" s="18">
        <f>IFERROR(VLOOKUP($D34,BS연결,MATCH(AA$1,BS연결H,0),0)/100,"")</f>
        <v/>
      </c>
      <c r="AB34" s="19">
        <f>IFERROR(VLOOKUP($D34,BS연결,MATCH(AB$1,BS연결H,0),0)/100,"")</f>
        <v/>
      </c>
      <c r="AC34" s="20" t="n"/>
      <c r="AD34" s="20" t="n"/>
      <c r="AE34" s="38">
        <f>SUM(AA34:AD34)</f>
        <v/>
      </c>
      <c r="AF34" s="20" t="n"/>
      <c r="AG34" s="20" t="n"/>
      <c r="AH34" s="20" t="n"/>
      <c r="AI34" s="20" t="n"/>
      <c r="AJ34" s="38">
        <f>SUM(AF34:AI34)</f>
        <v/>
      </c>
      <c r="AK34" s="20" t="n"/>
      <c r="AL34" s="20" t="n"/>
      <c r="AM34" s="20" t="n"/>
      <c r="AN34" s="20" t="n"/>
      <c r="AO34" s="38">
        <f>SUM(AK34:AN34)</f>
        <v/>
      </c>
    </row>
    <row r="35">
      <c r="A35" s="12" t="inlineStr">
        <is>
          <t>주식수</t>
        </is>
      </c>
      <c r="B35" t="inlineStr">
        <is>
          <t>주당</t>
        </is>
      </c>
      <c r="C35" t="inlineStr">
        <is>
          <t>백만주</t>
        </is>
      </c>
      <c r="D35" t="inlineStr">
        <is>
          <t>유통주식수</t>
        </is>
      </c>
      <c r="E35" s="27" t="n">
        <v>7.658</v>
      </c>
      <c r="F35" s="28">
        <f>E35</f>
        <v/>
      </c>
      <c r="G35" s="27" t="n">
        <v>7.409</v>
      </c>
      <c r="H35" s="27" t="n">
        <v>7.354</v>
      </c>
      <c r="I35" s="27" t="n">
        <v>7.354</v>
      </c>
      <c r="J35" s="27" t="n">
        <v>7.354</v>
      </c>
      <c r="K35" s="28">
        <f>J35</f>
        <v/>
      </c>
      <c r="L35" s="27" t="n">
        <v>7.354</v>
      </c>
      <c r="M35" s="27" t="n">
        <v>7.354</v>
      </c>
      <c r="N35" s="27" t="n">
        <v>7.354</v>
      </c>
      <c r="O35" s="27" t="n">
        <v>7.354</v>
      </c>
      <c r="P35" s="28">
        <f>O35</f>
        <v/>
      </c>
      <c r="Q35" s="27" t="n">
        <v>7.354</v>
      </c>
      <c r="R35" s="27" t="n">
        <v>7.354</v>
      </c>
      <c r="S35" s="27" t="n">
        <v>7.354</v>
      </c>
      <c r="T35" s="27" t="n">
        <v>7.354</v>
      </c>
      <c r="U35" s="28">
        <f>T35</f>
        <v/>
      </c>
      <c r="V35" s="27" t="n">
        <v>7.354</v>
      </c>
      <c r="W35" s="27" t="n">
        <v>7.354</v>
      </c>
      <c r="X35" s="27" t="n">
        <v>7.354</v>
      </c>
      <c r="Y35" s="27" t="n">
        <v>7.354</v>
      </c>
      <c r="Z35" s="28">
        <f>Y35</f>
        <v/>
      </c>
      <c r="AA35" s="27" t="n">
        <v>7.354</v>
      </c>
      <c r="AB35" s="29" t="n">
        <v>7.354</v>
      </c>
      <c r="AC35" s="32">
        <f>IFERROR(AB35*(1+변수!AC42),"")</f>
        <v/>
      </c>
      <c r="AD35" s="32">
        <f>IFERROR(AC35*(1+변수!AD42),"")</f>
        <v/>
      </c>
      <c r="AE35" s="31">
        <f>AD35</f>
        <v/>
      </c>
      <c r="AF35" s="32">
        <f>IFERROR(AD35*(1+변수!AF42),"")</f>
        <v/>
      </c>
      <c r="AG35" s="32">
        <f>IFERROR(AF35*(1+변수!AG42),"")</f>
        <v/>
      </c>
      <c r="AH35" s="32">
        <f>IFERROR(AG35*(1+변수!AH42),"")</f>
        <v/>
      </c>
      <c r="AI35" s="32">
        <f>IFERROR(AH35*(1+변수!AI42),"")</f>
        <v/>
      </c>
      <c r="AJ35" s="31">
        <f>AI35</f>
        <v/>
      </c>
      <c r="AK35" s="32">
        <f>IFERROR(AI35*(1+변수!AK42),"")</f>
        <v/>
      </c>
      <c r="AL35" s="32">
        <f>IFERROR(AK35*(1+변수!AL42),"")</f>
        <v/>
      </c>
      <c r="AM35" s="32">
        <f>IFERROR(AL35*(1+변수!AM42),"")</f>
        <v/>
      </c>
      <c r="AN35" s="32">
        <f>IFERROR(AM35*(1+변수!AN42),"")</f>
        <v/>
      </c>
      <c r="AO35" s="31">
        <f>AN35</f>
        <v/>
      </c>
    </row>
    <row r="36">
      <c r="A36" s="12" t="inlineStr">
        <is>
          <t>EPS</t>
        </is>
      </c>
      <c r="B36" t="inlineStr">
        <is>
          <t>주당</t>
        </is>
      </c>
      <c r="C36" t="inlineStr">
        <is>
          <t>원</t>
        </is>
      </c>
      <c r="D36" t="inlineStr">
        <is>
          <t>EPS</t>
        </is>
      </c>
      <c r="E36" s="18">
        <f>IFERROR(E21*100/E35,"")</f>
        <v/>
      </c>
      <c r="F36" s="37" t="n"/>
      <c r="G36" s="18">
        <f>IFERROR(G21*100/G35,"")</f>
        <v/>
      </c>
      <c r="H36" s="18">
        <f>IFERROR(H21*100/H35,"")</f>
        <v/>
      </c>
      <c r="I36" s="18">
        <f>IFERROR(I21*100/I35,"")</f>
        <v/>
      </c>
      <c r="J36" s="18">
        <f>IFERROR(J21*100/J35,"")</f>
        <v/>
      </c>
      <c r="K36" s="37">
        <f>SUM(G36:J36)</f>
        <v/>
      </c>
      <c r="L36" s="18">
        <f>IFERROR(L21*100/L35,"")</f>
        <v/>
      </c>
      <c r="M36" s="18">
        <f>IFERROR(M21*100/M35,"")</f>
        <v/>
      </c>
      <c r="N36" s="18">
        <f>IFERROR(N21*100/N35,"")</f>
        <v/>
      </c>
      <c r="O36" s="18">
        <f>IFERROR(O21*100/O35,"")</f>
        <v/>
      </c>
      <c r="P36" s="37">
        <f>SUM(L36:O36)</f>
        <v/>
      </c>
      <c r="Q36" s="18">
        <f>IFERROR(Q21*100/Q35,"")</f>
        <v/>
      </c>
      <c r="R36" s="18">
        <f>IFERROR(R21*100/R35,"")</f>
        <v/>
      </c>
      <c r="S36" s="18">
        <f>IFERROR(S21*100/S35,"")</f>
        <v/>
      </c>
      <c r="T36" s="18">
        <f>IFERROR(T21*100/T35,"")</f>
        <v/>
      </c>
      <c r="U36" s="37">
        <f>SUM(Q36:T36)</f>
        <v/>
      </c>
      <c r="V36" s="18">
        <f>IFERROR(V21*100/V35,"")</f>
        <v/>
      </c>
      <c r="W36" s="18">
        <f>IFERROR(W21*100/W35,"")</f>
        <v/>
      </c>
      <c r="X36" s="18">
        <f>IFERROR(X21*100/X35,"")</f>
        <v/>
      </c>
      <c r="Y36" s="18">
        <f>IFERROR(Y21*100/Y35,"")</f>
        <v/>
      </c>
      <c r="Z36" s="37">
        <f>SUM(V36:Y36)</f>
        <v/>
      </c>
      <c r="AA36" s="18">
        <f>IFERROR(AA21*100/AA35,"")</f>
        <v/>
      </c>
      <c r="AB36" s="19">
        <f>IFERROR(AB21*100/AB35,"")</f>
        <v/>
      </c>
      <c r="AC36" s="20">
        <f>IFERROR(AC21*100/AC35,"")</f>
        <v/>
      </c>
      <c r="AD36" s="20">
        <f>IFERROR(AD21*100/AD35,"")</f>
        <v/>
      </c>
      <c r="AE36" s="38">
        <f>SUM(AA36:AD36)</f>
        <v/>
      </c>
      <c r="AF36" s="20">
        <f>IFERROR(AF21*100/AF35,"")</f>
        <v/>
      </c>
      <c r="AG36" s="20">
        <f>IFERROR(AG21*100/AG35,"")</f>
        <v/>
      </c>
      <c r="AH36" s="20">
        <f>IFERROR(AH21*100/AH35,"")</f>
        <v/>
      </c>
      <c r="AI36" s="20">
        <f>IFERROR(AI21*100/AI35,"")</f>
        <v/>
      </c>
      <c r="AJ36" s="38">
        <f>SUM(AF36:AI36)</f>
        <v/>
      </c>
      <c r="AK36" s="20">
        <f>IFERROR(AK21*100/AK35,"")</f>
        <v/>
      </c>
      <c r="AL36" s="20">
        <f>IFERROR(AL21*100/AL35,"")</f>
        <v/>
      </c>
      <c r="AM36" s="20">
        <f>IFERROR(AM21*100/AM35,"")</f>
        <v/>
      </c>
      <c r="AN36" s="20">
        <f>IFERROR(AN21*100/AN35,"")</f>
        <v/>
      </c>
      <c r="AO36" s="38">
        <f>SUM(AK36:AN36)</f>
        <v/>
      </c>
    </row>
    <row r="37">
      <c r="A37" s="12" t="inlineStr">
        <is>
          <t>조정EPS</t>
        </is>
      </c>
      <c r="B37" t="inlineStr">
        <is>
          <t>주당</t>
        </is>
      </c>
      <c r="C37" t="inlineStr">
        <is>
          <t>원</t>
        </is>
      </c>
      <c r="D37" t="inlineStr">
        <is>
          <t>조정 EPS(일회성 의심 분기의 초과 비영업손익 세후 차감 — 모델 추정)</t>
        </is>
      </c>
      <c r="E37" s="18">
        <f>IFERROR(E36,"")</f>
        <v/>
      </c>
      <c r="F37" s="37" t="n"/>
      <c r="G37" s="18">
        <f>IFERROR(G36,"")</f>
        <v/>
      </c>
      <c r="H37" s="18">
        <f>IFERROR(H36,"")</f>
        <v/>
      </c>
      <c r="I37" s="18">
        <f>IFERROR(I36,"")</f>
        <v/>
      </c>
      <c r="J37" s="18">
        <f>IFERROR(J36,"")</f>
        <v/>
      </c>
      <c r="K37" s="37">
        <f>SUM(G37:J37)</f>
        <v/>
      </c>
      <c r="L37" s="18">
        <f>IFERROR(L36,"")</f>
        <v/>
      </c>
      <c r="M37" s="18">
        <f>IFERROR(M36,"")</f>
        <v/>
      </c>
      <c r="N37" s="18">
        <f>IFERROR(N36,"")</f>
        <v/>
      </c>
      <c r="O37" s="18">
        <f>IFERROR(O36,"")</f>
        <v/>
      </c>
      <c r="P37" s="37">
        <f>SUM(L37:O37)</f>
        <v/>
      </c>
      <c r="Q37" s="18">
        <f>IFERROR(Q36,"")</f>
        <v/>
      </c>
      <c r="R37" s="18">
        <f>IFERROR(R36,"")</f>
        <v/>
      </c>
      <c r="S37" s="18">
        <f>IFERROR(S36,"")</f>
        <v/>
      </c>
      <c r="T37" s="18">
        <f>IFERROR(T36,"")</f>
        <v/>
      </c>
      <c r="U37" s="37">
        <f>SUM(Q37:T37)</f>
        <v/>
      </c>
      <c r="V37" s="18">
        <f>IFERROR(V36,"")</f>
        <v/>
      </c>
      <c r="W37" s="18">
        <f>IFERROR(W36,"")</f>
        <v/>
      </c>
      <c r="X37" s="18">
        <f>IFERROR(X36,"")</f>
        <v/>
      </c>
      <c r="Y37" s="18">
        <f>IFERROR(Y36,"")</f>
        <v/>
      </c>
      <c r="Z37" s="37">
        <f>SUM(V37:Y37)</f>
        <v/>
      </c>
      <c r="AA37" s="18">
        <f>IFERROR(AA36,"")</f>
        <v/>
      </c>
      <c r="AB37" s="39">
        <f>IFERROR((AB21-(27630.69)*(1.0))*100/AB35,"")</f>
        <v/>
      </c>
      <c r="AC37" s="20">
        <f>IFERROR(AC36,"")</f>
        <v/>
      </c>
      <c r="AD37" s="20">
        <f>IFERROR(AD36,"")</f>
        <v/>
      </c>
      <c r="AE37" s="38">
        <f>SUM(AA37:AD37)</f>
        <v/>
      </c>
      <c r="AF37" s="20">
        <f>IFERROR(AF36,"")</f>
        <v/>
      </c>
      <c r="AG37" s="20">
        <f>IFERROR(AG36,"")</f>
        <v/>
      </c>
      <c r="AH37" s="20">
        <f>IFERROR(AH36,"")</f>
        <v/>
      </c>
      <c r="AI37" s="20">
        <f>IFERROR(AI36,"")</f>
        <v/>
      </c>
      <c r="AJ37" s="38">
        <f>SUM(AF37:AI37)</f>
        <v/>
      </c>
      <c r="AK37" s="20">
        <f>IFERROR(AK36,"")</f>
        <v/>
      </c>
      <c r="AL37" s="20">
        <f>IFERROR(AL36,"")</f>
        <v/>
      </c>
      <c r="AM37" s="20">
        <f>IFERROR(AM36,"")</f>
        <v/>
      </c>
      <c r="AN37" s="20">
        <f>IFERROR(AN36,"")</f>
        <v/>
      </c>
      <c r="AO37" s="38">
        <f>SUM(AK37:AN37)</f>
        <v/>
      </c>
    </row>
    <row r="38">
      <c r="A38" s="12" t="inlineStr">
        <is>
          <t>BPS</t>
        </is>
      </c>
      <c r="B38" t="inlineStr">
        <is>
          <t>주당</t>
        </is>
      </c>
      <c r="C38" t="inlineStr">
        <is>
          <t>원</t>
        </is>
      </c>
      <c r="D38" t="inlineStr">
        <is>
          <t>BPS</t>
        </is>
      </c>
      <c r="E38" s="18">
        <f>IFERROR(E28*100/E35,"")</f>
        <v/>
      </c>
      <c r="F38" s="37">
        <f>E38</f>
        <v/>
      </c>
      <c r="G38" s="18">
        <f>IFERROR(G28*100/G35,"")</f>
        <v/>
      </c>
      <c r="H38" s="18">
        <f>IFERROR(H28*100/H35,"")</f>
        <v/>
      </c>
      <c r="I38" s="18">
        <f>IFERROR(I28*100/I35,"")</f>
        <v/>
      </c>
      <c r="J38" s="18">
        <f>IFERROR(J28*100/J35,"")</f>
        <v/>
      </c>
      <c r="K38" s="37">
        <f>J38</f>
        <v/>
      </c>
      <c r="L38" s="18">
        <f>IFERROR(L28*100/L35,"")</f>
        <v/>
      </c>
      <c r="M38" s="18">
        <f>IFERROR(M28*100/M35,"")</f>
        <v/>
      </c>
      <c r="N38" s="18">
        <f>IFERROR(N28*100/N35,"")</f>
        <v/>
      </c>
      <c r="O38" s="18">
        <f>IFERROR(O28*100/O35,"")</f>
        <v/>
      </c>
      <c r="P38" s="37">
        <f>O38</f>
        <v/>
      </c>
      <c r="Q38" s="18">
        <f>IFERROR(Q28*100/Q35,"")</f>
        <v/>
      </c>
      <c r="R38" s="18">
        <f>IFERROR(R28*100/R35,"")</f>
        <v/>
      </c>
      <c r="S38" s="18">
        <f>IFERROR(S28*100/S35,"")</f>
        <v/>
      </c>
      <c r="T38" s="18">
        <f>IFERROR(T28*100/T35,"")</f>
        <v/>
      </c>
      <c r="U38" s="37">
        <f>T38</f>
        <v/>
      </c>
      <c r="V38" s="18">
        <f>IFERROR(V28*100/V35,"")</f>
        <v/>
      </c>
      <c r="W38" s="18">
        <f>IFERROR(W28*100/W35,"")</f>
        <v/>
      </c>
      <c r="X38" s="18">
        <f>IFERROR(X28*100/X35,"")</f>
        <v/>
      </c>
      <c r="Y38" s="18">
        <f>IFERROR(Y28*100/Y35,"")</f>
        <v/>
      </c>
      <c r="Z38" s="37">
        <f>Y38</f>
        <v/>
      </c>
      <c r="AA38" s="18">
        <f>IFERROR(AA28*100/AA35,"")</f>
        <v/>
      </c>
      <c r="AB38" s="19">
        <f>IFERROR(AB28*100/AB35,"")</f>
        <v/>
      </c>
      <c r="AC38" s="20">
        <f>IFERROR(AC28*100/AC35,"")</f>
        <v/>
      </c>
      <c r="AD38" s="20">
        <f>IFERROR(AD28*100/AD35,"")</f>
        <v/>
      </c>
      <c r="AE38" s="38">
        <f>AD38</f>
        <v/>
      </c>
      <c r="AF38" s="20">
        <f>IFERROR(AF28*100/AF35,"")</f>
        <v/>
      </c>
      <c r="AG38" s="20">
        <f>IFERROR(AG28*100/AG35,"")</f>
        <v/>
      </c>
      <c r="AH38" s="20">
        <f>IFERROR(AH28*100/AH35,"")</f>
        <v/>
      </c>
      <c r="AI38" s="20">
        <f>IFERROR(AI28*100/AI35,"")</f>
        <v/>
      </c>
      <c r="AJ38" s="38">
        <f>AI38</f>
        <v/>
      </c>
      <c r="AK38" s="20">
        <f>IFERROR(AK28*100/AK35,"")</f>
        <v/>
      </c>
      <c r="AL38" s="20">
        <f>IFERROR(AL28*100/AL35,"")</f>
        <v/>
      </c>
      <c r="AM38" s="20">
        <f>IFERROR(AM28*100/AM35,"")</f>
        <v/>
      </c>
      <c r="AN38" s="20">
        <f>IFERROR(AN28*100/AN35,"")</f>
        <v/>
      </c>
      <c r="AO38" s="38">
        <f>AN38</f>
        <v/>
      </c>
    </row>
    <row r="39">
      <c r="A39" s="12" t="inlineStr">
        <is>
          <t>DPS</t>
        </is>
      </c>
      <c r="B39" t="inlineStr">
        <is>
          <t>주당</t>
        </is>
      </c>
      <c r="C39" t="inlineStr">
        <is>
          <t>원</t>
        </is>
      </c>
      <c r="D39" t="inlineStr">
        <is>
          <t>DPS(보통주)</t>
        </is>
      </c>
      <c r="E39" s="18" t="n">
        <v>7000</v>
      </c>
      <c r="F39" s="37" t="n">
        <v>7000</v>
      </c>
      <c r="G39" s="18" t="n"/>
      <c r="H39" s="18" t="n"/>
      <c r="I39" s="18" t="n"/>
      <c r="J39" s="18" t="n">
        <v>8000</v>
      </c>
      <c r="K39" s="37">
        <f>SUM(G39:J39)</f>
        <v/>
      </c>
      <c r="L39" s="18" t="n"/>
      <c r="M39" s="18" t="n"/>
      <c r="N39" s="18" t="n"/>
      <c r="O39" s="18" t="n">
        <v>8000</v>
      </c>
      <c r="P39" s="37">
        <f>SUM(L39:O39)</f>
        <v/>
      </c>
      <c r="Q39" s="18" t="n"/>
      <c r="R39" s="18" t="n"/>
      <c r="S39" s="18" t="n"/>
      <c r="T39" s="18" t="n">
        <v>10000</v>
      </c>
      <c r="U39" s="37">
        <f>SUM(Q39:T39)</f>
        <v/>
      </c>
      <c r="V39" s="18" t="n"/>
      <c r="W39" s="18" t="n"/>
      <c r="X39" s="18" t="n"/>
      <c r="Y39" s="18" t="n">
        <v>15000</v>
      </c>
      <c r="Z39" s="37">
        <f>SUM(V39:Y39)</f>
        <v/>
      </c>
      <c r="AA39" s="18" t="n"/>
      <c r="AB39" s="19" t="n"/>
      <c r="AC39" s="20" t="n"/>
      <c r="AD39" s="20">
        <f>변수!AD43</f>
        <v/>
      </c>
      <c r="AE39" s="38">
        <f>SUM(AA39:AD39)</f>
        <v/>
      </c>
      <c r="AF39" s="20" t="n"/>
      <c r="AG39" s="20" t="n"/>
      <c r="AH39" s="20" t="n"/>
      <c r="AI39" s="20">
        <f>변수!AI43</f>
        <v/>
      </c>
      <c r="AJ39" s="38">
        <f>SUM(AF39:AI39)</f>
        <v/>
      </c>
      <c r="AK39" s="20" t="n"/>
      <c r="AL39" s="20" t="n"/>
      <c r="AM39" s="20" t="n"/>
      <c r="AN39" s="20">
        <f>변수!AN43</f>
        <v/>
      </c>
      <c r="AO39" s="38">
        <f>SUM(AK39:AN39)</f>
        <v/>
      </c>
    </row>
    <row r="40">
      <c r="A40" s="12" t="inlineStr">
        <is>
          <t>PER</t>
        </is>
      </c>
      <c r="B40" t="inlineStr">
        <is>
          <t>주당</t>
        </is>
      </c>
      <c r="C40" t="inlineStr">
        <is>
          <t>배</t>
        </is>
      </c>
      <c r="D40" t="inlineStr">
        <is>
          <t>PER</t>
        </is>
      </c>
      <c r="E40" s="13" t="n"/>
      <c r="F40" s="14">
        <f>E40</f>
        <v/>
      </c>
      <c r="G40" s="13" t="n"/>
      <c r="H40" s="13" t="n"/>
      <c r="I40" s="13" t="n"/>
      <c r="J40" s="13">
        <f>IFERROR(변수!J18/(G36+H36+I36+J36),"")</f>
        <v/>
      </c>
      <c r="K40" s="14">
        <f>J40</f>
        <v/>
      </c>
      <c r="L40" s="13">
        <f>IFERROR(변수!L18/(H36+I36+J36+L36),"")</f>
        <v/>
      </c>
      <c r="M40" s="13" t="n"/>
      <c r="N40" s="13">
        <f>IFERROR(변수!N18/(J36+L36+M36+N36),"")</f>
        <v/>
      </c>
      <c r="O40" s="13">
        <f>IFERROR(변수!O18/(L36+M36+N36+O36),"")</f>
        <v/>
      </c>
      <c r="P40" s="14">
        <f>O40</f>
        <v/>
      </c>
      <c r="Q40" s="13">
        <f>IFERROR(변수!Q18/(M36+N36+O36+Q36),"")</f>
        <v/>
      </c>
      <c r="R40" s="13">
        <f>IFERROR(변수!R18/(N36+O36+Q36+R36),"")</f>
        <v/>
      </c>
      <c r="S40" s="13">
        <f>IFERROR(변수!S18/(O36+Q36+R36+S36),"")</f>
        <v/>
      </c>
      <c r="T40" s="13">
        <f>IFERROR(변수!T18/(Q36+R36+S36+T36),"")</f>
        <v/>
      </c>
      <c r="U40" s="14">
        <f>T40</f>
        <v/>
      </c>
      <c r="V40" s="13" t="n"/>
      <c r="W40" s="13">
        <f>IFERROR(변수!W18/(S36+T36+V36+W36),"")</f>
        <v/>
      </c>
      <c r="X40" s="13">
        <f>IFERROR(변수!X18/(T36+V36+W36+X36),"")</f>
        <v/>
      </c>
      <c r="Y40" s="13">
        <f>IFERROR(변수!Y18/(V36+W36+X36+Y36),"")</f>
        <v/>
      </c>
      <c r="Z40" s="14">
        <f>Y40</f>
        <v/>
      </c>
      <c r="AA40" s="13">
        <f>IFERROR(변수!AA18/(W36+X36+Y36+AA36),"")</f>
        <v/>
      </c>
      <c r="AB40" s="15">
        <f>IFERROR(변수!AB18/(X36+Y36+AA36+AB36),"")</f>
        <v/>
      </c>
      <c r="AC40" s="40">
        <f>IFERROR(변수!$D$46/(Y36+AA36+AB36+AC36),"")</f>
        <v/>
      </c>
      <c r="AD40" s="40">
        <f>IFERROR(변수!$D$46/(AA36+AB36+AC36+AD36),"")</f>
        <v/>
      </c>
      <c r="AE40" s="41">
        <f>AD40</f>
        <v/>
      </c>
      <c r="AF40" s="40">
        <f>IFERROR(변수!$D$46/(AB36+AC36+AD36+AF36),"")</f>
        <v/>
      </c>
      <c r="AG40" s="40">
        <f>IFERROR(변수!$D$46/(AC36+AD36+AF36+AG36),"")</f>
        <v/>
      </c>
      <c r="AH40" s="40">
        <f>IFERROR(변수!$D$46/(AD36+AF36+AG36+AH36),"")</f>
        <v/>
      </c>
      <c r="AI40" s="40">
        <f>IFERROR(변수!$D$46/(AF36+AG36+AH36+AI36),"")</f>
        <v/>
      </c>
      <c r="AJ40" s="41">
        <f>AI40</f>
        <v/>
      </c>
      <c r="AK40" s="40">
        <f>IFERROR(변수!$D$46/(AG36+AH36+AI36+AK36),"")</f>
        <v/>
      </c>
      <c r="AL40" s="40">
        <f>IFERROR(변수!$D$46/(AH36+AI36+AK36+AL36),"")</f>
        <v/>
      </c>
      <c r="AM40" s="40">
        <f>IFERROR(변수!$D$46/(AI36+AK36+AL36+AM36),"")</f>
        <v/>
      </c>
      <c r="AN40" s="40">
        <f>IFERROR(변수!$D$46/(AK36+AL36+AM36+AN36),"")</f>
        <v/>
      </c>
      <c r="AO40" s="41">
        <f>AN40</f>
        <v/>
      </c>
    </row>
    <row r="41">
      <c r="A41" s="12" t="inlineStr">
        <is>
          <t>PBR</t>
        </is>
      </c>
      <c r="B41" t="inlineStr">
        <is>
          <t>주당</t>
        </is>
      </c>
      <c r="C41" t="inlineStr">
        <is>
          <t>배</t>
        </is>
      </c>
      <c r="D41" t="inlineStr">
        <is>
          <t>PBR</t>
        </is>
      </c>
      <c r="E41" s="13">
        <f>IFERROR(변수!E18/E38,"")</f>
        <v/>
      </c>
      <c r="F41" s="14">
        <f>E41</f>
        <v/>
      </c>
      <c r="G41" s="13">
        <f>IFERROR(변수!G18/G38,"")</f>
        <v/>
      </c>
      <c r="H41" s="13">
        <f>IFERROR(변수!H18/H38,"")</f>
        <v/>
      </c>
      <c r="I41" s="13">
        <f>IFERROR(변수!I18/I38,"")</f>
        <v/>
      </c>
      <c r="J41" s="13">
        <f>IFERROR(변수!J18/J38,"")</f>
        <v/>
      </c>
      <c r="K41" s="14">
        <f>J41</f>
        <v/>
      </c>
      <c r="L41" s="13">
        <f>IFERROR(변수!L18/L38,"")</f>
        <v/>
      </c>
      <c r="M41" s="13">
        <f>IFERROR(변수!M18/M38,"")</f>
        <v/>
      </c>
      <c r="N41" s="13">
        <f>IFERROR(변수!N18/N38,"")</f>
        <v/>
      </c>
      <c r="O41" s="13">
        <f>IFERROR(변수!O18/O38,"")</f>
        <v/>
      </c>
      <c r="P41" s="14">
        <f>O41</f>
        <v/>
      </c>
      <c r="Q41" s="13">
        <f>IFERROR(변수!Q18/Q38,"")</f>
        <v/>
      </c>
      <c r="R41" s="13">
        <f>IFERROR(변수!R18/R38,"")</f>
        <v/>
      </c>
      <c r="S41" s="13">
        <f>IFERROR(변수!S18/S38,"")</f>
        <v/>
      </c>
      <c r="T41" s="13">
        <f>IFERROR(변수!T18/T38,"")</f>
        <v/>
      </c>
      <c r="U41" s="14">
        <f>T41</f>
        <v/>
      </c>
      <c r="V41" s="13">
        <f>IFERROR(변수!V18/V38,"")</f>
        <v/>
      </c>
      <c r="W41" s="13">
        <f>IFERROR(변수!W18/W38,"")</f>
        <v/>
      </c>
      <c r="X41" s="13">
        <f>IFERROR(변수!X18/X38,"")</f>
        <v/>
      </c>
      <c r="Y41" s="13">
        <f>IFERROR(변수!Y18/Y38,"")</f>
        <v/>
      </c>
      <c r="Z41" s="14">
        <f>Y41</f>
        <v/>
      </c>
      <c r="AA41" s="13">
        <f>IFERROR(변수!AA18/AA38,"")</f>
        <v/>
      </c>
      <c r="AB41" s="15">
        <f>IFERROR(변수!AB18/AB38,"")</f>
        <v/>
      </c>
      <c r="AC41" s="40">
        <f>IFERROR(변수!$D$46/AC38,"")</f>
        <v/>
      </c>
      <c r="AD41" s="40">
        <f>IFERROR(변수!$D$46/AD38,"")</f>
        <v/>
      </c>
      <c r="AE41" s="41">
        <f>AD41</f>
        <v/>
      </c>
      <c r="AF41" s="40">
        <f>IFERROR(변수!$D$46/AF38,"")</f>
        <v/>
      </c>
      <c r="AG41" s="40">
        <f>IFERROR(변수!$D$46/AG38,"")</f>
        <v/>
      </c>
      <c r="AH41" s="40">
        <f>IFERROR(변수!$D$46/AH38,"")</f>
        <v/>
      </c>
      <c r="AI41" s="40">
        <f>IFERROR(변수!$D$46/AI38,"")</f>
        <v/>
      </c>
      <c r="AJ41" s="41">
        <f>AI41</f>
        <v/>
      </c>
      <c r="AK41" s="40">
        <f>IFERROR(변수!$D$46/AK38,"")</f>
        <v/>
      </c>
      <c r="AL41" s="40">
        <f>IFERROR(변수!$D$46/AL38,"")</f>
        <v/>
      </c>
      <c r="AM41" s="40">
        <f>IFERROR(변수!$D$46/AM38,"")</f>
        <v/>
      </c>
      <c r="AN41" s="40">
        <f>IFERROR(변수!$D$46/AN38,"")</f>
        <v/>
      </c>
      <c r="AO41" s="41">
        <f>AN41</f>
        <v/>
      </c>
    </row>
    <row r="42">
      <c r="A42" s="12" t="inlineStr">
        <is>
          <t>매출전사</t>
        </is>
      </c>
      <c r="B42" t="inlineStr">
        <is>
          <t>사업부</t>
        </is>
      </c>
      <c r="C42" t="inlineStr">
        <is>
          <t>억원</t>
        </is>
      </c>
      <c r="D42" t="inlineStr">
        <is>
          <t>매출 전사(부문 미분리)</t>
        </is>
      </c>
      <c r="E42" s="18" t="n">
        <v>15097.4</v>
      </c>
      <c r="F42" s="37" t="n"/>
      <c r="G42" s="18" t="n">
        <v>16375.78</v>
      </c>
      <c r="H42" s="18" t="n">
        <v>17558.82</v>
      </c>
      <c r="I42" s="18" t="n">
        <v>17401.25</v>
      </c>
      <c r="J42" s="18" t="n">
        <v>16412.08</v>
      </c>
      <c r="K42" s="37">
        <f>SUM(G42:J42)</f>
        <v/>
      </c>
      <c r="L42" s="18" t="n">
        <v>15649.43</v>
      </c>
      <c r="M42" s="18" t="n">
        <v>15883.45</v>
      </c>
      <c r="N42" s="18" t="n">
        <v>15527.25</v>
      </c>
      <c r="O42" s="18" t="n">
        <v>15824.3</v>
      </c>
      <c r="P42" s="37">
        <f>SUM(L42:O42)</f>
        <v/>
      </c>
      <c r="Q42" s="18" t="n">
        <v>15883.72</v>
      </c>
      <c r="R42" s="18" t="n">
        <v>17787.28</v>
      </c>
      <c r="S42" s="18" t="n">
        <v>16342.08</v>
      </c>
      <c r="T42" s="18" t="n">
        <v>16574.55</v>
      </c>
      <c r="U42" s="37">
        <f>SUM(Q42:T42)</f>
        <v/>
      </c>
      <c r="V42" s="18" t="n">
        <v>15993.05</v>
      </c>
      <c r="W42" s="18" t="n">
        <v>17052.64</v>
      </c>
      <c r="X42" s="18" t="n">
        <v>16228.33</v>
      </c>
      <c r="Y42" s="18" t="n">
        <v>15564.18</v>
      </c>
      <c r="Z42" s="37">
        <f>SUM(V42:Y42)</f>
        <v/>
      </c>
      <c r="AA42" s="18" t="n">
        <v>16264</v>
      </c>
      <c r="AB42" s="19" t="n">
        <v>18060.19</v>
      </c>
      <c r="AC42" s="20">
        <f>IFERROR(AC5,"")</f>
        <v/>
      </c>
      <c r="AD42" s="20">
        <f>IFERROR(AD5,"")</f>
        <v/>
      </c>
      <c r="AE42" s="38">
        <f>SUM(AA42:AD42)</f>
        <v/>
      </c>
      <c r="AF42" s="20">
        <f>IFERROR(AF5,"")</f>
        <v/>
      </c>
      <c r="AG42" s="20">
        <f>IFERROR(AG5,"")</f>
        <v/>
      </c>
      <c r="AH42" s="20">
        <f>IFERROR(AH5,"")</f>
        <v/>
      </c>
      <c r="AI42" s="20">
        <f>IFERROR(AI5,"")</f>
        <v/>
      </c>
      <c r="AJ42" s="38">
        <f>SUM(AF42:AI42)</f>
        <v/>
      </c>
      <c r="AK42" s="20">
        <f>IFERROR(AK5,"")</f>
        <v/>
      </c>
      <c r="AL42" s="20">
        <f>IFERROR(AL5,"")</f>
        <v/>
      </c>
      <c r="AM42" s="20">
        <f>IFERROR(AM5,"")</f>
        <v/>
      </c>
      <c r="AN42" s="20">
        <f>IFERROR(AN5,"")</f>
        <v/>
      </c>
      <c r="AO42" s="38">
        <f>SUM(AK42:AN42)</f>
        <v/>
      </c>
    </row>
    <row r="43">
      <c r="A43" s="12" t="inlineStr">
        <is>
          <t>OP전사</t>
        </is>
      </c>
      <c r="B43" t="inlineStr">
        <is>
          <t>사업부</t>
        </is>
      </c>
      <c r="C43" t="inlineStr">
        <is>
          <t>억원</t>
        </is>
      </c>
      <c r="D43" t="inlineStr">
        <is>
          <t>OP 전사(부문 미분리)</t>
        </is>
      </c>
      <c r="E43" s="18" t="n">
        <v>743.9</v>
      </c>
      <c r="F43" s="37" t="n"/>
      <c r="G43" s="18" t="n">
        <v>1494.08</v>
      </c>
      <c r="H43" s="18" t="n">
        <v>1642.34</v>
      </c>
      <c r="I43" s="18" t="n">
        <v>963.8</v>
      </c>
      <c r="J43" s="18" t="n">
        <v>576.41</v>
      </c>
      <c r="K43" s="37">
        <f>SUM(G43:J43)</f>
        <v/>
      </c>
      <c r="L43" s="18" t="n">
        <v>758.28</v>
      </c>
      <c r="M43" s="18" t="n">
        <v>903.84</v>
      </c>
      <c r="N43" s="18" t="n">
        <v>884.3</v>
      </c>
      <c r="O43" s="18" t="n">
        <v>578.89</v>
      </c>
      <c r="P43" s="37">
        <f>SUM(L43:O43)</f>
        <v/>
      </c>
      <c r="Q43" s="18" t="n">
        <v>1069.07</v>
      </c>
      <c r="R43" s="18" t="n">
        <v>1405.61</v>
      </c>
      <c r="S43" s="18" t="n">
        <v>1253.29</v>
      </c>
      <c r="T43" s="18" t="n">
        <v>983.22</v>
      </c>
      <c r="U43" s="37">
        <f>SUM(Q43:T43)</f>
        <v/>
      </c>
      <c r="V43" s="18" t="n">
        <v>1034.44</v>
      </c>
      <c r="W43" s="18" t="n">
        <v>1403.81</v>
      </c>
      <c r="X43" s="18" t="n">
        <v>1172.64</v>
      </c>
      <c r="Y43" s="18" t="n">
        <v>665.27</v>
      </c>
      <c r="Z43" s="37">
        <f>SUM(V43:Y43)</f>
        <v/>
      </c>
      <c r="AA43" s="18" t="n">
        <v>881.28</v>
      </c>
      <c r="AB43" s="19" t="n">
        <v>1288.84</v>
      </c>
      <c r="AC43" s="20">
        <f>IFERROR(AC9,"")</f>
        <v/>
      </c>
      <c r="AD43" s="20">
        <f>IFERROR(AD9,"")</f>
        <v/>
      </c>
      <c r="AE43" s="38">
        <f>SUM(AA43:AD43)</f>
        <v/>
      </c>
      <c r="AF43" s="20">
        <f>IFERROR(AF9,"")</f>
        <v/>
      </c>
      <c r="AG43" s="20">
        <f>IFERROR(AG9,"")</f>
        <v/>
      </c>
      <c r="AH43" s="20">
        <f>IFERROR(AH9,"")</f>
        <v/>
      </c>
      <c r="AI43" s="20">
        <f>IFERROR(AI9,"")</f>
        <v/>
      </c>
      <c r="AJ43" s="38">
        <f>SUM(AF43:AI43)</f>
        <v/>
      </c>
      <c r="AK43" s="20">
        <f>IFERROR(AK9,"")</f>
        <v/>
      </c>
      <c r="AL43" s="20">
        <f>IFERROR(AL9,"")</f>
        <v/>
      </c>
      <c r="AM43" s="20">
        <f>IFERROR(AM9,"")</f>
        <v/>
      </c>
      <c r="AN43" s="20">
        <f>IFERROR(AN9,"")</f>
        <v/>
      </c>
      <c r="AO43" s="38">
        <f>SUM(AK43:AN43)</f>
        <v/>
      </c>
    </row>
    <row r="44">
      <c r="B44" s="2" t="inlineStr">
        <is>
          <t>비율(참고)</t>
        </is>
      </c>
      <c r="F44" s="9" t="n"/>
      <c r="K44" s="9" t="n"/>
      <c r="P44" s="9" t="n"/>
      <c r="U44" s="9" t="n"/>
      <c r="Z44" s="9" t="n"/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s="12" t="inlineStr">
        <is>
          <t>NPM</t>
        </is>
      </c>
      <c r="C45" t="inlineStr">
        <is>
          <t>%</t>
        </is>
      </c>
      <c r="D45" t="inlineStr">
        <is>
          <t>지배주주순이익 / 매출액</t>
        </is>
      </c>
      <c r="E45" s="21">
        <f>IFERROR(E21/E5,"")</f>
        <v/>
      </c>
      <c r="F45" s="22">
        <f>IFERROR(F21/F5,"")</f>
        <v/>
      </c>
      <c r="G45" s="21">
        <f>IFERROR(G21/G5,"")</f>
        <v/>
      </c>
      <c r="H45" s="21">
        <f>IFERROR(H21/H5,"")</f>
        <v/>
      </c>
      <c r="I45" s="21">
        <f>IFERROR(I21/I5,"")</f>
        <v/>
      </c>
      <c r="J45" s="21">
        <f>IFERROR(J21/J5,"")</f>
        <v/>
      </c>
      <c r="K45" s="22">
        <f>IFERROR(K21/K5,"")</f>
        <v/>
      </c>
      <c r="L45" s="21">
        <f>IFERROR(L21/L5,"")</f>
        <v/>
      </c>
      <c r="M45" s="21">
        <f>IFERROR(M21/M5,"")</f>
        <v/>
      </c>
      <c r="N45" s="21">
        <f>IFERROR(N21/N5,"")</f>
        <v/>
      </c>
      <c r="O45" s="21">
        <f>IFERROR(O21/O5,"")</f>
        <v/>
      </c>
      <c r="P45" s="22">
        <f>IFERROR(P21/P5,"")</f>
        <v/>
      </c>
      <c r="Q45" s="21">
        <f>IFERROR(Q21/Q5,"")</f>
        <v/>
      </c>
      <c r="R45" s="21">
        <f>IFERROR(R21/R5,"")</f>
        <v/>
      </c>
      <c r="S45" s="21">
        <f>IFERROR(S21/S5,"")</f>
        <v/>
      </c>
      <c r="T45" s="21">
        <f>IFERROR(T21/T5,"")</f>
        <v/>
      </c>
      <c r="U45" s="22">
        <f>IFERROR(U21/U5,"")</f>
        <v/>
      </c>
      <c r="V45" s="21">
        <f>IFERROR(V21/V5,"")</f>
        <v/>
      </c>
      <c r="W45" s="21">
        <f>IFERROR(W21/W5,"")</f>
        <v/>
      </c>
      <c r="X45" s="21">
        <f>IFERROR(X21/X5,"")</f>
        <v/>
      </c>
      <c r="Y45" s="21">
        <f>IFERROR(Y21/Y5,"")</f>
        <v/>
      </c>
      <c r="Z45" s="22">
        <f>IFERROR(Z21/Z5,"")</f>
        <v/>
      </c>
      <c r="AA45" s="21">
        <f>IFERROR(AA21/AA5,"")</f>
        <v/>
      </c>
      <c r="AB45" s="23">
        <f>IFERROR(AB21/AB5,"")</f>
        <v/>
      </c>
      <c r="AC45" s="33">
        <f>IFERROR(AC21/AC5,"")</f>
        <v/>
      </c>
      <c r="AD45" s="33">
        <f>IFERROR(AD21/AD5,"")</f>
        <v/>
      </c>
      <c r="AE45" s="25">
        <f>IFERROR(AE21/AE5,"")</f>
        <v/>
      </c>
      <c r="AF45" s="33">
        <f>IFERROR(AF21/AF5,"")</f>
        <v/>
      </c>
      <c r="AG45" s="33">
        <f>IFERROR(AG21/AG5,"")</f>
        <v/>
      </c>
      <c r="AH45" s="33">
        <f>IFERROR(AH21/AH5,"")</f>
        <v/>
      </c>
      <c r="AI45" s="33">
        <f>IFERROR(AI21/AI5,"")</f>
        <v/>
      </c>
      <c r="AJ45" s="25">
        <f>IFERROR(AJ21/AJ5,"")</f>
        <v/>
      </c>
      <c r="AK45" s="33">
        <f>IFERROR(AK21/AK5,"")</f>
        <v/>
      </c>
      <c r="AL45" s="33">
        <f>IFERROR(AL21/AL5,"")</f>
        <v/>
      </c>
      <c r="AM45" s="33">
        <f>IFERROR(AM21/AM5,"")</f>
        <v/>
      </c>
      <c r="AN45" s="33">
        <f>IFERROR(AN21/AN5,"")</f>
        <v/>
      </c>
      <c r="AO45" s="25">
        <f>IFERROR(AO21/AO5,"")</f>
        <v/>
      </c>
    </row>
    <row r="46">
      <c r="A46" s="12" t="inlineStr">
        <is>
          <t>매출원가율</t>
        </is>
      </c>
      <c r="C46" t="inlineStr">
        <is>
          <t>%</t>
        </is>
      </c>
      <c r="D46" t="inlineStr">
        <is>
          <t>매출원가 / 매출액</t>
        </is>
      </c>
      <c r="E46" s="21">
        <f>IFERROR(E6/E5,"")</f>
        <v/>
      </c>
      <c r="F46" s="22">
        <f>IFERROR(F6/F5,"")</f>
        <v/>
      </c>
      <c r="G46" s="21">
        <f>IFERROR(G6/G5,"")</f>
        <v/>
      </c>
      <c r="H46" s="21">
        <f>IFERROR(H6/H5,"")</f>
        <v/>
      </c>
      <c r="I46" s="21">
        <f>IFERROR(I6/I5,"")</f>
        <v/>
      </c>
      <c r="J46" s="21">
        <f>IFERROR(J6/J5,"")</f>
        <v/>
      </c>
      <c r="K46" s="22">
        <f>IFERROR(K6/K5,"")</f>
        <v/>
      </c>
      <c r="L46" s="21">
        <f>IFERROR(L6/L5,"")</f>
        <v/>
      </c>
      <c r="M46" s="21">
        <f>IFERROR(M6/M5,"")</f>
        <v/>
      </c>
      <c r="N46" s="21">
        <f>IFERROR(N6/N5,"")</f>
        <v/>
      </c>
      <c r="O46" s="21">
        <f>IFERROR(O6/O5,"")</f>
        <v/>
      </c>
      <c r="P46" s="22">
        <f>IFERROR(P6/P5,"")</f>
        <v/>
      </c>
      <c r="Q46" s="21">
        <f>IFERROR(Q6/Q5,"")</f>
        <v/>
      </c>
      <c r="R46" s="21">
        <f>IFERROR(R6/R5,"")</f>
        <v/>
      </c>
      <c r="S46" s="21">
        <f>IFERROR(S6/S5,"")</f>
        <v/>
      </c>
      <c r="T46" s="21">
        <f>IFERROR(T6/T5,"")</f>
        <v/>
      </c>
      <c r="U46" s="22">
        <f>IFERROR(U6/U5,"")</f>
        <v/>
      </c>
      <c r="V46" s="21">
        <f>IFERROR(V6/V5,"")</f>
        <v/>
      </c>
      <c r="W46" s="21">
        <f>IFERROR(W6/W5,"")</f>
        <v/>
      </c>
      <c r="X46" s="21">
        <f>IFERROR(X6/X5,"")</f>
        <v/>
      </c>
      <c r="Y46" s="21">
        <f>IFERROR(Y6/Y5,"")</f>
        <v/>
      </c>
      <c r="Z46" s="22">
        <f>IFERROR(Z6/Z5,"")</f>
        <v/>
      </c>
      <c r="AA46" s="21">
        <f>IFERROR(AA6/AA5,"")</f>
        <v/>
      </c>
      <c r="AB46" s="23">
        <f>IFERROR(AB6/AB5,"")</f>
        <v/>
      </c>
      <c r="AC46" s="33">
        <f>IFERROR(AC6/AC5,"")</f>
        <v/>
      </c>
      <c r="AD46" s="33">
        <f>IFERROR(AD6/AD5,"")</f>
        <v/>
      </c>
      <c r="AE46" s="25">
        <f>IFERROR(AE6/AE5,"")</f>
        <v/>
      </c>
      <c r="AF46" s="33">
        <f>IFERROR(AF6/AF5,"")</f>
        <v/>
      </c>
      <c r="AG46" s="33">
        <f>IFERROR(AG6/AG5,"")</f>
        <v/>
      </c>
      <c r="AH46" s="33">
        <f>IFERROR(AH6/AH5,"")</f>
        <v/>
      </c>
      <c r="AI46" s="33">
        <f>IFERROR(AI6/AI5,"")</f>
        <v/>
      </c>
      <c r="AJ46" s="25">
        <f>IFERROR(AJ6/AJ5,"")</f>
        <v/>
      </c>
      <c r="AK46" s="33">
        <f>IFERROR(AK6/AK5,"")</f>
        <v/>
      </c>
      <c r="AL46" s="33">
        <f>IFERROR(AL6/AL5,"")</f>
        <v/>
      </c>
      <c r="AM46" s="33">
        <f>IFERROR(AM6/AM5,"")</f>
        <v/>
      </c>
      <c r="AN46" s="33">
        <f>IFERROR(AN6/AN5,"")</f>
        <v/>
      </c>
      <c r="AO46" s="25">
        <f>IFERROR(AO6/AO5,"")</f>
        <v/>
      </c>
    </row>
    <row r="47">
      <c r="A47" s="12" t="inlineStr">
        <is>
          <t>판관비율</t>
        </is>
      </c>
      <c r="C47" t="inlineStr">
        <is>
          <t>%</t>
        </is>
      </c>
      <c r="D47" t="inlineStr">
        <is>
          <t>판관비 / 매출액</t>
        </is>
      </c>
      <c r="E47" s="21">
        <f>IFERROR(E8/E5,"")</f>
        <v/>
      </c>
      <c r="F47" s="22">
        <f>IFERROR(F8/F5,"")</f>
        <v/>
      </c>
      <c r="G47" s="21">
        <f>IFERROR(G8/G5,"")</f>
        <v/>
      </c>
      <c r="H47" s="21">
        <f>IFERROR(H8/H5,"")</f>
        <v/>
      </c>
      <c r="I47" s="21">
        <f>IFERROR(I8/I5,"")</f>
        <v/>
      </c>
      <c r="J47" s="21">
        <f>IFERROR(J8/J5,"")</f>
        <v/>
      </c>
      <c r="K47" s="22">
        <f>IFERROR(K8/K5,"")</f>
        <v/>
      </c>
      <c r="L47" s="21">
        <f>IFERROR(L8/L5,"")</f>
        <v/>
      </c>
      <c r="M47" s="21">
        <f>IFERROR(M8/M5,"")</f>
        <v/>
      </c>
      <c r="N47" s="21">
        <f>IFERROR(N8/N5,"")</f>
        <v/>
      </c>
      <c r="O47" s="21">
        <f>IFERROR(O8/O5,"")</f>
        <v/>
      </c>
      <c r="P47" s="22">
        <f>IFERROR(P8/P5,"")</f>
        <v/>
      </c>
      <c r="Q47" s="21">
        <f>IFERROR(Q8/Q5,"")</f>
        <v/>
      </c>
      <c r="R47" s="21">
        <f>IFERROR(R8/R5,"")</f>
        <v/>
      </c>
      <c r="S47" s="21">
        <f>IFERROR(S8/S5,"")</f>
        <v/>
      </c>
      <c r="T47" s="21">
        <f>IFERROR(T8/T5,"")</f>
        <v/>
      </c>
      <c r="U47" s="22">
        <f>IFERROR(U8/U5,"")</f>
        <v/>
      </c>
      <c r="V47" s="21">
        <f>IFERROR(V8/V5,"")</f>
        <v/>
      </c>
      <c r="W47" s="21">
        <f>IFERROR(W8/W5,"")</f>
        <v/>
      </c>
      <c r="X47" s="21">
        <f>IFERROR(X8/X5,"")</f>
        <v/>
      </c>
      <c r="Y47" s="21">
        <f>IFERROR(Y8/Y5,"")</f>
        <v/>
      </c>
      <c r="Z47" s="22">
        <f>IFERROR(Z8/Z5,"")</f>
        <v/>
      </c>
      <c r="AA47" s="21">
        <f>IFERROR(AA8/AA5,"")</f>
        <v/>
      </c>
      <c r="AB47" s="23">
        <f>IFERROR(AB8/AB5,"")</f>
        <v/>
      </c>
      <c r="AC47" s="33">
        <f>IFERROR(AC8/AC5,"")</f>
        <v/>
      </c>
      <c r="AD47" s="33">
        <f>IFERROR(AD8/AD5,"")</f>
        <v/>
      </c>
      <c r="AE47" s="25">
        <f>IFERROR(AE8/AE5,"")</f>
        <v/>
      </c>
      <c r="AF47" s="33">
        <f>IFERROR(AF8/AF5,"")</f>
        <v/>
      </c>
      <c r="AG47" s="33">
        <f>IFERROR(AG8/AG5,"")</f>
        <v/>
      </c>
      <c r="AH47" s="33">
        <f>IFERROR(AH8/AH5,"")</f>
        <v/>
      </c>
      <c r="AI47" s="33">
        <f>IFERROR(AI8/AI5,"")</f>
        <v/>
      </c>
      <c r="AJ47" s="25">
        <f>IFERROR(AJ8/AJ5,"")</f>
        <v/>
      </c>
      <c r="AK47" s="33">
        <f>IFERROR(AK8/AK5,"")</f>
        <v/>
      </c>
      <c r="AL47" s="33">
        <f>IFERROR(AL8/AL5,"")</f>
        <v/>
      </c>
      <c r="AM47" s="33">
        <f>IFERROR(AM8/AM5,"")</f>
        <v/>
      </c>
      <c r="AN47" s="33">
        <f>IFERROR(AN8/AN5,"")</f>
        <v/>
      </c>
      <c r="AO47" s="25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42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18">
        <f>변수!D46</f>
        <v/>
      </c>
      <c r="W2" s="43" t="n"/>
    </row>
    <row r="3">
      <c r="C3" t="inlineStr">
        <is>
          <t>기준일:</t>
        </is>
      </c>
      <c r="D3" t="inlineStr">
        <is>
          <t>20261012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44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45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18">
        <f>IFERROR(VLOOKUP($A5,subQ,MATCH(U$1,SUBQH,0),0),"")</f>
        <v/>
      </c>
      <c r="V5" s="18">
        <f>IFERROR(VLOOKUP($A5,subQ,MATCH(V$1,SUBQH,0),0),"")</f>
        <v/>
      </c>
      <c r="W5" s="46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  <c r="Z5" s="20">
        <f>IFERROR(VLOOKUP($A5,subQ,MATCH(Z$1,SUBQH,0),0),"")</f>
        <v/>
      </c>
      <c r="AA5" s="20">
        <f>IFERROR(VLOOKUP($A5,subQ,MATCH(AA$1,SUBQH,0),0),"")</f>
        <v/>
      </c>
      <c r="AB5" s="20">
        <f>IFERROR(VLOOKUP($A5,subQ,MATCH(AB$1,SUBQH,0),0),"")</f>
        <v/>
      </c>
      <c r="AC5" s="20">
        <f>IFERROR(VLOOKUP($A5,subQ,MATCH(AC$1,SUBQH,0),0),"")</f>
        <v/>
      </c>
      <c r="AD5" s="20">
        <f>IFERROR(VLOOKUP($A5,subQ,MATCH(AD$1,SUBQH,0),0),"")</f>
        <v/>
      </c>
      <c r="AE5" s="20">
        <f>IFERROR(VLOOKUP($A5,subQ,MATCH(AE$1,SUBQH,0),0),"")</f>
        <v/>
      </c>
      <c r="AF5" s="20">
        <f>IFERROR(VLOOKUP($A5,subQ,MATCH(AF$1,SUBQH,0),0),"")</f>
        <v/>
      </c>
      <c r="AG5" s="20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18">
        <f>IFERROR(VLOOKUP($A6,subQ,MATCH(U$1,SUBQH,0),0),"")</f>
        <v/>
      </c>
      <c r="V6" s="18">
        <f>IFERROR(VLOOKUP($A6,subQ,MATCH(V$1,SUBQH,0),0),"")</f>
        <v/>
      </c>
      <c r="W6" s="46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  <c r="Z6" s="20">
        <f>IFERROR(VLOOKUP($A6,subQ,MATCH(Z$1,SUBQH,0),0),"")</f>
        <v/>
      </c>
      <c r="AA6" s="20">
        <f>IFERROR(VLOOKUP($A6,subQ,MATCH(AA$1,SUBQH,0),0),"")</f>
        <v/>
      </c>
      <c r="AB6" s="20">
        <f>IFERROR(VLOOKUP($A6,subQ,MATCH(AB$1,SUBQH,0),0),"")</f>
        <v/>
      </c>
      <c r="AC6" s="20">
        <f>IFERROR(VLOOKUP($A6,subQ,MATCH(AC$1,SUBQH,0),0),"")</f>
        <v/>
      </c>
      <c r="AD6" s="20">
        <f>IFERROR(VLOOKUP($A6,subQ,MATCH(AD$1,SUBQH,0),0),"")</f>
        <v/>
      </c>
      <c r="AE6" s="20">
        <f>IFERROR(VLOOKUP($A6,subQ,MATCH(AE$1,SUBQH,0),0),"")</f>
        <v/>
      </c>
      <c r="AF6" s="20">
        <f>IFERROR(VLOOKUP($A6,subQ,MATCH(AF$1,SUBQH,0),0),"")</f>
        <v/>
      </c>
      <c r="AG6" s="20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18">
        <f>IFERROR(VLOOKUP($A7,subQ,MATCH(U$1,SUBQH,0),0),"")</f>
        <v/>
      </c>
      <c r="V7" s="18">
        <f>IFERROR(VLOOKUP($A7,subQ,MATCH(V$1,SUBQH,0),0),"")</f>
        <v/>
      </c>
      <c r="W7" s="46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  <c r="Z7" s="20">
        <f>IFERROR(VLOOKUP($A7,subQ,MATCH(Z$1,SUBQH,0),0),"")</f>
        <v/>
      </c>
      <c r="AA7" s="20">
        <f>IFERROR(VLOOKUP($A7,subQ,MATCH(AA$1,SUBQH,0),0),"")</f>
        <v/>
      </c>
      <c r="AB7" s="20">
        <f>IFERROR(VLOOKUP($A7,subQ,MATCH(AB$1,SUBQH,0),0),"")</f>
        <v/>
      </c>
      <c r="AC7" s="20">
        <f>IFERROR(VLOOKUP($A7,subQ,MATCH(AC$1,SUBQH,0),0),"")</f>
        <v/>
      </c>
      <c r="AD7" s="20">
        <f>IFERROR(VLOOKUP($A7,subQ,MATCH(AD$1,SUBQH,0),0),"")</f>
        <v/>
      </c>
      <c r="AE7" s="20">
        <f>IFERROR(VLOOKUP($A7,subQ,MATCH(AE$1,SUBQH,0),0),"")</f>
        <v/>
      </c>
      <c r="AF7" s="20">
        <f>IFERROR(VLOOKUP($A7,subQ,MATCH(AF$1,SUBQH,0),0),"")</f>
        <v/>
      </c>
      <c r="AG7" s="20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18">
        <f>IFERROR(VLOOKUP($A8,subQ,MATCH(U$1,SUBQH,0),0),"")</f>
        <v/>
      </c>
      <c r="V8" s="18">
        <f>IFERROR(VLOOKUP($A8,subQ,MATCH(V$1,SUBQH,0),0),"")</f>
        <v/>
      </c>
      <c r="W8" s="46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  <c r="Z8" s="20">
        <f>IFERROR(VLOOKUP($A8,subQ,MATCH(Z$1,SUBQH,0),0),"")</f>
        <v/>
      </c>
      <c r="AA8" s="20">
        <f>IFERROR(VLOOKUP($A8,subQ,MATCH(AA$1,SUBQH,0),0),"")</f>
        <v/>
      </c>
      <c r="AB8" s="20">
        <f>IFERROR(VLOOKUP($A8,subQ,MATCH(AB$1,SUBQH,0),0),"")</f>
        <v/>
      </c>
      <c r="AC8" s="20">
        <f>IFERROR(VLOOKUP($A8,subQ,MATCH(AC$1,SUBQH,0),0),"")</f>
        <v/>
      </c>
      <c r="AD8" s="20">
        <f>IFERROR(VLOOKUP($A8,subQ,MATCH(AD$1,SUBQH,0),0),"")</f>
        <v/>
      </c>
      <c r="AE8" s="20">
        <f>IFERROR(VLOOKUP($A8,subQ,MATCH(AE$1,SUBQH,0),0),"")</f>
        <v/>
      </c>
      <c r="AF8" s="20">
        <f>IFERROR(VLOOKUP($A8,subQ,MATCH(AF$1,SUBQH,0),0),"")</f>
        <v/>
      </c>
      <c r="AG8" s="20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18">
        <f>IFERROR(VLOOKUP($A9,subQ,MATCH(U$1,SUBQH,0),0),"")</f>
        <v/>
      </c>
      <c r="V9" s="18">
        <f>IFERROR(VLOOKUP($A9,subQ,MATCH(V$1,SUBQH,0),0),"")</f>
        <v/>
      </c>
      <c r="W9" s="46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  <c r="Z9" s="20">
        <f>IFERROR(VLOOKUP($A9,subQ,MATCH(Z$1,SUBQH,0),0),"")</f>
        <v/>
      </c>
      <c r="AA9" s="20">
        <f>IFERROR(VLOOKUP($A9,subQ,MATCH(AA$1,SUBQH,0),0),"")</f>
        <v/>
      </c>
      <c r="AB9" s="20">
        <f>IFERROR(VLOOKUP($A9,subQ,MATCH(AB$1,SUBQH,0),0),"")</f>
        <v/>
      </c>
      <c r="AC9" s="20">
        <f>IFERROR(VLOOKUP($A9,subQ,MATCH(AC$1,SUBQH,0),0),"")</f>
        <v/>
      </c>
      <c r="AD9" s="20">
        <f>IFERROR(VLOOKUP($A9,subQ,MATCH(AD$1,SUBQH,0),0),"")</f>
        <v/>
      </c>
      <c r="AE9" s="20">
        <f>IFERROR(VLOOKUP($A9,subQ,MATCH(AE$1,SUBQH,0),0),"")</f>
        <v/>
      </c>
      <c r="AF9" s="20">
        <f>IFERROR(VLOOKUP($A9,subQ,MATCH(AF$1,SUBQH,0),0),"")</f>
        <v/>
      </c>
      <c r="AG9" s="20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21">
        <f>IFERROR(VLOOKUP($A10,subQ,MATCH(O$1,SUBQH,0),0),"")</f>
        <v/>
      </c>
      <c r="P10" s="21">
        <f>IFERROR(VLOOKUP($A10,subQ,MATCH(P$1,SUBQH,0),0),"")</f>
        <v/>
      </c>
      <c r="Q10" s="21">
        <f>IFERROR(VLOOKUP($A10,subQ,MATCH(Q$1,SUBQH,0),0),"")</f>
        <v/>
      </c>
      <c r="R10" s="21">
        <f>IFERROR(VLOOKUP($A10,subQ,MATCH(R$1,SUBQH,0),0),"")</f>
        <v/>
      </c>
      <c r="S10" s="21">
        <f>IFERROR(VLOOKUP($A10,subQ,MATCH(S$1,SUBQH,0),0),"")</f>
        <v/>
      </c>
      <c r="T10" s="21">
        <f>IFERROR(VLOOKUP($A10,subQ,MATCH(T$1,SUBQH,0),0),"")</f>
        <v/>
      </c>
      <c r="U10" s="21">
        <f>IFERROR(VLOOKUP($A10,subQ,MATCH(U$1,SUBQH,0),0),"")</f>
        <v/>
      </c>
      <c r="V10" s="21">
        <f>IFERROR(VLOOKUP($A10,subQ,MATCH(V$1,SUBQH,0),0),"")</f>
        <v/>
      </c>
      <c r="W10" s="47">
        <f>IFERROR(VLOOKUP($A10,subQ,MATCH(W$1,SUBQH,0),0),"")</f>
        <v/>
      </c>
      <c r="X10" s="33">
        <f>IFERROR(VLOOKUP($A10,subQ,MATCH(X$1,SUBQH,0),0),"")</f>
        <v/>
      </c>
      <c r="Y10" s="33">
        <f>IFERROR(VLOOKUP($A10,subQ,MATCH(Y$1,SUBQH,0),0),"")</f>
        <v/>
      </c>
      <c r="Z10" s="33">
        <f>IFERROR(VLOOKUP($A10,subQ,MATCH(Z$1,SUBQH,0),0),"")</f>
        <v/>
      </c>
      <c r="AA10" s="33">
        <f>IFERROR(VLOOKUP($A10,subQ,MATCH(AA$1,SUBQH,0),0),"")</f>
        <v/>
      </c>
      <c r="AB10" s="33">
        <f>IFERROR(VLOOKUP($A10,subQ,MATCH(AB$1,SUBQH,0),0),"")</f>
        <v/>
      </c>
      <c r="AC10" s="33">
        <f>IFERROR(VLOOKUP($A10,subQ,MATCH(AC$1,SUBQH,0),0),"")</f>
        <v/>
      </c>
      <c r="AD10" s="33">
        <f>IFERROR(VLOOKUP($A10,subQ,MATCH(AD$1,SUBQH,0),0),"")</f>
        <v/>
      </c>
      <c r="AE10" s="33">
        <f>IFERROR(VLOOKUP($A10,subQ,MATCH(AE$1,SUBQH,0),0),"")</f>
        <v/>
      </c>
      <c r="AF10" s="33">
        <f>IFERROR(VLOOKUP($A10,subQ,MATCH(AF$1,SUBQH,0),0),"")</f>
        <v/>
      </c>
      <c r="AG10" s="33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18">
        <f>IFERROR(VLOOKUP($A11,subQ,MATCH(U$1,SUBQH,0),0),"")</f>
        <v/>
      </c>
      <c r="V11" s="18">
        <f>IFERROR(VLOOKUP($A11,subQ,MATCH(V$1,SUBQH,0),0),"")</f>
        <v/>
      </c>
      <c r="W11" s="46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  <c r="Z11" s="20">
        <f>IFERROR(VLOOKUP($A11,subQ,MATCH(Z$1,SUBQH,0),0),"")</f>
        <v/>
      </c>
      <c r="AA11" s="20">
        <f>IFERROR(VLOOKUP($A11,subQ,MATCH(AA$1,SUBQH,0),0),"")</f>
        <v/>
      </c>
      <c r="AB11" s="20">
        <f>IFERROR(VLOOKUP($A11,subQ,MATCH(AB$1,SUBQH,0),0),"")</f>
        <v/>
      </c>
      <c r="AC11" s="20">
        <f>IFERROR(VLOOKUP($A11,subQ,MATCH(AC$1,SUBQH,0),0),"")</f>
        <v/>
      </c>
      <c r="AD11" s="20">
        <f>IFERROR(VLOOKUP($A11,subQ,MATCH(AD$1,SUBQH,0),0),"")</f>
        <v/>
      </c>
      <c r="AE11" s="20">
        <f>IFERROR(VLOOKUP($A11,subQ,MATCH(AE$1,SUBQH,0),0),"")</f>
        <v/>
      </c>
      <c r="AF11" s="20">
        <f>IFERROR(VLOOKUP($A11,subQ,MATCH(AF$1,SUBQH,0),0),"")</f>
        <v/>
      </c>
      <c r="AG11" s="20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18">
        <f>IFERROR(VLOOKUP($A12,subQ,MATCH(U$1,SUBQH,0),0),"")</f>
        <v/>
      </c>
      <c r="V12" s="18">
        <f>IFERROR(VLOOKUP($A12,subQ,MATCH(V$1,SUBQH,0),0),"")</f>
        <v/>
      </c>
      <c r="W12" s="46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  <c r="Z12" s="20">
        <f>IFERROR(VLOOKUP($A12,subQ,MATCH(Z$1,SUBQH,0),0),"")</f>
        <v/>
      </c>
      <c r="AA12" s="20">
        <f>IFERROR(VLOOKUP($A12,subQ,MATCH(AA$1,SUBQH,0),0),"")</f>
        <v/>
      </c>
      <c r="AB12" s="20">
        <f>IFERROR(VLOOKUP($A12,subQ,MATCH(AB$1,SUBQH,0),0),"")</f>
        <v/>
      </c>
      <c r="AC12" s="20">
        <f>IFERROR(VLOOKUP($A12,subQ,MATCH(AC$1,SUBQH,0),0),"")</f>
        <v/>
      </c>
      <c r="AD12" s="20">
        <f>IFERROR(VLOOKUP($A12,subQ,MATCH(AD$1,SUBQH,0),0),"")</f>
        <v/>
      </c>
      <c r="AE12" s="20">
        <f>IFERROR(VLOOKUP($A12,subQ,MATCH(AE$1,SUBQH,0),0),"")</f>
        <v/>
      </c>
      <c r="AF12" s="20">
        <f>IFERROR(VLOOKUP($A12,subQ,MATCH(AF$1,SUBQH,0),0),"")</f>
        <v/>
      </c>
      <c r="AG12" s="20">
        <f>IFERROR(VLOOKUP($A12,subQ,MATCH(AG$1,SUBQH,0),0),"")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18">
        <f>IFERROR(VLOOKUP($A13,subQ,MATCH(U$1,SUBQH,0),0),"")</f>
        <v/>
      </c>
      <c r="V13" s="18">
        <f>IFERROR(VLOOKUP($A13,subQ,MATCH(V$1,SUBQH,0),0),"")</f>
        <v/>
      </c>
      <c r="W13" s="46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  <c r="Z13" s="20">
        <f>IFERROR(VLOOKUP($A13,subQ,MATCH(Z$1,SUBQH,0),0),"")</f>
        <v/>
      </c>
      <c r="AA13" s="20">
        <f>IFERROR(VLOOKUP($A13,subQ,MATCH(AA$1,SUBQH,0),0),"")</f>
        <v/>
      </c>
      <c r="AB13" s="20">
        <f>IFERROR(VLOOKUP($A13,subQ,MATCH(AB$1,SUBQH,0),0),"")</f>
        <v/>
      </c>
      <c r="AC13" s="20">
        <f>IFERROR(VLOOKUP($A13,subQ,MATCH(AC$1,SUBQH,0),0),"")</f>
        <v/>
      </c>
      <c r="AD13" s="20">
        <f>IFERROR(VLOOKUP($A13,subQ,MATCH(AD$1,SUBQH,0),0),"")</f>
        <v/>
      </c>
      <c r="AE13" s="20">
        <f>IFERROR(VLOOKUP($A13,subQ,MATCH(AE$1,SUBQH,0),0),"")</f>
        <v/>
      </c>
      <c r="AF13" s="20">
        <f>IFERROR(VLOOKUP($A13,subQ,MATCH(AF$1,SUBQH,0),0),"")</f>
        <v/>
      </c>
      <c r="AG13" s="20">
        <f>IFERROR(VLOOKUP($A13,subQ,MATCH(AG$1,SUBQH,0),0),"")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18">
        <f>IFERROR(VLOOKUP($A14,subQ,MATCH(U$1,SUBQH,0),0),"")</f>
        <v/>
      </c>
      <c r="V14" s="18">
        <f>IFERROR(VLOOKUP($A14,subQ,MATCH(V$1,SUBQH,0),0),"")</f>
        <v/>
      </c>
      <c r="W14" s="46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  <c r="Z14" s="20">
        <f>IFERROR(VLOOKUP($A14,subQ,MATCH(Z$1,SUBQH,0),0),"")</f>
        <v/>
      </c>
      <c r="AA14" s="20">
        <f>IFERROR(VLOOKUP($A14,subQ,MATCH(AA$1,SUBQH,0),0),"")</f>
        <v/>
      </c>
      <c r="AB14" s="20">
        <f>IFERROR(VLOOKUP($A14,subQ,MATCH(AB$1,SUBQH,0),0),"")</f>
        <v/>
      </c>
      <c r="AC14" s="20">
        <f>IFERROR(VLOOKUP($A14,subQ,MATCH(AC$1,SUBQH,0),0),"")</f>
        <v/>
      </c>
      <c r="AD14" s="20">
        <f>IFERROR(VLOOKUP($A14,subQ,MATCH(AD$1,SUBQH,0),0),"")</f>
        <v/>
      </c>
      <c r="AE14" s="20">
        <f>IFERROR(VLOOKUP($A14,subQ,MATCH(AE$1,SUBQH,0),0),"")</f>
        <v/>
      </c>
      <c r="AF14" s="20">
        <f>IFERROR(VLOOKUP($A14,subQ,MATCH(AF$1,SUBQH,0),0),"")</f>
        <v/>
      </c>
      <c r="AG14" s="20">
        <f>IFERROR(VLOOKUP($A14,subQ,MATCH(AG$1,SUBQH,0),0),"")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18">
        <f>IFERROR(VLOOKUP($A15,subQ,MATCH(U$1,SUBQH,0),0),"")</f>
        <v/>
      </c>
      <c r="V15" s="18">
        <f>IFERROR(VLOOKUP($A15,subQ,MATCH(V$1,SUBQH,0),0),"")</f>
        <v/>
      </c>
      <c r="W15" s="46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  <c r="Z15" s="20">
        <f>IFERROR(VLOOKUP($A15,subQ,MATCH(Z$1,SUBQH,0),0),"")</f>
        <v/>
      </c>
      <c r="AA15" s="20">
        <f>IFERROR(VLOOKUP($A15,subQ,MATCH(AA$1,SUBQH,0),0),"")</f>
        <v/>
      </c>
      <c r="AB15" s="20">
        <f>IFERROR(VLOOKUP($A15,subQ,MATCH(AB$1,SUBQH,0),0),"")</f>
        <v/>
      </c>
      <c r="AC15" s="20">
        <f>IFERROR(VLOOKUP($A15,subQ,MATCH(AC$1,SUBQH,0),0),"")</f>
        <v/>
      </c>
      <c r="AD15" s="20">
        <f>IFERROR(VLOOKUP($A15,subQ,MATCH(AD$1,SUBQH,0),0),"")</f>
        <v/>
      </c>
      <c r="AE15" s="20">
        <f>IFERROR(VLOOKUP($A15,subQ,MATCH(AE$1,SUBQH,0),0),"")</f>
        <v/>
      </c>
      <c r="AF15" s="20">
        <f>IFERROR(VLOOKUP($A15,subQ,MATCH(AF$1,SUBQH,0),0),"")</f>
        <v/>
      </c>
      <c r="AG15" s="20">
        <f>IFERROR(VLOOKUP($A15,subQ,MATCH(AG$1,SUBQH,0),0),"")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18">
        <f>IFERROR(VLOOKUP($A16,subQ,MATCH(U$1,SUBQH,0),0),"")</f>
        <v/>
      </c>
      <c r="V16" s="18">
        <f>IFERROR(VLOOKUP($A16,subQ,MATCH(V$1,SUBQH,0),0),"")</f>
        <v/>
      </c>
      <c r="W16" s="46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  <c r="Z16" s="20">
        <f>IFERROR(VLOOKUP($A16,subQ,MATCH(Z$1,SUBQH,0),0),"")</f>
        <v/>
      </c>
      <c r="AA16" s="20">
        <f>IFERROR(VLOOKUP($A16,subQ,MATCH(AA$1,SUBQH,0),0),"")</f>
        <v/>
      </c>
      <c r="AB16" s="20">
        <f>IFERROR(VLOOKUP($A16,subQ,MATCH(AB$1,SUBQH,0),0),"")</f>
        <v/>
      </c>
      <c r="AC16" s="20">
        <f>IFERROR(VLOOKUP($A16,subQ,MATCH(AC$1,SUBQH,0),0),"")</f>
        <v/>
      </c>
      <c r="AD16" s="20">
        <f>IFERROR(VLOOKUP($A16,subQ,MATCH(AD$1,SUBQH,0),0),"")</f>
        <v/>
      </c>
      <c r="AE16" s="20">
        <f>IFERROR(VLOOKUP($A16,subQ,MATCH(AE$1,SUBQH,0),0),"")</f>
        <v/>
      </c>
      <c r="AF16" s="20">
        <f>IFERROR(VLOOKUP($A16,subQ,MATCH(AF$1,SUBQH,0),0),"")</f>
        <v/>
      </c>
      <c r="AG16" s="20">
        <f>IFERROR(VLOOKUP($A16,subQ,MATCH(AG$1,SUBQH,0),0),"")</f>
        <v/>
      </c>
    </row>
    <row r="17">
      <c r="A17" s="12" t="inlineStr">
        <is>
          <t>지분법손익</t>
        </is>
      </c>
      <c r="D17" t="inlineStr">
        <is>
          <t>지분법손익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18">
        <f>IFERROR(VLOOKUP($A17,subQ,MATCH(U$1,SUBQH,0),0),"")</f>
        <v/>
      </c>
      <c r="V17" s="18">
        <f>IFERROR(VLOOKUP($A17,subQ,MATCH(V$1,SUBQH,0),0),"")</f>
        <v/>
      </c>
      <c r="W17" s="46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  <c r="Z17" s="20">
        <f>IFERROR(VLOOKUP($A17,subQ,MATCH(Z$1,SUBQH,0),0),"")</f>
        <v/>
      </c>
      <c r="AA17" s="20">
        <f>IFERROR(VLOOKUP($A17,subQ,MATCH(AA$1,SUBQH,0),0),"")</f>
        <v/>
      </c>
      <c r="AB17" s="20">
        <f>IFERROR(VLOOKUP($A17,subQ,MATCH(AB$1,SUBQH,0),0),"")</f>
        <v/>
      </c>
      <c r="AC17" s="20">
        <f>IFERROR(VLOOKUP($A17,subQ,MATCH(AC$1,SUBQH,0),0),"")</f>
        <v/>
      </c>
      <c r="AD17" s="20">
        <f>IFERROR(VLOOKUP($A17,subQ,MATCH(AD$1,SUBQH,0),0),"")</f>
        <v/>
      </c>
      <c r="AE17" s="20">
        <f>IFERROR(VLOOKUP($A17,subQ,MATCH(AE$1,SUBQH,0),0),"")</f>
        <v/>
      </c>
      <c r="AF17" s="20">
        <f>IFERROR(VLOOKUP($A17,subQ,MATCH(AF$1,SUBQH,0),0),"")</f>
        <v/>
      </c>
      <c r="AG17" s="20">
        <f>IFERROR(VLOOKUP($A17,subQ,MATCH(AG$1,SUBQH,0),0),"")</f>
        <v/>
      </c>
    </row>
    <row r="18">
      <c r="A18" s="12" t="inlineStr">
        <is>
          <t>세전이익</t>
        </is>
      </c>
      <c r="D18" t="inlineStr">
        <is>
          <t>법인세비용차감전이익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18">
        <f>IFERROR(VLOOKUP($A18,subQ,MATCH(U$1,SUBQH,0),0),"")</f>
        <v/>
      </c>
      <c r="V18" s="18">
        <f>IFERROR(VLOOKUP($A18,subQ,MATCH(V$1,SUBQH,0),0),"")</f>
        <v/>
      </c>
      <c r="W18" s="46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  <c r="Z18" s="20">
        <f>IFERROR(VLOOKUP($A18,subQ,MATCH(Z$1,SUBQH,0),0),"")</f>
        <v/>
      </c>
      <c r="AA18" s="20">
        <f>IFERROR(VLOOKUP($A18,subQ,MATCH(AA$1,SUBQH,0),0),"")</f>
        <v/>
      </c>
      <c r="AB18" s="20">
        <f>IFERROR(VLOOKUP($A18,subQ,MATCH(AB$1,SUBQH,0),0),"")</f>
        <v/>
      </c>
      <c r="AC18" s="20">
        <f>IFERROR(VLOOKUP($A18,subQ,MATCH(AC$1,SUBQH,0),0),"")</f>
        <v/>
      </c>
      <c r="AD18" s="20">
        <f>IFERROR(VLOOKUP($A18,subQ,MATCH(AD$1,SUBQH,0),0),"")</f>
        <v/>
      </c>
      <c r="AE18" s="20">
        <f>IFERROR(VLOOKUP($A18,subQ,MATCH(AE$1,SUBQH,0),0),"")</f>
        <v/>
      </c>
      <c r="AF18" s="20">
        <f>IFERROR(VLOOKUP($A18,subQ,MATCH(AF$1,SUBQH,0),0),"")</f>
        <v/>
      </c>
      <c r="AG18" s="20">
        <f>IFERROR(VLOOKUP($A18,subQ,MATCH(AG$1,SUBQH,0),0),"")</f>
        <v/>
      </c>
    </row>
    <row r="19">
      <c r="A19" s="12" t="inlineStr">
        <is>
          <t>법인세비용</t>
        </is>
      </c>
      <c r="D19" t="inlineStr">
        <is>
          <t>법인세비용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18">
        <f>IFERROR(VLOOKUP($A19,subQ,MATCH(U$1,SUBQH,0),0),"")</f>
        <v/>
      </c>
      <c r="V19" s="18">
        <f>IFERROR(VLOOKUP($A19,subQ,MATCH(V$1,SUBQH,0),0),"")</f>
        <v/>
      </c>
      <c r="W19" s="46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  <c r="Z19" s="20">
        <f>IFERROR(VLOOKUP($A19,subQ,MATCH(Z$1,SUBQH,0),0),"")</f>
        <v/>
      </c>
      <c r="AA19" s="20">
        <f>IFERROR(VLOOKUP($A19,subQ,MATCH(AA$1,SUBQH,0),0),"")</f>
        <v/>
      </c>
      <c r="AB19" s="20">
        <f>IFERROR(VLOOKUP($A19,subQ,MATCH(AB$1,SUBQH,0),0),"")</f>
        <v/>
      </c>
      <c r="AC19" s="20">
        <f>IFERROR(VLOOKUP($A19,subQ,MATCH(AC$1,SUBQH,0),0),"")</f>
        <v/>
      </c>
      <c r="AD19" s="20">
        <f>IFERROR(VLOOKUP($A19,subQ,MATCH(AD$1,SUBQH,0),0),"")</f>
        <v/>
      </c>
      <c r="AE19" s="20">
        <f>IFERROR(VLOOKUP($A19,subQ,MATCH(AE$1,SUBQH,0),0),"")</f>
        <v/>
      </c>
      <c r="AF19" s="20">
        <f>IFERROR(VLOOKUP($A19,subQ,MATCH(AF$1,SUBQH,0),0),"")</f>
        <v/>
      </c>
      <c r="AG19" s="20">
        <f>IFERROR(VLOOKUP($A19,subQ,MATCH(AG$1,SUBQH,0),0),"")</f>
        <v/>
      </c>
    </row>
    <row r="20">
      <c r="A20" s="12" t="inlineStr">
        <is>
          <t>당기순이익</t>
        </is>
      </c>
      <c r="D20" t="inlineStr">
        <is>
          <t>당기순이익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18">
        <f>IFERROR(VLOOKUP($A20,subQ,MATCH(U$1,SUBQH,0),0),"")</f>
        <v/>
      </c>
      <c r="V20" s="18">
        <f>IFERROR(VLOOKUP($A20,subQ,MATCH(V$1,SUBQH,0),0),"")</f>
        <v/>
      </c>
      <c r="W20" s="46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  <c r="Z20" s="20">
        <f>IFERROR(VLOOKUP($A20,subQ,MATCH(Z$1,SUBQH,0),0),"")</f>
        <v/>
      </c>
      <c r="AA20" s="20">
        <f>IFERROR(VLOOKUP($A20,subQ,MATCH(AA$1,SUBQH,0),0),"")</f>
        <v/>
      </c>
      <c r="AB20" s="20">
        <f>IFERROR(VLOOKUP($A20,subQ,MATCH(AB$1,SUBQH,0),0),"")</f>
        <v/>
      </c>
      <c r="AC20" s="20">
        <f>IFERROR(VLOOKUP($A20,subQ,MATCH(AC$1,SUBQH,0),0),"")</f>
        <v/>
      </c>
      <c r="AD20" s="20">
        <f>IFERROR(VLOOKUP($A20,subQ,MATCH(AD$1,SUBQH,0),0),"")</f>
        <v/>
      </c>
      <c r="AE20" s="20">
        <f>IFERROR(VLOOKUP($A20,subQ,MATCH(AE$1,SUBQH,0),0),"")</f>
        <v/>
      </c>
      <c r="AF20" s="20">
        <f>IFERROR(VLOOKUP($A20,subQ,MATCH(AF$1,SUBQH,0),0),"")</f>
        <v/>
      </c>
      <c r="AG20" s="20">
        <f>IFERROR(VLOOKUP($A20,subQ,MATCH(AG$1,SUBQH,0),0),"")</f>
        <v/>
      </c>
    </row>
    <row r="21">
      <c r="A21" s="12" t="inlineStr">
        <is>
          <t>지배주주순이익</t>
        </is>
      </c>
      <c r="D21" t="inlineStr">
        <is>
          <t>지배주주순이익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18">
        <f>IFERROR(VLOOKUP($A21,subQ,MATCH(U$1,SUBQH,0),0),"")</f>
        <v/>
      </c>
      <c r="V21" s="18">
        <f>IFERROR(VLOOKUP($A21,subQ,MATCH(V$1,SUBQH,0),0),"")</f>
        <v/>
      </c>
      <c r="W21" s="46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  <c r="Z21" s="20">
        <f>IFERROR(VLOOKUP($A21,subQ,MATCH(Z$1,SUBQH,0),0),"")</f>
        <v/>
      </c>
      <c r="AA21" s="20">
        <f>IFERROR(VLOOKUP($A21,subQ,MATCH(AA$1,SUBQH,0),0),"")</f>
        <v/>
      </c>
      <c r="AB21" s="20">
        <f>IFERROR(VLOOKUP($A21,subQ,MATCH(AB$1,SUBQH,0),0),"")</f>
        <v/>
      </c>
      <c r="AC21" s="20">
        <f>IFERROR(VLOOKUP($A21,subQ,MATCH(AC$1,SUBQH,0),0),"")</f>
        <v/>
      </c>
      <c r="AD21" s="20">
        <f>IFERROR(VLOOKUP($A21,subQ,MATCH(AD$1,SUBQH,0),0),"")</f>
        <v/>
      </c>
      <c r="AE21" s="20">
        <f>IFERROR(VLOOKUP($A21,subQ,MATCH(AE$1,SUBQH,0),0),"")</f>
        <v/>
      </c>
      <c r="AF21" s="20">
        <f>IFERROR(VLOOKUP($A21,subQ,MATCH(AF$1,SUBQH,0),0),"")</f>
        <v/>
      </c>
      <c r="AG21" s="20">
        <f>IFERROR(VLOOKUP($A21,subQ,MATCH(AG$1,SUBQH,0),0),"")</f>
        <v/>
      </c>
    </row>
    <row r="22">
      <c r="A22" s="12" t="inlineStr">
        <is>
          <t>중단사업이익</t>
        </is>
      </c>
      <c r="D22" t="inlineStr">
        <is>
          <t>중단사업이익(실적만)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18">
        <f>IFERROR(VLOOKUP($A22,subQ,MATCH(U$1,SUBQH,0),0),"")</f>
        <v/>
      </c>
      <c r="V22" s="18">
        <f>IFERROR(VLOOKUP($A22,subQ,MATCH(V$1,SUBQH,0),0),"")</f>
        <v/>
      </c>
      <c r="W22" s="46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  <c r="Z22" s="20">
        <f>IFERROR(VLOOKUP($A22,subQ,MATCH(Z$1,SUBQH,0),0),"")</f>
        <v/>
      </c>
      <c r="AA22" s="20">
        <f>IFERROR(VLOOKUP($A22,subQ,MATCH(AA$1,SUBQH,0),0),"")</f>
        <v/>
      </c>
      <c r="AB22" s="20">
        <f>IFERROR(VLOOKUP($A22,subQ,MATCH(AB$1,SUBQH,0),0),"")</f>
        <v/>
      </c>
      <c r="AC22" s="20">
        <f>IFERROR(VLOOKUP($A22,subQ,MATCH(AC$1,SUBQH,0),0),"")</f>
        <v/>
      </c>
      <c r="AD22" s="20">
        <f>IFERROR(VLOOKUP($A22,subQ,MATCH(AD$1,SUBQH,0),0),"")</f>
        <v/>
      </c>
      <c r="AE22" s="20">
        <f>IFERROR(VLOOKUP($A22,subQ,MATCH(AE$1,SUBQH,0),0),"")</f>
        <v/>
      </c>
      <c r="AF22" s="20">
        <f>IFERROR(VLOOKUP($A22,subQ,MATCH(AF$1,SUBQH,0),0),"")</f>
        <v/>
      </c>
      <c r="AG22" s="20">
        <f>IFERROR(VLOOKUP($A22,subQ,MATCH(AG$1,SUBQH,0),0),"")</f>
        <v/>
      </c>
    </row>
    <row r="23">
      <c r="A23" s="12" t="inlineStr">
        <is>
          <t>감가상각비</t>
        </is>
      </c>
      <c r="D23" t="inlineStr">
        <is>
          <t>감가상각비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18">
        <f>IFERROR(VLOOKUP($A23,subQ,MATCH(U$1,SUBQH,0),0),"")</f>
        <v/>
      </c>
      <c r="V23" s="18">
        <f>IFERROR(VLOOKUP($A23,subQ,MATCH(V$1,SUBQH,0),0),"")</f>
        <v/>
      </c>
      <c r="W23" s="46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  <c r="Z23" s="20">
        <f>IFERROR(VLOOKUP($A23,subQ,MATCH(Z$1,SUBQH,0),0),"")</f>
        <v/>
      </c>
      <c r="AA23" s="20">
        <f>IFERROR(VLOOKUP($A23,subQ,MATCH(AA$1,SUBQH,0),0),"")</f>
        <v/>
      </c>
      <c r="AB23" s="20">
        <f>IFERROR(VLOOKUP($A23,subQ,MATCH(AB$1,SUBQH,0),0),"")</f>
        <v/>
      </c>
      <c r="AC23" s="20">
        <f>IFERROR(VLOOKUP($A23,subQ,MATCH(AC$1,SUBQH,0),0),"")</f>
        <v/>
      </c>
      <c r="AD23" s="20">
        <f>IFERROR(VLOOKUP($A23,subQ,MATCH(AD$1,SUBQH,0),0),"")</f>
        <v/>
      </c>
      <c r="AE23" s="20">
        <f>IFERROR(VLOOKUP($A23,subQ,MATCH(AE$1,SUBQH,0),0),"")</f>
        <v/>
      </c>
      <c r="AF23" s="20">
        <f>IFERROR(VLOOKUP($A23,subQ,MATCH(AF$1,SUBQH,0),0),"")</f>
        <v/>
      </c>
      <c r="AG23" s="20">
        <f>IFERROR(VLOOKUP($A23,subQ,MATCH(AG$1,SUBQH,0),0),"")</f>
        <v/>
      </c>
    </row>
    <row r="24">
      <c r="A24" s="12" t="inlineStr">
        <is>
          <t>EBITDA</t>
        </is>
      </c>
      <c r="D24" t="inlineStr">
        <is>
          <t>EBITDA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18">
        <f>IFERROR(VLOOKUP($A24,subQ,MATCH(U$1,SUBQH,0),0),"")</f>
        <v/>
      </c>
      <c r="V24" s="18">
        <f>IFERROR(VLOOKUP($A24,subQ,MATCH(V$1,SUBQH,0),0),"")</f>
        <v/>
      </c>
      <c r="W24" s="46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  <c r="Z24" s="20">
        <f>IFERROR(VLOOKUP($A24,subQ,MATCH(Z$1,SUBQH,0),0),"")</f>
        <v/>
      </c>
      <c r="AA24" s="20">
        <f>IFERROR(VLOOKUP($A24,subQ,MATCH(AA$1,SUBQH,0),0),"")</f>
        <v/>
      </c>
      <c r="AB24" s="20">
        <f>IFERROR(VLOOKUP($A24,subQ,MATCH(AB$1,SUBQH,0),0),"")</f>
        <v/>
      </c>
      <c r="AC24" s="20">
        <f>IFERROR(VLOOKUP($A24,subQ,MATCH(AC$1,SUBQH,0),0),"")</f>
        <v/>
      </c>
      <c r="AD24" s="20">
        <f>IFERROR(VLOOKUP($A24,subQ,MATCH(AD$1,SUBQH,0),0),"")</f>
        <v/>
      </c>
      <c r="AE24" s="20">
        <f>IFERROR(VLOOKUP($A24,subQ,MATCH(AE$1,SUBQH,0),0),"")</f>
        <v/>
      </c>
      <c r="AF24" s="20">
        <f>IFERROR(VLOOKUP($A24,subQ,MATCH(AF$1,SUBQH,0),0),"")</f>
        <v/>
      </c>
      <c r="AG24" s="20">
        <f>IFERROR(VLOOKUP($A24,subQ,MATCH(AG$1,SUBQH,0),0),"")</f>
        <v/>
      </c>
    </row>
    <row r="25">
      <c r="A25" s="12" t="inlineStr">
        <is>
          <t>자산총계</t>
        </is>
      </c>
      <c r="D25" t="inlineStr">
        <is>
          <t>자산총계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18">
        <f>IFERROR(VLOOKUP($A25,subQ,MATCH(U$1,SUBQH,0),0),"")</f>
        <v/>
      </c>
      <c r="V25" s="18">
        <f>IFERROR(VLOOKUP($A25,subQ,MATCH(V$1,SUBQH,0),0),"")</f>
        <v/>
      </c>
      <c r="W25" s="46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  <c r="Z25" s="20">
        <f>IFERROR(VLOOKUP($A25,subQ,MATCH(Z$1,SUBQH,0),0),"")</f>
        <v/>
      </c>
      <c r="AA25" s="20">
        <f>IFERROR(VLOOKUP($A25,subQ,MATCH(AA$1,SUBQH,0),0),"")</f>
        <v/>
      </c>
      <c r="AB25" s="20">
        <f>IFERROR(VLOOKUP($A25,subQ,MATCH(AB$1,SUBQH,0),0),"")</f>
        <v/>
      </c>
      <c r="AC25" s="20">
        <f>IFERROR(VLOOKUP($A25,subQ,MATCH(AC$1,SUBQH,0),0),"")</f>
        <v/>
      </c>
      <c r="AD25" s="20">
        <f>IFERROR(VLOOKUP($A25,subQ,MATCH(AD$1,SUBQH,0),0),"")</f>
        <v/>
      </c>
      <c r="AE25" s="20">
        <f>IFERROR(VLOOKUP($A25,subQ,MATCH(AE$1,SUBQH,0),0),"")</f>
        <v/>
      </c>
      <c r="AF25" s="20">
        <f>IFERROR(VLOOKUP($A25,subQ,MATCH(AF$1,SUBQH,0),0),"")</f>
        <v/>
      </c>
      <c r="AG25" s="20">
        <f>IFERROR(VLOOKUP($A25,subQ,MATCH(AG$1,SUBQH,0),0),"")</f>
        <v/>
      </c>
    </row>
    <row r="26">
      <c r="A26" s="12" t="inlineStr">
        <is>
          <t>부채총계</t>
        </is>
      </c>
      <c r="D26" t="inlineStr">
        <is>
          <t>부채총계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18">
        <f>IFERROR(VLOOKUP($A26,subQ,MATCH(S$1,SUBQH,0),0),"")</f>
        <v/>
      </c>
      <c r="T26" s="18">
        <f>IFERROR(VLOOKUP($A26,subQ,MATCH(T$1,SUBQH,0),0),"")</f>
        <v/>
      </c>
      <c r="U26" s="18">
        <f>IFERROR(VLOOKUP($A26,subQ,MATCH(U$1,SUBQH,0),0),"")</f>
        <v/>
      </c>
      <c r="V26" s="18">
        <f>IFERROR(VLOOKUP($A26,subQ,MATCH(V$1,SUBQH,0),0),"")</f>
        <v/>
      </c>
      <c r="W26" s="46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  <c r="Z26" s="20">
        <f>IFERROR(VLOOKUP($A26,subQ,MATCH(Z$1,SUBQH,0),0),"")</f>
        <v/>
      </c>
      <c r="AA26" s="20">
        <f>IFERROR(VLOOKUP($A26,subQ,MATCH(AA$1,SUBQH,0),0),"")</f>
        <v/>
      </c>
      <c r="AB26" s="20">
        <f>IFERROR(VLOOKUP($A26,subQ,MATCH(AB$1,SUBQH,0),0),"")</f>
        <v/>
      </c>
      <c r="AC26" s="20">
        <f>IFERROR(VLOOKUP($A26,subQ,MATCH(AC$1,SUBQH,0),0),"")</f>
        <v/>
      </c>
      <c r="AD26" s="20">
        <f>IFERROR(VLOOKUP($A26,subQ,MATCH(AD$1,SUBQH,0),0),"")</f>
        <v/>
      </c>
      <c r="AE26" s="20">
        <f>IFERROR(VLOOKUP($A26,subQ,MATCH(AE$1,SUBQH,0),0),"")</f>
        <v/>
      </c>
      <c r="AF26" s="20">
        <f>IFERROR(VLOOKUP($A26,subQ,MATCH(AF$1,SUBQH,0),0),"")</f>
        <v/>
      </c>
      <c r="AG26" s="20">
        <f>IFERROR(VLOOKUP($A26,subQ,MATCH(AG$1,SUBQH,0),0),"")</f>
        <v/>
      </c>
    </row>
    <row r="27">
      <c r="A27" s="12" t="inlineStr">
        <is>
          <t>자본총계</t>
        </is>
      </c>
      <c r="D27" t="inlineStr">
        <is>
          <t>자본총계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18">
        <f>IFERROR(VLOOKUP($A27,subQ,MATCH(U$1,SUBQH,0),0),"")</f>
        <v/>
      </c>
      <c r="V27" s="18">
        <f>IFERROR(VLOOKUP($A27,subQ,MATCH(V$1,SUBQH,0),0),"")</f>
        <v/>
      </c>
      <c r="W27" s="46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  <c r="Z27" s="20">
        <f>IFERROR(VLOOKUP($A27,subQ,MATCH(Z$1,SUBQH,0),0),"")</f>
        <v/>
      </c>
      <c r="AA27" s="20">
        <f>IFERROR(VLOOKUP($A27,subQ,MATCH(AA$1,SUBQH,0),0),"")</f>
        <v/>
      </c>
      <c r="AB27" s="20">
        <f>IFERROR(VLOOKUP($A27,subQ,MATCH(AB$1,SUBQH,0),0),"")</f>
        <v/>
      </c>
      <c r="AC27" s="20">
        <f>IFERROR(VLOOKUP($A27,subQ,MATCH(AC$1,SUBQH,0),0),"")</f>
        <v/>
      </c>
      <c r="AD27" s="20">
        <f>IFERROR(VLOOKUP($A27,subQ,MATCH(AD$1,SUBQH,0),0),"")</f>
        <v/>
      </c>
      <c r="AE27" s="20">
        <f>IFERROR(VLOOKUP($A27,subQ,MATCH(AE$1,SUBQH,0),0),"")</f>
        <v/>
      </c>
      <c r="AF27" s="20">
        <f>IFERROR(VLOOKUP($A27,subQ,MATCH(AF$1,SUBQH,0),0),"")</f>
        <v/>
      </c>
      <c r="AG27" s="20">
        <f>IFERROR(VLOOKUP($A27,subQ,MATCH(AG$1,SUBQH,0),0),"")</f>
        <v/>
      </c>
    </row>
    <row r="28">
      <c r="A28" s="12" t="inlineStr">
        <is>
          <t>지배주주지분</t>
        </is>
      </c>
      <c r="D28" t="inlineStr">
        <is>
          <t>지배주주지분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18">
        <f>IFERROR(VLOOKUP($A28,subQ,MATCH(I$1,SUBQH,0),0),"")</f>
        <v/>
      </c>
      <c r="J28" s="18">
        <f>IFERROR(VLOOKUP($A28,subQ,MATCH(J$1,SUBQH,0),0),"")</f>
        <v/>
      </c>
      <c r="K28" s="18">
        <f>IFERROR(VLOOKUP($A28,subQ,MATCH(K$1,SUBQH,0),0),"")</f>
        <v/>
      </c>
      <c r="L28" s="18">
        <f>IFERROR(VLOOKUP($A28,subQ,MATCH(L$1,SUBQH,0),0),"")</f>
        <v/>
      </c>
      <c r="M28" s="18">
        <f>IFERROR(VLOOKUP($A28,subQ,MATCH(M$1,SUBQH,0),0),"")</f>
        <v/>
      </c>
      <c r="N28" s="18">
        <f>IFERROR(VLOOKUP($A28,subQ,MATCH(N$1,SUBQH,0),0),"")</f>
        <v/>
      </c>
      <c r="O28" s="18">
        <f>IFERROR(VLOOKUP($A28,subQ,MATCH(O$1,SUBQH,0),0),"")</f>
        <v/>
      </c>
      <c r="P28" s="18">
        <f>IFERROR(VLOOKUP($A28,subQ,MATCH(P$1,SUBQH,0),0),"")</f>
        <v/>
      </c>
      <c r="Q28" s="18">
        <f>IFERROR(VLOOKUP($A28,subQ,MATCH(Q$1,SUBQH,0),0),"")</f>
        <v/>
      </c>
      <c r="R28" s="18">
        <f>IFERROR(VLOOKUP($A28,subQ,MATCH(R$1,SUBQH,0),0),"")</f>
        <v/>
      </c>
      <c r="S28" s="18">
        <f>IFERROR(VLOOKUP($A28,subQ,MATCH(S$1,SUBQH,0),0),"")</f>
        <v/>
      </c>
      <c r="T28" s="18">
        <f>IFERROR(VLOOKUP($A28,subQ,MATCH(T$1,SUBQH,0),0),"")</f>
        <v/>
      </c>
      <c r="U28" s="18">
        <f>IFERROR(VLOOKUP($A28,subQ,MATCH(U$1,SUBQH,0),0),"")</f>
        <v/>
      </c>
      <c r="V28" s="18">
        <f>IFERROR(VLOOKUP($A28,subQ,MATCH(V$1,SUBQH,0),0),"")</f>
        <v/>
      </c>
      <c r="W28" s="46">
        <f>IFERROR(VLOOKUP($A28,subQ,MATCH(W$1,SUBQH,0),0),"")</f>
        <v/>
      </c>
      <c r="X28" s="20">
        <f>IFERROR(VLOOKUP($A28,subQ,MATCH(X$1,SUBQH,0),0),"")</f>
        <v/>
      </c>
      <c r="Y28" s="20">
        <f>IFERROR(VLOOKUP($A28,subQ,MATCH(Y$1,SUBQH,0),0),"")</f>
        <v/>
      </c>
      <c r="Z28" s="20">
        <f>IFERROR(VLOOKUP($A28,subQ,MATCH(Z$1,SUBQH,0),0),"")</f>
        <v/>
      </c>
      <c r="AA28" s="20">
        <f>IFERROR(VLOOKUP($A28,subQ,MATCH(AA$1,SUBQH,0),0),"")</f>
        <v/>
      </c>
      <c r="AB28" s="20">
        <f>IFERROR(VLOOKUP($A28,subQ,MATCH(AB$1,SUBQH,0),0),"")</f>
        <v/>
      </c>
      <c r="AC28" s="20">
        <f>IFERROR(VLOOKUP($A28,subQ,MATCH(AC$1,SUBQH,0),0),"")</f>
        <v/>
      </c>
      <c r="AD28" s="20">
        <f>IFERROR(VLOOKUP($A28,subQ,MATCH(AD$1,SUBQH,0),0),"")</f>
        <v/>
      </c>
      <c r="AE28" s="20">
        <f>IFERROR(VLOOKUP($A28,subQ,MATCH(AE$1,SUBQH,0),0),"")</f>
        <v/>
      </c>
      <c r="AF28" s="20">
        <f>IFERROR(VLOOKUP($A28,subQ,MATCH(AF$1,SUBQH,0),0),"")</f>
        <v/>
      </c>
      <c r="AG28" s="20">
        <f>IFERROR(VLOOKUP($A28,subQ,MATCH(AG$1,SUBQH,0),0),"")</f>
        <v/>
      </c>
    </row>
    <row r="29">
      <c r="A29" s="12" t="inlineStr">
        <is>
          <t>총차입금</t>
        </is>
      </c>
      <c r="D29" t="inlineStr">
        <is>
          <t>총차입금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18">
        <f>IFERROR(VLOOKUP($A29,subQ,MATCH(I$1,SUBQH,0),0),"")</f>
        <v/>
      </c>
      <c r="J29" s="18">
        <f>IFERROR(VLOOKUP($A29,subQ,MATCH(J$1,SUBQH,0),0),"")</f>
        <v/>
      </c>
      <c r="K29" s="18">
        <f>IFERROR(VLOOKUP($A29,subQ,MATCH(K$1,SUBQH,0),0),"")</f>
        <v/>
      </c>
      <c r="L29" s="18">
        <f>IFERROR(VLOOKUP($A29,subQ,MATCH(L$1,SUBQH,0),0),"")</f>
        <v/>
      </c>
      <c r="M29" s="18">
        <f>IFERROR(VLOOKUP($A29,subQ,MATCH(M$1,SUBQH,0),0),"")</f>
        <v/>
      </c>
      <c r="N29" s="18">
        <f>IFERROR(VLOOKUP($A29,subQ,MATCH(N$1,SUBQH,0),0),"")</f>
        <v/>
      </c>
      <c r="O29" s="18">
        <f>IFERROR(VLOOKUP($A29,subQ,MATCH(O$1,SUBQH,0),0),"")</f>
        <v/>
      </c>
      <c r="P29" s="18">
        <f>IFERROR(VLOOKUP($A29,subQ,MATCH(P$1,SUBQH,0),0),"")</f>
        <v/>
      </c>
      <c r="Q29" s="18">
        <f>IFERROR(VLOOKUP($A29,subQ,MATCH(Q$1,SUBQH,0),0),"")</f>
        <v/>
      </c>
      <c r="R29" s="18">
        <f>IFERROR(VLOOKUP($A29,subQ,MATCH(R$1,SUBQH,0),0),"")</f>
        <v/>
      </c>
      <c r="S29" s="18">
        <f>IFERROR(VLOOKUP($A29,subQ,MATCH(S$1,SUBQH,0),0),"")</f>
        <v/>
      </c>
      <c r="T29" s="18">
        <f>IFERROR(VLOOKUP($A29,subQ,MATCH(T$1,SUBQH,0),0),"")</f>
        <v/>
      </c>
      <c r="U29" s="18">
        <f>IFERROR(VLOOKUP($A29,subQ,MATCH(U$1,SUBQH,0),0),"")</f>
        <v/>
      </c>
      <c r="V29" s="18">
        <f>IFERROR(VLOOKUP($A29,subQ,MATCH(V$1,SUBQH,0),0),"")</f>
        <v/>
      </c>
      <c r="W29" s="46">
        <f>IFERROR(VLOOKUP($A29,subQ,MATCH(W$1,SUBQH,0),0),"")</f>
        <v/>
      </c>
      <c r="X29" s="20">
        <f>IFERROR(VLOOKUP($A29,subQ,MATCH(X$1,SUBQH,0),0),"")</f>
        <v/>
      </c>
      <c r="Y29" s="20">
        <f>IFERROR(VLOOKUP($A29,subQ,MATCH(Y$1,SUBQH,0),0),"")</f>
        <v/>
      </c>
      <c r="Z29" s="20">
        <f>IFERROR(VLOOKUP($A29,subQ,MATCH(Z$1,SUBQH,0),0),"")</f>
        <v/>
      </c>
      <c r="AA29" s="20">
        <f>IFERROR(VLOOKUP($A29,subQ,MATCH(AA$1,SUBQH,0),0),"")</f>
        <v/>
      </c>
      <c r="AB29" s="20">
        <f>IFERROR(VLOOKUP($A29,subQ,MATCH(AB$1,SUBQH,0),0),"")</f>
        <v/>
      </c>
      <c r="AC29" s="20">
        <f>IFERROR(VLOOKUP($A29,subQ,MATCH(AC$1,SUBQH,0),0),"")</f>
        <v/>
      </c>
      <c r="AD29" s="20">
        <f>IFERROR(VLOOKUP($A29,subQ,MATCH(AD$1,SUBQH,0),0),"")</f>
        <v/>
      </c>
      <c r="AE29" s="20">
        <f>IFERROR(VLOOKUP($A29,subQ,MATCH(AE$1,SUBQH,0),0),"")</f>
        <v/>
      </c>
      <c r="AF29" s="20">
        <f>IFERROR(VLOOKUP($A29,subQ,MATCH(AF$1,SUBQH,0),0),"")</f>
        <v/>
      </c>
      <c r="AG29" s="20">
        <f>IFERROR(VLOOKUP($A29,subQ,MATCH(AG$1,SUBQH,0),0),"")</f>
        <v/>
      </c>
    </row>
    <row r="30">
      <c r="A30" s="12" t="inlineStr">
        <is>
          <t>순차입금</t>
        </is>
      </c>
      <c r="D30" t="inlineStr">
        <is>
          <t>순차입금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18">
        <f>IFERROR(VLOOKUP($A30,subQ,MATCH(I$1,SUBQH,0),0),"")</f>
        <v/>
      </c>
      <c r="J30" s="18">
        <f>IFERROR(VLOOKUP($A30,subQ,MATCH(J$1,SUBQH,0),0),"")</f>
        <v/>
      </c>
      <c r="K30" s="18">
        <f>IFERROR(VLOOKUP($A30,subQ,MATCH(K$1,SUBQH,0),0),"")</f>
        <v/>
      </c>
      <c r="L30" s="18">
        <f>IFERROR(VLOOKUP($A30,subQ,MATCH(L$1,SUBQH,0),0),"")</f>
        <v/>
      </c>
      <c r="M30" s="18">
        <f>IFERROR(VLOOKUP($A30,subQ,MATCH(M$1,SUBQH,0),0),"")</f>
        <v/>
      </c>
      <c r="N30" s="18">
        <f>IFERROR(VLOOKUP($A30,subQ,MATCH(N$1,SUBQH,0),0),"")</f>
        <v/>
      </c>
      <c r="O30" s="18">
        <f>IFERROR(VLOOKUP($A30,subQ,MATCH(O$1,SUBQH,0),0),"")</f>
        <v/>
      </c>
      <c r="P30" s="18">
        <f>IFERROR(VLOOKUP($A30,subQ,MATCH(P$1,SUBQH,0),0),"")</f>
        <v/>
      </c>
      <c r="Q30" s="18">
        <f>IFERROR(VLOOKUP($A30,subQ,MATCH(Q$1,SUBQH,0),0),"")</f>
        <v/>
      </c>
      <c r="R30" s="18">
        <f>IFERROR(VLOOKUP($A30,subQ,MATCH(R$1,SUBQH,0),0),"")</f>
        <v/>
      </c>
      <c r="S30" s="18">
        <f>IFERROR(VLOOKUP($A30,subQ,MATCH(S$1,SUBQH,0),0),"")</f>
        <v/>
      </c>
      <c r="T30" s="18">
        <f>IFERROR(VLOOKUP($A30,subQ,MATCH(T$1,SUBQH,0),0),"")</f>
        <v/>
      </c>
      <c r="U30" s="18">
        <f>IFERROR(VLOOKUP($A30,subQ,MATCH(U$1,SUBQH,0),0),"")</f>
        <v/>
      </c>
      <c r="V30" s="18">
        <f>IFERROR(VLOOKUP($A30,subQ,MATCH(V$1,SUBQH,0),0),"")</f>
        <v/>
      </c>
      <c r="W30" s="46">
        <f>IFERROR(VLOOKUP($A30,subQ,MATCH(W$1,SUBQH,0),0),"")</f>
        <v/>
      </c>
      <c r="X30" s="20">
        <f>IFERROR(VLOOKUP($A30,subQ,MATCH(X$1,SUBQH,0),0),"")</f>
        <v/>
      </c>
      <c r="Y30" s="20">
        <f>IFERROR(VLOOKUP($A30,subQ,MATCH(Y$1,SUBQH,0),0),"")</f>
        <v/>
      </c>
      <c r="Z30" s="20">
        <f>IFERROR(VLOOKUP($A30,subQ,MATCH(Z$1,SUBQH,0),0),"")</f>
        <v/>
      </c>
      <c r="AA30" s="20">
        <f>IFERROR(VLOOKUP($A30,subQ,MATCH(AA$1,SUBQH,0),0),"")</f>
        <v/>
      </c>
      <c r="AB30" s="20">
        <f>IFERROR(VLOOKUP($A30,subQ,MATCH(AB$1,SUBQH,0),0),"")</f>
        <v/>
      </c>
      <c r="AC30" s="20">
        <f>IFERROR(VLOOKUP($A30,subQ,MATCH(AC$1,SUBQH,0),0),"")</f>
        <v/>
      </c>
      <c r="AD30" s="20">
        <f>IFERROR(VLOOKUP($A30,subQ,MATCH(AD$1,SUBQH,0),0),"")</f>
        <v/>
      </c>
      <c r="AE30" s="20">
        <f>IFERROR(VLOOKUP($A30,subQ,MATCH(AE$1,SUBQH,0),0),"")</f>
        <v/>
      </c>
      <c r="AF30" s="20">
        <f>IFERROR(VLOOKUP($A30,subQ,MATCH(AF$1,SUBQH,0),0),"")</f>
        <v/>
      </c>
      <c r="AG30" s="20">
        <f>IFERROR(VLOOKUP($A30,subQ,MATCH(AG$1,SUBQH,0),0),"")</f>
        <v/>
      </c>
    </row>
    <row r="31">
      <c r="A31" s="12" t="inlineStr">
        <is>
          <t>이자발생자산</t>
        </is>
      </c>
      <c r="D31" t="inlineStr">
        <is>
          <t>이자발생자산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18">
        <f>IFERROR(VLOOKUP($A31,subQ,MATCH(I$1,SUBQH,0),0),"")</f>
        <v/>
      </c>
      <c r="J31" s="18">
        <f>IFERROR(VLOOKUP($A31,subQ,MATCH(J$1,SUBQH,0),0),"")</f>
        <v/>
      </c>
      <c r="K31" s="18">
        <f>IFERROR(VLOOKUP($A31,subQ,MATCH(K$1,SUBQH,0),0),"")</f>
        <v/>
      </c>
      <c r="L31" s="18">
        <f>IFERROR(VLOOKUP($A31,subQ,MATCH(L$1,SUBQH,0),0),"")</f>
        <v/>
      </c>
      <c r="M31" s="18">
        <f>IFERROR(VLOOKUP($A31,subQ,MATCH(M$1,SUBQH,0),0),"")</f>
        <v/>
      </c>
      <c r="N31" s="18">
        <f>IFERROR(VLOOKUP($A31,subQ,MATCH(N$1,SUBQH,0),0),"")</f>
        <v/>
      </c>
      <c r="O31" s="18">
        <f>IFERROR(VLOOKUP($A31,subQ,MATCH(O$1,SUBQH,0),0),"")</f>
        <v/>
      </c>
      <c r="P31" s="18">
        <f>IFERROR(VLOOKUP($A31,subQ,MATCH(P$1,SUBQH,0),0),"")</f>
        <v/>
      </c>
      <c r="Q31" s="18">
        <f>IFERROR(VLOOKUP($A31,subQ,MATCH(Q$1,SUBQH,0),0),"")</f>
        <v/>
      </c>
      <c r="R31" s="18">
        <f>IFERROR(VLOOKUP($A31,subQ,MATCH(R$1,SUBQH,0),0),"")</f>
        <v/>
      </c>
      <c r="S31" s="18">
        <f>IFERROR(VLOOKUP($A31,subQ,MATCH(S$1,SUBQH,0),0),"")</f>
        <v/>
      </c>
      <c r="T31" s="18">
        <f>IFERROR(VLOOKUP($A31,subQ,MATCH(T$1,SUBQH,0),0),"")</f>
        <v/>
      </c>
      <c r="U31" s="18">
        <f>IFERROR(VLOOKUP($A31,subQ,MATCH(U$1,SUBQH,0),0),"")</f>
        <v/>
      </c>
      <c r="V31" s="18">
        <f>IFERROR(VLOOKUP($A31,subQ,MATCH(V$1,SUBQH,0),0),"")</f>
        <v/>
      </c>
      <c r="W31" s="46">
        <f>IFERROR(VLOOKUP($A31,subQ,MATCH(W$1,SUBQH,0),0),"")</f>
        <v/>
      </c>
      <c r="X31" s="20">
        <f>IFERROR(VLOOKUP($A31,subQ,MATCH(X$1,SUBQH,0),0),"")</f>
        <v/>
      </c>
      <c r="Y31" s="20">
        <f>IFERROR(VLOOKUP($A31,subQ,MATCH(Y$1,SUBQH,0),0),"")</f>
        <v/>
      </c>
      <c r="Z31" s="20">
        <f>IFERROR(VLOOKUP($A31,subQ,MATCH(Z$1,SUBQH,0),0),"")</f>
        <v/>
      </c>
      <c r="AA31" s="20">
        <f>IFERROR(VLOOKUP($A31,subQ,MATCH(AA$1,SUBQH,0),0),"")</f>
        <v/>
      </c>
      <c r="AB31" s="20">
        <f>IFERROR(VLOOKUP($A31,subQ,MATCH(AB$1,SUBQH,0),0),"")</f>
        <v/>
      </c>
      <c r="AC31" s="20">
        <f>IFERROR(VLOOKUP($A31,subQ,MATCH(AC$1,SUBQH,0),0),"")</f>
        <v/>
      </c>
      <c r="AD31" s="20">
        <f>IFERROR(VLOOKUP($A31,subQ,MATCH(AD$1,SUBQH,0),0),"")</f>
        <v/>
      </c>
      <c r="AE31" s="20">
        <f>IFERROR(VLOOKUP($A31,subQ,MATCH(AE$1,SUBQH,0),0),"")</f>
        <v/>
      </c>
      <c r="AF31" s="20">
        <f>IFERROR(VLOOKUP($A31,subQ,MATCH(AF$1,SUBQH,0),0),"")</f>
        <v/>
      </c>
      <c r="AG31" s="20">
        <f>IFERROR(VLOOKUP($A31,subQ,MATCH(AG$1,SUBQH,0),0),"")</f>
        <v/>
      </c>
    </row>
    <row r="32">
      <c r="A32" s="12" t="inlineStr">
        <is>
          <t>현금및현금성자산</t>
        </is>
      </c>
      <c r="D32" t="inlineStr">
        <is>
          <t>현금및현금성자산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18">
        <f>IFERROR(VLOOKUP($A32,subQ,MATCH(I$1,SUBQH,0),0),"")</f>
        <v/>
      </c>
      <c r="J32" s="18">
        <f>IFERROR(VLOOKUP($A32,subQ,MATCH(J$1,SUBQH,0),0),"")</f>
        <v/>
      </c>
      <c r="K32" s="18">
        <f>IFERROR(VLOOKUP($A32,subQ,MATCH(K$1,SUBQH,0),0),"")</f>
        <v/>
      </c>
      <c r="L32" s="18">
        <f>IFERROR(VLOOKUP($A32,subQ,MATCH(L$1,SUBQH,0),0),"")</f>
        <v/>
      </c>
      <c r="M32" s="18">
        <f>IFERROR(VLOOKUP($A32,subQ,MATCH(M$1,SUBQH,0),0),"")</f>
        <v/>
      </c>
      <c r="N32" s="18">
        <f>IFERROR(VLOOKUP($A32,subQ,MATCH(N$1,SUBQH,0),0),"")</f>
        <v/>
      </c>
      <c r="O32" s="18">
        <f>IFERROR(VLOOKUP($A32,subQ,MATCH(O$1,SUBQH,0),0),"")</f>
        <v/>
      </c>
      <c r="P32" s="18">
        <f>IFERROR(VLOOKUP($A32,subQ,MATCH(P$1,SUBQH,0),0),"")</f>
        <v/>
      </c>
      <c r="Q32" s="18">
        <f>IFERROR(VLOOKUP($A32,subQ,MATCH(Q$1,SUBQH,0),0),"")</f>
        <v/>
      </c>
      <c r="R32" s="18">
        <f>IFERROR(VLOOKUP($A32,subQ,MATCH(R$1,SUBQH,0),0),"")</f>
        <v/>
      </c>
      <c r="S32" s="18">
        <f>IFERROR(VLOOKUP($A32,subQ,MATCH(S$1,SUBQH,0),0),"")</f>
        <v/>
      </c>
      <c r="T32" s="18">
        <f>IFERROR(VLOOKUP($A32,subQ,MATCH(T$1,SUBQH,0),0),"")</f>
        <v/>
      </c>
      <c r="U32" s="18">
        <f>IFERROR(VLOOKUP($A32,subQ,MATCH(U$1,SUBQH,0),0),"")</f>
        <v/>
      </c>
      <c r="V32" s="18">
        <f>IFERROR(VLOOKUP($A32,subQ,MATCH(V$1,SUBQH,0),0),"")</f>
        <v/>
      </c>
      <c r="W32" s="46">
        <f>IFERROR(VLOOKUP($A32,subQ,MATCH(W$1,SUBQH,0),0),"")</f>
        <v/>
      </c>
      <c r="X32" s="20">
        <f>IFERROR(VLOOKUP($A32,subQ,MATCH(X$1,SUBQH,0),0),"")</f>
        <v/>
      </c>
      <c r="Y32" s="20">
        <f>IFERROR(VLOOKUP($A32,subQ,MATCH(Y$1,SUBQH,0),0),"")</f>
        <v/>
      </c>
      <c r="Z32" s="20">
        <f>IFERROR(VLOOKUP($A32,subQ,MATCH(Z$1,SUBQH,0),0),"")</f>
        <v/>
      </c>
      <c r="AA32" s="20">
        <f>IFERROR(VLOOKUP($A32,subQ,MATCH(AA$1,SUBQH,0),0),"")</f>
        <v/>
      </c>
      <c r="AB32" s="20">
        <f>IFERROR(VLOOKUP($A32,subQ,MATCH(AB$1,SUBQH,0),0),"")</f>
        <v/>
      </c>
      <c r="AC32" s="20">
        <f>IFERROR(VLOOKUP($A32,subQ,MATCH(AC$1,SUBQH,0),0),"")</f>
        <v/>
      </c>
      <c r="AD32" s="20">
        <f>IFERROR(VLOOKUP($A32,subQ,MATCH(AD$1,SUBQH,0),0),"")</f>
        <v/>
      </c>
      <c r="AE32" s="20">
        <f>IFERROR(VLOOKUP($A32,subQ,MATCH(AE$1,SUBQH,0),0),"")</f>
        <v/>
      </c>
      <c r="AF32" s="20">
        <f>IFERROR(VLOOKUP($A32,subQ,MATCH(AF$1,SUBQH,0),0),"")</f>
        <v/>
      </c>
      <c r="AG32" s="20">
        <f>IFERROR(VLOOKUP($A32,subQ,MATCH(AG$1,SUBQH,0),0),"")</f>
        <v/>
      </c>
    </row>
    <row r="33">
      <c r="A33" s="12" t="inlineStr">
        <is>
          <t>CAPEX</t>
        </is>
      </c>
      <c r="D33" t="inlineStr">
        <is>
          <t>CAPEX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18">
        <f>IFERROR(VLOOKUP($A33,subQ,MATCH(I$1,SUBQH,0),0),"")</f>
        <v/>
      </c>
      <c r="J33" s="18">
        <f>IFERROR(VLOOKUP($A33,subQ,MATCH(J$1,SUBQH,0),0),"")</f>
        <v/>
      </c>
      <c r="K33" s="18">
        <f>IFERROR(VLOOKUP($A33,subQ,MATCH(K$1,SUBQH,0),0),"")</f>
        <v/>
      </c>
      <c r="L33" s="18">
        <f>IFERROR(VLOOKUP($A33,subQ,MATCH(L$1,SUBQH,0),0),"")</f>
        <v/>
      </c>
      <c r="M33" s="18">
        <f>IFERROR(VLOOKUP($A33,subQ,MATCH(M$1,SUBQH,0),0),"")</f>
        <v/>
      </c>
      <c r="N33" s="18">
        <f>IFERROR(VLOOKUP($A33,subQ,MATCH(N$1,SUBQH,0),0),"")</f>
        <v/>
      </c>
      <c r="O33" s="18">
        <f>IFERROR(VLOOKUP($A33,subQ,MATCH(O$1,SUBQH,0),0),"")</f>
        <v/>
      </c>
      <c r="P33" s="18">
        <f>IFERROR(VLOOKUP($A33,subQ,MATCH(P$1,SUBQH,0),0),"")</f>
        <v/>
      </c>
      <c r="Q33" s="18">
        <f>IFERROR(VLOOKUP($A33,subQ,MATCH(Q$1,SUBQH,0),0),"")</f>
        <v/>
      </c>
      <c r="R33" s="18">
        <f>IFERROR(VLOOKUP($A33,subQ,MATCH(R$1,SUBQH,0),0),"")</f>
        <v/>
      </c>
      <c r="S33" s="18">
        <f>IFERROR(VLOOKUP($A33,subQ,MATCH(S$1,SUBQH,0),0),"")</f>
        <v/>
      </c>
      <c r="T33" s="18">
        <f>IFERROR(VLOOKUP($A33,subQ,MATCH(T$1,SUBQH,0),0),"")</f>
        <v/>
      </c>
      <c r="U33" s="18">
        <f>IFERROR(VLOOKUP($A33,subQ,MATCH(U$1,SUBQH,0),0),"")</f>
        <v/>
      </c>
      <c r="V33" s="18">
        <f>IFERROR(VLOOKUP($A33,subQ,MATCH(V$1,SUBQH,0),0),"")</f>
        <v/>
      </c>
      <c r="W33" s="46">
        <f>IFERROR(VLOOKUP($A33,subQ,MATCH(W$1,SUBQH,0),0),"")</f>
        <v/>
      </c>
      <c r="X33" s="20">
        <f>IFERROR(VLOOKUP($A33,subQ,MATCH(X$1,SUBQH,0),0),"")</f>
        <v/>
      </c>
      <c r="Y33" s="20">
        <f>IFERROR(VLOOKUP($A33,subQ,MATCH(Y$1,SUBQH,0),0),"")</f>
        <v/>
      </c>
      <c r="Z33" s="20">
        <f>IFERROR(VLOOKUP($A33,subQ,MATCH(Z$1,SUBQH,0),0),"")</f>
        <v/>
      </c>
      <c r="AA33" s="20">
        <f>IFERROR(VLOOKUP($A33,subQ,MATCH(AA$1,SUBQH,0),0),"")</f>
        <v/>
      </c>
      <c r="AB33" s="20">
        <f>IFERROR(VLOOKUP($A33,subQ,MATCH(AB$1,SUBQH,0),0),"")</f>
        <v/>
      </c>
      <c r="AC33" s="20">
        <f>IFERROR(VLOOKUP($A33,subQ,MATCH(AC$1,SUBQH,0),0),"")</f>
        <v/>
      </c>
      <c r="AD33" s="20">
        <f>IFERROR(VLOOKUP($A33,subQ,MATCH(AD$1,SUBQH,0),0),"")</f>
        <v/>
      </c>
      <c r="AE33" s="20">
        <f>IFERROR(VLOOKUP($A33,subQ,MATCH(AE$1,SUBQH,0),0),"")</f>
        <v/>
      </c>
      <c r="AF33" s="20">
        <f>IFERROR(VLOOKUP($A33,subQ,MATCH(AF$1,SUBQH,0),0),"")</f>
        <v/>
      </c>
      <c r="AG33" s="20">
        <f>IFERROR(VLOOKUP($A33,subQ,MATCH(AG$1,SUBQH,0),0),"")</f>
        <v/>
      </c>
    </row>
    <row r="34">
      <c r="A34" s="12" t="inlineStr">
        <is>
          <t>영업활동현금흐름</t>
        </is>
      </c>
      <c r="D34" t="inlineStr">
        <is>
          <t>영업활동현금흐름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18">
        <f>IFERROR(VLOOKUP($A34,subQ,MATCH(I$1,SUBQH,0),0),"")</f>
        <v/>
      </c>
      <c r="J34" s="18">
        <f>IFERROR(VLOOKUP($A34,subQ,MATCH(J$1,SUBQH,0),0),"")</f>
        <v/>
      </c>
      <c r="K34" s="18">
        <f>IFERROR(VLOOKUP($A34,subQ,MATCH(K$1,SUBQH,0),0),"")</f>
        <v/>
      </c>
      <c r="L34" s="18">
        <f>IFERROR(VLOOKUP($A34,subQ,MATCH(L$1,SUBQH,0),0),"")</f>
        <v/>
      </c>
      <c r="M34" s="18">
        <f>IFERROR(VLOOKUP($A34,subQ,MATCH(M$1,SUBQH,0),0),"")</f>
        <v/>
      </c>
      <c r="N34" s="18">
        <f>IFERROR(VLOOKUP($A34,subQ,MATCH(N$1,SUBQH,0),0),"")</f>
        <v/>
      </c>
      <c r="O34" s="18">
        <f>IFERROR(VLOOKUP($A34,subQ,MATCH(O$1,SUBQH,0),0),"")</f>
        <v/>
      </c>
      <c r="P34" s="18">
        <f>IFERROR(VLOOKUP($A34,subQ,MATCH(P$1,SUBQH,0),0),"")</f>
        <v/>
      </c>
      <c r="Q34" s="18">
        <f>IFERROR(VLOOKUP($A34,subQ,MATCH(Q$1,SUBQH,0),0),"")</f>
        <v/>
      </c>
      <c r="R34" s="18">
        <f>IFERROR(VLOOKUP($A34,subQ,MATCH(R$1,SUBQH,0),0),"")</f>
        <v/>
      </c>
      <c r="S34" s="18">
        <f>IFERROR(VLOOKUP($A34,subQ,MATCH(S$1,SUBQH,0),0),"")</f>
        <v/>
      </c>
      <c r="T34" s="18">
        <f>IFERROR(VLOOKUP($A34,subQ,MATCH(T$1,SUBQH,0),0),"")</f>
        <v/>
      </c>
      <c r="U34" s="18">
        <f>IFERROR(VLOOKUP($A34,subQ,MATCH(U$1,SUBQH,0),0),"")</f>
        <v/>
      </c>
      <c r="V34" s="18">
        <f>IFERROR(VLOOKUP($A34,subQ,MATCH(V$1,SUBQH,0),0),"")</f>
        <v/>
      </c>
      <c r="W34" s="46">
        <f>IFERROR(VLOOKUP($A34,subQ,MATCH(W$1,SUBQH,0),0),"")</f>
        <v/>
      </c>
      <c r="X34" s="20">
        <f>IFERROR(VLOOKUP($A34,subQ,MATCH(X$1,SUBQH,0),0),"")</f>
        <v/>
      </c>
      <c r="Y34" s="20">
        <f>IFERROR(VLOOKUP($A34,subQ,MATCH(Y$1,SUBQH,0),0),"")</f>
        <v/>
      </c>
      <c r="Z34" s="20">
        <f>IFERROR(VLOOKUP($A34,subQ,MATCH(Z$1,SUBQH,0),0),"")</f>
        <v/>
      </c>
      <c r="AA34" s="20">
        <f>IFERROR(VLOOKUP($A34,subQ,MATCH(AA$1,SUBQH,0),0),"")</f>
        <v/>
      </c>
      <c r="AB34" s="20">
        <f>IFERROR(VLOOKUP($A34,subQ,MATCH(AB$1,SUBQH,0),0),"")</f>
        <v/>
      </c>
      <c r="AC34" s="20">
        <f>IFERROR(VLOOKUP($A34,subQ,MATCH(AC$1,SUBQH,0),0),"")</f>
        <v/>
      </c>
      <c r="AD34" s="20">
        <f>IFERROR(VLOOKUP($A34,subQ,MATCH(AD$1,SUBQH,0),0),"")</f>
        <v/>
      </c>
      <c r="AE34" s="20">
        <f>IFERROR(VLOOKUP($A34,subQ,MATCH(AE$1,SUBQH,0),0),"")</f>
        <v/>
      </c>
      <c r="AF34" s="20">
        <f>IFERROR(VLOOKUP($A34,subQ,MATCH(AF$1,SUBQH,0),0),"")</f>
        <v/>
      </c>
      <c r="AG34" s="20">
        <f>IFERROR(VLOOKUP($A34,subQ,MATCH(AG$1,SUBQH,0),0),"")</f>
        <v/>
      </c>
    </row>
    <row r="35">
      <c r="A35" s="12" t="inlineStr">
        <is>
          <t>주식수</t>
        </is>
      </c>
      <c r="D35" t="inlineStr">
        <is>
          <t>유통주식수</t>
        </is>
      </c>
      <c r="E35" s="27">
        <f>IFERROR(VLOOKUP($A35,subQ,MATCH(E$1,SUBQH,0),0),"")</f>
        <v/>
      </c>
      <c r="F35" s="27">
        <f>IFERROR(VLOOKUP($A35,subQ,MATCH(F$1,SUBQH,0),0),"")</f>
        <v/>
      </c>
      <c r="G35" s="27">
        <f>IFERROR(VLOOKUP($A35,subQ,MATCH(G$1,SUBQH,0),0),"")</f>
        <v/>
      </c>
      <c r="H35" s="27">
        <f>IFERROR(VLOOKUP($A35,subQ,MATCH(H$1,SUBQH,0),0),"")</f>
        <v/>
      </c>
      <c r="I35" s="27">
        <f>IFERROR(VLOOKUP($A35,subQ,MATCH(I$1,SUBQH,0),0),"")</f>
        <v/>
      </c>
      <c r="J35" s="27">
        <f>IFERROR(VLOOKUP($A35,subQ,MATCH(J$1,SUBQH,0),0),"")</f>
        <v/>
      </c>
      <c r="K35" s="27">
        <f>IFERROR(VLOOKUP($A35,subQ,MATCH(K$1,SUBQH,0),0),"")</f>
        <v/>
      </c>
      <c r="L35" s="27">
        <f>IFERROR(VLOOKUP($A35,subQ,MATCH(L$1,SUBQH,0),0),"")</f>
        <v/>
      </c>
      <c r="M35" s="27">
        <f>IFERROR(VLOOKUP($A35,subQ,MATCH(M$1,SUBQH,0),0),"")</f>
        <v/>
      </c>
      <c r="N35" s="27">
        <f>IFERROR(VLOOKUP($A35,subQ,MATCH(N$1,SUBQH,0),0),"")</f>
        <v/>
      </c>
      <c r="O35" s="27">
        <f>IFERROR(VLOOKUP($A35,subQ,MATCH(O$1,SUBQH,0),0),"")</f>
        <v/>
      </c>
      <c r="P35" s="27">
        <f>IFERROR(VLOOKUP($A35,subQ,MATCH(P$1,SUBQH,0),0),"")</f>
        <v/>
      </c>
      <c r="Q35" s="27">
        <f>IFERROR(VLOOKUP($A35,subQ,MATCH(Q$1,SUBQH,0),0),"")</f>
        <v/>
      </c>
      <c r="R35" s="27">
        <f>IFERROR(VLOOKUP($A35,subQ,MATCH(R$1,SUBQH,0),0),"")</f>
        <v/>
      </c>
      <c r="S35" s="27">
        <f>IFERROR(VLOOKUP($A35,subQ,MATCH(S$1,SUBQH,0),0),"")</f>
        <v/>
      </c>
      <c r="T35" s="27">
        <f>IFERROR(VLOOKUP($A35,subQ,MATCH(T$1,SUBQH,0),0),"")</f>
        <v/>
      </c>
      <c r="U35" s="27">
        <f>IFERROR(VLOOKUP($A35,subQ,MATCH(U$1,SUBQH,0),0),"")</f>
        <v/>
      </c>
      <c r="V35" s="27">
        <f>IFERROR(VLOOKUP($A35,subQ,MATCH(V$1,SUBQH,0),0),"")</f>
        <v/>
      </c>
      <c r="W35" s="48">
        <f>IFERROR(VLOOKUP($A35,subQ,MATCH(W$1,SUBQH,0),0),"")</f>
        <v/>
      </c>
      <c r="X35" s="32">
        <f>IFERROR(VLOOKUP($A35,subQ,MATCH(X$1,SUBQH,0),0),"")</f>
        <v/>
      </c>
      <c r="Y35" s="32">
        <f>IFERROR(VLOOKUP($A35,subQ,MATCH(Y$1,SUBQH,0),0),"")</f>
        <v/>
      </c>
      <c r="Z35" s="32">
        <f>IFERROR(VLOOKUP($A35,subQ,MATCH(Z$1,SUBQH,0),0),"")</f>
        <v/>
      </c>
      <c r="AA35" s="32">
        <f>IFERROR(VLOOKUP($A35,subQ,MATCH(AA$1,SUBQH,0),0),"")</f>
        <v/>
      </c>
      <c r="AB35" s="32">
        <f>IFERROR(VLOOKUP($A35,subQ,MATCH(AB$1,SUBQH,0),0),"")</f>
        <v/>
      </c>
      <c r="AC35" s="32">
        <f>IFERROR(VLOOKUP($A35,subQ,MATCH(AC$1,SUBQH,0),0),"")</f>
        <v/>
      </c>
      <c r="AD35" s="32">
        <f>IFERROR(VLOOKUP($A35,subQ,MATCH(AD$1,SUBQH,0),0),"")</f>
        <v/>
      </c>
      <c r="AE35" s="32">
        <f>IFERROR(VLOOKUP($A35,subQ,MATCH(AE$1,SUBQH,0),0),"")</f>
        <v/>
      </c>
      <c r="AF35" s="32">
        <f>IFERROR(VLOOKUP($A35,subQ,MATCH(AF$1,SUBQH,0),0),"")</f>
        <v/>
      </c>
      <c r="AG35" s="32">
        <f>IFERROR(VLOOKUP($A35,subQ,MATCH(AG$1,SUBQH,0),0),"")</f>
        <v/>
      </c>
    </row>
    <row r="36">
      <c r="A36" s="12" t="inlineStr">
        <is>
          <t>EPS</t>
        </is>
      </c>
      <c r="D36" t="inlineStr">
        <is>
          <t>EPS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18">
        <f>IFERROR(VLOOKUP($A36,subQ,MATCH(G$1,SUBQH,0),0),"")</f>
        <v/>
      </c>
      <c r="H36" s="18">
        <f>IFERROR(VLOOKUP($A36,subQ,MATCH(H$1,SUBQH,0),0),"")</f>
        <v/>
      </c>
      <c r="I36" s="18">
        <f>IFERROR(VLOOKUP($A36,subQ,MATCH(I$1,SUBQH,0),0),"")</f>
        <v/>
      </c>
      <c r="J36" s="18">
        <f>IFERROR(VLOOKUP($A36,subQ,MATCH(J$1,SUBQH,0),0),"")</f>
        <v/>
      </c>
      <c r="K36" s="18">
        <f>IFERROR(VLOOKUP($A36,subQ,MATCH(K$1,SUBQH,0),0),"")</f>
        <v/>
      </c>
      <c r="L36" s="18">
        <f>IFERROR(VLOOKUP($A36,subQ,MATCH(L$1,SUBQH,0),0),"")</f>
        <v/>
      </c>
      <c r="M36" s="18">
        <f>IFERROR(VLOOKUP($A36,subQ,MATCH(M$1,SUBQH,0),0),"")</f>
        <v/>
      </c>
      <c r="N36" s="18">
        <f>IFERROR(VLOOKUP($A36,subQ,MATCH(N$1,SUBQH,0),0),"")</f>
        <v/>
      </c>
      <c r="O36" s="18">
        <f>IFERROR(VLOOKUP($A36,subQ,MATCH(O$1,SUBQH,0),0),"")</f>
        <v/>
      </c>
      <c r="P36" s="18">
        <f>IFERROR(VLOOKUP($A36,subQ,MATCH(P$1,SUBQH,0),0),"")</f>
        <v/>
      </c>
      <c r="Q36" s="18">
        <f>IFERROR(VLOOKUP($A36,subQ,MATCH(Q$1,SUBQH,0),0),"")</f>
        <v/>
      </c>
      <c r="R36" s="18">
        <f>IFERROR(VLOOKUP($A36,subQ,MATCH(R$1,SUBQH,0),0),"")</f>
        <v/>
      </c>
      <c r="S36" s="18">
        <f>IFERROR(VLOOKUP($A36,subQ,MATCH(S$1,SUBQH,0),0),"")</f>
        <v/>
      </c>
      <c r="T36" s="18">
        <f>IFERROR(VLOOKUP($A36,subQ,MATCH(T$1,SUBQH,0),0),"")</f>
        <v/>
      </c>
      <c r="U36" s="18">
        <f>IFERROR(VLOOKUP($A36,subQ,MATCH(U$1,SUBQH,0),0),"")</f>
        <v/>
      </c>
      <c r="V36" s="18">
        <f>IFERROR(VLOOKUP($A36,subQ,MATCH(V$1,SUBQH,0),0),"")</f>
        <v/>
      </c>
      <c r="W36" s="46">
        <f>IFERROR(VLOOKUP($A36,subQ,MATCH(W$1,SUBQH,0),0),"")</f>
        <v/>
      </c>
      <c r="X36" s="20">
        <f>IFERROR(VLOOKUP($A36,subQ,MATCH(X$1,SUBQH,0),0),"")</f>
        <v/>
      </c>
      <c r="Y36" s="20">
        <f>IFERROR(VLOOKUP($A36,subQ,MATCH(Y$1,SUBQH,0),0),"")</f>
        <v/>
      </c>
      <c r="Z36" s="20">
        <f>IFERROR(VLOOKUP($A36,subQ,MATCH(Z$1,SUBQH,0),0),"")</f>
        <v/>
      </c>
      <c r="AA36" s="20">
        <f>IFERROR(VLOOKUP($A36,subQ,MATCH(AA$1,SUBQH,0),0),"")</f>
        <v/>
      </c>
      <c r="AB36" s="20">
        <f>IFERROR(VLOOKUP($A36,subQ,MATCH(AB$1,SUBQH,0),0),"")</f>
        <v/>
      </c>
      <c r="AC36" s="20">
        <f>IFERROR(VLOOKUP($A36,subQ,MATCH(AC$1,SUBQH,0),0),"")</f>
        <v/>
      </c>
      <c r="AD36" s="20">
        <f>IFERROR(VLOOKUP($A36,subQ,MATCH(AD$1,SUBQH,0),0),"")</f>
        <v/>
      </c>
      <c r="AE36" s="20">
        <f>IFERROR(VLOOKUP($A36,subQ,MATCH(AE$1,SUBQH,0),0),"")</f>
        <v/>
      </c>
      <c r="AF36" s="20">
        <f>IFERROR(VLOOKUP($A36,subQ,MATCH(AF$1,SUBQH,0),0),"")</f>
        <v/>
      </c>
      <c r="AG36" s="20">
        <f>IFERROR(VLOOKUP($A36,subQ,MATCH(AG$1,SUBQH,0),0),"")</f>
        <v/>
      </c>
    </row>
    <row r="37">
      <c r="A37" s="12" t="inlineStr">
        <is>
          <t>조정EPS</t>
        </is>
      </c>
      <c r="D37" t="inlineStr">
        <is>
          <t>조정 EPS(일회성 의심 분기의 초과 비영업손익 세후 차감 — 모델 추정)</t>
        </is>
      </c>
      <c r="E37" s="18">
        <f>IFERROR(VLOOKUP($A37,subQ,MATCH(E$1,SUBQH,0),0),"")</f>
        <v/>
      </c>
      <c r="F37" s="18">
        <f>IFERROR(VLOOKUP($A37,subQ,MATCH(F$1,SUBQH,0),0),"")</f>
        <v/>
      </c>
      <c r="G37" s="18">
        <f>IFERROR(VLOOKUP($A37,subQ,MATCH(G$1,SUBQH,0),0),"")</f>
        <v/>
      </c>
      <c r="H37" s="18">
        <f>IFERROR(VLOOKUP($A37,subQ,MATCH(H$1,SUBQH,0),0),"")</f>
        <v/>
      </c>
      <c r="I37" s="18">
        <f>IFERROR(VLOOKUP($A37,subQ,MATCH(I$1,SUBQH,0),0),"")</f>
        <v/>
      </c>
      <c r="J37" s="18">
        <f>IFERROR(VLOOKUP($A37,subQ,MATCH(J$1,SUBQH,0),0),"")</f>
        <v/>
      </c>
      <c r="K37" s="18">
        <f>IFERROR(VLOOKUP($A37,subQ,MATCH(K$1,SUBQH,0),0),"")</f>
        <v/>
      </c>
      <c r="L37" s="18">
        <f>IFERROR(VLOOKUP($A37,subQ,MATCH(L$1,SUBQH,0),0),"")</f>
        <v/>
      </c>
      <c r="M37" s="18">
        <f>IFERROR(VLOOKUP($A37,subQ,MATCH(M$1,SUBQH,0),0),"")</f>
        <v/>
      </c>
      <c r="N37" s="18">
        <f>IFERROR(VLOOKUP($A37,subQ,MATCH(N$1,SUBQH,0),0),"")</f>
        <v/>
      </c>
      <c r="O37" s="18">
        <f>IFERROR(VLOOKUP($A37,subQ,MATCH(O$1,SUBQH,0),0),"")</f>
        <v/>
      </c>
      <c r="P37" s="18">
        <f>IFERROR(VLOOKUP($A37,subQ,MATCH(P$1,SUBQH,0),0),"")</f>
        <v/>
      </c>
      <c r="Q37" s="18">
        <f>IFERROR(VLOOKUP($A37,subQ,MATCH(Q$1,SUBQH,0),0),"")</f>
        <v/>
      </c>
      <c r="R37" s="18">
        <f>IFERROR(VLOOKUP($A37,subQ,MATCH(R$1,SUBQH,0),0),"")</f>
        <v/>
      </c>
      <c r="S37" s="18">
        <f>IFERROR(VLOOKUP($A37,subQ,MATCH(S$1,SUBQH,0),0),"")</f>
        <v/>
      </c>
      <c r="T37" s="18">
        <f>IFERROR(VLOOKUP($A37,subQ,MATCH(T$1,SUBQH,0),0),"")</f>
        <v/>
      </c>
      <c r="U37" s="18">
        <f>IFERROR(VLOOKUP($A37,subQ,MATCH(U$1,SUBQH,0),0),"")</f>
        <v/>
      </c>
      <c r="V37" s="18">
        <f>IFERROR(VLOOKUP($A37,subQ,MATCH(V$1,SUBQH,0),0),"")</f>
        <v/>
      </c>
      <c r="W37" s="46">
        <f>IFERROR(VLOOKUP($A37,subQ,MATCH(W$1,SUBQH,0),0),"")</f>
        <v/>
      </c>
      <c r="X37" s="20">
        <f>IFERROR(VLOOKUP($A37,subQ,MATCH(X$1,SUBQH,0),0),"")</f>
        <v/>
      </c>
      <c r="Y37" s="20">
        <f>IFERROR(VLOOKUP($A37,subQ,MATCH(Y$1,SUBQH,0),0),"")</f>
        <v/>
      </c>
      <c r="Z37" s="20">
        <f>IFERROR(VLOOKUP($A37,subQ,MATCH(Z$1,SUBQH,0),0),"")</f>
        <v/>
      </c>
      <c r="AA37" s="20">
        <f>IFERROR(VLOOKUP($A37,subQ,MATCH(AA$1,SUBQH,0),0),"")</f>
        <v/>
      </c>
      <c r="AB37" s="20">
        <f>IFERROR(VLOOKUP($A37,subQ,MATCH(AB$1,SUBQH,0),0),"")</f>
        <v/>
      </c>
      <c r="AC37" s="20">
        <f>IFERROR(VLOOKUP($A37,subQ,MATCH(AC$1,SUBQH,0),0),"")</f>
        <v/>
      </c>
      <c r="AD37" s="20">
        <f>IFERROR(VLOOKUP($A37,subQ,MATCH(AD$1,SUBQH,0),0),"")</f>
        <v/>
      </c>
      <c r="AE37" s="20">
        <f>IFERROR(VLOOKUP($A37,subQ,MATCH(AE$1,SUBQH,0),0),"")</f>
        <v/>
      </c>
      <c r="AF37" s="20">
        <f>IFERROR(VLOOKUP($A37,subQ,MATCH(AF$1,SUBQH,0),0),"")</f>
        <v/>
      </c>
      <c r="AG37" s="20">
        <f>IFERROR(VLOOKUP($A37,subQ,MATCH(AG$1,SUBQH,0),0),"")</f>
        <v/>
      </c>
    </row>
    <row r="38">
      <c r="A38" s="12" t="inlineStr">
        <is>
          <t>BPS</t>
        </is>
      </c>
      <c r="D38" t="inlineStr">
        <is>
          <t>BPS</t>
        </is>
      </c>
      <c r="E38" s="18">
        <f>IFERROR(VLOOKUP($A38,subQ,MATCH(E$1,SUBQH,0),0),"")</f>
        <v/>
      </c>
      <c r="F38" s="18">
        <f>IFERROR(VLOOKUP($A38,subQ,MATCH(F$1,SUBQH,0),0),"")</f>
        <v/>
      </c>
      <c r="G38" s="18">
        <f>IFERROR(VLOOKUP($A38,subQ,MATCH(G$1,SUBQH,0),0),"")</f>
        <v/>
      </c>
      <c r="H38" s="18">
        <f>IFERROR(VLOOKUP($A38,subQ,MATCH(H$1,SUBQH,0),0),"")</f>
        <v/>
      </c>
      <c r="I38" s="18">
        <f>IFERROR(VLOOKUP($A38,subQ,MATCH(I$1,SUBQH,0),0),"")</f>
        <v/>
      </c>
      <c r="J38" s="18">
        <f>IFERROR(VLOOKUP($A38,subQ,MATCH(J$1,SUBQH,0),0),"")</f>
        <v/>
      </c>
      <c r="K38" s="18">
        <f>IFERROR(VLOOKUP($A38,subQ,MATCH(K$1,SUBQH,0),0),"")</f>
        <v/>
      </c>
      <c r="L38" s="18">
        <f>IFERROR(VLOOKUP($A38,subQ,MATCH(L$1,SUBQH,0),0),"")</f>
        <v/>
      </c>
      <c r="M38" s="18">
        <f>IFERROR(VLOOKUP($A38,subQ,MATCH(M$1,SUBQH,0),0),"")</f>
        <v/>
      </c>
      <c r="N38" s="18">
        <f>IFERROR(VLOOKUP($A38,subQ,MATCH(N$1,SUBQH,0),0),"")</f>
        <v/>
      </c>
      <c r="O38" s="18">
        <f>IFERROR(VLOOKUP($A38,subQ,MATCH(O$1,SUBQH,0),0),"")</f>
        <v/>
      </c>
      <c r="P38" s="18">
        <f>IFERROR(VLOOKUP($A38,subQ,MATCH(P$1,SUBQH,0),0),"")</f>
        <v/>
      </c>
      <c r="Q38" s="18">
        <f>IFERROR(VLOOKUP($A38,subQ,MATCH(Q$1,SUBQH,0),0),"")</f>
        <v/>
      </c>
      <c r="R38" s="18">
        <f>IFERROR(VLOOKUP($A38,subQ,MATCH(R$1,SUBQH,0),0),"")</f>
        <v/>
      </c>
      <c r="S38" s="18">
        <f>IFERROR(VLOOKUP($A38,subQ,MATCH(S$1,SUBQH,0),0),"")</f>
        <v/>
      </c>
      <c r="T38" s="18">
        <f>IFERROR(VLOOKUP($A38,subQ,MATCH(T$1,SUBQH,0),0),"")</f>
        <v/>
      </c>
      <c r="U38" s="18">
        <f>IFERROR(VLOOKUP($A38,subQ,MATCH(U$1,SUBQH,0),0),"")</f>
        <v/>
      </c>
      <c r="V38" s="18">
        <f>IFERROR(VLOOKUP($A38,subQ,MATCH(V$1,SUBQH,0),0),"")</f>
        <v/>
      </c>
      <c r="W38" s="46">
        <f>IFERROR(VLOOKUP($A38,subQ,MATCH(W$1,SUBQH,0),0),"")</f>
        <v/>
      </c>
      <c r="X38" s="20">
        <f>IFERROR(VLOOKUP($A38,subQ,MATCH(X$1,SUBQH,0),0),"")</f>
        <v/>
      </c>
      <c r="Y38" s="20">
        <f>IFERROR(VLOOKUP($A38,subQ,MATCH(Y$1,SUBQH,0),0),"")</f>
        <v/>
      </c>
      <c r="Z38" s="20">
        <f>IFERROR(VLOOKUP($A38,subQ,MATCH(Z$1,SUBQH,0),0),"")</f>
        <v/>
      </c>
      <c r="AA38" s="20">
        <f>IFERROR(VLOOKUP($A38,subQ,MATCH(AA$1,SUBQH,0),0),"")</f>
        <v/>
      </c>
      <c r="AB38" s="20">
        <f>IFERROR(VLOOKUP($A38,subQ,MATCH(AB$1,SUBQH,0),0),"")</f>
        <v/>
      </c>
      <c r="AC38" s="20">
        <f>IFERROR(VLOOKUP($A38,subQ,MATCH(AC$1,SUBQH,0),0),"")</f>
        <v/>
      </c>
      <c r="AD38" s="20">
        <f>IFERROR(VLOOKUP($A38,subQ,MATCH(AD$1,SUBQH,0),0),"")</f>
        <v/>
      </c>
      <c r="AE38" s="20">
        <f>IFERROR(VLOOKUP($A38,subQ,MATCH(AE$1,SUBQH,0),0),"")</f>
        <v/>
      </c>
      <c r="AF38" s="20">
        <f>IFERROR(VLOOKUP($A38,subQ,MATCH(AF$1,SUBQH,0),0),"")</f>
        <v/>
      </c>
      <c r="AG38" s="20">
        <f>IFERROR(VLOOKUP($A38,subQ,MATCH(AG$1,SUBQH,0),0),"")</f>
        <v/>
      </c>
    </row>
    <row r="39">
      <c r="A39" s="12" t="inlineStr">
        <is>
          <t>DPS</t>
        </is>
      </c>
      <c r="D39" t="inlineStr">
        <is>
          <t>DPS(보통주)</t>
        </is>
      </c>
      <c r="E39" s="18">
        <f>IFERROR(VLOOKUP($A39,subQ,MATCH(E$1,SUBQH,0),0),"")</f>
        <v/>
      </c>
      <c r="F39" s="18">
        <f>IFERROR(VLOOKUP($A39,subQ,MATCH(F$1,SUBQH,0),0),"")</f>
        <v/>
      </c>
      <c r="G39" s="18">
        <f>IFERROR(VLOOKUP($A39,subQ,MATCH(G$1,SUBQH,0),0),"")</f>
        <v/>
      </c>
      <c r="H39" s="18">
        <f>IFERROR(VLOOKUP($A39,subQ,MATCH(H$1,SUBQH,0),0),"")</f>
        <v/>
      </c>
      <c r="I39" s="18">
        <f>IFERROR(VLOOKUP($A39,subQ,MATCH(I$1,SUBQH,0),0),"")</f>
        <v/>
      </c>
      <c r="J39" s="18">
        <f>IFERROR(VLOOKUP($A39,subQ,MATCH(J$1,SUBQH,0),0),"")</f>
        <v/>
      </c>
      <c r="K39" s="18">
        <f>IFERROR(VLOOKUP($A39,subQ,MATCH(K$1,SUBQH,0),0),"")</f>
        <v/>
      </c>
      <c r="L39" s="18">
        <f>IFERROR(VLOOKUP($A39,subQ,MATCH(L$1,SUBQH,0),0),"")</f>
        <v/>
      </c>
      <c r="M39" s="18">
        <f>IFERROR(VLOOKUP($A39,subQ,MATCH(M$1,SUBQH,0),0),"")</f>
        <v/>
      </c>
      <c r="N39" s="18">
        <f>IFERROR(VLOOKUP($A39,subQ,MATCH(N$1,SUBQH,0),0),"")</f>
        <v/>
      </c>
      <c r="O39" s="18">
        <f>IFERROR(VLOOKUP($A39,subQ,MATCH(O$1,SUBQH,0),0),"")</f>
        <v/>
      </c>
      <c r="P39" s="18">
        <f>IFERROR(VLOOKUP($A39,subQ,MATCH(P$1,SUBQH,0),0),"")</f>
        <v/>
      </c>
      <c r="Q39" s="18">
        <f>IFERROR(VLOOKUP($A39,subQ,MATCH(Q$1,SUBQH,0),0),"")</f>
        <v/>
      </c>
      <c r="R39" s="18">
        <f>IFERROR(VLOOKUP($A39,subQ,MATCH(R$1,SUBQH,0),0),"")</f>
        <v/>
      </c>
      <c r="S39" s="18">
        <f>IFERROR(VLOOKUP($A39,subQ,MATCH(S$1,SUBQH,0),0),"")</f>
        <v/>
      </c>
      <c r="T39" s="18">
        <f>IFERROR(VLOOKUP($A39,subQ,MATCH(T$1,SUBQH,0),0),"")</f>
        <v/>
      </c>
      <c r="U39" s="18">
        <f>IFERROR(VLOOKUP($A39,subQ,MATCH(U$1,SUBQH,0),0),"")</f>
        <v/>
      </c>
      <c r="V39" s="18">
        <f>IFERROR(VLOOKUP($A39,subQ,MATCH(V$1,SUBQH,0),0),"")</f>
        <v/>
      </c>
      <c r="W39" s="46">
        <f>IFERROR(VLOOKUP($A39,subQ,MATCH(W$1,SUBQH,0),0),"")</f>
        <v/>
      </c>
      <c r="X39" s="20">
        <f>IFERROR(VLOOKUP($A39,subQ,MATCH(X$1,SUBQH,0),0),"")</f>
        <v/>
      </c>
      <c r="Y39" s="20">
        <f>IFERROR(VLOOKUP($A39,subQ,MATCH(Y$1,SUBQH,0),0),"")</f>
        <v/>
      </c>
      <c r="Z39" s="20">
        <f>IFERROR(VLOOKUP($A39,subQ,MATCH(Z$1,SUBQH,0),0),"")</f>
        <v/>
      </c>
      <c r="AA39" s="20">
        <f>IFERROR(VLOOKUP($A39,subQ,MATCH(AA$1,SUBQH,0),0),"")</f>
        <v/>
      </c>
      <c r="AB39" s="20">
        <f>IFERROR(VLOOKUP($A39,subQ,MATCH(AB$1,SUBQH,0),0),"")</f>
        <v/>
      </c>
      <c r="AC39" s="20">
        <f>IFERROR(VLOOKUP($A39,subQ,MATCH(AC$1,SUBQH,0),0),"")</f>
        <v/>
      </c>
      <c r="AD39" s="20">
        <f>IFERROR(VLOOKUP($A39,subQ,MATCH(AD$1,SUBQH,0),0),"")</f>
        <v/>
      </c>
      <c r="AE39" s="20">
        <f>IFERROR(VLOOKUP($A39,subQ,MATCH(AE$1,SUBQH,0),0),"")</f>
        <v/>
      </c>
      <c r="AF39" s="20">
        <f>IFERROR(VLOOKUP($A39,subQ,MATCH(AF$1,SUBQH,0),0),"")</f>
        <v/>
      </c>
      <c r="AG39" s="20">
        <f>IFERROR(VLOOKUP($A39,subQ,MATCH(AG$1,SUBQH,0),0),"")</f>
        <v/>
      </c>
    </row>
    <row r="40">
      <c r="A40" s="12" t="inlineStr">
        <is>
          <t>PER</t>
        </is>
      </c>
      <c r="D40" t="inlineStr">
        <is>
          <t>PER</t>
        </is>
      </c>
      <c r="E40" s="13">
        <f>IFERROR(VLOOKUP($A40,subQ,MATCH(E$1,SUBQH,0),0),"")</f>
        <v/>
      </c>
      <c r="F40" s="13">
        <f>IFERROR(VLOOKUP($A40,subQ,MATCH(F$1,SUBQH,0),0),"")</f>
        <v/>
      </c>
      <c r="G40" s="13">
        <f>IFERROR(VLOOKUP($A40,subQ,MATCH(G$1,SUBQH,0),0),"")</f>
        <v/>
      </c>
      <c r="H40" s="13">
        <f>IFERROR(VLOOKUP($A40,subQ,MATCH(H$1,SUBQH,0),0),"")</f>
        <v/>
      </c>
      <c r="I40" s="13">
        <f>IFERROR(VLOOKUP($A40,subQ,MATCH(I$1,SUBQH,0),0),"")</f>
        <v/>
      </c>
      <c r="J40" s="13">
        <f>IFERROR(VLOOKUP($A40,subQ,MATCH(J$1,SUBQH,0),0),"")</f>
        <v/>
      </c>
      <c r="K40" s="13">
        <f>IFERROR(VLOOKUP($A40,subQ,MATCH(K$1,SUBQH,0),0),"")</f>
        <v/>
      </c>
      <c r="L40" s="13">
        <f>IFERROR(VLOOKUP($A40,subQ,MATCH(L$1,SUBQH,0),0),"")</f>
        <v/>
      </c>
      <c r="M40" s="13">
        <f>IFERROR(VLOOKUP($A40,subQ,MATCH(M$1,SUBQH,0),0),"")</f>
        <v/>
      </c>
      <c r="N40" s="13">
        <f>IFERROR(VLOOKUP($A40,subQ,MATCH(N$1,SUBQH,0),0),"")</f>
        <v/>
      </c>
      <c r="O40" s="13">
        <f>IFERROR(VLOOKUP($A40,subQ,MATCH(O$1,SUBQH,0),0),"")</f>
        <v/>
      </c>
      <c r="P40" s="13">
        <f>IFERROR(VLOOKUP($A40,subQ,MATCH(P$1,SUBQH,0),0),"")</f>
        <v/>
      </c>
      <c r="Q40" s="13">
        <f>IFERROR(VLOOKUP($A40,subQ,MATCH(Q$1,SUBQH,0),0),"")</f>
        <v/>
      </c>
      <c r="R40" s="13">
        <f>IFERROR(VLOOKUP($A40,subQ,MATCH(R$1,SUBQH,0),0),"")</f>
        <v/>
      </c>
      <c r="S40" s="13">
        <f>IFERROR(VLOOKUP($A40,subQ,MATCH(S$1,SUBQH,0),0),"")</f>
        <v/>
      </c>
      <c r="T40" s="13">
        <f>IFERROR(VLOOKUP($A40,subQ,MATCH(T$1,SUBQH,0),0),"")</f>
        <v/>
      </c>
      <c r="U40" s="13">
        <f>IFERROR(VLOOKUP($A40,subQ,MATCH(U$1,SUBQH,0),0),"")</f>
        <v/>
      </c>
      <c r="V40" s="13">
        <f>IFERROR(VLOOKUP($A40,subQ,MATCH(V$1,SUBQH,0),0),"")</f>
        <v/>
      </c>
      <c r="W40" s="49">
        <f>IFERROR(VLOOKUP($A40,subQ,MATCH(W$1,SUBQH,0),0),"")</f>
        <v/>
      </c>
      <c r="X40" s="40">
        <f>IFERROR(VLOOKUP($A40,subQ,MATCH(X$1,SUBQH,0),0),"")</f>
        <v/>
      </c>
      <c r="Y40" s="40">
        <f>IFERROR(VLOOKUP($A40,subQ,MATCH(Y$1,SUBQH,0),0),"")</f>
        <v/>
      </c>
      <c r="Z40" s="40">
        <f>IFERROR(VLOOKUP($A40,subQ,MATCH(Z$1,SUBQH,0),0),"")</f>
        <v/>
      </c>
      <c r="AA40" s="40">
        <f>IFERROR(VLOOKUP($A40,subQ,MATCH(AA$1,SUBQH,0),0),"")</f>
        <v/>
      </c>
      <c r="AB40" s="40">
        <f>IFERROR(VLOOKUP($A40,subQ,MATCH(AB$1,SUBQH,0),0),"")</f>
        <v/>
      </c>
      <c r="AC40" s="40">
        <f>IFERROR(VLOOKUP($A40,subQ,MATCH(AC$1,SUBQH,0),0),"")</f>
        <v/>
      </c>
      <c r="AD40" s="40">
        <f>IFERROR(VLOOKUP($A40,subQ,MATCH(AD$1,SUBQH,0),0),"")</f>
        <v/>
      </c>
      <c r="AE40" s="40">
        <f>IFERROR(VLOOKUP($A40,subQ,MATCH(AE$1,SUBQH,0),0),"")</f>
        <v/>
      </c>
      <c r="AF40" s="40">
        <f>IFERROR(VLOOKUP($A40,subQ,MATCH(AF$1,SUBQH,0),0),"")</f>
        <v/>
      </c>
      <c r="AG40" s="40">
        <f>IFERROR(VLOOKUP($A40,subQ,MATCH(AG$1,SUBQH,0),0),"")</f>
        <v/>
      </c>
    </row>
    <row r="41">
      <c r="A41" s="12" t="inlineStr">
        <is>
          <t>PBR</t>
        </is>
      </c>
      <c r="D41" t="inlineStr">
        <is>
          <t>PBR</t>
        </is>
      </c>
      <c r="E41" s="13">
        <f>IFERROR(VLOOKUP($A41,subQ,MATCH(E$1,SUBQH,0),0),"")</f>
        <v/>
      </c>
      <c r="F41" s="13">
        <f>IFERROR(VLOOKUP($A41,subQ,MATCH(F$1,SUBQH,0),0),"")</f>
        <v/>
      </c>
      <c r="G41" s="13">
        <f>IFERROR(VLOOKUP($A41,subQ,MATCH(G$1,SUBQH,0),0),"")</f>
        <v/>
      </c>
      <c r="H41" s="13">
        <f>IFERROR(VLOOKUP($A41,subQ,MATCH(H$1,SUBQH,0),0),"")</f>
        <v/>
      </c>
      <c r="I41" s="13">
        <f>IFERROR(VLOOKUP($A41,subQ,MATCH(I$1,SUBQH,0),0),"")</f>
        <v/>
      </c>
      <c r="J41" s="13">
        <f>IFERROR(VLOOKUP($A41,subQ,MATCH(J$1,SUBQH,0),0),"")</f>
        <v/>
      </c>
      <c r="K41" s="13">
        <f>IFERROR(VLOOKUP($A41,subQ,MATCH(K$1,SUBQH,0),0),"")</f>
        <v/>
      </c>
      <c r="L41" s="13">
        <f>IFERROR(VLOOKUP($A41,subQ,MATCH(L$1,SUBQH,0),0),"")</f>
        <v/>
      </c>
      <c r="M41" s="13">
        <f>IFERROR(VLOOKUP($A41,subQ,MATCH(M$1,SUBQH,0),0),"")</f>
        <v/>
      </c>
      <c r="N41" s="13">
        <f>IFERROR(VLOOKUP($A41,subQ,MATCH(N$1,SUBQH,0),0),"")</f>
        <v/>
      </c>
      <c r="O41" s="13">
        <f>IFERROR(VLOOKUP($A41,subQ,MATCH(O$1,SUBQH,0),0),"")</f>
        <v/>
      </c>
      <c r="P41" s="13">
        <f>IFERROR(VLOOKUP($A41,subQ,MATCH(P$1,SUBQH,0),0),"")</f>
        <v/>
      </c>
      <c r="Q41" s="13">
        <f>IFERROR(VLOOKUP($A41,subQ,MATCH(Q$1,SUBQH,0),0),"")</f>
        <v/>
      </c>
      <c r="R41" s="13">
        <f>IFERROR(VLOOKUP($A41,subQ,MATCH(R$1,SUBQH,0),0),"")</f>
        <v/>
      </c>
      <c r="S41" s="13">
        <f>IFERROR(VLOOKUP($A41,subQ,MATCH(S$1,SUBQH,0),0),"")</f>
        <v/>
      </c>
      <c r="T41" s="13">
        <f>IFERROR(VLOOKUP($A41,subQ,MATCH(T$1,SUBQH,0),0),"")</f>
        <v/>
      </c>
      <c r="U41" s="13">
        <f>IFERROR(VLOOKUP($A41,subQ,MATCH(U$1,SUBQH,0),0),"")</f>
        <v/>
      </c>
      <c r="V41" s="13">
        <f>IFERROR(VLOOKUP($A41,subQ,MATCH(V$1,SUBQH,0),0),"")</f>
        <v/>
      </c>
      <c r="W41" s="49">
        <f>IFERROR(VLOOKUP($A41,subQ,MATCH(W$1,SUBQH,0),0),"")</f>
        <v/>
      </c>
      <c r="X41" s="40">
        <f>IFERROR(VLOOKUP($A41,subQ,MATCH(X$1,SUBQH,0),0),"")</f>
        <v/>
      </c>
      <c r="Y41" s="40">
        <f>IFERROR(VLOOKUP($A41,subQ,MATCH(Y$1,SUBQH,0),0),"")</f>
        <v/>
      </c>
      <c r="Z41" s="40">
        <f>IFERROR(VLOOKUP($A41,subQ,MATCH(Z$1,SUBQH,0),0),"")</f>
        <v/>
      </c>
      <c r="AA41" s="40">
        <f>IFERROR(VLOOKUP($A41,subQ,MATCH(AA$1,SUBQH,0),0),"")</f>
        <v/>
      </c>
      <c r="AB41" s="40">
        <f>IFERROR(VLOOKUP($A41,subQ,MATCH(AB$1,SUBQH,0),0),"")</f>
        <v/>
      </c>
      <c r="AC41" s="40">
        <f>IFERROR(VLOOKUP($A41,subQ,MATCH(AC$1,SUBQH,0),0),"")</f>
        <v/>
      </c>
      <c r="AD41" s="40">
        <f>IFERROR(VLOOKUP($A41,subQ,MATCH(AD$1,SUBQH,0),0),"")</f>
        <v/>
      </c>
      <c r="AE41" s="40">
        <f>IFERROR(VLOOKUP($A41,subQ,MATCH(AE$1,SUBQH,0),0),"")</f>
        <v/>
      </c>
      <c r="AF41" s="40">
        <f>IFERROR(VLOOKUP($A41,subQ,MATCH(AF$1,SUBQH,0),0),"")</f>
        <v/>
      </c>
      <c r="AG41" s="40">
        <f>IFERROR(VLOOKUP($A41,subQ,MATCH(AG$1,SUBQH,0),0),"")</f>
        <v/>
      </c>
    </row>
    <row r="42">
      <c r="A42" s="12" t="inlineStr">
        <is>
          <t>매출전사</t>
        </is>
      </c>
      <c r="D42" t="inlineStr">
        <is>
          <t>매출 전사(부문 미분리)</t>
        </is>
      </c>
      <c r="E42" s="18">
        <f>IFERROR(VLOOKUP($A42,subQ,MATCH(E$1,SUBQH,0),0),"")</f>
        <v/>
      </c>
      <c r="F42" s="18">
        <f>IFERROR(VLOOKUP($A42,subQ,MATCH(F$1,SUBQH,0),0),"")</f>
        <v/>
      </c>
      <c r="G42" s="18">
        <f>IFERROR(VLOOKUP($A42,subQ,MATCH(G$1,SUBQH,0),0),"")</f>
        <v/>
      </c>
      <c r="H42" s="18">
        <f>IFERROR(VLOOKUP($A42,subQ,MATCH(H$1,SUBQH,0),0),"")</f>
        <v/>
      </c>
      <c r="I42" s="18">
        <f>IFERROR(VLOOKUP($A42,subQ,MATCH(I$1,SUBQH,0),0),"")</f>
        <v/>
      </c>
      <c r="J42" s="18">
        <f>IFERROR(VLOOKUP($A42,subQ,MATCH(J$1,SUBQH,0),0),"")</f>
        <v/>
      </c>
      <c r="K42" s="18">
        <f>IFERROR(VLOOKUP($A42,subQ,MATCH(K$1,SUBQH,0),0),"")</f>
        <v/>
      </c>
      <c r="L42" s="18">
        <f>IFERROR(VLOOKUP($A42,subQ,MATCH(L$1,SUBQH,0),0),"")</f>
        <v/>
      </c>
      <c r="M42" s="18">
        <f>IFERROR(VLOOKUP($A42,subQ,MATCH(M$1,SUBQH,0),0),"")</f>
        <v/>
      </c>
      <c r="N42" s="18">
        <f>IFERROR(VLOOKUP($A42,subQ,MATCH(N$1,SUBQH,0),0),"")</f>
        <v/>
      </c>
      <c r="O42" s="18">
        <f>IFERROR(VLOOKUP($A42,subQ,MATCH(O$1,SUBQH,0),0),"")</f>
        <v/>
      </c>
      <c r="P42" s="18">
        <f>IFERROR(VLOOKUP($A42,subQ,MATCH(P$1,SUBQH,0),0),"")</f>
        <v/>
      </c>
      <c r="Q42" s="18">
        <f>IFERROR(VLOOKUP($A42,subQ,MATCH(Q$1,SUBQH,0),0),"")</f>
        <v/>
      </c>
      <c r="R42" s="18">
        <f>IFERROR(VLOOKUP($A42,subQ,MATCH(R$1,SUBQH,0),0),"")</f>
        <v/>
      </c>
      <c r="S42" s="18">
        <f>IFERROR(VLOOKUP($A42,subQ,MATCH(S$1,SUBQH,0),0),"")</f>
        <v/>
      </c>
      <c r="T42" s="18">
        <f>IFERROR(VLOOKUP($A42,subQ,MATCH(T$1,SUBQH,0),0),"")</f>
        <v/>
      </c>
      <c r="U42" s="18">
        <f>IFERROR(VLOOKUP($A42,subQ,MATCH(U$1,SUBQH,0),0),"")</f>
        <v/>
      </c>
      <c r="V42" s="18">
        <f>IFERROR(VLOOKUP($A42,subQ,MATCH(V$1,SUBQH,0),0),"")</f>
        <v/>
      </c>
      <c r="W42" s="46">
        <f>IFERROR(VLOOKUP($A42,subQ,MATCH(W$1,SUBQH,0),0),"")</f>
        <v/>
      </c>
      <c r="X42" s="20">
        <f>IFERROR(VLOOKUP($A42,subQ,MATCH(X$1,SUBQH,0),0),"")</f>
        <v/>
      </c>
      <c r="Y42" s="20">
        <f>IFERROR(VLOOKUP($A42,subQ,MATCH(Y$1,SUBQH,0),0),"")</f>
        <v/>
      </c>
      <c r="Z42" s="20">
        <f>IFERROR(VLOOKUP($A42,subQ,MATCH(Z$1,SUBQH,0),0),"")</f>
        <v/>
      </c>
      <c r="AA42" s="20">
        <f>IFERROR(VLOOKUP($A42,subQ,MATCH(AA$1,SUBQH,0),0),"")</f>
        <v/>
      </c>
      <c r="AB42" s="20">
        <f>IFERROR(VLOOKUP($A42,subQ,MATCH(AB$1,SUBQH,0),0),"")</f>
        <v/>
      </c>
      <c r="AC42" s="20">
        <f>IFERROR(VLOOKUP($A42,subQ,MATCH(AC$1,SUBQH,0),0),"")</f>
        <v/>
      </c>
      <c r="AD42" s="20">
        <f>IFERROR(VLOOKUP($A42,subQ,MATCH(AD$1,SUBQH,0),0),"")</f>
        <v/>
      </c>
      <c r="AE42" s="20">
        <f>IFERROR(VLOOKUP($A42,subQ,MATCH(AE$1,SUBQH,0),0),"")</f>
        <v/>
      </c>
      <c r="AF42" s="20">
        <f>IFERROR(VLOOKUP($A42,subQ,MATCH(AF$1,SUBQH,0),0),"")</f>
        <v/>
      </c>
      <c r="AG42" s="20">
        <f>IFERROR(VLOOKUP($A42,subQ,MATCH(AG$1,SUBQH,0),0),"")</f>
        <v/>
      </c>
    </row>
    <row r="43">
      <c r="A43" s="12" t="inlineStr">
        <is>
          <t>OP전사</t>
        </is>
      </c>
      <c r="D43" t="inlineStr">
        <is>
          <t>OP 전사(부문 미분리)</t>
        </is>
      </c>
      <c r="E43" s="18">
        <f>IFERROR(VLOOKUP($A43,subQ,MATCH(E$1,SUBQH,0),0),"")</f>
        <v/>
      </c>
      <c r="F43" s="18">
        <f>IFERROR(VLOOKUP($A43,subQ,MATCH(F$1,SUBQH,0),0),"")</f>
        <v/>
      </c>
      <c r="G43" s="18">
        <f>IFERROR(VLOOKUP($A43,subQ,MATCH(G$1,SUBQH,0),0),"")</f>
        <v/>
      </c>
      <c r="H43" s="18">
        <f>IFERROR(VLOOKUP($A43,subQ,MATCH(H$1,SUBQH,0),0),"")</f>
        <v/>
      </c>
      <c r="I43" s="18">
        <f>IFERROR(VLOOKUP($A43,subQ,MATCH(I$1,SUBQH,0),0),"")</f>
        <v/>
      </c>
      <c r="J43" s="18">
        <f>IFERROR(VLOOKUP($A43,subQ,MATCH(J$1,SUBQH,0),0),"")</f>
        <v/>
      </c>
      <c r="K43" s="18">
        <f>IFERROR(VLOOKUP($A43,subQ,MATCH(K$1,SUBQH,0),0),"")</f>
        <v/>
      </c>
      <c r="L43" s="18">
        <f>IFERROR(VLOOKUP($A43,subQ,MATCH(L$1,SUBQH,0),0),"")</f>
        <v/>
      </c>
      <c r="M43" s="18">
        <f>IFERROR(VLOOKUP($A43,subQ,MATCH(M$1,SUBQH,0),0),"")</f>
        <v/>
      </c>
      <c r="N43" s="18">
        <f>IFERROR(VLOOKUP($A43,subQ,MATCH(N$1,SUBQH,0),0),"")</f>
        <v/>
      </c>
      <c r="O43" s="18">
        <f>IFERROR(VLOOKUP($A43,subQ,MATCH(O$1,SUBQH,0),0),"")</f>
        <v/>
      </c>
      <c r="P43" s="18">
        <f>IFERROR(VLOOKUP($A43,subQ,MATCH(P$1,SUBQH,0),0),"")</f>
        <v/>
      </c>
      <c r="Q43" s="18">
        <f>IFERROR(VLOOKUP($A43,subQ,MATCH(Q$1,SUBQH,0),0),"")</f>
        <v/>
      </c>
      <c r="R43" s="18">
        <f>IFERROR(VLOOKUP($A43,subQ,MATCH(R$1,SUBQH,0),0),"")</f>
        <v/>
      </c>
      <c r="S43" s="18">
        <f>IFERROR(VLOOKUP($A43,subQ,MATCH(S$1,SUBQH,0),0),"")</f>
        <v/>
      </c>
      <c r="T43" s="18">
        <f>IFERROR(VLOOKUP($A43,subQ,MATCH(T$1,SUBQH,0),0),"")</f>
        <v/>
      </c>
      <c r="U43" s="18">
        <f>IFERROR(VLOOKUP($A43,subQ,MATCH(U$1,SUBQH,0),0),"")</f>
        <v/>
      </c>
      <c r="V43" s="18">
        <f>IFERROR(VLOOKUP($A43,subQ,MATCH(V$1,SUBQH,0),0),"")</f>
        <v/>
      </c>
      <c r="W43" s="46">
        <f>IFERROR(VLOOKUP($A43,subQ,MATCH(W$1,SUBQH,0),0),"")</f>
        <v/>
      </c>
      <c r="X43" s="20">
        <f>IFERROR(VLOOKUP($A43,subQ,MATCH(X$1,SUBQH,0),0),"")</f>
        <v/>
      </c>
      <c r="Y43" s="20">
        <f>IFERROR(VLOOKUP($A43,subQ,MATCH(Y$1,SUBQH,0),0),"")</f>
        <v/>
      </c>
      <c r="Z43" s="20">
        <f>IFERROR(VLOOKUP($A43,subQ,MATCH(Z$1,SUBQH,0),0),"")</f>
        <v/>
      </c>
      <c r="AA43" s="20">
        <f>IFERROR(VLOOKUP($A43,subQ,MATCH(AA$1,SUBQH,0),0),"")</f>
        <v/>
      </c>
      <c r="AB43" s="20">
        <f>IFERROR(VLOOKUP($A43,subQ,MATCH(AB$1,SUBQH,0),0),"")</f>
        <v/>
      </c>
      <c r="AC43" s="20">
        <f>IFERROR(VLOOKUP($A43,subQ,MATCH(AC$1,SUBQH,0),0),"")</f>
        <v/>
      </c>
      <c r="AD43" s="20">
        <f>IFERROR(VLOOKUP($A43,subQ,MATCH(AD$1,SUBQH,0),0),"")</f>
        <v/>
      </c>
      <c r="AE43" s="20">
        <f>IFERROR(VLOOKUP($A43,subQ,MATCH(AE$1,SUBQH,0),0),"")</f>
        <v/>
      </c>
      <c r="AF43" s="20">
        <f>IFERROR(VLOOKUP($A43,subQ,MATCH(AF$1,SUBQH,0),0),"")</f>
        <v/>
      </c>
      <c r="AG43" s="20">
        <f>IFERROR(VLOOKUP($A43,subQ,MATCH(AG$1,SUBQH,0),0),"")</f>
        <v/>
      </c>
    </row>
    <row r="44">
      <c r="A44" s="12" t="inlineStr">
        <is>
          <t>NPM</t>
        </is>
      </c>
      <c r="D44" t="inlineStr">
        <is>
          <t>NPM</t>
        </is>
      </c>
      <c r="E44" s="21">
        <f>IFERROR(VLOOKUP($A44,subQ,MATCH(E$1,SUBQH,0),0),"")</f>
        <v/>
      </c>
      <c r="F44" s="21">
        <f>IFERROR(VLOOKUP($A44,subQ,MATCH(F$1,SUBQH,0),0),"")</f>
        <v/>
      </c>
      <c r="G44" s="21">
        <f>IFERROR(VLOOKUP($A44,subQ,MATCH(G$1,SUBQH,0),0),"")</f>
        <v/>
      </c>
      <c r="H44" s="21">
        <f>IFERROR(VLOOKUP($A44,subQ,MATCH(H$1,SUBQH,0),0),"")</f>
        <v/>
      </c>
      <c r="I44" s="21">
        <f>IFERROR(VLOOKUP($A44,subQ,MATCH(I$1,SUBQH,0),0),"")</f>
        <v/>
      </c>
      <c r="J44" s="21">
        <f>IFERROR(VLOOKUP($A44,subQ,MATCH(J$1,SUBQH,0),0),"")</f>
        <v/>
      </c>
      <c r="K44" s="21">
        <f>IFERROR(VLOOKUP($A44,subQ,MATCH(K$1,SUBQH,0),0),"")</f>
        <v/>
      </c>
      <c r="L44" s="21">
        <f>IFERROR(VLOOKUP($A44,subQ,MATCH(L$1,SUBQH,0),0),"")</f>
        <v/>
      </c>
      <c r="M44" s="21">
        <f>IFERROR(VLOOKUP($A44,subQ,MATCH(M$1,SUBQH,0),0),"")</f>
        <v/>
      </c>
      <c r="N44" s="21">
        <f>IFERROR(VLOOKUP($A44,subQ,MATCH(N$1,SUBQH,0),0),"")</f>
        <v/>
      </c>
      <c r="O44" s="21">
        <f>IFERROR(VLOOKUP($A44,subQ,MATCH(O$1,SUBQH,0),0),"")</f>
        <v/>
      </c>
      <c r="P44" s="21">
        <f>IFERROR(VLOOKUP($A44,subQ,MATCH(P$1,SUBQH,0),0),"")</f>
        <v/>
      </c>
      <c r="Q44" s="21">
        <f>IFERROR(VLOOKUP($A44,subQ,MATCH(Q$1,SUBQH,0),0),"")</f>
        <v/>
      </c>
      <c r="R44" s="21">
        <f>IFERROR(VLOOKUP($A44,subQ,MATCH(R$1,SUBQH,0),0),"")</f>
        <v/>
      </c>
      <c r="S44" s="21">
        <f>IFERROR(VLOOKUP($A44,subQ,MATCH(S$1,SUBQH,0),0),"")</f>
        <v/>
      </c>
      <c r="T44" s="21">
        <f>IFERROR(VLOOKUP($A44,subQ,MATCH(T$1,SUBQH,0),0),"")</f>
        <v/>
      </c>
      <c r="U44" s="21">
        <f>IFERROR(VLOOKUP($A44,subQ,MATCH(U$1,SUBQH,0),0),"")</f>
        <v/>
      </c>
      <c r="V44" s="21">
        <f>IFERROR(VLOOKUP($A44,subQ,MATCH(V$1,SUBQH,0),0),"")</f>
        <v/>
      </c>
      <c r="W44" s="47">
        <f>IFERROR(VLOOKUP($A44,subQ,MATCH(W$1,SUBQH,0),0),"")</f>
        <v/>
      </c>
      <c r="X44" s="33">
        <f>IFERROR(VLOOKUP($A44,subQ,MATCH(X$1,SUBQH,0),0),"")</f>
        <v/>
      </c>
      <c r="Y44" s="33">
        <f>IFERROR(VLOOKUP($A44,subQ,MATCH(Y$1,SUBQH,0),0),"")</f>
        <v/>
      </c>
      <c r="Z44" s="33">
        <f>IFERROR(VLOOKUP($A44,subQ,MATCH(Z$1,SUBQH,0),0),"")</f>
        <v/>
      </c>
      <c r="AA44" s="33">
        <f>IFERROR(VLOOKUP($A44,subQ,MATCH(AA$1,SUBQH,0),0),"")</f>
        <v/>
      </c>
      <c r="AB44" s="33">
        <f>IFERROR(VLOOKUP($A44,subQ,MATCH(AB$1,SUBQH,0),0),"")</f>
        <v/>
      </c>
      <c r="AC44" s="33">
        <f>IFERROR(VLOOKUP($A44,subQ,MATCH(AC$1,SUBQH,0),0),"")</f>
        <v/>
      </c>
      <c r="AD44" s="33">
        <f>IFERROR(VLOOKUP($A44,subQ,MATCH(AD$1,SUBQH,0),0),"")</f>
        <v/>
      </c>
      <c r="AE44" s="33">
        <f>IFERROR(VLOOKUP($A44,subQ,MATCH(AE$1,SUBQH,0),0),"")</f>
        <v/>
      </c>
      <c r="AF44" s="33">
        <f>IFERROR(VLOOKUP($A44,subQ,MATCH(AF$1,SUBQH,0),0),"")</f>
        <v/>
      </c>
      <c r="AG44" s="33">
        <f>IFERROR(VLOOKUP($A44,subQ,MATCH(AG$1,SUBQH,0),0),"")</f>
        <v/>
      </c>
    </row>
    <row r="45">
      <c r="A45" s="12" t="inlineStr">
        <is>
          <t>매출액 YoY</t>
        </is>
      </c>
      <c r="D45" t="inlineStr">
        <is>
          <t>매출액 YoY</t>
        </is>
      </c>
      <c r="I45" s="21">
        <f>IFERROR(I5/E5-1,"")</f>
        <v/>
      </c>
      <c r="J45" s="21">
        <f>IFERROR(J5/F5-1,"")</f>
        <v/>
      </c>
      <c r="K45" s="21">
        <f>IFERROR(K5/G5-1,"")</f>
        <v/>
      </c>
      <c r="L45" s="21">
        <f>IFERROR(L5/H5-1,"")</f>
        <v/>
      </c>
      <c r="M45" s="21">
        <f>IFERROR(M5/I5-1,"")</f>
        <v/>
      </c>
      <c r="N45" s="21">
        <f>IFERROR(N5/J5-1,"")</f>
        <v/>
      </c>
      <c r="O45" s="21">
        <f>IFERROR(O5/K5-1,"")</f>
        <v/>
      </c>
      <c r="P45" s="21">
        <f>IFERROR(P5/L5-1,"")</f>
        <v/>
      </c>
      <c r="Q45" s="21">
        <f>IFERROR(Q5/M5-1,"")</f>
        <v/>
      </c>
      <c r="R45" s="21">
        <f>IFERROR(R5/N5-1,"")</f>
        <v/>
      </c>
      <c r="S45" s="21">
        <f>IFERROR(S5/O5-1,"")</f>
        <v/>
      </c>
      <c r="T45" s="21">
        <f>IFERROR(T5/P5-1,"")</f>
        <v/>
      </c>
      <c r="U45" s="21">
        <f>IFERROR(U5/Q5-1,"")</f>
        <v/>
      </c>
      <c r="V45" s="21">
        <f>IFERROR(V5/R5-1,"")</f>
        <v/>
      </c>
      <c r="W45" s="47">
        <f>IFERROR(W5/S5-1,"")</f>
        <v/>
      </c>
      <c r="X45" s="33">
        <f>IFERROR(X5/T5-1,"")</f>
        <v/>
      </c>
      <c r="Y45" s="33">
        <f>IFERROR(Y5/U5-1,"")</f>
        <v/>
      </c>
      <c r="Z45" s="33">
        <f>IFERROR(Z5/V5-1,"")</f>
        <v/>
      </c>
      <c r="AA45" s="33">
        <f>IFERROR(AA5/W5-1,"")</f>
        <v/>
      </c>
      <c r="AB45" s="33">
        <f>IFERROR(AB5/X5-1,"")</f>
        <v/>
      </c>
      <c r="AC45" s="33">
        <f>IFERROR(AC5/Y5-1,"")</f>
        <v/>
      </c>
      <c r="AD45" s="33">
        <f>IFERROR(AD5/Z5-1,"")</f>
        <v/>
      </c>
      <c r="AE45" s="33">
        <f>IFERROR(AE5/AA5-1,"")</f>
        <v/>
      </c>
      <c r="AF45" s="33">
        <f>IFERROR(AF5/AB5-1,"")</f>
        <v/>
      </c>
      <c r="AG45" s="33">
        <f>IFERROR(AG5/AC5-1,"")</f>
        <v/>
      </c>
    </row>
    <row r="46">
      <c r="A46" s="12" t="inlineStr">
        <is>
          <t>영업이익 YoY</t>
        </is>
      </c>
      <c r="D46" t="inlineStr">
        <is>
          <t>영업이익 YoY</t>
        </is>
      </c>
      <c r="I46" s="21">
        <f>IFERROR(I9/E9-1,"")</f>
        <v/>
      </c>
      <c r="J46" s="21">
        <f>IFERROR(J9/F9-1,"")</f>
        <v/>
      </c>
      <c r="K46" s="21">
        <f>IFERROR(K9/G9-1,"")</f>
        <v/>
      </c>
      <c r="L46" s="21">
        <f>IFERROR(L9/H9-1,"")</f>
        <v/>
      </c>
      <c r="M46" s="21">
        <f>IFERROR(M9/I9-1,"")</f>
        <v/>
      </c>
      <c r="N46" s="21">
        <f>IFERROR(N9/J9-1,"")</f>
        <v/>
      </c>
      <c r="O46" s="21">
        <f>IFERROR(O9/K9-1,"")</f>
        <v/>
      </c>
      <c r="P46" s="21">
        <f>IFERROR(P9/L9-1,"")</f>
        <v/>
      </c>
      <c r="Q46" s="21">
        <f>IFERROR(Q9/M9-1,"")</f>
        <v/>
      </c>
      <c r="R46" s="21">
        <f>IFERROR(R9/N9-1,"")</f>
        <v/>
      </c>
      <c r="S46" s="21">
        <f>IFERROR(S9/O9-1,"")</f>
        <v/>
      </c>
      <c r="T46" s="21">
        <f>IFERROR(T9/P9-1,"")</f>
        <v/>
      </c>
      <c r="U46" s="21">
        <f>IFERROR(U9/Q9-1,"")</f>
        <v/>
      </c>
      <c r="V46" s="21">
        <f>IFERROR(V9/R9-1,"")</f>
        <v/>
      </c>
      <c r="W46" s="47">
        <f>IFERROR(W9/S9-1,"")</f>
        <v/>
      </c>
      <c r="X46" s="33">
        <f>IFERROR(X9/T9-1,"")</f>
        <v/>
      </c>
      <c r="Y46" s="33">
        <f>IFERROR(Y9/U9-1,"")</f>
        <v/>
      </c>
      <c r="Z46" s="33">
        <f>IFERROR(Z9/V9-1,"")</f>
        <v/>
      </c>
      <c r="AA46" s="33">
        <f>IFERROR(AA9/W9-1,"")</f>
        <v/>
      </c>
      <c r="AB46" s="33">
        <f>IFERROR(AB9/X9-1,"")</f>
        <v/>
      </c>
      <c r="AC46" s="33">
        <f>IFERROR(AC9/Y9-1,"")</f>
        <v/>
      </c>
      <c r="AD46" s="33">
        <f>IFERROR(AD9/Z9-1,"")</f>
        <v/>
      </c>
      <c r="AE46" s="33">
        <f>IFERROR(AE9/AA9-1,"")</f>
        <v/>
      </c>
      <c r="AF46" s="33">
        <f>IFERROR(AF9/AB9-1,"")</f>
        <v/>
      </c>
      <c r="AG46" s="33">
        <f>IFERROR(AG9/AC9-1,"")</f>
        <v/>
      </c>
    </row>
    <row r="47">
      <c r="A47" s="12" t="inlineStr">
        <is>
          <t>지배주주순이익 YoY</t>
        </is>
      </c>
      <c r="D47" t="inlineStr">
        <is>
          <t>지배주주순이익 YoY</t>
        </is>
      </c>
      <c r="I47" s="21">
        <f>IFERROR(I21/E21-1,"")</f>
        <v/>
      </c>
      <c r="J47" s="21">
        <f>IFERROR(J21/F21-1,"")</f>
        <v/>
      </c>
      <c r="K47" s="21">
        <f>IFERROR(K21/G21-1,"")</f>
        <v/>
      </c>
      <c r="L47" s="21">
        <f>IFERROR(L21/H21-1,"")</f>
        <v/>
      </c>
      <c r="M47" s="21">
        <f>IFERROR(M21/I21-1,"")</f>
        <v/>
      </c>
      <c r="N47" s="21">
        <f>IFERROR(N21/J21-1,"")</f>
        <v/>
      </c>
      <c r="O47" s="21">
        <f>IFERROR(O21/K21-1,"")</f>
        <v/>
      </c>
      <c r="P47" s="21">
        <f>IFERROR(P21/L21-1,"")</f>
        <v/>
      </c>
      <c r="Q47" s="21">
        <f>IFERROR(Q21/M21-1,"")</f>
        <v/>
      </c>
      <c r="R47" s="21">
        <f>IFERROR(R21/N21-1,"")</f>
        <v/>
      </c>
      <c r="S47" s="21">
        <f>IFERROR(S21/O21-1,"")</f>
        <v/>
      </c>
      <c r="T47" s="21">
        <f>IFERROR(T21/P21-1,"")</f>
        <v/>
      </c>
      <c r="U47" s="21">
        <f>IFERROR(U21/Q21-1,"")</f>
        <v/>
      </c>
      <c r="V47" s="21">
        <f>IFERROR(V21/R21-1,"")</f>
        <v/>
      </c>
      <c r="W47" s="47">
        <f>IFERROR(W21/S21-1,"")</f>
        <v/>
      </c>
      <c r="X47" s="33">
        <f>IFERROR(X21/T21-1,"")</f>
        <v/>
      </c>
      <c r="Y47" s="33">
        <f>IFERROR(Y21/U21-1,"")</f>
        <v/>
      </c>
      <c r="Z47" s="33">
        <f>IFERROR(Z21/V21-1,"")</f>
        <v/>
      </c>
      <c r="AA47" s="33">
        <f>IFERROR(AA21/W21-1,"")</f>
        <v/>
      </c>
      <c r="AB47" s="33">
        <f>IFERROR(AB21/X21-1,"")</f>
        <v/>
      </c>
      <c r="AC47" s="33">
        <f>IFERROR(AC21/Y21-1,"")</f>
        <v/>
      </c>
      <c r="AD47" s="33">
        <f>IFERROR(AD21/Z21-1,"")</f>
        <v/>
      </c>
      <c r="AE47" s="33">
        <f>IFERROR(AE21/AA21-1,"")</f>
        <v/>
      </c>
      <c r="AF47" s="33">
        <f>IFERROR(AF21/AB21-1,"")</f>
        <v/>
      </c>
      <c r="AG47" s="33">
        <f>IFERROR(AG21/AC21-1,"")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" t="n">
        <v>2024</v>
      </c>
      <c r="I1" s="42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18">
        <f>변수!D46</f>
        <v/>
      </c>
      <c r="I2" s="43" t="n"/>
    </row>
    <row r="3">
      <c r="C3" t="inlineStr">
        <is>
          <t>기준일:</t>
        </is>
      </c>
      <c r="D3" t="inlineStr">
        <is>
          <t>20261012</t>
        </is>
      </c>
      <c r="E3" s="2" t="n">
        <v>1</v>
      </c>
      <c r="F3" s="2" t="n">
        <v>2</v>
      </c>
      <c r="G3" s="2" t="n">
        <v>3</v>
      </c>
      <c r="H3" s="2" t="n">
        <v>4</v>
      </c>
      <c r="I3" s="44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7" t="inlineStr">
        <is>
          <t>2024.12A</t>
        </is>
      </c>
      <c r="I4" s="45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6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6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6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6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6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47">
        <f>IFERROR(VLOOKUP($A10,subQ,MATCH(I$1,SUBQH,0),0),"")</f>
        <v/>
      </c>
      <c r="J10" s="33">
        <f>IFERROR(VLOOKUP($A10,subQ,MATCH(J$1,SUBQH,0),0),"")</f>
        <v/>
      </c>
      <c r="K10" s="33">
        <f>IFERROR(VLOOKUP($A10,subQ,MATCH(K$1,SUBQH,0),0),"")</f>
        <v/>
      </c>
      <c r="L10" s="33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6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6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6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6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6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6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</row>
    <row r="17">
      <c r="A17" s="12" t="inlineStr">
        <is>
          <t>지분법손익</t>
        </is>
      </c>
      <c r="D17" t="inlineStr">
        <is>
          <t>지분법손익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6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</row>
    <row r="18">
      <c r="A18" s="12" t="inlineStr">
        <is>
          <t>세전이익</t>
        </is>
      </c>
      <c r="D18" t="inlineStr">
        <is>
          <t>법인세비용차감전이익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6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</row>
    <row r="19">
      <c r="A19" s="12" t="inlineStr">
        <is>
          <t>법인세비용</t>
        </is>
      </c>
      <c r="D19" t="inlineStr">
        <is>
          <t>법인세비용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6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</row>
    <row r="20">
      <c r="A20" s="12" t="inlineStr">
        <is>
          <t>당기순이익</t>
        </is>
      </c>
      <c r="D20" t="inlineStr">
        <is>
          <t>당기순이익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6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</row>
    <row r="21">
      <c r="A21" s="12" t="inlineStr">
        <is>
          <t>지배주주순이익</t>
        </is>
      </c>
      <c r="D21" t="inlineStr">
        <is>
          <t>지배주주순이익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6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</row>
    <row r="22">
      <c r="A22" s="12" t="inlineStr">
        <is>
          <t>중단사업이익</t>
        </is>
      </c>
      <c r="D22" t="inlineStr">
        <is>
          <t>중단사업이익(실적만)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6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</row>
    <row r="23">
      <c r="A23" s="12" t="inlineStr">
        <is>
          <t>감가상각비</t>
        </is>
      </c>
      <c r="D23" t="inlineStr">
        <is>
          <t>감가상각비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6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</row>
    <row r="24">
      <c r="A24" s="12" t="inlineStr">
        <is>
          <t>EBITDA</t>
        </is>
      </c>
      <c r="D24" t="inlineStr">
        <is>
          <t>EBITDA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6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</row>
    <row r="25">
      <c r="A25" s="12" t="inlineStr">
        <is>
          <t>자산총계</t>
        </is>
      </c>
      <c r="D25" t="inlineStr">
        <is>
          <t>자산총계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6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</row>
    <row r="26">
      <c r="A26" s="12" t="inlineStr">
        <is>
          <t>부채총계</t>
        </is>
      </c>
      <c r="D26" t="inlineStr">
        <is>
          <t>부채총계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6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  <c r="L26" s="20">
        <f>IFERROR(VLOOKUP($A26,subQ,MATCH(L$1,SUBQH,0),0),"")</f>
        <v/>
      </c>
    </row>
    <row r="27">
      <c r="A27" s="12" t="inlineStr">
        <is>
          <t>자본총계</t>
        </is>
      </c>
      <c r="D27" t="inlineStr">
        <is>
          <t>자본총계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6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</row>
    <row r="28">
      <c r="A28" s="12" t="inlineStr">
        <is>
          <t>지배주주지분</t>
        </is>
      </c>
      <c r="D28" t="inlineStr">
        <is>
          <t>지배주주지분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46">
        <f>IFERROR(VLOOKUP($A28,subQ,MATCH(I$1,SUBQH,0),0),"")</f>
        <v/>
      </c>
      <c r="J28" s="20">
        <f>IFERROR(VLOOKUP($A28,subQ,MATCH(J$1,SUBQH,0),0),"")</f>
        <v/>
      </c>
      <c r="K28" s="20">
        <f>IFERROR(VLOOKUP($A28,subQ,MATCH(K$1,SUBQH,0),0),"")</f>
        <v/>
      </c>
      <c r="L28" s="20">
        <f>IFERROR(VLOOKUP($A28,subQ,MATCH(L$1,SUBQH,0),0),"")</f>
        <v/>
      </c>
    </row>
    <row r="29">
      <c r="A29" s="12" t="inlineStr">
        <is>
          <t>총차입금</t>
        </is>
      </c>
      <c r="D29" t="inlineStr">
        <is>
          <t>총차입금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46">
        <f>IFERROR(VLOOKUP($A29,subQ,MATCH(I$1,SUBQH,0),0),"")</f>
        <v/>
      </c>
      <c r="J29" s="20">
        <f>IFERROR(VLOOKUP($A29,subQ,MATCH(J$1,SUBQH,0),0),"")</f>
        <v/>
      </c>
      <c r="K29" s="20">
        <f>IFERROR(VLOOKUP($A29,subQ,MATCH(K$1,SUBQH,0),0),"")</f>
        <v/>
      </c>
      <c r="L29" s="20">
        <f>IFERROR(VLOOKUP($A29,subQ,MATCH(L$1,SUBQH,0),0),"")</f>
        <v/>
      </c>
    </row>
    <row r="30">
      <c r="A30" s="12" t="inlineStr">
        <is>
          <t>순차입금</t>
        </is>
      </c>
      <c r="D30" t="inlineStr">
        <is>
          <t>순차입금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46">
        <f>IFERROR(VLOOKUP($A30,subQ,MATCH(I$1,SUBQH,0),0),"")</f>
        <v/>
      </c>
      <c r="J30" s="20">
        <f>IFERROR(VLOOKUP($A30,subQ,MATCH(J$1,SUBQH,0),0),"")</f>
        <v/>
      </c>
      <c r="K30" s="20">
        <f>IFERROR(VLOOKUP($A30,subQ,MATCH(K$1,SUBQH,0),0),"")</f>
        <v/>
      </c>
      <c r="L30" s="20">
        <f>IFERROR(VLOOKUP($A30,subQ,MATCH(L$1,SUBQH,0),0),"")</f>
        <v/>
      </c>
    </row>
    <row r="31">
      <c r="A31" s="12" t="inlineStr">
        <is>
          <t>이자발생자산</t>
        </is>
      </c>
      <c r="D31" t="inlineStr">
        <is>
          <t>이자발생자산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46">
        <f>IFERROR(VLOOKUP($A31,subQ,MATCH(I$1,SUBQH,0),0),"")</f>
        <v/>
      </c>
      <c r="J31" s="20">
        <f>IFERROR(VLOOKUP($A31,subQ,MATCH(J$1,SUBQH,0),0),"")</f>
        <v/>
      </c>
      <c r="K31" s="20">
        <f>IFERROR(VLOOKUP($A31,subQ,MATCH(K$1,SUBQH,0),0),"")</f>
        <v/>
      </c>
      <c r="L31" s="20">
        <f>IFERROR(VLOOKUP($A31,subQ,MATCH(L$1,SUBQH,0),0),"")</f>
        <v/>
      </c>
    </row>
    <row r="32">
      <c r="A32" s="12" t="inlineStr">
        <is>
          <t>현금및현금성자산</t>
        </is>
      </c>
      <c r="D32" t="inlineStr">
        <is>
          <t>현금및현금성자산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46">
        <f>IFERROR(VLOOKUP($A32,subQ,MATCH(I$1,SUBQH,0),0),"")</f>
        <v/>
      </c>
      <c r="J32" s="20">
        <f>IFERROR(VLOOKUP($A32,subQ,MATCH(J$1,SUBQH,0),0),"")</f>
        <v/>
      </c>
      <c r="K32" s="20">
        <f>IFERROR(VLOOKUP($A32,subQ,MATCH(K$1,SUBQH,0),0),"")</f>
        <v/>
      </c>
      <c r="L32" s="20">
        <f>IFERROR(VLOOKUP($A32,subQ,MATCH(L$1,SUBQH,0),0),"")</f>
        <v/>
      </c>
    </row>
    <row r="33">
      <c r="A33" s="12" t="inlineStr">
        <is>
          <t>CAPEX</t>
        </is>
      </c>
      <c r="D33" t="inlineStr">
        <is>
          <t>CAPEX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46">
        <f>IFERROR(VLOOKUP($A33,subQ,MATCH(I$1,SUBQH,0),0),"")</f>
        <v/>
      </c>
      <c r="J33" s="20">
        <f>IFERROR(VLOOKUP($A33,subQ,MATCH(J$1,SUBQH,0),0),"")</f>
        <v/>
      </c>
      <c r="K33" s="20">
        <f>IFERROR(VLOOKUP($A33,subQ,MATCH(K$1,SUBQH,0),0),"")</f>
        <v/>
      </c>
      <c r="L33" s="20">
        <f>IFERROR(VLOOKUP($A33,subQ,MATCH(L$1,SUBQH,0),0),"")</f>
        <v/>
      </c>
    </row>
    <row r="34">
      <c r="A34" s="12" t="inlineStr">
        <is>
          <t>영업활동현금흐름</t>
        </is>
      </c>
      <c r="D34" t="inlineStr">
        <is>
          <t>영업활동현금흐름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46">
        <f>IFERROR(VLOOKUP($A34,subQ,MATCH(I$1,SUBQH,0),0),"")</f>
        <v/>
      </c>
      <c r="J34" s="20">
        <f>IFERROR(VLOOKUP($A34,subQ,MATCH(J$1,SUBQH,0),0),"")</f>
        <v/>
      </c>
      <c r="K34" s="20">
        <f>IFERROR(VLOOKUP($A34,subQ,MATCH(K$1,SUBQH,0),0),"")</f>
        <v/>
      </c>
      <c r="L34" s="20">
        <f>IFERROR(VLOOKUP($A34,subQ,MATCH(L$1,SUBQH,0),0),"")</f>
        <v/>
      </c>
    </row>
    <row r="35">
      <c r="A35" s="12" t="inlineStr">
        <is>
          <t>주식수</t>
        </is>
      </c>
      <c r="D35" t="inlineStr">
        <is>
          <t>유통주식수</t>
        </is>
      </c>
      <c r="E35" s="27">
        <f>IFERROR(VLOOKUP($A35,subQ,MATCH(E$1,SUBQH,0),0),"")</f>
        <v/>
      </c>
      <c r="F35" s="27">
        <f>IFERROR(VLOOKUP($A35,subQ,MATCH(F$1,SUBQH,0),0),"")</f>
        <v/>
      </c>
      <c r="G35" s="27">
        <f>IFERROR(VLOOKUP($A35,subQ,MATCH(G$1,SUBQH,0),0),"")</f>
        <v/>
      </c>
      <c r="H35" s="27">
        <f>IFERROR(VLOOKUP($A35,subQ,MATCH(H$1,SUBQH,0),0),"")</f>
        <v/>
      </c>
      <c r="I35" s="48">
        <f>IFERROR(VLOOKUP($A35,subQ,MATCH(I$1,SUBQH,0),0),"")</f>
        <v/>
      </c>
      <c r="J35" s="32">
        <f>IFERROR(VLOOKUP($A35,subQ,MATCH(J$1,SUBQH,0),0),"")</f>
        <v/>
      </c>
      <c r="K35" s="32">
        <f>IFERROR(VLOOKUP($A35,subQ,MATCH(K$1,SUBQH,0),0),"")</f>
        <v/>
      </c>
      <c r="L35" s="32">
        <f>IFERROR(VLOOKUP($A35,subQ,MATCH(L$1,SUBQH,0),0),"")</f>
        <v/>
      </c>
    </row>
    <row r="36">
      <c r="A36" s="12" t="inlineStr">
        <is>
          <t>EPS</t>
        </is>
      </c>
      <c r="D36" t="inlineStr">
        <is>
          <t>EPS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18">
        <f>IFERROR(VLOOKUP($A36,subQ,MATCH(G$1,SUBQH,0),0),"")</f>
        <v/>
      </c>
      <c r="H36" s="18">
        <f>IFERROR(VLOOKUP($A36,subQ,MATCH(H$1,SUBQH,0),0),"")</f>
        <v/>
      </c>
      <c r="I36" s="46">
        <f>IFERROR(VLOOKUP($A36,subQ,MATCH(I$1,SUBQH,0),0),"")</f>
        <v/>
      </c>
      <c r="J36" s="20">
        <f>IFERROR(VLOOKUP($A36,subQ,MATCH(J$1,SUBQH,0),0),"")</f>
        <v/>
      </c>
      <c r="K36" s="20">
        <f>IFERROR(VLOOKUP($A36,subQ,MATCH(K$1,SUBQH,0),0),"")</f>
        <v/>
      </c>
      <c r="L36" s="20">
        <f>IFERROR(VLOOKUP($A36,subQ,MATCH(L$1,SUBQH,0),0),"")</f>
        <v/>
      </c>
    </row>
    <row r="37">
      <c r="A37" s="12" t="inlineStr">
        <is>
          <t>조정EPS</t>
        </is>
      </c>
      <c r="D37" t="inlineStr">
        <is>
          <t>조정 EPS(일회성 의심 분기의 초과 비영업손익 세후 차감 — 모델 추정)</t>
        </is>
      </c>
      <c r="E37" s="18">
        <f>IFERROR(VLOOKUP($A37,subQ,MATCH(E$1,SUBQH,0),0),"")</f>
        <v/>
      </c>
      <c r="F37" s="18">
        <f>IFERROR(VLOOKUP($A37,subQ,MATCH(F$1,SUBQH,0),0),"")</f>
        <v/>
      </c>
      <c r="G37" s="18">
        <f>IFERROR(VLOOKUP($A37,subQ,MATCH(G$1,SUBQH,0),0),"")</f>
        <v/>
      </c>
      <c r="H37" s="18">
        <f>IFERROR(VLOOKUP($A37,subQ,MATCH(H$1,SUBQH,0),0),"")</f>
        <v/>
      </c>
      <c r="I37" s="46">
        <f>IFERROR(VLOOKUP($A37,subQ,MATCH(I$1,SUBQH,0),0),"")</f>
        <v/>
      </c>
      <c r="J37" s="20">
        <f>IFERROR(VLOOKUP($A37,subQ,MATCH(J$1,SUBQH,0),0),"")</f>
        <v/>
      </c>
      <c r="K37" s="20">
        <f>IFERROR(VLOOKUP($A37,subQ,MATCH(K$1,SUBQH,0),0),"")</f>
        <v/>
      </c>
      <c r="L37" s="20">
        <f>IFERROR(VLOOKUP($A37,subQ,MATCH(L$1,SUBQH,0),0),"")</f>
        <v/>
      </c>
    </row>
    <row r="38">
      <c r="A38" s="12" t="inlineStr">
        <is>
          <t>BPS</t>
        </is>
      </c>
      <c r="D38" t="inlineStr">
        <is>
          <t>BPS</t>
        </is>
      </c>
      <c r="E38" s="18">
        <f>IFERROR(VLOOKUP($A38,subQ,MATCH(E$1,SUBQH,0),0),"")</f>
        <v/>
      </c>
      <c r="F38" s="18">
        <f>IFERROR(VLOOKUP($A38,subQ,MATCH(F$1,SUBQH,0),0),"")</f>
        <v/>
      </c>
      <c r="G38" s="18">
        <f>IFERROR(VLOOKUP($A38,subQ,MATCH(G$1,SUBQH,0),0),"")</f>
        <v/>
      </c>
      <c r="H38" s="18">
        <f>IFERROR(VLOOKUP($A38,subQ,MATCH(H$1,SUBQH,0),0),"")</f>
        <v/>
      </c>
      <c r="I38" s="46">
        <f>IFERROR(VLOOKUP($A38,subQ,MATCH(I$1,SUBQH,0),0),"")</f>
        <v/>
      </c>
      <c r="J38" s="20">
        <f>IFERROR(VLOOKUP($A38,subQ,MATCH(J$1,SUBQH,0),0),"")</f>
        <v/>
      </c>
      <c r="K38" s="20">
        <f>IFERROR(VLOOKUP($A38,subQ,MATCH(K$1,SUBQH,0),0),"")</f>
        <v/>
      </c>
      <c r="L38" s="20">
        <f>IFERROR(VLOOKUP($A38,subQ,MATCH(L$1,SUBQH,0),0),"")</f>
        <v/>
      </c>
    </row>
    <row r="39">
      <c r="A39" s="12" t="inlineStr">
        <is>
          <t>DPS</t>
        </is>
      </c>
      <c r="D39" t="inlineStr">
        <is>
          <t>DPS(보통주)</t>
        </is>
      </c>
      <c r="E39" s="18">
        <f>IFERROR(VLOOKUP($A39,subQ,MATCH(E$1,SUBQH,0),0),"")</f>
        <v/>
      </c>
      <c r="F39" s="18">
        <f>IFERROR(VLOOKUP($A39,subQ,MATCH(F$1,SUBQH,0),0),"")</f>
        <v/>
      </c>
      <c r="G39" s="18">
        <f>IFERROR(VLOOKUP($A39,subQ,MATCH(G$1,SUBQH,0),0),"")</f>
        <v/>
      </c>
      <c r="H39" s="18">
        <f>IFERROR(VLOOKUP($A39,subQ,MATCH(H$1,SUBQH,0),0),"")</f>
        <v/>
      </c>
      <c r="I39" s="46">
        <f>IFERROR(VLOOKUP($A39,subQ,MATCH(I$1,SUBQH,0),0),"")</f>
        <v/>
      </c>
      <c r="J39" s="20">
        <f>IFERROR(VLOOKUP($A39,subQ,MATCH(J$1,SUBQH,0),0),"")</f>
        <v/>
      </c>
      <c r="K39" s="20">
        <f>IFERROR(VLOOKUP($A39,subQ,MATCH(K$1,SUBQH,0),0),"")</f>
        <v/>
      </c>
      <c r="L39" s="20">
        <f>IFERROR(VLOOKUP($A39,subQ,MATCH(L$1,SUBQH,0),0),"")</f>
        <v/>
      </c>
    </row>
    <row r="40">
      <c r="A40" s="12" t="inlineStr">
        <is>
          <t>PER</t>
        </is>
      </c>
      <c r="D40" t="inlineStr">
        <is>
          <t>PER</t>
        </is>
      </c>
      <c r="E40" s="13">
        <f>IFERROR(VLOOKUP($A40,subQ,MATCH(E$1,SUBQH,0),0),"")</f>
        <v/>
      </c>
      <c r="F40" s="13">
        <f>IFERROR(VLOOKUP($A40,subQ,MATCH(F$1,SUBQH,0),0),"")</f>
        <v/>
      </c>
      <c r="G40" s="13">
        <f>IFERROR(VLOOKUP($A40,subQ,MATCH(G$1,SUBQH,0),0),"")</f>
        <v/>
      </c>
      <c r="H40" s="13">
        <f>IFERROR(VLOOKUP($A40,subQ,MATCH(H$1,SUBQH,0),0),"")</f>
        <v/>
      </c>
      <c r="I40" s="49">
        <f>IFERROR(VLOOKUP($A40,subQ,MATCH(I$1,SUBQH,0),0),"")</f>
        <v/>
      </c>
      <c r="J40" s="40">
        <f>IFERROR(VLOOKUP($A40,subQ,MATCH(J$1,SUBQH,0),0),"")</f>
        <v/>
      </c>
      <c r="K40" s="40">
        <f>IFERROR(VLOOKUP($A40,subQ,MATCH(K$1,SUBQH,0),0),"")</f>
        <v/>
      </c>
      <c r="L40" s="40">
        <f>IFERROR(VLOOKUP($A40,subQ,MATCH(L$1,SUBQH,0),0),"")</f>
        <v/>
      </c>
    </row>
    <row r="41">
      <c r="A41" s="12" t="inlineStr">
        <is>
          <t>PBR</t>
        </is>
      </c>
      <c r="D41" t="inlineStr">
        <is>
          <t>PBR</t>
        </is>
      </c>
      <c r="E41" s="13">
        <f>IFERROR(VLOOKUP($A41,subQ,MATCH(E$1,SUBQH,0),0),"")</f>
        <v/>
      </c>
      <c r="F41" s="13">
        <f>IFERROR(VLOOKUP($A41,subQ,MATCH(F$1,SUBQH,0),0),"")</f>
        <v/>
      </c>
      <c r="G41" s="13">
        <f>IFERROR(VLOOKUP($A41,subQ,MATCH(G$1,SUBQH,0),0),"")</f>
        <v/>
      </c>
      <c r="H41" s="13">
        <f>IFERROR(VLOOKUP($A41,subQ,MATCH(H$1,SUBQH,0),0),"")</f>
        <v/>
      </c>
      <c r="I41" s="49">
        <f>IFERROR(VLOOKUP($A41,subQ,MATCH(I$1,SUBQH,0),0),"")</f>
        <v/>
      </c>
      <c r="J41" s="40">
        <f>IFERROR(VLOOKUP($A41,subQ,MATCH(J$1,SUBQH,0),0),"")</f>
        <v/>
      </c>
      <c r="K41" s="40">
        <f>IFERROR(VLOOKUP($A41,subQ,MATCH(K$1,SUBQH,0),0),"")</f>
        <v/>
      </c>
      <c r="L41" s="40">
        <f>IFERROR(VLOOKUP($A41,subQ,MATCH(L$1,SUBQH,0),0),"")</f>
        <v/>
      </c>
    </row>
    <row r="42">
      <c r="A42" s="12" t="inlineStr">
        <is>
          <t>매출전사</t>
        </is>
      </c>
      <c r="D42" t="inlineStr">
        <is>
          <t>매출 전사(부문 미분리)</t>
        </is>
      </c>
      <c r="E42" s="18">
        <f>IFERROR(VLOOKUP($A42,subQ,MATCH(E$1,SUBQH,0),0),"")</f>
        <v/>
      </c>
      <c r="F42" s="18">
        <f>IFERROR(VLOOKUP($A42,subQ,MATCH(F$1,SUBQH,0),0),"")</f>
        <v/>
      </c>
      <c r="G42" s="18">
        <f>IFERROR(VLOOKUP($A42,subQ,MATCH(G$1,SUBQH,0),0),"")</f>
        <v/>
      </c>
      <c r="H42" s="18">
        <f>IFERROR(VLOOKUP($A42,subQ,MATCH(H$1,SUBQH,0),0),"")</f>
        <v/>
      </c>
      <c r="I42" s="46">
        <f>IFERROR(VLOOKUP($A42,subQ,MATCH(I$1,SUBQH,0),0),"")</f>
        <v/>
      </c>
      <c r="J42" s="20">
        <f>IFERROR(VLOOKUP($A42,subQ,MATCH(J$1,SUBQH,0),0),"")</f>
        <v/>
      </c>
      <c r="K42" s="20">
        <f>IFERROR(VLOOKUP($A42,subQ,MATCH(K$1,SUBQH,0),0),"")</f>
        <v/>
      </c>
      <c r="L42" s="20">
        <f>IFERROR(VLOOKUP($A42,subQ,MATCH(L$1,SUBQH,0),0),"")</f>
        <v/>
      </c>
    </row>
    <row r="43">
      <c r="A43" s="12" t="inlineStr">
        <is>
          <t>OP전사</t>
        </is>
      </c>
      <c r="D43" t="inlineStr">
        <is>
          <t>OP 전사(부문 미분리)</t>
        </is>
      </c>
      <c r="E43" s="18">
        <f>IFERROR(VLOOKUP($A43,subQ,MATCH(E$1,SUBQH,0),0),"")</f>
        <v/>
      </c>
      <c r="F43" s="18">
        <f>IFERROR(VLOOKUP($A43,subQ,MATCH(F$1,SUBQH,0),0),"")</f>
        <v/>
      </c>
      <c r="G43" s="18">
        <f>IFERROR(VLOOKUP($A43,subQ,MATCH(G$1,SUBQH,0),0),"")</f>
        <v/>
      </c>
      <c r="H43" s="18">
        <f>IFERROR(VLOOKUP($A43,subQ,MATCH(H$1,SUBQH,0),0),"")</f>
        <v/>
      </c>
      <c r="I43" s="46">
        <f>IFERROR(VLOOKUP($A43,subQ,MATCH(I$1,SUBQH,0),0),"")</f>
        <v/>
      </c>
      <c r="J43" s="20">
        <f>IFERROR(VLOOKUP($A43,subQ,MATCH(J$1,SUBQH,0),0),"")</f>
        <v/>
      </c>
      <c r="K43" s="20">
        <f>IFERROR(VLOOKUP($A43,subQ,MATCH(K$1,SUBQH,0),0),"")</f>
        <v/>
      </c>
      <c r="L43" s="20">
        <f>IFERROR(VLOOKUP($A43,subQ,MATCH(L$1,SUBQH,0),0),"")</f>
        <v/>
      </c>
    </row>
    <row r="44">
      <c r="A44" s="12" t="inlineStr">
        <is>
          <t>NPM</t>
        </is>
      </c>
      <c r="D44" t="inlineStr">
        <is>
          <t>NPM</t>
        </is>
      </c>
      <c r="E44" s="21">
        <f>IFERROR(VLOOKUP($A44,subQ,MATCH(E$1,SUBQH,0),0),"")</f>
        <v/>
      </c>
      <c r="F44" s="21">
        <f>IFERROR(VLOOKUP($A44,subQ,MATCH(F$1,SUBQH,0),0),"")</f>
        <v/>
      </c>
      <c r="G44" s="21">
        <f>IFERROR(VLOOKUP($A44,subQ,MATCH(G$1,SUBQH,0),0),"")</f>
        <v/>
      </c>
      <c r="H44" s="21">
        <f>IFERROR(VLOOKUP($A44,subQ,MATCH(H$1,SUBQH,0),0),"")</f>
        <v/>
      </c>
      <c r="I44" s="47">
        <f>IFERROR(VLOOKUP($A44,subQ,MATCH(I$1,SUBQH,0),0),"")</f>
        <v/>
      </c>
      <c r="J44" s="33">
        <f>IFERROR(VLOOKUP($A44,subQ,MATCH(J$1,SUBQH,0),0),"")</f>
        <v/>
      </c>
      <c r="K44" s="33">
        <f>IFERROR(VLOOKUP($A44,subQ,MATCH(K$1,SUBQH,0),0),"")</f>
        <v/>
      </c>
      <c r="L44" s="33">
        <f>IFERROR(VLOOKUP($A44,subQ,MATCH(L$1,SUBQH,0),0),"")</f>
        <v/>
      </c>
    </row>
    <row r="45">
      <c r="A45" s="12" t="inlineStr">
        <is>
          <t>매출액 YoY</t>
        </is>
      </c>
      <c r="D45" t="inlineStr">
        <is>
          <t>매출액 YoY</t>
        </is>
      </c>
      <c r="F45" s="21">
        <f>IFERROR(F5/E5-1,"")</f>
        <v/>
      </c>
      <c r="G45" s="21">
        <f>IFERROR(G5/F5-1,"")</f>
        <v/>
      </c>
      <c r="H45" s="21">
        <f>IFERROR(H5/G5-1,"")</f>
        <v/>
      </c>
      <c r="I45" s="47">
        <f>IFERROR(I5/H5-1,"")</f>
        <v/>
      </c>
      <c r="J45" s="33">
        <f>IFERROR(J5/I5-1,"")</f>
        <v/>
      </c>
      <c r="K45" s="33">
        <f>IFERROR(K5/J5-1,"")</f>
        <v/>
      </c>
      <c r="L45" s="33">
        <f>IFERROR(L5/K5-1,"")</f>
        <v/>
      </c>
    </row>
    <row r="46">
      <c r="A46" s="12" t="inlineStr">
        <is>
          <t>영업이익 YoY</t>
        </is>
      </c>
      <c r="D46" t="inlineStr">
        <is>
          <t>영업이익 YoY</t>
        </is>
      </c>
      <c r="F46" s="21">
        <f>IFERROR(F9/E9-1,"")</f>
        <v/>
      </c>
      <c r="G46" s="21">
        <f>IFERROR(G9/F9-1,"")</f>
        <v/>
      </c>
      <c r="H46" s="21">
        <f>IFERROR(H9/G9-1,"")</f>
        <v/>
      </c>
      <c r="I46" s="47">
        <f>IFERROR(I9/H9-1,"")</f>
        <v/>
      </c>
      <c r="J46" s="33">
        <f>IFERROR(J9/I9-1,"")</f>
        <v/>
      </c>
      <c r="K46" s="33">
        <f>IFERROR(K9/J9-1,"")</f>
        <v/>
      </c>
      <c r="L46" s="33">
        <f>IFERROR(L9/K9-1,"")</f>
        <v/>
      </c>
    </row>
    <row r="47">
      <c r="A47" s="12" t="inlineStr">
        <is>
          <t>지배주주순이익 YoY</t>
        </is>
      </c>
      <c r="D47" t="inlineStr">
        <is>
          <t>지배주주순이익 YoY</t>
        </is>
      </c>
      <c r="F47" s="21">
        <f>IFERROR(F21/E21-1,"")</f>
        <v/>
      </c>
      <c r="G47" s="21">
        <f>IFERROR(G21/F21-1,"")</f>
        <v/>
      </c>
      <c r="H47" s="21">
        <f>IFERROR(H21/G21-1,"")</f>
        <v/>
      </c>
      <c r="I47" s="47">
        <f>IFERROR(I21/H21-1,"")</f>
        <v/>
      </c>
      <c r="J47" s="33">
        <f>IFERROR(J21/I21-1,"")</f>
        <v/>
      </c>
      <c r="K47" s="33">
        <f>IFERROR(K21/J21-1,"")</f>
        <v/>
      </c>
      <c r="L47" s="33">
        <f>IFERROR(L21/K21-1,"")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변수!D46</f>
        <v/>
      </c>
    </row>
    <row r="2">
      <c r="B2" s="1" t="inlineStr">
        <is>
          <t>기준일</t>
        </is>
      </c>
      <c r="C2">
        <f>변수!D47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50" t="n">
        <v>2025</v>
      </c>
      <c r="E5" s="50" t="n">
        <v>2026</v>
      </c>
      <c r="F5" s="50" t="n">
        <v>2027</v>
      </c>
      <c r="G5" s="50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IFERROR(E7*변수!D52+F7*(1-변수!D52),"")</f>
        <v/>
      </c>
    </row>
    <row r="15">
      <c r="C15" t="inlineStr">
        <is>
          <t>적정가치 @PER_lo</t>
        </is>
      </c>
      <c r="D15" s="27">
        <f>변수!D49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7">
        <f>변수!D50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7">
        <f>변수!D51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7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변수!D48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18283.4</v>
      </c>
    </row>
    <row r="30">
      <c r="C30" s="2" t="inlineStr">
        <is>
          <t>bps_latest</t>
        </is>
      </c>
      <c r="D30" t="n">
        <v>1498026.6</v>
      </c>
    </row>
    <row r="31">
      <c r="C31" s="2" t="inlineStr">
        <is>
          <t>per_now</t>
        </is>
      </c>
      <c r="D31" t="n">
        <v>24.89</v>
      </c>
    </row>
    <row r="32">
      <c r="C32" s="2" t="inlineStr">
        <is>
          <t>pbr_now</t>
        </is>
      </c>
      <c r="D32" t="n">
        <v>0.3</v>
      </c>
    </row>
    <row r="33">
      <c r="C33" s="2" t="inlineStr">
        <is>
          <t>roe_fwd</t>
        </is>
      </c>
      <c r="D33" t="n">
        <v>0.0122</v>
      </c>
    </row>
    <row r="34">
      <c r="C34" s="2" t="inlineStr">
        <is>
          <t>fair_pbr</t>
        </is>
      </c>
      <c r="D34" t="n">
        <v>0.14</v>
      </c>
    </row>
    <row r="35">
      <c r="C35" s="2" t="inlineStr">
        <is>
          <t>fair_value_pbr</t>
        </is>
      </c>
      <c r="D35" t="n">
        <v>209700</v>
      </c>
    </row>
    <row r="36">
      <c r="C36" s="2" t="inlineStr">
        <is>
          <t>ev_ebitda</t>
        </is>
      </c>
      <c r="D36" t="n">
        <v>9.01</v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13">
        <f>IFERROR(VLOOKUP($D5,환율,MATCH(V$1,변수H,0),0),"")</f>
        <v/>
      </c>
      <c r="W5" s="13">
        <f>IFERROR(VLOOKUP($D5,환율,MATCH(W$1,변수H,0),0),"")</f>
        <v/>
      </c>
      <c r="X5" s="40">
        <f>IFERROR(VLOOKUP($D5,환율,MATCH(X$1,변수H,0),0),"")</f>
        <v/>
      </c>
      <c r="Y5" s="40">
        <f>IFERROR(VLOOKUP($D5,환율,MATCH(Y$1,변수H,0),0),"")</f>
        <v/>
      </c>
      <c r="Z5" s="40">
        <f>IFERROR(VLOOKUP($D5,환율,MATCH(Z$1,변수H,0),0),"")</f>
        <v/>
      </c>
      <c r="AA5" s="40">
        <f>IFERROR(VLOOKUP($D5,환율,MATCH(AA$1,변수H,0),0),"")</f>
        <v/>
      </c>
      <c r="AB5" s="40">
        <f>IFERROR(VLOOKUP($D5,환율,MATCH(AB$1,변수H,0),0),"")</f>
        <v/>
      </c>
      <c r="AC5" s="40">
        <f>IFERROR(VLOOKUP($D5,환율,MATCH(AC$1,변수H,0),0),"")</f>
        <v/>
      </c>
      <c r="AD5" s="40">
        <f>IFERROR(VLOOKUP($D5,환율,MATCH(AD$1,변수H,0),0),"")</f>
        <v/>
      </c>
      <c r="AE5" s="40">
        <f>IFERROR(VLOOKUP($D5,환율,MATCH(AE$1,변수H,0),0),"")</f>
        <v/>
      </c>
      <c r="AF5" s="40">
        <f>IFERROR(VLOOKUP($D5,환율,MATCH(AF$1,변수H,0),0),"")</f>
        <v/>
      </c>
      <c r="AG5" s="40">
        <f>IFERROR(VLOOKUP($D5,환율,MATCH(AG$1,변수H,0),0),"")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21">
        <f>IFERROR(P5/O5-1,"")</f>
        <v/>
      </c>
      <c r="Q6" s="21">
        <f>IFERROR(Q5/P5-1,"")</f>
        <v/>
      </c>
      <c r="R6" s="21">
        <f>IFERROR(R5/Q5-1,"")</f>
        <v/>
      </c>
      <c r="S6" s="21">
        <f>IFERROR(S5/R5-1,"")</f>
        <v/>
      </c>
      <c r="T6" s="21">
        <f>IFERROR(T5/S5-1,"")</f>
        <v/>
      </c>
      <c r="U6" s="21">
        <f>IFERROR(U5/T5-1,"")</f>
        <v/>
      </c>
      <c r="V6" s="21">
        <f>IFERROR(V5/U5-1,"")</f>
        <v/>
      </c>
      <c r="W6" s="21">
        <f>IFERROR(W5/V5-1,"")</f>
        <v/>
      </c>
      <c r="X6" s="33">
        <f>IFERROR(X5/W5-1,"")</f>
        <v/>
      </c>
      <c r="Y6" s="33">
        <f>IFERROR(Y5/X5-1,"")</f>
        <v/>
      </c>
      <c r="Z6" s="33">
        <f>IFERROR(Z5/Y5-1,"")</f>
        <v/>
      </c>
      <c r="AA6" s="33">
        <f>IFERROR(AA5/Z5-1,"")</f>
        <v/>
      </c>
      <c r="AB6" s="33">
        <f>IFERROR(AB5/AA5-1,"")</f>
        <v/>
      </c>
      <c r="AC6" s="33">
        <f>IFERROR(AC5/AB5-1,"")</f>
        <v/>
      </c>
      <c r="AD6" s="33">
        <f>IFERROR(AD5/AC5-1,"")</f>
        <v/>
      </c>
      <c r="AE6" s="33">
        <f>IFERROR(AE5/AD5-1,"")</f>
        <v/>
      </c>
      <c r="AF6" s="33">
        <f>IFERROR(AF5/AE5-1,"")</f>
        <v/>
      </c>
      <c r="AG6" s="33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13">
        <f>IFERROR(VLOOKUP($D7,환율,MATCH(V$1,변수H,0),0),"")</f>
        <v/>
      </c>
      <c r="W7" s="13">
        <f>IFERROR(VLOOKUP($D7,환율,MATCH(W$1,변수H,0),0),"")</f>
        <v/>
      </c>
      <c r="X7" s="40">
        <f>IFERROR(VLOOKUP($D7,환율,MATCH(X$1,변수H,0),0),"")</f>
        <v/>
      </c>
      <c r="Y7" s="40">
        <f>IFERROR(VLOOKUP($D7,환율,MATCH(Y$1,변수H,0),0),"")</f>
        <v/>
      </c>
      <c r="Z7" s="40">
        <f>IFERROR(VLOOKUP($D7,환율,MATCH(Z$1,변수H,0),0),"")</f>
        <v/>
      </c>
      <c r="AA7" s="40">
        <f>IFERROR(VLOOKUP($D7,환율,MATCH(AA$1,변수H,0),0),"")</f>
        <v/>
      </c>
      <c r="AB7" s="40">
        <f>IFERROR(VLOOKUP($D7,환율,MATCH(AB$1,변수H,0),0),"")</f>
        <v/>
      </c>
      <c r="AC7" s="40">
        <f>IFERROR(VLOOKUP($D7,환율,MATCH(AC$1,변수H,0),0),"")</f>
        <v/>
      </c>
      <c r="AD7" s="40">
        <f>IFERROR(VLOOKUP($D7,환율,MATCH(AD$1,변수H,0),0),"")</f>
        <v/>
      </c>
      <c r="AE7" s="40">
        <f>IFERROR(VLOOKUP($D7,환율,MATCH(AE$1,변수H,0),0),"")</f>
        <v/>
      </c>
      <c r="AF7" s="40">
        <f>IFERROR(VLOOKUP($D7,환율,MATCH(AF$1,변수H,0),0),"")</f>
        <v/>
      </c>
      <c r="AG7" s="40">
        <f>IFERROR(VLOOKUP($D7,환율,MATCH(AG$1,변수H,0),0),"")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21">
        <f>IFERROR(P7/O7-1,"")</f>
        <v/>
      </c>
      <c r="Q8" s="21">
        <f>IFERROR(Q7/P7-1,"")</f>
        <v/>
      </c>
      <c r="R8" s="21">
        <f>IFERROR(R7/Q7-1,"")</f>
        <v/>
      </c>
      <c r="S8" s="21">
        <f>IFERROR(S7/R7-1,"")</f>
        <v/>
      </c>
      <c r="T8" s="21">
        <f>IFERROR(T7/S7-1,"")</f>
        <v/>
      </c>
      <c r="U8" s="21">
        <f>IFERROR(U7/T7-1,"")</f>
        <v/>
      </c>
      <c r="V8" s="21">
        <f>IFERROR(V7/U7-1,"")</f>
        <v/>
      </c>
      <c r="W8" s="21">
        <f>IFERROR(W7/V7-1,"")</f>
        <v/>
      </c>
      <c r="X8" s="33">
        <f>IFERROR(X7/W7-1,"")</f>
        <v/>
      </c>
      <c r="Y8" s="33">
        <f>IFERROR(Y7/X7-1,"")</f>
        <v/>
      </c>
      <c r="Z8" s="33">
        <f>IFERROR(Z7/Y7-1,"")</f>
        <v/>
      </c>
      <c r="AA8" s="33">
        <f>IFERROR(AA7/Z7-1,"")</f>
        <v/>
      </c>
      <c r="AB8" s="33">
        <f>IFERROR(AB7/AA7-1,"")</f>
        <v/>
      </c>
      <c r="AC8" s="33">
        <f>IFERROR(AC7/AB7-1,"")</f>
        <v/>
      </c>
      <c r="AD8" s="33">
        <f>IFERROR(AD7/AC7-1,"")</f>
        <v/>
      </c>
      <c r="AE8" s="33">
        <f>IFERROR(AE7/AD7-1,"")</f>
        <v/>
      </c>
      <c r="AF8" s="33">
        <f>IFERROR(AF7/AE7-1,"")</f>
        <v/>
      </c>
      <c r="AG8" s="33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13">
        <f>IFERROR(VLOOKUP($D9,환율,MATCH(V$1,변수H,0),0),"")</f>
        <v/>
      </c>
      <c r="W9" s="13">
        <f>IFERROR(VLOOKUP($D9,환율,MATCH(W$1,변수H,0),0),"")</f>
        <v/>
      </c>
      <c r="X9" s="40">
        <f>IFERROR(VLOOKUP($D9,환율,MATCH(X$1,변수H,0),0),"")</f>
        <v/>
      </c>
      <c r="Y9" s="40">
        <f>IFERROR(VLOOKUP($D9,환율,MATCH(Y$1,변수H,0),0),"")</f>
        <v/>
      </c>
      <c r="Z9" s="40">
        <f>IFERROR(VLOOKUP($D9,환율,MATCH(Z$1,변수H,0),0),"")</f>
        <v/>
      </c>
      <c r="AA9" s="40">
        <f>IFERROR(VLOOKUP($D9,환율,MATCH(AA$1,변수H,0),0),"")</f>
        <v/>
      </c>
      <c r="AB9" s="40">
        <f>IFERROR(VLOOKUP($D9,환율,MATCH(AB$1,변수H,0),0),"")</f>
        <v/>
      </c>
      <c r="AC9" s="40">
        <f>IFERROR(VLOOKUP($D9,환율,MATCH(AC$1,변수H,0),0),"")</f>
        <v/>
      </c>
      <c r="AD9" s="40">
        <f>IFERROR(VLOOKUP($D9,환율,MATCH(AD$1,변수H,0),0),"")</f>
        <v/>
      </c>
      <c r="AE9" s="40">
        <f>IFERROR(VLOOKUP($D9,환율,MATCH(AE$1,변수H,0),0),"")</f>
        <v/>
      </c>
      <c r="AF9" s="40">
        <f>IFERROR(VLOOKUP($D9,환율,MATCH(AF$1,변수H,0),0),"")</f>
        <v/>
      </c>
      <c r="AG9" s="40">
        <f>IFERROR(VLOOKUP($D9,환율,MATCH(AG$1,변수H,0),0),"")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21">
        <f>IFERROR(P9/O9-1,"")</f>
        <v/>
      </c>
      <c r="Q10" s="21">
        <f>IFERROR(Q9/P9-1,"")</f>
        <v/>
      </c>
      <c r="R10" s="21">
        <f>IFERROR(R9/Q9-1,"")</f>
        <v/>
      </c>
      <c r="S10" s="21">
        <f>IFERROR(S9/R9-1,"")</f>
        <v/>
      </c>
      <c r="T10" s="21">
        <f>IFERROR(T9/S9-1,"")</f>
        <v/>
      </c>
      <c r="U10" s="21">
        <f>IFERROR(U9/T9-1,"")</f>
        <v/>
      </c>
      <c r="V10" s="21">
        <f>IFERROR(V9/U9-1,"")</f>
        <v/>
      </c>
      <c r="W10" s="21">
        <f>IFERROR(W9/V9-1,"")</f>
        <v/>
      </c>
      <c r="X10" s="33">
        <f>IFERROR(X9/W9-1,"")</f>
        <v/>
      </c>
      <c r="Y10" s="33">
        <f>IFERROR(Y9/X9-1,"")</f>
        <v/>
      </c>
      <c r="Z10" s="33">
        <f>IFERROR(Z9/Y9-1,"")</f>
        <v/>
      </c>
      <c r="AA10" s="33">
        <f>IFERROR(AA9/Z9-1,"")</f>
        <v/>
      </c>
      <c r="AB10" s="33">
        <f>IFERROR(AB9/AA9-1,"")</f>
        <v/>
      </c>
      <c r="AC10" s="33">
        <f>IFERROR(AC9/AB9-1,"")</f>
        <v/>
      </c>
      <c r="AD10" s="33">
        <f>IFERROR(AD9/AC9-1,"")</f>
        <v/>
      </c>
      <c r="AE10" s="33">
        <f>IFERROR(AE9/AD9-1,"")</f>
        <v/>
      </c>
      <c r="AF10" s="33">
        <f>IFERROR(AF9/AE9-1,"")</f>
        <v/>
      </c>
      <c r="AG10" s="33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13">
        <f>IFERROR(VLOOKUP($D11,환율,MATCH(V$1,변수H,0),0),"")</f>
        <v/>
      </c>
      <c r="W11" s="13">
        <f>IFERROR(VLOOKUP($D11,환율,MATCH(W$1,변수H,0),0),"")</f>
        <v/>
      </c>
      <c r="X11" s="40">
        <f>IFERROR(VLOOKUP($D11,환율,MATCH(X$1,변수H,0),0),"")</f>
        <v/>
      </c>
      <c r="Y11" s="40">
        <f>IFERROR(VLOOKUP($D11,환율,MATCH(Y$1,변수H,0),0),"")</f>
        <v/>
      </c>
      <c r="Z11" s="40">
        <f>IFERROR(VLOOKUP($D11,환율,MATCH(Z$1,변수H,0),0),"")</f>
        <v/>
      </c>
      <c r="AA11" s="40">
        <f>IFERROR(VLOOKUP($D11,환율,MATCH(AA$1,변수H,0),0),"")</f>
        <v/>
      </c>
      <c r="AB11" s="40">
        <f>IFERROR(VLOOKUP($D11,환율,MATCH(AB$1,변수H,0),0),"")</f>
        <v/>
      </c>
      <c r="AC11" s="40">
        <f>IFERROR(VLOOKUP($D11,환율,MATCH(AC$1,변수H,0),0),"")</f>
        <v/>
      </c>
      <c r="AD11" s="40">
        <f>IFERROR(VLOOKUP($D11,환율,MATCH(AD$1,변수H,0),0),"")</f>
        <v/>
      </c>
      <c r="AE11" s="40">
        <f>IFERROR(VLOOKUP($D11,환율,MATCH(AE$1,변수H,0),0),"")</f>
        <v/>
      </c>
      <c r="AF11" s="40">
        <f>IFERROR(VLOOKUP($D11,환율,MATCH(AF$1,변수H,0),0),"")</f>
        <v/>
      </c>
      <c r="AG11" s="40">
        <f>IFERROR(VLOOKUP($D11,환율,MATCH(AG$1,변수H,0),0),"")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21">
        <f>IFERROR(P11/O11-1,"")</f>
        <v/>
      </c>
      <c r="Q12" s="21">
        <f>IFERROR(Q11/P11-1,"")</f>
        <v/>
      </c>
      <c r="R12" s="21">
        <f>IFERROR(R11/Q11-1,"")</f>
        <v/>
      </c>
      <c r="S12" s="21">
        <f>IFERROR(S11/R11-1,"")</f>
        <v/>
      </c>
      <c r="T12" s="21">
        <f>IFERROR(T11/S11-1,"")</f>
        <v/>
      </c>
      <c r="U12" s="21">
        <f>IFERROR(U11/T11-1,"")</f>
        <v/>
      </c>
      <c r="V12" s="21">
        <f>IFERROR(V11/U11-1,"")</f>
        <v/>
      </c>
      <c r="W12" s="21">
        <f>IFERROR(W11/V11-1,"")</f>
        <v/>
      </c>
      <c r="X12" s="33">
        <f>IFERROR(X11/W11-1,"")</f>
        <v/>
      </c>
      <c r="Y12" s="33">
        <f>IFERROR(Y11/X11-1,"")</f>
        <v/>
      </c>
      <c r="Z12" s="33">
        <f>IFERROR(Z11/Y11-1,"")</f>
        <v/>
      </c>
      <c r="AA12" s="33">
        <f>IFERROR(AA11/Z11-1,"")</f>
        <v/>
      </c>
      <c r="AB12" s="33">
        <f>IFERROR(AB11/AA11-1,"")</f>
        <v/>
      </c>
      <c r="AC12" s="33">
        <f>IFERROR(AC11/AB11-1,"")</f>
        <v/>
      </c>
      <c r="AD12" s="33">
        <f>IFERROR(AD11/AC11-1,"")</f>
        <v/>
      </c>
      <c r="AE12" s="33">
        <f>IFERROR(AE11/AD11-1,"")</f>
        <v/>
      </c>
      <c r="AF12" s="33">
        <f>IFERROR(AF11/AE11-1,"")</f>
        <v/>
      </c>
      <c r="AG12" s="33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13">
        <f>IFERROR(VLOOKUP($D13,환율,MATCH(V$1,변수H,0),0),"")</f>
        <v/>
      </c>
      <c r="W13" s="13">
        <f>IFERROR(VLOOKUP($D13,환율,MATCH(W$1,변수H,0),0),"")</f>
        <v/>
      </c>
      <c r="X13" s="40">
        <f>IFERROR(VLOOKUP($D13,환율,MATCH(X$1,변수H,0),0),"")</f>
        <v/>
      </c>
      <c r="Y13" s="40">
        <f>IFERROR(VLOOKUP($D13,환율,MATCH(Y$1,변수H,0),0),"")</f>
        <v/>
      </c>
      <c r="Z13" s="40">
        <f>IFERROR(VLOOKUP($D13,환율,MATCH(Z$1,변수H,0),0),"")</f>
        <v/>
      </c>
      <c r="AA13" s="40">
        <f>IFERROR(VLOOKUP($D13,환율,MATCH(AA$1,변수H,0),0),"")</f>
        <v/>
      </c>
      <c r="AB13" s="40">
        <f>IFERROR(VLOOKUP($D13,환율,MATCH(AB$1,변수H,0),0),"")</f>
        <v/>
      </c>
      <c r="AC13" s="40">
        <f>IFERROR(VLOOKUP($D13,환율,MATCH(AC$1,변수H,0),0),"")</f>
        <v/>
      </c>
      <c r="AD13" s="40">
        <f>IFERROR(VLOOKUP($D13,환율,MATCH(AD$1,변수H,0),0),"")</f>
        <v/>
      </c>
      <c r="AE13" s="40">
        <f>IFERROR(VLOOKUP($D13,환율,MATCH(AE$1,변수H,0),0),"")</f>
        <v/>
      </c>
      <c r="AF13" s="40">
        <f>IFERROR(VLOOKUP($D13,환율,MATCH(AF$1,변수H,0),0),"")</f>
        <v/>
      </c>
      <c r="AG13" s="40">
        <f>IFERROR(VLOOKUP($D13,환율,MATCH(AG$1,변수H,0),0),"")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21">
        <f>IFERROR(P13/O13-1,"")</f>
        <v/>
      </c>
      <c r="Q14" s="21">
        <f>IFERROR(Q13/P13-1,"")</f>
        <v/>
      </c>
      <c r="R14" s="21">
        <f>IFERROR(R13/Q13-1,"")</f>
        <v/>
      </c>
      <c r="S14" s="21">
        <f>IFERROR(S13/R13-1,"")</f>
        <v/>
      </c>
      <c r="T14" s="21">
        <f>IFERROR(T13/S13-1,"")</f>
        <v/>
      </c>
      <c r="U14" s="21">
        <f>IFERROR(U13/T13-1,"")</f>
        <v/>
      </c>
      <c r="V14" s="21">
        <f>IFERROR(V13/U13-1,"")</f>
        <v/>
      </c>
      <c r="W14" s="21">
        <f>IFERROR(W13/V13-1,"")</f>
        <v/>
      </c>
      <c r="X14" s="33">
        <f>IFERROR(X13/W13-1,"")</f>
        <v/>
      </c>
      <c r="Y14" s="33">
        <f>IFERROR(Y13/X13-1,"")</f>
        <v/>
      </c>
      <c r="Z14" s="33">
        <f>IFERROR(Z13/Y13-1,"")</f>
        <v/>
      </c>
      <c r="AA14" s="33">
        <f>IFERROR(AA13/Z13-1,"")</f>
        <v/>
      </c>
      <c r="AB14" s="33">
        <f>IFERROR(AB13/AA13-1,"")</f>
        <v/>
      </c>
      <c r="AC14" s="33">
        <f>IFERROR(AC13/AB13-1,"")</f>
        <v/>
      </c>
      <c r="AD14" s="33">
        <f>IFERROR(AD13/AC13-1,"")</f>
        <v/>
      </c>
      <c r="AE14" s="33">
        <f>IFERROR(AE13/AD13-1,"")</f>
        <v/>
      </c>
      <c r="AF14" s="33">
        <f>IFERROR(AF13/AE13-1,"")</f>
        <v/>
      </c>
      <c r="AG14" s="33">
        <f>IFERROR(AG13/AF13-1,"")</f>
        <v/>
      </c>
    </row>
    <row r="15"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7">
        <f>변수!D59</f>
        <v/>
      </c>
      <c r="E16" s="2" t="inlineStr">
        <is>
          <t>외화 순노출 × Δ기말환율 (외화 시트 방식)</t>
        </is>
      </c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18">
        <f>IFERROR($D$16*(V7-U7)/100,"")</f>
        <v/>
      </c>
      <c r="W17" s="18">
        <f>IFERROR($D$16*(W7-V7)/100,"")</f>
        <v/>
      </c>
      <c r="X17" s="20">
        <f>IFERROR($D$16*(X7-W7)/100,"")</f>
        <v/>
      </c>
      <c r="Y17" s="20">
        <f>IFERROR($D$16*(Y7-X7)/100,"")</f>
        <v/>
      </c>
      <c r="Z17" s="20">
        <f>IFERROR($D$16*(Z7-Y7)/100,"")</f>
        <v/>
      </c>
      <c r="AA17" s="20">
        <f>IFERROR($D$16*(AA7-Z7)/100,"")</f>
        <v/>
      </c>
      <c r="AB17" s="20">
        <f>IFERROR($D$16*(AB7-AA7)/100,"")</f>
        <v/>
      </c>
      <c r="AC17" s="20">
        <f>IFERROR($D$16*(AC7-AB7)/100,"")</f>
        <v/>
      </c>
      <c r="AD17" s="20">
        <f>IFERROR($D$16*(AD7-AC7)/100,"")</f>
        <v/>
      </c>
      <c r="AE17" s="20">
        <f>IFERROR($D$16*(AE7-AD7)/100,"")</f>
        <v/>
      </c>
      <c r="AF17" s="20">
        <f>IFERROR($D$16*(AF7-AE7)/100,"")</f>
        <v/>
      </c>
      <c r="AG17" s="20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C19" s="2" t="inlineStr">
        <is>
          <t>외화 순노출 미공시(face) → 0 + 표기</t>
        </is>
      </c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2026-10-12T00:00:00Z</dcterms:created>
  <dcterms:modified xsi:type="dcterms:W3CDTF">2026-10-12T00:00:00Z</dcterms:modified>
</cp:coreProperties>
</file>