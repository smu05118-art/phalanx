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v / 전년동기 − 1
= EPS(추정 구간은 일회성 미가정)</t>
      </text>
    </comment>
    <comment ref="AF43" authorId="0" shapeId="0">
      <text>
        <t>모델값 역산(implied): v / 전년동기 − 1
= EPS(추정 구간은 일회성 미가정)</t>
      </text>
    </comment>
    <comment ref="AG43" authorId="0" shapeId="0">
      <text>
        <t>모델값 역산(implied): v / 전년동기 − 1
= EPS(추정 구간은 일회성 미가정)</t>
      </text>
    </comment>
    <comment ref="AH43" authorId="0" shapeId="0">
      <text>
        <t>모델값 역산(implied): v / 전년동기 − 1
= EPS(추정 구간은 일회성 미가정)</t>
      </text>
    </comment>
    <comment ref="AI43" authorId="0" shapeId="0">
      <text>
        <t>모델값 역산(implied): v / 전년동기 − 1
= EPS(추정 구간은 일회성 미가정)</t>
      </text>
    </comment>
    <comment ref="AK43" authorId="0" shapeId="0">
      <text>
        <t>모델값 역산(implied): v / 전년동기 − 1
= EPS(추정 구간은 일회성 미가정)</t>
      </text>
    </comment>
    <comment ref="AL43" authorId="0" shapeId="0">
      <text>
        <t>모델값 역산(implied): v / 전년동기 − 1
= EPS(추정 구간은 일회성 미가정)</t>
      </text>
    </comment>
    <comment ref="AM43" authorId="0" shapeId="0">
      <text>
        <t>모델값 역산(implied): v / 전년동기 − 1
= EPS(추정 구간은 일회성 미가정)</t>
      </text>
    </comment>
    <comment ref="AN43" authorId="0" shapeId="0">
      <text>
        <t>모델값 역산(implied): v / 전년동기 − 1
= EPS(추정 구간은 일회성 미가정)</t>
      </text>
    </comment>
    <comment ref="AD44" authorId="0" shapeId="0">
      <text>
        <t>모델값 역산(implied): 모델 v 그대로
직전 결산 DPS 15,000원 유지</t>
      </text>
    </comment>
    <comment ref="AI44" authorId="0" shapeId="0">
      <text>
        <t>모델값 역산(implied): 모델 v 그대로
직전 결산 DPS 15,000원 유지</t>
      </text>
    </comment>
    <comment ref="AN44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E37" authorId="0" shapeId="0">
      <text>
        <t>실측(계정 매핑 없음(파생·부문·시세 행) — 모델값 직접) — = EPS(일회성 의심 없음)</t>
      </text>
    </comment>
    <comment ref="G37" authorId="0" shapeId="0">
      <text>
        <t>실측(계정 매핑 없음(파생·부문·시세 행) — 모델값 직접) — = EPS(일회성 의심 없음)</t>
      </text>
    </comment>
    <comment ref="H37" authorId="0" shapeId="0">
      <text>
        <t>실측(계정 매핑 없음(파생·부문·시세 행) — 모델값 직접) — = EPS(일회성 의심 없음)</t>
      </text>
    </comment>
    <comment ref="I37" authorId="0" shapeId="0">
      <text>
        <t>실측(계정 매핑 없음(파생·부문·시세 행) — 모델값 직접) — = EPS(일회성 의심 없음)</t>
      </text>
    </comment>
    <comment ref="J37" authorId="0" shapeId="0">
      <text>
        <t>실측(계정 매핑 없음(파생·부문·시세 행) — 모델값 직접) — = EPS(일회성 의심 없음)</t>
      </text>
    </comment>
    <comment ref="L37" authorId="0" shapeId="0">
      <text>
        <t>실측(계정 매핑 없음(파생·부문·시세 행) — 모델값 직접) — = EPS(일회성 의심 없음)</t>
      </text>
    </comment>
    <comment ref="M37" authorId="0" shapeId="0">
      <text>
        <t>실측(계정 매핑 없음(파생·부문·시세 행) — 모델값 직접) — = EPS(일회성 의심 없음)</t>
      </text>
    </comment>
    <comment ref="N37" authorId="0" shapeId="0">
      <text>
        <t>실측(계정 매핑 없음(파생·부문·시세 행) — 모델값 직접) — = EPS(일회성 의심 없음)</t>
      </text>
    </comment>
    <comment ref="O37" authorId="0" shapeId="0">
      <text>
        <t>실측(계정 매핑 없음(파생·부문·시세 행) — 모델값 직접) — = EPS(일회성 의심 없음)</t>
      </text>
    </comment>
    <comment ref="Q37" authorId="0" shapeId="0">
      <text>
        <t>실측(계정 매핑 없음(파생·부문·시세 행) — 모델값 직접) — = EPS(일회성 의심 없음)</t>
      </text>
    </comment>
    <comment ref="R37" authorId="0" shapeId="0">
      <text>
        <t>실측(계정 매핑 없음(파생·부문·시세 행) — 모델값 직접) — = EPS(일회성 의심 없음)</t>
      </text>
    </comment>
    <comment ref="S37" authorId="0" shapeId="0">
      <text>
        <t>실측(계정 매핑 없음(파생·부문·시세 행) — 모델값 직접) — = EPS(일회성 의심 없음)</t>
      </text>
    </comment>
    <comment ref="T37" authorId="0" shapeId="0">
      <text>
        <t>실측(계정 매핑 없음(파생·부문·시세 행) — 모델값 직접) — = EPS(일회성 의심 없음)</t>
      </text>
    </comment>
    <comment ref="V37" authorId="0" shapeId="0">
      <text>
        <t>실측(계정 매핑 없음(파생·부문·시세 행) — 모델값 직접) — = EPS(일회성 의심 없음)</t>
      </text>
    </comment>
    <comment ref="W37" authorId="0" shapeId="0">
      <text>
        <t>실측(계정 매핑 없음(파생·부문·시세 행) — 모델값 직접) — = EPS(일회성 의심 없음)</t>
      </text>
    </comment>
    <comment ref="X37" authorId="0" shapeId="0">
      <text>
        <t>실측(계정 매핑 없음(파생·부문·시세 행) — 모델값 직접) — = EPS(일회성 의심 없음)</t>
      </text>
    </comment>
    <comment ref="Y37" authorId="0" shapeId="0">
      <text>
        <t>실측(계정 매핑 없음(파생·부문·시세 행) — 모델값 직접) — = EPS(일회성 의심 없음)</t>
      </text>
    </comment>
    <comment ref="AA37" authorId="0" shapeId="0">
      <text>
        <t>실측(계정 매핑 없음(파생·부문·시세 행) — 모델값 직접) — = EPS(일회성 의심 없음)</t>
      </text>
    </comment>
    <comment ref="AB37" authorId="0" shapeId="0">
      <text>
        <t>추정(실적 구간 갭필): 지배NI 28392억 − (비영업손익 36305억 − 12분기 기준선 -235억) × (1 − 24.4%, 분기 유효세율(법인세 9166억 ÷ 세전 37594억)) × 지배 비중 1.00(그 분기 지배NI/NI) = 761억 ÷ 유통주식수 — 일회성 여부·세효과는 주석 미확인(모델 추정); 보고 EPS 386,060.8원</t>
      </text>
    </comment>
    <comment ref="AC37" authorId="0" shapeId="0">
      <text>
        <t>추정: = EPS(추정 구간은 일회성 미가정)
[yoy]</t>
      </text>
    </comment>
    <comment ref="AD37" authorId="0" shapeId="0">
      <text>
        <t>추정: = EPS(추정 구간은 일회성 미가정)
[yoy]</t>
      </text>
    </comment>
    <comment ref="AF37" authorId="0" shapeId="0">
      <text>
        <t>추정: = EPS(추정 구간은 일회성 미가정)
[yoy]</t>
      </text>
    </comment>
    <comment ref="AG37" authorId="0" shapeId="0">
      <text>
        <t>추정: = EPS(추정 구간은 일회성 미가정)
[yoy]</t>
      </text>
    </comment>
    <comment ref="AH37" authorId="0" shapeId="0">
      <text>
        <t>추정: = EPS(추정 구간은 일회성 미가정)
[yoy]</t>
      </text>
    </comment>
    <comment ref="AI37" authorId="0" shapeId="0">
      <text>
        <t>추정: = EPS(추정 구간은 일회성 미가정)
[yoy]</t>
      </text>
    </comment>
    <comment ref="AK37" authorId="0" shapeId="0">
      <text>
        <t>추정: = EPS(추정 구간은 일회성 미가정)
[yoy]</t>
      </text>
    </comment>
    <comment ref="AL37" authorId="0" shapeId="0">
      <text>
        <t>추정: = EPS(추정 구간은 일회성 미가정)
[yoy]</t>
      </text>
    </comment>
    <comment ref="AM37" authorId="0" shapeId="0">
      <text>
        <t>추정: = EPS(추정 구간은 일회성 미가정)
[yoy]</t>
      </text>
    </comment>
    <comment ref="AN37" authorId="0" shapeId="0">
      <text>
        <t>추정: = EPS(추정 구간은 일회성 미가정)
[yoy]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3.6, "op_wape_pct": 21.4, "n": 4, "note": "단일 회사 4분기 — 통계 아님", "driver_at_freeze": "trend_seasonal", "selection_oos_at_freeze": {"freeze": "2024Q2", "n": 4, "wape_link": 22.5, "wape_trend": 3.9,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16578.27, "rev_act": 16228.33, "op_pred": 1094.05, "op_act": 1172.64}, {"q": "2025Q4", "rev_pred": 16814.11, "rev_act": 15564.18, "op_pred": 1109.62, "op_act": 665.27}, {"q": "2026Q1", "rev_pred": 16224.2, "rev_act": 16264.0, "op_pred": 1070.69, "op_act": 881.28}, {"q": "2026Q2", "rev_pred": 17299.1, "rev_act": 18060.19, "op_pred": 1141.62,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458500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456500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469200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$D$55</f>
        <v/>
      </c>
      <c r="AD22" s="26">
        <f>$D$55</f>
        <v/>
      </c>
      <c r="AE22" s="25">
        <f>IFERROR(subQ!AE8/subQ!AE5,"")</f>
        <v/>
      </c>
      <c r="AF22" s="26">
        <f>$D$55</f>
        <v/>
      </c>
      <c r="AG22" s="26">
        <f>$D$55</f>
        <v/>
      </c>
      <c r="AH22" s="26">
        <f>$D$55</f>
        <v/>
      </c>
      <c r="AI22" s="26">
        <f>$D$55</f>
        <v/>
      </c>
      <c r="AJ22" s="25">
        <f>IFERROR(subQ!AJ8/subQ!AJ5,"")</f>
        <v/>
      </c>
      <c r="AK22" s="26">
        <f>$D$55</f>
        <v/>
      </c>
      <c r="AL22" s="26">
        <f>$D$55</f>
        <v/>
      </c>
      <c r="AM22" s="26">
        <f>$D$55</f>
        <v/>
      </c>
      <c r="AN22" s="26">
        <f>$D$55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$D$54</f>
        <v/>
      </c>
      <c r="AD29" s="26">
        <f>$D$54</f>
        <v/>
      </c>
      <c r="AE29" s="25">
        <f>IFERROR(subQ!AE19/subQ!AE18,"")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IFERROR(subQ!AJ19/subQ!AJ18,"")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$D$56</f>
        <v/>
      </c>
      <c r="AD30" s="26">
        <f>$D$56</f>
        <v/>
      </c>
      <c r="AE30" s="25">
        <f>IFERROR(subQ!AE21/subQ!AE20,"")</f>
        <v/>
      </c>
      <c r="AF30" s="26">
        <f>$D$56</f>
        <v/>
      </c>
      <c r="AG30" s="26">
        <f>$D$56</f>
        <v/>
      </c>
      <c r="AH30" s="26">
        <f>$D$56</f>
        <v/>
      </c>
      <c r="AI30" s="26">
        <f>$D$56</f>
        <v/>
      </c>
      <c r="AJ30" s="25">
        <f>IFERROR(subQ!AJ21/subQ!AJ20,"")</f>
        <v/>
      </c>
      <c r="AK30" s="26">
        <f>$D$56</f>
        <v/>
      </c>
      <c r="AL30" s="26">
        <f>$D$56</f>
        <v/>
      </c>
      <c r="AM30" s="26">
        <f>$D$56</f>
        <v/>
      </c>
      <c r="AN30" s="26">
        <f>$D$56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drv:조정EPS</t>
        </is>
      </c>
      <c r="B43" s="2" t="inlineStr">
        <is>
          <t>yoy</t>
        </is>
      </c>
      <c r="C43" t="inlineStr">
        <is>
          <t>조정EPS YoY</t>
        </is>
      </c>
      <c r="E43" s="21" t="n"/>
      <c r="F43" s="22" t="n"/>
      <c r="G43" s="21" t="n"/>
      <c r="H43" s="21" t="n"/>
      <c r="I43" s="21" t="n"/>
      <c r="J43" s="21">
        <f>IFERROR(subQ!J37/subQ!E37-1,"")</f>
        <v/>
      </c>
      <c r="K43" s="22" t="n"/>
      <c r="L43" s="21">
        <f>IFERROR(subQ!L37/subQ!G37-1,"")</f>
        <v/>
      </c>
      <c r="M43" s="21">
        <f>IFERROR(subQ!M37/subQ!H37-1,"")</f>
        <v/>
      </c>
      <c r="N43" s="21">
        <f>IFERROR(subQ!N37/subQ!I37-1,"")</f>
        <v/>
      </c>
      <c r="O43" s="21">
        <f>IFERROR(subQ!O37/subQ!J37-1,"")</f>
        <v/>
      </c>
      <c r="P43" s="22" t="n"/>
      <c r="Q43" s="21">
        <f>IFERROR(subQ!Q37/subQ!L37-1,"")</f>
        <v/>
      </c>
      <c r="R43" s="21">
        <f>IFERROR(subQ!R37/subQ!M37-1,"")</f>
        <v/>
      </c>
      <c r="S43" s="21">
        <f>IFERROR(subQ!S37/subQ!N37-1,"")</f>
        <v/>
      </c>
      <c r="T43" s="21">
        <f>IFERROR(subQ!T37/subQ!O37-1,"")</f>
        <v/>
      </c>
      <c r="U43" s="22" t="n"/>
      <c r="V43" s="21">
        <f>IFERROR(subQ!V37/subQ!Q37-1,"")</f>
        <v/>
      </c>
      <c r="W43" s="21">
        <f>IFERROR(subQ!W37/subQ!R37-1,"")</f>
        <v/>
      </c>
      <c r="X43" s="21">
        <f>IFERROR(subQ!X37/subQ!S37-1,"")</f>
        <v/>
      </c>
      <c r="Y43" s="21">
        <f>IFERROR(subQ!Y37/subQ!T37-1,"")</f>
        <v/>
      </c>
      <c r="Z43" s="22" t="n"/>
      <c r="AA43" s="21">
        <f>IFERROR(subQ!AA37/subQ!V37-1,"")</f>
        <v/>
      </c>
      <c r="AB43" s="23">
        <f>IFERROR(subQ!AB37/subQ!W37-1,"")</f>
        <v/>
      </c>
      <c r="AC43" s="24" t="n">
        <v>-0.902029539</v>
      </c>
      <c r="AD43" s="24" t="n">
        <v>-0.896413319</v>
      </c>
      <c r="AE43" s="25" t="n"/>
      <c r="AF43" s="24" t="n">
        <v>-0.851500956</v>
      </c>
      <c r="AG43" s="24" t="n">
        <v>-0.450650455</v>
      </c>
      <c r="AH43" s="24" t="n">
        <v>0.004140406</v>
      </c>
      <c r="AI43" s="24" t="n">
        <v>0.00449473</v>
      </c>
      <c r="AJ43" s="25" t="n"/>
      <c r="AK43" s="24" t="n">
        <v>0.004108745</v>
      </c>
      <c r="AL43" s="24" t="n">
        <v>0.003430743</v>
      </c>
      <c r="AM43" s="24" t="n">
        <v>0.002542722</v>
      </c>
      <c r="AN43" s="24" t="n">
        <v>0.002777349</v>
      </c>
      <c r="AO43" s="25" t="n"/>
    </row>
    <row r="44">
      <c r="A44" s="12" t="inlineStr">
        <is>
          <t>drv:DPS</t>
        </is>
      </c>
      <c r="B44" s="2" t="inlineStr">
        <is>
          <t>abs</t>
        </is>
      </c>
      <c r="C44" t="inlineStr">
        <is>
          <t>DPS (가정, 원)</t>
        </is>
      </c>
      <c r="E44" s="27">
        <f>subQ!E39</f>
        <v/>
      </c>
      <c r="F44" s="28">
        <f>subQ!F39</f>
        <v/>
      </c>
      <c r="G44" s="27">
        <f>subQ!G39</f>
        <v/>
      </c>
      <c r="H44" s="27">
        <f>subQ!H39</f>
        <v/>
      </c>
      <c r="I44" s="27">
        <f>subQ!I39</f>
        <v/>
      </c>
      <c r="J44" s="27">
        <f>subQ!J39</f>
        <v/>
      </c>
      <c r="K44" s="28">
        <f>subQ!K39</f>
        <v/>
      </c>
      <c r="L44" s="27">
        <f>subQ!L39</f>
        <v/>
      </c>
      <c r="M44" s="27">
        <f>subQ!M39</f>
        <v/>
      </c>
      <c r="N44" s="27">
        <f>subQ!N39</f>
        <v/>
      </c>
      <c r="O44" s="27">
        <f>subQ!O39</f>
        <v/>
      </c>
      <c r="P44" s="28">
        <f>subQ!P39</f>
        <v/>
      </c>
      <c r="Q44" s="27">
        <f>subQ!Q39</f>
        <v/>
      </c>
      <c r="R44" s="27">
        <f>subQ!R39</f>
        <v/>
      </c>
      <c r="S44" s="27">
        <f>subQ!S39</f>
        <v/>
      </c>
      <c r="T44" s="27">
        <f>subQ!T39</f>
        <v/>
      </c>
      <c r="U44" s="28">
        <f>subQ!U39</f>
        <v/>
      </c>
      <c r="V44" s="27">
        <f>subQ!V39</f>
        <v/>
      </c>
      <c r="W44" s="27">
        <f>subQ!W39</f>
        <v/>
      </c>
      <c r="X44" s="27">
        <f>subQ!X39</f>
        <v/>
      </c>
      <c r="Y44" s="27">
        <f>subQ!Y39</f>
        <v/>
      </c>
      <c r="Z44" s="28">
        <f>subQ!Z39</f>
        <v/>
      </c>
      <c r="AA44" s="27">
        <f>subQ!AA39</f>
        <v/>
      </c>
      <c r="AB44" s="29">
        <f>subQ!AB39</f>
        <v/>
      </c>
      <c r="AC44" s="32" t="n"/>
      <c r="AD44" s="30" t="n">
        <v>15000</v>
      </c>
      <c r="AE44" s="31">
        <f>subQ!AE39</f>
        <v/>
      </c>
      <c r="AF44" s="32" t="n"/>
      <c r="AG44" s="32" t="n"/>
      <c r="AH44" s="32" t="n"/>
      <c r="AI44" s="30" t="n">
        <v>15000</v>
      </c>
      <c r="AJ44" s="31">
        <f>subQ!AJ39</f>
        <v/>
      </c>
      <c r="AK44" s="32" t="n"/>
      <c r="AL44" s="32" t="n"/>
      <c r="AM44" s="32" t="n"/>
      <c r="AN44" s="30" t="n">
        <v>15000</v>
      </c>
      <c r="AO44" s="31">
        <f>subQ!AO39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458500</v>
      </c>
      <c r="E47" s="2" t="inlineStr">
        <is>
          <t>원 — 네이버 정규장 종가(aik 확정종가 대조 · aik 478,000원)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30" t="n">
        <v>10</v>
      </c>
      <c r="E50" s="2" t="inlineStr">
        <is>
          <t>PER 밴드 하단(배) — sector_default(레퍼런스 TP_PE PB 예시 10/15/20배; 과거 PER 중위 3.7배가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30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30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0.2200009445546425</v>
      </c>
      <c r="E54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0.18873975011067</v>
      </c>
      <c r="E55" s="2" t="inlineStr">
        <is>
          <t>연결 — 판관비 = 매출액 × 판관비율(역산, 재현 오차 ≤ 0.05억 · 모델 assumptions 0.1887)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0.004351802142744159</v>
      </c>
      <c r="E57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0.06350866803977641</v>
      </c>
      <c r="E58" s="2" t="inlineStr">
        <is>
          <t>연결 — 같은 수식의 부채 쪽(총차입금 행이 없으면 0)(역산, 재현 오차 ≤ 0.05억 · 모델 assumptions 0.0635)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30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24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IFERROR((AB31*변수!$D$57-AB29*변수!$D$58)/4,"")</f>
        <v/>
      </c>
      <c r="AD12" s="20">
        <f>IFERROR((AC31*변수!$D$57-AC29*변수!$D$58)/4,"")</f>
        <v/>
      </c>
      <c r="AE12" s="38">
        <f>SUM(AA12:AD12)</f>
        <v/>
      </c>
      <c r="AF12" s="20">
        <f>IFERROR((AD31*변수!$D$57-AD29*변수!$D$58)/4,"")</f>
        <v/>
      </c>
      <c r="AG12" s="20">
        <f>IFERROR((AF31*변수!$D$57-AF29*변수!$D$58)/4,"")</f>
        <v/>
      </c>
      <c r="AH12" s="20">
        <f>IFERROR((AG31*변수!$D$57-AG29*변수!$D$58)/4,"")</f>
        <v/>
      </c>
      <c r="AI12" s="20">
        <f>IFERROR((AH31*변수!$D$57-AH29*변수!$D$58)/4,"")</f>
        <v/>
      </c>
      <c r="AJ12" s="38">
        <f>SUM(AF12:AI12)</f>
        <v/>
      </c>
      <c r="AK12" s="20">
        <f>IFERROR((AI31*변수!$D$57-AI29*변수!$D$58)/4,"")</f>
        <v/>
      </c>
      <c r="AL12" s="20">
        <f>IFERROR((AK31*변수!$D$57-AK29*변수!$D$58)/4,"")</f>
        <v/>
      </c>
      <c r="AM12" s="20">
        <f>IFERROR((AL31*변수!$D$57-AL29*변수!$D$58)/4,"")</f>
        <v/>
      </c>
      <c r="AN12" s="20">
        <f>IFERROR((AM31*변수!$D$57-AM29*변수!$D$58)/4,"")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 t="n">
        <v>-24107.2</v>
      </c>
      <c r="F37" s="37" t="n"/>
      <c r="G37" s="18" t="n">
        <v>888.2</v>
      </c>
      <c r="H37" s="18" t="n">
        <v>23028.8</v>
      </c>
      <c r="I37" s="18" t="n">
        <v>-36443.1</v>
      </c>
      <c r="J37" s="18" t="n">
        <v>17124.1</v>
      </c>
      <c r="K37" s="37">
        <f>SUM(G37:J37)</f>
        <v/>
      </c>
      <c r="L37" s="18" t="n">
        <v>1106.4</v>
      </c>
      <c r="M37" s="18" t="n">
        <v>12373</v>
      </c>
      <c r="N37" s="18" t="n">
        <v>6386</v>
      </c>
      <c r="O37" s="18" t="n">
        <v>9051.9</v>
      </c>
      <c r="P37" s="37">
        <f>SUM(L37:O37)</f>
        <v/>
      </c>
      <c r="Q37" s="18" t="n">
        <v>64206.3</v>
      </c>
      <c r="R37" s="18" t="n">
        <v>-4465.6</v>
      </c>
      <c r="S37" s="18" t="n">
        <v>-5752.9</v>
      </c>
      <c r="T37" s="18" t="n">
        <v>-11757.7</v>
      </c>
      <c r="U37" s="37">
        <f>SUM(Q37:T37)</f>
        <v/>
      </c>
      <c r="V37" s="18" t="n">
        <v>5989.8</v>
      </c>
      <c r="W37" s="18" t="n">
        <v>121464.5</v>
      </c>
      <c r="X37" s="18" t="n">
        <v>44374.6</v>
      </c>
      <c r="Y37" s="18" t="n">
        <v>37371.6</v>
      </c>
      <c r="Z37" s="37">
        <f>SUM(V37:Y37)</f>
        <v/>
      </c>
      <c r="AA37" s="18" t="n">
        <v>29501.2</v>
      </c>
      <c r="AB37" s="39" t="n">
        <v>10346.6</v>
      </c>
      <c r="AC37" s="20">
        <f>IFERROR(X37*(1+변수!AC43),"")</f>
        <v/>
      </c>
      <c r="AD37" s="20">
        <f>IFERROR(Y37*(1+변수!AD43),"")</f>
        <v/>
      </c>
      <c r="AE37" s="38">
        <f>SUM(AA37:AD37)</f>
        <v/>
      </c>
      <c r="AF37" s="20">
        <f>IFERROR(AA37*(1+변수!AF43),"")</f>
        <v/>
      </c>
      <c r="AG37" s="20">
        <f>IFERROR(AB37*(1+변수!AG43),"")</f>
        <v/>
      </c>
      <c r="AH37" s="20">
        <f>IFERROR(AC37*(1+변수!AH43),"")</f>
        <v/>
      </c>
      <c r="AI37" s="20">
        <f>IFERROR(AD37*(1+변수!AI43),"")</f>
        <v/>
      </c>
      <c r="AJ37" s="38">
        <f>SUM(AF37:AI37)</f>
        <v/>
      </c>
      <c r="AK37" s="20">
        <f>IFERROR(AF37*(1+변수!AK43),"")</f>
        <v/>
      </c>
      <c r="AL37" s="20">
        <f>IFERROR(AG37*(1+변수!AL43),"")</f>
        <v/>
      </c>
      <c r="AM37" s="20">
        <f>IFERROR(AH37*(1+변수!AM43),"")</f>
        <v/>
      </c>
      <c r="AN37" s="20">
        <f>IFERROR(AI37*(1+변수!AN43),"")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변수!AD44</f>
        <v/>
      </c>
      <c r="AE39" s="38">
        <f>SUM(AA39:AD39)</f>
        <v/>
      </c>
      <c r="AF39" s="20" t="n"/>
      <c r="AG39" s="20" t="n"/>
      <c r="AH39" s="20" t="n"/>
      <c r="AI39" s="20">
        <f>변수!AI44</f>
        <v/>
      </c>
      <c r="AJ39" s="38">
        <f>SUM(AF39:AI39)</f>
        <v/>
      </c>
      <c r="AK39" s="20" t="n"/>
      <c r="AL39" s="20" t="n"/>
      <c r="AM39" s="20" t="n"/>
      <c r="AN39" s="20">
        <f>변수!AN44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IFERROR(변수!$D$47/(Y36+AA36+AB36+AC36),"")</f>
        <v/>
      </c>
      <c r="AD40" s="40">
        <f>IFERROR(변수!$D$47/(AA36+AB36+AC36+AD36),"")</f>
        <v/>
      </c>
      <c r="AE40" s="41">
        <f>AD40</f>
        <v/>
      </c>
      <c r="AF40" s="40">
        <f>IFERROR(변수!$D$47/(AB36+AC36+AD36+AF36),"")</f>
        <v/>
      </c>
      <c r="AG40" s="40">
        <f>IFERROR(변수!$D$47/(AC36+AD36+AF36+AG36),"")</f>
        <v/>
      </c>
      <c r="AH40" s="40">
        <f>IFERROR(변수!$D$47/(AD36+AF36+AG36+AH36),"")</f>
        <v/>
      </c>
      <c r="AI40" s="40">
        <f>IFERROR(변수!$D$47/(AF36+AG36+AH36+AI36),"")</f>
        <v/>
      </c>
      <c r="AJ40" s="41">
        <f>AI40</f>
        <v/>
      </c>
      <c r="AK40" s="40">
        <f>IFERROR(변수!$D$47/(AG36+AH36+AI36+AK36),"")</f>
        <v/>
      </c>
      <c r="AL40" s="40">
        <f>IFERROR(변수!$D$47/(AH36+AI36+AK36+AL36),"")</f>
        <v/>
      </c>
      <c r="AM40" s="40">
        <f>IFERROR(변수!$D$47/(AI36+AK36+AL36+AM36),"")</f>
        <v/>
      </c>
      <c r="AN40" s="40">
        <f>IFERROR(변수!$D$47/(AK36+AL36+AM36+AN36),"")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IFERROR(변수!$D$47/AC38,"")</f>
        <v/>
      </c>
      <c r="AD41" s="40">
        <f>IFERROR(변수!$D$47/AD38,"")</f>
        <v/>
      </c>
      <c r="AE41" s="41">
        <f>AD41</f>
        <v/>
      </c>
      <c r="AF41" s="40">
        <f>IFERROR(변수!$D$47/AF38,"")</f>
        <v/>
      </c>
      <c r="AG41" s="40">
        <f>IFERROR(변수!$D$47/AG38,"")</f>
        <v/>
      </c>
      <c r="AH41" s="40">
        <f>IFERROR(변수!$D$47/AH38,"")</f>
        <v/>
      </c>
      <c r="AI41" s="40">
        <f>IFERROR(변수!$D$47/AI38,"")</f>
        <v/>
      </c>
      <c r="AJ41" s="41">
        <f>AI41</f>
        <v/>
      </c>
      <c r="AK41" s="40">
        <f>IFERROR(변수!$D$47/AK38,"")</f>
        <v/>
      </c>
      <c r="AL41" s="40">
        <f>IFERROR(변수!$D$47/AL38,"")</f>
        <v/>
      </c>
      <c r="AM41" s="40">
        <f>IFERROR(변수!$D$47/AM38,"")</f>
        <v/>
      </c>
      <c r="AN41" s="40">
        <f>IFERROR(변수!$D$47/AN38,"")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7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25.08</v>
      </c>
    </row>
    <row r="32">
      <c r="C32" s="2" t="inlineStr">
        <is>
          <t>pbr_now</t>
        </is>
      </c>
      <c r="D32" t="n">
        <v>0.31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9.039999999999999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