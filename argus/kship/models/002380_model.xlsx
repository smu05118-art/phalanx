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BS별도!$C$5:$AO$94</definedName>
    <definedName name="SUBQH">subQ!$A$1:$AO$1</definedName>
    <definedName name="subQ">subQ!$A$5:$AO$47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3절 스칼라 '판관비율' 참조 — 숫자로 덮어쓰면 이 분기만 바뀐다
매출액 × 판관비율 18.87%(최근 4분기 중위)</t>
      </text>
    </comment>
    <comment ref="AD22" authorId="0" shapeId="0">
      <text>
        <t>3절 스칼라 '판관비율' 참조 — 숫자로 덮어쓰면 이 분기만 바뀐다
매출액 × 판관비율 18.87%(최근 4분기 중위)</t>
      </text>
    </comment>
    <comment ref="AF22" authorId="0" shapeId="0">
      <text>
        <t>3절 스칼라 '판관비율' 참조 — 숫자로 덮어쓰면 이 분기만 바뀐다
매출액 × 판관비율 18.87%(최근 4분기 중위)</t>
      </text>
    </comment>
    <comment ref="AG22" authorId="0" shapeId="0">
      <text>
        <t>3절 스칼라 '판관비율' 참조 — 숫자로 덮어쓰면 이 분기만 바뀐다
매출액 × 판관비율 18.87%(최근 4분기 중위)</t>
      </text>
    </comment>
    <comment ref="AH22" authorId="0" shapeId="0">
      <text>
        <t>3절 스칼라 '판관비율' 참조 — 숫자로 덮어쓰면 이 분기만 바뀐다
매출액 × 판관비율 18.87%(최근 4분기 중위)</t>
      </text>
    </comment>
    <comment ref="AI22" authorId="0" shapeId="0">
      <text>
        <t>3절 스칼라 '판관비율' 참조 — 숫자로 덮어쓰면 이 분기만 바뀐다
매출액 × 판관비율 18.87%(최근 4분기 중위)</t>
      </text>
    </comment>
    <comment ref="AK22" authorId="0" shapeId="0">
      <text>
        <t>3절 스칼라 '판관비율' 참조 — 숫자로 덮어쓰면 이 분기만 바뀐다
매출액 × 판관비율 18.87%(최근 4분기 중위)</t>
      </text>
    </comment>
    <comment ref="AL22" authorId="0" shapeId="0">
      <text>
        <t>3절 스칼라 '판관비율' 참조 — 숫자로 덮어쓰면 이 분기만 바뀐다
매출액 × 판관비율 18.87%(최근 4분기 중위)</t>
      </text>
    </comment>
    <comment ref="AM22" authorId="0" shapeId="0">
      <text>
        <t>3절 스칼라 '판관비율' 참조 — 숫자로 덮어쓰면 이 분기만 바뀐다
매출액 × 판관비율 18.87%(최근 4분기 중위)</t>
      </text>
    </comment>
    <comment ref="AN22" authorId="0" shapeId="0">
      <text>
        <t>3절 스칼라 '판관비율' 참조 — 숫자로 덮어쓰면 이 분기만 바뀐다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+7150.00억이 이자손익 추정 -722.67억의 50% 초과 → 0(경고)</t>
      </text>
    </comment>
    <comment ref="AD26" authorId="0" shapeId="0">
      <text>
        <t>모델값 역산(implied): 모델 v 그대로
최근 4분기 중위 +7150.00억이 이자손익 추정 -722.67억의 50% 초과 → 0(경고)</t>
      </text>
    </comment>
    <comment ref="AF26" authorId="0" shapeId="0">
      <text>
        <t>모델값 역산(implied): 모델 v 그대로
최근 4분기 중위 +7150.00억이 이자손익 추정 -722.67억의 50% 초과 → 0(경고)</t>
      </text>
    </comment>
    <comment ref="AG26" authorId="0" shapeId="0">
      <text>
        <t>모델값 역산(implied): 모델 v 그대로
최근 4분기 중위 +7150.00억이 이자손익 추정 -722.67억의 50% 초과 → 0(경고)</t>
      </text>
    </comment>
    <comment ref="AH26" authorId="0" shapeId="0">
      <text>
        <t>모델값 역산(implied): 모델 v 그대로
최근 4분기 중위 +7150.00억이 이자손익 추정 -722.67억의 50% 초과 → 0(경고)</t>
      </text>
    </comment>
    <comment ref="AI26" authorId="0" shapeId="0">
      <text>
        <t>모델값 역산(implied): 모델 v 그대로
최근 4분기 중위 +7150.00억이 이자손익 추정 -722.67억의 50% 초과 → 0(경고)</t>
      </text>
    </comment>
    <comment ref="AK26" authorId="0" shapeId="0">
      <text>
        <t>모델값 역산(implied): 모델 v 그대로
최근 4분기 중위 +7150.00억이 이자손익 추정 -722.67억의 50% 초과 → 0(경고)</t>
      </text>
    </comment>
    <comment ref="AL26" authorId="0" shapeId="0">
      <text>
        <t>모델값 역산(implied): 모델 v 그대로
최근 4분기 중위 +7150.00억이 이자손익 추정 -722.67억의 50% 초과 → 0(경고)</t>
      </text>
    </comment>
    <comment ref="AM26" authorId="0" shapeId="0">
      <text>
        <t>모델값 역산(implied): 모델 v 그대로
최근 4분기 중위 +7150.00억이 이자손익 추정 -722.67억의 50% 초과 → 0(경고)</t>
      </text>
    </comment>
    <comment ref="AN26" authorId="0" shapeId="0">
      <text>
        <t>모델값 역산(implied): 모델 v 그대로
최근 4분기 중위 +7150.00억이 이자손익 추정 -722.67억의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29.8% 가 5~27% 밖; 세전 &gt; 0 분기 중위 31.2%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모델 v 그대로
최근 4분기 감가상각비 중위 유지</t>
      </text>
    </comment>
    <comment ref="AD32" authorId="0" shapeId="0">
      <text>
        <t>모델값 역산(implied): 모델 v 그대로
최근 4분기 감가상각비 중위 유지</t>
      </text>
    </comment>
    <comment ref="AF32" authorId="0" shapeId="0">
      <text>
        <t>모델값 역산(implied): 모델 v 그대로
최근 4분기 감가상각비 중위 유지</t>
      </text>
    </comment>
    <comment ref="AG32" authorId="0" shapeId="0">
      <text>
        <t>모델값 역산(implied): 모델 v 그대로
최근 4분기 감가상각비 중위 유지</t>
      </text>
    </comment>
    <comment ref="AH32" authorId="0" shapeId="0">
      <text>
        <t>모델값 역산(implied): 모델 v 그대로
최근 4분기 감가상각비 중위 유지</t>
      </text>
    </comment>
    <comment ref="AI32" authorId="0" shapeId="0">
      <text>
        <t>모델값 역산(implied): 모델 v 그대로
최근 4분기 감가상각비 중위 유지</t>
      </text>
    </comment>
    <comment ref="AK32" authorId="0" shapeId="0">
      <text>
        <t>모델값 역산(implied): 모델 v 그대로
최근 4분기 감가상각비 중위 유지</t>
      </text>
    </comment>
    <comment ref="AL32" authorId="0" shapeId="0">
      <text>
        <t>모델값 역산(implied): 모델 v 그대로
최근 4분기 감가상각비 중위 유지</t>
      </text>
    </comment>
    <comment ref="AM32" authorId="0" shapeId="0">
      <text>
        <t>모델값 역산(implied): 모델 v 그대로
최근 4분기 감가상각비 중위 유지</t>
      </text>
    </comment>
    <comment ref="AN32" authorId="0" shapeId="0">
      <text>
        <t>모델값 역산(implied): 모델 v 그대로
최근 4분기 감가상각비 중위 유지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전분기(시트값) + 당기순이익(시트 수식값) − v
전분기 + 당기순이익 − 배당(Q2 지급 가정)</t>
      </text>
    </comment>
    <comment ref="AD34" authorId="0" shapeId="0">
      <text>
        <t>모델값 역산(implied): 전분기(시트값) + 당기순이익(시트 수식값) − v
전분기 + 당기순이익 − 배당(Q2 지급 가정)</t>
      </text>
    </comment>
    <comment ref="AF34" authorId="0" shapeId="0">
      <text>
        <t>모델값 역산(implied): 전분기(시트값) + 당기순이익(시트 수식값) − v
전분기 + 당기순이익 − 배당(Q2 지급 가정)</t>
      </text>
    </comment>
    <comment ref="AG34" authorId="0" shapeId="0">
      <text>
        <t>모델값 역산(implied): 전분기(시트값) + 당기순이익(시트 수식값) − v
전분기 + 당기순이익 − 배당(Q2 지급 가정)</t>
      </text>
    </comment>
    <comment ref="AH34" authorId="0" shapeId="0">
      <text>
        <t>모델값 역산(implied): 전분기(시트값) + 당기순이익(시트 수식값) − v
전분기 + 당기순이익 − 배당(Q2 지급 가정)</t>
      </text>
    </comment>
    <comment ref="AI34" authorId="0" shapeId="0">
      <text>
        <t>모델값 역산(implied): 전분기(시트값) + 당기순이익(시트 수식값) − v
전분기 + 당기순이익 − 배당(Q2 지급 가정)</t>
      </text>
    </comment>
    <comment ref="AK34" authorId="0" shapeId="0">
      <text>
        <t>모델값 역산(implied): 전분기(시트값) + 당기순이익(시트 수식값) − v
전분기 + 당기순이익 − 배당(Q2 지급 가정)</t>
      </text>
    </comment>
    <comment ref="AL34" authorId="0" shapeId="0">
      <text>
        <t>모델값 역산(implied): 전분기(시트값) + 당기순이익(시트 수식값) − v
전분기 + 당기순이익 − 배당(Q2 지급 가정)</t>
      </text>
    </comment>
    <comment ref="AM34" authorId="0" shapeId="0">
      <text>
        <t>모델값 역산(implied): 전분기(시트값) + 당기순이익(시트 수식값) − v
전분기 + 당기순이익 − 배당(Q2 지급 가정)</t>
      </text>
    </comment>
    <comment ref="AN34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전분기(시트값) + 지배주주순이익(시트 수식값) − v
전분기 + 지배주주순이익 − 배당</t>
      </text>
    </comment>
    <comment ref="AD35" authorId="0" shapeId="0">
      <text>
        <t>모델값 역산(implied): 전분기(시트값) + 지배주주순이익(시트 수식값) − v
전분기 + 지배주주순이익 − 배당</t>
      </text>
    </comment>
    <comment ref="AF35" authorId="0" shapeId="0">
      <text>
        <t>모델값 역산(implied): 전분기(시트값) + 지배주주순이익(시트 수식값) − v
전분기 + 지배주주순이익 − 배당</t>
      </text>
    </comment>
    <comment ref="AG35" authorId="0" shapeId="0">
      <text>
        <t>모델값 역산(implied): 전분기(시트값) + 지배주주순이익(시트 수식값) − v
전분기 + 지배주주순이익 − 배당</t>
      </text>
    </comment>
    <comment ref="AH35" authorId="0" shapeId="0">
      <text>
        <t>모델값 역산(implied): 전분기(시트값) + 지배주주순이익(시트 수식값) − v
전분기 + 지배주주순이익 − 배당</t>
      </text>
    </comment>
    <comment ref="AI35" authorId="0" shapeId="0">
      <text>
        <t>모델값 역산(implied): 전분기(시트값) + 지배주주순이익(시트 수식값) − v
전분기 + 지배주주순이익 − 배당</t>
      </text>
    </comment>
    <comment ref="AK35" authorId="0" shapeId="0">
      <text>
        <t>모델값 역산(implied): 전분기(시트값) + 지배주주순이익(시트 수식값) − v
전분기 + 지배주주순이익 − 배당</t>
      </text>
    </comment>
    <comment ref="AL35" authorId="0" shapeId="0">
      <text>
        <t>모델값 역산(implied): 전분기(시트값) + 지배주주순이익(시트 수식값) − v
전분기 + 지배주주순이익 − 배당</t>
      </text>
    </comment>
    <comment ref="AM35" authorId="0" shapeId="0">
      <text>
        <t>모델값 역산(implied): 전분기(시트값) + 지배주주순이익(시트 수식값) − v
전분기 + 지배주주순이익 − 배당</t>
      </text>
    </comment>
    <comment ref="AN35" authorId="0" shapeId="0">
      <text>
        <t>모델값 역산(implied): 전분기(시트값) + 지배주주순이익(시트 수식값)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D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F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G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H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I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K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L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M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N37" authorId="0" shapeId="0">
      <text>
        <t>모델값 역산(implied): v / 전분기 − 1
전분기 − FCF 근사[순이익 + 감가상각비 928억 − CAPEX 897억(각 최근 4분기 중위) − 배당] (운전자본 불변·총차입금 유지 가정 → 변동은 전부 현금)</t>
      </text>
    </comment>
    <comment ref="AC38" authorId="0" shapeId="0">
      <text>
        <t>모델값 역산(implied): v / 전분기 − 1
전분기 + FCF 근사 — 순차입금 롤과 같은 가정</t>
      </text>
    </comment>
    <comment ref="AD38" authorId="0" shapeId="0">
      <text>
        <t>모델값 역산(implied): v / 전분기 − 1
전분기 + FCF 근사 — 순차입금 롤과 같은 가정</t>
      </text>
    </comment>
    <comment ref="AF38" authorId="0" shapeId="0">
      <text>
        <t>모델값 역산(implied): v / 전분기 − 1
전분기 + FCF 근사 — 순차입금 롤과 같은 가정</t>
      </text>
    </comment>
    <comment ref="AG38" authorId="0" shapeId="0">
      <text>
        <t>모델값 역산(implied): v / 전분기 − 1
전분기 + FCF 근사 — 순차입금 롤과 같은 가정</t>
      </text>
    </comment>
    <comment ref="AH38" authorId="0" shapeId="0">
      <text>
        <t>모델값 역산(implied): v / 전분기 − 1
전분기 + FCF 근사 — 순차입금 롤과 같은 가정</t>
      </text>
    </comment>
    <comment ref="AI38" authorId="0" shapeId="0">
      <text>
        <t>모델값 역산(implied): v / 전분기 − 1
전분기 + FCF 근사 — 순차입금 롤과 같은 가정</t>
      </text>
    </comment>
    <comment ref="AK38" authorId="0" shapeId="0">
      <text>
        <t>모델값 역산(implied): v / 전분기 − 1
전분기 + FCF 근사 — 순차입금 롤과 같은 가정</t>
      </text>
    </comment>
    <comment ref="AL38" authorId="0" shapeId="0">
      <text>
        <t>모델값 역산(implied): v / 전분기 − 1
전분기 + FCF 근사 — 순차입금 롤과 같은 가정</t>
      </text>
    </comment>
    <comment ref="AM38" authorId="0" shapeId="0">
      <text>
        <t>모델값 역산(implied): v / 전분기 − 1
전분기 + FCF 근사 — 순차입금 롤과 같은 가정</t>
      </text>
    </comment>
    <comment ref="AN38" authorId="0" shapeId="0">
      <text>
        <t>모델값 역산(implied): v / 전분기 − 1
전분기 + FCF 근사 — 순차입금 롤과 같은 가정</t>
      </text>
    </comment>
    <comment ref="AC40" authorId="0" shapeId="0">
      <text>
        <t>모델값 역산(implied): v / 전년동기 − 1
최근 4분기(2025Q3~2026Q2) CAPEX 중위 유지 — 순차입금 롤에 반영(FCF 근사)</t>
      </text>
    </comment>
    <comment ref="AD40" authorId="0" shapeId="0">
      <text>
        <t>모델값 역산(implied): v / 전년동기 − 1
최근 4분기(2025Q3~2026Q2) CAPEX 중위 유지 — 순차입금 롤에 반영(FCF 근사)</t>
      </text>
    </comment>
    <comment ref="AF40" authorId="0" shapeId="0">
      <text>
        <t>모델값 역산(implied): v / 전년동기 − 1
최근 4분기(2025Q3~2026Q2) CAPEX 중위 유지 — 순차입금 롤에 반영(FCF 근사)</t>
      </text>
    </comment>
    <comment ref="AG40" authorId="0" shapeId="0">
      <text>
        <t>모델값 역산(implied): v / 전년동기 − 1
최근 4분기(2025Q3~2026Q2) CAPEX 중위 유지 — 순차입금 롤에 반영(FCF 근사)</t>
      </text>
    </comment>
    <comment ref="AH40" authorId="0" shapeId="0">
      <text>
        <t>모델값 역산(implied): v / 전년동기 − 1
최근 4분기(2025Q3~2026Q2) CAPEX 중위 유지 — 순차입금 롤에 반영(FCF 근사)</t>
      </text>
    </comment>
    <comment ref="AI40" authorId="0" shapeId="0">
      <text>
        <t>모델값 역산(implied): v / 전년동기 − 1
최근 4분기(2025Q3~2026Q2) CAPEX 중위 유지 — 순차입금 롤에 반영(FCF 근사)</t>
      </text>
    </comment>
    <comment ref="AK40" authorId="0" shapeId="0">
      <text>
        <t>모델값 역산(implied): v / 전년동기 − 1
최근 4분기(2025Q3~2026Q2) CAPEX 중위 유지 — 순차입금 롤에 반영(FCF 근사)</t>
      </text>
    </comment>
    <comment ref="AL40" authorId="0" shapeId="0">
      <text>
        <t>모델값 역산(implied): v / 전년동기 − 1
최근 4분기(2025Q3~2026Q2) CAPEX 중위 유지 — 순차입금 롤에 반영(FCF 근사)</t>
      </text>
    </comment>
    <comment ref="AM40" authorId="0" shapeId="0">
      <text>
        <t>모델값 역산(implied): v / 전년동기 − 1
최근 4분기(2025Q3~2026Q2) CAPEX 중위 유지 — 순차입금 롤에 반영(FCF 근사)</t>
      </text>
    </comment>
    <comment ref="AN40" authorId="0" shapeId="0">
      <text>
        <t>모델값 역산(implied): v / 전년동기 − 1
최근 4분기(2025Q3~2026Q2) CAPEX 중위 유지 — 순차입금 롤에 반영(FCF 근사)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모델 v 그대로
직전 결산 DPS 15,000원 유지</t>
      </text>
    </comment>
    <comment ref="AI43" authorId="0" shapeId="0">
      <text>
        <t>모델값 역산(implied): 모델 v 그대로
직전 결산 DPS 15,000원 유지</t>
      </text>
    </comment>
    <comment ref="AN43" authorId="0" shapeId="0">
      <text>
        <t>모델값 역산(implied): 모델 v 그대로
직전 결산 DPS 15,000원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AC10" authorId="0" shapeId="0">
      <text>
        <t>추정: 최근 8분기 OPM 중위 6.8% 유지(클립 −20~40%)
[divide]</t>
      </text>
    </comment>
    <comment ref="AD10" authorId="0" shapeId="0">
      <text>
        <t>추정: 최근 8분기 OPM 중위 6.8% 유지(클립 −20~40%)
[divide]</t>
      </text>
    </comment>
    <comment ref="AF10" authorId="0" shapeId="0">
      <text>
        <t>추정: 최근 8분기 OPM 중위 6.8% 유지(클립 −20~40%)
[divide]</t>
      </text>
    </comment>
    <comment ref="AG10" authorId="0" shapeId="0">
      <text>
        <t>추정: 최근 8분기 OPM 중위 6.8% 유지(클립 −20~40%)
[divide]</t>
      </text>
    </comment>
    <comment ref="AH10" authorId="0" shapeId="0">
      <text>
        <t>추정: 최근 8분기 OPM 중위 6.8% 유지(클립 −20~40%)
[divide]</t>
      </text>
    </comment>
    <comment ref="AI10" authorId="0" shapeId="0">
      <text>
        <t>추정: 최근 8분기 OPM 중위 6.8% 유지(클립 −20~40%)
[divide]</t>
      </text>
    </comment>
    <comment ref="AK10" authorId="0" shapeId="0">
      <text>
        <t>추정: 최근 8분기 OPM 중위 6.8% 유지(클립 −20~40%)
[divide]</t>
      </text>
    </comment>
    <comment ref="AL10" authorId="0" shapeId="0">
      <text>
        <t>추정: 최근 8분기 OPM 중위 6.8% 유지(클립 −20~40%)
[divide]</t>
      </text>
    </comment>
    <comment ref="AM10" authorId="0" shapeId="0">
      <text>
        <t>추정: 최근 8분기 OPM 중위 6.8% 유지(클립 −20~40%)
[divide]</t>
      </text>
    </comment>
    <comment ref="AN10" authorId="0" shapeId="0">
      <text>
        <t>추정: 최근 8분기 OPM 중위 6.8% 유지(클립 −20~40%)
[divide]</t>
      </text>
    </comment>
    <comment ref="AC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104182억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104533억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104848억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105201억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104547억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104899억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105216억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105570억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104917억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+7150.00억이 이자손익 추정 -722.67억의 50% 초과 → 0(경고)) (항등식); 이자손익 = 이자발생자산 105270억 × 0.43%(주석 이자수익 ÷ 평균 이자발생자산(2025Q3~2026Q2)) − 총차입금 52655억 × 6.35%(주석 이자비용 ÷ 평균 총차입금(2025Q3~2026Q2)) (연율) ÷ 4; 환율 효과는 환관련손익 행 별도
[identity]</t>
      </text>
    </comment>
    <comment ref="AC12" authorId="0" shapeId="0">
      <text>
        <t>추정: 이자발생자산 104182억 × 0.43%(주석 이자수익 ÷ 평균 이자발생자산(2025Q3~2026Q2)) − 총차입금 52655억 × 6.35%(주석 이자비용 ÷ 평균 총차입금(2025Q3~2026Q2)) (연율) ÷ 4
[interest]</t>
      </text>
    </comment>
    <comment ref="AD12" authorId="0" shapeId="0">
      <text>
        <t>추정: 이자발생자산 104533억 × 0.43%(주석 이자수익 ÷ 평균 이자발생자산(2025Q3~2026Q2)) − 총차입금 52655억 × 6.35%(주석 이자비용 ÷ 평균 총차입금(2025Q3~2026Q2)) (연율) ÷ 4
[interest]</t>
      </text>
    </comment>
    <comment ref="AF12" authorId="0" shapeId="0">
      <text>
        <t>추정: 이자발생자산 104848억 × 0.43%(주석 이자수익 ÷ 평균 이자발생자산(2025Q3~2026Q2)) − 총차입금 52655억 × 6.35%(주석 이자비용 ÷ 평균 총차입금(2025Q3~2026Q2)) (연율) ÷ 4
[interest]</t>
      </text>
    </comment>
    <comment ref="AG12" authorId="0" shapeId="0">
      <text>
        <t>추정: 이자발생자산 105201억 × 0.43%(주석 이자수익 ÷ 평균 이자발생자산(2025Q3~2026Q2)) − 총차입금 52655억 × 6.35%(주석 이자비용 ÷ 평균 총차입금(2025Q3~2026Q2)) (연율) ÷ 4
[interest]</t>
      </text>
    </comment>
    <comment ref="AH12" authorId="0" shapeId="0">
      <text>
        <t>추정: 이자발생자산 104547억 × 0.43%(주석 이자수익 ÷ 평균 이자발생자산(2025Q3~2026Q2)) − 총차입금 52655억 × 6.35%(주석 이자비용 ÷ 평균 총차입금(2025Q3~2026Q2)) (연율) ÷ 4
[interest]</t>
      </text>
    </comment>
    <comment ref="AI12" authorId="0" shapeId="0">
      <text>
        <t>추정: 이자발생자산 104899억 × 0.43%(주석 이자수익 ÷ 평균 이자발생자산(2025Q3~2026Q2)) − 총차입금 52655억 × 6.35%(주석 이자비용 ÷ 평균 총차입금(2025Q3~2026Q2)) (연율) ÷ 4
[interest]</t>
      </text>
    </comment>
    <comment ref="AK12" authorId="0" shapeId="0">
      <text>
        <t>추정: 이자발생자산 105216억 × 0.43%(주석 이자수익 ÷ 평균 이자발생자산(2025Q3~2026Q2)) − 총차입금 52655억 × 6.35%(주석 이자비용 ÷ 평균 총차입금(2025Q3~2026Q2)) (연율) ÷ 4
[interest]</t>
      </text>
    </comment>
    <comment ref="AL12" authorId="0" shapeId="0">
      <text>
        <t>추정: 이자발생자산 105570억 × 0.43%(주석 이자수익 ÷ 평균 이자발생자산(2025Q3~2026Q2)) − 총차입금 52655억 × 6.35%(주석 이자비용 ÷ 평균 총차입금(2025Q3~2026Q2)) (연율) ÷ 4
[interest]</t>
      </text>
    </comment>
    <comment ref="AM12" authorId="0" shapeId="0">
      <text>
        <t>추정: 이자발생자산 104917억 × 0.43%(주석 이자수익 ÷ 평균 이자발생자산(2025Q3~2026Q2)) − 총차입금 52655억 × 6.35%(주석 이자비용 ÷ 평균 총차입금(2025Q3~2026Q2)) (연율) ÷ 4
[interest]</t>
      </text>
    </comment>
    <comment ref="AN12" authorId="0" shapeId="0">
      <text>
        <t>추정: 이자발생자산 105270억 × 0.43%(주석 이자수익 ÷ 평균 이자발생자산(2025Q3~2026Q2)) − 총차입금 52655억 × 6.35%(주석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+7150.00억이 이자손익 추정 -722.67억의 50% 초과 → 0(경고)
[abs]</t>
      </text>
    </comment>
    <comment ref="AD15" authorId="0" shapeId="0">
      <text>
        <t>추정: 최근 4분기 중위 +7150.00억이 이자손익 추정 -722.67억의 50% 초과 → 0(경고)
[abs]</t>
      </text>
    </comment>
    <comment ref="AF15" authorId="0" shapeId="0">
      <text>
        <t>추정: 최근 4분기 중위 +7150.00억이 이자손익 추정 -722.67억의 50% 초과 → 0(경고)
[abs]</t>
      </text>
    </comment>
    <comment ref="AG15" authorId="0" shapeId="0">
      <text>
        <t>추정: 최근 4분기 중위 +7150.00억이 이자손익 추정 -722.67억의 50% 초과 → 0(경고)
[abs]</t>
      </text>
    </comment>
    <comment ref="AH15" authorId="0" shapeId="0">
      <text>
        <t>추정: 최근 4분기 중위 +7150.00억이 이자손익 추정 -722.67억의 50% 초과 → 0(경고)
[abs]</t>
      </text>
    </comment>
    <comment ref="AI15" authorId="0" shapeId="0">
      <text>
        <t>추정: 최근 4분기 중위 +7150.00억이 이자손익 추정 -722.67억의 50% 초과 → 0(경고)
[abs]</t>
      </text>
    </comment>
    <comment ref="AK15" authorId="0" shapeId="0">
      <text>
        <t>추정: 최근 4분기 중위 +7150.00억이 이자손익 추정 -722.67억의 50% 초과 → 0(경고)
[abs]</t>
      </text>
    </comment>
    <comment ref="AL15" authorId="0" shapeId="0">
      <text>
        <t>추정: 최근 4분기 중위 +7150.00억이 이자손익 추정 -722.67억의 50% 초과 → 0(경고)
[abs]</t>
      </text>
    </comment>
    <comment ref="AM15" authorId="0" shapeId="0">
      <text>
        <t>추정: 최근 4분기 중위 +7150.00억이 이자손익 추정 -722.67억의 50% 초과 → 0(경고)
[abs]</t>
      </text>
    </comment>
    <comment ref="AN15" authorId="0" shapeId="0">
      <text>
        <t>추정: 최근 4분기 중위 +7150.00억이 이자손익 추정 -722.67억의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D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F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G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H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I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K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L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M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N19" authorId="0" shapeId="0">
      <text>
        <t>추정: max(세전, 0) × 세율 22.0%(최근 12분기 유효세율 29.8% 가 5~27% 밖; 세전 &gt; 0 분기 중위 31.2%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최근 4분기 감가상각비 중위 유지
[abs]</t>
      </text>
    </comment>
    <comment ref="AD23" authorId="0" shapeId="0">
      <text>
        <t>추정: 최근 4분기 감가상각비 중위 유지
[abs]</t>
      </text>
    </comment>
    <comment ref="AF23" authorId="0" shapeId="0">
      <text>
        <t>추정: 최근 4분기 감가상각비 중위 유지
[abs]</t>
      </text>
    </comment>
    <comment ref="AG23" authorId="0" shapeId="0">
      <text>
        <t>추정: 최근 4분기 감가상각비 중위 유지
[abs]</t>
      </text>
    </comment>
    <comment ref="AH23" authorId="0" shapeId="0">
      <text>
        <t>추정: 최근 4분기 감가상각비 중위 유지
[abs]</t>
      </text>
    </comment>
    <comment ref="AI23" authorId="0" shapeId="0">
      <text>
        <t>추정: 최근 4분기 감가상각비 중위 유지
[abs]</t>
      </text>
    </comment>
    <comment ref="AK23" authorId="0" shapeId="0">
      <text>
        <t>추정: 최근 4분기 감가상각비 중위 유지
[abs]</t>
      </text>
    </comment>
    <comment ref="AL23" authorId="0" shapeId="0">
      <text>
        <t>추정: 최근 4분기 감가상각비 중위 유지
[abs]</t>
      </text>
    </comment>
    <comment ref="AM23" authorId="0" shapeId="0">
      <text>
        <t>추정: 최근 4분기 감가상각비 중위 유지
[abs]</t>
      </text>
    </comment>
    <comment ref="AN23" authorId="0" shapeId="0">
      <text>
        <t>추정: 최근 4분기 감가상각비 중위 유지
[abs]</t>
      </text>
    </comment>
    <comment ref="E24" authorId="0" shapeId="0">
      <text>
        <t>실측(계정 매핑 없음(파생·부문·시세 행) — 모델값 직접) — 영업이익 + 감가상각비(CF)</t>
      </text>
    </comment>
    <comment ref="G24" authorId="0" shapeId="0">
      <text>
        <t>실측(계정 매핑 없음(파생·부문·시세 행) — 모델값 직접) — 영업이익 + 감가상각비(CF)</t>
      </text>
    </comment>
    <comment ref="H24" authorId="0" shapeId="0">
      <text>
        <t>실측(계정 매핑 없음(파생·부문·시세 행) — 모델값 직접) — 영업이익 + 감가상각비(CF)</t>
      </text>
    </comment>
    <comment ref="I24" authorId="0" shapeId="0">
      <text>
        <t>실측(계정 매핑 없음(파생·부문·시세 행) — 모델값 직접) — 영업이익 + 감가상각비(CF)</t>
      </text>
    </comment>
    <comment ref="J24" authorId="0" shapeId="0">
      <text>
        <t>실측(계정 매핑 없음(파생·부문·시세 행) — 모델값 직접) — 영업이익 + 감가상각비(CF)</t>
      </text>
    </comment>
    <comment ref="L24" authorId="0" shapeId="0">
      <text>
        <t>실측(계정 매핑 없음(파생·부문·시세 행) — 모델값 직접) — 영업이익 + 감가상각비(CF)</t>
      </text>
    </comment>
    <comment ref="M24" authorId="0" shapeId="0">
      <text>
        <t>실측(계정 매핑 없음(파생·부문·시세 행) — 모델값 직접) — 영업이익 + 감가상각비(CF)</t>
      </text>
    </comment>
    <comment ref="N24" authorId="0" shapeId="0">
      <text>
        <t>실측(계정 매핑 없음(파생·부문·시세 행) — 모델값 직접) — 영업이익 + 감가상각비(CF)</t>
      </text>
    </comment>
    <comment ref="O24" authorId="0" shapeId="0">
      <text>
        <t>실측(계정 매핑 없음(파생·부문·시세 행) — 모델값 직접) — 영업이익 + 감가상각비(CF)</t>
      </text>
    </comment>
    <comment ref="Q24" authorId="0" shapeId="0">
      <text>
        <t>실측(계정 매핑 없음(파생·부문·시세 행) — 모델값 직접) — 영업이익 + 감가상각비(CF)</t>
      </text>
    </comment>
    <comment ref="R24" authorId="0" shapeId="0">
      <text>
        <t>실측(계정 매핑 없음(파생·부문·시세 행) — 모델값 직접) — 영업이익 + 감가상각비(CF)</t>
      </text>
    </comment>
    <comment ref="S24" authorId="0" shapeId="0">
      <text>
        <t>실측(계정 매핑 없음(파생·부문·시세 행) — 모델값 직접) — 영업이익 + 감가상각비(CF)</t>
      </text>
    </comment>
    <comment ref="T24" authorId="0" shapeId="0">
      <text>
        <t>실측(계정 매핑 없음(파생·부문·시세 행) — 모델값 직접) — 영업이익 + 감가상각비(CF)</t>
      </text>
    </comment>
    <comment ref="V24" authorId="0" shapeId="0">
      <text>
        <t>실측(계정 매핑 없음(파생·부문·시세 행) — 모델값 직접) — 영업이익 + 감가상각비(CF)</t>
      </text>
    </comment>
    <comment ref="W24" authorId="0" shapeId="0">
      <text>
        <t>실측(계정 매핑 없음(파생·부문·시세 행) — 모델값 직접) — 영업이익 + 감가상각비(CF)</t>
      </text>
    </comment>
    <comment ref="X24" authorId="0" shapeId="0">
      <text>
        <t>실측(계정 매핑 없음(파생·부문·시세 행) — 모델값 직접) — 영업이익 + 감가상각비(CF)</t>
      </text>
    </comment>
    <comment ref="Y24" authorId="0" shapeId="0">
      <text>
        <t>실측(계정 매핑 없음(파생·부문·시세 행) — 모델값 직접) — 영업이익 + 감가상각비(CF)</t>
      </text>
    </comment>
    <comment ref="AA24" authorId="0" shapeId="0">
      <text>
        <t>실측(계정 매핑 없음(파생·부문·시세 행) — 모델값 직접) — 영업이익 + 감가상각비(CF)</t>
      </text>
    </comment>
    <comment ref="AB24" authorId="0" shapeId="0">
      <text>
        <t>실측(계정 매핑 없음(파생·부문·시세 행) — 모델값 직접) — 영업이익 + 감가상각비(CF)</t>
      </text>
    </comment>
    <comment ref="AC24" authorId="0" shapeId="0">
      <text>
        <t>추정: 영업이익 + 감가상각비
[identity]</t>
      </text>
    </comment>
    <comment ref="AD24" authorId="0" shapeId="0">
      <text>
        <t>추정: 영업이익 + 감가상각비
[identity]</t>
      </text>
    </comment>
    <comment ref="AF24" authorId="0" shapeId="0">
      <text>
        <t>추정: 영업이익 + 감가상각비
[identity]</t>
      </text>
    </comment>
    <comment ref="AG24" authorId="0" shapeId="0">
      <text>
        <t>추정: 영업이익 + 감가상각비
[identity]</t>
      </text>
    </comment>
    <comment ref="AH24" authorId="0" shapeId="0">
      <text>
        <t>추정: 영업이익 + 감가상각비
[identity]</t>
      </text>
    </comment>
    <comment ref="AI24" authorId="0" shapeId="0">
      <text>
        <t>추정: 영업이익 + 감가상각비
[identity]</t>
      </text>
    </comment>
    <comment ref="AK24" authorId="0" shapeId="0">
      <text>
        <t>추정: 영업이익 + 감가상각비
[identity]</t>
      </text>
    </comment>
    <comment ref="AL24" authorId="0" shapeId="0">
      <text>
        <t>추정: 영업이익 + 감가상각비
[identity]</t>
      </text>
    </comment>
    <comment ref="AM24" authorId="0" shapeId="0">
      <text>
        <t>추정: 영업이익 + 감가상각비
[identity]</t>
      </text>
    </comment>
    <comment ref="AN24" authorId="0" shapeId="0">
      <text>
        <t>추정: 영업이익 + 감가상각비
[identity]</t>
      </text>
    </comment>
    <comment ref="AC25" authorId="0" shapeId="0">
      <text>
        <t>추정: 부채총계 + 자본총계(항등식)
[identity]</t>
      </text>
    </comment>
    <comment ref="AD25" authorId="0" shapeId="0">
      <text>
        <t>추정: 부채총계 + 자본총계(항등식)
[identity]</t>
      </text>
    </comment>
    <comment ref="AF25" authorId="0" shapeId="0">
      <text>
        <t>추정: 부채총계 + 자본총계(항등식)
[identity]</t>
      </text>
    </comment>
    <comment ref="AG25" authorId="0" shapeId="0">
      <text>
        <t>추정: 부채총계 + 자본총계(항등식)
[identity]</t>
      </text>
    </comment>
    <comment ref="AH25" authorId="0" shapeId="0">
      <text>
        <t>추정: 부채총계 + 자본총계(항등식)
[identity]</t>
      </text>
    </comment>
    <comment ref="AI25" authorId="0" shapeId="0">
      <text>
        <t>추정: 부채총계 + 자본총계(항등식)
[identity]</t>
      </text>
    </comment>
    <comment ref="AK25" authorId="0" shapeId="0">
      <text>
        <t>추정: 부채총계 + 자본총계(항등식)
[identity]</t>
      </text>
    </comment>
    <comment ref="AL25" authorId="0" shapeId="0">
      <text>
        <t>추정: 부채총계 + 자본총계(항등식)
[identity]</t>
      </text>
    </comment>
    <comment ref="AM25" authorId="0" shapeId="0">
      <text>
        <t>추정: 부채총계 + 자본총계(항등식)
[identity]</t>
      </text>
    </comment>
    <comment ref="AN25" authorId="0" shapeId="0">
      <text>
        <t>추정: 부채총계 + 자본총계(항등식)
[identity]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+ 당기순이익 − 배당(Q2 지급 가정)
[roll]</t>
      </text>
    </comment>
    <comment ref="AD27" authorId="0" shapeId="0">
      <text>
        <t>추정: 전분기 + 당기순이익 − 배당(Q2 지급 가정)
[roll]</t>
      </text>
    </comment>
    <comment ref="AF27" authorId="0" shapeId="0">
      <text>
        <t>추정: 전분기 + 당기순이익 − 배당(Q2 지급 가정)
[roll]</t>
      </text>
    </comment>
    <comment ref="AG27" authorId="0" shapeId="0">
      <text>
        <t>추정: 전분기 + 당기순이익 − 배당(Q2 지급 가정)
[roll]</t>
      </text>
    </comment>
    <comment ref="AH27" authorId="0" shapeId="0">
      <text>
        <t>추정: 전분기 + 당기순이익 − 배당(Q2 지급 가정)
[roll]</t>
      </text>
    </comment>
    <comment ref="AI27" authorId="0" shapeId="0">
      <text>
        <t>추정: 전분기 + 당기순이익 − 배당(Q2 지급 가정)
[roll]</t>
      </text>
    </comment>
    <comment ref="AK27" authorId="0" shapeId="0">
      <text>
        <t>추정: 전분기 + 당기순이익 − 배당(Q2 지급 가정)
[roll]</t>
      </text>
    </comment>
    <comment ref="AL27" authorId="0" shapeId="0">
      <text>
        <t>추정: 전분기 + 당기순이익 − 배당(Q2 지급 가정)
[roll]</t>
      </text>
    </comment>
    <comment ref="AM27" authorId="0" shapeId="0">
      <text>
        <t>추정: 전분기 + 당기순이익 − 배당(Q2 지급 가정)
[roll]</t>
      </text>
    </comment>
    <comment ref="AN27" authorId="0" shapeId="0">
      <text>
        <t>추정: 전분기 + 당기순이익 − 배당(Q2 지급 가정)
[roll]</t>
      </text>
    </comment>
    <comment ref="AC28" authorId="0" shapeId="0">
      <text>
        <t>추정: 전분기 + 지배주주순이익 − 배당
[roll]</t>
      </text>
    </comment>
    <comment ref="AD28" authorId="0" shapeId="0">
      <text>
        <t>추정: 전분기 + 지배주주순이익 − 배당
[roll]</t>
      </text>
    </comment>
    <comment ref="AF28" authorId="0" shapeId="0">
      <text>
        <t>추정: 전분기 + 지배주주순이익 − 배당
[roll]</t>
      </text>
    </comment>
    <comment ref="AG28" authorId="0" shapeId="0">
      <text>
        <t>추정: 전분기 + 지배주주순이익 − 배당
[roll]</t>
      </text>
    </comment>
    <comment ref="AH28" authorId="0" shapeId="0">
      <text>
        <t>추정: 전분기 + 지배주주순이익 − 배당
[roll]</t>
      </text>
    </comment>
    <comment ref="AI28" authorId="0" shapeId="0">
      <text>
        <t>추정: 전분기 + 지배주주순이익 − 배당
[roll]</t>
      </text>
    </comment>
    <comment ref="AK28" authorId="0" shapeId="0">
      <text>
        <t>추정: 전분기 + 지배주주순이익 − 배당
[roll]</t>
      </text>
    </comment>
    <comment ref="AL28" authorId="0" shapeId="0">
      <text>
        <t>추정: 전분기 + 지배주주순이익 − 배당
[roll]</t>
      </text>
    </comment>
    <comment ref="AM28" authorId="0" shapeId="0">
      <text>
        <t>추정: 전분기 + 지배주주순이익 − 배당
[roll]</t>
      </text>
    </comment>
    <comment ref="AN28" authorId="0" shapeId="0">
      <text>
        <t>추정: 전분기 + 지배주주순이익 − 배당
[roll]</t>
      </text>
    </comment>
    <comment ref="AC29" authorId="0" shapeId="0">
      <text>
        <t>추정: 마지막 실적 유지(가정)
[qoq]</t>
      </text>
    </comment>
    <comment ref="AD29" authorId="0" shapeId="0">
      <text>
        <t>추정: 마지막 실적 유지(가정)
[qoq]</t>
      </text>
    </comment>
    <comment ref="AF29" authorId="0" shapeId="0">
      <text>
        <t>추정: 마지막 실적 유지(가정)
[qoq]</t>
      </text>
    </comment>
    <comment ref="AG29" authorId="0" shapeId="0">
      <text>
        <t>추정: 마지막 실적 유지(가정)
[qoq]</t>
      </text>
    </comment>
    <comment ref="AH29" authorId="0" shapeId="0">
      <text>
        <t>추정: 마지막 실적 유지(가정)
[qoq]</t>
      </text>
    </comment>
    <comment ref="AI29" authorId="0" shapeId="0">
      <text>
        <t>추정: 마지막 실적 유지(가정)
[qoq]</t>
      </text>
    </comment>
    <comment ref="AK29" authorId="0" shapeId="0">
      <text>
        <t>추정: 마지막 실적 유지(가정)
[qoq]</t>
      </text>
    </comment>
    <comment ref="AL29" authorId="0" shapeId="0">
      <text>
        <t>추정: 마지막 실적 유지(가정)
[qoq]</t>
      </text>
    </comment>
    <comment ref="AM29" authorId="0" shapeId="0">
      <text>
        <t>추정: 마지막 실적 유지(가정)
[qoq]</t>
      </text>
    </comment>
    <comment ref="AN29" authorId="0" shapeId="0">
      <text>
        <t>추정: 마지막 실적 유지(가정)
[qoq]</t>
      </text>
    </comment>
    <comment ref="AC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D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F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G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H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I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K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L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M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N30" authorId="0" shapeId="0">
      <text>
        <t>추정: 전분기 − FCF 근사[순이익 + 감가상각비 928억 − CAPEX 897억(각 최근 4분기 중위) − 배당] (운전자본 불변·총차입금 유지 가정 → 변동은 전부 현금)
[qoq]</t>
      </text>
    </comment>
    <comment ref="AC31" authorId="0" shapeId="0">
      <text>
        <t>추정: 전분기 + FCF 근사 — 순차입금 롤과 같은 가정
[qoq]</t>
      </text>
    </comment>
    <comment ref="AD31" authorId="0" shapeId="0">
      <text>
        <t>추정: 전분기 + FCF 근사 — 순차입금 롤과 같은 가정
[qoq]</t>
      </text>
    </comment>
    <comment ref="AF31" authorId="0" shapeId="0">
      <text>
        <t>추정: 전분기 + FCF 근사 — 순차입금 롤과 같은 가정
[qoq]</t>
      </text>
    </comment>
    <comment ref="AG31" authorId="0" shapeId="0">
      <text>
        <t>추정: 전분기 + FCF 근사 — 순차입금 롤과 같은 가정
[qoq]</t>
      </text>
    </comment>
    <comment ref="AH31" authorId="0" shapeId="0">
      <text>
        <t>추정: 전분기 + FCF 근사 — 순차입금 롤과 같은 가정
[qoq]</t>
      </text>
    </comment>
    <comment ref="AI31" authorId="0" shapeId="0">
      <text>
        <t>추정: 전분기 + FCF 근사 — 순차입금 롤과 같은 가정
[qoq]</t>
      </text>
    </comment>
    <comment ref="AK31" authorId="0" shapeId="0">
      <text>
        <t>추정: 전분기 + FCF 근사 — 순차입금 롤과 같은 가정
[qoq]</t>
      </text>
    </comment>
    <comment ref="AL31" authorId="0" shapeId="0">
      <text>
        <t>추정: 전분기 + FCF 근사 — 순차입금 롤과 같은 가정
[qoq]</t>
      </text>
    </comment>
    <comment ref="AM31" authorId="0" shapeId="0">
      <text>
        <t>추정: 전분기 + FCF 근사 — 순차입금 롤과 같은 가정
[qoq]</t>
      </text>
    </comment>
    <comment ref="AN31" authorId="0" shapeId="0">
      <text>
        <t>추정: 전분기 + FCF 근사 — 순차입금 롤과 같은 가정
[qoq]</t>
      </text>
    </comment>
    <comment ref="AC33" authorId="0" shapeId="0">
      <text>
        <t>추정: 최근 4분기(2025Q3~2026Q2) CAPEX 중위 유지 — 순차입금 롤에 반영(FCF 근사)
[yoy]</t>
      </text>
    </comment>
    <comment ref="AD33" authorId="0" shapeId="0">
      <text>
        <t>추정: 최근 4분기(2025Q3~2026Q2) CAPEX 중위 유지 — 순차입금 롤에 반영(FCF 근사)
[yoy]</t>
      </text>
    </comment>
    <comment ref="AF33" authorId="0" shapeId="0">
      <text>
        <t>추정: 최근 4분기(2025Q3~2026Q2) CAPEX 중위 유지 — 순차입금 롤에 반영(FCF 근사)
[yoy]</t>
      </text>
    </comment>
    <comment ref="AG33" authorId="0" shapeId="0">
      <text>
        <t>추정: 최근 4분기(2025Q3~2026Q2) CAPEX 중위 유지 — 순차입금 롤에 반영(FCF 근사)
[yoy]</t>
      </text>
    </comment>
    <comment ref="AH33" authorId="0" shapeId="0">
      <text>
        <t>추정: 최근 4분기(2025Q3~2026Q2) CAPEX 중위 유지 — 순차입금 롤에 반영(FCF 근사)
[yoy]</t>
      </text>
    </comment>
    <comment ref="AI33" authorId="0" shapeId="0">
      <text>
        <t>추정: 최근 4분기(2025Q3~2026Q2) CAPEX 중위 유지 — 순차입금 롤에 반영(FCF 근사)
[yoy]</t>
      </text>
    </comment>
    <comment ref="AK33" authorId="0" shapeId="0">
      <text>
        <t>추정: 최근 4분기(2025Q3~2026Q2) CAPEX 중위 유지 — 순차입금 롤에 반영(FCF 근사)
[yoy]</t>
      </text>
    </comment>
    <comment ref="AL33" authorId="0" shapeId="0">
      <text>
        <t>추정: 최근 4분기(2025Q3~2026Q2) CAPEX 중위 유지 — 순차입금 롤에 반영(FCF 근사)
[yoy]</t>
      </text>
    </comment>
    <comment ref="AM33" authorId="0" shapeId="0">
      <text>
        <t>추정: 최근 4분기(2025Q3~2026Q2) CAPEX 중위 유지 — 순차입금 롤에 반영(FCF 근사)
[yoy]</t>
      </text>
    </comment>
    <comment ref="AN33" authorId="0" shapeId="0">
      <text>
        <t>추정: 최근 4분기(2025Q3~2026Q2) CAPEX 중위 유지 — 순차입금 롤에 반영(FCF 근사)
[yoy]</t>
      </text>
    </comment>
    <comment ref="E35" authorId="0" shapeId="0">
      <text>
        <t>실측(계정 매핑 없음(파생·부문·시세 행) — 모델값 직접) — fin.shares.common_outstanding</t>
      </text>
    </comment>
    <comment ref="G35" authorId="0" shapeId="0">
      <text>
        <t>실측(계정 매핑 없음(파생·부문·시세 행) — 모델값 직접) — fin.shares.common_outstanding</t>
      </text>
    </comment>
    <comment ref="H35" authorId="0" shapeId="0">
      <text>
        <t>실측(계정 매핑 없음(파생·부문·시세 행) — 모델값 직접) — fin.shares.common_outstanding</t>
      </text>
    </comment>
    <comment ref="I35" authorId="0" shapeId="0">
      <text>
        <t>실측(계정 매핑 없음(파생·부문·시세 행) — 모델값 직접) — fin.shares.common_outstanding</t>
      </text>
    </comment>
    <comment ref="J35" authorId="0" shapeId="0">
      <text>
        <t>실측(계정 매핑 없음(파생·부문·시세 행) — 모델값 직접) — fin.shares.common_outstanding</t>
      </text>
    </comment>
    <comment ref="L35" authorId="0" shapeId="0">
      <text>
        <t>실측(계정 매핑 없음(파생·부문·시세 행) — 모델값 직접) — fin.shares.common_outstanding</t>
      </text>
    </comment>
    <comment ref="M35" authorId="0" shapeId="0">
      <text>
        <t>실측(계정 매핑 없음(파생·부문·시세 행) — 모델값 직접) — fin.shares.common_outstanding</t>
      </text>
    </comment>
    <comment ref="N35" authorId="0" shapeId="0">
      <text>
        <t>실측(계정 매핑 없음(파생·부문·시세 행) — 모델값 직접) — fin.shares.common_outstanding</t>
      </text>
    </comment>
    <comment ref="O35" authorId="0" shapeId="0">
      <text>
        <t>실측(계정 매핑 없음(파생·부문·시세 행) — 모델값 직접) — fin.shares.common_outstanding</t>
      </text>
    </comment>
    <comment ref="Q35" authorId="0" shapeId="0">
      <text>
        <t>실측(계정 매핑 없음(파생·부문·시세 행) — 모델값 직접) — fin.shares.common_outstanding</t>
      </text>
    </comment>
    <comment ref="R35" authorId="0" shapeId="0">
      <text>
        <t>실측(계정 매핑 없음(파생·부문·시세 행) — 모델값 직접) — fin.shares.common_outstanding</t>
      </text>
    </comment>
    <comment ref="S35" authorId="0" shapeId="0">
      <text>
        <t>실측(계정 매핑 없음(파생·부문·시세 행) — 모델값 직접) — fin.shares.common_outstanding</t>
      </text>
    </comment>
    <comment ref="T35" authorId="0" shapeId="0">
      <text>
        <t>실측(계정 매핑 없음(파생·부문·시세 행) — 모델값 직접) — fin.shares.common_outstanding</t>
      </text>
    </comment>
    <comment ref="V35" authorId="0" shapeId="0">
      <text>
        <t>실측(계정 매핑 없음(파생·부문·시세 행) — 모델값 직접) — fin.shares.common_outstanding</t>
      </text>
    </comment>
    <comment ref="W35" authorId="0" shapeId="0">
      <text>
        <t>실측(계정 매핑 없음(파생·부문·시세 행) — 모델값 직접) — fin.shares.common_outstanding</t>
      </text>
    </comment>
    <comment ref="X35" authorId="0" shapeId="0">
      <text>
        <t>실측(계정 매핑 없음(파생·부문·시세 행) — 모델값 직접) — fin.shares.common_outstanding</t>
      </text>
    </comment>
    <comment ref="Y35" authorId="0" shapeId="0">
      <text>
        <t>실측(계정 매핑 없음(파생·부문·시세 행) — 모델값 직접) — fin.shares.common_outstanding</t>
      </text>
    </comment>
    <comment ref="AA35" authorId="0" shapeId="0">
      <text>
        <t>실측(계정 매핑 없음(파생·부문·시세 행) — 모델값 직접) — fin.shares.common_outstanding</t>
      </text>
    </comment>
    <comment ref="AB35" authorId="0" shapeId="0">
      <text>
        <t>실측(계정 매핑 없음(파생·부문·시세 행) — 모델값 직접) — fin.shares.common_outstanding</t>
      </text>
    </comment>
    <comment ref="AC35" authorId="0" shapeId="0">
      <text>
        <t>추정: 유통주식수 유지 — fin.shares.common_outstanding(2026Q2)
[qoq]</t>
      </text>
    </comment>
    <comment ref="AD35" authorId="0" shapeId="0">
      <text>
        <t>추정: 유통주식수 유지 — fin.shares.common_outstanding(2026Q2)
[qoq]</t>
      </text>
    </comment>
    <comment ref="AF35" authorId="0" shapeId="0">
      <text>
        <t>추정: 유통주식수 유지 — fin.shares.common_outstanding(2026Q2)
[qoq]</t>
      </text>
    </comment>
    <comment ref="AG35" authorId="0" shapeId="0">
      <text>
        <t>추정: 유통주식수 유지 — fin.shares.common_outstanding(2026Q2)
[qoq]</t>
      </text>
    </comment>
    <comment ref="AH35" authorId="0" shapeId="0">
      <text>
        <t>추정: 유통주식수 유지 — fin.shares.common_outstanding(2026Q2)
[qoq]</t>
      </text>
    </comment>
    <comment ref="AI35" authorId="0" shapeId="0">
      <text>
        <t>추정: 유통주식수 유지 — fin.shares.common_outstanding(2026Q2)
[qoq]</t>
      </text>
    </comment>
    <comment ref="AK35" authorId="0" shapeId="0">
      <text>
        <t>추정: 유통주식수 유지 — fin.shares.common_outstanding(2026Q2)
[qoq]</t>
      </text>
    </comment>
    <comment ref="AL35" authorId="0" shapeId="0">
      <text>
        <t>추정: 유통주식수 유지 — fin.shares.common_outstanding(2026Q2)
[qoq]</t>
      </text>
    </comment>
    <comment ref="AM35" authorId="0" shapeId="0">
      <text>
        <t>추정: 유통주식수 유지 — fin.shares.common_outstanding(2026Q2)
[qoq]</t>
      </text>
    </comment>
    <comment ref="AN35" authorId="0" shapeId="0">
      <text>
        <t>추정: 유통주식수 유지 — fin.shares.common_outstanding(2026Q2)
[qoq]</t>
      </text>
    </comment>
    <comment ref="AC36" authorId="0" shapeId="0">
      <text>
        <t>추정: 지배주주순이익 ÷ 유통주식수
[per_share]</t>
      </text>
    </comment>
    <comment ref="AD36" authorId="0" shapeId="0">
      <text>
        <t>추정: 지배주주순이익 ÷ 유통주식수
[per_share]</t>
      </text>
    </comment>
    <comment ref="AF36" authorId="0" shapeId="0">
      <text>
        <t>추정: 지배주주순이익 ÷ 유통주식수
[per_share]</t>
      </text>
    </comment>
    <comment ref="AG36" authorId="0" shapeId="0">
      <text>
        <t>추정: 지배주주순이익 ÷ 유통주식수
[per_share]</t>
      </text>
    </comment>
    <comment ref="AH36" authorId="0" shapeId="0">
      <text>
        <t>추정: 지배주주순이익 ÷ 유통주식수
[per_share]</t>
      </text>
    </comment>
    <comment ref="AI36" authorId="0" shapeId="0">
      <text>
        <t>추정: 지배주주순이익 ÷ 유통주식수
[per_share]</t>
      </text>
    </comment>
    <comment ref="AK36" authorId="0" shapeId="0">
      <text>
        <t>추정: 지배주주순이익 ÷ 유통주식수
[per_share]</t>
      </text>
    </comment>
    <comment ref="AL36" authorId="0" shapeId="0">
      <text>
        <t>추정: 지배주주순이익 ÷ 유통주식수
[per_share]</t>
      </text>
    </comment>
    <comment ref="AM36" authorId="0" shapeId="0">
      <text>
        <t>추정: 지배주주순이익 ÷ 유통주식수
[per_share]</t>
      </text>
    </comment>
    <comment ref="AN36" authorId="0" shapeId="0">
      <text>
        <t>추정: 지배주주순이익 ÷ 유통주식수
[per_share]</t>
      </text>
    </comment>
    <comment ref="AB37" authorId="0" shapeId="0">
      <text>
        <t>조정EPS 산식(모델 추정, 일회성 여부·세효과 주석 미확인): 지배NI − 초과 비영업손익 36,539억 × (1 − 세율 24.4% [분기 유효세율(법인세 9166억 ÷ 세전 37594억)]) × 지배 비중 1.0000 [그 분기 지배NI/NI] = 761억 ÷ 유통주식수 · 초과 = 비영업손익 36,305억 − 12분기 기준선 -235억 · 보고 EPS 386,061원(EPS 행 불변) · 상수 27630.69·1.0 는 모델 one_offs_detected 값(세전·법인세 셀을 바꿔도 재계산되지 않음)</t>
      </text>
    </comment>
    <comment ref="AC37" authorId="0" shapeId="0">
      <text>
        <t>추정: = EPS(추정 구간은 일회성 미가정)
[identity]</t>
      </text>
    </comment>
    <comment ref="AD37" authorId="0" shapeId="0">
      <text>
        <t>추정: = EPS(추정 구간은 일회성 미가정)
[identity]</t>
      </text>
    </comment>
    <comment ref="AF37" authorId="0" shapeId="0">
      <text>
        <t>추정: = EPS(추정 구간은 일회성 미가정)
[identity]</t>
      </text>
    </comment>
    <comment ref="AG37" authorId="0" shapeId="0">
      <text>
        <t>추정: = EPS(추정 구간은 일회성 미가정)
[identity]</t>
      </text>
    </comment>
    <comment ref="AH37" authorId="0" shapeId="0">
      <text>
        <t>추정: = EPS(추정 구간은 일회성 미가정)
[identity]</t>
      </text>
    </comment>
    <comment ref="AI37" authorId="0" shapeId="0">
      <text>
        <t>추정: = EPS(추정 구간은 일회성 미가정)
[identity]</t>
      </text>
    </comment>
    <comment ref="AK37" authorId="0" shapeId="0">
      <text>
        <t>추정: = EPS(추정 구간은 일회성 미가정)
[identity]</t>
      </text>
    </comment>
    <comment ref="AL37" authorId="0" shapeId="0">
      <text>
        <t>추정: = EPS(추정 구간은 일회성 미가정)
[identity]</t>
      </text>
    </comment>
    <comment ref="AM37" authorId="0" shapeId="0">
      <text>
        <t>추정: = EPS(추정 구간은 일회성 미가정)
[identity]</t>
      </text>
    </comment>
    <comment ref="AN37" authorId="0" shapeId="0">
      <text>
        <t>추정: = EPS(추정 구간은 일회성 미가정)
[identity]</t>
      </text>
    </comment>
    <comment ref="AC38" authorId="0" shapeId="0">
      <text>
        <t>추정: 지배주주지분 ÷ 유통주식수
[per_share]</t>
      </text>
    </comment>
    <comment ref="AD38" authorId="0" shapeId="0">
      <text>
        <t>추정: 지배주주지분 ÷ 유통주식수
[per_share]</t>
      </text>
    </comment>
    <comment ref="AF38" authorId="0" shapeId="0">
      <text>
        <t>추정: 지배주주지분 ÷ 유통주식수
[per_share]</t>
      </text>
    </comment>
    <comment ref="AG38" authorId="0" shapeId="0">
      <text>
        <t>추정: 지배주주지분 ÷ 유통주식수
[per_share]</t>
      </text>
    </comment>
    <comment ref="AH38" authorId="0" shapeId="0">
      <text>
        <t>추정: 지배주주지분 ÷ 유통주식수
[per_share]</t>
      </text>
    </comment>
    <comment ref="AI38" authorId="0" shapeId="0">
      <text>
        <t>추정: 지배주주지분 ÷ 유통주식수
[per_share]</t>
      </text>
    </comment>
    <comment ref="AK38" authorId="0" shapeId="0">
      <text>
        <t>추정: 지배주주지분 ÷ 유통주식수
[per_share]</t>
      </text>
    </comment>
    <comment ref="AL38" authorId="0" shapeId="0">
      <text>
        <t>추정: 지배주주지분 ÷ 유통주식수
[per_share]</t>
      </text>
    </comment>
    <comment ref="AM38" authorId="0" shapeId="0">
      <text>
        <t>추정: 지배주주지분 ÷ 유통주식수
[per_share]</t>
      </text>
    </comment>
    <comment ref="AN38" authorId="0" shapeId="0">
      <text>
        <t>추정: 지배주주지분 ÷ 유통주식수
[per_share]</t>
      </text>
    </comment>
    <comment ref="E39" authorId="0" shapeId="0">
      <text>
        <t>실측(계정 매핑 없음(파생·부문·시세 행) — 모델값 직접) — fin.dividend.dps_common(연간, Q4 에 표기)</t>
      </text>
    </comment>
    <comment ref="F39" authorId="0" shapeId="0">
      <text>
        <t>연간(actual) — 분기 미완 연도, 모델 a 값 직접</t>
      </text>
    </comment>
    <comment ref="J39" authorId="0" shapeId="0">
      <text>
        <t>실측(계정 매핑 없음(파생·부문·시세 행) — 모델값 직접) — fin.dividend.dps_common(연간, Q4 에 표기)</t>
      </text>
    </comment>
    <comment ref="O39" authorId="0" shapeId="0">
      <text>
        <t>실측(계정 매핑 없음(파생·부문·시세 행) — 모델값 직접) — fin.dividend.dps_common(연간, Q4 에 표기)</t>
      </text>
    </comment>
    <comment ref="T39" authorId="0" shapeId="0">
      <text>
        <t>실측(계정 매핑 없음(파생·부문·시세 행) — 모델값 직접) — fin.dividend.dps_common(연간, Q4 에 표기)</t>
      </text>
    </comment>
    <comment ref="Y39" authorId="0" shapeId="0">
      <text>
        <t>실측(계정 매핑 없음(파생·부문·시세 행) — 모델값 직접) — fin.dividend.dps_common(연간, Q4 에 표기)</t>
      </text>
    </comment>
    <comment ref="AD39" authorId="0" shapeId="0">
      <text>
        <t>추정: 직전 결산 DPS 15,000원 유지
[abs]</t>
      </text>
    </comment>
    <comment ref="AI39" authorId="0" shapeId="0">
      <text>
        <t>추정: 직전 결산 DPS 15,000원 유지
[abs]</t>
      </text>
    </comment>
    <comment ref="AN39" authorId="0" shapeId="0">
      <text>
        <t>추정: 직전 결산 DPS 15,000원 유지
[abs]</t>
      </text>
    </comment>
    <comment ref="AC40" authorId="0" shapeId="0">
      <text>
        <t>추정: 현재 종가 ÷ TTM EPS(추정 포함)
[valuation]</t>
      </text>
    </comment>
    <comment ref="AD40" authorId="0" shapeId="0">
      <text>
        <t>추정: 현재 종가 ÷ TTM EPS(추정 포함)
[valuation]</t>
      </text>
    </comment>
    <comment ref="AF40" authorId="0" shapeId="0">
      <text>
        <t>추정: 현재 종가 ÷ TTM EPS(추정 포함)
[valuation]</t>
      </text>
    </comment>
    <comment ref="AG40" authorId="0" shapeId="0">
      <text>
        <t>추정: 현재 종가 ÷ TTM EPS(추정 포함)
[valuation]</t>
      </text>
    </comment>
    <comment ref="AH40" authorId="0" shapeId="0">
      <text>
        <t>추정: 현재 종가 ÷ TTM EPS(추정 포함)
[valuation]</t>
      </text>
    </comment>
    <comment ref="AI40" authorId="0" shapeId="0">
      <text>
        <t>추정: 현재 종가 ÷ TTM EPS(추정 포함)
[valuation]</t>
      </text>
    </comment>
    <comment ref="AK40" authorId="0" shapeId="0">
      <text>
        <t>추정: 현재 종가 ÷ TTM EPS(추정 포함)
[valuation]</t>
      </text>
    </comment>
    <comment ref="AL40" authorId="0" shapeId="0">
      <text>
        <t>추정: 현재 종가 ÷ TTM EPS(추정 포함)
[valuation]</t>
      </text>
    </comment>
    <comment ref="AM40" authorId="0" shapeId="0">
      <text>
        <t>추정: 현재 종가 ÷ TTM EPS(추정 포함)
[valuation]</t>
      </text>
    </comment>
    <comment ref="AN40" authorId="0" shapeId="0">
      <text>
        <t>추정: 현재 종가 ÷ TTM EPS(추정 포함)
[valuation]</t>
      </text>
    </comment>
    <comment ref="AC41" authorId="0" shapeId="0">
      <text>
        <t>추정: 현재 종가 ÷ BPS(추정 포함)
[valuation]</t>
      </text>
    </comment>
    <comment ref="AD41" authorId="0" shapeId="0">
      <text>
        <t>추정: 현재 종가 ÷ BPS(추정 포함)
[valuation]</t>
      </text>
    </comment>
    <comment ref="AF41" authorId="0" shapeId="0">
      <text>
        <t>추정: 현재 종가 ÷ BPS(추정 포함)
[valuation]</t>
      </text>
    </comment>
    <comment ref="AG41" authorId="0" shapeId="0">
      <text>
        <t>추정: 현재 종가 ÷ BPS(추정 포함)
[valuation]</t>
      </text>
    </comment>
    <comment ref="AH41" authorId="0" shapeId="0">
      <text>
        <t>추정: 현재 종가 ÷ BPS(추정 포함)
[valuation]</t>
      </text>
    </comment>
    <comment ref="AI41" authorId="0" shapeId="0">
      <text>
        <t>추정: 현재 종가 ÷ BPS(추정 포함)
[valuation]</t>
      </text>
    </comment>
    <comment ref="AK41" authorId="0" shapeId="0">
      <text>
        <t>추정: 현재 종가 ÷ BPS(추정 포함)
[valuation]</t>
      </text>
    </comment>
    <comment ref="AL41" authorId="0" shapeId="0">
      <text>
        <t>추정: 현재 종가 ÷ BPS(추정 포함)
[valuation]</t>
      </text>
    </comment>
    <comment ref="AM41" authorId="0" shapeId="0">
      <text>
        <t>추정: 현재 종가 ÷ BPS(추정 포함)
[valuation]</t>
      </text>
    </comment>
    <comment ref="AN41" authorId="0" shapeId="0">
      <text>
        <t>추정: 현재 종가 ÷ BPS(추정 포함)
[valuation]</t>
      </text>
    </comment>
    <comment ref="E42" authorId="0" shapeId="0">
      <text>
        <t>실측(계정 매핑 없음(파생·부문·시세 행) — 모델값 직접) — = 매출액(부문 미분리)</t>
      </text>
    </comment>
    <comment ref="G42" authorId="0" shapeId="0">
      <text>
        <t>실측(계정 매핑 없음(파생·부문·시세 행) — 모델값 직접) — = 매출액(부문 미분리)</t>
      </text>
    </comment>
    <comment ref="H42" authorId="0" shapeId="0">
      <text>
        <t>실측(계정 매핑 없음(파생·부문·시세 행) — 모델값 직접) — = 매출액(부문 미분리)</t>
      </text>
    </comment>
    <comment ref="I42" authorId="0" shapeId="0">
      <text>
        <t>실측(계정 매핑 없음(파생·부문·시세 행) — 모델값 직접) — = 매출액(부문 미분리)</t>
      </text>
    </comment>
    <comment ref="J42" authorId="0" shapeId="0">
      <text>
        <t>실측(계정 매핑 없음(파생·부문·시세 행) — 모델값 직접) — = 매출액(부문 미분리)</t>
      </text>
    </comment>
    <comment ref="L42" authorId="0" shapeId="0">
      <text>
        <t>실측(계정 매핑 없음(파생·부문·시세 행) — 모델값 직접) — = 매출액(부문 미분리)</t>
      </text>
    </comment>
    <comment ref="M42" authorId="0" shapeId="0">
      <text>
        <t>실측(계정 매핑 없음(파생·부문·시세 행) — 모델값 직접) — = 매출액(부문 미분리)</t>
      </text>
    </comment>
    <comment ref="N42" authorId="0" shapeId="0">
      <text>
        <t>실측(계정 매핑 없음(파생·부문·시세 행) — 모델값 직접) — = 매출액(부문 미분리)</t>
      </text>
    </comment>
    <comment ref="O42" authorId="0" shapeId="0">
      <text>
        <t>실측(계정 매핑 없음(파생·부문·시세 행) — 모델값 직접) — = 매출액(부문 미분리)</t>
      </text>
    </comment>
    <comment ref="Q42" authorId="0" shapeId="0">
      <text>
        <t>실측(계정 매핑 없음(파생·부문·시세 행) — 모델값 직접) — = 매출액(부문 미분리)</t>
      </text>
    </comment>
    <comment ref="R42" authorId="0" shapeId="0">
      <text>
        <t>실측(계정 매핑 없음(파생·부문·시세 행) — 모델값 직접) — = 매출액(부문 미분리)</t>
      </text>
    </comment>
    <comment ref="S42" authorId="0" shapeId="0">
      <text>
        <t>실측(계정 매핑 없음(파생·부문·시세 행) — 모델값 직접) — = 매출액(부문 미분리)</t>
      </text>
    </comment>
    <comment ref="T42" authorId="0" shapeId="0">
      <text>
        <t>실측(계정 매핑 없음(파생·부문·시세 행) — 모델값 직접) — = 매출액(부문 미분리)</t>
      </text>
    </comment>
    <comment ref="V42" authorId="0" shapeId="0">
      <text>
        <t>실측(계정 매핑 없음(파생·부문·시세 행) — 모델값 직접) — = 매출액(부문 미분리)</t>
      </text>
    </comment>
    <comment ref="W42" authorId="0" shapeId="0">
      <text>
        <t>실측(계정 매핑 없음(파생·부문·시세 행) — 모델값 직접) — = 매출액(부문 미분리)</t>
      </text>
    </comment>
    <comment ref="X42" authorId="0" shapeId="0">
      <text>
        <t>실측(계정 매핑 없음(파생·부문·시세 행) — 모델값 직접) — = 매출액(부문 미분리)</t>
      </text>
    </comment>
    <comment ref="Y42" authorId="0" shapeId="0">
      <text>
        <t>실측(계정 매핑 없음(파생·부문·시세 행) — 모델값 직접) — = 매출액(부문 미분리)</t>
      </text>
    </comment>
    <comment ref="AA42" authorId="0" shapeId="0">
      <text>
        <t>실측(계정 매핑 없음(파생·부문·시세 행) — 모델값 직접) — = 매출액(부문 미분리)</t>
      </text>
    </comment>
    <comment ref="AB42" authorId="0" shapeId="0">
      <text>
        <t>실측(계정 매핑 없음(파생·부문·시세 행) — 모델값 직접) — = 매출액(부문 미분리)</t>
      </text>
    </comment>
    <comment ref="AC42" authorId="0" shapeId="0">
      <text>
        <t>추정: = 매출액 추정(부문 미분리)
[identity]</t>
      </text>
    </comment>
    <comment ref="AD42" authorId="0" shapeId="0">
      <text>
        <t>추정: = 매출액 추정(부문 미분리)
[identity]</t>
      </text>
    </comment>
    <comment ref="AF42" authorId="0" shapeId="0">
      <text>
        <t>추정: = 매출액 추정(부문 미분리)
[identity]</t>
      </text>
    </comment>
    <comment ref="AG42" authorId="0" shapeId="0">
      <text>
        <t>추정: = 매출액 추정(부문 미분리)
[identity]</t>
      </text>
    </comment>
    <comment ref="AH42" authorId="0" shapeId="0">
      <text>
        <t>추정: = 매출액 추정(부문 미분리)
[identity]</t>
      </text>
    </comment>
    <comment ref="AI42" authorId="0" shapeId="0">
      <text>
        <t>추정: = 매출액 추정(부문 미분리)
[identity]</t>
      </text>
    </comment>
    <comment ref="AK42" authorId="0" shapeId="0">
      <text>
        <t>추정: = 매출액 추정(부문 미분리)
[identity]</t>
      </text>
    </comment>
    <comment ref="AL42" authorId="0" shapeId="0">
      <text>
        <t>추정: = 매출액 추정(부문 미분리)
[identity]</t>
      </text>
    </comment>
    <comment ref="AM42" authorId="0" shapeId="0">
      <text>
        <t>추정: = 매출액 추정(부문 미분리)
[identity]</t>
      </text>
    </comment>
    <comment ref="AN42" authorId="0" shapeId="0">
      <text>
        <t>추정: = 매출액 추정(부문 미분리)
[identity]</t>
      </text>
    </comment>
    <comment ref="E43" authorId="0" shapeId="0">
      <text>
        <t>실측(계정 매핑 없음(파생·부문·시세 행) — 모델값 직접) — = 영업이익(부문 미분리)</t>
      </text>
    </comment>
    <comment ref="G43" authorId="0" shapeId="0">
      <text>
        <t>실측(계정 매핑 없음(파생·부문·시세 행) — 모델값 직접) — = 영업이익(부문 미분리)</t>
      </text>
    </comment>
    <comment ref="H43" authorId="0" shapeId="0">
      <text>
        <t>실측(계정 매핑 없음(파생·부문·시세 행) — 모델값 직접) — = 영업이익(부문 미분리)</t>
      </text>
    </comment>
    <comment ref="I43" authorId="0" shapeId="0">
      <text>
        <t>실측(계정 매핑 없음(파생·부문·시세 행) — 모델값 직접) — = 영업이익(부문 미분리)</t>
      </text>
    </comment>
    <comment ref="J43" authorId="0" shapeId="0">
      <text>
        <t>실측(계정 매핑 없음(파생·부문·시세 행) — 모델값 직접) — = 영업이익(부문 미분리)</t>
      </text>
    </comment>
    <comment ref="L43" authorId="0" shapeId="0">
      <text>
        <t>실측(계정 매핑 없음(파생·부문·시세 행) — 모델값 직접) — = 영업이익(부문 미분리)</t>
      </text>
    </comment>
    <comment ref="M43" authorId="0" shapeId="0">
      <text>
        <t>실측(계정 매핑 없음(파생·부문·시세 행) — 모델값 직접) — = 영업이익(부문 미분리)</t>
      </text>
    </comment>
    <comment ref="N43" authorId="0" shapeId="0">
      <text>
        <t>실측(계정 매핑 없음(파생·부문·시세 행) — 모델값 직접) — = 영업이익(부문 미분리)</t>
      </text>
    </comment>
    <comment ref="O43" authorId="0" shapeId="0">
      <text>
        <t>실측(계정 매핑 없음(파생·부문·시세 행) — 모델값 직접) — = 영업이익(부문 미분리)</t>
      </text>
    </comment>
    <comment ref="Q43" authorId="0" shapeId="0">
      <text>
        <t>실측(계정 매핑 없음(파생·부문·시세 행) — 모델값 직접) — = 영업이익(부문 미분리)</t>
      </text>
    </comment>
    <comment ref="R43" authorId="0" shapeId="0">
      <text>
        <t>실측(계정 매핑 없음(파생·부문·시세 행) — 모델값 직접) — = 영업이익(부문 미분리)</t>
      </text>
    </comment>
    <comment ref="S43" authorId="0" shapeId="0">
      <text>
        <t>실측(계정 매핑 없음(파생·부문·시세 행) — 모델값 직접) — = 영업이익(부문 미분리)</t>
      </text>
    </comment>
    <comment ref="T43" authorId="0" shapeId="0">
      <text>
        <t>실측(계정 매핑 없음(파생·부문·시세 행) — 모델값 직접) — = 영업이익(부문 미분리)</t>
      </text>
    </comment>
    <comment ref="V43" authorId="0" shapeId="0">
      <text>
        <t>실측(계정 매핑 없음(파생·부문·시세 행) — 모델값 직접) — = 영업이익(부문 미분리)</t>
      </text>
    </comment>
    <comment ref="W43" authorId="0" shapeId="0">
      <text>
        <t>실측(계정 매핑 없음(파생·부문·시세 행) — 모델값 직접) — = 영업이익(부문 미분리)</t>
      </text>
    </comment>
    <comment ref="X43" authorId="0" shapeId="0">
      <text>
        <t>실측(계정 매핑 없음(파생·부문·시세 행) — 모델값 직접) — = 영업이익(부문 미분리)</t>
      </text>
    </comment>
    <comment ref="Y43" authorId="0" shapeId="0">
      <text>
        <t>실측(계정 매핑 없음(파생·부문·시세 행) — 모델값 직접) — = 영업이익(부문 미분리)</t>
      </text>
    </comment>
    <comment ref="AA43" authorId="0" shapeId="0">
      <text>
        <t>실측(계정 매핑 없음(파생·부문·시세 행) — 모델값 직접) — = 영업이익(부문 미분리)</t>
      </text>
    </comment>
    <comment ref="AB43" authorId="0" shapeId="0">
      <text>
        <t>실측(계정 매핑 없음(파생·부문·시세 행) — 모델값 직접) — = 영업이익(부문 미분리)</t>
      </text>
    </comment>
    <comment ref="AC43" authorId="0" shapeId="0">
      <text>
        <t>추정: = 매출액 × OPM(부문 미분리)
[identity]</t>
      </text>
    </comment>
    <comment ref="AD43" authorId="0" shapeId="0">
      <text>
        <t>추정: = 매출액 × OPM(부문 미분리)
[identity]</t>
      </text>
    </comment>
    <comment ref="AF43" authorId="0" shapeId="0">
      <text>
        <t>추정: = 매출액 × OPM(부문 미분리)
[identity]</t>
      </text>
    </comment>
    <comment ref="AG43" authorId="0" shapeId="0">
      <text>
        <t>추정: = 매출액 × OPM(부문 미분리)
[identity]</t>
      </text>
    </comment>
    <comment ref="AH43" authorId="0" shapeId="0">
      <text>
        <t>추정: = 매출액 × OPM(부문 미분리)
[identity]</t>
      </text>
    </comment>
    <comment ref="AI43" authorId="0" shapeId="0">
      <text>
        <t>추정: = 매출액 × OPM(부문 미분리)
[identity]</t>
      </text>
    </comment>
    <comment ref="AK43" authorId="0" shapeId="0">
      <text>
        <t>추정: = 매출액 × OPM(부문 미분리)
[identity]</t>
      </text>
    </comment>
    <comment ref="AL43" authorId="0" shapeId="0">
      <text>
        <t>추정: = 매출액 × OPM(부문 미분리)
[identity]</t>
      </text>
    </comment>
    <comment ref="AM43" authorId="0" shapeId="0">
      <text>
        <t>추정: = 매출액 × OPM(부문 미분리)
[identity]</t>
      </text>
    </comment>
    <comment ref="AN4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29.8% 가 5~27% 밖; 세전 &gt; 0 분기 중위 31.2% 도 5~27% 밖 → 법정세율 근사 22% 가정</t>
        </is>
      </c>
    </row>
    <row r="23">
      <c r="A23" t="inlineStr">
        <is>
          <t>· 판관비율 18.87%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0.44% / 부채 6.35% — 이자손익 = (전분기 이자발생자산 × 자산이자율 − 전분기 총차입금 × 부채이자율)/4, 최소자승 역산(모델 assumptions [0.0043, 0.0635]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386,061→조정 10,347원)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3.7배가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assets/models/002380.json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2,244억·기준선 -235억) → 지배NI 28,392억·보고 EPS·FY2026 합계·TTM PER 에 그대로 포함 — 처분이익 등 일회성 여부는 주석 확인 전까지 미확정(12M fwd EPS 에는 미포함) · 조정EPS 10,346.6원(보고 386,060.8원; 초과 비영업손익 36,539억 × (1 − 세율 24.4%) × 지배 비중 1.00 = 27,631억 차감 — 추정, 조정EPS 행) / 기타금융손익(금융손익 − 이자 − 외환 − 파생 잔차) 최근 4분기 중위 +7150.0억이 이자손익 추정 -722.7억의 50% 초과 → 추정 0 — 평가손익·재분류 여부는 주석 확인 / 금융손익 실적→추정 단절: 최근 4분기 실적 +3643/+8610/+2013/+36364(중위 +6127억) → 추정 2026Q3 -723억(차 -6849억, -112%)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32.2, "op_wape_pct": 43.9, "n": 4, "note": "단일 회사 4분기 — 통계 아님", "driver_at_freeze": "customer_yard_revenue_weighted", "selection_oos_at_freeze": {"freeze": "2024Q2", "n": 4, "wape_link": null, "wape_trend": 3.9,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20450.78, "rev_act": 16228.33, "op_pred": 1349.61, "op_act": 1172.64}, {"q": "2025Q4", "rev_pred": 21141.06, "rev_act": 15564.18, "op_pred": 1395.17, "op_act": 665.27}, {"q": "2026Q1", "rev_pred": 21947.17, "rev_act": 16264.0, "op_pred": 1448.37, "op_act": 881.28}, {"q": "2026Q2", "rev_pred": 23848.0, "rev_act": 18060.19, "op_pred": 1573.81,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252500</v>
      </c>
      <c r="W15" s="18" t="n">
        <v>312000</v>
      </c>
      <c r="X15" s="18" t="n">
        <v>384000</v>
      </c>
      <c r="Y15" s="18" t="n">
        <v>420500</v>
      </c>
      <c r="Z15" s="9" t="n"/>
      <c r="AA15" s="18" t="n">
        <v>482000</v>
      </c>
      <c r="AB15" s="19" t="n">
        <v>486500</v>
      </c>
      <c r="AC15" s="20" t="n">
        <v>470500</v>
      </c>
      <c r="AD15" s="20" t="n">
        <v>458500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289500</v>
      </c>
      <c r="W16" s="18" t="n">
        <v>344000</v>
      </c>
      <c r="X16" s="18" t="n">
        <v>441000</v>
      </c>
      <c r="Y16" s="18" t="n">
        <v>460000</v>
      </c>
      <c r="Z16" s="9" t="n"/>
      <c r="AA16" s="18" t="n">
        <v>692000</v>
      </c>
      <c r="AB16" s="19" t="n">
        <v>656000</v>
      </c>
      <c r="AC16" s="20" t="n">
        <v>514000</v>
      </c>
      <c r="AD16" s="20" t="n">
        <v>479000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314000</v>
      </c>
      <c r="Y17" s="18" t="n">
        <v>367000</v>
      </c>
      <c r="Z17" s="9" t="n"/>
      <c r="AA17" s="18" t="n">
        <v>382500</v>
      </c>
      <c r="AB17" s="19" t="n">
        <v>452000</v>
      </c>
      <c r="AC17" s="20" t="n">
        <v>336000</v>
      </c>
      <c r="AD17" s="20" t="n">
        <v>456500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263310.3</v>
      </c>
      <c r="W18" s="18" t="n">
        <v>275991.7</v>
      </c>
      <c r="X18" s="18" t="n">
        <v>379915.4</v>
      </c>
      <c r="Y18" s="18" t="n">
        <v>415796.6</v>
      </c>
      <c r="Z18" s="9" t="n"/>
      <c r="AA18" s="18" t="n">
        <v>502076.3</v>
      </c>
      <c r="AB18" s="19" t="n">
        <v>534524.6</v>
      </c>
      <c r="AC18" s="20" t="n">
        <v>451483.9</v>
      </c>
      <c r="AD18" s="20" t="n">
        <v>469200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0.002340026</v>
      </c>
      <c r="AD21" s="24" t="n">
        <v>0.002340156</v>
      </c>
      <c r="AE21" s="25" t="n"/>
      <c r="AF21" s="24" t="n">
        <v>0.002340415</v>
      </c>
      <c r="AG21" s="24" t="n">
        <v>0.002340429</v>
      </c>
      <c r="AH21" s="24" t="n">
        <v>0.001170518</v>
      </c>
      <c r="AI21" s="24" t="n">
        <v>0.001170468</v>
      </c>
      <c r="AJ21" s="25" t="n"/>
      <c r="AK21" s="24" t="n">
        <v>0.001169791</v>
      </c>
      <c r="AL21" s="24" t="n">
        <v>0.001170007</v>
      </c>
      <c r="AM21" s="24" t="n">
        <v>0.000584575</v>
      </c>
      <c r="AN21" s="24" t="n">
        <v>0.00058455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0.06802223</v>
      </c>
      <c r="AD23" s="24" t="n">
        <v>0.06802238400000001</v>
      </c>
      <c r="AE23" s="25">
        <f>IFERROR(subQ!AE9/subQ!AE5,"")</f>
        <v/>
      </c>
      <c r="AF23" s="24" t="n">
        <v>0.068022078</v>
      </c>
      <c r="AG23" s="24" t="n">
        <v>0.06802224699999999</v>
      </c>
      <c r="AH23" s="24" t="n">
        <v>0.068021914</v>
      </c>
      <c r="AI23" s="24" t="n">
        <v>0.06802225000000001</v>
      </c>
      <c r="AJ23" s="25">
        <f>IFERROR(subQ!AJ9/subQ!AJ5,"")</f>
        <v/>
      </c>
      <c r="AK23" s="24" t="n">
        <v>0.06802225100000001</v>
      </c>
      <c r="AL23" s="24" t="n">
        <v>0.068022207</v>
      </c>
      <c r="AM23" s="24" t="n">
        <v>0.06802206299999999</v>
      </c>
      <c r="AN23" s="24" t="n">
        <v>0.068022183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26.09</v>
      </c>
      <c r="AD28" s="30" t="n">
        <v>26.09</v>
      </c>
      <c r="AE28" s="31">
        <f>subQ!AE17</f>
        <v/>
      </c>
      <c r="AF28" s="30" t="n">
        <v>26.09</v>
      </c>
      <c r="AG28" s="30" t="n">
        <v>26.09</v>
      </c>
      <c r="AH28" s="30" t="n">
        <v>26.09</v>
      </c>
      <c r="AI28" s="30" t="n">
        <v>26.09</v>
      </c>
      <c r="AJ28" s="31">
        <f>subQ!AJ17</f>
        <v/>
      </c>
      <c r="AK28" s="30" t="n">
        <v>26.09</v>
      </c>
      <c r="AL28" s="30" t="n">
        <v>26.09</v>
      </c>
      <c r="AM28" s="30" t="n">
        <v>26.09</v>
      </c>
      <c r="AN28" s="30" t="n">
        <v>26.09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$D$53</f>
        <v/>
      </c>
      <c r="AD29" s="26">
        <f>$D$53</f>
        <v/>
      </c>
      <c r="AE29" s="25">
        <f>IFERROR(subQ!AE19/subQ!AE18,"")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IFERROR(subQ!AJ19/subQ!AJ18,"")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drv:감가상각비</t>
        </is>
      </c>
      <c r="B32" s="2" t="inlineStr">
        <is>
          <t>abs</t>
        </is>
      </c>
      <c r="C32" t="inlineStr">
        <is>
          <t>감가상각비 (가정, 억원)</t>
        </is>
      </c>
      <c r="E32" s="27">
        <f>subQ!E23</f>
        <v/>
      </c>
      <c r="F32" s="28">
        <f>subQ!F23</f>
        <v/>
      </c>
      <c r="G32" s="27">
        <f>subQ!G23</f>
        <v/>
      </c>
      <c r="H32" s="27">
        <f>subQ!H23</f>
        <v/>
      </c>
      <c r="I32" s="27">
        <f>subQ!I23</f>
        <v/>
      </c>
      <c r="J32" s="27">
        <f>subQ!J23</f>
        <v/>
      </c>
      <c r="K32" s="28">
        <f>subQ!K23</f>
        <v/>
      </c>
      <c r="L32" s="27">
        <f>subQ!L23</f>
        <v/>
      </c>
      <c r="M32" s="27">
        <f>subQ!M23</f>
        <v/>
      </c>
      <c r="N32" s="27">
        <f>subQ!N23</f>
        <v/>
      </c>
      <c r="O32" s="27">
        <f>subQ!O23</f>
        <v/>
      </c>
      <c r="P32" s="28">
        <f>subQ!P23</f>
        <v/>
      </c>
      <c r="Q32" s="27">
        <f>subQ!Q23</f>
        <v/>
      </c>
      <c r="R32" s="27">
        <f>subQ!R23</f>
        <v/>
      </c>
      <c r="S32" s="27">
        <f>subQ!S23</f>
        <v/>
      </c>
      <c r="T32" s="27">
        <f>subQ!T23</f>
        <v/>
      </c>
      <c r="U32" s="28">
        <f>subQ!U23</f>
        <v/>
      </c>
      <c r="V32" s="27">
        <f>subQ!V23</f>
        <v/>
      </c>
      <c r="W32" s="27">
        <f>subQ!W23</f>
        <v/>
      </c>
      <c r="X32" s="27">
        <f>subQ!X23</f>
        <v/>
      </c>
      <c r="Y32" s="27">
        <f>subQ!Y23</f>
        <v/>
      </c>
      <c r="Z32" s="28">
        <f>subQ!Z23</f>
        <v/>
      </c>
      <c r="AA32" s="27">
        <f>subQ!AA23</f>
        <v/>
      </c>
      <c r="AB32" s="29">
        <f>subQ!AB23</f>
        <v/>
      </c>
      <c r="AC32" s="30" t="n">
        <v>927.98</v>
      </c>
      <c r="AD32" s="30" t="n">
        <v>927.98</v>
      </c>
      <c r="AE32" s="31">
        <f>subQ!AE23</f>
        <v/>
      </c>
      <c r="AF32" s="30" t="n">
        <v>927.98</v>
      </c>
      <c r="AG32" s="30" t="n">
        <v>927.98</v>
      </c>
      <c r="AH32" s="30" t="n">
        <v>927.98</v>
      </c>
      <c r="AI32" s="30" t="n">
        <v>927.98</v>
      </c>
      <c r="AJ32" s="31">
        <f>subQ!AJ23</f>
        <v/>
      </c>
      <c r="AK32" s="30" t="n">
        <v>927.98</v>
      </c>
      <c r="AL32" s="30" t="n">
        <v>927.98</v>
      </c>
      <c r="AM32" s="30" t="n">
        <v>927.98</v>
      </c>
      <c r="AN32" s="30" t="n">
        <v>927.98</v>
      </c>
      <c r="AO32" s="31">
        <f>subQ!AO23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2.4e-08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7" t="n"/>
      <c r="F34" s="28" t="n"/>
      <c r="G34" s="27">
        <f>IFERROR(subQ!E27+subQ!G20-subQ!G27,"")</f>
        <v/>
      </c>
      <c r="H34" s="27">
        <f>IFERROR(subQ!G27+subQ!H20-subQ!H27,"")</f>
        <v/>
      </c>
      <c r="I34" s="27">
        <f>IFERROR(subQ!H27+subQ!I20-subQ!I27,"")</f>
        <v/>
      </c>
      <c r="J34" s="27">
        <f>IFERROR(subQ!I27+subQ!J20-subQ!J27,"")</f>
        <v/>
      </c>
      <c r="K34" s="28" t="n"/>
      <c r="L34" s="27">
        <f>IFERROR(subQ!J27+subQ!L20-subQ!L27,"")</f>
        <v/>
      </c>
      <c r="M34" s="27">
        <f>IFERROR(subQ!L27+subQ!M20-subQ!M27,"")</f>
        <v/>
      </c>
      <c r="N34" s="27">
        <f>IFERROR(subQ!M27+subQ!N20-subQ!N27,"")</f>
        <v/>
      </c>
      <c r="O34" s="27">
        <f>IFERROR(subQ!N27+subQ!O20-subQ!O27,"")</f>
        <v/>
      </c>
      <c r="P34" s="28" t="n"/>
      <c r="Q34" s="27">
        <f>IFERROR(subQ!O27+subQ!Q20-subQ!Q27,"")</f>
        <v/>
      </c>
      <c r="R34" s="27">
        <f>IFERROR(subQ!Q27+subQ!R20-subQ!R27,"")</f>
        <v/>
      </c>
      <c r="S34" s="27">
        <f>IFERROR(subQ!R27+subQ!S20-subQ!S27,"")</f>
        <v/>
      </c>
      <c r="T34" s="27">
        <f>IFERROR(subQ!S27+subQ!T20-subQ!T27,"")</f>
        <v/>
      </c>
      <c r="U34" s="28" t="n"/>
      <c r="V34" s="27">
        <f>IFERROR(subQ!T27+subQ!V20-subQ!V27,"")</f>
        <v/>
      </c>
      <c r="W34" s="27">
        <f>IFERROR(subQ!V27+subQ!W20-subQ!W27,"")</f>
        <v/>
      </c>
      <c r="X34" s="27">
        <f>IFERROR(subQ!W27+subQ!X20-subQ!X27,"")</f>
        <v/>
      </c>
      <c r="Y34" s="27">
        <f>IFERROR(subQ!X27+subQ!Y20-subQ!Y27,"")</f>
        <v/>
      </c>
      <c r="Z34" s="28" t="n"/>
      <c r="AA34" s="27">
        <f>IFERROR(subQ!Y27+subQ!AA20-subQ!AA27,"")</f>
        <v/>
      </c>
      <c r="AB34" s="29">
        <f>IFERROR(subQ!AA27+subQ!AB20-subQ!AB27,"")</f>
        <v/>
      </c>
      <c r="AC34" s="30" t="n">
        <v>-0.005080478</v>
      </c>
      <c r="AD34" s="30" t="n">
        <v>0.003856558</v>
      </c>
      <c r="AE34" s="31" t="n"/>
      <c r="AF34" s="30" t="n">
        <v>-0.004643765</v>
      </c>
      <c r="AG34" s="30" t="n">
        <v>1103.131403014</v>
      </c>
      <c r="AH34" s="30" t="n">
        <v>-0.009517324000000001</v>
      </c>
      <c r="AI34" s="30" t="n">
        <v>0.00171645</v>
      </c>
      <c r="AJ34" s="31" t="n"/>
      <c r="AK34" s="30" t="n">
        <v>0.0011091</v>
      </c>
      <c r="AL34" s="30" t="n">
        <v>1103.127470151</v>
      </c>
      <c r="AM34" s="30" t="n">
        <v>-0.008428074000000001</v>
      </c>
      <c r="AN34" s="30" t="n">
        <v>0.000101345</v>
      </c>
      <c r="AO34" s="31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7" t="n"/>
      <c r="F35" s="28" t="n"/>
      <c r="G35" s="27">
        <f>IFERROR(subQ!E28+subQ!G21-subQ!G28,"")</f>
        <v/>
      </c>
      <c r="H35" s="27">
        <f>IFERROR(subQ!G28+subQ!H21-subQ!H28,"")</f>
        <v/>
      </c>
      <c r="I35" s="27">
        <f>IFERROR(subQ!H28+subQ!I21-subQ!I28,"")</f>
        <v/>
      </c>
      <c r="J35" s="27">
        <f>IFERROR(subQ!I28+subQ!J21-subQ!J28,"")</f>
        <v/>
      </c>
      <c r="K35" s="28" t="n"/>
      <c r="L35" s="27">
        <f>IFERROR(subQ!J28+subQ!L21-subQ!L28,"")</f>
        <v/>
      </c>
      <c r="M35" s="27">
        <f>IFERROR(subQ!L28+subQ!M21-subQ!M28,"")</f>
        <v/>
      </c>
      <c r="N35" s="27">
        <f>IFERROR(subQ!M28+subQ!N21-subQ!N28,"")</f>
        <v/>
      </c>
      <c r="O35" s="27">
        <f>IFERROR(subQ!N28+subQ!O21-subQ!O28,"")</f>
        <v/>
      </c>
      <c r="P35" s="28" t="n"/>
      <c r="Q35" s="27">
        <f>IFERROR(subQ!O28+subQ!Q21-subQ!Q28,"")</f>
        <v/>
      </c>
      <c r="R35" s="27">
        <f>IFERROR(subQ!Q28+subQ!R21-subQ!R28,"")</f>
        <v/>
      </c>
      <c r="S35" s="27">
        <f>IFERROR(subQ!R28+subQ!S21-subQ!S28,"")</f>
        <v/>
      </c>
      <c r="T35" s="27">
        <f>IFERROR(subQ!S28+subQ!T21-subQ!T28,"")</f>
        <v/>
      </c>
      <c r="U35" s="28" t="n"/>
      <c r="V35" s="27">
        <f>IFERROR(subQ!T28+subQ!V21-subQ!V28,"")</f>
        <v/>
      </c>
      <c r="W35" s="27">
        <f>IFERROR(subQ!V28+subQ!W21-subQ!W28,"")</f>
        <v/>
      </c>
      <c r="X35" s="27">
        <f>IFERROR(subQ!W28+subQ!X21-subQ!X28,"")</f>
        <v/>
      </c>
      <c r="Y35" s="27">
        <f>IFERROR(subQ!X28+subQ!Y21-subQ!Y28,"")</f>
        <v/>
      </c>
      <c r="Z35" s="28" t="n"/>
      <c r="AA35" s="27">
        <f>IFERROR(subQ!Y28+subQ!AA21-subQ!AA28,"")</f>
        <v/>
      </c>
      <c r="AB35" s="29">
        <f>IFERROR(subQ!AA28+subQ!AB21-subQ!AB28,"")</f>
        <v/>
      </c>
      <c r="AC35" s="30" t="n">
        <v>-0.005080478</v>
      </c>
      <c r="AD35" s="30" t="n">
        <v>0.003856558</v>
      </c>
      <c r="AE35" s="31" t="n"/>
      <c r="AF35" s="30" t="n">
        <v>-0.004643765</v>
      </c>
      <c r="AG35" s="30" t="n">
        <v>1103.131403014</v>
      </c>
      <c r="AH35" s="30" t="n">
        <v>-0.009517324000000001</v>
      </c>
      <c r="AI35" s="30" t="n">
        <v>0.00171645</v>
      </c>
      <c r="AJ35" s="31" t="n"/>
      <c r="AK35" s="30" t="n">
        <v>0.0011091</v>
      </c>
      <c r="AL35" s="30" t="n">
        <v>1103.127470151</v>
      </c>
      <c r="AM35" s="30" t="n">
        <v>-0.008428074000000001</v>
      </c>
      <c r="AN35" s="30" t="n">
        <v>0.000101345</v>
      </c>
      <c r="AO35" s="31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-2.8e-08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24" t="n">
        <v>-0.008628067</v>
      </c>
      <c r="AD37" s="24" t="n">
        <v>-0.007833687000000001</v>
      </c>
      <c r="AE37" s="25" t="n"/>
      <c r="AF37" s="24" t="n">
        <v>-0.008833684</v>
      </c>
      <c r="AG37" s="24" t="n">
        <v>0.016519056</v>
      </c>
      <c r="AH37" s="24" t="n">
        <v>-0.008739267</v>
      </c>
      <c r="AI37" s="24" t="n">
        <v>-0.007937616</v>
      </c>
      <c r="AJ37" s="25" t="n"/>
      <c r="AK37" s="24" t="n">
        <v>-0.008948733</v>
      </c>
      <c r="AL37" s="24" t="n">
        <v>0.016637568</v>
      </c>
      <c r="AM37" s="24" t="n">
        <v>-0.008840654999999999</v>
      </c>
      <c r="AN37" s="24" t="n">
        <v>-0.008032312999999999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0.003364731</v>
      </c>
      <c r="AD38" s="24" t="n">
        <v>0.003018382</v>
      </c>
      <c r="AE38" s="25" t="n"/>
      <c r="AF38" s="24" t="n">
        <v>0.003366768</v>
      </c>
      <c r="AG38" s="24" t="n">
        <v>-0.006219407</v>
      </c>
      <c r="AH38" s="24" t="n">
        <v>0.003365566</v>
      </c>
      <c r="AI38" s="24" t="n">
        <v>0.00302005</v>
      </c>
      <c r="AJ38" s="25" t="n"/>
      <c r="AK38" s="24" t="n">
        <v>0.003367653</v>
      </c>
      <c r="AL38" s="24" t="n">
        <v>-0.006184141</v>
      </c>
      <c r="AM38" s="24" t="n">
        <v>0.003361509</v>
      </c>
      <c r="AN38" s="24" t="n">
        <v>0.003017008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IFERROR(subQ!J33/subQ!E33-1,"")</f>
        <v/>
      </c>
      <c r="K40" s="22" t="n"/>
      <c r="L40" s="21">
        <f>IFERROR(subQ!L33/subQ!G33-1,"")</f>
        <v/>
      </c>
      <c r="M40" s="21">
        <f>IFERROR(subQ!M33/subQ!H33-1,"")</f>
        <v/>
      </c>
      <c r="N40" s="21">
        <f>IFERROR(subQ!N33/subQ!I33-1,"")</f>
        <v/>
      </c>
      <c r="O40" s="21">
        <f>IFERROR(subQ!O33/subQ!J33-1,"")</f>
        <v/>
      </c>
      <c r="P40" s="22" t="n"/>
      <c r="Q40" s="21">
        <f>IFERROR(subQ!Q33/subQ!L33-1,"")</f>
        <v/>
      </c>
      <c r="R40" s="21">
        <f>IFERROR(subQ!R33/subQ!M33-1,"")</f>
        <v/>
      </c>
      <c r="S40" s="21">
        <f>IFERROR(subQ!S33/subQ!N33-1,"")</f>
        <v/>
      </c>
      <c r="T40" s="21">
        <f>IFERROR(subQ!T33/subQ!O33-1,"")</f>
        <v/>
      </c>
      <c r="U40" s="22" t="n"/>
      <c r="V40" s="21">
        <f>IFERROR(subQ!V33/subQ!Q33-1,"")</f>
        <v/>
      </c>
      <c r="W40" s="21">
        <f>IFERROR(subQ!W33/subQ!R33-1,"")</f>
        <v/>
      </c>
      <c r="X40" s="21">
        <f>IFERROR(subQ!X33/subQ!S33-1,"")</f>
        <v/>
      </c>
      <c r="Y40" s="21">
        <f>IFERROR(subQ!Y33/subQ!T33-1,"")</f>
        <v/>
      </c>
      <c r="Z40" s="22" t="n"/>
      <c r="AA40" s="21">
        <f>IFERROR(subQ!AA33/subQ!V33-1,"")</f>
        <v/>
      </c>
      <c r="AB40" s="23">
        <f>IFERROR(subQ!AB33/subQ!W33-1,"")</f>
        <v/>
      </c>
      <c r="AC40" s="24" t="n">
        <v>0.185544798</v>
      </c>
      <c r="AD40" s="24" t="n">
        <v>-0.216370626</v>
      </c>
      <c r="AE40" s="25" t="n"/>
      <c r="AF40" s="24" t="n">
        <v>-0.055900001</v>
      </c>
      <c r="AG40" s="24" t="n">
        <v>0.062937285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33" t="n"/>
      <c r="AD41" s="33" t="n"/>
      <c r="AE41" s="25" t="n"/>
      <c r="AF41" s="33" t="n"/>
      <c r="AG41" s="33" t="n"/>
      <c r="AH41" s="33" t="n"/>
      <c r="AI41" s="33" t="n"/>
      <c r="AJ41" s="25" t="n"/>
      <c r="AK41" s="33" t="n"/>
      <c r="AL41" s="33" t="n"/>
      <c r="AM41" s="33" t="n"/>
      <c r="AN41" s="33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IFERROR(subQ!G35/subQ!E35-1,"")</f>
        <v/>
      </c>
      <c r="H42" s="21">
        <f>IFERROR(subQ!H35/subQ!G35-1,"")</f>
        <v/>
      </c>
      <c r="I42" s="21">
        <f>IFERROR(subQ!I35/subQ!H35-1,"")</f>
        <v/>
      </c>
      <c r="J42" s="21">
        <f>IFERROR(subQ!J35/subQ!I35-1,"")</f>
        <v/>
      </c>
      <c r="K42" s="22" t="n"/>
      <c r="L42" s="21">
        <f>IFERROR(subQ!L35/subQ!J35-1,"")</f>
        <v/>
      </c>
      <c r="M42" s="21">
        <f>IFERROR(subQ!M35/subQ!L35-1,"")</f>
        <v/>
      </c>
      <c r="N42" s="21">
        <f>IFERROR(subQ!N35/subQ!M35-1,"")</f>
        <v/>
      </c>
      <c r="O42" s="21">
        <f>IFERROR(subQ!O35/subQ!N35-1,"")</f>
        <v/>
      </c>
      <c r="P42" s="22" t="n"/>
      <c r="Q42" s="21">
        <f>IFERROR(subQ!Q35/subQ!O35-1,"")</f>
        <v/>
      </c>
      <c r="R42" s="21">
        <f>IFERROR(subQ!R35/subQ!Q35-1,"")</f>
        <v/>
      </c>
      <c r="S42" s="21">
        <f>IFERROR(subQ!S35/subQ!R35-1,"")</f>
        <v/>
      </c>
      <c r="T42" s="21">
        <f>IFERROR(subQ!T35/subQ!S35-1,"")</f>
        <v/>
      </c>
      <c r="U42" s="22" t="n"/>
      <c r="V42" s="21">
        <f>IFERROR(subQ!V35/subQ!T35-1,"")</f>
        <v/>
      </c>
      <c r="W42" s="21">
        <f>IFERROR(subQ!W35/subQ!V35-1,"")</f>
        <v/>
      </c>
      <c r="X42" s="21">
        <f>IFERROR(subQ!X35/subQ!W35-1,"")</f>
        <v/>
      </c>
      <c r="Y42" s="21">
        <f>IFERROR(subQ!Y35/subQ!X35-1,"")</f>
        <v/>
      </c>
      <c r="Z42" s="22" t="n"/>
      <c r="AA42" s="21">
        <f>IFERROR(subQ!AA35/subQ!Y35-1,"")</f>
        <v/>
      </c>
      <c r="AB42" s="23">
        <f>IFERROR(subQ!AB35/subQ!AA35-1,"")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subQ!E39</f>
        <v/>
      </c>
      <c r="F43" s="28">
        <f>subQ!F39</f>
        <v/>
      </c>
      <c r="G43" s="27">
        <f>subQ!G39</f>
        <v/>
      </c>
      <c r="H43" s="27">
        <f>subQ!H39</f>
        <v/>
      </c>
      <c r="I43" s="27">
        <f>subQ!I39</f>
        <v/>
      </c>
      <c r="J43" s="27">
        <f>subQ!J39</f>
        <v/>
      </c>
      <c r="K43" s="28">
        <f>subQ!K39</f>
        <v/>
      </c>
      <c r="L43" s="27">
        <f>subQ!L39</f>
        <v/>
      </c>
      <c r="M43" s="27">
        <f>subQ!M39</f>
        <v/>
      </c>
      <c r="N43" s="27">
        <f>subQ!N39</f>
        <v/>
      </c>
      <c r="O43" s="27">
        <f>subQ!O39</f>
        <v/>
      </c>
      <c r="P43" s="28">
        <f>subQ!P39</f>
        <v/>
      </c>
      <c r="Q43" s="27">
        <f>subQ!Q39</f>
        <v/>
      </c>
      <c r="R43" s="27">
        <f>subQ!R39</f>
        <v/>
      </c>
      <c r="S43" s="27">
        <f>subQ!S39</f>
        <v/>
      </c>
      <c r="T43" s="27">
        <f>subQ!T39</f>
        <v/>
      </c>
      <c r="U43" s="28">
        <f>subQ!U39</f>
        <v/>
      </c>
      <c r="V43" s="27">
        <f>subQ!V39</f>
        <v/>
      </c>
      <c r="W43" s="27">
        <f>subQ!W39</f>
        <v/>
      </c>
      <c r="X43" s="27">
        <f>subQ!X39</f>
        <v/>
      </c>
      <c r="Y43" s="27">
        <f>subQ!Y39</f>
        <v/>
      </c>
      <c r="Z43" s="28">
        <f>subQ!Z39</f>
        <v/>
      </c>
      <c r="AA43" s="27">
        <f>subQ!AA39</f>
        <v/>
      </c>
      <c r="AB43" s="29">
        <f>subQ!AB39</f>
        <v/>
      </c>
      <c r="AC43" s="32" t="n"/>
      <c r="AD43" s="30" t="n">
        <v>15000</v>
      </c>
      <c r="AE43" s="31">
        <f>subQ!AE39</f>
        <v/>
      </c>
      <c r="AF43" s="32" t="n"/>
      <c r="AG43" s="32" t="n"/>
      <c r="AH43" s="32" t="n"/>
      <c r="AI43" s="30" t="n">
        <v>15000</v>
      </c>
      <c r="AJ43" s="31">
        <f>subQ!AJ39</f>
        <v/>
      </c>
      <c r="AK43" s="32" t="n"/>
      <c r="AL43" s="32" t="n"/>
      <c r="AM43" s="32" t="n"/>
      <c r="AN43" s="30" t="n">
        <v>15000</v>
      </c>
      <c r="AO43" s="31">
        <f>subQ!AO39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458500</v>
      </c>
      <c r="E46" s="2" t="inlineStr">
        <is>
          <t>원 — 네이버 정규장 종가(aik 확정종가 대조 · aik 478,000원)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PER 중위 3.7배가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0.2200009445546425</v>
      </c>
      <c r="E53" s="2" t="inlineStr">
        <is>
          <t>연결 — 법인세 = MAX(세전,0) × 세율(역산, 재현 오차 ≤ 0.05억 · 모델 assumptions 0.22) · 최근 12분기 유효세율 29.8% 가 5~27% 밖; 세전 &gt; 0 분기 중위 31.2%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0.18873975011067</v>
      </c>
      <c r="E54" s="2" t="inlineStr">
        <is>
          <t>연결 — 판관비 = 매출액 × 판관비율(역산, 재현 오차 ≤ 0.05억 · 모델 assumptions 0.1887)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0.004351802143125319</v>
      </c>
      <c r="E56" s="2" t="inlineStr">
        <is>
          <t>연결 — 이자손익 = (전분기 이자발생자산 × 자산이자율 − 전분기 총차입금 × 부채이자율)/4(역산, 재현 오차 ≤ 0.05억 · 모델 assumptions 0.0043)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0.06350866804053873</v>
      </c>
      <c r="E57" s="2" t="inlineStr">
        <is>
          <t>연결 — 같은 수식의 부채 쪽(총차입금 행이 없으면 0)(역산, 재현 오차 ≤ 0.05억 · 모델 assumptions 0.0635)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0.0717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7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7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7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7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7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7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7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7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7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7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7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7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7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7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7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7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7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7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7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7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7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7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7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7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7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7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7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7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7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7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7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7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7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7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7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7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7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7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7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7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7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7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7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7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7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7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7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7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7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7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7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7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7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7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7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7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7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7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7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7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7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7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7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7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7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7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7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7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7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7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7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7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7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7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7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7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7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7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7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7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7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7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7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7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7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7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7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7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7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7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7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7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7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7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7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7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7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7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7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7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7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7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7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7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7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7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7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7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7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7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7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7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7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7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7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7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7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7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7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7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7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7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7" t="n">
        <v>189935.04</v>
      </c>
      <c r="G30" s="18" t="n">
        <v>390037.11</v>
      </c>
      <c r="H30" s="18" t="n">
        <v>460557.64</v>
      </c>
      <c r="I30" s="18" t="n">
        <v>361732.89</v>
      </c>
      <c r="J30" s="18" t="n">
        <v>680290.37</v>
      </c>
      <c r="K30" s="37" t="n">
        <v>680290.37</v>
      </c>
      <c r="L30" s="18" t="n">
        <v>880928.6899999999</v>
      </c>
      <c r="M30" s="18" t="n">
        <v>970304.41</v>
      </c>
      <c r="N30" s="18" t="n">
        <v>971633.08</v>
      </c>
      <c r="O30" s="18" t="n">
        <v>923289.61</v>
      </c>
      <c r="P30" s="37" t="n">
        <v>923289.61</v>
      </c>
      <c r="Q30" s="18" t="n">
        <v>656348.47</v>
      </c>
      <c r="R30" s="18" t="n">
        <v>689355.55</v>
      </c>
      <c r="S30" s="18" t="n">
        <v>683716.55</v>
      </c>
      <c r="T30" s="18" t="n">
        <v>469990.69</v>
      </c>
      <c r="U30" s="37" t="n">
        <v>469990.69</v>
      </c>
      <c r="V30" s="18" t="n">
        <v>477263.42</v>
      </c>
      <c r="W30" s="18" t="n">
        <v>481175.23</v>
      </c>
      <c r="X30" s="18" t="n">
        <v>1182299.55</v>
      </c>
      <c r="Y30" s="18" t="n">
        <v>1313396.32</v>
      </c>
      <c r="Z30" s="37" t="n">
        <v>1313396.32</v>
      </c>
      <c r="AA30" s="18" t="n">
        <v>1607554.63</v>
      </c>
      <c r="AB30" s="19" t="n">
        <v>2041868.19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7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7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7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7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7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7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7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7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7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7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7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7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7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7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7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7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7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7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7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7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7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7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7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7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7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7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7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7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7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7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7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7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7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7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7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7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7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7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7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7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7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7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7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7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7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7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7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7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7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7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7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7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7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7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7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7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7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7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7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7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7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7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7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7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7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7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7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7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7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7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7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7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7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7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7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7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7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7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7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7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7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7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7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7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7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7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7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7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7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7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7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7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7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7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7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7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7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7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7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7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7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7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7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7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7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7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7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7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K54" s="9" t="n"/>
      <c r="O54" s="18" t="n">
        <v>164369.97</v>
      </c>
      <c r="P54" s="37" t="n">
        <v>164369.97</v>
      </c>
      <c r="Q54" s="18" t="n">
        <v>168939.66</v>
      </c>
      <c r="R54" s="18" t="n">
        <v>0</v>
      </c>
      <c r="S54" s="18" t="n">
        <v>0</v>
      </c>
      <c r="U54" s="9" t="n"/>
      <c r="X54" s="18" t="n">
        <v>299131.33</v>
      </c>
      <c r="Y54" s="18" t="n">
        <v>275328.61</v>
      </c>
      <c r="Z54" s="37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K55" s="9" t="n"/>
      <c r="O55" s="18" t="n">
        <v>164369.97</v>
      </c>
      <c r="P55" s="37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7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1509739.99</v>
      </c>
      <c r="F56" s="9" t="n"/>
      <c r="G56" s="18" t="n">
        <v>1637578.46</v>
      </c>
      <c r="H56" s="18" t="n">
        <v>1755882.43</v>
      </c>
      <c r="I56" s="18" t="n">
        <v>1740125.21</v>
      </c>
      <c r="J56" s="18" t="n">
        <v>1641207.55</v>
      </c>
      <c r="K56" s="37" t="n">
        <v>6774793.65</v>
      </c>
      <c r="L56" s="18" t="n">
        <v>1564942.78</v>
      </c>
      <c r="M56" s="18" t="n">
        <v>1588344.83</v>
      </c>
      <c r="N56" s="18" t="n">
        <v>1552724.54</v>
      </c>
      <c r="O56" s="18" t="n">
        <v>1582430.46</v>
      </c>
      <c r="P56" s="37" t="n">
        <v>6288442.61</v>
      </c>
      <c r="Q56" s="18" t="n">
        <v>1588371.74</v>
      </c>
      <c r="R56" s="18" t="n">
        <v>1778727.72</v>
      </c>
      <c r="S56" s="18" t="n">
        <v>1634207.68</v>
      </c>
      <c r="T56" s="18" t="n">
        <v>1657455.29</v>
      </c>
      <c r="U56" s="37" t="n">
        <v>6658762.43</v>
      </c>
      <c r="V56" s="18" t="n">
        <v>1599305.26</v>
      </c>
      <c r="W56" s="18" t="n">
        <v>1705263.97</v>
      </c>
      <c r="X56" s="18" t="n">
        <v>1622832.53</v>
      </c>
      <c r="Y56" s="18" t="n">
        <v>1556417.74</v>
      </c>
      <c r="Z56" s="37" t="n">
        <v>6483819.5</v>
      </c>
      <c r="AA56" s="18" t="n">
        <v>1626399.55</v>
      </c>
      <c r="AB56" s="19" t="n">
        <v>1806019.14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1178077.7</v>
      </c>
      <c r="F57" s="9" t="n"/>
      <c r="G57" s="18" t="n">
        <v>1253044.6</v>
      </c>
      <c r="H57" s="18" t="n">
        <v>1341496.78</v>
      </c>
      <c r="I57" s="18" t="n">
        <v>1382013.11</v>
      </c>
      <c r="J57" s="18" t="n">
        <v>1313330.41</v>
      </c>
      <c r="K57" s="37" t="n">
        <v>5289884.9</v>
      </c>
      <c r="L57" s="18" t="n">
        <v>1251543.34</v>
      </c>
      <c r="M57" s="18" t="n">
        <v>1241872.18</v>
      </c>
      <c r="N57" s="18" t="n">
        <v>1223040.35</v>
      </c>
      <c r="O57" s="18" t="n">
        <v>1243486.98</v>
      </c>
      <c r="P57" s="37" t="n">
        <v>4959942.85</v>
      </c>
      <c r="Q57" s="18" t="n">
        <v>1228576.49</v>
      </c>
      <c r="R57" s="18" t="n">
        <v>1348199.25</v>
      </c>
      <c r="S57" s="18" t="n">
        <v>1195391.75</v>
      </c>
      <c r="T57" s="18" t="n">
        <v>1255873.97</v>
      </c>
      <c r="U57" s="37" t="n">
        <v>5028041.46</v>
      </c>
      <c r="V57" s="18" t="n">
        <v>1204395.86</v>
      </c>
      <c r="W57" s="18" t="n">
        <v>1267996.21</v>
      </c>
      <c r="X57" s="18" t="n">
        <v>1206254.68</v>
      </c>
      <c r="Y57" s="18" t="n">
        <v>1167703.1</v>
      </c>
      <c r="Z57" s="37" t="n">
        <v>4846349.85</v>
      </c>
      <c r="AA57" s="18" t="n">
        <v>1224310.99</v>
      </c>
      <c r="AB57" s="19" t="n">
        <v>1348082.19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331662.29</v>
      </c>
      <c r="F58" s="9" t="n"/>
      <c r="G58" s="18" t="n">
        <v>384533.86</v>
      </c>
      <c r="H58" s="18" t="n">
        <v>414385.65</v>
      </c>
      <c r="I58" s="18" t="n">
        <v>358112.1</v>
      </c>
      <c r="J58" s="18" t="n">
        <v>327877.15</v>
      </c>
      <c r="K58" s="37" t="n">
        <v>1484908.76</v>
      </c>
      <c r="L58" s="18" t="n">
        <v>313399.44</v>
      </c>
      <c r="M58" s="18" t="n">
        <v>346472.66</v>
      </c>
      <c r="N58" s="18" t="n">
        <v>329684.19</v>
      </c>
      <c r="O58" s="18" t="n">
        <v>338943.49</v>
      </c>
      <c r="P58" s="37" t="n">
        <v>1328499.78</v>
      </c>
      <c r="Q58" s="18" t="n">
        <v>359795.25</v>
      </c>
      <c r="R58" s="18" t="n">
        <v>430528.47</v>
      </c>
      <c r="S58" s="18" t="n">
        <v>438815.93</v>
      </c>
      <c r="T58" s="18" t="n">
        <v>401581.32</v>
      </c>
      <c r="U58" s="37" t="n">
        <v>1630720.97</v>
      </c>
      <c r="V58" s="18" t="n">
        <v>394909.4</v>
      </c>
      <c r="W58" s="18" t="n">
        <v>437267.75</v>
      </c>
      <c r="X58" s="18" t="n">
        <v>416577.85</v>
      </c>
      <c r="Y58" s="18" t="n">
        <v>388714.63</v>
      </c>
      <c r="Z58" s="37" t="n">
        <v>1637469.63</v>
      </c>
      <c r="AA58" s="18" t="n">
        <v>402088.56</v>
      </c>
      <c r="AB58" s="19" t="n">
        <v>457936.95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257272.17</v>
      </c>
      <c r="F59" s="9" t="n"/>
      <c r="G59" s="18" t="n">
        <v>235126.09</v>
      </c>
      <c r="H59" s="18" t="n">
        <v>250152.01</v>
      </c>
      <c r="I59" s="18" t="n">
        <v>261732.55</v>
      </c>
      <c r="J59" s="18" t="n">
        <v>270236.58</v>
      </c>
      <c r="K59" s="37" t="n">
        <v>1017247.23</v>
      </c>
      <c r="L59" s="18" t="n">
        <v>237571.69</v>
      </c>
      <c r="M59" s="18" t="n">
        <v>256088.94</v>
      </c>
      <c r="N59" s="18" t="n">
        <v>241254.64</v>
      </c>
      <c r="O59" s="18" t="n">
        <v>281054.29</v>
      </c>
      <c r="P59" s="37" t="n">
        <v>1015969.56</v>
      </c>
      <c r="Q59" s="18" t="n">
        <v>252888.21</v>
      </c>
      <c r="R59" s="18" t="n">
        <v>289967.54</v>
      </c>
      <c r="S59" s="18" t="n">
        <v>313487.39</v>
      </c>
      <c r="T59" s="18" t="n">
        <v>303259.59</v>
      </c>
      <c r="U59" s="37" t="n">
        <v>1159602.73</v>
      </c>
      <c r="V59" s="18" t="n">
        <v>291465.55</v>
      </c>
      <c r="W59" s="18" t="n">
        <v>296887.06</v>
      </c>
      <c r="X59" s="18" t="n">
        <v>299314.3</v>
      </c>
      <c r="Y59" s="18" t="n">
        <v>322187.61</v>
      </c>
      <c r="Z59" s="37" t="n">
        <v>1209854.52</v>
      </c>
      <c r="AA59" s="18" t="n">
        <v>313960.45</v>
      </c>
      <c r="AB59" s="19" t="n">
        <v>329052.63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74390.13</v>
      </c>
      <c r="F60" s="9" t="n"/>
      <c r="G60" s="18" t="n">
        <v>149407.77</v>
      </c>
      <c r="H60" s="18" t="n">
        <v>164233.64</v>
      </c>
      <c r="I60" s="18" t="n">
        <v>96379.55</v>
      </c>
      <c r="J60" s="18" t="n">
        <v>57640.56</v>
      </c>
      <c r="K60" s="37" t="n">
        <v>467661.52</v>
      </c>
      <c r="L60" s="18" t="n">
        <v>75827.75</v>
      </c>
      <c r="M60" s="18" t="n">
        <v>90383.72</v>
      </c>
      <c r="N60" s="18" t="n">
        <v>88429.53999999999</v>
      </c>
      <c r="O60" s="18" t="n">
        <v>57889.19</v>
      </c>
      <c r="P60" s="37" t="n">
        <v>312530.2</v>
      </c>
      <c r="Q60" s="18" t="n">
        <v>106907.04</v>
      </c>
      <c r="R60" s="18" t="n">
        <v>140560.93</v>
      </c>
      <c r="S60" s="18" t="n">
        <v>125328.54</v>
      </c>
      <c r="T60" s="18" t="n">
        <v>98321.73</v>
      </c>
      <c r="U60" s="37" t="n">
        <v>471118.24</v>
      </c>
      <c r="V60" s="18" t="n">
        <v>103443.84</v>
      </c>
      <c r="W60" s="18" t="n">
        <v>140380.69</v>
      </c>
      <c r="X60" s="18" t="n">
        <v>117263.55</v>
      </c>
      <c r="Y60" s="18" t="n">
        <v>66527.03</v>
      </c>
      <c r="Z60" s="37" t="n">
        <v>427615.11</v>
      </c>
      <c r="AA60" s="18" t="n">
        <v>88128.12</v>
      </c>
      <c r="AB60" s="19" t="n">
        <v>128884.32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종속기업,공동지배기업및관계기업관련손익</t>
        </is>
      </c>
      <c r="E61" s="18" t="n">
        <v>-52803.61</v>
      </c>
      <c r="F61" s="9" t="n"/>
      <c r="G61" s="18" t="n">
        <v>11768.32</v>
      </c>
      <c r="H61" s="18" t="n">
        <v>9700.92</v>
      </c>
      <c r="I61" s="18" t="n">
        <v>-49.17</v>
      </c>
      <c r="J61" s="18" t="n">
        <v>3632.95</v>
      </c>
      <c r="K61" s="37" t="n">
        <v>25053.02</v>
      </c>
      <c r="L61" s="18" t="n">
        <v>-14433.15</v>
      </c>
      <c r="M61" s="18" t="n">
        <v>-4871.72</v>
      </c>
      <c r="N61" s="18" t="n">
        <v>-14493.56</v>
      </c>
      <c r="O61" s="18" t="n">
        <v>-166504.08</v>
      </c>
      <c r="P61" s="37" t="n">
        <v>-200302.51</v>
      </c>
      <c r="Q61" s="18" t="n">
        <v>-2633.1</v>
      </c>
      <c r="R61" s="18" t="n">
        <v>65671.25</v>
      </c>
      <c r="S61" s="18" t="n">
        <v>7178</v>
      </c>
      <c r="T61" s="18" t="n">
        <v>2118.68</v>
      </c>
      <c r="U61" s="37" t="n">
        <v>72334.83</v>
      </c>
      <c r="V61" s="18" t="n">
        <v>6099.35</v>
      </c>
      <c r="W61" s="18" t="n">
        <v>2784.63</v>
      </c>
      <c r="X61" s="18" t="n">
        <v>-205.02</v>
      </c>
      <c r="Y61" s="18" t="n">
        <v>-4864.31</v>
      </c>
      <c r="Z61" s="37" t="n">
        <v>3814.65</v>
      </c>
      <c r="AA61" s="18" t="n">
        <v>6589.4</v>
      </c>
      <c r="AB61" s="19" t="n">
        <v>5423.23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지분법관련손익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7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7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7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7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-141725.05</v>
      </c>
      <c r="F63" s="9" t="n"/>
      <c r="G63" s="18" t="n">
        <v>-77425.14</v>
      </c>
      <c r="H63" s="18" t="n">
        <v>120747.61</v>
      </c>
      <c r="I63" s="18" t="n">
        <v>-396921.73</v>
      </c>
      <c r="J63" s="18" t="n">
        <v>50417.7</v>
      </c>
      <c r="K63" s="37" t="n">
        <v>-303181.56</v>
      </c>
      <c r="L63" s="18" t="n">
        <v>-36760.7</v>
      </c>
      <c r="M63" s="18" t="n">
        <v>43835.55</v>
      </c>
      <c r="N63" s="18" t="n">
        <v>-9375.540000000001</v>
      </c>
      <c r="O63" s="18" t="n">
        <v>171390.36</v>
      </c>
      <c r="P63" s="37" t="n">
        <v>169089.67</v>
      </c>
      <c r="Q63" s="18" t="n">
        <v>523045.66</v>
      </c>
      <c r="R63" s="18" t="n">
        <v>-197808.06</v>
      </c>
      <c r="S63" s="18" t="n">
        <v>-139073.87</v>
      </c>
      <c r="T63" s="18" t="n">
        <v>-246624.07</v>
      </c>
      <c r="U63" s="37" t="n">
        <v>-60460.34</v>
      </c>
      <c r="V63" s="18" t="n">
        <v>-50669.57</v>
      </c>
      <c r="W63" s="18" t="n">
        <v>1129282.86</v>
      </c>
      <c r="X63" s="18" t="n">
        <v>364281.54</v>
      </c>
      <c r="Y63" s="18" t="n">
        <v>861021.84</v>
      </c>
      <c r="Z63" s="37" t="n">
        <v>2303916.67</v>
      </c>
      <c r="AA63" s="18" t="n">
        <v>201322.45</v>
      </c>
      <c r="AB63" s="19" t="n">
        <v>3636399.22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60660.06</v>
      </c>
      <c r="F64" s="9" t="n"/>
      <c r="G64" s="18" t="n">
        <v>172654.13</v>
      </c>
      <c r="H64" s="18" t="n">
        <v>232747.28</v>
      </c>
      <c r="I64" s="18" t="n">
        <v>94028.08</v>
      </c>
      <c r="J64" s="18" t="n">
        <v>25075.89</v>
      </c>
      <c r="K64" s="37" t="n">
        <v>524505.38</v>
      </c>
      <c r="L64" s="18" t="n">
        <v>194455.26</v>
      </c>
      <c r="M64" s="18" t="n">
        <v>250334.27</v>
      </c>
      <c r="N64" s="18" t="n">
        <v>107961.58</v>
      </c>
      <c r="O64" s="18" t="n">
        <v>205449.62</v>
      </c>
      <c r="P64" s="37" t="n">
        <v>758200.73</v>
      </c>
      <c r="Q64" s="18" t="n">
        <v>656804.14</v>
      </c>
      <c r="R64" s="18" t="n">
        <v>108580.97</v>
      </c>
      <c r="S64" s="18" t="n">
        <v>-25469.22</v>
      </c>
      <c r="T64" s="18" t="n">
        <v>142914.91</v>
      </c>
      <c r="U64" s="37" t="n">
        <v>882830.8</v>
      </c>
      <c r="V64" s="18" t="n">
        <v>179435.72</v>
      </c>
      <c r="W64" s="18" t="n">
        <v>1327922.1</v>
      </c>
      <c r="X64" s="18" t="n">
        <v>542869.95</v>
      </c>
      <c r="Y64" s="18" t="n">
        <v>988843.73</v>
      </c>
      <c r="Z64" s="37" t="n">
        <v>3039071.5</v>
      </c>
      <c r="AA64" s="18" t="n">
        <v>562422.72</v>
      </c>
      <c r="AB64" s="19" t="n">
        <v>3764282.94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202385.1</v>
      </c>
      <c r="F65" s="9" t="n"/>
      <c r="G65" s="18" t="n">
        <v>250079.27</v>
      </c>
      <c r="H65" s="18" t="n">
        <v>111999.67</v>
      </c>
      <c r="I65" s="18" t="n">
        <v>490949.81</v>
      </c>
      <c r="J65" s="18" t="n">
        <v>-25341.8</v>
      </c>
      <c r="K65" s="37" t="n">
        <v>827686.95</v>
      </c>
      <c r="L65" s="18" t="n">
        <v>231215.96</v>
      </c>
      <c r="M65" s="18" t="n">
        <v>206498.72</v>
      </c>
      <c r="N65" s="18" t="n">
        <v>117337.12</v>
      </c>
      <c r="O65" s="18" t="n">
        <v>34059.26</v>
      </c>
      <c r="P65" s="37" t="n">
        <v>589111.0600000001</v>
      </c>
      <c r="Q65" s="18" t="n">
        <v>133758.48</v>
      </c>
      <c r="R65" s="18" t="n">
        <v>306389.03</v>
      </c>
      <c r="S65" s="18" t="n">
        <v>113604.65</v>
      </c>
      <c r="T65" s="18" t="n">
        <v>389538.98</v>
      </c>
      <c r="U65" s="37" t="n">
        <v>943291.14</v>
      </c>
      <c r="V65" s="18" t="n">
        <v>230105.29</v>
      </c>
      <c r="W65" s="18" t="n">
        <v>198639.25</v>
      </c>
      <c r="X65" s="18" t="n">
        <v>178588.41</v>
      </c>
      <c r="Y65" s="18" t="n">
        <v>127821.89</v>
      </c>
      <c r="Z65" s="37" t="n">
        <v>735154.84</v>
      </c>
      <c r="AA65" s="18" t="n">
        <v>361100.27</v>
      </c>
      <c r="AB65" s="19" t="n">
        <v>127883.72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-108942.89</v>
      </c>
      <c r="F66" s="9" t="n"/>
      <c r="G66" s="18" t="n">
        <v>1084.84</v>
      </c>
      <c r="H66" s="18" t="n">
        <v>-14981.52</v>
      </c>
      <c r="I66" s="18" t="n">
        <v>-2537.48</v>
      </c>
      <c r="J66" s="18" t="n">
        <v>-61144.89</v>
      </c>
      <c r="K66" s="37" t="n">
        <v>-77579.05</v>
      </c>
      <c r="L66" s="18" t="n">
        <v>3451.36</v>
      </c>
      <c r="M66" s="18" t="n">
        <v>-10984.08</v>
      </c>
      <c r="N66" s="18" t="n">
        <v>407.65</v>
      </c>
      <c r="O66" s="18" t="n">
        <v>-29756.53</v>
      </c>
      <c r="P66" s="37" t="n">
        <v>-36881.6</v>
      </c>
      <c r="Q66" s="18" t="n">
        <v>-257.94</v>
      </c>
      <c r="R66" s="18" t="n">
        <v>-1097.36</v>
      </c>
      <c r="S66" s="18" t="n">
        <v>-533.25</v>
      </c>
      <c r="T66" s="18" t="n">
        <v>-11235.54</v>
      </c>
      <c r="U66" s="37" t="n">
        <v>-13124.09</v>
      </c>
      <c r="V66" s="18" t="n">
        <v>16521.8</v>
      </c>
      <c r="W66" s="18" t="n">
        <v>-5679.55</v>
      </c>
      <c r="X66" s="18" t="n">
        <v>-1951.29</v>
      </c>
      <c r="Y66" s="18" t="n">
        <v>-355408.02</v>
      </c>
      <c r="Z66" s="37" t="n">
        <v>-346517.06</v>
      </c>
      <c r="AA66" s="18" t="n">
        <v>16442.05</v>
      </c>
      <c r="AB66" s="19" t="n">
        <v>-11356.25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12171.04</v>
      </c>
      <c r="F67" s="9" t="n"/>
      <c r="G67" s="18" t="n">
        <v>25510.56</v>
      </c>
      <c r="H67" s="18" t="n">
        <v>9367.77</v>
      </c>
      <c r="I67" s="18" t="n">
        <v>13187.44</v>
      </c>
      <c r="J67" s="18" t="n">
        <v>14604.47</v>
      </c>
      <c r="K67" s="37" t="n">
        <v>62670.24</v>
      </c>
      <c r="L67" s="18" t="n">
        <v>30735.66</v>
      </c>
      <c r="M67" s="18" t="n">
        <v>14801.95</v>
      </c>
      <c r="N67" s="18" t="n">
        <v>10562.11</v>
      </c>
      <c r="O67" s="18" t="n">
        <v>7375.83</v>
      </c>
      <c r="P67" s="37" t="n">
        <v>63475.55</v>
      </c>
      <c r="Q67" s="18" t="n">
        <v>9612.6</v>
      </c>
      <c r="R67" s="18" t="n">
        <v>11687.35</v>
      </c>
      <c r="S67" s="18" t="n">
        <v>9202.83</v>
      </c>
      <c r="T67" s="18" t="n">
        <v>12298.98</v>
      </c>
      <c r="U67" s="37" t="n">
        <v>42801.76</v>
      </c>
      <c r="V67" s="18" t="n">
        <v>44443.33</v>
      </c>
      <c r="W67" s="18" t="n">
        <v>11915.21</v>
      </c>
      <c r="X67" s="18" t="n">
        <v>10059.25</v>
      </c>
      <c r="Y67" s="18" t="n">
        <v>80021.19</v>
      </c>
      <c r="Z67" s="37" t="n">
        <v>146438.98</v>
      </c>
      <c r="AA67" s="18" t="n">
        <v>28958.96</v>
      </c>
      <c r="AB67" s="19" t="n">
        <v>14305.05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121113.93</v>
      </c>
      <c r="F68" s="9" t="n"/>
      <c r="G68" s="18" t="n">
        <v>24425.72</v>
      </c>
      <c r="H68" s="18" t="n">
        <v>24349.29</v>
      </c>
      <c r="I68" s="18" t="n">
        <v>15724.92</v>
      </c>
      <c r="J68" s="18" t="n">
        <v>75749.35000000001</v>
      </c>
      <c r="K68" s="37" t="n">
        <v>140249.28</v>
      </c>
      <c r="L68" s="18" t="n">
        <v>27284.3</v>
      </c>
      <c r="M68" s="18" t="n">
        <v>25786.04</v>
      </c>
      <c r="N68" s="18" t="n">
        <v>10154.46</v>
      </c>
      <c r="O68" s="18" t="n">
        <v>37132.35</v>
      </c>
      <c r="P68" s="37" t="n">
        <v>100357.15</v>
      </c>
      <c r="Q68" s="18" t="n">
        <v>9870.540000000001</v>
      </c>
      <c r="R68" s="18" t="n">
        <v>12784.71</v>
      </c>
      <c r="S68" s="18" t="n">
        <v>9736.08</v>
      </c>
      <c r="T68" s="18" t="n">
        <v>23534.53</v>
      </c>
      <c r="U68" s="37" t="n">
        <v>55925.86</v>
      </c>
      <c r="V68" s="18" t="n">
        <v>27921.53</v>
      </c>
      <c r="W68" s="18" t="n">
        <v>17594.76</v>
      </c>
      <c r="X68" s="18" t="n">
        <v>12010.54</v>
      </c>
      <c r="Y68" s="18" t="n">
        <v>435429.19</v>
      </c>
      <c r="Z68" s="37" t="n">
        <v>492956.02</v>
      </c>
      <c r="AA68" s="18" t="n">
        <v>12516.91</v>
      </c>
      <c r="AB68" s="19" t="n">
        <v>25661.3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-229081.42</v>
      </c>
      <c r="F69" s="9" t="n"/>
      <c r="G69" s="18" t="n">
        <v>84835.8</v>
      </c>
      <c r="H69" s="18" t="n">
        <v>279700.66</v>
      </c>
      <c r="I69" s="18" t="n">
        <v>-303128.83</v>
      </c>
      <c r="J69" s="18" t="n">
        <v>50546.32</v>
      </c>
      <c r="K69" s="37" t="n">
        <v>111953.95</v>
      </c>
      <c r="L69" s="18" t="n">
        <v>28085.27</v>
      </c>
      <c r="M69" s="18" t="n">
        <v>118363.47</v>
      </c>
      <c r="N69" s="18" t="n">
        <v>64968.09</v>
      </c>
      <c r="O69" s="18" t="n">
        <v>33018.95</v>
      </c>
      <c r="P69" s="37" t="n">
        <v>244435.78</v>
      </c>
      <c r="Q69" s="18" t="n">
        <v>627061.66</v>
      </c>
      <c r="R69" s="18" t="n">
        <v>7326.75</v>
      </c>
      <c r="S69" s="18" t="n">
        <v>-7100.57</v>
      </c>
      <c r="T69" s="18" t="n">
        <v>-157419.21</v>
      </c>
      <c r="U69" s="37" t="n">
        <v>469868.63</v>
      </c>
      <c r="V69" s="18" t="n">
        <v>75395.42</v>
      </c>
      <c r="W69" s="18" t="n">
        <v>1266768.63</v>
      </c>
      <c r="X69" s="18" t="n">
        <v>479388.78</v>
      </c>
      <c r="Y69" s="18" t="n">
        <v>567276.55</v>
      </c>
      <c r="Z69" s="37" t="n">
        <v>2388829.38</v>
      </c>
      <c r="AA69" s="18" t="n">
        <v>312482.02</v>
      </c>
      <c r="AB69" s="19" t="n">
        <v>3759350.52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3099.67</v>
      </c>
      <c r="F70" s="9" t="n"/>
      <c r="G70" s="18" t="n">
        <v>52638.49</v>
      </c>
      <c r="H70" s="18" t="n">
        <v>97501.33</v>
      </c>
      <c r="I70" s="18" t="n">
        <v>-37787.48</v>
      </c>
      <c r="J70" s="18" t="n">
        <v>-29060.04</v>
      </c>
      <c r="K70" s="37" t="n">
        <v>83292.3</v>
      </c>
      <c r="L70" s="18" t="n">
        <v>43537.28</v>
      </c>
      <c r="M70" s="18" t="n">
        <v>51039.59</v>
      </c>
      <c r="N70" s="18" t="n">
        <v>53730.12</v>
      </c>
      <c r="O70" s="18" t="n">
        <v>3626.16</v>
      </c>
      <c r="P70" s="37" t="n">
        <v>151933.15</v>
      </c>
      <c r="Q70" s="18" t="n">
        <v>172150.73</v>
      </c>
      <c r="R70" s="18" t="n">
        <v>40167.63</v>
      </c>
      <c r="S70" s="18" t="n">
        <v>35207.08</v>
      </c>
      <c r="T70" s="18" t="n">
        <v>-70951.32000000001</v>
      </c>
      <c r="U70" s="37" t="n">
        <v>176574.12</v>
      </c>
      <c r="V70" s="18" t="n">
        <v>31345.33</v>
      </c>
      <c r="W70" s="18" t="n">
        <v>373497.92</v>
      </c>
      <c r="X70" s="18" t="n">
        <v>153050.32</v>
      </c>
      <c r="Y70" s="18" t="n">
        <v>292439.53</v>
      </c>
      <c r="Z70" s="37" t="n">
        <v>850333.1</v>
      </c>
      <c r="AA70" s="18" t="n">
        <v>95525.12</v>
      </c>
      <c r="AB70" s="19" t="n">
        <v>916561.61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-232181.1</v>
      </c>
      <c r="F71" s="9" t="n"/>
      <c r="G71" s="18" t="n">
        <v>32197.3</v>
      </c>
      <c r="H71" s="18" t="n">
        <v>182199.33</v>
      </c>
      <c r="I71" s="18" t="n">
        <v>-265341.35</v>
      </c>
      <c r="J71" s="18" t="n">
        <v>79606.38</v>
      </c>
      <c r="K71" s="37" t="n">
        <v>28661.66</v>
      </c>
      <c r="L71" s="18" t="n">
        <v>-15452.01</v>
      </c>
      <c r="M71" s="18" t="n">
        <v>67323.88</v>
      </c>
      <c r="N71" s="18" t="n">
        <v>11237.96</v>
      </c>
      <c r="O71" s="18" t="n">
        <v>29392.8</v>
      </c>
      <c r="P71" s="37" t="n">
        <v>92502.63</v>
      </c>
      <c r="Q71" s="18" t="n">
        <v>454910.93</v>
      </c>
      <c r="R71" s="18" t="n">
        <v>-32840.88</v>
      </c>
      <c r="S71" s="18" t="n">
        <v>-42307.65</v>
      </c>
      <c r="T71" s="18" t="n">
        <v>-86467.89</v>
      </c>
      <c r="U71" s="37" t="n">
        <v>293294.51</v>
      </c>
      <c r="V71" s="18" t="n">
        <v>44050.09</v>
      </c>
      <c r="W71" s="18" t="n">
        <v>893270.72</v>
      </c>
      <c r="X71" s="18" t="n">
        <v>326338.46</v>
      </c>
      <c r="Y71" s="18" t="n">
        <v>274837.01</v>
      </c>
      <c r="Z71" s="37" t="n">
        <v>1538496.28</v>
      </c>
      <c r="AA71" s="18" t="n">
        <v>216956.9</v>
      </c>
      <c r="AB71" s="19" t="n">
        <v>2842788.91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7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7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7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7" t="n">
        <v>1538496.28</v>
      </c>
      <c r="AA72" s="18" t="n">
        <v>216956.9</v>
      </c>
      <c r="AB72" s="19" t="n">
        <v>2839157.16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-144073.23</v>
      </c>
      <c r="F73" s="9" t="n"/>
      <c r="G73" s="18" t="n">
        <v>108941.06</v>
      </c>
      <c r="H73" s="18" t="n">
        <v>227403.73</v>
      </c>
      <c r="I73" s="18" t="n">
        <v>-135778.68</v>
      </c>
      <c r="J73" s="18" t="n">
        <v>127702.55</v>
      </c>
      <c r="K73" s="37" t="n">
        <v>328268.66</v>
      </c>
      <c r="L73" s="18" t="n">
        <v>33993.03</v>
      </c>
      <c r="M73" s="18" t="n">
        <v>-7957.78</v>
      </c>
      <c r="N73" s="18" t="n">
        <v>-21160.36</v>
      </c>
      <c r="O73" s="18" t="n">
        <v>-49650.63</v>
      </c>
      <c r="P73" s="37" t="n">
        <v>-44775.74</v>
      </c>
      <c r="Q73" s="18" t="n">
        <v>445760.15</v>
      </c>
      <c r="R73" s="18" t="n">
        <v>-94097.05</v>
      </c>
      <c r="S73" s="18" t="n">
        <v>9993.059999999999</v>
      </c>
      <c r="T73" s="18" t="n">
        <v>-72038.07000000001</v>
      </c>
      <c r="U73" s="37" t="n">
        <v>289618.09</v>
      </c>
      <c r="V73" s="18" t="n">
        <v>1060461.13</v>
      </c>
      <c r="W73" s="18" t="n">
        <v>809004.78</v>
      </c>
      <c r="X73" s="18" t="n">
        <v>388859.58</v>
      </c>
      <c r="Y73" s="18" t="n">
        <v>373739.33</v>
      </c>
      <c r="Z73" s="37" t="n">
        <v>2632064.82</v>
      </c>
      <c r="AA73" s="18" t="n">
        <v>378216.65</v>
      </c>
      <c r="AB73" s="19" t="n">
        <v>2917000.03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-184616.89</v>
      </c>
      <c r="F74" s="9" t="n"/>
      <c r="G74" s="18" t="n">
        <v>6580.39</v>
      </c>
      <c r="H74" s="18" t="n">
        <v>169357.94</v>
      </c>
      <c r="I74" s="18" t="n">
        <v>-268008.68</v>
      </c>
      <c r="J74" s="18" t="n">
        <v>125933.34</v>
      </c>
      <c r="K74" s="37" t="n">
        <v>33862.99</v>
      </c>
      <c r="L74" s="18" t="n">
        <v>8136.88</v>
      </c>
      <c r="M74" s="18" t="n">
        <v>90992.96000000001</v>
      </c>
      <c r="N74" s="18" t="n">
        <v>46964.03</v>
      </c>
      <c r="O74" s="18" t="n">
        <v>66568.91</v>
      </c>
      <c r="P74" s="37" t="n">
        <v>212662.78</v>
      </c>
      <c r="Q74" s="18" t="n">
        <v>472184.45</v>
      </c>
      <c r="R74" s="18" t="n">
        <v>-32840.88</v>
      </c>
      <c r="S74" s="18" t="n">
        <v>-42307.65</v>
      </c>
      <c r="T74" s="18" t="n">
        <v>-86467.88</v>
      </c>
      <c r="U74" s="37" t="n">
        <v>310568.04</v>
      </c>
      <c r="V74" s="18" t="n">
        <v>44050.09</v>
      </c>
      <c r="W74" s="18" t="n">
        <v>893270.72</v>
      </c>
      <c r="X74" s="18" t="n">
        <v>326338.46</v>
      </c>
      <c r="Y74" s="18" t="n">
        <v>274837.01</v>
      </c>
      <c r="Z74" s="37" t="n">
        <v>1538496.28</v>
      </c>
      <c r="AA74" s="18" t="n">
        <v>216956.9</v>
      </c>
      <c r="AB74" s="19" t="n">
        <v>2839157.16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-47564.22</v>
      </c>
      <c r="F75" s="9" t="n"/>
      <c r="G75" s="18" t="n">
        <v>25616.91</v>
      </c>
      <c r="H75" s="18" t="n">
        <v>12841.39</v>
      </c>
      <c r="I75" s="18" t="n">
        <v>2667.33</v>
      </c>
      <c r="J75" s="18" t="n">
        <v>-46326.96</v>
      </c>
      <c r="K75" s="37" t="n">
        <v>-5201.33</v>
      </c>
      <c r="L75" s="18" t="n">
        <v>-23588.9</v>
      </c>
      <c r="M75" s="18" t="n">
        <v>-23669.08</v>
      </c>
      <c r="N75" s="18" t="n">
        <v>-35726.07</v>
      </c>
      <c r="O75" s="18" t="n">
        <v>-37176.12</v>
      </c>
      <c r="P75" s="37" t="n">
        <v>-120160.17</v>
      </c>
      <c r="Q75" s="18" t="n">
        <v>-17273.52</v>
      </c>
      <c r="R75" s="18" t="n">
        <v>0</v>
      </c>
      <c r="S75" s="18" t="n">
        <v>0</v>
      </c>
      <c r="T75" s="18" t="n">
        <v>0</v>
      </c>
      <c r="U75" s="37" t="n">
        <v>-17273.52</v>
      </c>
      <c r="V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1243.58</v>
      </c>
      <c r="H76" s="18" t="n">
        <v>1287.06</v>
      </c>
      <c r="I76" s="18" t="n">
        <v>2315.89</v>
      </c>
      <c r="J76" s="18" t="n">
        <v>5753.51</v>
      </c>
      <c r="K76" s="37" t="n">
        <v>10600.04</v>
      </c>
      <c r="L76" s="18" t="n">
        <v>6824.39</v>
      </c>
      <c r="M76" s="18" t="n">
        <v>7998.41</v>
      </c>
      <c r="N76" s="18" t="n">
        <v>9053.59</v>
      </c>
      <c r="O76" s="18" t="n">
        <v>9749.049999999999</v>
      </c>
      <c r="P76" s="37" t="n">
        <v>33625.44</v>
      </c>
      <c r="Q76" s="18" t="n">
        <v>9658.65</v>
      </c>
      <c r="R76" s="18" t="n">
        <v>9246.040000000001</v>
      </c>
      <c r="S76" s="18" t="n">
        <v>7984.59</v>
      </c>
      <c r="T76" s="18" t="n">
        <v>9140.559999999999</v>
      </c>
      <c r="U76" s="37" t="n">
        <v>36029.84</v>
      </c>
      <c r="V76" s="18" t="n">
        <v>4696.69</v>
      </c>
      <c r="W76" s="18" t="n">
        <v>5184</v>
      </c>
      <c r="X76" s="18" t="n">
        <v>6840.08</v>
      </c>
      <c r="Y76" s="18" t="n">
        <v>6399.41</v>
      </c>
      <c r="Z76" s="37" t="n">
        <v>23120.18</v>
      </c>
      <c r="AA76" s="18" t="n">
        <v>9435.26</v>
      </c>
      <c r="AB76" s="19" t="n">
        <v>9730.049999999999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G77" s="18" t="n">
        <v>76131.39</v>
      </c>
      <c r="H77" s="18" t="n">
        <v>143.99</v>
      </c>
      <c r="I77" s="18" t="n">
        <v>604.63</v>
      </c>
      <c r="J77" s="18" t="n">
        <v>7.94</v>
      </c>
      <c r="K77" s="37" t="n">
        <v>76887.95</v>
      </c>
      <c r="L77" s="18" t="n">
        <v>43826.68</v>
      </c>
      <c r="M77" s="18" t="n">
        <v>0</v>
      </c>
      <c r="N77" s="18" t="n">
        <v>458.48</v>
      </c>
      <c r="O77" s="18" t="n">
        <v>0</v>
      </c>
      <c r="P77" s="37" t="n">
        <v>44285.16</v>
      </c>
      <c r="Q77" s="18" t="n">
        <v>48061.81</v>
      </c>
      <c r="R77" s="18" t="n">
        <v>0</v>
      </c>
      <c r="S77" s="18" t="n">
        <v>458.48</v>
      </c>
      <c r="T77" s="18" t="n">
        <v>0</v>
      </c>
      <c r="U77" s="37" t="n">
        <v>48520.29</v>
      </c>
      <c r="V77" s="18" t="n">
        <v>62913.24</v>
      </c>
      <c r="W77" s="18" t="n">
        <v>0</v>
      </c>
      <c r="X77" s="18" t="n">
        <v>9216.450000000001</v>
      </c>
      <c r="Y77" s="18" t="n">
        <v>110.77</v>
      </c>
      <c r="Z77" s="37" t="n">
        <v>72240.46000000001</v>
      </c>
      <c r="AA77" s="18" t="n">
        <v>78278.22</v>
      </c>
      <c r="AB77" s="19" t="n">
        <v>475.31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35914.99</v>
      </c>
      <c r="H78" s="18" t="n">
        <v>45070.25</v>
      </c>
      <c r="I78" s="18" t="n">
        <v>47540.95</v>
      </c>
      <c r="J78" s="18" t="n">
        <v>49805.16</v>
      </c>
      <c r="K78" s="37" t="n">
        <v>178331.35</v>
      </c>
      <c r="L78" s="18" t="n">
        <v>51779.3</v>
      </c>
      <c r="M78" s="18" t="n">
        <v>73501.45</v>
      </c>
      <c r="N78" s="18" t="n">
        <v>62995.28</v>
      </c>
      <c r="O78" s="18" t="n">
        <v>66368.49000000001</v>
      </c>
      <c r="P78" s="37" t="n">
        <v>254644.52</v>
      </c>
      <c r="Q78" s="18" t="n">
        <v>66011.17</v>
      </c>
      <c r="R78" s="18" t="n">
        <v>92351.53999999999</v>
      </c>
      <c r="S78" s="18" t="n">
        <v>94206.83</v>
      </c>
      <c r="T78" s="18" t="n">
        <v>95237.00999999999</v>
      </c>
      <c r="U78" s="37" t="n">
        <v>347806.55</v>
      </c>
      <c r="V78" s="18" t="n">
        <v>78864.28999999999</v>
      </c>
      <c r="W78" s="18" t="n">
        <v>78934.92999999999</v>
      </c>
      <c r="X78" s="18" t="n">
        <v>90252.5</v>
      </c>
      <c r="Y78" s="18" t="n">
        <v>91793.28</v>
      </c>
      <c r="Z78" s="37" t="n">
        <v>339845</v>
      </c>
      <c r="AA78" s="18" t="n">
        <v>72288.52</v>
      </c>
      <c r="AB78" s="19" t="n">
        <v>75403.96000000001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18645.12</v>
      </c>
      <c r="H79" s="18" t="n">
        <v>37520.7</v>
      </c>
      <c r="I79" s="18" t="n">
        <v>44645.99</v>
      </c>
      <c r="J79" s="18" t="n">
        <v>36391.16</v>
      </c>
      <c r="K79" s="37" t="n">
        <v>137202.97</v>
      </c>
      <c r="L79" s="18" t="n">
        <v>26667.8</v>
      </c>
      <c r="M79" s="18" t="n">
        <v>26381.53</v>
      </c>
      <c r="N79" s="18" t="n">
        <v>19835.6</v>
      </c>
      <c r="O79" s="18" t="n">
        <v>25749.15</v>
      </c>
      <c r="P79" s="37" t="n">
        <v>98634.08</v>
      </c>
      <c r="Q79" s="18" t="n">
        <v>28985.2</v>
      </c>
      <c r="R79" s="18" t="n">
        <v>29021.28</v>
      </c>
      <c r="S79" s="18" t="n">
        <v>14401.43</v>
      </c>
      <c r="T79" s="18" t="n">
        <v>66663.8</v>
      </c>
      <c r="U79" s="37" t="n">
        <v>139071.71</v>
      </c>
      <c r="V79" s="18" t="n">
        <v>15900.6</v>
      </c>
      <c r="W79" s="18" t="n">
        <v>38399.63</v>
      </c>
      <c r="X79" s="18" t="n">
        <v>25574.32</v>
      </c>
      <c r="Y79" s="18" t="n">
        <v>33953.29</v>
      </c>
      <c r="Z79" s="37" t="n">
        <v>113827.84</v>
      </c>
      <c r="AA79" s="18" t="n">
        <v>21180.12</v>
      </c>
      <c r="AB79" s="19" t="n">
        <v>42412.63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14682.41</v>
      </c>
      <c r="H80" s="18" t="n">
        <v>23109.87</v>
      </c>
      <c r="I80" s="18" t="n">
        <v>25429</v>
      </c>
      <c r="J80" s="18" t="n">
        <v>39700.82</v>
      </c>
      <c r="K80" s="37" t="n">
        <v>102922.1</v>
      </c>
      <c r="L80" s="18" t="n">
        <v>29261.05</v>
      </c>
      <c r="M80" s="18" t="n">
        <v>20398.24</v>
      </c>
      <c r="N80" s="18" t="n">
        <v>16061.95</v>
      </c>
      <c r="O80" s="18" t="n">
        <v>17418.38</v>
      </c>
      <c r="P80" s="37" t="n">
        <v>83139.62</v>
      </c>
      <c r="Q80" s="18" t="n">
        <v>11995.86</v>
      </c>
      <c r="R80" s="18" t="n">
        <v>10360.83</v>
      </c>
      <c r="S80" s="18" t="n">
        <v>23805.76</v>
      </c>
      <c r="T80" s="18" t="n">
        <v>16623.5</v>
      </c>
      <c r="U80" s="37" t="n">
        <v>62785.95</v>
      </c>
      <c r="V80" s="18" t="n">
        <v>19009.53</v>
      </c>
      <c r="W80" s="18" t="n">
        <v>35308.93</v>
      </c>
      <c r="X80" s="18" t="n">
        <v>31992.77</v>
      </c>
      <c r="Y80" s="18" t="n">
        <v>10033.54</v>
      </c>
      <c r="Z80" s="37" t="n">
        <v>96344.77</v>
      </c>
      <c r="AA80" s="18" t="n">
        <v>11180.82</v>
      </c>
      <c r="AB80" s="19" t="n">
        <v>18254.8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51609.49</v>
      </c>
      <c r="H81" s="18" t="n">
        <v>25151.02</v>
      </c>
      <c r="I81" s="18" t="n">
        <v>10592</v>
      </c>
      <c r="J81" s="18" t="n">
        <v>-47352.59</v>
      </c>
      <c r="K81" s="37" t="n">
        <v>39999.92</v>
      </c>
      <c r="L81" s="18" t="n">
        <v>38497.85</v>
      </c>
      <c r="M81" s="18" t="n">
        <v>61106.82</v>
      </c>
      <c r="N81" s="18" t="n">
        <v>46830.42</v>
      </c>
      <c r="O81" s="18" t="n">
        <v>-106124.03</v>
      </c>
      <c r="P81" s="37" t="n">
        <v>40311.06</v>
      </c>
      <c r="Q81" s="18" t="n">
        <v>45192.81</v>
      </c>
      <c r="R81" s="18" t="n">
        <v>53139.72</v>
      </c>
      <c r="S81" s="18" t="n">
        <v>-65314.42</v>
      </c>
      <c r="T81" s="18" t="n">
        <v>82531.74000000001</v>
      </c>
      <c r="U81" s="37" t="n">
        <v>115549.85</v>
      </c>
      <c r="V81" s="18" t="n">
        <v>37598.45</v>
      </c>
      <c r="W81" s="18" t="n">
        <v>34797.71</v>
      </c>
      <c r="X81" s="18" t="n">
        <v>-4647.71</v>
      </c>
      <c r="Y81" s="18" t="n">
        <v>13358.45</v>
      </c>
      <c r="Z81" s="37" t="n">
        <v>81106.89999999999</v>
      </c>
      <c r="AA81" s="18" t="n">
        <v>68669.38</v>
      </c>
      <c r="AB81" s="19" t="n">
        <v>3281.19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53177.18</v>
      </c>
      <c r="H82" s="18" t="n">
        <v>21345.24</v>
      </c>
      <c r="I82" s="18" t="n">
        <v>17103.1</v>
      </c>
      <c r="J82" s="18" t="n">
        <v>-7234.39</v>
      </c>
      <c r="K82" s="37" t="n">
        <v>84391.13</v>
      </c>
      <c r="L82" s="18" t="n">
        <v>51826.15</v>
      </c>
      <c r="M82" s="18" t="n">
        <v>57681.44</v>
      </c>
      <c r="N82" s="18" t="n">
        <v>37136.92</v>
      </c>
      <c r="O82" s="18" t="n">
        <v>-69979.13</v>
      </c>
      <c r="P82" s="37" t="n">
        <v>76665.38</v>
      </c>
      <c r="Q82" s="18" t="n">
        <v>34257.71</v>
      </c>
      <c r="R82" s="18" t="n">
        <v>38852.34</v>
      </c>
      <c r="S82" s="18" t="n">
        <v>-11325.64</v>
      </c>
      <c r="T82" s="18" t="n">
        <v>28984.04</v>
      </c>
      <c r="U82" s="37" t="n">
        <v>90768.45</v>
      </c>
      <c r="V82" s="18" t="n">
        <v>49263.89</v>
      </c>
      <c r="W82" s="18" t="n">
        <v>79895.00999999999</v>
      </c>
      <c r="X82" s="18" t="n">
        <v>-18387.65</v>
      </c>
      <c r="Y82" s="18" t="n">
        <v>36312.17</v>
      </c>
      <c r="Z82" s="37" t="n">
        <v>147083.42</v>
      </c>
      <c r="AA82" s="18" t="n">
        <v>85101.69</v>
      </c>
      <c r="AB82" s="19" t="n">
        <v>27940.25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15339.88</v>
      </c>
      <c r="H83" s="18" t="n">
        <v>13053.82</v>
      </c>
      <c r="I83" s="18" t="n">
        <v>16582.84</v>
      </c>
      <c r="J83" s="18" t="n">
        <v>-19179.86</v>
      </c>
      <c r="K83" s="37" t="n">
        <v>25796.68</v>
      </c>
      <c r="L83" s="18" t="n">
        <v>31822.83</v>
      </c>
      <c r="M83" s="18" t="n">
        <v>19689.76</v>
      </c>
      <c r="N83" s="18" t="n">
        <v>21970.38</v>
      </c>
      <c r="O83" s="18" t="n">
        <v>-47550.93</v>
      </c>
      <c r="P83" s="37" t="n">
        <v>25932.04</v>
      </c>
      <c r="Q83" s="18" t="n">
        <v>6756.51</v>
      </c>
      <c r="R83" s="18" t="n">
        <v>9901.809999999999</v>
      </c>
      <c r="S83" s="18" t="n">
        <v>-65.06</v>
      </c>
      <c r="T83" s="18" t="n">
        <v>6212.8</v>
      </c>
      <c r="U83" s="37" t="n">
        <v>22806.06</v>
      </c>
      <c r="V83" s="18" t="n">
        <v>5394.59</v>
      </c>
      <c r="W83" s="18" t="n">
        <v>1069.6</v>
      </c>
      <c r="X83" s="18" t="n">
        <v>5330.21</v>
      </c>
      <c r="Y83" s="18" t="n">
        <v>5064.25</v>
      </c>
      <c r="Z83" s="37" t="n">
        <v>16858.65</v>
      </c>
      <c r="AA83" s="18" t="n">
        <v>122157.76</v>
      </c>
      <c r="AB83" s="19" t="n">
        <v>51127.49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2415.93</v>
      </c>
      <c r="H84" s="18" t="n">
        <v>1204.86</v>
      </c>
      <c r="I84" s="18" t="n">
        <v>1148.32</v>
      </c>
      <c r="J84" s="18" t="n">
        <v>38446.14</v>
      </c>
      <c r="K84" s="37" t="n">
        <v>43215.25</v>
      </c>
      <c r="L84" s="18" t="n">
        <v>3456.95</v>
      </c>
      <c r="M84" s="18" t="n">
        <v>470.21</v>
      </c>
      <c r="N84" s="18" t="n">
        <v>764.04</v>
      </c>
      <c r="O84" s="18" t="n">
        <v>112308.6</v>
      </c>
      <c r="P84" s="37" t="n">
        <v>116999.8</v>
      </c>
      <c r="Q84" s="18" t="n">
        <v>5403.71</v>
      </c>
      <c r="R84" s="18" t="n">
        <v>5059.23</v>
      </c>
      <c r="S84" s="18" t="n">
        <v>2882</v>
      </c>
      <c r="T84" s="18" t="n">
        <v>905.11</v>
      </c>
      <c r="U84" s="37" t="n">
        <v>14250.05</v>
      </c>
      <c r="V84" s="18" t="n">
        <v>1492.13</v>
      </c>
      <c r="W84" s="18" t="n">
        <v>163.96</v>
      </c>
      <c r="X84" s="18" t="n">
        <v>73656.39999999999</v>
      </c>
      <c r="Y84" s="18" t="n">
        <v>-19085.1</v>
      </c>
      <c r="Z84" s="37" t="n">
        <v>56227.39</v>
      </c>
      <c r="AA84" s="18" t="n">
        <v>13246.43</v>
      </c>
      <c r="AB84" s="19" t="n">
        <v>5429.36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-34671.41</v>
      </c>
      <c r="H85" s="18" t="n">
        <v>-43783.19</v>
      </c>
      <c r="I85" s="18" t="n">
        <v>-45225.06</v>
      </c>
      <c r="J85" s="18" t="n">
        <v>-44051.65</v>
      </c>
      <c r="K85" s="37" t="n">
        <v>-167731.31</v>
      </c>
      <c r="L85" s="18" t="n">
        <v>-44954.91</v>
      </c>
      <c r="M85" s="18" t="n">
        <v>-65503.04</v>
      </c>
      <c r="N85" s="18" t="n">
        <v>-53941.69</v>
      </c>
      <c r="O85" s="18" t="n">
        <v>-56619.44</v>
      </c>
      <c r="P85" s="37" t="n">
        <v>-221019.08</v>
      </c>
      <c r="Q85" s="18" t="n">
        <v>-56352.52</v>
      </c>
      <c r="R85" s="18" t="n">
        <v>-83105.5</v>
      </c>
      <c r="S85" s="18" t="n">
        <v>-86222.24000000001</v>
      </c>
      <c r="T85" s="18" t="n">
        <v>-86096.45</v>
      </c>
      <c r="U85" s="37" t="n">
        <v>-311776.71</v>
      </c>
      <c r="V85" s="18" t="n">
        <v>-74167.60000000001</v>
      </c>
      <c r="W85" s="18" t="n">
        <v>-73750.92999999999</v>
      </c>
      <c r="X85" s="18" t="n">
        <v>-83412.42</v>
      </c>
      <c r="Y85" s="18" t="n">
        <v>-85393.87</v>
      </c>
      <c r="Z85" s="37" t="n">
        <v>-316724.82</v>
      </c>
      <c r="AA85" s="18" t="n">
        <v>-62853.26</v>
      </c>
      <c r="AB85" s="19" t="n">
        <v>-65673.91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중단사업이익</t>
        </is>
      </c>
      <c r="F86" s="9" t="n"/>
      <c r="K86" s="9" t="n"/>
      <c r="P86" s="9" t="n"/>
      <c r="U86" s="9" t="n"/>
      <c r="Z86" s="9" t="n"/>
      <c r="AB86" s="19" t="n">
        <v>-3631.75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189767.52</v>
      </c>
      <c r="F87" s="9" t="n"/>
      <c r="G87" s="18" t="n">
        <v>-76357.97</v>
      </c>
      <c r="H87" s="18" t="n">
        <v>36313.96</v>
      </c>
      <c r="I87" s="18" t="n">
        <v>206935.87</v>
      </c>
      <c r="J87" s="18" t="n">
        <v>217674.51</v>
      </c>
      <c r="K87" s="37" t="n">
        <v>384566.37</v>
      </c>
      <c r="L87" s="18" t="n">
        <v>19425.33</v>
      </c>
      <c r="M87" s="18" t="n">
        <v>265160.35</v>
      </c>
      <c r="N87" s="18" t="n">
        <v>176899.91</v>
      </c>
      <c r="O87" s="18" t="n">
        <v>326780.74</v>
      </c>
      <c r="P87" s="37" t="n">
        <v>788266.33</v>
      </c>
      <c r="Q87" s="18" t="n">
        <v>113737.76</v>
      </c>
      <c r="R87" s="18" t="n">
        <v>209889</v>
      </c>
      <c r="S87" s="18" t="n">
        <v>134088.68</v>
      </c>
      <c r="T87" s="18" t="n">
        <v>139085.85</v>
      </c>
      <c r="U87" s="37" t="n">
        <v>596801.29</v>
      </c>
      <c r="V87" s="18" t="n">
        <v>109138.48</v>
      </c>
      <c r="W87" s="18" t="n">
        <v>167174.14</v>
      </c>
      <c r="X87" s="18" t="n">
        <v>135288.72</v>
      </c>
      <c r="Y87" s="18" t="n">
        <v>377876.14</v>
      </c>
      <c r="Z87" s="37" t="n">
        <v>789477.48</v>
      </c>
      <c r="AA87" s="18" t="n">
        <v>85181.96000000001</v>
      </c>
      <c r="AB87" s="19" t="n">
        <v>30910.52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감가상각비</t>
        </is>
      </c>
      <c r="E88" s="18" t="n">
        <v>7231.1</v>
      </c>
      <c r="F88" s="9" t="n"/>
      <c r="G88" s="18" t="n">
        <v>6904.18</v>
      </c>
      <c r="H88" s="18" t="n">
        <v>6495.89</v>
      </c>
      <c r="I88" s="18" t="n">
        <v>6792.9</v>
      </c>
      <c r="J88" s="18" t="n">
        <v>7437.76</v>
      </c>
      <c r="K88" s="37" t="n">
        <v>27630.73</v>
      </c>
      <c r="L88" s="18" t="n">
        <v>7069.9</v>
      </c>
      <c r="M88" s="18" t="n">
        <v>7034.24</v>
      </c>
      <c r="N88" s="18" t="n">
        <v>7209.64</v>
      </c>
      <c r="O88" s="18" t="n">
        <v>10742.84</v>
      </c>
      <c r="P88" s="37" t="n">
        <v>32056.62</v>
      </c>
      <c r="Q88" s="18" t="n">
        <v>7059.71</v>
      </c>
      <c r="R88" s="18" t="n">
        <v>7315.32</v>
      </c>
      <c r="S88" s="18" t="n">
        <v>7351.83</v>
      </c>
      <c r="T88" s="18" t="n">
        <v>6808.32</v>
      </c>
      <c r="U88" s="37" t="n">
        <v>28535.18</v>
      </c>
      <c r="V88" s="18" t="n">
        <v>103182.77</v>
      </c>
      <c r="W88" s="18" t="n">
        <v>97615.25</v>
      </c>
      <c r="X88" s="18" t="n">
        <v>-177546.86</v>
      </c>
      <c r="Y88" s="18" t="n">
        <v>386321.79</v>
      </c>
      <c r="Z88" s="37" t="n">
        <v>409572.95</v>
      </c>
      <c r="AA88" s="18" t="n">
        <v>93709.35000000001</v>
      </c>
      <c r="AB88" s="19" t="n">
        <v>91886.07000000001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무형자산상각비</t>
        </is>
      </c>
      <c r="E89" s="18" t="n">
        <v>10316.76</v>
      </c>
      <c r="F89" s="9" t="n"/>
      <c r="G89" s="18" t="n">
        <v>9633.33</v>
      </c>
      <c r="H89" s="18" t="n">
        <v>10783.43</v>
      </c>
      <c r="I89" s="18" t="n">
        <v>11943.51</v>
      </c>
      <c r="J89" s="18" t="n">
        <v>11017.5</v>
      </c>
      <c r="K89" s="37" t="n">
        <v>43377.77</v>
      </c>
      <c r="L89" s="18" t="n">
        <v>15455.79</v>
      </c>
      <c r="M89" s="18" t="n">
        <v>11241.46</v>
      </c>
      <c r="N89" s="18" t="n">
        <v>11390.85</v>
      </c>
      <c r="O89" s="18" t="n">
        <v>8506.49</v>
      </c>
      <c r="P89" s="37" t="n">
        <v>46594.59</v>
      </c>
      <c r="Q89" s="18" t="n">
        <v>12560.41</v>
      </c>
      <c r="R89" s="18" t="n">
        <v>11918.19</v>
      </c>
      <c r="S89" s="18" t="n">
        <v>11597.57</v>
      </c>
      <c r="T89" s="18" t="n">
        <v>12238.65</v>
      </c>
      <c r="U89" s="37" t="n">
        <v>48314.82</v>
      </c>
      <c r="V89" s="18" t="n">
        <v>12507.98</v>
      </c>
      <c r="W89" s="18" t="n">
        <v>12137.41</v>
      </c>
      <c r="X89" s="18" t="n">
        <v>11921.41</v>
      </c>
      <c r="Y89" s="18" t="n">
        <v>12821.84</v>
      </c>
      <c r="Z89" s="37" t="n">
        <v>49388.64</v>
      </c>
      <c r="AA89" s="18" t="n">
        <v>11707.12</v>
      </c>
      <c r="AB89" s="19" t="n">
        <v>12427.34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59809.67</v>
      </c>
      <c r="F90" s="9" t="n"/>
      <c r="G90" s="18" t="n">
        <v>-51434.55</v>
      </c>
      <c r="H90" s="18" t="n">
        <v>-51879.03</v>
      </c>
      <c r="I90" s="18" t="n">
        <v>-54912.15</v>
      </c>
      <c r="J90" s="18" t="n">
        <v>-15171.01</v>
      </c>
      <c r="K90" s="37" t="n">
        <v>-173396.74</v>
      </c>
      <c r="L90" s="18" t="n">
        <v>-52806.03</v>
      </c>
      <c r="M90" s="18" t="n">
        <v>-34801.84</v>
      </c>
      <c r="N90" s="18" t="n">
        <v>-29351.47</v>
      </c>
      <c r="O90" s="18" t="n">
        <v>-33724.33</v>
      </c>
      <c r="P90" s="37" t="n">
        <v>-150683.67</v>
      </c>
      <c r="Q90" s="18" t="n">
        <v>-25539.05</v>
      </c>
      <c r="R90" s="18" t="n">
        <v>-41834.59</v>
      </c>
      <c r="S90" s="18" t="n">
        <v>-37308.76</v>
      </c>
      <c r="T90" s="18" t="n">
        <v>-28225.56</v>
      </c>
      <c r="U90" s="37" t="n">
        <v>-132907.96</v>
      </c>
      <c r="V90" s="18" t="n">
        <v>-96171.84</v>
      </c>
      <c r="W90" s="18" t="n">
        <v>-83723.16</v>
      </c>
      <c r="X90" s="18" t="n">
        <v>-53013.38</v>
      </c>
      <c r="Y90" s="18" t="n">
        <v>-44772.23</v>
      </c>
      <c r="Z90" s="37" t="n">
        <v>-277680.61</v>
      </c>
      <c r="AA90" s="18" t="n">
        <v>-61617.87</v>
      </c>
      <c r="AB90" s="19" t="n">
        <v>-9135.620000000001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390031.95</v>
      </c>
      <c r="F91" s="9" t="n"/>
      <c r="G91" s="18" t="n">
        <v>-447113.88</v>
      </c>
      <c r="H91" s="18" t="n">
        <v>-95715.22</v>
      </c>
      <c r="I91" s="18" t="n">
        <v>401282.92</v>
      </c>
      <c r="J91" s="18" t="n">
        <v>177631.35</v>
      </c>
      <c r="K91" s="37" t="n">
        <v>36085.17</v>
      </c>
      <c r="L91" s="18" t="n">
        <v>-128460.36</v>
      </c>
      <c r="M91" s="18" t="n">
        <v>-83739.69</v>
      </c>
      <c r="N91" s="18" t="n">
        <v>-89760.59</v>
      </c>
      <c r="O91" s="18" t="n">
        <v>-53380.52</v>
      </c>
      <c r="P91" s="37" t="n">
        <v>-355341.16</v>
      </c>
      <c r="Q91" s="18" t="n">
        <v>-72833.17999999999</v>
      </c>
      <c r="R91" s="18" t="n">
        <v>507010.91</v>
      </c>
      <c r="S91" s="18" t="n">
        <v>-105491.96</v>
      </c>
      <c r="T91" s="18" t="n">
        <v>-47148.44</v>
      </c>
      <c r="U91" s="37" t="n">
        <v>281537.33</v>
      </c>
      <c r="V91" s="18" t="n">
        <v>-89288.97</v>
      </c>
      <c r="W91" s="18" t="n">
        <v>146540.07</v>
      </c>
      <c r="X91" s="18" t="n">
        <v>105710.03</v>
      </c>
      <c r="Y91" s="18" t="n">
        <v>106421.83</v>
      </c>
      <c r="Z91" s="37" t="n">
        <v>269382.96</v>
      </c>
      <c r="AA91" s="18" t="n">
        <v>-109480.52</v>
      </c>
      <c r="AB91" s="19" t="n">
        <v>67983.59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102819.66</v>
      </c>
      <c r="F92" s="9" t="n"/>
      <c r="G92" s="18" t="n">
        <v>72229.7</v>
      </c>
      <c r="H92" s="18" t="n">
        <v>87111.85000000001</v>
      </c>
      <c r="I92" s="18" t="n">
        <v>101693.09</v>
      </c>
      <c r="J92" s="18" t="n">
        <v>123706.92</v>
      </c>
      <c r="K92" s="37" t="n">
        <v>384741.56</v>
      </c>
      <c r="L92" s="18" t="n">
        <v>114720.08</v>
      </c>
      <c r="M92" s="18" t="n">
        <v>70988.73</v>
      </c>
      <c r="N92" s="18" t="n">
        <v>125619.7</v>
      </c>
      <c r="O92" s="18" t="n">
        <v>67680.85000000001</v>
      </c>
      <c r="P92" s="37" t="n">
        <v>379009.36</v>
      </c>
      <c r="Q92" s="18" t="n">
        <v>55864.07</v>
      </c>
      <c r="R92" s="18" t="n">
        <v>72825.24000000001</v>
      </c>
      <c r="S92" s="18" t="n">
        <v>64949.2</v>
      </c>
      <c r="T92" s="18" t="n">
        <v>64081.33</v>
      </c>
      <c r="U92" s="37" t="n">
        <v>257719.84</v>
      </c>
      <c r="V92" s="18" t="n">
        <v>91179.11</v>
      </c>
      <c r="W92" s="18" t="n">
        <v>46925.54</v>
      </c>
      <c r="X92" s="18" t="n">
        <v>73752.25999999999</v>
      </c>
      <c r="Y92" s="18" t="n">
        <v>108048.61</v>
      </c>
      <c r="Z92" s="37" t="n">
        <v>319905.52</v>
      </c>
      <c r="AA92" s="18" t="n">
        <v>94238.32000000001</v>
      </c>
      <c r="AB92" s="19" t="n">
        <v>83596.02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104133.59</v>
      </c>
      <c r="F93" s="9" t="n"/>
      <c r="G93" s="18" t="n">
        <v>72627.46000000001</v>
      </c>
      <c r="H93" s="18" t="n">
        <v>89907.98</v>
      </c>
      <c r="I93" s="18" t="n">
        <v>105056.71</v>
      </c>
      <c r="J93" s="18" t="n">
        <v>125439.45</v>
      </c>
      <c r="K93" s="37" t="n">
        <v>393031.6</v>
      </c>
      <c r="L93" s="18" t="n">
        <v>120787.53</v>
      </c>
      <c r="M93" s="18" t="n">
        <v>73053.42999999999</v>
      </c>
      <c r="N93" s="18" t="n">
        <v>126554.27</v>
      </c>
      <c r="O93" s="18" t="n">
        <v>69451.98</v>
      </c>
      <c r="P93" s="37" t="n">
        <v>389847.21</v>
      </c>
      <c r="Q93" s="18" t="n">
        <v>57157.04</v>
      </c>
      <c r="R93" s="18" t="n">
        <v>74065.75</v>
      </c>
      <c r="S93" s="18" t="n">
        <v>65508.53</v>
      </c>
      <c r="T93" s="18" t="n">
        <v>68269.3</v>
      </c>
      <c r="U93" s="37" t="n">
        <v>265000.62</v>
      </c>
      <c r="V93" s="18" t="n">
        <v>92403.92</v>
      </c>
      <c r="W93" s="18" t="n">
        <v>48155.14</v>
      </c>
      <c r="X93" s="18" t="n">
        <v>75674.07000000001</v>
      </c>
      <c r="Y93" s="18" t="n">
        <v>114486.52</v>
      </c>
      <c r="Z93" s="37" t="n">
        <v>330719.65</v>
      </c>
      <c r="AA93" s="18" t="n">
        <v>95027.00999999999</v>
      </c>
      <c r="AB93" s="19" t="n">
        <v>84402.91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1313.93</v>
      </c>
      <c r="F94" s="9" t="n"/>
      <c r="G94" s="18" t="n">
        <v>397.76</v>
      </c>
      <c r="H94" s="18" t="n">
        <v>2796.13</v>
      </c>
      <c r="I94" s="18" t="n">
        <v>3363.62</v>
      </c>
      <c r="J94" s="18" t="n">
        <v>1732.53</v>
      </c>
      <c r="K94" s="37" t="n">
        <v>8290.040000000001</v>
      </c>
      <c r="L94" s="18" t="n">
        <v>6067.45</v>
      </c>
      <c r="M94" s="18" t="n">
        <v>2064.7</v>
      </c>
      <c r="N94" s="18" t="n">
        <v>934.5700000000001</v>
      </c>
      <c r="O94" s="18" t="n">
        <v>1771.13</v>
      </c>
      <c r="P94" s="37" t="n">
        <v>10837.85</v>
      </c>
      <c r="Q94" s="18" t="n">
        <v>1292.97</v>
      </c>
      <c r="R94" s="18" t="n">
        <v>1240.51</v>
      </c>
      <c r="S94" s="18" t="n">
        <v>559.33</v>
      </c>
      <c r="T94" s="18" t="n">
        <v>4187.97</v>
      </c>
      <c r="U94" s="37" t="n">
        <v>7280.78</v>
      </c>
      <c r="V94" s="18" t="n">
        <v>1224.81</v>
      </c>
      <c r="W94" s="18" t="n">
        <v>1229.6</v>
      </c>
      <c r="X94" s="18" t="n">
        <v>1921.81</v>
      </c>
      <c r="Y94" s="18" t="n">
        <v>6437.91</v>
      </c>
      <c r="Z94" s="37" t="n">
        <v>10814.13</v>
      </c>
      <c r="AA94" s="18" t="n">
        <v>788.6900000000001</v>
      </c>
      <c r="AB94" s="19" t="n">
        <v>806.89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806.04</v>
      </c>
      <c r="F95" s="9" t="n"/>
      <c r="G95" s="18" t="n">
        <v>705.9299999999999</v>
      </c>
      <c r="H95" s="18" t="n">
        <v>2943.72</v>
      </c>
      <c r="I95" s="18" t="n">
        <v>508.07</v>
      </c>
      <c r="J95" s="18" t="n">
        <v>2019.59</v>
      </c>
      <c r="K95" s="37" t="n">
        <v>6177.31</v>
      </c>
      <c r="L95" s="18" t="n">
        <v>45146.72</v>
      </c>
      <c r="N95" s="18" t="n">
        <v>8482.85</v>
      </c>
      <c r="P95" s="9" t="n"/>
      <c r="Q95" s="18" t="n">
        <v>788.05</v>
      </c>
      <c r="R95" s="18" t="n">
        <v>820.5700000000001</v>
      </c>
      <c r="S95" s="18" t="n">
        <v>1244.14</v>
      </c>
      <c r="T95" s="18" t="n">
        <v>4274.97</v>
      </c>
      <c r="U95" s="37" t="n">
        <v>7127.73</v>
      </c>
      <c r="V95" s="18" t="n">
        <v>336.63</v>
      </c>
      <c r="W95" s="18" t="n">
        <v>1113.85</v>
      </c>
      <c r="X95" s="18" t="n">
        <v>5295.68</v>
      </c>
      <c r="Y95" s="18" t="n">
        <v>25821.38</v>
      </c>
      <c r="Z95" s="37" t="n">
        <v>32567.54</v>
      </c>
      <c r="AA95" s="18" t="n">
        <v>1031.43</v>
      </c>
      <c r="AB95" s="19" t="n">
        <v>451.46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G96" s="18" t="n">
        <v>0.22</v>
      </c>
      <c r="H96" s="18" t="n">
        <v>2150</v>
      </c>
      <c r="I96" s="18" t="n">
        <v>0</v>
      </c>
      <c r="J96" s="18" t="n">
        <v>0</v>
      </c>
      <c r="K96" s="37" t="n">
        <v>2150.22</v>
      </c>
      <c r="N96" s="18" t="n">
        <v>0.73</v>
      </c>
      <c r="O96" s="18" t="n">
        <v>8.32</v>
      </c>
      <c r="P96" s="9" t="n"/>
      <c r="S96" s="18" t="n">
        <v>3</v>
      </c>
      <c r="T96" s="18" t="n">
        <v>5.84</v>
      </c>
      <c r="U96" s="9" t="n"/>
      <c r="V96" s="18" t="n">
        <v>92.25</v>
      </c>
      <c r="X96" s="18" t="n">
        <v>208.14</v>
      </c>
      <c r="Y96" s="18" t="n">
        <v>75937.03999999999</v>
      </c>
      <c r="Z96" s="9" t="n"/>
      <c r="AA96" s="18" t="n">
        <v>0.01</v>
      </c>
      <c r="AB96" s="19" t="n">
        <v>0.49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-732.52</v>
      </c>
      <c r="F97" s="9" t="n"/>
      <c r="G97" s="18" t="n">
        <v>530.49</v>
      </c>
      <c r="H97" s="18" t="n">
        <v>729.63</v>
      </c>
      <c r="I97" s="18" t="n">
        <v>1381.32</v>
      </c>
      <c r="J97" s="18" t="n">
        <v>3996.46</v>
      </c>
      <c r="K97" s="37" t="n">
        <v>6637.9</v>
      </c>
      <c r="L97" s="18" t="n">
        <v>9399.700000000001</v>
      </c>
      <c r="M97" s="18" t="n">
        <v>7308.47</v>
      </c>
      <c r="N97" s="18" t="n">
        <v>8080.09</v>
      </c>
      <c r="O97" s="18" t="n">
        <v>10292.59</v>
      </c>
      <c r="P97" s="37" t="n">
        <v>35080.85</v>
      </c>
      <c r="Q97" s="18" t="n">
        <v>8656.629999999999</v>
      </c>
      <c r="R97" s="18" t="n">
        <v>7100</v>
      </c>
      <c r="S97" s="18" t="n">
        <v>6164.48</v>
      </c>
      <c r="T97" s="18" t="n">
        <v>7190.6</v>
      </c>
      <c r="U97" s="37" t="n">
        <v>29111.71</v>
      </c>
      <c r="V97" s="18" t="n">
        <v>1182.95</v>
      </c>
      <c r="W97" s="18" t="n">
        <v>2246.77</v>
      </c>
      <c r="X97" s="18" t="n">
        <v>17202.97</v>
      </c>
      <c r="Y97" s="18" t="n">
        <v>3940.35</v>
      </c>
      <c r="Z97" s="37" t="n">
        <v>24573.04</v>
      </c>
      <c r="AA97" s="18" t="n">
        <v>5327.72</v>
      </c>
      <c r="AB97" s="19" t="n">
        <v>14843.15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배당금수취(CF)</t>
        </is>
      </c>
      <c r="E98" s="18" t="n">
        <v>90.22</v>
      </c>
      <c r="F98" s="9" t="n"/>
      <c r="G98" s="18" t="n">
        <v>9.24</v>
      </c>
      <c r="H98" s="18" t="n">
        <v>77797.63</v>
      </c>
      <c r="I98" s="18" t="n">
        <v>612.5599999999999</v>
      </c>
      <c r="J98" s="18" t="n">
        <v>0</v>
      </c>
      <c r="K98" s="37" t="n">
        <v>78419.42999999999</v>
      </c>
      <c r="L98" s="18" t="n">
        <v>143.5</v>
      </c>
      <c r="M98" s="18" t="n">
        <v>44983.33</v>
      </c>
      <c r="N98" s="18" t="n">
        <v>458.48</v>
      </c>
      <c r="O98" s="18" t="n">
        <v>0</v>
      </c>
      <c r="P98" s="37" t="n">
        <v>45585.31</v>
      </c>
      <c r="Q98" s="18" t="n">
        <v>143.5</v>
      </c>
      <c r="R98" s="18" t="n">
        <v>126861.47</v>
      </c>
      <c r="S98" s="18" t="n">
        <v>458.48</v>
      </c>
      <c r="T98" s="18" t="n">
        <v>7751.17</v>
      </c>
      <c r="U98" s="37" t="n">
        <v>135214.62</v>
      </c>
      <c r="V98" s="18" t="n">
        <v>205</v>
      </c>
      <c r="W98" s="18" t="n">
        <v>64147</v>
      </c>
      <c r="X98" s="18" t="n">
        <v>9216.450000000001</v>
      </c>
      <c r="Y98" s="18" t="n">
        <v>110.77</v>
      </c>
      <c r="Z98" s="37" t="n">
        <v>73679.22</v>
      </c>
      <c r="AA98" s="18" t="n">
        <v>205</v>
      </c>
      <c r="AB98" s="19" t="n">
        <v>91422.64999999999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-540076.34</v>
      </c>
      <c r="F99" s="9" t="n"/>
      <c r="G99" s="18" t="n">
        <v>300042.19</v>
      </c>
      <c r="H99" s="18" t="n">
        <v>51526.02</v>
      </c>
      <c r="I99" s="18" t="n">
        <v>-495251.75</v>
      </c>
      <c r="J99" s="18" t="n">
        <v>-40442.19</v>
      </c>
      <c r="K99" s="37" t="n">
        <v>-184125.73</v>
      </c>
      <c r="L99" s="18" t="n">
        <v>147518.35</v>
      </c>
      <c r="M99" s="18" t="n">
        <v>-26619.29</v>
      </c>
      <c r="N99" s="18" t="n">
        <v>-44782.37</v>
      </c>
      <c r="O99" s="18" t="n">
        <v>-237858.81</v>
      </c>
      <c r="P99" s="37" t="n">
        <v>-161742.12</v>
      </c>
      <c r="Q99" s="18" t="n">
        <v>-19793.14</v>
      </c>
      <c r="R99" s="18" t="n">
        <v>-731808.1899999999</v>
      </c>
      <c r="S99" s="18" t="n">
        <v>-44825.63</v>
      </c>
      <c r="T99" s="18" t="n">
        <v>-657630.63</v>
      </c>
      <c r="U99" s="37" t="n">
        <v>-1454057.59</v>
      </c>
      <c r="V99" s="18" t="n">
        <v>383428.87</v>
      </c>
      <c r="W99" s="18" t="n">
        <v>-417154.8</v>
      </c>
      <c r="X99" s="18" t="n">
        <v>-128890.42</v>
      </c>
      <c r="Y99" s="18" t="n">
        <v>-199765.2</v>
      </c>
      <c r="Z99" s="37" t="n">
        <v>-362381.55</v>
      </c>
      <c r="AA99" s="18" t="n">
        <v>256723.4</v>
      </c>
      <c r="AB99" s="19" t="n">
        <v>-388537.8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E100" s="18" t="n">
        <v>0</v>
      </c>
      <c r="F100" s="9" t="n"/>
      <c r="G100" s="18" t="n">
        <v>371564.16</v>
      </c>
      <c r="H100" s="18" t="n">
        <v>0</v>
      </c>
      <c r="I100" s="18" t="n">
        <v>0</v>
      </c>
      <c r="J100" s="18" t="n">
        <v>0</v>
      </c>
      <c r="K100" s="37" t="n">
        <v>371564.16</v>
      </c>
      <c r="L100" s="18" t="n">
        <v>2154454.62</v>
      </c>
      <c r="M100" s="18" t="n">
        <v>32749.71</v>
      </c>
      <c r="N100" s="18" t="n">
        <v>9036.15</v>
      </c>
      <c r="P100" s="9" t="n"/>
      <c r="S100" s="18" t="n">
        <v>4304.06</v>
      </c>
      <c r="U100" s="9" t="n"/>
      <c r="V100" s="18" t="n">
        <v>100000</v>
      </c>
      <c r="W100" s="18" t="n">
        <v>100168</v>
      </c>
      <c r="X100" s="18" t="n">
        <v>0</v>
      </c>
      <c r="Y100" s="18" t="n">
        <v>0</v>
      </c>
      <c r="Z100" s="37" t="n">
        <v>200168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249261.26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Q101" s="18" t="n">
        <v>578380.4399999999</v>
      </c>
      <c r="R101" s="18" t="n">
        <v>0</v>
      </c>
      <c r="S101" s="18" t="n">
        <v>0</v>
      </c>
      <c r="T101" s="18" t="n">
        <v>299133.46</v>
      </c>
      <c r="U101" s="37" t="n">
        <v>877513.9</v>
      </c>
      <c r="V101" s="18" t="n">
        <v>398851.08</v>
      </c>
      <c r="W101" s="18" t="n">
        <v>0</v>
      </c>
      <c r="X101" s="18" t="n">
        <v>885072.27</v>
      </c>
      <c r="Y101" s="18" t="n">
        <v>945728.41</v>
      </c>
      <c r="Z101" s="37" t="n">
        <v>2229651.76</v>
      </c>
      <c r="AA101" s="18" t="n">
        <v>398861.36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유동성장기부채의감소</t>
        </is>
      </c>
      <c r="E102" s="18" t="n">
        <v>2482.56</v>
      </c>
      <c r="F102" s="9" t="n"/>
      <c r="G102" s="18" t="n">
        <v>2522.89</v>
      </c>
      <c r="H102" s="18" t="n">
        <v>82628.41</v>
      </c>
      <c r="I102" s="18" t="n">
        <v>102778.2</v>
      </c>
      <c r="J102" s="18" t="n">
        <v>6160.89</v>
      </c>
      <c r="K102" s="37" t="n">
        <v>194090.39</v>
      </c>
      <c r="L102" s="18" t="n">
        <v>283.95</v>
      </c>
      <c r="M102" s="18" t="n">
        <v>3073.77</v>
      </c>
      <c r="N102" s="18" t="n">
        <v>8480.959999999999</v>
      </c>
      <c r="P102" s="9" t="n"/>
      <c r="Q102" s="18" t="n">
        <v>402822.96</v>
      </c>
      <c r="R102" s="18" t="n">
        <v>41594.42</v>
      </c>
      <c r="S102" s="18" t="n">
        <v>7193.09</v>
      </c>
      <c r="T102" s="18" t="n">
        <v>102606.24</v>
      </c>
      <c r="U102" s="37" t="n">
        <v>554216.71</v>
      </c>
      <c r="V102" s="18" t="n">
        <v>141407.31</v>
      </c>
      <c r="W102" s="18" t="n">
        <v>2247.14</v>
      </c>
      <c r="X102" s="18" t="n">
        <v>2937.79</v>
      </c>
      <c r="Y102" s="18" t="n">
        <v>12148.98</v>
      </c>
      <c r="Z102" s="37" t="n">
        <v>158741.22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E103" s="18" t="n">
        <v>280000</v>
      </c>
      <c r="F103" s="9" t="n"/>
      <c r="K103" s="9" t="n"/>
      <c r="L103" s="18" t="n">
        <v>200000</v>
      </c>
      <c r="M103" s="18" t="n">
        <v>150000</v>
      </c>
      <c r="N103" s="18" t="n">
        <v>0</v>
      </c>
      <c r="O103" s="18" t="n">
        <v>320000</v>
      </c>
      <c r="P103" s="37" t="n">
        <v>670000</v>
      </c>
      <c r="S103" s="18" t="n">
        <v>0</v>
      </c>
      <c r="T103" s="18" t="n">
        <v>170000</v>
      </c>
      <c r="U103" s="9" t="n"/>
      <c r="X103" s="18" t="n">
        <v>0</v>
      </c>
      <c r="Y103" s="18" t="n">
        <v>50000</v>
      </c>
      <c r="Z103" s="9" t="n"/>
      <c r="AA103" s="18" t="n">
        <v>145000</v>
      </c>
      <c r="AB103" s="19" t="n">
        <v>275000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E104" s="18" t="n">
        <v>6519.81</v>
      </c>
      <c r="F104" s="9" t="n"/>
      <c r="G104" s="18" t="n">
        <v>6289.61</v>
      </c>
      <c r="H104" s="18" t="n">
        <v>6144.73</v>
      </c>
      <c r="I104" s="18" t="n">
        <v>6579.13</v>
      </c>
      <c r="J104" s="18" t="n">
        <v>6539.68</v>
      </c>
      <c r="K104" s="37" t="n">
        <v>25553.15</v>
      </c>
      <c r="L104" s="18" t="n">
        <v>6312.66</v>
      </c>
      <c r="M104" s="18" t="n">
        <v>10488.22</v>
      </c>
      <c r="N104" s="18" t="n">
        <v>8313.530000000001</v>
      </c>
      <c r="O104" s="18" t="n">
        <v>9634.780000000001</v>
      </c>
      <c r="P104" s="37" t="n">
        <v>34749.19</v>
      </c>
      <c r="Q104" s="18" t="n">
        <v>8229.379999999999</v>
      </c>
      <c r="R104" s="18" t="n">
        <v>8705.33</v>
      </c>
      <c r="S104" s="18" t="n">
        <v>8786.16</v>
      </c>
      <c r="T104" s="18" t="n">
        <v>8192.6</v>
      </c>
      <c r="U104" s="37" t="n">
        <v>33913.47</v>
      </c>
      <c r="V104" s="18" t="n">
        <v>9113.860000000001</v>
      </c>
      <c r="W104" s="18" t="n">
        <v>8755.969999999999</v>
      </c>
      <c r="X104" s="18" t="n">
        <v>8945.84</v>
      </c>
      <c r="Y104" s="18" t="n">
        <v>11242</v>
      </c>
      <c r="Z104" s="37" t="n">
        <v>38057.67</v>
      </c>
      <c r="AA104" s="18" t="n">
        <v>10304.71</v>
      </c>
      <c r="AB104" s="19" t="n">
        <v>9825.940000000001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E105" s="18" t="n">
        <v>-36812.03</v>
      </c>
      <c r="F105" s="9" t="n"/>
      <c r="G105" s="18" t="n">
        <v>-44471.1</v>
      </c>
      <c r="H105" s="18" t="n">
        <v>-36900.94</v>
      </c>
      <c r="I105" s="18" t="n">
        <v>-40517.01</v>
      </c>
      <c r="J105" s="18" t="n">
        <v>-46861.4</v>
      </c>
      <c r="K105" s="37" t="n">
        <v>-168750.45</v>
      </c>
      <c r="L105" s="18" t="n">
        <v>-48830.07</v>
      </c>
      <c r="M105" s="18" t="n">
        <v>-66047.39999999999</v>
      </c>
      <c r="N105" s="18" t="n">
        <v>-59192.81</v>
      </c>
      <c r="O105" s="18" t="n">
        <v>-70323.56</v>
      </c>
      <c r="P105" s="37" t="n">
        <v>-244393.84</v>
      </c>
      <c r="Q105" s="18" t="n">
        <v>-50542.72</v>
      </c>
      <c r="R105" s="18" t="n">
        <v>-85058.64999999999</v>
      </c>
      <c r="S105" s="18" t="n">
        <v>-85128.08</v>
      </c>
      <c r="T105" s="18" t="n">
        <v>-78992.92999999999</v>
      </c>
      <c r="U105" s="37" t="n">
        <v>-299722.38</v>
      </c>
      <c r="V105" s="18" t="n">
        <v>-72092.56</v>
      </c>
      <c r="W105" s="18" t="n">
        <v>-74337.88</v>
      </c>
      <c r="X105" s="18" t="n">
        <v>-47366.11</v>
      </c>
      <c r="Y105" s="18" t="n">
        <v>-43950.96</v>
      </c>
      <c r="Z105" s="37" t="n">
        <v>-237747.51</v>
      </c>
      <c r="AA105" s="18" t="n">
        <v>-50624.16</v>
      </c>
      <c r="AB105" s="19" t="n">
        <v>-46810.71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E106" s="18" t="n">
        <v>0</v>
      </c>
      <c r="F106" s="9" t="n"/>
      <c r="I106" s="18" t="n">
        <v>7354.17</v>
      </c>
      <c r="J106" s="18" t="n">
        <v>0</v>
      </c>
      <c r="K106" s="9" t="n"/>
      <c r="N106" s="18" t="n">
        <v>7354.17</v>
      </c>
      <c r="O106" s="18" t="n">
        <v>0</v>
      </c>
      <c r="P106" s="9" t="n"/>
      <c r="S106" s="18" t="n">
        <v>7354.17</v>
      </c>
      <c r="T106" s="18" t="n">
        <v>0</v>
      </c>
      <c r="U106" s="9" t="n"/>
      <c r="X106" s="18" t="n">
        <v>7354.17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현금및현금성자산의증감</t>
        </is>
      </c>
      <c r="E107" s="18" t="n">
        <v>39723.13</v>
      </c>
      <c r="F107" s="9" t="n"/>
      <c r="G107" s="18" t="n">
        <v>-223429.66</v>
      </c>
      <c r="H107" s="18" t="n">
        <v>-7875.24</v>
      </c>
      <c r="I107" s="18" t="n">
        <v>112967.04</v>
      </c>
      <c r="J107" s="18" t="n">
        <v>354863.67</v>
      </c>
      <c r="K107" s="37" t="n">
        <v>236525.81</v>
      </c>
      <c r="L107" s="18" t="n">
        <v>38483.32</v>
      </c>
      <c r="M107" s="18" t="n">
        <v>154801.38</v>
      </c>
      <c r="N107" s="18" t="n">
        <v>42356.94</v>
      </c>
      <c r="O107" s="18" t="n">
        <v>35541.42</v>
      </c>
      <c r="P107" s="37" t="n">
        <v>271183.06</v>
      </c>
      <c r="Q107" s="18" t="n">
        <v>21111.44</v>
      </c>
      <c r="R107" s="18" t="n">
        <v>-14908.28</v>
      </c>
      <c r="S107" s="18" t="n">
        <v>-16228.9</v>
      </c>
      <c r="T107" s="18" t="n">
        <v>-565693.23</v>
      </c>
      <c r="U107" s="37" t="n">
        <v>-575718.97</v>
      </c>
      <c r="V107" s="18" t="n">
        <v>403278.38</v>
      </c>
      <c r="W107" s="18" t="n">
        <v>-103440.58</v>
      </c>
      <c r="X107" s="18" t="n">
        <v>112108.32</v>
      </c>
      <c r="Y107" s="18" t="n">
        <v>284532.77</v>
      </c>
      <c r="Z107" s="37" t="n">
        <v>696478.89</v>
      </c>
      <c r="AA107" s="18" t="n">
        <v>232424.84</v>
      </c>
      <c r="AB107" s="19" t="n">
        <v>-289643.7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기말현금및현금성자산</t>
        </is>
      </c>
      <c r="E108" s="18" t="n">
        <v>37910.82</v>
      </c>
      <c r="F108" s="9" t="n"/>
      <c r="G108" s="18" t="n">
        <v>328395.52</v>
      </c>
      <c r="H108" s="18" t="n">
        <v>65758.5</v>
      </c>
      <c r="I108" s="18" t="n">
        <v>73137.35000000001</v>
      </c>
      <c r="J108" s="18" t="n">
        <v>309456.3</v>
      </c>
      <c r="K108" s="37" t="n">
        <v>776747.67</v>
      </c>
      <c r="L108" s="18" t="n">
        <v>830350.62</v>
      </c>
      <c r="M108" s="18" t="n">
        <v>143259.7</v>
      </c>
      <c r="N108" s="18" t="n">
        <v>55829.09</v>
      </c>
      <c r="O108" s="18" t="n">
        <v>15702.7</v>
      </c>
      <c r="P108" s="37" t="n">
        <v>1045142.11</v>
      </c>
      <c r="Q108" s="18" t="n">
        <v>1083647.85</v>
      </c>
      <c r="R108" s="18" t="n">
        <v>-11018.16</v>
      </c>
      <c r="S108" s="18" t="n">
        <v>-31720.07</v>
      </c>
      <c r="T108" s="18" t="n">
        <v>-539579.86</v>
      </c>
      <c r="U108" s="37" t="n">
        <v>501329.76</v>
      </c>
      <c r="V108" s="18" t="n">
        <v>906545.13</v>
      </c>
      <c r="W108" s="18" t="n">
        <v>-124860.27</v>
      </c>
      <c r="X108" s="18" t="n">
        <v>133522.73</v>
      </c>
      <c r="Y108" s="18" t="n">
        <v>278404.85</v>
      </c>
      <c r="Z108" s="37" t="n">
        <v>1193612.44</v>
      </c>
      <c r="AA108" s="18" t="n">
        <v>1469494.85</v>
      </c>
      <c r="AB108" s="19" t="n">
        <v>-292114.55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자기주식의취득</t>
        </is>
      </c>
      <c r="F109" s="9" t="n"/>
      <c r="G109" s="18" t="n">
        <v>81426.66</v>
      </c>
      <c r="H109" s="18" t="n">
        <v>18467.27</v>
      </c>
      <c r="I109" s="18" t="n">
        <v>0</v>
      </c>
      <c r="J109" s="18" t="n">
        <v>0</v>
      </c>
      <c r="K109" s="37" t="n">
        <v>99893.92999999999</v>
      </c>
      <c r="P109" s="9" t="n"/>
      <c r="U109" s="9" t="n"/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장기차입금의감소</t>
        </is>
      </c>
      <c r="F110" s="9" t="n"/>
      <c r="K110" s="9" t="n"/>
      <c r="L110" s="18" t="n">
        <v>2106067.64</v>
      </c>
      <c r="M110" s="18" t="n">
        <v>71292.67999999999</v>
      </c>
      <c r="O110" s="18" t="n">
        <v>6333.5</v>
      </c>
      <c r="P110" s="9" t="n"/>
      <c r="S110" s="18" t="n">
        <v>0</v>
      </c>
      <c r="T110" s="18" t="n">
        <v>545592</v>
      </c>
      <c r="U110" s="9" t="n"/>
      <c r="X110" s="18" t="n">
        <v>958481.46</v>
      </c>
      <c r="Y110" s="18" t="n">
        <v>787297.34</v>
      </c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7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7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7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7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7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7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7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7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7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7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7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7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7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7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7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7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7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7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7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7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7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7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7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7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7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7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7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7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7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7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7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7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7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7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7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7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7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7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7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7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7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7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7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7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7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7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7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7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7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7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7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7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7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7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7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7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7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7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7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7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7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7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7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7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7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7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7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7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7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7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7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7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7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7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7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7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7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7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7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7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7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7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7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7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7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7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7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7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7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7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7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7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7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7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7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7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7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7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7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7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7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7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7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7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7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7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7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7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7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7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7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7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7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7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7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7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7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7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7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7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7" t="n">
        <v>180000</v>
      </c>
      <c r="G29" s="18" t="n">
        <v>379890.05</v>
      </c>
      <c r="H29" s="18" t="n">
        <v>449778.51</v>
      </c>
      <c r="I29" s="18" t="n">
        <v>349846.7</v>
      </c>
      <c r="J29" s="18" t="n">
        <v>669746.22</v>
      </c>
      <c r="K29" s="37" t="n">
        <v>669746.22</v>
      </c>
      <c r="L29" s="18" t="n">
        <v>869846.39</v>
      </c>
      <c r="M29" s="18" t="n">
        <v>959145.61</v>
      </c>
      <c r="N29" s="18" t="n">
        <v>960202.28</v>
      </c>
      <c r="O29" s="18" t="n">
        <v>908487.2</v>
      </c>
      <c r="P29" s="37" t="n">
        <v>908487.2</v>
      </c>
      <c r="Q29" s="18" t="n">
        <v>640994.49</v>
      </c>
      <c r="R29" s="18" t="n">
        <v>673541.98</v>
      </c>
      <c r="S29" s="18" t="n">
        <v>672499.95</v>
      </c>
      <c r="T29" s="18" t="n">
        <v>457495.69</v>
      </c>
      <c r="U29" s="37" t="n">
        <v>457495.69</v>
      </c>
      <c r="V29" s="18" t="n">
        <v>464798.17</v>
      </c>
      <c r="W29" s="18" t="n">
        <v>469645.83</v>
      </c>
      <c r="X29" s="18" t="n">
        <v>1170380.85</v>
      </c>
      <c r="Y29" s="18" t="n">
        <v>1313396.32</v>
      </c>
      <c r="Z29" s="37" t="n">
        <v>1313396.32</v>
      </c>
      <c r="AA29" s="18" t="n">
        <v>1607554.63</v>
      </c>
      <c r="AB29" s="19" t="n">
        <v>2041868.19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7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7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7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7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7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7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7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7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7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7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7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7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7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7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7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7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7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7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7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7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7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7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7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7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7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7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7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7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7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7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7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7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7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7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7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7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7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7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7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7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7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7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7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7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7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7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7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7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7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7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7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7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7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7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7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7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7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7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7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7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7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7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7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7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7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7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7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7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7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7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7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7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7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7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7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7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7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7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7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7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7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7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7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7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7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7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7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7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7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7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7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7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7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7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7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7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7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7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7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7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7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7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7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7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O52" s="18" t="n">
        <v>164369.97</v>
      </c>
      <c r="P52" s="37" t="n">
        <v>164369.97</v>
      </c>
      <c r="Q52" s="18" t="n">
        <v>168939.66</v>
      </c>
      <c r="U52" s="9" t="n"/>
      <c r="X52" s="18" t="n">
        <v>299131.33</v>
      </c>
      <c r="Y52" s="18" t="n">
        <v>275328.61</v>
      </c>
      <c r="Z52" s="37" t="n">
        <v>275328.61</v>
      </c>
      <c r="AA52" s="18" t="n">
        <v>168371.8</v>
      </c>
      <c r="AB52" s="19" t="n">
        <v>136569.19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164369.97</v>
      </c>
      <c r="P53" s="37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7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630575.28</v>
      </c>
      <c r="F54" s="9" t="n"/>
      <c r="G54" s="18" t="n">
        <v>591633.9399999999</v>
      </c>
      <c r="H54" s="18" t="n">
        <v>691108.74</v>
      </c>
      <c r="I54" s="18" t="n">
        <v>685954.1800000001</v>
      </c>
      <c r="J54" s="18" t="n">
        <v>733008.72</v>
      </c>
      <c r="K54" s="37" t="n">
        <v>2701705.58</v>
      </c>
      <c r="L54" s="18" t="n">
        <v>698957.77</v>
      </c>
      <c r="M54" s="18" t="n">
        <v>746470.85</v>
      </c>
      <c r="N54" s="18" t="n">
        <v>755998.4399999999</v>
      </c>
      <c r="O54" s="18" t="n">
        <v>798089.54</v>
      </c>
      <c r="P54" s="37" t="n">
        <v>2999516.6</v>
      </c>
      <c r="Q54" s="18" t="n">
        <v>761600.28</v>
      </c>
      <c r="R54" s="18" t="n">
        <v>855758.96</v>
      </c>
      <c r="S54" s="18" t="n">
        <v>748529.62</v>
      </c>
      <c r="T54" s="18" t="n">
        <v>761041.63</v>
      </c>
      <c r="U54" s="37" t="n">
        <v>3126930.49</v>
      </c>
      <c r="V54" s="18" t="n">
        <v>700063.86</v>
      </c>
      <c r="W54" s="18" t="n">
        <v>782984.14</v>
      </c>
      <c r="X54" s="18" t="n">
        <v>746115.12</v>
      </c>
      <c r="Y54" s="18" t="n">
        <v>706560.75</v>
      </c>
      <c r="Z54" s="37" t="n">
        <v>2935723.87</v>
      </c>
      <c r="AA54" s="18" t="n">
        <v>700342.9399999999</v>
      </c>
      <c r="AB54" s="19" t="n">
        <v>770047.6899999999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507378.36</v>
      </c>
      <c r="F55" s="9" t="n"/>
      <c r="G55" s="18" t="n">
        <v>470560.92</v>
      </c>
      <c r="H55" s="18" t="n">
        <v>534116.8</v>
      </c>
      <c r="I55" s="18" t="n">
        <v>543545.48</v>
      </c>
      <c r="J55" s="18" t="n">
        <v>581791.1800000001</v>
      </c>
      <c r="K55" s="37" t="n">
        <v>2130014.38</v>
      </c>
      <c r="L55" s="18" t="n">
        <v>553162.6899999999</v>
      </c>
      <c r="M55" s="18" t="n">
        <v>541461.97</v>
      </c>
      <c r="N55" s="18" t="n">
        <v>546661.5</v>
      </c>
      <c r="O55" s="18" t="n">
        <v>587008.28</v>
      </c>
      <c r="P55" s="37" t="n">
        <v>2228294.44</v>
      </c>
      <c r="Q55" s="18" t="n">
        <v>570438.14</v>
      </c>
      <c r="R55" s="18" t="n">
        <v>638194.87</v>
      </c>
      <c r="S55" s="18" t="n">
        <v>564653.11</v>
      </c>
      <c r="T55" s="18" t="n">
        <v>569674.37</v>
      </c>
      <c r="U55" s="37" t="n">
        <v>2342960.49</v>
      </c>
      <c r="V55" s="18" t="n">
        <v>536699.1899999999</v>
      </c>
      <c r="W55" s="18" t="n">
        <v>594586.73</v>
      </c>
      <c r="X55" s="18" t="n">
        <v>562215.33</v>
      </c>
      <c r="Y55" s="18" t="n">
        <v>535761.05</v>
      </c>
      <c r="Z55" s="37" t="n">
        <v>2229262.3</v>
      </c>
      <c r="AA55" s="18" t="n">
        <v>527331.83</v>
      </c>
      <c r="AB55" s="19" t="n">
        <v>584863.65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123196.91</v>
      </c>
      <c r="F56" s="9" t="n"/>
      <c r="G56" s="18" t="n">
        <v>121073.02</v>
      </c>
      <c r="H56" s="18" t="n">
        <v>156991.94</v>
      </c>
      <c r="I56" s="18" t="n">
        <v>142408.7</v>
      </c>
      <c r="J56" s="18" t="n">
        <v>151217.53</v>
      </c>
      <c r="K56" s="37" t="n">
        <v>571691.1899999999</v>
      </c>
      <c r="L56" s="18" t="n">
        <v>145795.07</v>
      </c>
      <c r="M56" s="18" t="n">
        <v>205008.88</v>
      </c>
      <c r="N56" s="18" t="n">
        <v>209336.93</v>
      </c>
      <c r="O56" s="18" t="n">
        <v>211081.26</v>
      </c>
      <c r="P56" s="37" t="n">
        <v>771222.14</v>
      </c>
      <c r="Q56" s="18" t="n">
        <v>191162.14</v>
      </c>
      <c r="R56" s="18" t="n">
        <v>217564.09</v>
      </c>
      <c r="S56" s="18" t="n">
        <v>183876.51</v>
      </c>
      <c r="T56" s="18" t="n">
        <v>191367.26</v>
      </c>
      <c r="U56" s="37" t="n">
        <v>783970</v>
      </c>
      <c r="V56" s="18" t="n">
        <v>163364.67</v>
      </c>
      <c r="W56" s="18" t="n">
        <v>188397.41</v>
      </c>
      <c r="X56" s="18" t="n">
        <v>183899.79</v>
      </c>
      <c r="Y56" s="18" t="n">
        <v>170799.7</v>
      </c>
      <c r="Z56" s="37" t="n">
        <v>706461.5699999999</v>
      </c>
      <c r="AA56" s="18" t="n">
        <v>173011.11</v>
      </c>
      <c r="AB56" s="19" t="n">
        <v>185184.04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103182.21</v>
      </c>
      <c r="F57" s="9" t="n"/>
      <c r="G57" s="18" t="n">
        <v>95815.64999999999</v>
      </c>
      <c r="H57" s="18" t="n">
        <v>95848.57000000001</v>
      </c>
      <c r="I57" s="18" t="n">
        <v>90805.56</v>
      </c>
      <c r="J57" s="18" t="n">
        <v>111430.06</v>
      </c>
      <c r="K57" s="37" t="n">
        <v>393899.84</v>
      </c>
      <c r="L57" s="18" t="n">
        <v>94556.38</v>
      </c>
      <c r="M57" s="18" t="n">
        <v>107361.67</v>
      </c>
      <c r="N57" s="18" t="n">
        <v>99067.66</v>
      </c>
      <c r="O57" s="18" t="n">
        <v>124953.6</v>
      </c>
      <c r="P57" s="37" t="n">
        <v>425939.31</v>
      </c>
      <c r="Q57" s="18" t="n">
        <v>102979.56</v>
      </c>
      <c r="R57" s="18" t="n">
        <v>115435</v>
      </c>
      <c r="S57" s="18" t="n">
        <v>107567.69</v>
      </c>
      <c r="T57" s="18" t="n">
        <v>120975.15</v>
      </c>
      <c r="U57" s="37" t="n">
        <v>446957.4</v>
      </c>
      <c r="V57" s="18" t="n">
        <v>101661.53</v>
      </c>
      <c r="W57" s="18" t="n">
        <v>105216.4</v>
      </c>
      <c r="X57" s="18" t="n">
        <v>105672.55</v>
      </c>
      <c r="Y57" s="18" t="n">
        <v>111076.58</v>
      </c>
      <c r="Z57" s="37" t="n">
        <v>423627.06</v>
      </c>
      <c r="AA57" s="18" t="n">
        <v>107374.68</v>
      </c>
      <c r="AB57" s="19" t="n">
        <v>107944.59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20014.71</v>
      </c>
      <c r="F58" s="9" t="n"/>
      <c r="G58" s="18" t="n">
        <v>25257.37</v>
      </c>
      <c r="H58" s="18" t="n">
        <v>61143.37</v>
      </c>
      <c r="I58" s="18" t="n">
        <v>51603.13</v>
      </c>
      <c r="J58" s="18" t="n">
        <v>39787.47</v>
      </c>
      <c r="K58" s="37" t="n">
        <v>177791.34</v>
      </c>
      <c r="L58" s="18" t="n">
        <v>51238.69</v>
      </c>
      <c r="M58" s="18" t="n">
        <v>97647.21000000001</v>
      </c>
      <c r="N58" s="18" t="n">
        <v>110269.27</v>
      </c>
      <c r="O58" s="18" t="n">
        <v>86127.67</v>
      </c>
      <c r="P58" s="37" t="n">
        <v>345282.84</v>
      </c>
      <c r="Q58" s="18" t="n">
        <v>88182.58</v>
      </c>
      <c r="R58" s="18" t="n">
        <v>102129.09</v>
      </c>
      <c r="S58" s="18" t="n">
        <v>76308.82000000001</v>
      </c>
      <c r="T58" s="18" t="n">
        <v>70392.11</v>
      </c>
      <c r="U58" s="37" t="n">
        <v>337012.6</v>
      </c>
      <c r="V58" s="18" t="n">
        <v>61703.14</v>
      </c>
      <c r="W58" s="18" t="n">
        <v>83181.02</v>
      </c>
      <c r="X58" s="18" t="n">
        <v>78227.23</v>
      </c>
      <c r="Y58" s="18" t="n">
        <v>59723.1</v>
      </c>
      <c r="Z58" s="37" t="n">
        <v>282834.49</v>
      </c>
      <c r="AA58" s="18" t="n">
        <v>65636.42999999999</v>
      </c>
      <c r="AB58" s="19" t="n">
        <v>77239.45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-119146.63</v>
      </c>
      <c r="F59" s="9" t="n"/>
      <c r="G59" s="18" t="n">
        <v>-56442.96</v>
      </c>
      <c r="H59" s="18" t="n">
        <v>119717.86</v>
      </c>
      <c r="I59" s="18" t="n">
        <v>-401686.64</v>
      </c>
      <c r="J59" s="18" t="n">
        <v>118680.8</v>
      </c>
      <c r="K59" s="37" t="n">
        <v>-219730.94</v>
      </c>
      <c r="L59" s="18" t="n">
        <v>721.46</v>
      </c>
      <c r="M59" s="18" t="n">
        <v>81318.32000000001</v>
      </c>
      <c r="N59" s="18" t="n">
        <v>17212.47</v>
      </c>
      <c r="O59" s="18" t="n">
        <v>227467.7</v>
      </c>
      <c r="P59" s="37" t="n">
        <v>326719.95</v>
      </c>
      <c r="Q59" s="18" t="n">
        <v>617436.2</v>
      </c>
      <c r="R59" s="18" t="n">
        <v>-75179.35000000001</v>
      </c>
      <c r="S59" s="18" t="n">
        <v>-36503.12</v>
      </c>
      <c r="T59" s="18" t="n">
        <v>-232867.64</v>
      </c>
      <c r="U59" s="37" t="n">
        <v>272886.09</v>
      </c>
      <c r="V59" s="18" t="n">
        <v>17367.57</v>
      </c>
      <c r="W59" s="18" t="n">
        <v>1195591.5</v>
      </c>
      <c r="X59" s="18" t="n">
        <v>397029.7</v>
      </c>
      <c r="Y59" s="18" t="n">
        <v>898787.41</v>
      </c>
      <c r="Z59" s="37" t="n">
        <v>2508776.18</v>
      </c>
      <c r="AA59" s="18" t="n">
        <v>203543.21</v>
      </c>
      <c r="AB59" s="19" t="n">
        <v>3635127.83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20128.86</v>
      </c>
      <c r="F60" s="9" t="n"/>
      <c r="G60" s="18" t="n">
        <v>114126.65</v>
      </c>
      <c r="H60" s="18" t="n">
        <v>191875.39</v>
      </c>
      <c r="I60" s="18" t="n">
        <v>70331.97</v>
      </c>
      <c r="J60" s="18" t="n">
        <v>35582.08</v>
      </c>
      <c r="K60" s="37" t="n">
        <v>411916.09</v>
      </c>
      <c r="L60" s="18" t="n">
        <v>145009.78</v>
      </c>
      <c r="M60" s="18" t="n">
        <v>171792.24</v>
      </c>
      <c r="N60" s="18" t="n">
        <v>54776.42</v>
      </c>
      <c r="O60" s="18" t="n">
        <v>275596.59</v>
      </c>
      <c r="P60" s="37" t="n">
        <v>647175.03</v>
      </c>
      <c r="Q60" s="18" t="n">
        <v>687489.22</v>
      </c>
      <c r="R60" s="18" t="n">
        <v>135197.42</v>
      </c>
      <c r="S60" s="18" t="n">
        <v>15993.77</v>
      </c>
      <c r="T60" s="18" t="n">
        <v>73901.48</v>
      </c>
      <c r="U60" s="37" t="n">
        <v>912581.89</v>
      </c>
      <c r="V60" s="18" t="n">
        <v>142894.84</v>
      </c>
      <c r="W60" s="18" t="n">
        <v>1277748.26</v>
      </c>
      <c r="X60" s="18" t="n">
        <v>544299.05</v>
      </c>
      <c r="Y60" s="18" t="n">
        <v>966146.05</v>
      </c>
      <c r="Z60" s="37" t="n">
        <v>2931088.2</v>
      </c>
      <c r="AA60" s="18" t="n">
        <v>510719.78</v>
      </c>
      <c r="AB60" s="19" t="n">
        <v>3730158.75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139275.49</v>
      </c>
      <c r="F61" s="9" t="n"/>
      <c r="G61" s="18" t="n">
        <v>170569.61</v>
      </c>
      <c r="H61" s="18" t="n">
        <v>72157.53</v>
      </c>
      <c r="I61" s="18" t="n">
        <v>472018.62</v>
      </c>
      <c r="J61" s="18" t="n">
        <v>-83098.73</v>
      </c>
      <c r="K61" s="37" t="n">
        <v>631647.03</v>
      </c>
      <c r="L61" s="18" t="n">
        <v>144288.32</v>
      </c>
      <c r="M61" s="18" t="n">
        <v>90473.92</v>
      </c>
      <c r="N61" s="18" t="n">
        <v>37563.95</v>
      </c>
      <c r="O61" s="18" t="n">
        <v>48128.9</v>
      </c>
      <c r="P61" s="37" t="n">
        <v>320455.09</v>
      </c>
      <c r="Q61" s="18" t="n">
        <v>70053.03</v>
      </c>
      <c r="R61" s="18" t="n">
        <v>210376.77</v>
      </c>
      <c r="S61" s="18" t="n">
        <v>52496.89</v>
      </c>
      <c r="T61" s="18" t="n">
        <v>306769.12</v>
      </c>
      <c r="U61" s="37" t="n">
        <v>639695.8100000001</v>
      </c>
      <c r="V61" s="18" t="n">
        <v>125527.27</v>
      </c>
      <c r="W61" s="18" t="n">
        <v>82156.75</v>
      </c>
      <c r="X61" s="18" t="n">
        <v>147269.35</v>
      </c>
      <c r="Y61" s="18" t="n">
        <v>67358.64</v>
      </c>
      <c r="Z61" s="37" t="n">
        <v>422312.01</v>
      </c>
      <c r="AA61" s="18" t="n">
        <v>307176.57</v>
      </c>
      <c r="AB61" s="19" t="n">
        <v>95030.92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73652.06</v>
      </c>
      <c r="F62" s="9" t="n"/>
      <c r="G62" s="18" t="n">
        <v>4743</v>
      </c>
      <c r="H62" s="18" t="n">
        <v>3509.43</v>
      </c>
      <c r="I62" s="18" t="n">
        <v>-300.31</v>
      </c>
      <c r="J62" s="18" t="n">
        <v>41906.39</v>
      </c>
      <c r="K62" s="37" t="n">
        <v>49858.51</v>
      </c>
      <c r="L62" s="18" t="n">
        <v>19719.72</v>
      </c>
      <c r="M62" s="18" t="n">
        <v>-328.06</v>
      </c>
      <c r="N62" s="18" t="n">
        <v>9078.969999999999</v>
      </c>
      <c r="O62" s="18" t="n">
        <v>4909.24</v>
      </c>
      <c r="P62" s="37" t="n">
        <v>33379.87</v>
      </c>
      <c r="Q62" s="18" t="n">
        <v>7074.07</v>
      </c>
      <c r="R62" s="18" t="n">
        <v>6620.77</v>
      </c>
      <c r="S62" s="18" t="n">
        <v>8801.700000000001</v>
      </c>
      <c r="T62" s="18" t="n">
        <v>5948.41</v>
      </c>
      <c r="U62" s="37" t="n">
        <v>28444.95</v>
      </c>
      <c r="V62" s="18" t="n">
        <v>30044.02</v>
      </c>
      <c r="W62" s="18" t="n">
        <v>800.99</v>
      </c>
      <c r="X62" s="18" t="n">
        <v>10117.81</v>
      </c>
      <c r="Y62" s="18" t="n">
        <v>-46210.73</v>
      </c>
      <c r="Z62" s="37" t="n">
        <v>-5247.91</v>
      </c>
      <c r="AA62" s="18" t="n">
        <v>19692.88</v>
      </c>
      <c r="AB62" s="19" t="n">
        <v>1388.7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76741.7</v>
      </c>
      <c r="F63" s="9" t="n"/>
      <c r="G63" s="18" t="n">
        <v>9238.58</v>
      </c>
      <c r="H63" s="18" t="n">
        <v>12838.18</v>
      </c>
      <c r="I63" s="18" t="n">
        <v>11281.15</v>
      </c>
      <c r="J63" s="18" t="n">
        <v>51720.32</v>
      </c>
      <c r="K63" s="37" t="n">
        <v>85078.23</v>
      </c>
      <c r="L63" s="18" t="n">
        <v>29164.63</v>
      </c>
      <c r="M63" s="18" t="n">
        <v>15711.25</v>
      </c>
      <c r="N63" s="18" t="n">
        <v>10759.17</v>
      </c>
      <c r="O63" s="18" t="n">
        <v>13467.46</v>
      </c>
      <c r="P63" s="37" t="n">
        <v>69102.50999999999</v>
      </c>
      <c r="Q63" s="18" t="n">
        <v>10408.33</v>
      </c>
      <c r="R63" s="18" t="n">
        <v>14634.28</v>
      </c>
      <c r="S63" s="18" t="n">
        <v>11562.7</v>
      </c>
      <c r="T63" s="18" t="n">
        <v>14346.47</v>
      </c>
      <c r="U63" s="37" t="n">
        <v>50951.78</v>
      </c>
      <c r="V63" s="18" t="n">
        <v>43699.35</v>
      </c>
      <c r="W63" s="18" t="n">
        <v>12739.58</v>
      </c>
      <c r="X63" s="18" t="n">
        <v>14372.91</v>
      </c>
      <c r="Y63" s="18" t="n">
        <v>15162.62</v>
      </c>
      <c r="Z63" s="37" t="n">
        <v>85974.46000000001</v>
      </c>
      <c r="AA63" s="18" t="n">
        <v>23348.48</v>
      </c>
      <c r="AB63" s="19" t="n">
        <v>15237.11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3089.64</v>
      </c>
      <c r="F64" s="9" t="n"/>
      <c r="G64" s="18" t="n">
        <v>4495.57</v>
      </c>
      <c r="H64" s="18" t="n">
        <v>9328.74</v>
      </c>
      <c r="I64" s="18" t="n">
        <v>11581.46</v>
      </c>
      <c r="J64" s="18" t="n">
        <v>9813.950000000001</v>
      </c>
      <c r="K64" s="37" t="n">
        <v>35219.72</v>
      </c>
      <c r="L64" s="18" t="n">
        <v>9444.91</v>
      </c>
      <c r="M64" s="18" t="n">
        <v>16039.31</v>
      </c>
      <c r="N64" s="18" t="n">
        <v>1680.21</v>
      </c>
      <c r="O64" s="18" t="n">
        <v>8558.219999999999</v>
      </c>
      <c r="P64" s="37" t="n">
        <v>35722.65</v>
      </c>
      <c r="Q64" s="18" t="n">
        <v>3334.25</v>
      </c>
      <c r="R64" s="18" t="n">
        <v>8013.51</v>
      </c>
      <c r="S64" s="18" t="n">
        <v>2760.99</v>
      </c>
      <c r="T64" s="18" t="n">
        <v>8398.07</v>
      </c>
      <c r="U64" s="37" t="n">
        <v>22506.82</v>
      </c>
      <c r="V64" s="18" t="n">
        <v>13655.34</v>
      </c>
      <c r="W64" s="18" t="n">
        <v>11938.59</v>
      </c>
      <c r="X64" s="18" t="n">
        <v>4255.1</v>
      </c>
      <c r="Y64" s="18" t="n">
        <v>61373.35</v>
      </c>
      <c r="Z64" s="37" t="n">
        <v>91222.38</v>
      </c>
      <c r="AA64" s="18" t="n">
        <v>3655.59</v>
      </c>
      <c r="AB64" s="19" t="n">
        <v>13848.41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-25479.86</v>
      </c>
      <c r="F65" s="9" t="n"/>
      <c r="G65" s="18" t="n">
        <v>-26442.59</v>
      </c>
      <c r="H65" s="18" t="n">
        <v>184370.67</v>
      </c>
      <c r="I65" s="18" t="n">
        <v>-350383.82</v>
      </c>
      <c r="J65" s="18" t="n">
        <v>200374.65</v>
      </c>
      <c r="K65" s="37" t="n">
        <v>7918.91</v>
      </c>
      <c r="L65" s="18" t="n">
        <v>71679.87</v>
      </c>
      <c r="M65" s="18" t="n">
        <v>178637.47</v>
      </c>
      <c r="N65" s="18" t="n">
        <v>136560.71</v>
      </c>
      <c r="O65" s="18" t="n">
        <v>318504.6</v>
      </c>
      <c r="P65" s="37" t="n">
        <v>705382.65</v>
      </c>
      <c r="Q65" s="18" t="n">
        <v>712692.84</v>
      </c>
      <c r="R65" s="18" t="n">
        <v>33570.51</v>
      </c>
      <c r="S65" s="18" t="n">
        <v>48607.4</v>
      </c>
      <c r="T65" s="18" t="n">
        <v>-156527.12</v>
      </c>
      <c r="U65" s="37" t="n">
        <v>638343.63</v>
      </c>
      <c r="V65" s="18" t="n">
        <v>109114.73</v>
      </c>
      <c r="W65" s="18" t="n">
        <v>1279573.51</v>
      </c>
      <c r="X65" s="18" t="n">
        <v>485374.74</v>
      </c>
      <c r="Y65" s="18" t="n">
        <v>912299.78</v>
      </c>
      <c r="Z65" s="37" t="n">
        <v>2786362.76</v>
      </c>
      <c r="AA65" s="18" t="n">
        <v>288872.52</v>
      </c>
      <c r="AB65" s="19" t="n">
        <v>3713755.98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-14725.27</v>
      </c>
      <c r="F66" s="9" t="n"/>
      <c r="G66" s="18" t="n">
        <v>14043.55</v>
      </c>
      <c r="H66" s="18" t="n">
        <v>55554.01</v>
      </c>
      <c r="I66" s="18" t="n">
        <v>-73538.46000000001</v>
      </c>
      <c r="J66" s="18" t="n">
        <v>4517.04</v>
      </c>
      <c r="K66" s="37" t="n">
        <v>576.14</v>
      </c>
      <c r="L66" s="18" t="n">
        <v>16027.75</v>
      </c>
      <c r="M66" s="18" t="n">
        <v>43528.18</v>
      </c>
      <c r="N66" s="18" t="n">
        <v>36566.18</v>
      </c>
      <c r="O66" s="18" t="n">
        <v>68431.09</v>
      </c>
      <c r="P66" s="37" t="n">
        <v>164553.2</v>
      </c>
      <c r="Q66" s="18" t="n">
        <v>137130.91</v>
      </c>
      <c r="R66" s="18" t="n">
        <v>13516.14</v>
      </c>
      <c r="S66" s="18" t="n">
        <v>11758.61</v>
      </c>
      <c r="T66" s="18" t="n">
        <v>-94909.16</v>
      </c>
      <c r="U66" s="37" t="n">
        <v>67496.5</v>
      </c>
      <c r="V66" s="18" t="n">
        <v>2461.13</v>
      </c>
      <c r="W66" s="18" t="n">
        <v>345633.68</v>
      </c>
      <c r="X66" s="18" t="n">
        <v>118889.71</v>
      </c>
      <c r="Y66" s="18" t="n">
        <v>254483.45</v>
      </c>
      <c r="Z66" s="37" t="n">
        <v>721467.97</v>
      </c>
      <c r="AA66" s="18" t="n">
        <v>67020.48</v>
      </c>
      <c r="AB66" s="19" t="n">
        <v>884548.3199999999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-10754.59</v>
      </c>
      <c r="F67" s="9" t="n"/>
      <c r="G67" s="18" t="n">
        <v>-40486.14</v>
      </c>
      <c r="H67" s="18" t="n">
        <v>128816.66</v>
      </c>
      <c r="I67" s="18" t="n">
        <v>-276845.36</v>
      </c>
      <c r="J67" s="18" t="n">
        <v>195857.61</v>
      </c>
      <c r="K67" s="37" t="n">
        <v>7342.77</v>
      </c>
      <c r="L67" s="18" t="n">
        <v>55652.12</v>
      </c>
      <c r="M67" s="18" t="n">
        <v>135109.29</v>
      </c>
      <c r="N67" s="18" t="n">
        <v>99994.53</v>
      </c>
      <c r="O67" s="18" t="n">
        <v>250073.51</v>
      </c>
      <c r="P67" s="37" t="n">
        <v>540829.45</v>
      </c>
      <c r="Q67" s="18" t="n">
        <v>575561.9399999999</v>
      </c>
      <c r="R67" s="18" t="n">
        <v>20054.37</v>
      </c>
      <c r="S67" s="18" t="n">
        <v>36848.79</v>
      </c>
      <c r="T67" s="18" t="n">
        <v>-61617.96</v>
      </c>
      <c r="U67" s="37" t="n">
        <v>570847.14</v>
      </c>
      <c r="V67" s="18" t="n">
        <v>106653.59</v>
      </c>
      <c r="W67" s="18" t="n">
        <v>933939.8199999999</v>
      </c>
      <c r="X67" s="18" t="n">
        <v>366485.04</v>
      </c>
      <c r="Y67" s="18" t="n">
        <v>657816.33</v>
      </c>
      <c r="Z67" s="37" t="n">
        <v>2064894.78</v>
      </c>
      <c r="AA67" s="18" t="n">
        <v>221852.04</v>
      </c>
      <c r="AB67" s="19" t="n">
        <v>2829207.66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E68" s="18" t="n">
        <v>284.9</v>
      </c>
      <c r="F68" s="9" t="n"/>
      <c r="K68" s="9" t="n"/>
      <c r="P68" s="9" t="n"/>
      <c r="U68" s="9" t="n"/>
      <c r="Z68" s="9" t="n"/>
      <c r="AB68" s="19" t="n">
        <v>-3631.75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-10469.68</v>
      </c>
      <c r="F69" s="9" t="n"/>
      <c r="G69" s="18" t="n">
        <v>-40486.14</v>
      </c>
      <c r="H69" s="18" t="n">
        <v>128816.66</v>
      </c>
      <c r="I69" s="18" t="n">
        <v>-276845.36</v>
      </c>
      <c r="J69" s="18" t="n">
        <v>195857.61</v>
      </c>
      <c r="K69" s="37" t="n">
        <v>7342.77</v>
      </c>
      <c r="L69" s="18" t="n">
        <v>55652.12</v>
      </c>
      <c r="M69" s="18" t="n">
        <v>135109.29</v>
      </c>
      <c r="N69" s="18" t="n">
        <v>99994.53</v>
      </c>
      <c r="O69" s="18" t="n">
        <v>250073.51</v>
      </c>
      <c r="P69" s="37" t="n">
        <v>540829.45</v>
      </c>
      <c r="Q69" s="18" t="n">
        <v>575561.9399999999</v>
      </c>
      <c r="R69" s="18" t="n">
        <v>20054.37</v>
      </c>
      <c r="S69" s="18" t="n">
        <v>36848.79</v>
      </c>
      <c r="T69" s="18" t="n">
        <v>-61617.96</v>
      </c>
      <c r="U69" s="37" t="n">
        <v>570847.14</v>
      </c>
      <c r="V69" s="18" t="n">
        <v>106653.59</v>
      </c>
      <c r="W69" s="18" t="n">
        <v>933939.8199999999</v>
      </c>
      <c r="X69" s="18" t="n">
        <v>366485.04</v>
      </c>
      <c r="Y69" s="18" t="n">
        <v>657816.33</v>
      </c>
      <c r="Z69" s="37" t="n">
        <v>2064894.78</v>
      </c>
      <c r="AA69" s="18" t="n">
        <v>221852.04</v>
      </c>
      <c r="AB69" s="19" t="n">
        <v>2825575.91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-14487.8</v>
      </c>
      <c r="F70" s="9" t="n"/>
      <c r="G70" s="18" t="n">
        <v>-38985.39</v>
      </c>
      <c r="H70" s="18" t="n">
        <v>122363.42</v>
      </c>
      <c r="I70" s="18" t="n">
        <v>-280447.17</v>
      </c>
      <c r="J70" s="18" t="n">
        <v>208614.9</v>
      </c>
      <c r="K70" s="37" t="n">
        <v>11545.76</v>
      </c>
      <c r="L70" s="18" t="n">
        <v>56822.61</v>
      </c>
      <c r="M70" s="18" t="n">
        <v>137197.93</v>
      </c>
      <c r="N70" s="18" t="n">
        <v>98471.56</v>
      </c>
      <c r="O70" s="18" t="n">
        <v>212654.83</v>
      </c>
      <c r="P70" s="37" t="n">
        <v>505146.93</v>
      </c>
      <c r="Q70" s="18" t="n">
        <v>575054.02</v>
      </c>
      <c r="R70" s="18" t="n">
        <v>19812.69</v>
      </c>
      <c r="S70" s="18" t="n">
        <v>36848.79</v>
      </c>
      <c r="T70" s="18" t="n">
        <v>-66922.22</v>
      </c>
      <c r="U70" s="37" t="n">
        <v>564793.28</v>
      </c>
      <c r="V70" s="18" t="n">
        <v>782093.89</v>
      </c>
      <c r="W70" s="18" t="n">
        <v>938544.5699999999</v>
      </c>
      <c r="X70" s="18" t="n">
        <v>361596.59</v>
      </c>
      <c r="Y70" s="18" t="n">
        <v>662823.65</v>
      </c>
      <c r="Z70" s="37" t="n">
        <v>2745058.7</v>
      </c>
      <c r="AA70" s="18" t="n">
        <v>223098.26</v>
      </c>
      <c r="AB70" s="19" t="n">
        <v>2830110.32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-10469.68</v>
      </c>
      <c r="F71" s="9" t="n"/>
      <c r="G71" s="18" t="n">
        <v>-40486.14</v>
      </c>
      <c r="H71" s="18" t="n">
        <v>128816.66</v>
      </c>
      <c r="I71" s="18" t="n">
        <v>-276845.36</v>
      </c>
      <c r="J71" s="18" t="n">
        <v>195857.61</v>
      </c>
      <c r="K71" s="37" t="n">
        <v>7342.77</v>
      </c>
      <c r="L71" s="18" t="n">
        <v>55652.12</v>
      </c>
      <c r="M71" s="18" t="n">
        <v>135109.29</v>
      </c>
      <c r="N71" s="18" t="n">
        <v>99994.53</v>
      </c>
      <c r="O71" s="18" t="n">
        <v>250073.51</v>
      </c>
      <c r="P71" s="37" t="n">
        <v>540829.45</v>
      </c>
      <c r="Q71" s="18" t="n">
        <v>575561.9399999999</v>
      </c>
      <c r="R71" s="18" t="n">
        <v>20054.37</v>
      </c>
      <c r="S71" s="18" t="n">
        <v>36848.79</v>
      </c>
      <c r="T71" s="18" t="n">
        <v>-61617.96</v>
      </c>
      <c r="U71" s="37" t="n">
        <v>570847.14</v>
      </c>
      <c r="V71" s="18" t="n">
        <v>106653.59</v>
      </c>
      <c r="W71" s="18" t="n">
        <v>933939.8199999999</v>
      </c>
      <c r="X71" s="18" t="n">
        <v>366485.04</v>
      </c>
      <c r="Y71" s="18" t="n">
        <v>657816.33</v>
      </c>
      <c r="Z71" s="37" t="n">
        <v>2064894.78</v>
      </c>
      <c r="AA71" s="18" t="n">
        <v>221852.04</v>
      </c>
      <c r="AB71" s="19" t="n">
        <v>2825575.91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55262.03</v>
      </c>
      <c r="F72" s="9" t="n"/>
      <c r="G72" s="18" t="n">
        <v>40549.7</v>
      </c>
      <c r="H72" s="18" t="n">
        <v>46685.51</v>
      </c>
      <c r="I72" s="18" t="n">
        <v>61101.3</v>
      </c>
      <c r="J72" s="18" t="n">
        <v>46341.16</v>
      </c>
      <c r="K72" s="37" t="n">
        <v>194677.67</v>
      </c>
      <c r="L72" s="18" t="n">
        <v>61146.89</v>
      </c>
      <c r="M72" s="18" t="n">
        <v>142577.1</v>
      </c>
      <c r="N72" s="18" t="n">
        <v>116191.4</v>
      </c>
      <c r="O72" s="18" t="n">
        <v>143487.23</v>
      </c>
      <c r="P72" s="37" t="n">
        <v>463402.62</v>
      </c>
      <c r="Q72" s="18" t="n">
        <v>88103.09</v>
      </c>
      <c r="R72" s="18" t="n">
        <v>145876.06</v>
      </c>
      <c r="S72" s="18" t="n">
        <v>110520.55</v>
      </c>
      <c r="T72" s="18" t="n">
        <v>100878.48</v>
      </c>
      <c r="U72" s="37" t="n">
        <v>445378.18</v>
      </c>
      <c r="V72" s="18" t="n">
        <v>108895.33</v>
      </c>
      <c r="W72" s="18" t="n">
        <v>77750.99000000001</v>
      </c>
      <c r="X72" s="18" t="n">
        <v>68771.97</v>
      </c>
      <c r="Y72" s="18" t="n">
        <v>159471.63</v>
      </c>
      <c r="Z72" s="37" t="n">
        <v>414889.92</v>
      </c>
      <c r="AA72" s="18" t="n">
        <v>86881.58</v>
      </c>
      <c r="AB72" s="19" t="n">
        <v>57074.6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감가상각비</t>
        </is>
      </c>
      <c r="E73" s="18" t="n">
        <v>2700.6</v>
      </c>
      <c r="F73" s="9" t="n"/>
      <c r="G73" s="18" t="n">
        <v>1595.29</v>
      </c>
      <c r="H73" s="18" t="n">
        <v>1435.81</v>
      </c>
      <c r="I73" s="18" t="n">
        <v>1521.73</v>
      </c>
      <c r="J73" s="18" t="n">
        <v>1735.28</v>
      </c>
      <c r="K73" s="37" t="n">
        <v>6288.11</v>
      </c>
      <c r="L73" s="18" t="n">
        <v>1747.1</v>
      </c>
      <c r="M73" s="18" t="n">
        <v>1663.29</v>
      </c>
      <c r="N73" s="18" t="n">
        <v>1710.02</v>
      </c>
      <c r="O73" s="18" t="n">
        <v>1927.27</v>
      </c>
      <c r="P73" s="37" t="n">
        <v>7047.68</v>
      </c>
      <c r="Q73" s="18" t="n">
        <v>1870.42</v>
      </c>
      <c r="R73" s="18" t="n">
        <v>2085.98</v>
      </c>
      <c r="S73" s="18" t="n">
        <v>2054.56</v>
      </c>
      <c r="T73" s="18" t="n">
        <v>2096.31</v>
      </c>
      <c r="U73" s="37" t="n">
        <v>8107.27</v>
      </c>
      <c r="V73" s="18" t="n">
        <v>36089.52</v>
      </c>
      <c r="W73" s="18" t="n">
        <v>35970.29</v>
      </c>
      <c r="X73" s="18" t="n">
        <v>-65540.87</v>
      </c>
      <c r="Y73" s="18" t="n">
        <v>2177.14</v>
      </c>
      <c r="Z73" s="37" t="n">
        <v>8696.08</v>
      </c>
      <c r="AA73" s="18" t="n">
        <v>30148.76</v>
      </c>
      <c r="AB73" s="19" t="n">
        <v>28325.79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무형자산상각비</t>
        </is>
      </c>
      <c r="E74" s="18" t="n">
        <v>233.61</v>
      </c>
      <c r="F74" s="9" t="n"/>
      <c r="G74" s="18" t="n">
        <v>265.79</v>
      </c>
      <c r="H74" s="18" t="n">
        <v>272.01</v>
      </c>
      <c r="I74" s="18" t="n">
        <v>279.46</v>
      </c>
      <c r="J74" s="18" t="n">
        <v>291.47</v>
      </c>
      <c r="K74" s="37" t="n">
        <v>1108.73</v>
      </c>
      <c r="L74" s="18" t="n">
        <v>311.5</v>
      </c>
      <c r="M74" s="18" t="n">
        <v>318.2</v>
      </c>
      <c r="N74" s="18" t="n">
        <v>332.73</v>
      </c>
      <c r="O74" s="18" t="n">
        <v>336.45</v>
      </c>
      <c r="P74" s="37" t="n">
        <v>1298.88</v>
      </c>
      <c r="Q74" s="18" t="n">
        <v>306.78</v>
      </c>
      <c r="R74" s="18" t="n">
        <v>294.28</v>
      </c>
      <c r="S74" s="18" t="n">
        <v>295.32</v>
      </c>
      <c r="T74" s="18" t="n">
        <v>300.54</v>
      </c>
      <c r="U74" s="37" t="n">
        <v>1196.92</v>
      </c>
      <c r="V74" s="18" t="n">
        <v>303.87</v>
      </c>
      <c r="W74" s="18" t="n">
        <v>386.78</v>
      </c>
      <c r="X74" s="18" t="n">
        <v>316.62</v>
      </c>
      <c r="Y74" s="18" t="n">
        <v>223.93</v>
      </c>
      <c r="Z74" s="37" t="n">
        <v>1231.2</v>
      </c>
      <c r="AA74" s="18" t="n">
        <v>219.23</v>
      </c>
      <c r="AB74" s="19" t="n">
        <v>275.37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-2014.92</v>
      </c>
      <c r="F75" s="9" t="n"/>
      <c r="G75" s="18" t="n">
        <v>-7577.65</v>
      </c>
      <c r="H75" s="18" t="n">
        <v>-23116.63</v>
      </c>
      <c r="I75" s="18" t="n">
        <v>-24518.95</v>
      </c>
      <c r="J75" s="18" t="n">
        <v>-1551.75</v>
      </c>
      <c r="K75" s="37" t="n">
        <v>-56764.98</v>
      </c>
      <c r="L75" s="18" t="n">
        <v>-1220.77</v>
      </c>
      <c r="M75" s="18" t="n">
        <v>-11024.21</v>
      </c>
      <c r="N75" s="18" t="n">
        <v>-10666.34</v>
      </c>
      <c r="O75" s="18" t="n">
        <v>-12055.52</v>
      </c>
      <c r="P75" s="37" t="n">
        <v>-34966.84</v>
      </c>
      <c r="Q75" s="18" t="n">
        <v>-3020.52</v>
      </c>
      <c r="R75" s="18" t="n">
        <v>-24235.13</v>
      </c>
      <c r="S75" s="18" t="n">
        <v>-10295.87</v>
      </c>
      <c r="T75" s="18" t="n">
        <v>-10788.77</v>
      </c>
      <c r="U75" s="37" t="n">
        <v>-48340.29</v>
      </c>
      <c r="V75" s="18" t="n">
        <v>-49833.53</v>
      </c>
      <c r="W75" s="18" t="n">
        <v>-60790.76</v>
      </c>
      <c r="X75" s="18" t="n">
        <v>-22103.94</v>
      </c>
      <c r="Y75" s="18" t="n">
        <v>-20064.1</v>
      </c>
      <c r="Z75" s="37" t="n">
        <v>-152792.33</v>
      </c>
      <c r="AA75" s="18" t="n">
        <v>-16641.51</v>
      </c>
      <c r="AB75" s="19" t="n">
        <v>12767.88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487807.47</v>
      </c>
      <c r="F76" s="9" t="n"/>
      <c r="G76" s="18" t="n">
        <v>-403500.26</v>
      </c>
      <c r="H76" s="18" t="n">
        <v>-41200.89</v>
      </c>
      <c r="I76" s="18" t="n">
        <v>464642.68</v>
      </c>
      <c r="J76" s="18" t="n">
        <v>246974.87</v>
      </c>
      <c r="K76" s="37" t="n">
        <v>266916.4</v>
      </c>
      <c r="L76" s="18" t="n">
        <v>-109839.3</v>
      </c>
      <c r="M76" s="18" t="n">
        <v>-46355.64</v>
      </c>
      <c r="N76" s="18" t="n">
        <v>-34459.7</v>
      </c>
      <c r="O76" s="18" t="n">
        <v>-1837.63</v>
      </c>
      <c r="P76" s="37" t="n">
        <v>-192492.27</v>
      </c>
      <c r="Q76" s="18" t="n">
        <v>-110680.21</v>
      </c>
      <c r="R76" s="18" t="n">
        <v>-259449.17</v>
      </c>
      <c r="S76" s="18" t="n">
        <v>-56792.76</v>
      </c>
      <c r="T76" s="18" t="n">
        <v>-579304.48</v>
      </c>
      <c r="U76" s="37" t="n">
        <v>-1006226.62</v>
      </c>
      <c r="V76" s="18" t="n">
        <v>-19778.95</v>
      </c>
      <c r="W76" s="18" t="n">
        <v>190156.65</v>
      </c>
      <c r="X76" s="18" t="n">
        <v>-818078.14</v>
      </c>
      <c r="Y76" s="18" t="n">
        <v>178601.86</v>
      </c>
      <c r="Z76" s="37" t="n">
        <v>-469098.58</v>
      </c>
      <c r="AA76" s="18" t="n">
        <v>-46664.01</v>
      </c>
      <c r="AB76" s="19" t="n">
        <v>-43977.87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25443.74</v>
      </c>
      <c r="F77" s="9" t="n"/>
      <c r="G77" s="18" t="n">
        <v>30879.31</v>
      </c>
      <c r="H77" s="18" t="n">
        <v>24361.41</v>
      </c>
      <c r="I77" s="18" t="n">
        <v>41142.14</v>
      </c>
      <c r="J77" s="18" t="n">
        <v>49551.38</v>
      </c>
      <c r="K77" s="37" t="n">
        <v>145934.24</v>
      </c>
      <c r="L77" s="18" t="n">
        <v>56905.8</v>
      </c>
      <c r="M77" s="18" t="n">
        <v>50598.74</v>
      </c>
      <c r="N77" s="18" t="n">
        <v>60546.09</v>
      </c>
      <c r="O77" s="18" t="n">
        <v>23978.74</v>
      </c>
      <c r="P77" s="37" t="n">
        <v>192029.37</v>
      </c>
      <c r="Q77" s="18" t="n">
        <v>21543.7</v>
      </c>
      <c r="R77" s="18" t="n">
        <v>30565.81</v>
      </c>
      <c r="S77" s="18" t="n">
        <v>21436.25</v>
      </c>
      <c r="T77" s="18" t="n">
        <v>12580.7</v>
      </c>
      <c r="U77" s="37" t="n">
        <v>86126.46000000001</v>
      </c>
      <c r="V77" s="18" t="n">
        <v>17729.21</v>
      </c>
      <c r="W77" s="18" t="n">
        <v>13172.56</v>
      </c>
      <c r="X77" s="18" t="n">
        <v>17958.43</v>
      </c>
      <c r="Y77" s="18" t="n">
        <v>37379.49</v>
      </c>
      <c r="Z77" s="37" t="n">
        <v>86239.69</v>
      </c>
      <c r="AA77" s="18" t="n">
        <v>30987.63</v>
      </c>
      <c r="AB77" s="19" t="n">
        <v>10565.74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26125.17</v>
      </c>
      <c r="F78" s="9" t="n"/>
      <c r="G78" s="18" t="n">
        <v>31047.65</v>
      </c>
      <c r="H78" s="18" t="n">
        <v>26553.8</v>
      </c>
      <c r="I78" s="18" t="n">
        <v>41349.35</v>
      </c>
      <c r="J78" s="18" t="n">
        <v>50008.86</v>
      </c>
      <c r="K78" s="37" t="n">
        <v>148959.66</v>
      </c>
      <c r="L78" s="18" t="n">
        <v>57114.96</v>
      </c>
      <c r="M78" s="18" t="n">
        <v>50877.37</v>
      </c>
      <c r="N78" s="18" t="n">
        <v>60733.76</v>
      </c>
      <c r="O78" s="18" t="n">
        <v>24228.55</v>
      </c>
      <c r="P78" s="37" t="n">
        <v>192954.64</v>
      </c>
      <c r="Q78" s="18" t="n">
        <v>21910.92</v>
      </c>
      <c r="R78" s="18" t="n">
        <v>30801.43</v>
      </c>
      <c r="S78" s="18" t="n">
        <v>21646.68</v>
      </c>
      <c r="T78" s="18" t="n">
        <v>12885.41</v>
      </c>
      <c r="U78" s="37" t="n">
        <v>87244.44</v>
      </c>
      <c r="V78" s="18" t="n">
        <v>17953.67</v>
      </c>
      <c r="W78" s="18" t="n">
        <v>13532.35</v>
      </c>
      <c r="X78" s="18" t="n">
        <v>18043.55</v>
      </c>
      <c r="Y78" s="18" t="n">
        <v>37683.66</v>
      </c>
      <c r="Z78" s="37" t="n">
        <v>87213.23</v>
      </c>
      <c r="AA78" s="18" t="n">
        <v>31200.45</v>
      </c>
      <c r="AB78" s="19" t="n">
        <v>10769.98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681.4299999999999</v>
      </c>
      <c r="F79" s="9" t="n"/>
      <c r="G79" s="18" t="n">
        <v>168.34</v>
      </c>
      <c r="H79" s="18" t="n">
        <v>2192.39</v>
      </c>
      <c r="I79" s="18" t="n">
        <v>207.21</v>
      </c>
      <c r="J79" s="18" t="n">
        <v>457.48</v>
      </c>
      <c r="K79" s="37" t="n">
        <v>3025.42</v>
      </c>
      <c r="L79" s="18" t="n">
        <v>209.16</v>
      </c>
      <c r="M79" s="18" t="n">
        <v>278.63</v>
      </c>
      <c r="N79" s="18" t="n">
        <v>187.67</v>
      </c>
      <c r="O79" s="18" t="n">
        <v>249.81</v>
      </c>
      <c r="P79" s="37" t="n">
        <v>925.27</v>
      </c>
      <c r="Q79" s="18" t="n">
        <v>367.22</v>
      </c>
      <c r="R79" s="18" t="n">
        <v>235.62</v>
      </c>
      <c r="S79" s="18" t="n">
        <v>210.43</v>
      </c>
      <c r="T79" s="18" t="n">
        <v>304.71</v>
      </c>
      <c r="U79" s="37" t="n">
        <v>1117.98</v>
      </c>
      <c r="V79" s="18" t="n">
        <v>224.46</v>
      </c>
      <c r="W79" s="18" t="n">
        <v>359.79</v>
      </c>
      <c r="X79" s="18" t="n">
        <v>85.12</v>
      </c>
      <c r="Y79" s="18" t="n">
        <v>304.17</v>
      </c>
      <c r="Z79" s="37" t="n">
        <v>973.54</v>
      </c>
      <c r="AA79" s="18" t="n">
        <v>212.82</v>
      </c>
      <c r="AB79" s="19" t="n">
        <v>204.24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865.95</v>
      </c>
      <c r="F80" s="9" t="n"/>
      <c r="G80" s="18" t="n">
        <v>807.17</v>
      </c>
      <c r="H80" s="18" t="n">
        <v>2850.64</v>
      </c>
      <c r="I80" s="18" t="n">
        <v>361.18</v>
      </c>
      <c r="J80" s="18" t="n">
        <v>1388.14</v>
      </c>
      <c r="K80" s="37" t="n">
        <v>5407.13</v>
      </c>
      <c r="L80" s="18" t="n">
        <v>20736.11</v>
      </c>
      <c r="M80" s="18" t="n">
        <v>6559.39</v>
      </c>
      <c r="N80" s="18" t="n">
        <v>842.54</v>
      </c>
      <c r="O80" s="18" t="n">
        <v>1107.53</v>
      </c>
      <c r="P80" s="37" t="n">
        <v>29245.57</v>
      </c>
      <c r="Q80" s="18" t="n">
        <v>649.33</v>
      </c>
      <c r="R80" s="18" t="n">
        <v>759.27</v>
      </c>
      <c r="S80" s="18" t="n">
        <v>992.29</v>
      </c>
      <c r="T80" s="18" t="n">
        <v>4203.36</v>
      </c>
      <c r="U80" s="37" t="n">
        <v>6604.25</v>
      </c>
      <c r="V80" s="18" t="n">
        <v>251.05</v>
      </c>
      <c r="W80" s="18" t="n">
        <v>1103.02</v>
      </c>
      <c r="X80" s="18" t="n">
        <v>5100.63</v>
      </c>
      <c r="Y80" s="18" t="n">
        <v>25860.7</v>
      </c>
      <c r="Z80" s="37" t="n">
        <v>32315.4</v>
      </c>
      <c r="AA80" s="18" t="n">
        <v>186.35</v>
      </c>
      <c r="AB80" s="19" t="n">
        <v>420.98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무형자산의감소</t>
        </is>
      </c>
      <c r="E81" s="18" t="n">
        <v>0</v>
      </c>
      <c r="F81" s="9" t="n"/>
      <c r="G81" s="18" t="n">
        <v>0.22</v>
      </c>
      <c r="H81" s="18" t="n">
        <v>2150</v>
      </c>
      <c r="I81" s="18" t="n">
        <v>0</v>
      </c>
      <c r="J81" s="18" t="n">
        <v>0</v>
      </c>
      <c r="K81" s="37" t="n">
        <v>2150.22</v>
      </c>
      <c r="N81" s="18" t="n">
        <v>0.73</v>
      </c>
      <c r="O81" s="18" t="n">
        <v>0</v>
      </c>
      <c r="P81" s="9" t="n"/>
      <c r="T81" s="18" t="n">
        <v>5.85</v>
      </c>
      <c r="U81" s="9" t="n"/>
      <c r="V81" s="18" t="n">
        <v>1.15</v>
      </c>
      <c r="W81" s="18" t="n">
        <v>0.24</v>
      </c>
      <c r="X81" s="18" t="n">
        <v>209.09</v>
      </c>
      <c r="Y81" s="18" t="n">
        <v>0</v>
      </c>
      <c r="Z81" s="37" t="n">
        <v>210.48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E82" s="18" t="n">
        <v>1987.14</v>
      </c>
      <c r="F82" s="9" t="n"/>
      <c r="G82" s="18" t="n">
        <v>311.34</v>
      </c>
      <c r="H82" s="18" t="n">
        <v>395.08</v>
      </c>
      <c r="I82" s="18" t="n">
        <v>961.47</v>
      </c>
      <c r="J82" s="18" t="n">
        <v>3043.58</v>
      </c>
      <c r="K82" s="37" t="n">
        <v>4711.47</v>
      </c>
      <c r="L82" s="18" t="n">
        <v>4350.76</v>
      </c>
      <c r="M82" s="18" t="n">
        <v>5329.17</v>
      </c>
      <c r="N82" s="18" t="n">
        <v>6718.03</v>
      </c>
      <c r="O82" s="18" t="n">
        <v>8378.450000000001</v>
      </c>
      <c r="P82" s="37" t="n">
        <v>24776.41</v>
      </c>
      <c r="Q82" s="18" t="n">
        <v>7188.55</v>
      </c>
      <c r="R82" s="18" t="n">
        <v>7636.26</v>
      </c>
      <c r="S82" s="18" t="n">
        <v>6764.26</v>
      </c>
      <c r="T82" s="18" t="n">
        <v>8165.82</v>
      </c>
      <c r="U82" s="37" t="n">
        <v>29754.89</v>
      </c>
      <c r="V82" s="18" t="n">
        <v>1908.06</v>
      </c>
      <c r="W82" s="18" t="n">
        <v>2777.28</v>
      </c>
      <c r="X82" s="18" t="n">
        <v>15710.58</v>
      </c>
      <c r="Y82" s="18" t="n">
        <v>4136.45</v>
      </c>
      <c r="Z82" s="37" t="n">
        <v>24532.37</v>
      </c>
      <c r="AA82" s="18" t="n">
        <v>4471.73</v>
      </c>
      <c r="AB82" s="19" t="n">
        <v>13438.65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90.22</v>
      </c>
      <c r="F83" s="9" t="n"/>
      <c r="G83" s="18" t="n">
        <v>152.74</v>
      </c>
      <c r="H83" s="18" t="n">
        <v>77654.13</v>
      </c>
      <c r="I83" s="18" t="n">
        <v>612.5599999999999</v>
      </c>
      <c r="J83" s="18" t="n">
        <v>0</v>
      </c>
      <c r="K83" s="37" t="n">
        <v>78419.42999999999</v>
      </c>
      <c r="L83" s="18" t="n">
        <v>143.5</v>
      </c>
      <c r="M83" s="18" t="n">
        <v>44983.33</v>
      </c>
      <c r="N83" s="18" t="n">
        <v>458.48</v>
      </c>
      <c r="O83" s="18" t="n">
        <v>0</v>
      </c>
      <c r="P83" s="37" t="n">
        <v>45585.31</v>
      </c>
      <c r="Q83" s="18" t="n">
        <v>72625.92</v>
      </c>
      <c r="R83" s="18" t="n">
        <v>126861.47</v>
      </c>
      <c r="S83" s="18" t="n">
        <v>458.48</v>
      </c>
      <c r="T83" s="18" t="n">
        <v>0</v>
      </c>
      <c r="U83" s="37" t="n">
        <v>199945.87</v>
      </c>
      <c r="V83" s="18" t="n">
        <v>205</v>
      </c>
      <c r="W83" s="18" t="n">
        <v>64147</v>
      </c>
      <c r="X83" s="18" t="n">
        <v>9216.450000000001</v>
      </c>
      <c r="Y83" s="18" t="n">
        <v>110.77</v>
      </c>
      <c r="Z83" s="37" t="n">
        <v>73679.22</v>
      </c>
      <c r="AA83" s="18" t="n">
        <v>205</v>
      </c>
      <c r="AB83" s="19" t="n">
        <v>79820.42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-511388.9</v>
      </c>
      <c r="F84" s="9" t="n"/>
      <c r="G84" s="18" t="n">
        <v>333582.22</v>
      </c>
      <c r="H84" s="18" t="n">
        <v>-972.04</v>
      </c>
      <c r="I84" s="18" t="n">
        <v>-462377.9</v>
      </c>
      <c r="J84" s="18" t="n">
        <v>2732.4</v>
      </c>
      <c r="K84" s="37" t="n">
        <v>-127035.32</v>
      </c>
      <c r="L84" s="18" t="n">
        <v>97094.24000000001</v>
      </c>
      <c r="M84" s="18" t="n">
        <v>41378.47</v>
      </c>
      <c r="N84" s="18" t="n">
        <v>-48064.51</v>
      </c>
      <c r="O84" s="18" t="n">
        <v>-137036.1</v>
      </c>
      <c r="P84" s="37" t="n">
        <v>-46627.9</v>
      </c>
      <c r="Q84" s="18" t="n">
        <v>21205.85</v>
      </c>
      <c r="R84" s="18" t="n">
        <v>174088.76</v>
      </c>
      <c r="S84" s="18" t="n">
        <v>22366.67</v>
      </c>
      <c r="T84" s="18" t="n">
        <v>-109995.62</v>
      </c>
      <c r="U84" s="37" t="n">
        <v>107665.66</v>
      </c>
      <c r="V84" s="18" t="n">
        <v>330986.87</v>
      </c>
      <c r="W84" s="18" t="n">
        <v>-388864.99</v>
      </c>
      <c r="X84" s="18" t="n">
        <v>855895.03</v>
      </c>
      <c r="Y84" s="18" t="n">
        <v>-130132.8</v>
      </c>
      <c r="Z84" s="37" t="n">
        <v>667884.11</v>
      </c>
      <c r="AA84" s="18" t="n">
        <v>263512.1</v>
      </c>
      <c r="AB84" s="19" t="n">
        <v>-425948.17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371564.16</v>
      </c>
      <c r="H85" s="18" t="n">
        <v>0</v>
      </c>
      <c r="I85" s="18" t="n">
        <v>0</v>
      </c>
      <c r="J85" s="18" t="n">
        <v>0</v>
      </c>
      <c r="K85" s="37" t="n">
        <v>371564.16</v>
      </c>
      <c r="P85" s="9" t="n"/>
      <c r="S85" s="18" t="n">
        <v>0</v>
      </c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E86" s="18" t="n">
        <v>249261.26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Q86" s="18" t="n">
        <v>578380.4399999999</v>
      </c>
      <c r="R86" s="18" t="n">
        <v>0</v>
      </c>
      <c r="S86" s="18" t="n">
        <v>0</v>
      </c>
      <c r="T86" s="18" t="n">
        <v>299133.46</v>
      </c>
      <c r="U86" s="37" t="n">
        <v>877513.9</v>
      </c>
      <c r="V86" s="18" t="n">
        <v>398851.08</v>
      </c>
      <c r="W86" s="18" t="n">
        <v>0</v>
      </c>
      <c r="X86" s="18" t="n">
        <v>885072.27</v>
      </c>
      <c r="Y86" s="18" t="n">
        <v>0</v>
      </c>
      <c r="Z86" s="37" t="n">
        <v>1283923.35</v>
      </c>
      <c r="AA86" s="18" t="n">
        <v>398861.36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I87" s="18" t="n">
        <v>100000</v>
      </c>
      <c r="J87" s="18" t="n">
        <v>0</v>
      </c>
      <c r="K87" s="9" t="n"/>
      <c r="P87" s="9" t="n"/>
      <c r="Q87" s="18" t="n">
        <v>400000</v>
      </c>
      <c r="R87" s="18" t="n">
        <v>238682</v>
      </c>
      <c r="S87" s="18" t="n">
        <v>0</v>
      </c>
      <c r="T87" s="18" t="n">
        <v>270000</v>
      </c>
      <c r="U87" s="37" t="n">
        <v>908682</v>
      </c>
      <c r="V87" s="18" t="n">
        <v>137585.7</v>
      </c>
      <c r="W87" s="18" t="n">
        <v>270000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280000</v>
      </c>
      <c r="F88" s="9" t="n"/>
      <c r="K88" s="9" t="n"/>
      <c r="L88" s="18" t="n">
        <v>200000</v>
      </c>
      <c r="M88" s="18" t="n">
        <v>150000</v>
      </c>
      <c r="P88" s="9" t="n"/>
      <c r="U88" s="9" t="n"/>
      <c r="Z88" s="9" t="n"/>
      <c r="AA88" s="18" t="n">
        <v>145000</v>
      </c>
      <c r="AB88" s="19" t="n">
        <v>275000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2374.58</v>
      </c>
      <c r="F89" s="9" t="n"/>
      <c r="G89" s="18" t="n">
        <v>1374.8</v>
      </c>
      <c r="H89" s="18" t="n">
        <v>1347.65</v>
      </c>
      <c r="I89" s="18" t="n">
        <v>1521.11</v>
      </c>
      <c r="J89" s="18" t="n">
        <v>1564.83</v>
      </c>
      <c r="K89" s="37" t="n">
        <v>5808.39</v>
      </c>
      <c r="L89" s="18" t="n">
        <v>1556.99</v>
      </c>
      <c r="M89" s="18" t="n">
        <v>2004.82</v>
      </c>
      <c r="N89" s="18" t="n">
        <v>1954.1</v>
      </c>
      <c r="O89" s="18" t="n">
        <v>2043.67</v>
      </c>
      <c r="P89" s="37" t="n">
        <v>7559.58</v>
      </c>
      <c r="Q89" s="18" t="n">
        <v>1987.4</v>
      </c>
      <c r="R89" s="18" t="n">
        <v>2218.97</v>
      </c>
      <c r="S89" s="18" t="n">
        <v>2348.56</v>
      </c>
      <c r="T89" s="18" t="n">
        <v>2230</v>
      </c>
      <c r="U89" s="37" t="n">
        <v>8784.93</v>
      </c>
      <c r="V89" s="18" t="n">
        <v>2322.56</v>
      </c>
      <c r="W89" s="18" t="n">
        <v>2314.88</v>
      </c>
      <c r="X89" s="18" t="n">
        <v>2445.55</v>
      </c>
      <c r="Y89" s="18" t="n">
        <v>2327.44</v>
      </c>
      <c r="Z89" s="37" t="n">
        <v>9410.43</v>
      </c>
      <c r="AA89" s="18" t="n">
        <v>2333.97</v>
      </c>
      <c r="AB89" s="19" t="n">
        <v>2110.26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-13698.32</v>
      </c>
      <c r="F90" s="9" t="n"/>
      <c r="G90" s="18" t="n">
        <v>-23797.12</v>
      </c>
      <c r="H90" s="18" t="n">
        <v>-12442.16</v>
      </c>
      <c r="I90" s="18" t="n">
        <v>-14294.45</v>
      </c>
      <c r="J90" s="18" t="n">
        <v>-17833.24</v>
      </c>
      <c r="K90" s="37" t="n">
        <v>-68366.97</v>
      </c>
      <c r="L90" s="18" t="n">
        <v>-18227.7</v>
      </c>
      <c r="M90" s="18" t="n">
        <v>-18946.82</v>
      </c>
      <c r="N90" s="18" t="n">
        <v>-22566.28</v>
      </c>
      <c r="O90" s="18" t="n">
        <v>-32943.06</v>
      </c>
      <c r="P90" s="37" t="n">
        <v>-92683.86</v>
      </c>
      <c r="Q90" s="18" t="n">
        <v>-18437.81</v>
      </c>
      <c r="R90" s="18" t="n">
        <v>-29567.42</v>
      </c>
      <c r="S90" s="18" t="n">
        <v>-29042.57</v>
      </c>
      <c r="T90" s="18" t="n">
        <v>-31428.48</v>
      </c>
      <c r="U90" s="37" t="n">
        <v>-108476.28</v>
      </c>
      <c r="V90" s="18" t="n">
        <v>-30469.07</v>
      </c>
      <c r="W90" s="18" t="n">
        <v>-32825.28</v>
      </c>
      <c r="X90" s="18" t="n">
        <v>-29441.59</v>
      </c>
      <c r="Y90" s="18" t="n">
        <v>-29610.53</v>
      </c>
      <c r="Z90" s="37" t="n">
        <v>-122346.47</v>
      </c>
      <c r="AA90" s="18" t="n">
        <v>-37883.22</v>
      </c>
      <c r="AB90" s="19" t="n">
        <v>-32205.73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I91" s="18" t="n">
        <v>7354.17</v>
      </c>
      <c r="J91" s="18" t="n">
        <v>0</v>
      </c>
      <c r="K91" s="9" t="n"/>
      <c r="N91" s="18" t="n">
        <v>7354.17</v>
      </c>
      <c r="O91" s="18" t="n">
        <v>0</v>
      </c>
      <c r="P91" s="9" t="n"/>
      <c r="S91" s="18" t="n">
        <v>7354.17</v>
      </c>
      <c r="T91" s="18" t="n">
        <v>0</v>
      </c>
      <c r="U91" s="9" t="n"/>
      <c r="X91" s="18" t="n">
        <v>7354.17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31680.61</v>
      </c>
      <c r="F92" s="9" t="n"/>
      <c r="G92" s="18" t="n">
        <v>-29368.34</v>
      </c>
      <c r="H92" s="18" t="n">
        <v>4512.58</v>
      </c>
      <c r="I92" s="18" t="n">
        <v>63366.07</v>
      </c>
      <c r="J92" s="18" t="n">
        <v>296048.44</v>
      </c>
      <c r="K92" s="37" t="n">
        <v>334558.75</v>
      </c>
      <c r="L92" s="18" t="n">
        <v>48401.82</v>
      </c>
      <c r="M92" s="18" t="n">
        <v>137599.94</v>
      </c>
      <c r="N92" s="18" t="n">
        <v>33667.19</v>
      </c>
      <c r="O92" s="18" t="n">
        <v>4613.49</v>
      </c>
      <c r="P92" s="37" t="n">
        <v>224282.44</v>
      </c>
      <c r="Q92" s="18" t="n">
        <v>-1371.27</v>
      </c>
      <c r="R92" s="18" t="n">
        <v>60515.65</v>
      </c>
      <c r="S92" s="18" t="n">
        <v>76094.46000000001</v>
      </c>
      <c r="T92" s="18" t="n">
        <v>-588421.62</v>
      </c>
      <c r="U92" s="37" t="n">
        <v>-453182.78</v>
      </c>
      <c r="V92" s="18" t="n">
        <v>420103.25</v>
      </c>
      <c r="W92" s="18" t="n">
        <v>-120957.34</v>
      </c>
      <c r="X92" s="18" t="n">
        <v>106588.84</v>
      </c>
      <c r="Y92" s="18" t="n">
        <v>207940.71</v>
      </c>
      <c r="Z92" s="37" t="n">
        <v>613675.46</v>
      </c>
      <c r="AA92" s="18" t="n">
        <v>303729.67</v>
      </c>
      <c r="AB92" s="19" t="n">
        <v>-412851.44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30152.04</v>
      </c>
      <c r="F93" s="9" t="n"/>
      <c r="G93" s="18" t="n">
        <v>153638.74</v>
      </c>
      <c r="H93" s="18" t="n">
        <v>4383.87</v>
      </c>
      <c r="I93" s="18" t="n">
        <v>69707.66</v>
      </c>
      <c r="J93" s="18" t="n">
        <v>273854.58</v>
      </c>
      <c r="K93" s="37" t="n">
        <v>501584.85</v>
      </c>
      <c r="L93" s="18" t="n">
        <v>555886.47</v>
      </c>
      <c r="M93" s="18" t="n">
        <v>133646.56</v>
      </c>
      <c r="N93" s="18" t="n">
        <v>43151.34</v>
      </c>
      <c r="O93" s="18" t="n">
        <v>-8231.200000000001</v>
      </c>
      <c r="P93" s="37" t="n">
        <v>724453.17</v>
      </c>
      <c r="Q93" s="18" t="n">
        <v>730153.27</v>
      </c>
      <c r="R93" s="18" t="n">
        <v>64030.09</v>
      </c>
      <c r="S93" s="18" t="n">
        <v>61062.34</v>
      </c>
      <c r="T93" s="18" t="n">
        <v>-579203.03</v>
      </c>
      <c r="U93" s="37" t="n">
        <v>276042.67</v>
      </c>
      <c r="V93" s="18" t="n">
        <v>699444.78</v>
      </c>
      <c r="W93" s="18" t="n">
        <v>-137479.62</v>
      </c>
      <c r="X93" s="18" t="n">
        <v>122675.05</v>
      </c>
      <c r="Y93" s="18" t="n">
        <v>201396.41</v>
      </c>
      <c r="Z93" s="37" t="n">
        <v>886036.62</v>
      </c>
      <c r="AA93" s="18" t="n">
        <v>1218978.29</v>
      </c>
      <c r="AB93" s="19" t="n">
        <v>-425678.7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G94" s="18" t="n">
        <v>81426.66</v>
      </c>
      <c r="H94" s="18" t="n">
        <v>18467.27</v>
      </c>
      <c r="I94" s="18" t="n">
        <v>0</v>
      </c>
      <c r="J94" s="18" t="n">
        <v>0</v>
      </c>
      <c r="K94" s="37" t="n">
        <v>99893.92999999999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IFERROR((AB31*변수!$D$56-AB29*변수!$D$57)/4,"")</f>
        <v/>
      </c>
      <c r="AD12" s="20">
        <f>IFERROR((AC31*변수!$D$56-AC29*변수!$D$57)/4,"")</f>
        <v/>
      </c>
      <c r="AE12" s="38">
        <f>SUM(AA12:AD12)</f>
        <v/>
      </c>
      <c r="AF12" s="20">
        <f>IFERROR((AD31*변수!$D$56-AD29*변수!$D$57)/4,"")</f>
        <v/>
      </c>
      <c r="AG12" s="20">
        <f>IFERROR((AF31*변수!$D$56-AF29*변수!$D$57)/4,"")</f>
        <v/>
      </c>
      <c r="AH12" s="20">
        <f>IFERROR((AG31*변수!$D$56-AG29*변수!$D$57)/4,"")</f>
        <v/>
      </c>
      <c r="AI12" s="20">
        <f>IFERROR((AH31*변수!$D$56-AH29*변수!$D$57)/4,"")</f>
        <v/>
      </c>
      <c r="AJ12" s="38">
        <f>SUM(AF12:AI12)</f>
        <v/>
      </c>
      <c r="AK12" s="20">
        <f>IFERROR((AI31*변수!$D$56-AI29*변수!$D$57)/4,"")</f>
        <v/>
      </c>
      <c r="AL12" s="20">
        <f>IFERROR((AK31*변수!$D$56-AK29*변수!$D$57)/4,"")</f>
        <v/>
      </c>
      <c r="AM12" s="20">
        <f>IFERROR((AL31*변수!$D$56-AL29*변수!$D$57)/4,"")</f>
        <v/>
      </c>
      <c r="AN12" s="20">
        <f>IFERROR((AM31*변수!$D$56-AM29*변수!$D$57)/4,"")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감가상각비</t>
        </is>
      </c>
      <c r="B23" t="inlineStr">
        <is>
          <t>손익</t>
        </is>
      </c>
      <c r="C23" t="inlineStr">
        <is>
          <t>억원</t>
        </is>
      </c>
      <c r="D23" t="inlineStr">
        <is>
          <t>감가상각비</t>
        </is>
      </c>
      <c r="E23" s="18">
        <f>IFERROR(VLOOKUP($D23,BS연결,MATCH(E$1,BS연결H,0),0)/100,"")</f>
        <v/>
      </c>
      <c r="F23" s="37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변수!AC32</f>
        <v/>
      </c>
      <c r="AD23" s="20">
        <f>변수!AD32</f>
        <v/>
      </c>
      <c r="AE23" s="38">
        <f>SUM(AA23:AD23)</f>
        <v/>
      </c>
      <c r="AF23" s="20">
        <f>변수!AF32</f>
        <v/>
      </c>
      <c r="AG23" s="20">
        <f>변수!AG32</f>
        <v/>
      </c>
      <c r="AH23" s="20">
        <f>변수!AH32</f>
        <v/>
      </c>
      <c r="AI23" s="20">
        <f>변수!AI32</f>
        <v/>
      </c>
      <c r="AJ23" s="38">
        <f>SUM(AF23:AI23)</f>
        <v/>
      </c>
      <c r="AK23" s="20">
        <f>변수!AK32</f>
        <v/>
      </c>
      <c r="AL23" s="20">
        <f>변수!AL32</f>
        <v/>
      </c>
      <c r="AM23" s="20">
        <f>변수!AM32</f>
        <v/>
      </c>
      <c r="AN23" s="20">
        <f>변수!AN32</f>
        <v/>
      </c>
      <c r="AO23" s="38">
        <f>SUM(AK23:AN23)</f>
        <v/>
      </c>
    </row>
    <row r="24">
      <c r="A24" s="12" t="inlineStr">
        <is>
          <t>EBITDA</t>
        </is>
      </c>
      <c r="B24" t="inlineStr">
        <is>
          <t>손익</t>
        </is>
      </c>
      <c r="C24" t="inlineStr">
        <is>
          <t>억원</t>
        </is>
      </c>
      <c r="D24" t="inlineStr">
        <is>
          <t>EBITDA</t>
        </is>
      </c>
      <c r="E24" s="18" t="n">
        <v>816.21</v>
      </c>
      <c r="F24" s="37" t="n"/>
      <c r="G24" s="18" t="n">
        <v>1563.12</v>
      </c>
      <c r="H24" s="18" t="n">
        <v>1707.3</v>
      </c>
      <c r="I24" s="18" t="n">
        <v>1031.72</v>
      </c>
      <c r="J24" s="18" t="n">
        <v>650.78</v>
      </c>
      <c r="K24" s="37">
        <f>SUM(G24:J24)</f>
        <v/>
      </c>
      <c r="L24" s="18" t="n">
        <v>828.98</v>
      </c>
      <c r="M24" s="18" t="n">
        <v>974.1799999999999</v>
      </c>
      <c r="N24" s="18" t="n">
        <v>956.39</v>
      </c>
      <c r="O24" s="18" t="n">
        <v>686.3200000000001</v>
      </c>
      <c r="P24" s="37">
        <f>SUM(L24:O24)</f>
        <v/>
      </c>
      <c r="Q24" s="18" t="n">
        <v>1139.67</v>
      </c>
      <c r="R24" s="18" t="n">
        <v>1478.76</v>
      </c>
      <c r="S24" s="18" t="n">
        <v>1326.8</v>
      </c>
      <c r="T24" s="18" t="n">
        <v>1051.3</v>
      </c>
      <c r="U24" s="37">
        <f>SUM(Q24:T24)</f>
        <v/>
      </c>
      <c r="V24" s="18" t="n">
        <v>2066.27</v>
      </c>
      <c r="W24" s="18" t="n">
        <v>2379.96</v>
      </c>
      <c r="X24" s="18" t="n">
        <v>-602.83</v>
      </c>
      <c r="Y24" s="18" t="n">
        <v>4528.49</v>
      </c>
      <c r="Z24" s="37">
        <f>SUM(V24:Y24)</f>
        <v/>
      </c>
      <c r="AA24" s="18" t="n">
        <v>1818.37</v>
      </c>
      <c r="AB24" s="19" t="n">
        <v>2207.7</v>
      </c>
      <c r="AC24" s="20">
        <f>IFERROR(AC9+AC23,"")</f>
        <v/>
      </c>
      <c r="AD24" s="20">
        <f>IFERROR(AD9+AD23,"")</f>
        <v/>
      </c>
      <c r="AE24" s="38">
        <f>SUM(AA24:AD24)</f>
        <v/>
      </c>
      <c r="AF24" s="20">
        <f>IFERROR(AF9+AF23,"")</f>
        <v/>
      </c>
      <c r="AG24" s="20">
        <f>IFERROR(AG9+AG23,"")</f>
        <v/>
      </c>
      <c r="AH24" s="20">
        <f>IFERROR(AH9+AH23,"")</f>
        <v/>
      </c>
      <c r="AI24" s="20">
        <f>IFERROR(AI9+AI23,"")</f>
        <v/>
      </c>
      <c r="AJ24" s="38">
        <f>SUM(AF24:AI24)</f>
        <v/>
      </c>
      <c r="AK24" s="20">
        <f>IFERROR(AK9+AK23,"")</f>
        <v/>
      </c>
      <c r="AL24" s="20">
        <f>IFERROR(AL9+AL23,"")</f>
        <v/>
      </c>
      <c r="AM24" s="20">
        <f>IFERROR(AM9+AM23,"")</f>
        <v/>
      </c>
      <c r="AN24" s="20">
        <f>IFERROR(AN9+AN23,"")</f>
        <v/>
      </c>
      <c r="AO24" s="38">
        <f>SUM(AK24:AN24)</f>
        <v/>
      </c>
    </row>
    <row r="25">
      <c r="A25" s="12" t="inlineStr">
        <is>
          <t>자산총계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자산총계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IFERROR(AC26+AC27,"")</f>
        <v/>
      </c>
      <c r="AD25" s="20">
        <f>IFERROR(AD26+AD27,"")</f>
        <v/>
      </c>
      <c r="AE25" s="38">
        <f>AD25</f>
        <v/>
      </c>
      <c r="AF25" s="20">
        <f>IFERROR(AF26+AF27,"")</f>
        <v/>
      </c>
      <c r="AG25" s="20">
        <f>IFERROR(AG26+AG27,"")</f>
        <v/>
      </c>
      <c r="AH25" s="20">
        <f>IFERROR(AH26+AH27,"")</f>
        <v/>
      </c>
      <c r="AI25" s="20">
        <f>IFERROR(AI26+AI27,"")</f>
        <v/>
      </c>
      <c r="AJ25" s="38">
        <f>AI25</f>
        <v/>
      </c>
      <c r="AK25" s="20">
        <f>IFERROR(AK26+AK27,"")</f>
        <v/>
      </c>
      <c r="AL25" s="20">
        <f>IFERROR(AL26+AL27,"")</f>
        <v/>
      </c>
      <c r="AM25" s="20">
        <f>IFERROR(AM26+AM27,"")</f>
        <v/>
      </c>
      <c r="AN25" s="20">
        <f>IFERROR(AN26+AN27,"")</f>
        <v/>
      </c>
      <c r="AO25" s="38">
        <f>AN25</f>
        <v/>
      </c>
    </row>
    <row r="26">
      <c r="A26" s="12" t="inlineStr">
        <is>
          <t>부채총계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부채총계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자본총계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자본총계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IFERROR(AB27+AC20-변수!AC34,"")</f>
        <v/>
      </c>
      <c r="AD27" s="20">
        <f>IFERROR(AC27+AD20-변수!AD34,"")</f>
        <v/>
      </c>
      <c r="AE27" s="38">
        <f>AD27</f>
        <v/>
      </c>
      <c r="AF27" s="20">
        <f>IFERROR(AD27+AF20-변수!AF34,"")</f>
        <v/>
      </c>
      <c r="AG27" s="20">
        <f>IFERROR(AF27+AG20-변수!AG34,"")</f>
        <v/>
      </c>
      <c r="AH27" s="20">
        <f>IFERROR(AG27+AH20-변수!AH34,"")</f>
        <v/>
      </c>
      <c r="AI27" s="20">
        <f>IFERROR(AH27+AI20-변수!AI34,"")</f>
        <v/>
      </c>
      <c r="AJ27" s="38">
        <f>AI27</f>
        <v/>
      </c>
      <c r="AK27" s="20">
        <f>IFERROR(AI27+AK20-변수!AK34,"")</f>
        <v/>
      </c>
      <c r="AL27" s="20">
        <f>IFERROR(AK27+AL20-변수!AL34,"")</f>
        <v/>
      </c>
      <c r="AM27" s="20">
        <f>IFERROR(AL27+AM20-변수!AM34,"")</f>
        <v/>
      </c>
      <c r="AN27" s="20">
        <f>IFERROR(AM27+AN20-변수!AN34,"")</f>
        <v/>
      </c>
      <c r="AO27" s="38">
        <f>AN27</f>
        <v/>
      </c>
    </row>
    <row r="28">
      <c r="A28" s="12" t="inlineStr">
        <is>
          <t>지배주주지분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지배주주지분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IFERROR(AB28+AC21-변수!AC35,"")</f>
        <v/>
      </c>
      <c r="AD28" s="20">
        <f>IFERROR(AC28+AD21-변수!AD35,"")</f>
        <v/>
      </c>
      <c r="AE28" s="38">
        <f>AD28</f>
        <v/>
      </c>
      <c r="AF28" s="20">
        <f>IFERROR(AD28+AF21-변수!AF35,"")</f>
        <v/>
      </c>
      <c r="AG28" s="20">
        <f>IFERROR(AF28+AG21-변수!AG35,"")</f>
        <v/>
      </c>
      <c r="AH28" s="20">
        <f>IFERROR(AG28+AH21-변수!AH35,"")</f>
        <v/>
      </c>
      <c r="AI28" s="20">
        <f>IFERROR(AH28+AI21-변수!AI35,"")</f>
        <v/>
      </c>
      <c r="AJ28" s="38">
        <f>AI28</f>
        <v/>
      </c>
      <c r="AK28" s="20">
        <f>IFERROR(AI28+AK21-변수!AK35,"")</f>
        <v/>
      </c>
      <c r="AL28" s="20">
        <f>IFERROR(AK28+AL21-변수!AL35,"")</f>
        <v/>
      </c>
      <c r="AM28" s="20">
        <f>IFERROR(AL28+AM21-변수!AM35,"")</f>
        <v/>
      </c>
      <c r="AN28" s="20">
        <f>IFERROR(AM28+AN21-변수!AN35,"")</f>
        <v/>
      </c>
      <c r="AO28" s="38">
        <f>AN28</f>
        <v/>
      </c>
    </row>
    <row r="29">
      <c r="A29" s="12" t="inlineStr">
        <is>
          <t>총차입금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총차입금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순차입금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순차입금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IFERROR(AB30*(1+변수!AC37),"")</f>
        <v/>
      </c>
      <c r="AD30" s="20">
        <f>IFERROR(AC30*(1+변수!AD37),"")</f>
        <v/>
      </c>
      <c r="AE30" s="38">
        <f>AD30</f>
        <v/>
      </c>
      <c r="AF30" s="20">
        <f>IFERROR(AD30*(1+변수!AF37),"")</f>
        <v/>
      </c>
      <c r="AG30" s="20">
        <f>IFERROR(AF30*(1+변수!AG37),"")</f>
        <v/>
      </c>
      <c r="AH30" s="20">
        <f>IFERROR(AG30*(1+변수!AH37),"")</f>
        <v/>
      </c>
      <c r="AI30" s="20">
        <f>IFERROR(AH30*(1+변수!AI37),"")</f>
        <v/>
      </c>
      <c r="AJ30" s="38">
        <f>AI30</f>
        <v/>
      </c>
      <c r="AK30" s="20">
        <f>IFERROR(AI30*(1+변수!AK37),"")</f>
        <v/>
      </c>
      <c r="AL30" s="20">
        <f>IFERROR(AK30*(1+변수!AL37),"")</f>
        <v/>
      </c>
      <c r="AM30" s="20">
        <f>IFERROR(AL30*(1+변수!AM37),"")</f>
        <v/>
      </c>
      <c r="AN30" s="20">
        <f>IFERROR(AM30*(1+변수!AN37),"")</f>
        <v/>
      </c>
      <c r="AO30" s="38">
        <f>AN30</f>
        <v/>
      </c>
    </row>
    <row r="31">
      <c r="A31" s="12" t="inlineStr">
        <is>
          <t>이자발생자산</t>
        </is>
      </c>
      <c r="B31" t="inlineStr">
        <is>
          <t>재무상태</t>
        </is>
      </c>
      <c r="C31" t="inlineStr">
        <is>
          <t>억원</t>
        </is>
      </c>
      <c r="D31" t="inlineStr">
        <is>
          <t>이자발생자산</t>
        </is>
      </c>
      <c r="E31" s="18">
        <f>IFERROR(VLOOKUP($D31,BS연결,MATCH(E$1,BS연결H,0),0)/100,"")</f>
        <v/>
      </c>
      <c r="F31" s="37">
        <f>IFERROR(VLOOKUP($D31,BS연결,MATCH(F$1,BS연결H,0),0)/100,"")</f>
        <v/>
      </c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IFERROR(AB31*(1+변수!AC38),"")</f>
        <v/>
      </c>
      <c r="AD31" s="20">
        <f>IFERROR(AC31*(1+변수!AD38),"")</f>
        <v/>
      </c>
      <c r="AE31" s="38">
        <f>AD31</f>
        <v/>
      </c>
      <c r="AF31" s="20">
        <f>IFERROR(AD31*(1+변수!AF38),"")</f>
        <v/>
      </c>
      <c r="AG31" s="20">
        <f>IFERROR(AF31*(1+변수!AG38),"")</f>
        <v/>
      </c>
      <c r="AH31" s="20">
        <f>IFERROR(AG31*(1+변수!AH38),"")</f>
        <v/>
      </c>
      <c r="AI31" s="20">
        <f>IFERROR(AH31*(1+변수!AI38),"")</f>
        <v/>
      </c>
      <c r="AJ31" s="38">
        <f>AI31</f>
        <v/>
      </c>
      <c r="AK31" s="20">
        <f>IFERROR(AI31*(1+변수!AK38),"")</f>
        <v/>
      </c>
      <c r="AL31" s="20">
        <f>IFERROR(AK31*(1+변수!AL38),"")</f>
        <v/>
      </c>
      <c r="AM31" s="20">
        <f>IFERROR(AL31*(1+변수!AM38),"")</f>
        <v/>
      </c>
      <c r="AN31" s="20">
        <f>IFERROR(AM31*(1+변수!AN38),"")</f>
        <v/>
      </c>
      <c r="AO31" s="38">
        <f>AN31</f>
        <v/>
      </c>
    </row>
    <row r="32">
      <c r="A32" s="12" t="inlineStr">
        <is>
          <t>현금및현금성자산</t>
        </is>
      </c>
      <c r="B32" t="inlineStr">
        <is>
          <t>재무상태</t>
        </is>
      </c>
      <c r="C32" t="inlineStr">
        <is>
          <t>억원</t>
        </is>
      </c>
      <c r="D32" t="inlineStr">
        <is>
          <t>현금및현금성자산</t>
        </is>
      </c>
      <c r="E32" s="18">
        <f>IFERROR(VLOOKUP($D32,BS연결,MATCH(E$1,BS연결H,0),0)/100,"")</f>
        <v/>
      </c>
      <c r="F32" s="37">
        <f>IFERROR(VLOOKUP($D32,BS연결,MATCH(F$1,BS연결H,0),0)/100,"")</f>
        <v/>
      </c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AD32</f>
        <v/>
      </c>
      <c r="AF32" s="20" t="n"/>
      <c r="AG32" s="20" t="n"/>
      <c r="AH32" s="20" t="n"/>
      <c r="AI32" s="20" t="n"/>
      <c r="AJ32" s="38">
        <f>AI32</f>
        <v/>
      </c>
      <c r="AK32" s="20" t="n"/>
      <c r="AL32" s="20" t="n"/>
      <c r="AM32" s="20" t="n"/>
      <c r="AN32" s="20" t="n"/>
      <c r="AO32" s="38">
        <f>AN32</f>
        <v/>
      </c>
    </row>
    <row r="33">
      <c r="A33" s="12" t="inlineStr">
        <is>
          <t>CAPEX</t>
        </is>
      </c>
      <c r="B33" t="inlineStr">
        <is>
          <t>현금흐름</t>
        </is>
      </c>
      <c r="C33" t="inlineStr">
        <is>
          <t>억원</t>
        </is>
      </c>
      <c r="D33" t="inlineStr">
        <is>
          <t>CAPEX</t>
        </is>
      </c>
      <c r="E33" s="18">
        <f>IFERROR(VLOOKUP($D33,BS연결,MATCH(E$1,BS연결H,0),0)/100,"")</f>
        <v/>
      </c>
      <c r="F33" s="37" t="n"/>
      <c r="G33" s="18">
        <f>IFERROR(VLOOKUP($D33,BS연결,MATCH(G$1,BS연결H,0),0)/100,"")</f>
        <v/>
      </c>
      <c r="H33" s="18">
        <f>IFERROR(VLOOKUP($D33,BS연결,MATCH(H$1,BS연결H,0),0)/100,"")</f>
        <v/>
      </c>
      <c r="I33" s="18">
        <f>IFERROR(VLOOKUP($D33,BS연결,MATCH(I$1,BS연결H,0),0)/100,"")</f>
        <v/>
      </c>
      <c r="J33" s="18">
        <f>IFERROR(VLOOKUP($D33,BS연결,MATCH(J$1,BS연결H,0),0)/100,"")</f>
        <v/>
      </c>
      <c r="K33" s="37">
        <f>IFERROR(VLOOKUP($D33,BS연결,MATCH(K$1,BS연결H,0),0)/100,"")</f>
        <v/>
      </c>
      <c r="L33" s="18">
        <f>IFERROR(VLOOKUP($D33,BS연결,MATCH(L$1,BS연결H,0),0)/100,"")</f>
        <v/>
      </c>
      <c r="M33" s="18">
        <f>IFERROR(VLOOKUP($D33,BS연결,MATCH(M$1,BS연결H,0),0)/100,"")</f>
        <v/>
      </c>
      <c r="N33" s="18">
        <f>IFERROR(VLOOKUP($D33,BS연결,MATCH(N$1,BS연결H,0),0)/100,"")</f>
        <v/>
      </c>
      <c r="O33" s="18">
        <f>IFERROR(VLOOKUP($D33,BS연결,MATCH(O$1,BS연결H,0),0)/100,"")</f>
        <v/>
      </c>
      <c r="P33" s="37">
        <f>IFERROR(VLOOKUP($D33,BS연결,MATCH(P$1,BS연결H,0),0)/100,"")</f>
        <v/>
      </c>
      <c r="Q33" s="18">
        <f>IFERROR(VLOOKUP($D33,BS연결,MATCH(Q$1,BS연결H,0),0)/100,"")</f>
        <v/>
      </c>
      <c r="R33" s="18">
        <f>IFERROR(VLOOKUP($D33,BS연결,MATCH(R$1,BS연결H,0),0)/100,"")</f>
        <v/>
      </c>
      <c r="S33" s="18">
        <f>IFERROR(VLOOKUP($D33,BS연결,MATCH(S$1,BS연결H,0),0)/100,"")</f>
        <v/>
      </c>
      <c r="T33" s="18">
        <f>IFERROR(VLOOKUP($D33,BS연결,MATCH(T$1,BS연결H,0),0)/100,"")</f>
        <v/>
      </c>
      <c r="U33" s="37">
        <f>IFERROR(VLOOKUP($D33,BS연결,MATCH(U$1,BS연결H,0),0)/100,"")</f>
        <v/>
      </c>
      <c r="V33" s="18">
        <f>IFERROR(VLOOKUP($D33,BS연결,MATCH(V$1,BS연결H,0),0)/100,"")</f>
        <v/>
      </c>
      <c r="W33" s="18">
        <f>IFERROR(VLOOKUP($D33,BS연결,MATCH(W$1,BS연결H,0),0)/100,"")</f>
        <v/>
      </c>
      <c r="X33" s="18">
        <f>IFERROR(VLOOKUP($D33,BS연결,MATCH(X$1,BS연결H,0),0)/100,"")</f>
        <v/>
      </c>
      <c r="Y33" s="18">
        <f>IFERROR(VLOOKUP($D33,BS연결,MATCH(Y$1,BS연결H,0),0)/100,"")</f>
        <v/>
      </c>
      <c r="Z33" s="37">
        <f>IFERROR(VLOOKUP($D33,BS연결,MATCH(Z$1,BS연결H,0),0)/100,"")</f>
        <v/>
      </c>
      <c r="AA33" s="18">
        <f>IFERROR(VLOOKUP($D33,BS연결,MATCH(AA$1,BS연결H,0),0)/100,"")</f>
        <v/>
      </c>
      <c r="AB33" s="19">
        <f>IFERROR(VLOOKUP($D33,BS연결,MATCH(AB$1,BS연결H,0),0)/100,"")</f>
        <v/>
      </c>
      <c r="AC33" s="20">
        <f>IFERROR(X33*(1+변수!AC40),"")</f>
        <v/>
      </c>
      <c r="AD33" s="20">
        <f>IFERROR(Y33*(1+변수!AD40),"")</f>
        <v/>
      </c>
      <c r="AE33" s="38">
        <f>SUM(AA33:AD33)</f>
        <v/>
      </c>
      <c r="AF33" s="20">
        <f>IFERROR(AA33*(1+변수!AF40),"")</f>
        <v/>
      </c>
      <c r="AG33" s="20">
        <f>IFERROR(AB33*(1+변수!AG40),"")</f>
        <v/>
      </c>
      <c r="AH33" s="20">
        <f>IFERROR(AC33*(1+변수!AH40),"")</f>
        <v/>
      </c>
      <c r="AI33" s="20">
        <f>IFERROR(AD33*(1+변수!AI40),"")</f>
        <v/>
      </c>
      <c r="AJ33" s="38">
        <f>SUM(AF33:AI33)</f>
        <v/>
      </c>
      <c r="AK33" s="20">
        <f>IFERROR(AF33*(1+변수!AK40),"")</f>
        <v/>
      </c>
      <c r="AL33" s="20">
        <f>IFERROR(AG33*(1+변수!AL40),"")</f>
        <v/>
      </c>
      <c r="AM33" s="20">
        <f>IFERROR(AH33*(1+변수!AM40),"")</f>
        <v/>
      </c>
      <c r="AN33" s="20">
        <f>IFERROR(AI33*(1+변수!AN40),"")</f>
        <v/>
      </c>
      <c r="AO33" s="38">
        <f>SUM(AK33:AN33)</f>
        <v/>
      </c>
    </row>
    <row r="34">
      <c r="A34" s="12" t="inlineStr">
        <is>
          <t>영업활동현금흐름</t>
        </is>
      </c>
      <c r="B34" t="inlineStr">
        <is>
          <t>현금흐름</t>
        </is>
      </c>
      <c r="C34" t="inlineStr">
        <is>
          <t>억원</t>
        </is>
      </c>
      <c r="D34" t="inlineStr">
        <is>
          <t>영업활동으로인한현금흐름</t>
        </is>
      </c>
      <c r="E34" s="18">
        <f>IFERROR(VLOOKUP($D34,BS연결,MATCH(E$1,BS연결H,0),0)/100,"")</f>
        <v/>
      </c>
      <c r="F34" s="37" t="n"/>
      <c r="G34" s="18">
        <f>IFERROR(VLOOKUP($D34,BS연결,MATCH(G$1,BS연결H,0),0)/100,"")</f>
        <v/>
      </c>
      <c r="H34" s="18">
        <f>IFERROR(VLOOKUP($D34,BS연결,MATCH(H$1,BS연결H,0),0)/100,"")</f>
        <v/>
      </c>
      <c r="I34" s="18">
        <f>IFERROR(VLOOKUP($D34,BS연결,MATCH(I$1,BS연결H,0),0)/100,"")</f>
        <v/>
      </c>
      <c r="J34" s="18">
        <f>IFERROR(VLOOKUP($D34,BS연결,MATCH(J$1,BS연결H,0),0)/100,"")</f>
        <v/>
      </c>
      <c r="K34" s="37">
        <f>IFERROR(VLOOKUP($D34,BS연결,MATCH(K$1,BS연결H,0),0)/100,"")</f>
        <v/>
      </c>
      <c r="L34" s="18">
        <f>IFERROR(VLOOKUP($D34,BS연결,MATCH(L$1,BS연결H,0),0)/100,"")</f>
        <v/>
      </c>
      <c r="M34" s="18">
        <f>IFERROR(VLOOKUP($D34,BS연결,MATCH(M$1,BS연결H,0),0)/100,"")</f>
        <v/>
      </c>
      <c r="N34" s="18">
        <f>IFERROR(VLOOKUP($D34,BS연결,MATCH(N$1,BS연결H,0),0)/100,"")</f>
        <v/>
      </c>
      <c r="O34" s="18">
        <f>IFERROR(VLOOKUP($D34,BS연결,MATCH(O$1,BS연결H,0),0)/100,"")</f>
        <v/>
      </c>
      <c r="P34" s="37">
        <f>IFERROR(VLOOKUP($D34,BS연결,MATCH(P$1,BS연결H,0),0)/100,"")</f>
        <v/>
      </c>
      <c r="Q34" s="18">
        <f>IFERROR(VLOOKUP($D34,BS연결,MATCH(Q$1,BS연결H,0),0)/100,"")</f>
        <v/>
      </c>
      <c r="R34" s="18">
        <f>IFERROR(VLOOKUP($D34,BS연결,MATCH(R$1,BS연결H,0),0)/100,"")</f>
        <v/>
      </c>
      <c r="S34" s="18">
        <f>IFERROR(VLOOKUP($D34,BS연결,MATCH(S$1,BS연결H,0),0)/100,"")</f>
        <v/>
      </c>
      <c r="T34" s="18">
        <f>IFERROR(VLOOKUP($D34,BS연결,MATCH(T$1,BS연결H,0),0)/100,"")</f>
        <v/>
      </c>
      <c r="U34" s="37">
        <f>IFERROR(VLOOKUP($D34,BS연결,MATCH(U$1,BS연결H,0),0)/100,"")</f>
        <v/>
      </c>
      <c r="V34" s="18">
        <f>IFERROR(VLOOKUP($D34,BS연결,MATCH(V$1,BS연결H,0),0)/100,"")</f>
        <v/>
      </c>
      <c r="W34" s="18">
        <f>IFERROR(VLOOKUP($D34,BS연결,MATCH(W$1,BS연결H,0),0)/100,"")</f>
        <v/>
      </c>
      <c r="X34" s="18">
        <f>IFERROR(VLOOKUP($D34,BS연결,MATCH(X$1,BS연결H,0),0)/100,"")</f>
        <v/>
      </c>
      <c r="Y34" s="18">
        <f>IFERROR(VLOOKUP($D34,BS연결,MATCH(Y$1,BS연결H,0),0)/100,"")</f>
        <v/>
      </c>
      <c r="Z34" s="37">
        <f>IFERROR(VLOOKUP($D34,BS연결,MATCH(Z$1,BS연결H,0),0)/100,"")</f>
        <v/>
      </c>
      <c r="AA34" s="18">
        <f>IFERROR(VLOOKUP($D34,BS연결,MATCH(AA$1,BS연결H,0),0)/100,"")</f>
        <v/>
      </c>
      <c r="AB34" s="19">
        <f>IFERROR(VLOOKUP($D34,BS연결,MATCH(AB$1,BS연결H,0),0)/100,"")</f>
        <v/>
      </c>
      <c r="AC34" s="20" t="n"/>
      <c r="AD34" s="20" t="n"/>
      <c r="AE34" s="38">
        <f>SUM(AA34:AD34)</f>
        <v/>
      </c>
      <c r="AF34" s="20" t="n"/>
      <c r="AG34" s="20" t="n"/>
      <c r="AH34" s="20" t="n"/>
      <c r="AI34" s="20" t="n"/>
      <c r="AJ34" s="38">
        <f>SUM(AF34:AI34)</f>
        <v/>
      </c>
      <c r="AK34" s="20" t="n"/>
      <c r="AL34" s="20" t="n"/>
      <c r="AM34" s="20" t="n"/>
      <c r="AN34" s="20" t="n"/>
      <c r="AO34" s="38">
        <f>SUM(AK34:AN34)</f>
        <v/>
      </c>
    </row>
    <row r="35">
      <c r="A35" s="12" t="inlineStr">
        <is>
          <t>주식수</t>
        </is>
      </c>
      <c r="B35" t="inlineStr">
        <is>
          <t>주당</t>
        </is>
      </c>
      <c r="C35" t="inlineStr">
        <is>
          <t>백만주</t>
        </is>
      </c>
      <c r="D35" t="inlineStr">
        <is>
          <t>유통주식수</t>
        </is>
      </c>
      <c r="E35" s="27" t="n">
        <v>7.658</v>
      </c>
      <c r="F35" s="28">
        <f>E35</f>
        <v/>
      </c>
      <c r="G35" s="27" t="n">
        <v>7.409</v>
      </c>
      <c r="H35" s="27" t="n">
        <v>7.354</v>
      </c>
      <c r="I35" s="27" t="n">
        <v>7.354</v>
      </c>
      <c r="J35" s="27" t="n">
        <v>7.354</v>
      </c>
      <c r="K35" s="28">
        <f>J35</f>
        <v/>
      </c>
      <c r="L35" s="27" t="n">
        <v>7.354</v>
      </c>
      <c r="M35" s="27" t="n">
        <v>7.354</v>
      </c>
      <c r="N35" s="27" t="n">
        <v>7.354</v>
      </c>
      <c r="O35" s="27" t="n">
        <v>7.354</v>
      </c>
      <c r="P35" s="28">
        <f>O35</f>
        <v/>
      </c>
      <c r="Q35" s="27" t="n">
        <v>7.354</v>
      </c>
      <c r="R35" s="27" t="n">
        <v>7.354</v>
      </c>
      <c r="S35" s="27" t="n">
        <v>7.354</v>
      </c>
      <c r="T35" s="27" t="n">
        <v>7.354</v>
      </c>
      <c r="U35" s="28">
        <f>T35</f>
        <v/>
      </c>
      <c r="V35" s="27" t="n">
        <v>7.354</v>
      </c>
      <c r="W35" s="27" t="n">
        <v>7.354</v>
      </c>
      <c r="X35" s="27" t="n">
        <v>7.354</v>
      </c>
      <c r="Y35" s="27" t="n">
        <v>7.354</v>
      </c>
      <c r="Z35" s="28">
        <f>Y35</f>
        <v/>
      </c>
      <c r="AA35" s="27" t="n">
        <v>7.354</v>
      </c>
      <c r="AB35" s="29" t="n">
        <v>7.354</v>
      </c>
      <c r="AC35" s="32">
        <f>IFERROR(AB35*(1+변수!AC42),"")</f>
        <v/>
      </c>
      <c r="AD35" s="32">
        <f>IFERROR(AC35*(1+변수!AD42),"")</f>
        <v/>
      </c>
      <c r="AE35" s="31">
        <f>AD35</f>
        <v/>
      </c>
      <c r="AF35" s="32">
        <f>IFERROR(AD35*(1+변수!AF42),"")</f>
        <v/>
      </c>
      <c r="AG35" s="32">
        <f>IFERROR(AF35*(1+변수!AG42),"")</f>
        <v/>
      </c>
      <c r="AH35" s="32">
        <f>IFERROR(AG35*(1+변수!AH42),"")</f>
        <v/>
      </c>
      <c r="AI35" s="32">
        <f>IFERROR(AH35*(1+변수!AI42),"")</f>
        <v/>
      </c>
      <c r="AJ35" s="31">
        <f>AI35</f>
        <v/>
      </c>
      <c r="AK35" s="32">
        <f>IFERROR(AI35*(1+변수!AK42),"")</f>
        <v/>
      </c>
      <c r="AL35" s="32">
        <f>IFERROR(AK35*(1+변수!AL42),"")</f>
        <v/>
      </c>
      <c r="AM35" s="32">
        <f>IFERROR(AL35*(1+변수!AM42),"")</f>
        <v/>
      </c>
      <c r="AN35" s="32">
        <f>IFERROR(AM35*(1+변수!AN42),"")</f>
        <v/>
      </c>
      <c r="AO35" s="31">
        <f>AN35</f>
        <v/>
      </c>
    </row>
    <row r="36">
      <c r="A36" s="12" t="inlineStr">
        <is>
          <t>EPS</t>
        </is>
      </c>
      <c r="B36" t="inlineStr">
        <is>
          <t>주당</t>
        </is>
      </c>
      <c r="C36" t="inlineStr">
        <is>
          <t>원</t>
        </is>
      </c>
      <c r="D36" t="inlineStr">
        <is>
          <t>EPS</t>
        </is>
      </c>
      <c r="E36" s="18">
        <f>IFERROR(E21*100/E35,"")</f>
        <v/>
      </c>
      <c r="F36" s="37" t="n"/>
      <c r="G36" s="18">
        <f>IFERROR(G21*100/G35,"")</f>
        <v/>
      </c>
      <c r="H36" s="18">
        <f>IFERROR(H21*100/H35,"")</f>
        <v/>
      </c>
      <c r="I36" s="18">
        <f>IFERROR(I21*100/I35,"")</f>
        <v/>
      </c>
      <c r="J36" s="18">
        <f>IFERROR(J21*100/J35,"")</f>
        <v/>
      </c>
      <c r="K36" s="37">
        <f>SUM(G36:J36)</f>
        <v/>
      </c>
      <c r="L36" s="18">
        <f>IFERROR(L21*100/L35,"")</f>
        <v/>
      </c>
      <c r="M36" s="18">
        <f>IFERROR(M21*100/M35,"")</f>
        <v/>
      </c>
      <c r="N36" s="18">
        <f>IFERROR(N21*100/N35,"")</f>
        <v/>
      </c>
      <c r="O36" s="18">
        <f>IFERROR(O21*100/O35,"")</f>
        <v/>
      </c>
      <c r="P36" s="37">
        <f>SUM(L36:O36)</f>
        <v/>
      </c>
      <c r="Q36" s="18">
        <f>IFERROR(Q21*100/Q35,"")</f>
        <v/>
      </c>
      <c r="R36" s="18">
        <f>IFERROR(R21*100/R35,"")</f>
        <v/>
      </c>
      <c r="S36" s="18">
        <f>IFERROR(S21*100/S35,"")</f>
        <v/>
      </c>
      <c r="T36" s="18">
        <f>IFERROR(T21*100/T35,"")</f>
        <v/>
      </c>
      <c r="U36" s="37">
        <f>SUM(Q36:T36)</f>
        <v/>
      </c>
      <c r="V36" s="18">
        <f>IFERROR(V21*100/V35,"")</f>
        <v/>
      </c>
      <c r="W36" s="18">
        <f>IFERROR(W21*100/W35,"")</f>
        <v/>
      </c>
      <c r="X36" s="18">
        <f>IFERROR(X21*100/X35,"")</f>
        <v/>
      </c>
      <c r="Y36" s="18">
        <f>IFERROR(Y21*100/Y35,"")</f>
        <v/>
      </c>
      <c r="Z36" s="37">
        <f>SUM(V36:Y36)</f>
        <v/>
      </c>
      <c r="AA36" s="18">
        <f>IFERROR(AA21*100/AA35,"")</f>
        <v/>
      </c>
      <c r="AB36" s="19">
        <f>IFERROR(AB21*100/AB35,"")</f>
        <v/>
      </c>
      <c r="AC36" s="20">
        <f>IFERROR(AC21*100/AC35,"")</f>
        <v/>
      </c>
      <c r="AD36" s="20">
        <f>IFERROR(AD21*100/AD35,"")</f>
        <v/>
      </c>
      <c r="AE36" s="38">
        <f>SUM(AA36:AD36)</f>
        <v/>
      </c>
      <c r="AF36" s="20">
        <f>IFERROR(AF21*100/AF35,"")</f>
        <v/>
      </c>
      <c r="AG36" s="20">
        <f>IFERROR(AG21*100/AG35,"")</f>
        <v/>
      </c>
      <c r="AH36" s="20">
        <f>IFERROR(AH21*100/AH35,"")</f>
        <v/>
      </c>
      <c r="AI36" s="20">
        <f>IFERROR(AI21*100/AI35,"")</f>
        <v/>
      </c>
      <c r="AJ36" s="38">
        <f>SUM(AF36:AI36)</f>
        <v/>
      </c>
      <c r="AK36" s="20">
        <f>IFERROR(AK21*100/AK35,"")</f>
        <v/>
      </c>
      <c r="AL36" s="20">
        <f>IFERROR(AL21*100/AL35,"")</f>
        <v/>
      </c>
      <c r="AM36" s="20">
        <f>IFERROR(AM21*100/AM35,"")</f>
        <v/>
      </c>
      <c r="AN36" s="20">
        <f>IFERROR(AN21*100/AN35,"")</f>
        <v/>
      </c>
      <c r="AO36" s="38">
        <f>SUM(AK36:AN36)</f>
        <v/>
      </c>
    </row>
    <row r="37">
      <c r="A37" s="12" t="inlineStr">
        <is>
          <t>조정EPS</t>
        </is>
      </c>
      <c r="B37" t="inlineStr">
        <is>
          <t>주당</t>
        </is>
      </c>
      <c r="C37" t="inlineStr">
        <is>
          <t>원</t>
        </is>
      </c>
      <c r="D37" t="inlineStr">
        <is>
          <t>조정 EPS(일회성 의심 분기의 초과 비영업손익 세후 차감 — 모델 추정)</t>
        </is>
      </c>
      <c r="E37" s="18">
        <f>IFERROR(E36,"")</f>
        <v/>
      </c>
      <c r="F37" s="37" t="n"/>
      <c r="G37" s="18">
        <f>IFERROR(G36,"")</f>
        <v/>
      </c>
      <c r="H37" s="18">
        <f>IFERROR(H36,"")</f>
        <v/>
      </c>
      <c r="I37" s="18">
        <f>IFERROR(I36,"")</f>
        <v/>
      </c>
      <c r="J37" s="18">
        <f>IFERROR(J36,"")</f>
        <v/>
      </c>
      <c r="K37" s="37">
        <f>SUM(G37:J37)</f>
        <v/>
      </c>
      <c r="L37" s="18">
        <f>IFERROR(L36,"")</f>
        <v/>
      </c>
      <c r="M37" s="18">
        <f>IFERROR(M36,"")</f>
        <v/>
      </c>
      <c r="N37" s="18">
        <f>IFERROR(N36,"")</f>
        <v/>
      </c>
      <c r="O37" s="18">
        <f>IFERROR(O36,"")</f>
        <v/>
      </c>
      <c r="P37" s="37">
        <f>SUM(L37:O37)</f>
        <v/>
      </c>
      <c r="Q37" s="18">
        <f>IFERROR(Q36,"")</f>
        <v/>
      </c>
      <c r="R37" s="18">
        <f>IFERROR(R36,"")</f>
        <v/>
      </c>
      <c r="S37" s="18">
        <f>IFERROR(S36,"")</f>
        <v/>
      </c>
      <c r="T37" s="18">
        <f>IFERROR(T36,"")</f>
        <v/>
      </c>
      <c r="U37" s="37">
        <f>SUM(Q37:T37)</f>
        <v/>
      </c>
      <c r="V37" s="18">
        <f>IFERROR(V36,"")</f>
        <v/>
      </c>
      <c r="W37" s="18">
        <f>IFERROR(W36,"")</f>
        <v/>
      </c>
      <c r="X37" s="18">
        <f>IFERROR(X36,"")</f>
        <v/>
      </c>
      <c r="Y37" s="18">
        <f>IFERROR(Y36,"")</f>
        <v/>
      </c>
      <c r="Z37" s="37">
        <f>SUM(V37:Y37)</f>
        <v/>
      </c>
      <c r="AA37" s="18">
        <f>IFERROR(AA36,"")</f>
        <v/>
      </c>
      <c r="AB37" s="39">
        <f>IFERROR((AB21-(27630.69)*(1.0))*100/AB35,"")</f>
        <v/>
      </c>
      <c r="AC37" s="20">
        <f>IFERROR(AC36,"")</f>
        <v/>
      </c>
      <c r="AD37" s="20">
        <f>IFERROR(AD36,"")</f>
        <v/>
      </c>
      <c r="AE37" s="38">
        <f>SUM(AA37:AD37)</f>
        <v/>
      </c>
      <c r="AF37" s="20">
        <f>IFERROR(AF36,"")</f>
        <v/>
      </c>
      <c r="AG37" s="20">
        <f>IFERROR(AG36,"")</f>
        <v/>
      </c>
      <c r="AH37" s="20">
        <f>IFERROR(AH36,"")</f>
        <v/>
      </c>
      <c r="AI37" s="20">
        <f>IFERROR(AI36,"")</f>
        <v/>
      </c>
      <c r="AJ37" s="38">
        <f>SUM(AF37:AI37)</f>
        <v/>
      </c>
      <c r="AK37" s="20">
        <f>IFERROR(AK36,"")</f>
        <v/>
      </c>
      <c r="AL37" s="20">
        <f>IFERROR(AL36,"")</f>
        <v/>
      </c>
      <c r="AM37" s="20">
        <f>IFERROR(AM36,"")</f>
        <v/>
      </c>
      <c r="AN37" s="20">
        <f>IFERROR(AN36,"")</f>
        <v/>
      </c>
      <c r="AO37" s="38">
        <f>SUM(AK37:AN37)</f>
        <v/>
      </c>
    </row>
    <row r="38">
      <c r="A38" s="12" t="inlineStr">
        <is>
          <t>BPS</t>
        </is>
      </c>
      <c r="B38" t="inlineStr">
        <is>
          <t>주당</t>
        </is>
      </c>
      <c r="C38" t="inlineStr">
        <is>
          <t>원</t>
        </is>
      </c>
      <c r="D38" t="inlineStr">
        <is>
          <t>BPS</t>
        </is>
      </c>
      <c r="E38" s="18">
        <f>IFERROR(E28*100/E35,"")</f>
        <v/>
      </c>
      <c r="F38" s="37">
        <f>E38</f>
        <v/>
      </c>
      <c r="G38" s="18">
        <f>IFERROR(G28*100/G35,"")</f>
        <v/>
      </c>
      <c r="H38" s="18">
        <f>IFERROR(H28*100/H35,"")</f>
        <v/>
      </c>
      <c r="I38" s="18">
        <f>IFERROR(I28*100/I35,"")</f>
        <v/>
      </c>
      <c r="J38" s="18">
        <f>IFERROR(J28*100/J35,"")</f>
        <v/>
      </c>
      <c r="K38" s="37">
        <f>J38</f>
        <v/>
      </c>
      <c r="L38" s="18">
        <f>IFERROR(L28*100/L35,"")</f>
        <v/>
      </c>
      <c r="M38" s="18">
        <f>IFERROR(M28*100/M35,"")</f>
        <v/>
      </c>
      <c r="N38" s="18">
        <f>IFERROR(N28*100/N35,"")</f>
        <v/>
      </c>
      <c r="O38" s="18">
        <f>IFERROR(O28*100/O35,"")</f>
        <v/>
      </c>
      <c r="P38" s="37">
        <f>O38</f>
        <v/>
      </c>
      <c r="Q38" s="18">
        <f>IFERROR(Q28*100/Q35,"")</f>
        <v/>
      </c>
      <c r="R38" s="18">
        <f>IFERROR(R28*100/R35,"")</f>
        <v/>
      </c>
      <c r="S38" s="18">
        <f>IFERROR(S28*100/S35,"")</f>
        <v/>
      </c>
      <c r="T38" s="18">
        <f>IFERROR(T28*100/T35,"")</f>
        <v/>
      </c>
      <c r="U38" s="37">
        <f>T38</f>
        <v/>
      </c>
      <c r="V38" s="18">
        <f>IFERROR(V28*100/V35,"")</f>
        <v/>
      </c>
      <c r="W38" s="18">
        <f>IFERROR(W28*100/W35,"")</f>
        <v/>
      </c>
      <c r="X38" s="18">
        <f>IFERROR(X28*100/X35,"")</f>
        <v/>
      </c>
      <c r="Y38" s="18">
        <f>IFERROR(Y28*100/Y35,"")</f>
        <v/>
      </c>
      <c r="Z38" s="37">
        <f>Y38</f>
        <v/>
      </c>
      <c r="AA38" s="18">
        <f>IFERROR(AA28*100/AA35,"")</f>
        <v/>
      </c>
      <c r="AB38" s="19">
        <f>IFERROR(AB28*100/AB35,"")</f>
        <v/>
      </c>
      <c r="AC38" s="20">
        <f>IFERROR(AC28*100/AC35,"")</f>
        <v/>
      </c>
      <c r="AD38" s="20">
        <f>IFERROR(AD28*100/AD35,"")</f>
        <v/>
      </c>
      <c r="AE38" s="38">
        <f>AD38</f>
        <v/>
      </c>
      <c r="AF38" s="20">
        <f>IFERROR(AF28*100/AF35,"")</f>
        <v/>
      </c>
      <c r="AG38" s="20">
        <f>IFERROR(AG28*100/AG35,"")</f>
        <v/>
      </c>
      <c r="AH38" s="20">
        <f>IFERROR(AH28*100/AH35,"")</f>
        <v/>
      </c>
      <c r="AI38" s="20">
        <f>IFERROR(AI28*100/AI35,"")</f>
        <v/>
      </c>
      <c r="AJ38" s="38">
        <f>AI38</f>
        <v/>
      </c>
      <c r="AK38" s="20">
        <f>IFERROR(AK28*100/AK35,"")</f>
        <v/>
      </c>
      <c r="AL38" s="20">
        <f>IFERROR(AL28*100/AL35,"")</f>
        <v/>
      </c>
      <c r="AM38" s="20">
        <f>IFERROR(AM28*100/AM35,"")</f>
        <v/>
      </c>
      <c r="AN38" s="20">
        <f>IFERROR(AN28*100/AN35,"")</f>
        <v/>
      </c>
      <c r="AO38" s="38">
        <f>AN38</f>
        <v/>
      </c>
    </row>
    <row r="39">
      <c r="A39" s="12" t="inlineStr">
        <is>
          <t>DPS</t>
        </is>
      </c>
      <c r="B39" t="inlineStr">
        <is>
          <t>주당</t>
        </is>
      </c>
      <c r="C39" t="inlineStr">
        <is>
          <t>원</t>
        </is>
      </c>
      <c r="D39" t="inlineStr">
        <is>
          <t>DPS(보통주)</t>
        </is>
      </c>
      <c r="E39" s="18" t="n">
        <v>7000</v>
      </c>
      <c r="F39" s="37" t="n">
        <v>7000</v>
      </c>
      <c r="G39" s="18" t="n"/>
      <c r="H39" s="18" t="n"/>
      <c r="I39" s="18" t="n"/>
      <c r="J39" s="18" t="n">
        <v>8000</v>
      </c>
      <c r="K39" s="37">
        <f>SUM(G39:J39)</f>
        <v/>
      </c>
      <c r="L39" s="18" t="n"/>
      <c r="M39" s="18" t="n"/>
      <c r="N39" s="18" t="n"/>
      <c r="O39" s="18" t="n">
        <v>8000</v>
      </c>
      <c r="P39" s="37">
        <f>SUM(L39:O39)</f>
        <v/>
      </c>
      <c r="Q39" s="18" t="n"/>
      <c r="R39" s="18" t="n"/>
      <c r="S39" s="18" t="n"/>
      <c r="T39" s="18" t="n">
        <v>10000</v>
      </c>
      <c r="U39" s="37">
        <f>SUM(Q39:T39)</f>
        <v/>
      </c>
      <c r="V39" s="18" t="n"/>
      <c r="W39" s="18" t="n"/>
      <c r="X39" s="18" t="n"/>
      <c r="Y39" s="18" t="n">
        <v>15000</v>
      </c>
      <c r="Z39" s="37">
        <f>SUM(V39:Y39)</f>
        <v/>
      </c>
      <c r="AA39" s="18" t="n"/>
      <c r="AB39" s="19" t="n"/>
      <c r="AC39" s="20" t="n"/>
      <c r="AD39" s="20">
        <f>변수!AD43</f>
        <v/>
      </c>
      <c r="AE39" s="38">
        <f>SUM(AA39:AD39)</f>
        <v/>
      </c>
      <c r="AF39" s="20" t="n"/>
      <c r="AG39" s="20" t="n"/>
      <c r="AH39" s="20" t="n"/>
      <c r="AI39" s="20">
        <f>변수!AI43</f>
        <v/>
      </c>
      <c r="AJ39" s="38">
        <f>SUM(AF39:AI39)</f>
        <v/>
      </c>
      <c r="AK39" s="20" t="n"/>
      <c r="AL39" s="20" t="n"/>
      <c r="AM39" s="20" t="n"/>
      <c r="AN39" s="20">
        <f>변수!AN43</f>
        <v/>
      </c>
      <c r="AO39" s="38">
        <f>SUM(AK39:AN39)</f>
        <v/>
      </c>
    </row>
    <row r="40">
      <c r="A40" s="12" t="inlineStr">
        <is>
          <t>PER</t>
        </is>
      </c>
      <c r="B40" t="inlineStr">
        <is>
          <t>주당</t>
        </is>
      </c>
      <c r="C40" t="inlineStr">
        <is>
          <t>배</t>
        </is>
      </c>
      <c r="D40" t="inlineStr">
        <is>
          <t>PER</t>
        </is>
      </c>
      <c r="E40" s="13" t="n"/>
      <c r="F40" s="14">
        <f>E40</f>
        <v/>
      </c>
      <c r="G40" s="13" t="n"/>
      <c r="H40" s="13" t="n"/>
      <c r="I40" s="13" t="n"/>
      <c r="J40" s="13">
        <f>IFERROR(변수!J18/(G36+H36+I36+J36),"")</f>
        <v/>
      </c>
      <c r="K40" s="14">
        <f>J40</f>
        <v/>
      </c>
      <c r="L40" s="13">
        <f>IFERROR(변수!L18/(H36+I36+J36+L36),"")</f>
        <v/>
      </c>
      <c r="M40" s="13" t="n"/>
      <c r="N40" s="13">
        <f>IFERROR(변수!N18/(J36+L36+M36+N36),"")</f>
        <v/>
      </c>
      <c r="O40" s="13">
        <f>IFERROR(변수!O18/(L36+M36+N36+O36),"")</f>
        <v/>
      </c>
      <c r="P40" s="14">
        <f>O40</f>
        <v/>
      </c>
      <c r="Q40" s="13">
        <f>IFERROR(변수!Q18/(M36+N36+O36+Q36),"")</f>
        <v/>
      </c>
      <c r="R40" s="13">
        <f>IFERROR(변수!R18/(N36+O36+Q36+R36),"")</f>
        <v/>
      </c>
      <c r="S40" s="13">
        <f>IFERROR(변수!S18/(O36+Q36+R36+S36),"")</f>
        <v/>
      </c>
      <c r="T40" s="13">
        <f>IFERROR(변수!T18/(Q36+R36+S36+T36),"")</f>
        <v/>
      </c>
      <c r="U40" s="14">
        <f>T40</f>
        <v/>
      </c>
      <c r="V40" s="13" t="n"/>
      <c r="W40" s="13">
        <f>IFERROR(변수!W18/(S36+T36+V36+W36),"")</f>
        <v/>
      </c>
      <c r="X40" s="13">
        <f>IFERROR(변수!X18/(T36+V36+W36+X36),"")</f>
        <v/>
      </c>
      <c r="Y40" s="13">
        <f>IFERROR(변수!Y18/(V36+W36+X36+Y36),"")</f>
        <v/>
      </c>
      <c r="Z40" s="14">
        <f>Y40</f>
        <v/>
      </c>
      <c r="AA40" s="13">
        <f>IFERROR(변수!AA18/(W36+X36+Y36+AA36),"")</f>
        <v/>
      </c>
      <c r="AB40" s="15">
        <f>IFERROR(변수!AB18/(X36+Y36+AA36+AB36),"")</f>
        <v/>
      </c>
      <c r="AC40" s="40">
        <f>IFERROR(변수!$D$46/(Y36+AA36+AB36+AC36),"")</f>
        <v/>
      </c>
      <c r="AD40" s="40">
        <f>IFERROR(변수!$D$46/(AA36+AB36+AC36+AD36),"")</f>
        <v/>
      </c>
      <c r="AE40" s="41">
        <f>AD40</f>
        <v/>
      </c>
      <c r="AF40" s="40">
        <f>IFERROR(변수!$D$46/(AB36+AC36+AD36+AF36),"")</f>
        <v/>
      </c>
      <c r="AG40" s="40">
        <f>IFERROR(변수!$D$46/(AC36+AD36+AF36+AG36),"")</f>
        <v/>
      </c>
      <c r="AH40" s="40">
        <f>IFERROR(변수!$D$46/(AD36+AF36+AG36+AH36),"")</f>
        <v/>
      </c>
      <c r="AI40" s="40">
        <f>IFERROR(변수!$D$46/(AF36+AG36+AH36+AI36),"")</f>
        <v/>
      </c>
      <c r="AJ40" s="41">
        <f>AI40</f>
        <v/>
      </c>
      <c r="AK40" s="40">
        <f>IFERROR(변수!$D$46/(AG36+AH36+AI36+AK36),"")</f>
        <v/>
      </c>
      <c r="AL40" s="40">
        <f>IFERROR(변수!$D$46/(AH36+AI36+AK36+AL36),"")</f>
        <v/>
      </c>
      <c r="AM40" s="40">
        <f>IFERROR(변수!$D$46/(AI36+AK36+AL36+AM36),"")</f>
        <v/>
      </c>
      <c r="AN40" s="40">
        <f>IFERROR(변수!$D$46/(AK36+AL36+AM36+AN36),"")</f>
        <v/>
      </c>
      <c r="AO40" s="41">
        <f>AN40</f>
        <v/>
      </c>
    </row>
    <row r="41">
      <c r="A41" s="12" t="inlineStr">
        <is>
          <t>PBR</t>
        </is>
      </c>
      <c r="B41" t="inlineStr">
        <is>
          <t>주당</t>
        </is>
      </c>
      <c r="C41" t="inlineStr">
        <is>
          <t>배</t>
        </is>
      </c>
      <c r="D41" t="inlineStr">
        <is>
          <t>PBR</t>
        </is>
      </c>
      <c r="E41" s="13">
        <f>IFERROR(변수!E18/E38,"")</f>
        <v/>
      </c>
      <c r="F41" s="14">
        <f>E41</f>
        <v/>
      </c>
      <c r="G41" s="13">
        <f>IFERROR(변수!G18/G38,"")</f>
        <v/>
      </c>
      <c r="H41" s="13">
        <f>IFERROR(변수!H18/H38,"")</f>
        <v/>
      </c>
      <c r="I41" s="13">
        <f>IFERROR(변수!I18/I38,"")</f>
        <v/>
      </c>
      <c r="J41" s="13">
        <f>IFERROR(변수!J18/J38,"")</f>
        <v/>
      </c>
      <c r="K41" s="14">
        <f>J41</f>
        <v/>
      </c>
      <c r="L41" s="13">
        <f>IFERROR(변수!L18/L38,"")</f>
        <v/>
      </c>
      <c r="M41" s="13">
        <f>IFERROR(변수!M18/M38,"")</f>
        <v/>
      </c>
      <c r="N41" s="13">
        <f>IFERROR(변수!N18/N38,"")</f>
        <v/>
      </c>
      <c r="O41" s="13">
        <f>IFERROR(변수!O18/O38,"")</f>
        <v/>
      </c>
      <c r="P41" s="14">
        <f>O41</f>
        <v/>
      </c>
      <c r="Q41" s="13">
        <f>IFERROR(변수!Q18/Q38,"")</f>
        <v/>
      </c>
      <c r="R41" s="13">
        <f>IFERROR(변수!R18/R38,"")</f>
        <v/>
      </c>
      <c r="S41" s="13">
        <f>IFERROR(변수!S18/S38,"")</f>
        <v/>
      </c>
      <c r="T41" s="13">
        <f>IFERROR(변수!T18/T38,"")</f>
        <v/>
      </c>
      <c r="U41" s="14">
        <f>T41</f>
        <v/>
      </c>
      <c r="V41" s="13">
        <f>IFERROR(변수!V18/V38,"")</f>
        <v/>
      </c>
      <c r="W41" s="13">
        <f>IFERROR(변수!W18/W38,"")</f>
        <v/>
      </c>
      <c r="X41" s="13">
        <f>IFERROR(변수!X18/X38,"")</f>
        <v/>
      </c>
      <c r="Y41" s="13">
        <f>IFERROR(변수!Y18/Y38,"")</f>
        <v/>
      </c>
      <c r="Z41" s="14">
        <f>Y41</f>
        <v/>
      </c>
      <c r="AA41" s="13">
        <f>IFERROR(변수!AA18/AA38,"")</f>
        <v/>
      </c>
      <c r="AB41" s="15">
        <f>IFERROR(변수!AB18/AB38,"")</f>
        <v/>
      </c>
      <c r="AC41" s="40">
        <f>IFERROR(변수!$D$46/AC38,"")</f>
        <v/>
      </c>
      <c r="AD41" s="40">
        <f>IFERROR(변수!$D$46/AD38,"")</f>
        <v/>
      </c>
      <c r="AE41" s="41">
        <f>AD41</f>
        <v/>
      </c>
      <c r="AF41" s="40">
        <f>IFERROR(변수!$D$46/AF38,"")</f>
        <v/>
      </c>
      <c r="AG41" s="40">
        <f>IFERROR(변수!$D$46/AG38,"")</f>
        <v/>
      </c>
      <c r="AH41" s="40">
        <f>IFERROR(변수!$D$46/AH38,"")</f>
        <v/>
      </c>
      <c r="AI41" s="40">
        <f>IFERROR(변수!$D$46/AI38,"")</f>
        <v/>
      </c>
      <c r="AJ41" s="41">
        <f>AI41</f>
        <v/>
      </c>
      <c r="AK41" s="40">
        <f>IFERROR(변수!$D$46/AK38,"")</f>
        <v/>
      </c>
      <c r="AL41" s="40">
        <f>IFERROR(변수!$D$46/AL38,"")</f>
        <v/>
      </c>
      <c r="AM41" s="40">
        <f>IFERROR(변수!$D$46/AM38,"")</f>
        <v/>
      </c>
      <c r="AN41" s="40">
        <f>IFERROR(변수!$D$46/AN38,"")</f>
        <v/>
      </c>
      <c r="AO41" s="41">
        <f>AN41</f>
        <v/>
      </c>
    </row>
    <row r="42">
      <c r="A42" s="12" t="inlineStr">
        <is>
          <t>매출전사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전사(부문 미분리)</t>
        </is>
      </c>
      <c r="E42" s="18" t="n">
        <v>15097.4</v>
      </c>
      <c r="F42" s="37" t="n"/>
      <c r="G42" s="18" t="n">
        <v>16375.78</v>
      </c>
      <c r="H42" s="18" t="n">
        <v>17558.82</v>
      </c>
      <c r="I42" s="18" t="n">
        <v>17401.25</v>
      </c>
      <c r="J42" s="18" t="n">
        <v>16412.08</v>
      </c>
      <c r="K42" s="37">
        <f>SUM(G42:J42)</f>
        <v/>
      </c>
      <c r="L42" s="18" t="n">
        <v>15649.43</v>
      </c>
      <c r="M42" s="18" t="n">
        <v>15883.45</v>
      </c>
      <c r="N42" s="18" t="n">
        <v>15527.25</v>
      </c>
      <c r="O42" s="18" t="n">
        <v>15824.3</v>
      </c>
      <c r="P42" s="37">
        <f>SUM(L42:O42)</f>
        <v/>
      </c>
      <c r="Q42" s="18" t="n">
        <v>15883.72</v>
      </c>
      <c r="R42" s="18" t="n">
        <v>17787.28</v>
      </c>
      <c r="S42" s="18" t="n">
        <v>16342.08</v>
      </c>
      <c r="T42" s="18" t="n">
        <v>16574.55</v>
      </c>
      <c r="U42" s="37">
        <f>SUM(Q42:T42)</f>
        <v/>
      </c>
      <c r="V42" s="18" t="n">
        <v>15993.05</v>
      </c>
      <c r="W42" s="18" t="n">
        <v>17052.64</v>
      </c>
      <c r="X42" s="18" t="n">
        <v>16228.33</v>
      </c>
      <c r="Y42" s="18" t="n">
        <v>15564.18</v>
      </c>
      <c r="Z42" s="37">
        <f>SUM(V42:Y42)</f>
        <v/>
      </c>
      <c r="AA42" s="18" t="n">
        <v>16264</v>
      </c>
      <c r="AB42" s="19" t="n">
        <v>18060.19</v>
      </c>
      <c r="AC42" s="20">
        <f>IFERROR(AC5,"")</f>
        <v/>
      </c>
      <c r="AD42" s="20">
        <f>IFERROR(AD5,"")</f>
        <v/>
      </c>
      <c r="AE42" s="38">
        <f>SUM(AA42:AD42)</f>
        <v/>
      </c>
      <c r="AF42" s="20">
        <f>IFERROR(AF5,"")</f>
        <v/>
      </c>
      <c r="AG42" s="20">
        <f>IFERROR(AG5,"")</f>
        <v/>
      </c>
      <c r="AH42" s="20">
        <f>IFERROR(AH5,"")</f>
        <v/>
      </c>
      <c r="AI42" s="20">
        <f>IFERROR(AI5,"")</f>
        <v/>
      </c>
      <c r="AJ42" s="38">
        <f>SUM(AF42:AI42)</f>
        <v/>
      </c>
      <c r="AK42" s="20">
        <f>IFERROR(AK5,"")</f>
        <v/>
      </c>
      <c r="AL42" s="20">
        <f>IFERROR(AL5,"")</f>
        <v/>
      </c>
      <c r="AM42" s="20">
        <f>IFERROR(AM5,"")</f>
        <v/>
      </c>
      <c r="AN42" s="20">
        <f>IFERROR(AN5,"")</f>
        <v/>
      </c>
      <c r="AO42" s="38">
        <f>SUM(AK42:AN42)</f>
        <v/>
      </c>
    </row>
    <row r="43">
      <c r="A43" s="12" t="inlineStr">
        <is>
          <t>OP전사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전사(부문 미분리)</t>
        </is>
      </c>
      <c r="E43" s="18" t="n">
        <v>743.9</v>
      </c>
      <c r="F43" s="37" t="n"/>
      <c r="G43" s="18" t="n">
        <v>1494.08</v>
      </c>
      <c r="H43" s="18" t="n">
        <v>1642.34</v>
      </c>
      <c r="I43" s="18" t="n">
        <v>963.8</v>
      </c>
      <c r="J43" s="18" t="n">
        <v>576.41</v>
      </c>
      <c r="K43" s="37">
        <f>SUM(G43:J43)</f>
        <v/>
      </c>
      <c r="L43" s="18" t="n">
        <v>758.28</v>
      </c>
      <c r="M43" s="18" t="n">
        <v>903.84</v>
      </c>
      <c r="N43" s="18" t="n">
        <v>884.3</v>
      </c>
      <c r="O43" s="18" t="n">
        <v>578.89</v>
      </c>
      <c r="P43" s="37">
        <f>SUM(L43:O43)</f>
        <v/>
      </c>
      <c r="Q43" s="18" t="n">
        <v>1069.07</v>
      </c>
      <c r="R43" s="18" t="n">
        <v>1405.61</v>
      </c>
      <c r="S43" s="18" t="n">
        <v>1253.29</v>
      </c>
      <c r="T43" s="18" t="n">
        <v>983.22</v>
      </c>
      <c r="U43" s="37">
        <f>SUM(Q43:T43)</f>
        <v/>
      </c>
      <c r="V43" s="18" t="n">
        <v>1034.44</v>
      </c>
      <c r="W43" s="18" t="n">
        <v>1403.81</v>
      </c>
      <c r="X43" s="18" t="n">
        <v>1172.64</v>
      </c>
      <c r="Y43" s="18" t="n">
        <v>665.27</v>
      </c>
      <c r="Z43" s="37">
        <f>SUM(V43:Y43)</f>
        <v/>
      </c>
      <c r="AA43" s="18" t="n">
        <v>881.28</v>
      </c>
      <c r="AB43" s="19" t="n">
        <v>1288.84</v>
      </c>
      <c r="AC43" s="20">
        <f>IFERROR(AC9,"")</f>
        <v/>
      </c>
      <c r="AD43" s="20">
        <f>IFERROR(AD9,"")</f>
        <v/>
      </c>
      <c r="AE43" s="38">
        <f>SUM(AA43:AD43)</f>
        <v/>
      </c>
      <c r="AF43" s="20">
        <f>IFERROR(AF9,"")</f>
        <v/>
      </c>
      <c r="AG43" s="20">
        <f>IFERROR(AG9,"")</f>
        <v/>
      </c>
      <c r="AH43" s="20">
        <f>IFERROR(AH9,"")</f>
        <v/>
      </c>
      <c r="AI43" s="20">
        <f>IFERROR(AI9,"")</f>
        <v/>
      </c>
      <c r="AJ43" s="38">
        <f>SUM(AF43:AI43)</f>
        <v/>
      </c>
      <c r="AK43" s="20">
        <f>IFERROR(AK9,"")</f>
        <v/>
      </c>
      <c r="AL43" s="20">
        <f>IFERROR(AL9,"")</f>
        <v/>
      </c>
      <c r="AM43" s="20">
        <f>IFERROR(AM9,"")</f>
        <v/>
      </c>
      <c r="AN43" s="20">
        <f>IFERROR(AN9,"")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3">
        <f>IFERROR(AC21/AC5,"")</f>
        <v/>
      </c>
      <c r="AD45" s="33">
        <f>IFERROR(AD21/AD5,"")</f>
        <v/>
      </c>
      <c r="AE45" s="25">
        <f>IFERROR(AE21/AE5,"")</f>
        <v/>
      </c>
      <c r="AF45" s="33">
        <f>IFERROR(AF21/AF5,"")</f>
        <v/>
      </c>
      <c r="AG45" s="33">
        <f>IFERROR(AG21/AG5,"")</f>
        <v/>
      </c>
      <c r="AH45" s="33">
        <f>IFERROR(AH21/AH5,"")</f>
        <v/>
      </c>
      <c r="AI45" s="33">
        <f>IFERROR(AI21/AI5,"")</f>
        <v/>
      </c>
      <c r="AJ45" s="25">
        <f>IFERROR(AJ21/AJ5,"")</f>
        <v/>
      </c>
      <c r="AK45" s="33">
        <f>IFERROR(AK21/AK5,"")</f>
        <v/>
      </c>
      <c r="AL45" s="33">
        <f>IFERROR(AL21/AL5,"")</f>
        <v/>
      </c>
      <c r="AM45" s="33">
        <f>IFERROR(AM21/AM5,"")</f>
        <v/>
      </c>
      <c r="AN45" s="33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3">
        <f>IFERROR(AC6/AC5,"")</f>
        <v/>
      </c>
      <c r="AD46" s="33">
        <f>IFERROR(AD6/AD5,"")</f>
        <v/>
      </c>
      <c r="AE46" s="25">
        <f>IFERROR(AE6/AE5,"")</f>
        <v/>
      </c>
      <c r="AF46" s="33">
        <f>IFERROR(AF6/AF5,"")</f>
        <v/>
      </c>
      <c r="AG46" s="33">
        <f>IFERROR(AG6/AG5,"")</f>
        <v/>
      </c>
      <c r="AH46" s="33">
        <f>IFERROR(AH6/AH5,"")</f>
        <v/>
      </c>
      <c r="AI46" s="33">
        <f>IFERROR(AI6/AI5,"")</f>
        <v/>
      </c>
      <c r="AJ46" s="25">
        <f>IFERROR(AJ6/AJ5,"")</f>
        <v/>
      </c>
      <c r="AK46" s="33">
        <f>IFERROR(AK6/AK5,"")</f>
        <v/>
      </c>
      <c r="AL46" s="33">
        <f>IFERROR(AL6/AL5,"")</f>
        <v/>
      </c>
      <c r="AM46" s="33">
        <f>IFERROR(AM6/AM5,"")</f>
        <v/>
      </c>
      <c r="AN46" s="33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3">
        <f>IFERROR(AC8/AC5,"")</f>
        <v/>
      </c>
      <c r="AD47" s="33">
        <f>IFERROR(AD8/AD5,"")</f>
        <v/>
      </c>
      <c r="AE47" s="25">
        <f>IFERROR(AE8/AE5,"")</f>
        <v/>
      </c>
      <c r="AF47" s="33">
        <f>IFERROR(AF8/AF5,"")</f>
        <v/>
      </c>
      <c r="AG47" s="33">
        <f>IFERROR(AG8/AG5,"")</f>
        <v/>
      </c>
      <c r="AH47" s="33">
        <f>IFERROR(AH8/AH5,"")</f>
        <v/>
      </c>
      <c r="AI47" s="33">
        <f>IFERROR(AI8/AI5,"")</f>
        <v/>
      </c>
      <c r="AJ47" s="25">
        <f>IFERROR(AJ8/AJ5,"")</f>
        <v/>
      </c>
      <c r="AK47" s="33">
        <f>IFERROR(AK8/AK5,"")</f>
        <v/>
      </c>
      <c r="AL47" s="33">
        <f>IFERROR(AL8/AL5,"")</f>
        <v/>
      </c>
      <c r="AM47" s="33">
        <f>IFERROR(AM8/AM5,"")</f>
        <v/>
      </c>
      <c r="AN47" s="33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27">
        <f>IFERROR(VLOOKUP($A35,subQ,MATCH(I$1,SUBQH,0),0),"")</f>
        <v/>
      </c>
      <c r="J35" s="27">
        <f>IFERROR(VLOOKUP($A35,subQ,MATCH(J$1,SUBQH,0),0),"")</f>
        <v/>
      </c>
      <c r="K35" s="27">
        <f>IFERROR(VLOOKUP($A35,subQ,MATCH(K$1,SUBQH,0),0),"")</f>
        <v/>
      </c>
      <c r="L35" s="27">
        <f>IFERROR(VLOOKUP($A35,subQ,MATCH(L$1,SUBQH,0),0),"")</f>
        <v/>
      </c>
      <c r="M35" s="27">
        <f>IFERROR(VLOOKUP($A35,subQ,MATCH(M$1,SUBQH,0),0),"")</f>
        <v/>
      </c>
      <c r="N35" s="27">
        <f>IFERROR(VLOOKUP($A35,subQ,MATCH(N$1,SUBQH,0),0),"")</f>
        <v/>
      </c>
      <c r="O35" s="27">
        <f>IFERROR(VLOOKUP($A35,subQ,MATCH(O$1,SUBQH,0),0),"")</f>
        <v/>
      </c>
      <c r="P35" s="27">
        <f>IFERROR(VLOOKUP($A35,subQ,MATCH(P$1,SUBQH,0),0),"")</f>
        <v/>
      </c>
      <c r="Q35" s="27">
        <f>IFERROR(VLOOKUP($A35,subQ,MATCH(Q$1,SUBQH,0),0),"")</f>
        <v/>
      </c>
      <c r="R35" s="27">
        <f>IFERROR(VLOOKUP($A35,subQ,MATCH(R$1,SUBQH,0),0),"")</f>
        <v/>
      </c>
      <c r="S35" s="27">
        <f>IFERROR(VLOOKUP($A35,subQ,MATCH(S$1,SUBQH,0),0),"")</f>
        <v/>
      </c>
      <c r="T35" s="27">
        <f>IFERROR(VLOOKUP($A35,subQ,MATCH(T$1,SUBQH,0),0),"")</f>
        <v/>
      </c>
      <c r="U35" s="27">
        <f>IFERROR(VLOOKUP($A35,subQ,MATCH(U$1,SUBQH,0),0),"")</f>
        <v/>
      </c>
      <c r="V35" s="27">
        <f>IFERROR(VLOOKUP($A35,subQ,MATCH(V$1,SUBQH,0),0),"")</f>
        <v/>
      </c>
      <c r="W35" s="48">
        <f>IFERROR(VLOOKUP($A35,subQ,MATCH(W$1,SUBQH,0),0),"")</f>
        <v/>
      </c>
      <c r="X35" s="32">
        <f>IFERROR(VLOOKUP($A35,subQ,MATCH(X$1,SUBQH,0),0),"")</f>
        <v/>
      </c>
      <c r="Y35" s="32">
        <f>IFERROR(VLOOKUP($A35,subQ,MATCH(Y$1,SUBQH,0),0),"")</f>
        <v/>
      </c>
      <c r="Z35" s="32">
        <f>IFERROR(VLOOKUP($A35,subQ,MATCH(Z$1,SUBQH,0),0),"")</f>
        <v/>
      </c>
      <c r="AA35" s="32">
        <f>IFERROR(VLOOKUP($A35,subQ,MATCH(AA$1,SUBQH,0),0),"")</f>
        <v/>
      </c>
      <c r="AB35" s="32">
        <f>IFERROR(VLOOKUP($A35,subQ,MATCH(AB$1,SUBQH,0),0),"")</f>
        <v/>
      </c>
      <c r="AC35" s="32">
        <f>IFERROR(VLOOKUP($A35,subQ,MATCH(AC$1,SUBQH,0),0),"")</f>
        <v/>
      </c>
      <c r="AD35" s="32">
        <f>IFERROR(VLOOKUP($A35,subQ,MATCH(AD$1,SUBQH,0),0),"")</f>
        <v/>
      </c>
      <c r="AE35" s="32">
        <f>IFERROR(VLOOKUP($A35,subQ,MATCH(AE$1,SUBQH,0),0),"")</f>
        <v/>
      </c>
      <c r="AF35" s="32">
        <f>IFERROR(VLOOKUP($A35,subQ,MATCH(AF$1,SUBQH,0),0),"")</f>
        <v/>
      </c>
      <c r="AG35" s="32">
        <f>IFERROR(VLOOKUP($A35,subQ,MATCH(AG$1,SUBQH,0),0),"")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13">
        <f>IFERROR(VLOOKUP($A40,subQ,MATCH(I$1,SUBQH,0),0),"")</f>
        <v/>
      </c>
      <c r="J40" s="13">
        <f>IFERROR(VLOOKUP($A40,subQ,MATCH(J$1,SUBQH,0),0),"")</f>
        <v/>
      </c>
      <c r="K40" s="13">
        <f>IFERROR(VLOOKUP($A40,subQ,MATCH(K$1,SUBQH,0),0),"")</f>
        <v/>
      </c>
      <c r="L40" s="13">
        <f>IFERROR(VLOOKUP($A40,subQ,MATCH(L$1,SUBQH,0),0),"")</f>
        <v/>
      </c>
      <c r="M40" s="13">
        <f>IFERROR(VLOOKUP($A40,subQ,MATCH(M$1,SUBQH,0),0),"")</f>
        <v/>
      </c>
      <c r="N40" s="13">
        <f>IFERROR(VLOOKUP($A40,subQ,MATCH(N$1,SUBQH,0),0),"")</f>
        <v/>
      </c>
      <c r="O40" s="13">
        <f>IFERROR(VLOOKUP($A40,subQ,MATCH(O$1,SUBQH,0),0),"")</f>
        <v/>
      </c>
      <c r="P40" s="13">
        <f>IFERROR(VLOOKUP($A40,subQ,MATCH(P$1,SUBQH,0),0),"")</f>
        <v/>
      </c>
      <c r="Q40" s="13">
        <f>IFERROR(VLOOKUP($A40,subQ,MATCH(Q$1,SUBQH,0),0),"")</f>
        <v/>
      </c>
      <c r="R40" s="13">
        <f>IFERROR(VLOOKUP($A40,subQ,MATCH(R$1,SUBQH,0),0),"")</f>
        <v/>
      </c>
      <c r="S40" s="13">
        <f>IFERROR(VLOOKUP($A40,subQ,MATCH(S$1,SUBQH,0),0),"")</f>
        <v/>
      </c>
      <c r="T40" s="13">
        <f>IFERROR(VLOOKUP($A40,subQ,MATCH(T$1,SUBQH,0),0),"")</f>
        <v/>
      </c>
      <c r="U40" s="13">
        <f>IFERROR(VLOOKUP($A40,subQ,MATCH(U$1,SUBQH,0),0),"")</f>
        <v/>
      </c>
      <c r="V40" s="13">
        <f>IFERROR(VLOOKUP($A40,subQ,MATCH(V$1,SUBQH,0),0),"")</f>
        <v/>
      </c>
      <c r="W40" s="49">
        <f>IFERROR(VLOOKUP($A40,subQ,MATCH(W$1,SUBQH,0),0),"")</f>
        <v/>
      </c>
      <c r="X40" s="40">
        <f>IFERROR(VLOOKUP($A40,subQ,MATCH(X$1,SUBQH,0),0),"")</f>
        <v/>
      </c>
      <c r="Y40" s="40">
        <f>IFERROR(VLOOKUP($A40,subQ,MATCH(Y$1,SUBQH,0),0),"")</f>
        <v/>
      </c>
      <c r="Z40" s="40">
        <f>IFERROR(VLOOKUP($A40,subQ,MATCH(Z$1,SUBQH,0),0),"")</f>
        <v/>
      </c>
      <c r="AA40" s="40">
        <f>IFERROR(VLOOKUP($A40,subQ,MATCH(AA$1,SUBQH,0),0),"")</f>
        <v/>
      </c>
      <c r="AB40" s="40">
        <f>IFERROR(VLOOKUP($A40,subQ,MATCH(AB$1,SUBQH,0),0),"")</f>
        <v/>
      </c>
      <c r="AC40" s="40">
        <f>IFERROR(VLOOKUP($A40,subQ,MATCH(AC$1,SUBQH,0),0),"")</f>
        <v/>
      </c>
      <c r="AD40" s="40">
        <f>IFERROR(VLOOKUP($A40,subQ,MATCH(AD$1,SUBQH,0),0),"")</f>
        <v/>
      </c>
      <c r="AE40" s="40">
        <f>IFERROR(VLOOKUP($A40,subQ,MATCH(AE$1,SUBQH,0),0),"")</f>
        <v/>
      </c>
      <c r="AF40" s="40">
        <f>IFERROR(VLOOKUP($A40,subQ,MATCH(AF$1,SUBQH,0),0),"")</f>
        <v/>
      </c>
      <c r="AG40" s="40">
        <f>IFERROR(VLOOKUP($A40,subQ,MATCH(AG$1,SUBQH,0),0),"")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13">
        <f>IFERROR(VLOOKUP($A41,subQ,MATCH(I$1,SUBQH,0),0),"")</f>
        <v/>
      </c>
      <c r="J41" s="13">
        <f>IFERROR(VLOOKUP($A41,subQ,MATCH(J$1,SUBQH,0),0),"")</f>
        <v/>
      </c>
      <c r="K41" s="13">
        <f>IFERROR(VLOOKUP($A41,subQ,MATCH(K$1,SUBQH,0),0),"")</f>
        <v/>
      </c>
      <c r="L41" s="13">
        <f>IFERROR(VLOOKUP($A41,subQ,MATCH(L$1,SUBQH,0),0),"")</f>
        <v/>
      </c>
      <c r="M41" s="13">
        <f>IFERROR(VLOOKUP($A41,subQ,MATCH(M$1,SUBQH,0),0),"")</f>
        <v/>
      </c>
      <c r="N41" s="13">
        <f>IFERROR(VLOOKUP($A41,subQ,MATCH(N$1,SUBQH,0),0),"")</f>
        <v/>
      </c>
      <c r="O41" s="13">
        <f>IFERROR(VLOOKUP($A41,subQ,MATCH(O$1,SUBQH,0),0),"")</f>
        <v/>
      </c>
      <c r="P41" s="13">
        <f>IFERROR(VLOOKUP($A41,subQ,MATCH(P$1,SUBQH,0),0),"")</f>
        <v/>
      </c>
      <c r="Q41" s="13">
        <f>IFERROR(VLOOKUP($A41,subQ,MATCH(Q$1,SUBQH,0),0),"")</f>
        <v/>
      </c>
      <c r="R41" s="13">
        <f>IFERROR(VLOOKUP($A41,subQ,MATCH(R$1,SUBQH,0),0),"")</f>
        <v/>
      </c>
      <c r="S41" s="13">
        <f>IFERROR(VLOOKUP($A41,subQ,MATCH(S$1,SUBQH,0),0),"")</f>
        <v/>
      </c>
      <c r="T41" s="13">
        <f>IFERROR(VLOOKUP($A41,subQ,MATCH(T$1,SUBQH,0),0),"")</f>
        <v/>
      </c>
      <c r="U41" s="13">
        <f>IFERROR(VLOOKUP($A41,subQ,MATCH(U$1,SUBQH,0),0),"")</f>
        <v/>
      </c>
      <c r="V41" s="13">
        <f>IFERROR(VLOOKUP($A41,subQ,MATCH(V$1,SUBQH,0),0),"")</f>
        <v/>
      </c>
      <c r="W41" s="49">
        <f>IFERROR(VLOOKUP($A41,subQ,MATCH(W$1,SUBQH,0),0),"")</f>
        <v/>
      </c>
      <c r="X41" s="40">
        <f>IFERROR(VLOOKUP($A41,subQ,MATCH(X$1,SUBQH,0),0),"")</f>
        <v/>
      </c>
      <c r="Y41" s="40">
        <f>IFERROR(VLOOKUP($A41,subQ,MATCH(Y$1,SUBQH,0),0),"")</f>
        <v/>
      </c>
      <c r="Z41" s="40">
        <f>IFERROR(VLOOKUP($A41,subQ,MATCH(Z$1,SUBQH,0),0),"")</f>
        <v/>
      </c>
      <c r="AA41" s="40">
        <f>IFERROR(VLOOKUP($A41,subQ,MATCH(AA$1,SUBQH,0),0),"")</f>
        <v/>
      </c>
      <c r="AB41" s="40">
        <f>IFERROR(VLOOKUP($A41,subQ,MATCH(AB$1,SUBQH,0),0),"")</f>
        <v/>
      </c>
      <c r="AC41" s="40">
        <f>IFERROR(VLOOKUP($A41,subQ,MATCH(AC$1,SUBQH,0),0),"")</f>
        <v/>
      </c>
      <c r="AD41" s="40">
        <f>IFERROR(VLOOKUP($A41,subQ,MATCH(AD$1,SUBQH,0),0),"")</f>
        <v/>
      </c>
      <c r="AE41" s="40">
        <f>IFERROR(VLOOKUP($A41,subQ,MATCH(AE$1,SUBQH,0),0),"")</f>
        <v/>
      </c>
      <c r="AF41" s="40">
        <f>IFERROR(VLOOKUP($A41,subQ,MATCH(AF$1,SUBQH,0),0),"")</f>
        <v/>
      </c>
      <c r="AG41" s="40">
        <f>IFERROR(VLOOKUP($A41,subQ,MATCH(AG$1,SUBQH,0),0),"")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6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6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7">
        <f>IFERROR(VLOOKUP($A44,subQ,MATCH(W$1,SUBQH,0),0),"")</f>
        <v/>
      </c>
      <c r="X44" s="33">
        <f>IFERROR(VLOOKUP($A44,subQ,MATCH(X$1,SUBQH,0),0),"")</f>
        <v/>
      </c>
      <c r="Y44" s="33">
        <f>IFERROR(VLOOKUP($A44,subQ,MATCH(Y$1,SUBQH,0),0),"")</f>
        <v/>
      </c>
      <c r="Z44" s="33">
        <f>IFERROR(VLOOKUP($A44,subQ,MATCH(Z$1,SUBQH,0),0),"")</f>
        <v/>
      </c>
      <c r="AA44" s="33">
        <f>IFERROR(VLOOKUP($A44,subQ,MATCH(AA$1,SUBQH,0),0),"")</f>
        <v/>
      </c>
      <c r="AB44" s="33">
        <f>IFERROR(VLOOKUP($A44,subQ,MATCH(AB$1,SUBQH,0),0),"")</f>
        <v/>
      </c>
      <c r="AC44" s="33">
        <f>IFERROR(VLOOKUP($A44,subQ,MATCH(AC$1,SUBQH,0),0),"")</f>
        <v/>
      </c>
      <c r="AD44" s="33">
        <f>IFERROR(VLOOKUP($A44,subQ,MATCH(AD$1,SUBQH,0),0),"")</f>
        <v/>
      </c>
      <c r="AE44" s="33">
        <f>IFERROR(VLOOKUP($A44,subQ,MATCH(AE$1,SUBQH,0),0),"")</f>
        <v/>
      </c>
      <c r="AF44" s="33">
        <f>IFERROR(VLOOKUP($A44,subQ,MATCH(AF$1,SUBQH,0),0),"")</f>
        <v/>
      </c>
      <c r="AG44" s="33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7">
        <f>IFERROR(W5/S5-1,"")</f>
        <v/>
      </c>
      <c r="X45" s="33">
        <f>IFERROR(X5/T5-1,"")</f>
        <v/>
      </c>
      <c r="Y45" s="33">
        <f>IFERROR(Y5/U5-1,"")</f>
        <v/>
      </c>
      <c r="Z45" s="33">
        <f>IFERROR(Z5/V5-1,"")</f>
        <v/>
      </c>
      <c r="AA45" s="33">
        <f>IFERROR(AA5/W5-1,"")</f>
        <v/>
      </c>
      <c r="AB45" s="33">
        <f>IFERROR(AB5/X5-1,"")</f>
        <v/>
      </c>
      <c r="AC45" s="33">
        <f>IFERROR(AC5/Y5-1,"")</f>
        <v/>
      </c>
      <c r="AD45" s="33">
        <f>IFERROR(AD5/Z5-1,"")</f>
        <v/>
      </c>
      <c r="AE45" s="33">
        <f>IFERROR(AE5/AA5-1,"")</f>
        <v/>
      </c>
      <c r="AF45" s="33">
        <f>IFERROR(AF5/AB5-1,"")</f>
        <v/>
      </c>
      <c r="AG45" s="33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7">
        <f>IFERROR(W9/S9-1,"")</f>
        <v/>
      </c>
      <c r="X46" s="33">
        <f>IFERROR(X9/T9-1,"")</f>
        <v/>
      </c>
      <c r="Y46" s="33">
        <f>IFERROR(Y9/U9-1,"")</f>
        <v/>
      </c>
      <c r="Z46" s="33">
        <f>IFERROR(Z9/V9-1,"")</f>
        <v/>
      </c>
      <c r="AA46" s="33">
        <f>IFERROR(AA9/W9-1,"")</f>
        <v/>
      </c>
      <c r="AB46" s="33">
        <f>IFERROR(AB9/X9-1,"")</f>
        <v/>
      </c>
      <c r="AC46" s="33">
        <f>IFERROR(AC9/Y9-1,"")</f>
        <v/>
      </c>
      <c r="AD46" s="33">
        <f>IFERROR(AD9/Z9-1,"")</f>
        <v/>
      </c>
      <c r="AE46" s="33">
        <f>IFERROR(AE9/AA9-1,"")</f>
        <v/>
      </c>
      <c r="AF46" s="33">
        <f>IFERROR(AF9/AB9-1,"")</f>
        <v/>
      </c>
      <c r="AG46" s="33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7">
        <f>IFERROR(W21/S21-1,"")</f>
        <v/>
      </c>
      <c r="X47" s="33">
        <f>IFERROR(X21/T21-1,"")</f>
        <v/>
      </c>
      <c r="Y47" s="33">
        <f>IFERROR(Y21/U21-1,"")</f>
        <v/>
      </c>
      <c r="Z47" s="33">
        <f>IFERROR(Z21/V21-1,"")</f>
        <v/>
      </c>
      <c r="AA47" s="33">
        <f>IFERROR(AA21/W21-1,"")</f>
        <v/>
      </c>
      <c r="AB47" s="33">
        <f>IFERROR(AB21/X21-1,"")</f>
        <v/>
      </c>
      <c r="AC47" s="33">
        <f>IFERROR(AC21/Y21-1,"")</f>
        <v/>
      </c>
      <c r="AD47" s="33">
        <f>IFERROR(AD21/Z21-1,"")</f>
        <v/>
      </c>
      <c r="AE47" s="33">
        <f>IFERROR(AE21/AA21-1,"")</f>
        <v/>
      </c>
      <c r="AF47" s="33">
        <f>IFERROR(AF21/AB21-1,"")</f>
        <v/>
      </c>
      <c r="AG47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감가상각비</t>
        </is>
      </c>
      <c r="D23" t="inlineStr">
        <is>
          <t>감가상각비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EBITDA</t>
        </is>
      </c>
      <c r="D24" t="inlineStr">
        <is>
          <t>EBITDA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자산총계</t>
        </is>
      </c>
      <c r="D25" t="inlineStr">
        <is>
          <t>자산총계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부채총계</t>
        </is>
      </c>
      <c r="D26" t="inlineStr">
        <is>
          <t>부채총계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자본총계</t>
        </is>
      </c>
      <c r="D27" t="inlineStr">
        <is>
          <t>자본총계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지배주주지분</t>
        </is>
      </c>
      <c r="D28" t="inlineStr">
        <is>
          <t>지배주주지분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총차입금</t>
        </is>
      </c>
      <c r="D29" t="inlineStr">
        <is>
          <t>총차입금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순차입금</t>
        </is>
      </c>
      <c r="D30" t="inlineStr">
        <is>
          <t>순차입금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이자발생자산</t>
        </is>
      </c>
      <c r="D31" t="inlineStr">
        <is>
          <t>이자발생자산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현금및현금성자산</t>
        </is>
      </c>
      <c r="D32" t="inlineStr">
        <is>
          <t>현금및현금성자산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CAPEX</t>
        </is>
      </c>
      <c r="D33" t="inlineStr">
        <is>
          <t>CAPEX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영업활동현금흐름</t>
        </is>
      </c>
      <c r="D34" t="inlineStr">
        <is>
          <t>영업활동현금흐름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주식수</t>
        </is>
      </c>
      <c r="D35" t="inlineStr">
        <is>
          <t>유통주식수</t>
        </is>
      </c>
      <c r="E35" s="27">
        <f>IFERROR(VLOOKUP($A35,subQ,MATCH(E$1,SUBQH,0),0),"")</f>
        <v/>
      </c>
      <c r="F35" s="27">
        <f>IFERROR(VLOOKUP($A35,subQ,MATCH(F$1,SUBQH,0),0),"")</f>
        <v/>
      </c>
      <c r="G35" s="27">
        <f>IFERROR(VLOOKUP($A35,subQ,MATCH(G$1,SUBQH,0),0),"")</f>
        <v/>
      </c>
      <c r="H35" s="27">
        <f>IFERROR(VLOOKUP($A35,subQ,MATCH(H$1,SUBQH,0),0),"")</f>
        <v/>
      </c>
      <c r="I35" s="48">
        <f>IFERROR(VLOOKUP($A35,subQ,MATCH(I$1,SUBQH,0),0),"")</f>
        <v/>
      </c>
      <c r="J35" s="32">
        <f>IFERROR(VLOOKUP($A35,subQ,MATCH(J$1,SUBQH,0),0),"")</f>
        <v/>
      </c>
      <c r="K35" s="32">
        <f>IFERROR(VLOOKUP($A35,subQ,MATCH(K$1,SUBQH,0),0),"")</f>
        <v/>
      </c>
      <c r="L35" s="32">
        <f>IFERROR(VLOOKUP($A35,subQ,MATCH(L$1,SUBQH,0),0),"")</f>
        <v/>
      </c>
    </row>
    <row r="36">
      <c r="A36" s="12" t="inlineStr">
        <is>
          <t>EPS</t>
        </is>
      </c>
      <c r="D36" t="inlineStr">
        <is>
          <t>EPS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조정EPS</t>
        </is>
      </c>
      <c r="D37" t="inlineStr">
        <is>
          <t>조정 EPS(일회성 의심 분기의 초과 비영업손익 세후 차감 — 모델 추정)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BPS</t>
        </is>
      </c>
      <c r="D38" t="inlineStr">
        <is>
          <t>BPS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DPS</t>
        </is>
      </c>
      <c r="D39" t="inlineStr">
        <is>
          <t>DPS(보통주)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PER</t>
        </is>
      </c>
      <c r="D40" t="inlineStr">
        <is>
          <t>PER</t>
        </is>
      </c>
      <c r="E40" s="13">
        <f>IFERROR(VLOOKUP($A40,subQ,MATCH(E$1,SUBQH,0),0),"")</f>
        <v/>
      </c>
      <c r="F40" s="13">
        <f>IFERROR(VLOOKUP($A40,subQ,MATCH(F$1,SUBQH,0),0),"")</f>
        <v/>
      </c>
      <c r="G40" s="13">
        <f>IFERROR(VLOOKUP($A40,subQ,MATCH(G$1,SUBQH,0),0),"")</f>
        <v/>
      </c>
      <c r="H40" s="13">
        <f>IFERROR(VLOOKUP($A40,subQ,MATCH(H$1,SUBQH,0),0),"")</f>
        <v/>
      </c>
      <c r="I40" s="49">
        <f>IFERROR(VLOOKUP($A40,subQ,MATCH(I$1,SUBQH,0),0),"")</f>
        <v/>
      </c>
      <c r="J40" s="40">
        <f>IFERROR(VLOOKUP($A40,subQ,MATCH(J$1,SUBQH,0),0),"")</f>
        <v/>
      </c>
      <c r="K40" s="40">
        <f>IFERROR(VLOOKUP($A40,subQ,MATCH(K$1,SUBQH,0),0),"")</f>
        <v/>
      </c>
      <c r="L40" s="40">
        <f>IFERROR(VLOOKUP($A40,subQ,MATCH(L$1,SUBQH,0),0),"")</f>
        <v/>
      </c>
    </row>
    <row r="41">
      <c r="A41" s="12" t="inlineStr">
        <is>
          <t>PBR</t>
        </is>
      </c>
      <c r="D41" t="inlineStr">
        <is>
          <t>PBR</t>
        </is>
      </c>
      <c r="E41" s="13">
        <f>IFERROR(VLOOKUP($A41,subQ,MATCH(E$1,SUBQH,0),0),"")</f>
        <v/>
      </c>
      <c r="F41" s="13">
        <f>IFERROR(VLOOKUP($A41,subQ,MATCH(F$1,SUBQH,0),0),"")</f>
        <v/>
      </c>
      <c r="G41" s="13">
        <f>IFERROR(VLOOKUP($A41,subQ,MATCH(G$1,SUBQH,0),0),"")</f>
        <v/>
      </c>
      <c r="H41" s="13">
        <f>IFERROR(VLOOKUP($A41,subQ,MATCH(H$1,SUBQH,0),0),"")</f>
        <v/>
      </c>
      <c r="I41" s="49">
        <f>IFERROR(VLOOKUP($A41,subQ,MATCH(I$1,SUBQH,0),0),"")</f>
        <v/>
      </c>
      <c r="J41" s="40">
        <f>IFERROR(VLOOKUP($A41,subQ,MATCH(J$1,SUBQH,0),0),"")</f>
        <v/>
      </c>
      <c r="K41" s="40">
        <f>IFERROR(VLOOKUP($A41,subQ,MATCH(K$1,SUBQH,0),0),"")</f>
        <v/>
      </c>
      <c r="L41" s="40">
        <f>IFERROR(VLOOKUP($A41,subQ,MATCH(L$1,SUBQH,0),0),"")</f>
        <v/>
      </c>
    </row>
    <row r="42">
      <c r="A42" s="12" t="inlineStr">
        <is>
          <t>매출전사</t>
        </is>
      </c>
      <c r="D42" t="inlineStr">
        <is>
          <t>매출 전사(부문 미분리)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6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OP전사</t>
        </is>
      </c>
      <c r="D43" t="inlineStr">
        <is>
          <t>OP 전사(부문 미분리)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6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7">
        <f>IFERROR(VLOOKUP($A44,subQ,MATCH(I$1,SUBQH,0),0),"")</f>
        <v/>
      </c>
      <c r="J44" s="33">
        <f>IFERROR(VLOOKUP($A44,subQ,MATCH(J$1,SUBQH,0),0),"")</f>
        <v/>
      </c>
      <c r="K44" s="33">
        <f>IFERROR(VLOOKUP($A44,subQ,MATCH(K$1,SUBQH,0),0),"")</f>
        <v/>
      </c>
      <c r="L44" s="33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7">
        <f>IFERROR(I5/H5-1,"")</f>
        <v/>
      </c>
      <c r="J45" s="33">
        <f>IFERROR(J5/I5-1,"")</f>
        <v/>
      </c>
      <c r="K45" s="33">
        <f>IFERROR(K5/J5-1,"")</f>
        <v/>
      </c>
      <c r="L45" s="33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7">
        <f>IFERROR(I9/H9-1,"")</f>
        <v/>
      </c>
      <c r="J46" s="33">
        <f>IFERROR(J9/I9-1,"")</f>
        <v/>
      </c>
      <c r="K46" s="33">
        <f>IFERROR(K9/J9-1,"")</f>
        <v/>
      </c>
      <c r="L46" s="33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7">
        <f>IFERROR(I21/H21-1,"")</f>
        <v/>
      </c>
      <c r="J47" s="33">
        <f>IFERROR(J21/I21-1,"")</f>
        <v/>
      </c>
      <c r="K47" s="33">
        <f>IFERROR(K21/J21-1,"")</f>
        <v/>
      </c>
      <c r="L47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18283.4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25.08</v>
      </c>
    </row>
    <row r="32">
      <c r="C32" s="2" t="inlineStr">
        <is>
          <t>pbr_now</t>
        </is>
      </c>
      <c r="D32" t="n">
        <v>0.31</v>
      </c>
    </row>
    <row r="33">
      <c r="C33" s="2" t="inlineStr">
        <is>
          <t>roe_fwd</t>
        </is>
      </c>
      <c r="D33" t="n">
        <v>0.0122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209700</v>
      </c>
    </row>
    <row r="36">
      <c r="C36" s="2" t="inlineStr">
        <is>
          <t>ev_ebitda</t>
        </is>
      </c>
      <c r="D36" t="n">
        <v>9.039999999999999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