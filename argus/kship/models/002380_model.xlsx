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BS연결!$C$5:$AO$111</definedName>
    <definedName name="BS별도H">BS별도!$C$1:$AO$1</definedName>
    <definedName name="BS별도">BS별도!$C$5:$AO$95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(1+0.2%) — g=최근 4분기 합 YoY 0.2% 클립(−30~+50%), 연차별 절반 감쇠(가정)</t>
      </text>
    </comment>
    <comment ref="AD21" authorId="0" shapeId="0">
      <text>
        <t>모델값 역산(implied): v / 전년동기 − 1
전년동기 × (1+0.2%) — g=최근 4분기 합 YoY 0.2% 클립(−30~+50%), 연차별 절반 감쇠(가정)</t>
      </text>
    </comment>
    <comment ref="AF21" authorId="0" shapeId="0">
      <text>
        <t>모델값 역산(implied): v / 전년동기 − 1
전년동기 × (1+0.2%) — g=최근 4분기 합 YoY 0.2% 클립(−30~+50%), 연차별 절반 감쇠(가정)</t>
      </text>
    </comment>
    <comment ref="AG21" authorId="0" shapeId="0">
      <text>
        <t>모델값 역산(implied): v / 전년동기 − 1
전년동기 × (1+0.2%) — g=최근 4분기 합 YoY 0.2% 클립(−30~+50%), 연차별 절반 감쇠(가정)</t>
      </text>
    </comment>
    <comment ref="AH21" authorId="0" shapeId="0">
      <text>
        <t>모델값 역산(implied): v / 전년동기 − 1
전년동기 × (1+0.1%) — g=최근 4분기 합 YoY 0.2% 클립(−30~+50%), 연차별 절반 감쇠(가정)</t>
      </text>
    </comment>
    <comment ref="AI21" authorId="0" shapeId="0">
      <text>
        <t>모델값 역산(implied): v / 전년동기 − 1
전년동기 × (1+0.1%) — g=최근 4분기 합 YoY 0.2% 클립(−30~+50%), 연차별 절반 감쇠(가정)</t>
      </text>
    </comment>
    <comment ref="AK21" authorId="0" shapeId="0">
      <text>
        <t>모델값 역산(implied): v / 전년동기 − 1
전년동기 × (1+0.1%) — g=최근 4분기 합 YoY 0.2% 클립(−30~+50%), 연차별 절반 감쇠(가정)</t>
      </text>
    </comment>
    <comment ref="AL21" authorId="0" shapeId="0">
      <text>
        <t>모델값 역산(implied): v / 전년동기 − 1
전년동기 × (1+0.1%) — g=최근 4분기 합 YoY 0.2% 클립(−30~+50%), 연차별 절반 감쇠(가정)</t>
      </text>
    </comment>
    <comment ref="AM21" authorId="0" shapeId="0">
      <text>
        <t>모델값 역산(implied): v / 전년동기 − 1
전년동기 × (1+0.1%) — g=최근 4분기 합 YoY 0.2% 클립(−30~+50%), 연차별 절반 감쇠(가정)</t>
      </text>
    </comment>
    <comment ref="AN21" authorId="0" shapeId="0">
      <text>
        <t>모델값 역산(implied): v / 전년동기 − 1
전년동기 × (1+0.1%) — g=최근 4분기 합 YoY 0.2% 클립(−30~+50%), 연차별 절반 감쇠(가정)</t>
      </text>
    </comment>
    <comment ref="AC22" authorId="0" shapeId="0">
      <text>
        <t>모델값 역산(implied): v / 매출액
매출액 × 판관비율 18.87%(최근 4분기 중위)</t>
      </text>
    </comment>
    <comment ref="AD22" authorId="0" shapeId="0">
      <text>
        <t>모델값 역산(implied): v / 매출액
매출액 × 판관비율 18.87%(최근 4분기 중위)</t>
      </text>
    </comment>
    <comment ref="AF22" authorId="0" shapeId="0">
      <text>
        <t>모델값 역산(implied): v / 매출액
매출액 × 판관비율 18.87%(최근 4분기 중위)</t>
      </text>
    </comment>
    <comment ref="AG22" authorId="0" shapeId="0">
      <text>
        <t>모델값 역산(implied): v / 매출액
매출액 × 판관비율 18.87%(최근 4분기 중위)</t>
      </text>
    </comment>
    <comment ref="AH22" authorId="0" shapeId="0">
      <text>
        <t>모델값 역산(implied): v / 매출액
매출액 × 판관비율 18.87%(최근 4분기 중위)</t>
      </text>
    </comment>
    <comment ref="AI22" authorId="0" shapeId="0">
      <text>
        <t>모델값 역산(implied): v / 매출액
매출액 × 판관비율 18.87%(최근 4분기 중위)</t>
      </text>
    </comment>
    <comment ref="AK22" authorId="0" shapeId="0">
      <text>
        <t>모델값 역산(implied): v / 매출액
매출액 × 판관비율 18.87%(최근 4분기 중위)</t>
      </text>
    </comment>
    <comment ref="AL22" authorId="0" shapeId="0">
      <text>
        <t>모델값 역산(implied): v / 매출액
매출액 × 판관비율 18.87%(최근 4분기 중위)</t>
      </text>
    </comment>
    <comment ref="AM22" authorId="0" shapeId="0">
      <text>
        <t>모델값 역산(implied): v / 매출액
매출액 × 판관비율 18.87%(최근 4분기 중위)</t>
      </text>
    </comment>
    <comment ref="AN22" authorId="0" shapeId="0">
      <text>
        <t>모델값 역산(implied): v / 매출액
매출액 × 판관비율 18.87%(최근 4분기 중위)</t>
      </text>
    </comment>
    <comment ref="AC23" authorId="0" shapeId="0">
      <text>
        <t>모델값 역산(implied): v / 매출액
매출액 × OPM(최근 8분기 OPM 중위 6.8% 유지(클립 −20~40%))</t>
      </text>
    </comment>
    <comment ref="AD23" authorId="0" shapeId="0">
      <text>
        <t>모델값 역산(implied): v / 매출액
매출액 × OPM(최근 8분기 OPM 중위 6.8% 유지(클립 −20~40%))</t>
      </text>
    </comment>
    <comment ref="AF23" authorId="0" shapeId="0">
      <text>
        <t>모델값 역산(implied): v / 매출액
매출액 × OPM(최근 8분기 OPM 중위 6.8% 유지(클립 −20~40%))</t>
      </text>
    </comment>
    <comment ref="AG23" authorId="0" shapeId="0">
      <text>
        <t>모델값 역산(implied): v / 매출액
매출액 × OPM(최근 8분기 OPM 중위 6.8% 유지(클립 −20~40%))</t>
      </text>
    </comment>
    <comment ref="AH23" authorId="0" shapeId="0">
      <text>
        <t>모델값 역산(implied): v / 매출액
매출액 × OPM(최근 8분기 OPM 중위 6.8% 유지(클립 −20~40%))</t>
      </text>
    </comment>
    <comment ref="AI23" authorId="0" shapeId="0">
      <text>
        <t>모델값 역산(implied): v / 매출액
매출액 × OPM(최근 8분기 OPM 중위 6.8% 유지(클립 −20~40%))</t>
      </text>
    </comment>
    <comment ref="AK23" authorId="0" shapeId="0">
      <text>
        <t>모델값 역산(implied): v / 매출액
매출액 × OPM(최근 8분기 OPM 중위 6.8% 유지(클립 −20~40%))</t>
      </text>
    </comment>
    <comment ref="AL23" authorId="0" shapeId="0">
      <text>
        <t>모델값 역산(implied): v / 매출액
매출액 × OPM(최근 8분기 OPM 중위 6.8% 유지(클립 −20~40%))</t>
      </text>
    </comment>
    <comment ref="AM23" authorId="0" shapeId="0">
      <text>
        <t>모델값 역산(implied): v / 매출액
매출액 × OPM(최근 8분기 OPM 중위 6.8% 유지(클립 −20~40%))</t>
      </text>
    </comment>
    <comment ref="AN23" authorId="0" shapeId="0">
      <text>
        <t>모델값 역산(implied): v / 매출액
매출액 × OPM(최근 8분기 OPM 중위 6.8% 유지(클립 −20~40%))</t>
      </text>
    </comment>
    <comment ref="AC24" authorId="0" shapeId="0">
      <text>
        <t>모델값 역산(implied): v / 전년동기 − 1
최근 8분기 OPM 중위 6.8% 유지(클립 −20~40%)</t>
      </text>
    </comment>
    <comment ref="AD24" authorId="0" shapeId="0">
      <text>
        <t>모델값 역산(implied): v / 전년동기 − 1
최근 8분기 OPM 중위 6.8% 유지(클립 −20~40%)</t>
      </text>
    </comment>
    <comment ref="AF24" authorId="0" shapeId="0">
      <text>
        <t>모델값 역산(implied): v / 전년동기 − 1
최근 8분기 OPM 중위 6.8% 유지(클립 −20~40%)</t>
      </text>
    </comment>
    <comment ref="AG24" authorId="0" shapeId="0">
      <text>
        <t>모델값 역산(implied): v / 전년동기 − 1
최근 8분기 OPM 중위 6.8% 유지(클립 −20~40%)</t>
      </text>
    </comment>
    <comment ref="AH24" authorId="0" shapeId="0">
      <text>
        <t>모델값 역산(implied): v / 전년동기 − 1
최근 8분기 OPM 중위 6.8% 유지(클립 −20~40%)</t>
      </text>
    </comment>
    <comment ref="AI24" authorId="0" shapeId="0">
      <text>
        <t>모델값 역산(implied): v / 전년동기 − 1
최근 8분기 OPM 중위 6.8% 유지(클립 −20~40%)</t>
      </text>
    </comment>
    <comment ref="AK24" authorId="0" shapeId="0">
      <text>
        <t>모델값 역산(implied): v / 전년동기 − 1
최근 8분기 OPM 중위 6.8% 유지(클립 −20~40%)</t>
      </text>
    </comment>
    <comment ref="AL24" authorId="0" shapeId="0">
      <text>
        <t>모델값 역산(implied): v / 전년동기 − 1
최근 8분기 OPM 중위 6.8% 유지(클립 −20~40%)</t>
      </text>
    </comment>
    <comment ref="AM24" authorId="0" shapeId="0">
      <text>
        <t>모델값 역산(implied): v / 전년동기 − 1
최근 8분기 OPM 중위 6.8% 유지(클립 −20~40%)</t>
      </text>
    </comment>
    <comment ref="AN24" authorId="0" shapeId="0">
      <text>
        <t>모델값 역산(implied): v / 전년동기 − 1
최근 8분기 OPM 중위 6.8% 유지(클립 −20~40%)</t>
      </text>
    </comment>
    <comment ref="AC25" authorId="0" shapeId="0">
      <text>
        <t>모델값 역산(implied): 모델 v 그대로
이자손익 = 이자발생자산 104182억 × 0.55% − 총차입금 52655억 × 3.63% (연율, CF 실측) ÷ 4; 환·평가손익 0 가정</t>
      </text>
    </comment>
    <comment ref="AD25" authorId="0" shapeId="0">
      <text>
        <t>모델값 역산(implied): 모델 v 그대로
이자손익 = 이자발생자산 104765억 × 0.55% − 총차입금 52655억 × 3.63% (연율, CF 실측) ÷ 4; 환·평가손익 0 가정</t>
      </text>
    </comment>
    <comment ref="AF25" authorId="0" shapeId="0">
      <text>
        <t>모델값 역산(implied): 모델 v 그대로
이자손익 = 이자발생자산 105315억 × 0.55% − 총차입금 52655억 × 3.63% (연율, CF 실측) ÷ 4; 환·평가손익 0 가정</t>
      </text>
    </comment>
    <comment ref="AG25" authorId="0" shapeId="0">
      <text>
        <t>모델값 역산(implied): 모델 v 그대로
이자손익 = 이자발생자산 105901억 × 0.55% − 총차입금 52655억 × 3.63% (연율, CF 실측) ÷ 4; 환·평가손익 0 가정</t>
      </text>
    </comment>
    <comment ref="AH25" authorId="0" shapeId="0">
      <text>
        <t>모델값 역산(implied): 모델 v 그대로
이자손익 = 이자발생자산 105474억 × 0.55% − 총차입금 52655억 × 3.63% (연율, CF 실측) ÷ 4; 환·평가손익 0 가정</t>
      </text>
    </comment>
    <comment ref="AI25" authorId="0" shapeId="0">
      <text>
        <t>모델값 역산(implied): 모델 v 그대로
이자손익 = 이자발생자산 106059억 × 0.55% − 총차입금 52655억 × 3.63% (연율, CF 실측) ÷ 4; 환·평가손익 0 가정</t>
      </text>
    </comment>
    <comment ref="AK25" authorId="0" shapeId="0">
      <text>
        <t>모델값 역산(implied): 모델 v 그대로
이자손익 = 이자발생자산 106611억 × 0.55% − 총차입금 52655억 × 3.63% (연율, CF 실측) ÷ 4; 환·평가손익 0 가정</t>
      </text>
    </comment>
    <comment ref="AL25" authorId="0" shapeId="0">
      <text>
        <t>모델값 역산(implied): 모델 v 그대로
이자손익 = 이자발생자산 107199억 × 0.55% − 총차입금 52655억 × 3.63% (연율, CF 실측) ÷ 4; 환·평가손익 0 가정</t>
      </text>
    </comment>
    <comment ref="AM25" authorId="0" shapeId="0">
      <text>
        <t>모델값 역산(implied): 모델 v 그대로
이자손익 = 이자발생자산 106774억 × 0.55% − 총차입금 52655억 × 3.63% (연율, CF 실측) ÷ 4; 환·평가손익 0 가정</t>
      </text>
    </comment>
    <comment ref="AN25" authorId="0" shapeId="0">
      <text>
        <t>모델값 역산(implied): 모델 v 그대로
이자손익 = 이자발생자산 107361억 × 0.55% − 총차입금 52655억 × 3.63%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27.0%(최근 12분기 유효세율 29.8% → 5~27% 클립)</t>
      </text>
    </comment>
    <comment ref="AD28" authorId="0" shapeId="0">
      <text>
        <t>모델값 역산(implied): v / 세전이익
max(세전, 0) × 세율 27.0%(최근 12분기 유효세율 29.8% → 5~27% 클립)</t>
      </text>
    </comment>
    <comment ref="AF28" authorId="0" shapeId="0">
      <text>
        <t>모델값 역산(implied): v / 세전이익
max(세전, 0) × 세율 27.0%(최근 12분기 유효세율 29.8% → 5~27% 클립)</t>
      </text>
    </comment>
    <comment ref="AG28" authorId="0" shapeId="0">
      <text>
        <t>모델값 역산(implied): v / 세전이익
max(세전, 0) × 세율 27.0%(최근 12분기 유효세율 29.8% → 5~27% 클립)</t>
      </text>
    </comment>
    <comment ref="AH28" authorId="0" shapeId="0">
      <text>
        <t>모델값 역산(implied): v / 세전이익
max(세전, 0) × 세율 27.0%(최근 12분기 유효세율 29.8% → 5~27% 클립)</t>
      </text>
    </comment>
    <comment ref="AI28" authorId="0" shapeId="0">
      <text>
        <t>모델값 역산(implied): v / 세전이익
max(세전, 0) × 세율 27.0%(최근 12분기 유효세율 29.8% → 5~27% 클립)</t>
      </text>
    </comment>
    <comment ref="AK28" authorId="0" shapeId="0">
      <text>
        <t>모델값 역산(implied): v / 세전이익
max(세전, 0) × 세율 27.0%(최근 12분기 유효세율 29.8% → 5~27% 클립)</t>
      </text>
    </comment>
    <comment ref="AL28" authorId="0" shapeId="0">
      <text>
        <t>모델값 역산(implied): v / 세전이익
max(세전, 0) × 세율 27.0%(최근 12분기 유효세율 29.8% → 5~27% 클립)</t>
      </text>
    </comment>
    <comment ref="AM28" authorId="0" shapeId="0">
      <text>
        <t>모델값 역산(implied): v / 세전이익
max(세전, 0) × 세율 27.0%(최근 12분기 유효세율 29.8% → 5~27% 클립)</t>
      </text>
    </comment>
    <comment ref="AN28" authorId="0" shapeId="0">
      <text>
        <t>모델값 역산(implied): v / 세전이익
max(세전, 0) × 세율 27.0%(최근 12분기 유효세율 29.8%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전년동기 − 1
최근 4분기 감가상각비 중위 유지</t>
      </text>
    </comment>
    <comment ref="AD31" authorId="0" shapeId="0">
      <text>
        <t>모델값 역산(implied): v / 전년동기 − 1
최근 4분기 감가상각비 중위 유지</t>
      </text>
    </comment>
    <comment ref="AF31" authorId="0" shapeId="0">
      <text>
        <t>모델값 역산(implied): v / 전년동기 − 1
최근 4분기 감가상각비 중위 유지</t>
      </text>
    </comment>
    <comment ref="AG31" authorId="0" shapeId="0">
      <text>
        <t>모델값 역산(implied): v / 전년동기 − 1
최근 4분기 감가상각비 중위 유지</t>
      </text>
    </comment>
    <comment ref="AH31" authorId="0" shapeId="0">
      <text>
        <t>모델값 역산(implied): v / 전년동기 − 1
최근 4분기 감가상각비 중위 유지</t>
      </text>
    </comment>
    <comment ref="AI31" authorId="0" shapeId="0">
      <text>
        <t>모델값 역산(implied): v / 전년동기 − 1
최근 4분기 감가상각비 중위 유지</t>
      </text>
    </comment>
    <comment ref="AK31" authorId="0" shapeId="0">
      <text>
        <t>모델값 역산(implied): v / 전년동기 − 1
최근 4분기 감가상각비 중위 유지</t>
      </text>
    </comment>
    <comment ref="AL31" authorId="0" shapeId="0">
      <text>
        <t>모델값 역산(implied): v / 전년동기 − 1
최근 4분기 감가상각비 중위 유지</t>
      </text>
    </comment>
    <comment ref="AM31" authorId="0" shapeId="0">
      <text>
        <t>모델값 역산(implied): v / 전년동기 − 1
최근 4분기 감가상각비 중위 유지</t>
      </text>
    </comment>
    <comment ref="AN31" authorId="0" shapeId="0">
      <text>
        <t>모델값 역산(implied): v / 전년동기 − 1
최근 4분기 감가상각비 중위 유지</t>
      </text>
    </comment>
    <comment ref="AC32" authorId="0" shapeId="0">
      <text>
        <t>모델값 역산(implied): v / 전년동기 − 1
영업이익 + 감가상각비</t>
      </text>
    </comment>
    <comment ref="AD32" authorId="0" shapeId="0">
      <text>
        <t>모델값 역산(implied): v / 전년동기 − 1
영업이익 + 감가상각비</t>
      </text>
    </comment>
    <comment ref="AF32" authorId="0" shapeId="0">
      <text>
        <t>모델값 역산(implied): v / 전년동기 − 1
영업이익 + 감가상각비</t>
      </text>
    </comment>
    <comment ref="AG32" authorId="0" shapeId="0">
      <text>
        <t>모델값 역산(implied): v / 전년동기 − 1
영업이익 + 감가상각비</t>
      </text>
    </comment>
    <comment ref="AH32" authorId="0" shapeId="0">
      <text>
        <t>모델값 역산(implied): v / 전년동기 − 1
영업이익 + 감가상각비</t>
      </text>
    </comment>
    <comment ref="AI32" authorId="0" shapeId="0">
      <text>
        <t>모델값 역산(implied): v / 전년동기 − 1
영업이익 + 감가상각비</t>
      </text>
    </comment>
    <comment ref="AK32" authorId="0" shapeId="0">
      <text>
        <t>모델값 역산(implied): v / 전년동기 − 1
영업이익 + 감가상각비</t>
      </text>
    </comment>
    <comment ref="AL32" authorId="0" shapeId="0">
      <text>
        <t>모델값 역산(implied): v / 전년동기 − 1
영업이익 + 감가상각비</t>
      </text>
    </comment>
    <comment ref="AM32" authorId="0" shapeId="0">
      <text>
        <t>모델값 역산(implied): v / 전년동기 − 1
영업이익 + 감가상각비</t>
      </text>
    </comment>
    <comment ref="AN32" authorId="0" shapeId="0">
      <text>
        <t>모델값 역산(implied): v / 전년동기 − 1
영업이익 + 감가상각비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15,000원 유지</t>
      </text>
    </comment>
    <comment ref="AI43" authorId="0" shapeId="0">
      <text>
        <t>모델값 역산(implied): v / 전년동기 − 1
직전 결산 DPS 15,000원 유지</t>
      </text>
    </comment>
    <comment ref="AN43" authorId="0" shapeId="0">
      <text>
        <t>모델값 역산(implied): v / 전년동기 − 1
직전 결산 DPS 15,000원 유지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(1+0.2%) — g=최근 4분기 합 YoY 0.2% 클립(−30~+50%), 연차별 절반 감쇠(가정)
[yoy]</t>
      </text>
    </comment>
    <comment ref="AD5" authorId="0" shapeId="0">
      <text>
        <t>추정: 전년동기 × (1+0.2%) — g=최근 4분기 합 YoY 0.2% 클립(−30~+50%), 연차별 절반 감쇠(가정)
[yoy]</t>
      </text>
    </comment>
    <comment ref="AF5" authorId="0" shapeId="0">
      <text>
        <t>추정: 전년동기 × (1+0.2%) — g=최근 4분기 합 YoY 0.2% 클립(−30~+50%), 연차별 절반 감쇠(가정)
[yoy]</t>
      </text>
    </comment>
    <comment ref="AG5" authorId="0" shapeId="0">
      <text>
        <t>추정: 전년동기 × (1+0.2%) — g=최근 4분기 합 YoY 0.2% 클립(−30~+50%), 연차별 절반 감쇠(가정)
[yoy]</t>
      </text>
    </comment>
    <comment ref="AH5" authorId="0" shapeId="0">
      <text>
        <t>추정: 전년동기 × (1+0.1%) — g=최근 4분기 합 YoY 0.2% 클립(−30~+50%), 연차별 절반 감쇠(가정)
[yoy]</t>
      </text>
    </comment>
    <comment ref="AI5" authorId="0" shapeId="0">
      <text>
        <t>추정: 전년동기 × (1+0.1%) — g=최근 4분기 합 YoY 0.2% 클립(−30~+50%), 연차별 절반 감쇠(가정)
[yoy]</t>
      </text>
    </comment>
    <comment ref="AK5" authorId="0" shapeId="0">
      <text>
        <t>추정: 전년동기 × (1+0.1%) — g=최근 4분기 합 YoY 0.2% 클립(−30~+50%), 연차별 절반 감쇠(가정)
[yoy]</t>
      </text>
    </comment>
    <comment ref="AL5" authorId="0" shapeId="0">
      <text>
        <t>추정: 전년동기 × (1+0.1%) — g=최근 4분기 합 YoY 0.2% 클립(−30~+50%), 연차별 절반 감쇠(가정)
[yoy]</t>
      </text>
    </comment>
    <comment ref="AM5" authorId="0" shapeId="0">
      <text>
        <t>추정: 전년동기 × (1+0.1%) — g=최근 4분기 합 YoY 0.2% 클립(−30~+50%), 연차별 절반 감쇠(가정)
[yoy]</t>
      </text>
    </comment>
    <comment ref="AN5" authorId="0" shapeId="0">
      <text>
        <t>추정: 전년동기 × (1+0.1%) — g=최근 4분기 합 YoY 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18.87%(최근 4분기 중위)
[ratio]</t>
      </text>
    </comment>
    <comment ref="AD8" authorId="0" shapeId="0">
      <text>
        <t>추정: 매출액 × 판관비율 18.87%(최근 4분기 중위)
[ratio]</t>
      </text>
    </comment>
    <comment ref="AF8" authorId="0" shapeId="0">
      <text>
        <t>추정: 매출액 × 판관비율 18.87%(최근 4분기 중위)
[ratio]</t>
      </text>
    </comment>
    <comment ref="AG8" authorId="0" shapeId="0">
      <text>
        <t>추정: 매출액 × 판관비율 18.87%(최근 4분기 중위)
[ratio]</t>
      </text>
    </comment>
    <comment ref="AH8" authorId="0" shapeId="0">
      <text>
        <t>추정: 매출액 × 판관비율 18.87%(최근 4분기 중위)
[ratio]</t>
      </text>
    </comment>
    <comment ref="AI8" authorId="0" shapeId="0">
      <text>
        <t>추정: 매출액 × 판관비율 18.87%(최근 4분기 중위)
[ratio]</t>
      </text>
    </comment>
    <comment ref="AK8" authorId="0" shapeId="0">
      <text>
        <t>추정: 매출액 × 판관비율 18.87%(최근 4분기 중위)
[ratio]</t>
      </text>
    </comment>
    <comment ref="AL8" authorId="0" shapeId="0">
      <text>
        <t>추정: 매출액 × 판관비율 18.87%(최근 4분기 중위)
[ratio]</t>
      </text>
    </comment>
    <comment ref="AM8" authorId="0" shapeId="0">
      <text>
        <t>추정: 매출액 × 판관비율 18.87%(최근 4분기 중위)
[ratio]</t>
      </text>
    </comment>
    <comment ref="AN8" authorId="0" shapeId="0">
      <text>
        <t>추정: 매출액 × 판관비율 18.87%(최근 4분기 중위)
[ratio]</t>
      </text>
    </comment>
    <comment ref="AC9" authorId="0" shapeId="0">
      <text>
        <t>추정: 매출액 × OPM(최근 8분기 OPM 중위 6.8% 유지(클립 −20~40%))
[ratio]</t>
      </text>
    </comment>
    <comment ref="AD9" authorId="0" shapeId="0">
      <text>
        <t>추정: 매출액 × OPM(최근 8분기 OPM 중위 6.8% 유지(클립 −20~40%))
[ratio]</t>
      </text>
    </comment>
    <comment ref="AF9" authorId="0" shapeId="0">
      <text>
        <t>추정: 매출액 × OPM(최근 8분기 OPM 중위 6.8% 유지(클립 −20~40%))
[ratio]</t>
      </text>
    </comment>
    <comment ref="AG9" authorId="0" shapeId="0">
      <text>
        <t>추정: 매출액 × OPM(최근 8분기 OPM 중위 6.8% 유지(클립 −20~40%))
[ratio]</t>
      </text>
    </comment>
    <comment ref="AH9" authorId="0" shapeId="0">
      <text>
        <t>추정: 매출액 × OPM(최근 8분기 OPM 중위 6.8% 유지(클립 −20~40%))
[ratio]</t>
      </text>
    </comment>
    <comment ref="AI9" authorId="0" shapeId="0">
      <text>
        <t>추정: 매출액 × OPM(최근 8분기 OPM 중위 6.8% 유지(클립 −20~40%))
[ratio]</t>
      </text>
    </comment>
    <comment ref="AK9" authorId="0" shapeId="0">
      <text>
        <t>추정: 매출액 × OPM(최근 8분기 OPM 중위 6.8% 유지(클립 −20~40%))
[ratio]</t>
      </text>
    </comment>
    <comment ref="AL9" authorId="0" shapeId="0">
      <text>
        <t>추정: 매출액 × OPM(최근 8분기 OPM 중위 6.8% 유지(클립 −20~40%))
[ratio]</t>
      </text>
    </comment>
    <comment ref="AM9" authorId="0" shapeId="0">
      <text>
        <t>추정: 매출액 × OPM(최근 8분기 OPM 중위 6.8% 유지(클립 −20~40%))
[ratio]</t>
      </text>
    </comment>
    <comment ref="AN9" authorId="0" shapeId="0">
      <text>
        <t>추정: 매출액 × OPM(최근 8분기 OPM 중위 6.8%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6.8% 유지(클립 −20~40%)
[yoy]</t>
      </text>
    </comment>
    <comment ref="AD10" authorId="0" shapeId="0">
      <text>
        <t>추정: 최근 8분기 OPM 중위 6.8% 유지(클립 −20~40%)
[yoy]</t>
      </text>
    </comment>
    <comment ref="AF10" authorId="0" shapeId="0">
      <text>
        <t>추정: 최근 8분기 OPM 중위 6.8% 유지(클립 −20~40%)
[yoy]</t>
      </text>
    </comment>
    <comment ref="AG10" authorId="0" shapeId="0">
      <text>
        <t>추정: 최근 8분기 OPM 중위 6.8% 유지(클립 −20~40%)
[yoy]</t>
      </text>
    </comment>
    <comment ref="AH10" authorId="0" shapeId="0">
      <text>
        <t>추정: 최근 8분기 OPM 중위 6.8% 유지(클립 −20~40%)
[yoy]</t>
      </text>
    </comment>
    <comment ref="AI10" authorId="0" shapeId="0">
      <text>
        <t>추정: 최근 8분기 OPM 중위 6.8% 유지(클립 −20~40%)
[yoy]</t>
      </text>
    </comment>
    <comment ref="AK10" authorId="0" shapeId="0">
      <text>
        <t>추정: 최근 8분기 OPM 중위 6.8% 유지(클립 −20~40%)
[yoy]</t>
      </text>
    </comment>
    <comment ref="AL10" authorId="0" shapeId="0">
      <text>
        <t>추정: 최근 8분기 OPM 중위 6.8% 유지(클립 −20~40%)
[yoy]</t>
      </text>
    </comment>
    <comment ref="AM10" authorId="0" shapeId="0">
      <text>
        <t>추정: 최근 8분기 OPM 중위 6.8% 유지(클립 −20~40%)
[yoy]</t>
      </text>
    </comment>
    <comment ref="AN10" authorId="0" shapeId="0">
      <text>
        <t>추정: 최근 8분기 OPM 중위 6.8% 유지(클립 −20~40%)
[yoy]</t>
      </text>
    </comment>
    <comment ref="AC11" authorId="0" shapeId="0">
      <text>
        <t>추정: 이자손익 = 이자발생자산 104182억 × 0.55% − 총차입금 52655억 × 3.63% (연율, CF 실측) ÷ 4; 환·평가손익 0 가정
[abs]</t>
      </text>
    </comment>
    <comment ref="AD11" authorId="0" shapeId="0">
      <text>
        <t>추정: 이자손익 = 이자발생자산 104765억 × 0.55% − 총차입금 52655억 × 3.63% (연율, CF 실측) ÷ 4; 환·평가손익 0 가정
[abs]</t>
      </text>
    </comment>
    <comment ref="AF11" authorId="0" shapeId="0">
      <text>
        <t>추정: 이자손익 = 이자발생자산 105315억 × 0.55% − 총차입금 52655억 × 3.63% (연율, CF 실측) ÷ 4; 환·평가손익 0 가정
[abs]</t>
      </text>
    </comment>
    <comment ref="AG11" authorId="0" shapeId="0">
      <text>
        <t>추정: 이자손익 = 이자발생자산 105901억 × 0.55% − 총차입금 52655억 × 3.63% (연율, CF 실측) ÷ 4; 환·평가손익 0 가정
[abs]</t>
      </text>
    </comment>
    <comment ref="AH11" authorId="0" shapeId="0">
      <text>
        <t>추정: 이자손익 = 이자발생자산 105474억 × 0.55% − 총차입금 52655억 × 3.63% (연율, CF 실측) ÷ 4; 환·평가손익 0 가정
[abs]</t>
      </text>
    </comment>
    <comment ref="AI11" authorId="0" shapeId="0">
      <text>
        <t>추정: 이자손익 = 이자발생자산 106059억 × 0.55% − 총차입금 52655억 × 3.63% (연율, CF 실측) ÷ 4; 환·평가손익 0 가정
[abs]</t>
      </text>
    </comment>
    <comment ref="AK11" authorId="0" shapeId="0">
      <text>
        <t>추정: 이자손익 = 이자발생자산 106611억 × 0.55% − 총차입금 52655억 × 3.63% (연율, CF 실측) ÷ 4; 환·평가손익 0 가정
[abs]</t>
      </text>
    </comment>
    <comment ref="AL11" authorId="0" shapeId="0">
      <text>
        <t>추정: 이자손익 = 이자발생자산 107199억 × 0.55% − 총차입금 52655억 × 3.63% (연율, CF 실측) ÷ 4; 환·평가손익 0 가정
[abs]</t>
      </text>
    </comment>
    <comment ref="AM11" authorId="0" shapeId="0">
      <text>
        <t>추정: 이자손익 = 이자발생자산 106774억 × 0.55% − 총차입금 52655억 × 3.63% (연율, CF 실측) ÷ 4; 환·평가손익 0 가정
[abs]</t>
      </text>
    </comment>
    <comment ref="AN11" authorId="0" shapeId="0">
      <text>
        <t>추정: 이자손익 = 이자발생자산 107361억 × 0.55% − 총차입금 52655억 × 3.63%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27.0%(최근 12분기 유효세율 29.8% → 5~27% 클립)
[ratio]</t>
      </text>
    </comment>
    <comment ref="AD15" authorId="0" shapeId="0">
      <text>
        <t>추정: max(세전, 0) × 세율 27.0%(최근 12분기 유효세율 29.8% → 5~27% 클립)
[ratio]</t>
      </text>
    </comment>
    <comment ref="AF15" authorId="0" shapeId="0">
      <text>
        <t>추정: max(세전, 0) × 세율 27.0%(최근 12분기 유효세율 29.8% → 5~27% 클립)
[ratio]</t>
      </text>
    </comment>
    <comment ref="AG15" authorId="0" shapeId="0">
      <text>
        <t>추정: max(세전, 0) × 세율 27.0%(최근 12분기 유효세율 29.8% → 5~27% 클립)
[ratio]</t>
      </text>
    </comment>
    <comment ref="AH15" authorId="0" shapeId="0">
      <text>
        <t>추정: max(세전, 0) × 세율 27.0%(최근 12분기 유효세율 29.8% → 5~27% 클립)
[ratio]</t>
      </text>
    </comment>
    <comment ref="AI15" authorId="0" shapeId="0">
      <text>
        <t>추정: max(세전, 0) × 세율 27.0%(최근 12분기 유효세율 29.8% → 5~27% 클립)
[ratio]</t>
      </text>
    </comment>
    <comment ref="AK15" authorId="0" shapeId="0">
      <text>
        <t>추정: max(세전, 0) × 세율 27.0%(최근 12분기 유효세율 29.8% → 5~27% 클립)
[ratio]</t>
      </text>
    </comment>
    <comment ref="AL15" authorId="0" shapeId="0">
      <text>
        <t>추정: max(세전, 0) × 세율 27.0%(최근 12분기 유효세율 29.8% → 5~27% 클립)
[ratio]</t>
      </text>
    </comment>
    <comment ref="AM15" authorId="0" shapeId="0">
      <text>
        <t>추정: max(세전, 0) × 세율 27.0%(최근 12분기 유효세율 29.8% → 5~27% 클립)
[ratio]</t>
      </text>
    </comment>
    <comment ref="AN15" authorId="0" shapeId="0">
      <text>
        <t>추정: max(세전, 0) × 세율 27.0%(최근 12분기 유효세율 29.8%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B18" authorId="0" shapeId="0">
      <text>
        <t>실측(계정 매핑 없음 — 모델값 직접) — fin.cons.is.중단사업이익</t>
      </text>
    </comment>
    <comment ref="AC19" authorId="0" shapeId="0">
      <text>
        <t>추정: 최근 4분기 감가상각비 중위 유지
[yoy]</t>
      </text>
    </comment>
    <comment ref="AD19" authorId="0" shapeId="0">
      <text>
        <t>추정: 최근 4분기 감가상각비 중위 유지
[yoy]</t>
      </text>
    </comment>
    <comment ref="AF19" authorId="0" shapeId="0">
      <text>
        <t>추정: 최근 4분기 감가상각비 중위 유지
[yoy]</t>
      </text>
    </comment>
    <comment ref="AG19" authorId="0" shapeId="0">
      <text>
        <t>추정: 최근 4분기 감가상각비 중위 유지
[yoy]</t>
      </text>
    </comment>
    <comment ref="AH19" authorId="0" shapeId="0">
      <text>
        <t>추정: 최근 4분기 감가상각비 중위 유지
[yoy]</t>
      </text>
    </comment>
    <comment ref="AI19" authorId="0" shapeId="0">
      <text>
        <t>추정: 최근 4분기 감가상각비 중위 유지
[yoy]</t>
      </text>
    </comment>
    <comment ref="AK19" authorId="0" shapeId="0">
      <text>
        <t>추정: 최근 4분기 감가상각비 중위 유지
[yoy]</t>
      </text>
    </comment>
    <comment ref="AL19" authorId="0" shapeId="0">
      <text>
        <t>추정: 최근 4분기 감가상각비 중위 유지
[yoy]</t>
      </text>
    </comment>
    <comment ref="AM19" authorId="0" shapeId="0">
      <text>
        <t>추정: 최근 4분기 감가상각비 중위 유지
[yoy]</t>
      </text>
    </comment>
    <comment ref="AN19" authorId="0" shapeId="0">
      <text>
        <t>추정: 최근 4분기 감가상각비 중위 유지
[yoy]</t>
      </text>
    </comment>
    <comment ref="E20" authorId="0" shapeId="0">
      <text>
        <t>실측(계정 매핑 없음 — 모델값 직접) — 영업이익 + 감가상각비(CF)</t>
      </text>
    </comment>
    <comment ref="G20" authorId="0" shapeId="0">
      <text>
        <t>실측(계정 매핑 없음 — 모델값 직접) — 영업이익 + 감가상각비(CF)</t>
      </text>
    </comment>
    <comment ref="H20" authorId="0" shapeId="0">
      <text>
        <t>실측(계정 매핑 없음 — 모델값 직접) — 영업이익 + 감가상각비(CF)</t>
      </text>
    </comment>
    <comment ref="I20" authorId="0" shapeId="0">
      <text>
        <t>실측(계정 매핑 없음 — 모델값 직접) — 영업이익 + 감가상각비(CF)</t>
      </text>
    </comment>
    <comment ref="J20" authorId="0" shapeId="0">
      <text>
        <t>실측(계정 매핑 없음 — 모델값 직접) — 영업이익 + 감가상각비(CF)</t>
      </text>
    </comment>
    <comment ref="L20" authorId="0" shapeId="0">
      <text>
        <t>실측(계정 매핑 없음 — 모델값 직접) — 영업이익 + 감가상각비(CF)</t>
      </text>
    </comment>
    <comment ref="M20" authorId="0" shapeId="0">
      <text>
        <t>실측(계정 매핑 없음 — 모델값 직접) — 영업이익 + 감가상각비(CF)</t>
      </text>
    </comment>
    <comment ref="N20" authorId="0" shapeId="0">
      <text>
        <t>실측(계정 매핑 없음 — 모델값 직접) — 영업이익 + 감가상각비(CF)</t>
      </text>
    </comment>
    <comment ref="O20" authorId="0" shapeId="0">
      <text>
        <t>실측(계정 매핑 없음 — 모델값 직접) — 영업이익 + 감가상각비(CF)</t>
      </text>
    </comment>
    <comment ref="Q20" authorId="0" shapeId="0">
      <text>
        <t>실측(계정 매핑 없음 — 모델값 직접) — 영업이익 + 감가상각비(CF)</t>
      </text>
    </comment>
    <comment ref="R20" authorId="0" shapeId="0">
      <text>
        <t>실측(계정 매핑 없음 — 모델값 직접) — 영업이익 + 감가상각비(CF)</t>
      </text>
    </comment>
    <comment ref="S20" authorId="0" shapeId="0">
      <text>
        <t>실측(계정 매핑 없음 — 모델값 직접) — 영업이익 + 감가상각비(CF)</t>
      </text>
    </comment>
    <comment ref="T20" authorId="0" shapeId="0">
      <text>
        <t>실측(계정 매핑 없음 — 모델값 직접) — 영업이익 + 감가상각비(CF)</t>
      </text>
    </comment>
    <comment ref="V20" authorId="0" shapeId="0">
      <text>
        <t>실측(계정 매핑 없음 — 모델값 직접) — 영업이익 + 감가상각비(CF)</t>
      </text>
    </comment>
    <comment ref="W20" authorId="0" shapeId="0">
      <text>
        <t>실측(계정 매핑 없음 — 모델값 직접) — 영업이익 + 감가상각비(CF)</t>
      </text>
    </comment>
    <comment ref="X20" authorId="0" shapeId="0">
      <text>
        <t>실측(계정 매핑 없음 — 모델값 직접) — 영업이익 + 감가상각비(CF)</t>
      </text>
    </comment>
    <comment ref="Y20" authorId="0" shapeId="0">
      <text>
        <t>실측(계정 매핑 없음 — 모델값 직접) — 영업이익 + 감가상각비(CF)</t>
      </text>
    </comment>
    <comment ref="AA20" authorId="0" shapeId="0">
      <text>
        <t>실측(계정 매핑 없음 — 모델값 직접) — 영업이익 + 감가상각비(CF)</t>
      </text>
    </comment>
    <comment ref="AB20" authorId="0" shapeId="0">
      <text>
        <t>실측(계정 매핑 없음 — 모델값 직접) — 영업이익 + 감가상각비(CF)</t>
      </text>
    </comment>
    <comment ref="AC20" authorId="0" shapeId="0">
      <text>
        <t>추정: 영업이익 + 감가상각비
[yoy]</t>
      </text>
    </comment>
    <comment ref="AD20" authorId="0" shapeId="0">
      <text>
        <t>추정: 영업이익 + 감가상각비
[yoy]</t>
      </text>
    </comment>
    <comment ref="AF20" authorId="0" shapeId="0">
      <text>
        <t>추정: 영업이익 + 감가상각비
[yoy]</t>
      </text>
    </comment>
    <comment ref="AG20" authorId="0" shapeId="0">
      <text>
        <t>추정: 영업이익 + 감가상각비
[yoy]</t>
      </text>
    </comment>
    <comment ref="AH20" authorId="0" shapeId="0">
      <text>
        <t>추정: 영업이익 + 감가상각비
[yoy]</t>
      </text>
    </comment>
    <comment ref="AI20" authorId="0" shapeId="0">
      <text>
        <t>추정: 영업이익 + 감가상각비
[yoy]</t>
      </text>
    </comment>
    <comment ref="AK20" authorId="0" shapeId="0">
      <text>
        <t>추정: 영업이익 + 감가상각비
[yoy]</t>
      </text>
    </comment>
    <comment ref="AL20" authorId="0" shapeId="0">
      <text>
        <t>추정: 영업이익 + 감가상각비
[yoy]</t>
      </text>
    </comment>
    <comment ref="AM20" authorId="0" shapeId="0">
      <text>
        <t>추정: 영업이익 + 감가상각비
[yoy]</t>
      </text>
    </comment>
    <comment ref="AN20" authorId="0" shapeId="0">
      <text>
        <t>추정: 영업이익 + 감가상각비
[yoy]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15,000원 유지
[yoy]</t>
      </text>
    </comment>
    <comment ref="AI34" authorId="0" shapeId="0">
      <text>
        <t>추정: 직전 결산 DPS 15,000원 유지
[yoy]</t>
      </text>
    </comment>
    <comment ref="AN34" authorId="0" shapeId="0">
      <text>
        <t>추정: 직전 결산 DPS 15,000원 유지
[yoy]</t>
      </text>
    </comment>
    <comment ref="J35" authorId="0" shapeId="0">
      <text>
        <t>실측(계정 매핑 없음 — 모델값 직접) — 토스 일봉 분기 평균 ÷ TTM EPS</t>
      </text>
    </comment>
    <comment ref="L35" authorId="0" shapeId="0">
      <text>
        <t>실측(계정 매핑 없음 — 모델값 직접) — 토스 일봉 분기 평균 ÷ TTM EPS</t>
      </text>
    </comment>
    <comment ref="N35" authorId="0" shapeId="0">
      <text>
        <t>실측(계정 매핑 없음 — 모델값 직접) — 토스 일봉 분기 평균 ÷ TTM EPS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케이씨씨(002380)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assets/models/002380.json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연동 OOS 기각 — 동결 2025Q2 이후 4분기 매출 WAPE 연동 32.2% &gt; 추세 3.6% × 1.10 (suppliers_mentions·시차 4·4분기 이동합·창 12, r=0.63 유의)): 전년동기 × (1+g) 추세 / 일회성 의심 2026Q2: 비영업손익 36,305억(영업이익 1,289억의 28배, 12분기 중위 2,244억) → 지배NI 28,392억·EPS·FY2026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3.6, "op_wape_pct": 21.4, "n": 4, "note": "단일 회사 4분기 — 통계 아님", "driver_at_freeze": "trend_seasonal", "selection_oos_at_freeze": {"freeze": "2024Q2", "n": 4, "wape_link": 22.5, "wape_trend": 3.9, "adopted": false},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16578.27, "rev_act": 16228.33, "op_pred": 1094.05, "op_act": 1172.64}, {"q": "2025Q4", "rev_pred": 16814.11, "rev_act": 15564.18, "op_pred": 1109.62, "op_act": 665.27}, {"q": "2026Q1", "rev_pred": 16224.2, "rev_act": 16264.0, "op_pred": 1070.69, "op_act": 881.28}, {"q": "2026Q2", "rev_pred": 17299.1, "rev_act": 18060.19, "op_pred": 1141.62, "op_act": 1288.84}]}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315000</v>
      </c>
      <c r="F15" s="9" t="n"/>
      <c r="G15" s="18" t="n">
        <v>342000</v>
      </c>
      <c r="H15" s="18" t="n">
        <v>287500</v>
      </c>
      <c r="I15" s="18" t="n">
        <v>231500</v>
      </c>
      <c r="J15" s="18" t="n">
        <v>204500</v>
      </c>
      <c r="K15" s="9" t="n"/>
      <c r="L15" s="18" t="n">
        <v>222000</v>
      </c>
      <c r="M15" s="18" t="n">
        <v>196400</v>
      </c>
      <c r="N15" s="18" t="n">
        <v>246500</v>
      </c>
      <c r="O15" s="18" t="n">
        <v>228500</v>
      </c>
      <c r="P15" s="9" t="n"/>
      <c r="Q15" s="18" t="n">
        <v>259500</v>
      </c>
      <c r="R15" s="18" t="n">
        <v>308500</v>
      </c>
      <c r="S15" s="18" t="n">
        <v>301500</v>
      </c>
      <c r="T15" s="18" t="n">
        <v>235500</v>
      </c>
      <c r="U15" s="9" t="n"/>
      <c r="V15" s="18" t="n">
        <v>254000</v>
      </c>
      <c r="W15" s="18" t="n">
        <v>312500</v>
      </c>
      <c r="X15" s="18" t="n">
        <v>381000</v>
      </c>
      <c r="Y15" s="18" t="n">
        <v>419500</v>
      </c>
      <c r="Z15" s="9" t="n"/>
      <c r="AA15" s="18" t="n">
        <v>481500</v>
      </c>
      <c r="AB15" s="19" t="n">
        <v>489500</v>
      </c>
      <c r="AC15" s="20" t="n">
        <v>470500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420500</v>
      </c>
      <c r="F16" s="9" t="n"/>
      <c r="G16" s="18" t="n">
        <v>414500</v>
      </c>
      <c r="H16" s="18" t="n">
        <v>382500</v>
      </c>
      <c r="I16" s="18" t="n">
        <v>319500</v>
      </c>
      <c r="J16" s="18" t="n">
        <v>266000</v>
      </c>
      <c r="K16" s="9" t="n"/>
      <c r="L16" s="18" t="n">
        <v>261500</v>
      </c>
      <c r="M16" s="18" t="n">
        <v>244500</v>
      </c>
      <c r="N16" s="18" t="n">
        <v>271500</v>
      </c>
      <c r="O16" s="18" t="n">
        <v>250500</v>
      </c>
      <c r="P16" s="9" t="n"/>
      <c r="Q16" s="18" t="n">
        <v>294000</v>
      </c>
      <c r="R16" s="18" t="n">
        <v>327500</v>
      </c>
      <c r="S16" s="18" t="n">
        <v>345000</v>
      </c>
      <c r="T16" s="18" t="n">
        <v>306500</v>
      </c>
      <c r="U16" s="9" t="n"/>
      <c r="V16" s="18" t="n">
        <v>295000</v>
      </c>
      <c r="W16" s="18" t="n">
        <v>344000</v>
      </c>
      <c r="X16" s="18" t="n">
        <v>443000</v>
      </c>
      <c r="Y16" s="18" t="n">
        <v>467000</v>
      </c>
      <c r="Z16" s="9" t="n"/>
      <c r="AA16" s="18" t="n">
        <v>731000</v>
      </c>
      <c r="AB16" s="19" t="n">
        <v>656000</v>
      </c>
      <c r="AC16" s="20" t="n">
        <v>514000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271000</v>
      </c>
      <c r="F17" s="9" t="n"/>
      <c r="G17" s="18" t="n">
        <v>296000</v>
      </c>
      <c r="H17" s="18" t="n">
        <v>268000</v>
      </c>
      <c r="I17" s="18" t="n">
        <v>227500</v>
      </c>
      <c r="J17" s="18" t="n">
        <v>203500</v>
      </c>
      <c r="K17" s="9" t="n"/>
      <c r="L17" s="18" t="n">
        <v>191500</v>
      </c>
      <c r="M17" s="18" t="n">
        <v>192000</v>
      </c>
      <c r="N17" s="18" t="n">
        <v>186700</v>
      </c>
      <c r="O17" s="18" t="n">
        <v>207000</v>
      </c>
      <c r="P17" s="9" t="n"/>
      <c r="Q17" s="18" t="n">
        <v>199900</v>
      </c>
      <c r="R17" s="18" t="n">
        <v>225000</v>
      </c>
      <c r="S17" s="18" t="n">
        <v>270500</v>
      </c>
      <c r="T17" s="18" t="n">
        <v>216500</v>
      </c>
      <c r="U17" s="9" t="n"/>
      <c r="V17" s="18" t="n">
        <v>226500</v>
      </c>
      <c r="W17" s="18" t="n">
        <v>231000</v>
      </c>
      <c r="X17" s="18" t="n">
        <v>313000</v>
      </c>
      <c r="Y17" s="18" t="n">
        <v>367000</v>
      </c>
      <c r="Z17" s="9" t="n"/>
      <c r="AA17" s="18" t="n">
        <v>382500</v>
      </c>
      <c r="AB17" s="19" t="n">
        <v>383500</v>
      </c>
      <c r="AC17" s="20" t="n">
        <v>336000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328738.1</v>
      </c>
      <c r="F18" s="9" t="n"/>
      <c r="G18" s="18" t="n">
        <v>348330.5</v>
      </c>
      <c r="H18" s="18" t="n">
        <v>329846.8</v>
      </c>
      <c r="I18" s="18" t="n">
        <v>284865.1</v>
      </c>
      <c r="J18" s="18" t="n">
        <v>239016.1</v>
      </c>
      <c r="K18" s="9" t="n"/>
      <c r="L18" s="18" t="n">
        <v>229911.3</v>
      </c>
      <c r="M18" s="18" t="n">
        <v>215073.8</v>
      </c>
      <c r="N18" s="18" t="n">
        <v>216145.2</v>
      </c>
      <c r="O18" s="18" t="n">
        <v>229691.7</v>
      </c>
      <c r="P18" s="9" t="n"/>
      <c r="Q18" s="18" t="n">
        <v>253950.8</v>
      </c>
      <c r="R18" s="18" t="n">
        <v>277025</v>
      </c>
      <c r="S18" s="18" t="n">
        <v>306096.8</v>
      </c>
      <c r="T18" s="18" t="n">
        <v>249426.2</v>
      </c>
      <c r="U18" s="9" t="n"/>
      <c r="V18" s="18" t="n">
        <v>263465.5</v>
      </c>
      <c r="W18" s="18" t="n">
        <v>276383.3</v>
      </c>
      <c r="X18" s="18" t="n">
        <v>380176.9</v>
      </c>
      <c r="Y18" s="18" t="n">
        <v>416178</v>
      </c>
      <c r="Z18" s="9" t="n"/>
      <c r="AA18" s="18" t="n">
        <v>503618.6</v>
      </c>
      <c r="AB18" s="19" t="n">
        <v>535893.4</v>
      </c>
      <c r="AC18" s="20" t="n">
        <v>450314.5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0.00234</v>
      </c>
      <c r="AD21" s="24" t="n">
        <v>0.00234</v>
      </c>
      <c r="AE21" s="25" t="n"/>
      <c r="AF21" s="24" t="n">
        <v>0.00234</v>
      </c>
      <c r="AG21" s="24" t="n">
        <v>0.00234</v>
      </c>
      <c r="AH21" s="24" t="n">
        <v>0.001171</v>
      </c>
      <c r="AI21" s="24" t="n">
        <v>0.00117</v>
      </c>
      <c r="AJ21" s="25" t="n"/>
      <c r="AK21" s="24" t="n">
        <v>0.00117</v>
      </c>
      <c r="AL21" s="24" t="n">
        <v>0.00117</v>
      </c>
      <c r="AM21" s="24" t="n">
        <v>0.000585</v>
      </c>
      <c r="AN21" s="24" t="n">
        <v>0.000585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0.18874</v>
      </c>
      <c r="AD22" s="24" t="n">
        <v>0.18874</v>
      </c>
      <c r="AE22" s="25">
        <f>IFERROR(subQ!AE8/subQ!AE5,"")</f>
        <v/>
      </c>
      <c r="AF22" s="24" t="n">
        <v>0.18874</v>
      </c>
      <c r="AG22" s="24" t="n">
        <v>0.18874</v>
      </c>
      <c r="AH22" s="24" t="n">
        <v>0.18874</v>
      </c>
      <c r="AI22" s="24" t="n">
        <v>0.18874</v>
      </c>
      <c r="AJ22" s="25">
        <f>IFERROR(subQ!AJ8/subQ!AJ5,"")</f>
        <v/>
      </c>
      <c r="AK22" s="24" t="n">
        <v>0.18874</v>
      </c>
      <c r="AL22" s="24" t="n">
        <v>0.18874</v>
      </c>
      <c r="AM22" s="24" t="n">
        <v>0.18874</v>
      </c>
      <c r="AN22" s="24" t="n">
        <v>0.18874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0.068022</v>
      </c>
      <c r="AD23" s="24" t="n">
        <v>0.068022</v>
      </c>
      <c r="AE23" s="25">
        <f>IFERROR(subQ!AE9/subQ!AE5,"")</f>
        <v/>
      </c>
      <c r="AF23" s="24" t="n">
        <v>0.068022</v>
      </c>
      <c r="AG23" s="24" t="n">
        <v>0.068022</v>
      </c>
      <c r="AH23" s="24" t="n">
        <v>0.068022</v>
      </c>
      <c r="AI23" s="24" t="n">
        <v>0.068022</v>
      </c>
      <c r="AJ23" s="25">
        <f>IFERROR(subQ!AJ9/subQ!AJ5,"")</f>
        <v/>
      </c>
      <c r="AK23" s="24" t="n">
        <v>0.068022</v>
      </c>
      <c r="AL23" s="24" t="n">
        <v>0.068022</v>
      </c>
      <c r="AM23" s="24" t="n">
        <v>0.068022</v>
      </c>
      <c r="AN23" s="24" t="n">
        <v>0.068022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-0.059474</v>
      </c>
      <c r="AD24" s="24" t="n">
        <v>0.592506</v>
      </c>
      <c r="AE24" s="25" t="n"/>
      <c r="AF24" s="24" t="n">
        <v>0.254613</v>
      </c>
      <c r="AG24" s="24" t="n">
        <v>-0.047619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-334.19</v>
      </c>
      <c r="AD25" s="29" t="n">
        <v>-333.39</v>
      </c>
      <c r="AE25" s="30">
        <f>subQ!AE11</f>
        <v/>
      </c>
      <c r="AF25" s="29" t="n">
        <v>-332.62</v>
      </c>
      <c r="AG25" s="29" t="n">
        <v>-331.81</v>
      </c>
      <c r="AH25" s="29" t="n">
        <v>-332.4</v>
      </c>
      <c r="AI25" s="29" t="n">
        <v>-331.59</v>
      </c>
      <c r="AJ25" s="30">
        <f>subQ!AJ11</f>
        <v/>
      </c>
      <c r="AK25" s="29" t="n">
        <v>-330.83</v>
      </c>
      <c r="AL25" s="29" t="n">
        <v>-330.02</v>
      </c>
      <c r="AM25" s="29" t="n">
        <v>-330.6</v>
      </c>
      <c r="AN25" s="29" t="n">
        <v>-329.79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26.09</v>
      </c>
      <c r="AD27" s="29" t="n">
        <v>26.09</v>
      </c>
      <c r="AE27" s="30">
        <f>subQ!AE13</f>
        <v/>
      </c>
      <c r="AF27" s="29" t="n">
        <v>26.09</v>
      </c>
      <c r="AG27" s="29" t="n">
        <v>26.09</v>
      </c>
      <c r="AH27" s="29" t="n">
        <v>26.09</v>
      </c>
      <c r="AI27" s="29" t="n">
        <v>26.09</v>
      </c>
      <c r="AJ27" s="30">
        <f>subQ!AJ13</f>
        <v/>
      </c>
      <c r="AK27" s="29" t="n">
        <v>26.09</v>
      </c>
      <c r="AL27" s="29" t="n">
        <v>26.09</v>
      </c>
      <c r="AM27" s="29" t="n">
        <v>26.09</v>
      </c>
      <c r="AN27" s="29" t="n">
        <v>26.09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0.27</v>
      </c>
      <c r="AD28" s="24" t="n">
        <v>0.27</v>
      </c>
      <c r="AE28" s="25">
        <f>IFERROR(subQ!AE15/subQ!AE14,"")</f>
        <v/>
      </c>
      <c r="AF28" s="24" t="n">
        <v>0.27</v>
      </c>
      <c r="AG28" s="24" t="n">
        <v>0.269994</v>
      </c>
      <c r="AH28" s="24" t="n">
        <v>0.269998</v>
      </c>
      <c r="AI28" s="24" t="n">
        <v>0.270002</v>
      </c>
      <c r="AJ28" s="25">
        <f>IFERROR(subQ!AJ15/subQ!AJ14,"")</f>
        <v/>
      </c>
      <c r="AK28" s="24" t="n">
        <v>0.269995</v>
      </c>
      <c r="AL28" s="24" t="n">
        <v>0.270003</v>
      </c>
      <c r="AM28" s="24" t="n">
        <v>0.269996</v>
      </c>
      <c r="AN28" s="24" t="n">
        <v>0.269994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drv:감가상각비</t>
        </is>
      </c>
      <c r="B31" s="2" t="inlineStr">
        <is>
          <t>yoy</t>
        </is>
      </c>
      <c r="C31" t="inlineStr">
        <is>
          <t>감가상각비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24" t="n">
        <v>-1.522668</v>
      </c>
      <c r="AD31" s="24" t="n">
        <v>-0.759791</v>
      </c>
      <c r="AE31" s="25" t="n"/>
      <c r="AF31" s="24" t="n">
        <v>-0.009724999999999999</v>
      </c>
      <c r="AG31" s="24" t="n">
        <v>0.009925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drv:EBITDA</t>
        </is>
      </c>
      <c r="B32" s="2" t="inlineStr">
        <is>
          <t>yoy</t>
        </is>
      </c>
      <c r="C32" t="inlineStr">
        <is>
          <t>EBITDA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24" t="n">
        <v>-4.374832</v>
      </c>
      <c r="AD32" s="24" t="n">
        <v>-0.560745</v>
      </c>
      <c r="AE32" s="25" t="n"/>
      <c r="AF32" s="24" t="n">
        <v>0.120168</v>
      </c>
      <c r="AG32" s="24" t="n">
        <v>-0.021905</v>
      </c>
      <c r="AH32" s="24" t="n">
        <v>0.000634</v>
      </c>
      <c r="AI32" s="24" t="n">
        <v>0.000623</v>
      </c>
      <c r="AJ32" s="25" t="n"/>
      <c r="AK32" s="24" t="n">
        <v>0.000638</v>
      </c>
      <c r="AL32" s="24" t="n">
        <v>0.000672</v>
      </c>
      <c r="AM32" s="24" t="n">
        <v>0.000319</v>
      </c>
      <c r="AN32" s="24" t="n">
        <v>0.000317</v>
      </c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IFERROR(subQ!E23+subQ!G16-subQ!G23,"")</f>
        <v/>
      </c>
      <c r="H34" s="26">
        <f>IFERROR(subQ!G23+subQ!H16-subQ!H23,"")</f>
        <v/>
      </c>
      <c r="I34" s="26">
        <f>IFERROR(subQ!H23+subQ!I16-subQ!I23,"")</f>
        <v/>
      </c>
      <c r="J34" s="26">
        <f>IFERROR(subQ!I23+subQ!J16-subQ!J23,"")</f>
        <v/>
      </c>
      <c r="K34" s="27" t="n"/>
      <c r="L34" s="26">
        <f>IFERROR(subQ!J23+subQ!L16-subQ!L23,"")</f>
        <v/>
      </c>
      <c r="M34" s="26">
        <f>IFERROR(subQ!L23+subQ!M16-subQ!M23,"")</f>
        <v/>
      </c>
      <c r="N34" s="26">
        <f>IFERROR(subQ!M23+subQ!N16-subQ!N23,"")</f>
        <v/>
      </c>
      <c r="O34" s="26">
        <f>IFERROR(subQ!N23+subQ!O16-subQ!O23,"")</f>
        <v/>
      </c>
      <c r="P34" s="27" t="n"/>
      <c r="Q34" s="26">
        <f>IFERROR(subQ!O23+subQ!Q16-subQ!Q23,"")</f>
        <v/>
      </c>
      <c r="R34" s="26">
        <f>IFERROR(subQ!Q23+subQ!R16-subQ!R23,"")</f>
        <v/>
      </c>
      <c r="S34" s="26">
        <f>IFERROR(subQ!R23+subQ!S16-subQ!S23,"")</f>
        <v/>
      </c>
      <c r="T34" s="26">
        <f>IFERROR(subQ!S23+subQ!T16-subQ!T23,"")</f>
        <v/>
      </c>
      <c r="U34" s="27" t="n"/>
      <c r="V34" s="26">
        <f>IFERROR(subQ!T23+subQ!V16-subQ!V23,"")</f>
        <v/>
      </c>
      <c r="W34" s="26">
        <f>IFERROR(subQ!V23+subQ!W16-subQ!W23,"")</f>
        <v/>
      </c>
      <c r="X34" s="26">
        <f>IFERROR(subQ!W23+subQ!X16-subQ!X23,"")</f>
        <v/>
      </c>
      <c r="Y34" s="26">
        <f>IFERROR(subQ!X23+subQ!Y16-subQ!Y23,"")</f>
        <v/>
      </c>
      <c r="Z34" s="27" t="n"/>
      <c r="AA34" s="26">
        <f>IFERROR(subQ!Y23+subQ!AA16-subQ!AA23,"")</f>
        <v/>
      </c>
      <c r="AB34" s="28">
        <f>IFERROR(subQ!AA23+subQ!AB16-subQ!AB23,"")</f>
        <v/>
      </c>
      <c r="AC34" s="29" t="n">
        <v>0.0002</v>
      </c>
      <c r="AD34" s="29" t="n">
        <v>0</v>
      </c>
      <c r="AE34" s="30" t="n"/>
      <c r="AF34" s="29" t="n">
        <v>-0</v>
      </c>
      <c r="AG34" s="29" t="n">
        <v>1103.13</v>
      </c>
      <c r="AH34" s="29" t="n">
        <v>0</v>
      </c>
      <c r="AI34" s="29" t="n">
        <v>0</v>
      </c>
      <c r="AJ34" s="30" t="n"/>
      <c r="AK34" s="29" t="n">
        <v>0</v>
      </c>
      <c r="AL34" s="29" t="n">
        <v>1103.13</v>
      </c>
      <c r="AM34" s="29" t="n">
        <v>0.01</v>
      </c>
      <c r="AN34" s="29" t="n">
        <v>-0.01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IFERROR(subQ!E24+subQ!G17-subQ!G24,"")</f>
        <v/>
      </c>
      <c r="H35" s="26">
        <f>IFERROR(subQ!G24+subQ!H17-subQ!H24,"")</f>
        <v/>
      </c>
      <c r="I35" s="26">
        <f>IFERROR(subQ!H24+subQ!I17-subQ!I24,"")</f>
        <v/>
      </c>
      <c r="J35" s="26">
        <f>IFERROR(subQ!I24+subQ!J17-subQ!J24,"")</f>
        <v/>
      </c>
      <c r="K35" s="27" t="n"/>
      <c r="L35" s="26">
        <f>IFERROR(subQ!J24+subQ!L17-subQ!L24,"")</f>
        <v/>
      </c>
      <c r="M35" s="26">
        <f>IFERROR(subQ!L24+subQ!M17-subQ!M24,"")</f>
        <v/>
      </c>
      <c r="N35" s="26">
        <f>IFERROR(subQ!M24+subQ!N17-subQ!N24,"")</f>
        <v/>
      </c>
      <c r="O35" s="26">
        <f>IFERROR(subQ!N24+subQ!O17-subQ!O24,"")</f>
        <v/>
      </c>
      <c r="P35" s="27" t="n"/>
      <c r="Q35" s="26">
        <f>IFERROR(subQ!O24+subQ!Q17-subQ!Q24,"")</f>
        <v/>
      </c>
      <c r="R35" s="26">
        <f>IFERROR(subQ!Q24+subQ!R17-subQ!R24,"")</f>
        <v/>
      </c>
      <c r="S35" s="26">
        <f>IFERROR(subQ!R24+subQ!S17-subQ!S24,"")</f>
        <v/>
      </c>
      <c r="T35" s="26">
        <f>IFERROR(subQ!S24+subQ!T17-subQ!T24,"")</f>
        <v/>
      </c>
      <c r="U35" s="27" t="n"/>
      <c r="V35" s="26">
        <f>IFERROR(subQ!T24+subQ!V17-subQ!V24,"")</f>
        <v/>
      </c>
      <c r="W35" s="26">
        <f>IFERROR(subQ!V24+subQ!W17-subQ!W24,"")</f>
        <v/>
      </c>
      <c r="X35" s="26">
        <f>IFERROR(subQ!W24+subQ!X17-subQ!X24,"")</f>
        <v/>
      </c>
      <c r="Y35" s="26">
        <f>IFERROR(subQ!X24+subQ!Y17-subQ!Y24,"")</f>
        <v/>
      </c>
      <c r="Z35" s="27" t="n"/>
      <c r="AA35" s="26">
        <f>IFERROR(subQ!Y24+subQ!AA17-subQ!AA24,"")</f>
        <v/>
      </c>
      <c r="AB35" s="28">
        <f>IFERROR(subQ!AA24+subQ!AB17-subQ!AB24,"")</f>
        <v/>
      </c>
      <c r="AC35" s="29" t="n">
        <v>0.0002</v>
      </c>
      <c r="AD35" s="29" t="n">
        <v>0</v>
      </c>
      <c r="AE35" s="30" t="n"/>
      <c r="AF35" s="29" t="n">
        <v>-0</v>
      </c>
      <c r="AG35" s="29" t="n">
        <v>1103.13</v>
      </c>
      <c r="AH35" s="29" t="n">
        <v>0</v>
      </c>
      <c r="AI35" s="29" t="n">
        <v>0</v>
      </c>
      <c r="AJ35" s="30" t="n"/>
      <c r="AK35" s="29" t="n">
        <v>0</v>
      </c>
      <c r="AL35" s="29" t="n">
        <v>1103.13</v>
      </c>
      <c r="AM35" s="29" t="n">
        <v>0.01</v>
      </c>
      <c r="AN35" s="29" t="n">
        <v>-0.01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-0.014345</v>
      </c>
      <c r="AD37" s="24" t="n">
        <v>-0.013743</v>
      </c>
      <c r="AE37" s="25" t="n"/>
      <c r="AF37" s="24" t="n">
        <v>-0.014831</v>
      </c>
      <c r="AG37" s="24" t="n">
        <v>0.010985</v>
      </c>
      <c r="AH37" s="24" t="n">
        <v>-0.014873</v>
      </c>
      <c r="AI37" s="24" t="n">
        <v>-0.014259</v>
      </c>
      <c r="AJ37" s="25" t="n"/>
      <c r="AK37" s="24" t="n">
        <v>-0.015393</v>
      </c>
      <c r="AL37" s="24" t="n">
        <v>0.011301</v>
      </c>
      <c r="AM37" s="24" t="n">
        <v>-0.015429</v>
      </c>
      <c r="AN37" s="24" t="n">
        <v>-0.014802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0.005594</v>
      </c>
      <c r="AD38" s="24" t="n">
        <v>0.005253</v>
      </c>
      <c r="AE38" s="25" t="n"/>
      <c r="AF38" s="24" t="n">
        <v>0.005562</v>
      </c>
      <c r="AG38" s="24" t="n">
        <v>-0.004036</v>
      </c>
      <c r="AH38" s="24" t="n">
        <v>0.005547</v>
      </c>
      <c r="AI38" s="24" t="n">
        <v>0.00521</v>
      </c>
      <c r="AJ38" s="25" t="n"/>
      <c r="AK38" s="24" t="n">
        <v>0.005515</v>
      </c>
      <c r="AL38" s="24" t="n">
        <v>-0.003965</v>
      </c>
      <c r="AM38" s="24" t="n">
        <v>0.005496</v>
      </c>
      <c r="AN38" s="24" t="n">
        <v>0.005163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-0.567227</v>
      </c>
      <c r="AD44" s="24" t="n">
        <v>-0.447236</v>
      </c>
      <c r="AE44" s="25" t="n"/>
      <c r="AF44" s="24" t="n">
        <v>-0.462963</v>
      </c>
      <c r="AG44" s="24" t="n">
        <v>12.453704</v>
      </c>
      <c r="AH44" s="24" t="n">
        <v>13.087379</v>
      </c>
      <c r="AI44" s="24" t="n">
        <v>12.181818</v>
      </c>
      <c r="AJ44" s="25" t="n"/>
      <c r="AK44" s="24" t="n">
        <v>11.491379</v>
      </c>
      <c r="AL44" s="24" t="n">
        <v>-0.004129</v>
      </c>
      <c r="AM44" s="24" t="n">
        <v>-0.003446</v>
      </c>
      <c r="AN44" s="24" t="n">
        <v>-0.003448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-0.184211</v>
      </c>
      <c r="AD45" s="24" t="n">
        <v>-0.205128</v>
      </c>
      <c r="AE45" s="25" t="n"/>
      <c r="AF45" s="24" t="n">
        <v>-0.326087</v>
      </c>
      <c r="AG45" s="24" t="n">
        <v>-0.138889</v>
      </c>
      <c r="AH45" s="24" t="n">
        <v>0</v>
      </c>
      <c r="AI45" s="24" t="n">
        <v>0</v>
      </c>
      <c r="AJ45" s="25" t="n"/>
      <c r="AK45" s="24" t="n">
        <v>0</v>
      </c>
      <c r="AL45" s="24" t="n">
        <v>0</v>
      </c>
      <c r="AM45" s="24" t="n">
        <v>0</v>
      </c>
      <c r="AN45" s="24" t="n">
        <v>0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0.068022</v>
      </c>
      <c r="AD47" s="24" t="n">
        <v>0.068022</v>
      </c>
      <c r="AE47" s="25">
        <f>IFERROR(subQ!AE38/subQ!AE37,"")</f>
        <v/>
      </c>
      <c r="AF47" s="24" t="n">
        <v>0.068022</v>
      </c>
      <c r="AG47" s="24" t="n">
        <v>0.068022</v>
      </c>
      <c r="AH47" s="24" t="n">
        <v>0.068022</v>
      </c>
      <c r="AI47" s="24" t="n">
        <v>0.068022</v>
      </c>
      <c r="AJ47" s="25">
        <f>IFERROR(subQ!AJ38/subQ!AJ37,"")</f>
        <v/>
      </c>
      <c r="AK47" s="24" t="n">
        <v>0.068022</v>
      </c>
      <c r="AL47" s="24" t="n">
        <v>0.068022</v>
      </c>
      <c r="AM47" s="24" t="n">
        <v>0.068022</v>
      </c>
      <c r="AN47" s="24" t="n">
        <v>0.068022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473000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10</v>
      </c>
      <c r="E53" s="2" t="inlineStr">
        <is>
          <t>PER 밴드 하단(배) — sector_default(레퍼런스 TP_PE PB 예시 10/15/20배; 과거 PER 중위 3.7배가 캡 5~30 밖 — 턴어라운드 초기 TTM EPS 왜곡)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15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20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0.27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0.1887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0.0717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케이씨씨(연)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3668126.35</v>
      </c>
      <c r="F5" s="34" t="n">
        <v>3668126.35</v>
      </c>
      <c r="G5" s="18" t="n">
        <v>4388794.55</v>
      </c>
      <c r="H5" s="18" t="n">
        <v>4604773.49</v>
      </c>
      <c r="I5" s="18" t="n">
        <v>4303363.81</v>
      </c>
      <c r="J5" s="18" t="n">
        <v>4029782.76</v>
      </c>
      <c r="K5" s="34" t="n">
        <v>4029782.76</v>
      </c>
      <c r="L5" s="18" t="n">
        <v>4221561.5</v>
      </c>
      <c r="M5" s="18" t="n">
        <v>4296128.54</v>
      </c>
      <c r="N5" s="18" t="n">
        <v>4348879.04</v>
      </c>
      <c r="O5" s="18" t="n">
        <v>4178192.97</v>
      </c>
      <c r="P5" s="34" t="n">
        <v>4178192.97</v>
      </c>
      <c r="Q5" s="18" t="n">
        <v>4390977.84</v>
      </c>
      <c r="R5" s="18" t="n">
        <v>4398761.95</v>
      </c>
      <c r="S5" s="18" t="n">
        <v>4372544.18</v>
      </c>
      <c r="T5" s="18" t="n">
        <v>3994488.4</v>
      </c>
      <c r="U5" s="34" t="n">
        <v>3994488.4</v>
      </c>
      <c r="V5" s="18" t="n">
        <v>4495684.99</v>
      </c>
      <c r="W5" s="18" t="n">
        <v>4012252.1</v>
      </c>
      <c r="X5" s="18" t="n">
        <v>4018869.3</v>
      </c>
      <c r="Y5" s="18" t="n">
        <v>3982829.85</v>
      </c>
      <c r="Z5" s="34" t="n">
        <v>3982829.85</v>
      </c>
      <c r="AA5" s="18" t="n">
        <v>4548827.06</v>
      </c>
      <c r="AB5" s="19" t="n">
        <v>4351935.51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541200.62</v>
      </c>
      <c r="F6" s="34" t="n">
        <v>541200.62</v>
      </c>
      <c r="G6" s="18" t="n">
        <v>328395.52</v>
      </c>
      <c r="H6" s="18" t="n">
        <v>394154.02</v>
      </c>
      <c r="I6" s="18" t="n">
        <v>467291.37</v>
      </c>
      <c r="J6" s="18" t="n">
        <v>776747.67</v>
      </c>
      <c r="K6" s="34" t="n">
        <v>776747.67</v>
      </c>
      <c r="L6" s="18" t="n">
        <v>830350.62</v>
      </c>
      <c r="M6" s="18" t="n">
        <v>973610.3199999999</v>
      </c>
      <c r="N6" s="18" t="n">
        <v>1029439.41</v>
      </c>
      <c r="O6" s="18" t="n">
        <v>1045142.11</v>
      </c>
      <c r="P6" s="34" t="n">
        <v>1045142.11</v>
      </c>
      <c r="Q6" s="18" t="n">
        <v>1083647.85</v>
      </c>
      <c r="R6" s="18" t="n">
        <v>1072629.69</v>
      </c>
      <c r="S6" s="18" t="n">
        <v>1040909.62</v>
      </c>
      <c r="T6" s="18" t="n">
        <v>501329.76</v>
      </c>
      <c r="U6" s="34" t="n">
        <v>501329.76</v>
      </c>
      <c r="V6" s="18" t="n">
        <v>906545.13</v>
      </c>
      <c r="W6" s="18" t="n">
        <v>781684.86</v>
      </c>
      <c r="X6" s="18" t="n">
        <v>915207.59</v>
      </c>
      <c r="Y6" s="18" t="n">
        <v>1193612.44</v>
      </c>
      <c r="Z6" s="34" t="n">
        <v>1193612.44</v>
      </c>
      <c r="AA6" s="18" t="n">
        <v>1469494.85</v>
      </c>
      <c r="AB6" s="19" t="n">
        <v>1177380.3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604744.65</v>
      </c>
      <c r="F7" s="34" t="n">
        <v>604744.65</v>
      </c>
      <c r="G7" s="18" t="n">
        <v>1125966.99</v>
      </c>
      <c r="H7" s="18" t="n">
        <v>1207028.88</v>
      </c>
      <c r="I7" s="18" t="n">
        <v>722731.8199999999</v>
      </c>
      <c r="J7" s="18" t="n">
        <v>408423.84</v>
      </c>
      <c r="K7" s="34" t="n">
        <v>408423.84</v>
      </c>
      <c r="L7" s="18" t="n">
        <v>488875.35</v>
      </c>
      <c r="M7" s="18" t="n">
        <v>540229.59</v>
      </c>
      <c r="N7" s="18" t="n">
        <v>514967.23</v>
      </c>
      <c r="O7" s="18" t="n">
        <v>509868.88</v>
      </c>
      <c r="P7" s="34" t="n">
        <v>509868.88</v>
      </c>
      <c r="Q7" s="18" t="n">
        <v>548928.53</v>
      </c>
      <c r="R7" s="18" t="n">
        <v>436662.92</v>
      </c>
      <c r="S7" s="18" t="n">
        <v>486318.59</v>
      </c>
      <c r="T7" s="18" t="n">
        <v>510145.13</v>
      </c>
      <c r="U7" s="34" t="n">
        <v>510145.13</v>
      </c>
      <c r="V7" s="18" t="n">
        <v>531205.28</v>
      </c>
      <c r="W7" s="18" t="n">
        <v>374098.57</v>
      </c>
      <c r="X7" s="18" t="n">
        <v>216899.41</v>
      </c>
      <c r="Y7" s="18" t="n">
        <v>36838.55</v>
      </c>
      <c r="Z7" s="34" t="n">
        <v>36838.55</v>
      </c>
      <c r="AA7" s="18" t="n">
        <v>60084.28</v>
      </c>
      <c r="AB7" s="19" t="n">
        <v>25343.85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604744.65</v>
      </c>
      <c r="F8" s="34" t="n">
        <v>604744.65</v>
      </c>
      <c r="G8" s="18" t="n">
        <v>1125966.99</v>
      </c>
      <c r="H8" s="18" t="n">
        <v>1207028.88</v>
      </c>
      <c r="I8" s="18" t="n">
        <v>722731.8199999999</v>
      </c>
      <c r="J8" s="18" t="n">
        <v>408423.84</v>
      </c>
      <c r="K8" s="34" t="n">
        <v>408423.84</v>
      </c>
      <c r="L8" s="18" t="n">
        <v>488875.35</v>
      </c>
      <c r="M8" s="18" t="n">
        <v>540229.59</v>
      </c>
      <c r="N8" s="18" t="n">
        <v>514967.23</v>
      </c>
      <c r="O8" s="18" t="n">
        <v>509868.88</v>
      </c>
      <c r="P8" s="34" t="n">
        <v>509868.88</v>
      </c>
      <c r="Q8" s="18" t="n">
        <v>548928.53</v>
      </c>
      <c r="R8" s="18" t="n">
        <v>436662.92</v>
      </c>
      <c r="S8" s="18" t="n">
        <v>486318.59</v>
      </c>
      <c r="T8" s="18" t="n">
        <v>510145.13</v>
      </c>
      <c r="U8" s="34" t="n">
        <v>510145.13</v>
      </c>
      <c r="V8" s="18" t="n">
        <v>531205.28</v>
      </c>
      <c r="W8" s="18" t="n">
        <v>374098.57</v>
      </c>
      <c r="X8" s="18" t="n">
        <v>216899.41</v>
      </c>
      <c r="Y8" s="18" t="n">
        <v>36838.55</v>
      </c>
      <c r="Z8" s="34" t="n">
        <v>36838.55</v>
      </c>
      <c r="AA8" s="18" t="n">
        <v>60084.28</v>
      </c>
      <c r="AB8" s="19" t="n">
        <v>25343.85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1128138.48</v>
      </c>
      <c r="F9" s="34" t="n">
        <v>1128138.48</v>
      </c>
      <c r="G9" s="18" t="n">
        <v>1365742.85</v>
      </c>
      <c r="H9" s="18" t="n">
        <v>1337604.65</v>
      </c>
      <c r="I9" s="18" t="n">
        <v>1349237.66</v>
      </c>
      <c r="J9" s="18" t="n">
        <v>1201308.81</v>
      </c>
      <c r="K9" s="34" t="n">
        <v>1201308.81</v>
      </c>
      <c r="L9" s="18" t="n">
        <v>1251304.18</v>
      </c>
      <c r="M9" s="18" t="n">
        <v>1187458.69</v>
      </c>
      <c r="N9" s="18" t="n">
        <v>1189899.44</v>
      </c>
      <c r="O9" s="18" t="n">
        <v>1129052.84</v>
      </c>
      <c r="P9" s="34" t="n">
        <v>1129052.84</v>
      </c>
      <c r="Q9" s="18" t="n">
        <v>1262422.2</v>
      </c>
      <c r="R9" s="18" t="n">
        <v>1351795.58</v>
      </c>
      <c r="S9" s="18" t="n">
        <v>1287510.67</v>
      </c>
      <c r="T9" s="18" t="n">
        <v>1308739.71</v>
      </c>
      <c r="U9" s="34" t="n">
        <v>1308739.71</v>
      </c>
      <c r="V9" s="18" t="n">
        <v>1395653.14</v>
      </c>
      <c r="W9" s="18" t="n">
        <v>1291995.39</v>
      </c>
      <c r="X9" s="18" t="n">
        <v>1316162.42</v>
      </c>
      <c r="Y9" s="18" t="n">
        <v>1151524.42</v>
      </c>
      <c r="Z9" s="34" t="n">
        <v>1151524.42</v>
      </c>
      <c r="AA9" s="18" t="n">
        <v>1387501.97</v>
      </c>
      <c r="AB9" s="19" t="n">
        <v>1426533.08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21880.21</v>
      </c>
      <c r="F10" s="34" t="n">
        <v>21880.21</v>
      </c>
      <c r="G10" s="18" t="n">
        <v>20911.89</v>
      </c>
      <c r="H10" s="18" t="n">
        <v>26966.86</v>
      </c>
      <c r="I10" s="18" t="n">
        <v>24710.22</v>
      </c>
      <c r="J10" s="18" t="n">
        <v>16748.69</v>
      </c>
      <c r="K10" s="34" t="n">
        <v>16748.69</v>
      </c>
      <c r="L10" s="18" t="n">
        <v>17795.19</v>
      </c>
      <c r="M10" s="18" t="n">
        <v>20965.92</v>
      </c>
      <c r="N10" s="18" t="n">
        <v>16992.43</v>
      </c>
      <c r="O10" s="18" t="n">
        <v>16696.26</v>
      </c>
      <c r="P10" s="34" t="n">
        <v>16696.26</v>
      </c>
      <c r="Q10" s="18" t="n">
        <v>18973.96</v>
      </c>
      <c r="R10" s="18" t="n">
        <v>19135.57</v>
      </c>
      <c r="S10" s="18" t="n">
        <v>15662.25</v>
      </c>
      <c r="T10" s="18" t="n">
        <v>16911.15</v>
      </c>
      <c r="U10" s="34" t="n">
        <v>16911.15</v>
      </c>
      <c r="V10" s="18" t="n">
        <v>15380.8</v>
      </c>
      <c r="W10" s="18" t="n">
        <v>14394.72</v>
      </c>
      <c r="X10" s="18" t="n">
        <v>15964.33</v>
      </c>
      <c r="Y10" s="18" t="n">
        <v>20684.08</v>
      </c>
      <c r="Z10" s="34" t="n">
        <v>20684.08</v>
      </c>
      <c r="AA10" s="18" t="n">
        <v>11462.28</v>
      </c>
      <c r="AB10" s="19" t="n">
        <v>23789.06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21880.21</v>
      </c>
      <c r="F11" s="34" t="n">
        <v>21880.21</v>
      </c>
      <c r="G11" s="18" t="n">
        <v>20911.89</v>
      </c>
      <c r="H11" s="18" t="n">
        <v>26966.86</v>
      </c>
      <c r="I11" s="18" t="n">
        <v>24710.22</v>
      </c>
      <c r="J11" s="18" t="n">
        <v>16748.69</v>
      </c>
      <c r="K11" s="34" t="n">
        <v>16748.69</v>
      </c>
      <c r="L11" s="18" t="n">
        <v>17795.19</v>
      </c>
      <c r="M11" s="18" t="n">
        <v>20965.92</v>
      </c>
      <c r="N11" s="18" t="n">
        <v>16992.43</v>
      </c>
      <c r="O11" s="18" t="n">
        <v>16696.26</v>
      </c>
      <c r="P11" s="34" t="n">
        <v>16696.26</v>
      </c>
      <c r="Q11" s="18" t="n">
        <v>18973.96</v>
      </c>
      <c r="R11" s="18" t="n">
        <v>19135.57</v>
      </c>
      <c r="S11" s="18" t="n">
        <v>15662.25</v>
      </c>
      <c r="T11" s="18" t="n">
        <v>16911.15</v>
      </c>
      <c r="U11" s="34" t="n">
        <v>16911.15</v>
      </c>
      <c r="V11" s="18" t="n">
        <v>15380.8</v>
      </c>
      <c r="W11" s="18" t="n">
        <v>14394.72</v>
      </c>
      <c r="X11" s="18" t="n">
        <v>15964.33</v>
      </c>
      <c r="Y11" s="18" t="n">
        <v>20684.08</v>
      </c>
      <c r="Z11" s="34" t="n">
        <v>20684.08</v>
      </c>
      <c r="AA11" s="18" t="n">
        <v>11462.28</v>
      </c>
      <c r="AB11" s="19" t="n">
        <v>23789.06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61566.05</v>
      </c>
      <c r="F12" s="34" t="n">
        <v>61566.05</v>
      </c>
      <c r="G12" s="18" t="n">
        <v>96209.91</v>
      </c>
      <c r="H12" s="18" t="n">
        <v>68073.73</v>
      </c>
      <c r="I12" s="18" t="n">
        <v>74488.96000000001</v>
      </c>
      <c r="J12" s="18" t="n">
        <v>60506.58</v>
      </c>
      <c r="K12" s="34" t="n">
        <v>60506.58</v>
      </c>
      <c r="L12" s="18" t="n">
        <v>59181.06</v>
      </c>
      <c r="M12" s="18" t="n">
        <v>55254.5</v>
      </c>
      <c r="N12" s="18" t="n">
        <v>57264.98</v>
      </c>
      <c r="O12" s="18" t="n">
        <v>61945.71</v>
      </c>
      <c r="P12" s="34" t="n">
        <v>61945.71</v>
      </c>
      <c r="Q12" s="18" t="n">
        <v>54900.67</v>
      </c>
      <c r="R12" s="18" t="n">
        <v>50923.01</v>
      </c>
      <c r="S12" s="18" t="n">
        <v>48941.01</v>
      </c>
      <c r="T12" s="18" t="n">
        <v>67473.09</v>
      </c>
      <c r="U12" s="34" t="n">
        <v>67473.09</v>
      </c>
      <c r="V12" s="18" t="n">
        <v>55718.2</v>
      </c>
      <c r="W12" s="18" t="n">
        <v>47145.6</v>
      </c>
      <c r="X12" s="18" t="n">
        <v>58209.21</v>
      </c>
      <c r="Y12" s="18" t="n">
        <v>67889.42999999999</v>
      </c>
      <c r="Z12" s="34" t="n">
        <v>67889.42999999999</v>
      </c>
      <c r="AA12" s="18" t="n">
        <v>46702.25</v>
      </c>
      <c r="AB12" s="19" t="n">
        <v>62995.36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4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4" t="n">
        <v>3839.8</v>
      </c>
      <c r="L13" s="18" t="n">
        <v>3404.55</v>
      </c>
      <c r="M13" s="18" t="n">
        <v>5060.48</v>
      </c>
      <c r="N13" s="18" t="n">
        <v>60182.83</v>
      </c>
      <c r="O13" s="18" t="n">
        <v>32224.01</v>
      </c>
      <c r="P13" s="34" t="n">
        <v>32224.01</v>
      </c>
      <c r="Q13" s="18" t="n">
        <v>21085.95</v>
      </c>
      <c r="R13" s="18" t="n">
        <v>18838.42</v>
      </c>
      <c r="S13" s="18" t="n">
        <v>16384.87</v>
      </c>
      <c r="T13" s="18" t="n">
        <v>21694.68</v>
      </c>
      <c r="U13" s="34" t="n">
        <v>21694.68</v>
      </c>
      <c r="V13" s="18" t="n">
        <v>3308.78</v>
      </c>
      <c r="W13" s="18" t="n">
        <v>2839.46</v>
      </c>
      <c r="X13" s="18" t="n">
        <v>1445.52</v>
      </c>
      <c r="Y13" s="18" t="n">
        <v>96.7</v>
      </c>
      <c r="Z13" s="34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1131.35</v>
      </c>
      <c r="F14" s="34" t="n">
        <v>1131.35</v>
      </c>
      <c r="G14" s="18" t="n">
        <v>1694</v>
      </c>
      <c r="H14" s="18" t="n">
        <v>1435.97</v>
      </c>
      <c r="I14" s="18" t="n">
        <v>2525.43</v>
      </c>
      <c r="J14" s="18" t="n">
        <v>2855.83</v>
      </c>
      <c r="K14" s="34" t="n">
        <v>2855.83</v>
      </c>
      <c r="L14" s="18" t="n">
        <v>2618.99</v>
      </c>
      <c r="M14" s="18" t="n">
        <v>1256.31</v>
      </c>
      <c r="N14" s="18" t="n">
        <v>858.08</v>
      </c>
      <c r="O14" s="18" t="n">
        <v>959.7</v>
      </c>
      <c r="P14" s="34" t="n">
        <v>959.7</v>
      </c>
      <c r="Q14" s="18" t="n">
        <v>1147.54</v>
      </c>
      <c r="R14" s="18" t="n">
        <v>1253.98</v>
      </c>
      <c r="S14" s="18" t="n">
        <v>3237.56</v>
      </c>
      <c r="T14" s="18" t="n">
        <v>1870.04</v>
      </c>
      <c r="U14" s="34" t="n">
        <v>1870.04</v>
      </c>
      <c r="V14" s="18" t="n">
        <v>1931.28</v>
      </c>
      <c r="W14" s="18" t="n">
        <v>1468.67</v>
      </c>
      <c r="X14" s="18" t="n">
        <v>2716.73</v>
      </c>
      <c r="Y14" s="18" t="n">
        <v>2882.51</v>
      </c>
      <c r="Z14" s="34" t="n">
        <v>2882.51</v>
      </c>
      <c r="AA14" s="18" t="n">
        <v>3208.47</v>
      </c>
      <c r="AB14" s="19" t="n">
        <v>1728.72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재고자산</t>
        </is>
      </c>
      <c r="E15" s="18" t="n">
        <v>1306421.99</v>
      </c>
      <c r="F15" s="34" t="n">
        <v>1306421.99</v>
      </c>
      <c r="G15" s="18" t="n">
        <v>1445238.61</v>
      </c>
      <c r="H15" s="18" t="n">
        <v>1570112.03</v>
      </c>
      <c r="I15" s="18" t="n">
        <v>1661664.18</v>
      </c>
      <c r="J15" s="18" t="n">
        <v>1576100.22</v>
      </c>
      <c r="K15" s="34" t="n">
        <v>1576100.22</v>
      </c>
      <c r="L15" s="18" t="n">
        <v>1585826.75</v>
      </c>
      <c r="M15" s="18" t="n">
        <v>1533258.66</v>
      </c>
      <c r="N15" s="18" t="n">
        <v>1473785.02</v>
      </c>
      <c r="O15" s="18" t="n">
        <v>1398999.72</v>
      </c>
      <c r="P15" s="34" t="n">
        <v>1398999.72</v>
      </c>
      <c r="Q15" s="18" t="n">
        <v>1418845.1</v>
      </c>
      <c r="R15" s="18" t="n">
        <v>1466658.35</v>
      </c>
      <c r="S15" s="18" t="n">
        <v>1489241.85</v>
      </c>
      <c r="T15" s="18" t="n">
        <v>1583235.99</v>
      </c>
      <c r="U15" s="34" t="n">
        <v>1583235.99</v>
      </c>
      <c r="V15" s="18" t="n">
        <v>1601323.19</v>
      </c>
      <c r="W15" s="18" t="n">
        <v>1513019.54</v>
      </c>
      <c r="X15" s="18" t="n">
        <v>1508228.41</v>
      </c>
      <c r="Y15" s="18" t="n">
        <v>1529985.81</v>
      </c>
      <c r="Z15" s="34" t="n">
        <v>1529985.81</v>
      </c>
      <c r="AA15" s="18" t="n">
        <v>1581739.57</v>
      </c>
      <c r="AB15" s="19" t="n">
        <v>1657916.68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9210736.85</v>
      </c>
      <c r="F16" s="34" t="n">
        <v>9210736.85</v>
      </c>
      <c r="G16" s="18" t="n">
        <v>9030509.210000001</v>
      </c>
      <c r="H16" s="18" t="n">
        <v>9328258.66</v>
      </c>
      <c r="I16" s="18" t="n">
        <v>9284742.800000001</v>
      </c>
      <c r="J16" s="18" t="n">
        <v>9088703.539999999</v>
      </c>
      <c r="K16" s="34" t="n">
        <v>9088703.539999999</v>
      </c>
      <c r="L16" s="18" t="n">
        <v>9083349.5</v>
      </c>
      <c r="M16" s="18" t="n">
        <v>9108641.73</v>
      </c>
      <c r="N16" s="18" t="n">
        <v>9061670.199999999</v>
      </c>
      <c r="O16" s="18" t="n">
        <v>9175278.109999999</v>
      </c>
      <c r="P16" s="34" t="n">
        <v>9175278.109999999</v>
      </c>
      <c r="Q16" s="18" t="n">
        <v>9712507.640000001</v>
      </c>
      <c r="R16" s="18" t="n">
        <v>9245830.18</v>
      </c>
      <c r="S16" s="18" t="n">
        <v>9130814.880000001</v>
      </c>
      <c r="T16" s="18" t="n">
        <v>9114061.74</v>
      </c>
      <c r="U16" s="34" t="n">
        <v>9114061.74</v>
      </c>
      <c r="V16" s="18" t="n">
        <v>10570485.69</v>
      </c>
      <c r="W16" s="18" t="n">
        <v>11577430.29</v>
      </c>
      <c r="X16" s="18" t="n">
        <v>12193005.84</v>
      </c>
      <c r="Y16" s="18" t="n">
        <v>12820729.55</v>
      </c>
      <c r="Z16" s="34" t="n">
        <v>12820729.55</v>
      </c>
      <c r="AA16" s="18" t="n">
        <v>13074192.69</v>
      </c>
      <c r="AB16" s="19" t="n">
        <v>16770864.27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259.74</v>
      </c>
      <c r="F17" s="34" t="n">
        <v>259.74</v>
      </c>
      <c r="G17" s="18" t="n">
        <v>326.53</v>
      </c>
      <c r="H17" s="18" t="n">
        <v>586.53</v>
      </c>
      <c r="I17" s="18" t="n">
        <v>721.46</v>
      </c>
      <c r="J17" s="18" t="n">
        <v>808.74</v>
      </c>
      <c r="K17" s="34" t="n">
        <v>808.74</v>
      </c>
      <c r="L17" s="18" t="n">
        <v>881.1900000000001</v>
      </c>
      <c r="M17" s="18" t="n">
        <v>1561.34</v>
      </c>
      <c r="N17" s="18" t="n">
        <v>1529.85</v>
      </c>
      <c r="O17" s="18" t="n">
        <v>82396.32000000001</v>
      </c>
      <c r="P17" s="34" t="n">
        <v>82396.32000000001</v>
      </c>
      <c r="Q17" s="18" t="n">
        <v>836.51</v>
      </c>
      <c r="R17" s="18" t="n">
        <v>84684.5</v>
      </c>
      <c r="S17" s="18" t="n">
        <v>82409.49000000001</v>
      </c>
      <c r="T17" s="18" t="n">
        <v>85316.87</v>
      </c>
      <c r="U17" s="34" t="n">
        <v>85316.87</v>
      </c>
      <c r="V17" s="18" t="n">
        <v>85481.52</v>
      </c>
      <c r="W17" s="18" t="n">
        <v>84950.39</v>
      </c>
      <c r="X17" s="18" t="n">
        <v>86413.25</v>
      </c>
      <c r="Y17" s="18" t="n">
        <v>49138.23</v>
      </c>
      <c r="Z17" s="34" t="n">
        <v>49138.23</v>
      </c>
      <c r="AA17" s="18" t="n">
        <v>51181.68</v>
      </c>
      <c r="AB17" s="19" t="n">
        <v>45264.69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197428.33</v>
      </c>
      <c r="F18" s="34" t="n">
        <v>197428.33</v>
      </c>
      <c r="G18" s="18" t="n">
        <v>202013.76</v>
      </c>
      <c r="H18" s="18" t="n">
        <v>200495.01</v>
      </c>
      <c r="I18" s="18" t="n">
        <v>196282.02</v>
      </c>
      <c r="J18" s="18" t="n">
        <v>240818.41</v>
      </c>
      <c r="K18" s="34" t="n">
        <v>240818.41</v>
      </c>
      <c r="L18" s="18" t="n">
        <v>238614.65</v>
      </c>
      <c r="M18" s="18" t="n">
        <v>230027.88</v>
      </c>
      <c r="N18" s="18" t="n">
        <v>222041.58</v>
      </c>
      <c r="O18" s="18" t="n">
        <v>214413.88</v>
      </c>
      <c r="P18" s="34" t="n">
        <v>214413.88</v>
      </c>
      <c r="Q18" s="18" t="n">
        <v>207668.99</v>
      </c>
      <c r="R18" s="18" t="n">
        <v>209533.77</v>
      </c>
      <c r="S18" s="18" t="n">
        <v>202607.5</v>
      </c>
      <c r="T18" s="18" t="n">
        <v>223319.9</v>
      </c>
      <c r="U18" s="34" t="n">
        <v>223319.9</v>
      </c>
      <c r="V18" s="18" t="n">
        <v>306731.19</v>
      </c>
      <c r="W18" s="18" t="n">
        <v>284897.43</v>
      </c>
      <c r="X18" s="18" t="n">
        <v>287131.79</v>
      </c>
      <c r="Y18" s="18" t="n">
        <v>308348</v>
      </c>
      <c r="Z18" s="34" t="n">
        <v>308348</v>
      </c>
      <c r="AA18" s="18" t="n">
        <v>307035.52</v>
      </c>
      <c r="AB18" s="19" t="n">
        <v>285085.76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장기금융자산</t>
        </is>
      </c>
      <c r="E19" s="18" t="n">
        <v>2675927.79</v>
      </c>
      <c r="F19" s="34" t="n">
        <v>2675927.79</v>
      </c>
      <c r="G19" s="18" t="n">
        <v>2443398.84</v>
      </c>
      <c r="H19" s="18" t="n">
        <v>2613109.23</v>
      </c>
      <c r="I19" s="18" t="n">
        <v>2249355.58</v>
      </c>
      <c r="J19" s="18" t="n">
        <v>2386440.96</v>
      </c>
      <c r="K19" s="34" t="n">
        <v>2386440.96</v>
      </c>
      <c r="L19" s="18" t="n">
        <v>2302180.22</v>
      </c>
      <c r="M19" s="18" t="n">
        <v>2374117.63</v>
      </c>
      <c r="N19" s="18" t="n">
        <v>2316001.02</v>
      </c>
      <c r="O19" s="18" t="n">
        <v>2723865.23</v>
      </c>
      <c r="P19" s="34" t="n">
        <v>2723865.23</v>
      </c>
      <c r="Q19" s="18" t="n">
        <v>3207444.38</v>
      </c>
      <c r="R19" s="18" t="n">
        <v>3047766.3</v>
      </c>
      <c r="S19" s="18" t="n">
        <v>3058083.94</v>
      </c>
      <c r="T19" s="18" t="n">
        <v>2767067.32</v>
      </c>
      <c r="U19" s="34" t="n">
        <v>2767067.32</v>
      </c>
      <c r="V19" s="18" t="n">
        <v>2735746.9</v>
      </c>
      <c r="W19" s="18" t="n">
        <v>3989058.85</v>
      </c>
      <c r="X19" s="18" t="n">
        <v>4530147.31</v>
      </c>
      <c r="Y19" s="18" t="n">
        <v>5459061.55</v>
      </c>
      <c r="Z19" s="34" t="n">
        <v>5459061.55</v>
      </c>
      <c r="AA19" s="18" t="n">
        <v>5539415.2</v>
      </c>
      <c r="AB19" s="19" t="n">
        <v>9215503.32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투자자산</t>
        </is>
      </c>
      <c r="E20" s="18" t="n">
        <v>2675927.79</v>
      </c>
      <c r="F20" s="34" t="n">
        <v>2675927.79</v>
      </c>
      <c r="G20" s="18" t="n">
        <v>2443398.84</v>
      </c>
      <c r="H20" s="18" t="n">
        <v>2613109.23</v>
      </c>
      <c r="I20" s="18" t="n">
        <v>2249355.58</v>
      </c>
      <c r="J20" s="18" t="n">
        <v>2386440.96</v>
      </c>
      <c r="K20" s="34" t="n">
        <v>2386440.96</v>
      </c>
      <c r="L20" s="18" t="n">
        <v>2302180.22</v>
      </c>
      <c r="M20" s="18" t="n">
        <v>2374117.63</v>
      </c>
      <c r="N20" s="18" t="n">
        <v>2316001.02</v>
      </c>
      <c r="O20" s="18" t="n">
        <v>2723865.23</v>
      </c>
      <c r="P20" s="34" t="n">
        <v>2723865.23</v>
      </c>
      <c r="Q20" s="18" t="n">
        <v>3207444.38</v>
      </c>
      <c r="R20" s="18" t="n">
        <v>3047766.3</v>
      </c>
      <c r="S20" s="18" t="n">
        <v>3058083.94</v>
      </c>
      <c r="T20" s="18" t="n">
        <v>2767067.32</v>
      </c>
      <c r="U20" s="34" t="n">
        <v>2767067.32</v>
      </c>
      <c r="V20" s="18" t="n">
        <v>2735746.9</v>
      </c>
      <c r="W20" s="18" t="n">
        <v>3989058.85</v>
      </c>
      <c r="X20" s="18" t="n">
        <v>4530147.31</v>
      </c>
      <c r="Y20" s="18" t="n">
        <v>5459061.55</v>
      </c>
      <c r="Z20" s="34" t="n">
        <v>5459061.55</v>
      </c>
      <c r="AA20" s="18" t="n">
        <v>5539415.2</v>
      </c>
      <c r="AB20" s="19" t="n">
        <v>9215503.32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155293.04</v>
      </c>
      <c r="F21" s="34" t="n">
        <v>155293.04</v>
      </c>
      <c r="G21" s="18" t="n">
        <v>167203.25</v>
      </c>
      <c r="H21" s="18" t="n">
        <v>169717.32</v>
      </c>
      <c r="I21" s="18" t="n">
        <v>172046.79</v>
      </c>
      <c r="J21" s="18" t="n">
        <v>190271.02</v>
      </c>
      <c r="K21" s="34" t="n">
        <v>190271.02</v>
      </c>
      <c r="L21" s="18" t="n">
        <v>191943.8</v>
      </c>
      <c r="M21" s="18" t="n">
        <v>184840.91</v>
      </c>
      <c r="N21" s="18" t="n">
        <v>181129.13</v>
      </c>
      <c r="O21" s="18" t="n">
        <v>199176.07</v>
      </c>
      <c r="P21" s="34" t="n">
        <v>199176.07</v>
      </c>
      <c r="Q21" s="18" t="n">
        <v>198360.38</v>
      </c>
      <c r="R21" s="18" t="n">
        <v>199412.75</v>
      </c>
      <c r="S21" s="18" t="n">
        <v>193494.63</v>
      </c>
      <c r="T21" s="18" t="n">
        <v>204204.04</v>
      </c>
      <c r="U21" s="34" t="n">
        <v>204204.04</v>
      </c>
      <c r="V21" s="18" t="n">
        <v>294427.13</v>
      </c>
      <c r="W21" s="18" t="n">
        <v>276520.25</v>
      </c>
      <c r="X21" s="18" t="n">
        <v>279245.8</v>
      </c>
      <c r="Y21" s="18" t="n">
        <v>288758.34</v>
      </c>
      <c r="Z21" s="34" t="n">
        <v>288758.34</v>
      </c>
      <c r="AA21" s="18" t="n">
        <v>292149.15</v>
      </c>
      <c r="AB21" s="19" t="n">
        <v>275947.71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3560280.05</v>
      </c>
      <c r="F22" s="34" t="n">
        <v>3560280.05</v>
      </c>
      <c r="G22" s="18" t="n">
        <v>3549226.8</v>
      </c>
      <c r="H22" s="18" t="n">
        <v>3572999.89</v>
      </c>
      <c r="I22" s="18" t="n">
        <v>3727136.81</v>
      </c>
      <c r="J22" s="18" t="n">
        <v>3534802.59</v>
      </c>
      <c r="K22" s="34" t="n">
        <v>3534802.59</v>
      </c>
      <c r="L22" s="18" t="n">
        <v>3515796.65</v>
      </c>
      <c r="M22" s="18" t="n">
        <v>3500252.16</v>
      </c>
      <c r="N22" s="18" t="n">
        <v>3549808.97</v>
      </c>
      <c r="O22" s="18" t="n">
        <v>3447106.24</v>
      </c>
      <c r="P22" s="34" t="n">
        <v>3447106.24</v>
      </c>
      <c r="Q22" s="18" t="n">
        <v>3461535.28</v>
      </c>
      <c r="R22" s="18" t="n">
        <v>3495441</v>
      </c>
      <c r="S22" s="18" t="n">
        <v>3411046.06</v>
      </c>
      <c r="T22" s="18" t="n">
        <v>3525478.45</v>
      </c>
      <c r="U22" s="34" t="n">
        <v>3525478.45</v>
      </c>
      <c r="V22" s="18" t="n">
        <v>4564881.1</v>
      </c>
      <c r="W22" s="18" t="n">
        <v>4461512.49</v>
      </c>
      <c r="X22" s="18" t="n">
        <v>4476937.21</v>
      </c>
      <c r="Y22" s="18" t="n">
        <v>4324028.83</v>
      </c>
      <c r="Z22" s="34" t="n">
        <v>4324028.83</v>
      </c>
      <c r="AA22" s="18" t="n">
        <v>4411588.87</v>
      </c>
      <c r="AB22" s="19" t="n">
        <v>4425416.85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1263117.79</v>
      </c>
      <c r="F23" s="34" t="n">
        <v>1263117.79</v>
      </c>
      <c r="G23" s="18" t="n">
        <v>1276050.93</v>
      </c>
      <c r="H23" s="18" t="n">
        <v>1339609.87</v>
      </c>
      <c r="I23" s="18" t="n">
        <v>1460935.47</v>
      </c>
      <c r="J23" s="18" t="n">
        <v>1296801.22</v>
      </c>
      <c r="K23" s="34" t="n">
        <v>1296801.22</v>
      </c>
      <c r="L23" s="18" t="n">
        <v>1327390.57</v>
      </c>
      <c r="M23" s="18" t="n">
        <v>1322664.88</v>
      </c>
      <c r="N23" s="18" t="n">
        <v>1336394.11</v>
      </c>
      <c r="O23" s="18" t="n">
        <v>1281859.93</v>
      </c>
      <c r="P23" s="34" t="n">
        <v>1281859.93</v>
      </c>
      <c r="Q23" s="18" t="n">
        <v>1323280.03</v>
      </c>
      <c r="R23" s="18" t="n">
        <v>1352326.37</v>
      </c>
      <c r="S23" s="18" t="n">
        <v>1286868.91</v>
      </c>
      <c r="T23" s="18" t="n">
        <v>1407258.89</v>
      </c>
      <c r="U23" s="34" t="n">
        <v>1407258.89</v>
      </c>
      <c r="V23" s="18" t="n">
        <v>1402518.7</v>
      </c>
      <c r="W23" s="18" t="n">
        <v>1300219.93</v>
      </c>
      <c r="X23" s="18" t="n">
        <v>1334060.09</v>
      </c>
      <c r="Y23" s="18" t="n">
        <v>1167570.73</v>
      </c>
      <c r="Z23" s="34" t="n">
        <v>1167570.73</v>
      </c>
      <c r="AA23" s="18" t="n">
        <v>1222381.91</v>
      </c>
      <c r="AB23" s="19" t="n">
        <v>1233703.89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619037.4</v>
      </c>
      <c r="F24" s="34" t="n">
        <v>619037.4</v>
      </c>
      <c r="G24" s="18" t="n">
        <v>625056.11</v>
      </c>
      <c r="H24" s="18" t="n">
        <v>638655.65</v>
      </c>
      <c r="I24" s="18" t="n">
        <v>639412.8</v>
      </c>
      <c r="J24" s="18" t="n">
        <v>646050.62</v>
      </c>
      <c r="K24" s="34" t="n">
        <v>646050.62</v>
      </c>
      <c r="L24" s="18" t="n">
        <v>712523.78</v>
      </c>
      <c r="M24" s="18" t="n">
        <v>705140.59</v>
      </c>
      <c r="N24" s="18" t="n">
        <v>672062.08</v>
      </c>
      <c r="O24" s="18" t="n">
        <v>705088.72</v>
      </c>
      <c r="P24" s="34" t="n">
        <v>705088.72</v>
      </c>
      <c r="Q24" s="18" t="n">
        <v>711525.24</v>
      </c>
      <c r="R24" s="18" t="n">
        <v>713069.61</v>
      </c>
      <c r="S24" s="18" t="n">
        <v>745177.05</v>
      </c>
      <c r="T24" s="18" t="n">
        <v>751490.91</v>
      </c>
      <c r="U24" s="34" t="n">
        <v>751490.91</v>
      </c>
      <c r="V24" s="18" t="n">
        <v>1047443.86</v>
      </c>
      <c r="W24" s="18" t="n">
        <v>1018521.95</v>
      </c>
      <c r="X24" s="18" t="n">
        <v>1037581.75</v>
      </c>
      <c r="Y24" s="18" t="n">
        <v>1030191.65</v>
      </c>
      <c r="Z24" s="34" t="n">
        <v>1030191.65</v>
      </c>
      <c r="AA24" s="18" t="n">
        <v>1037956.74</v>
      </c>
      <c r="AB24" s="19" t="n">
        <v>1060452.06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23929.93</v>
      </c>
      <c r="F25" s="34" t="n">
        <v>23929.93</v>
      </c>
      <c r="G25" s="18" t="n">
        <v>23905.79</v>
      </c>
      <c r="H25" s="18" t="n">
        <v>24868.88</v>
      </c>
      <c r="I25" s="18" t="n">
        <v>23007.92</v>
      </c>
      <c r="J25" s="18" t="n">
        <v>15416.6</v>
      </c>
      <c r="K25" s="34" t="n">
        <v>15416.6</v>
      </c>
      <c r="L25" s="18" t="n">
        <v>15705.26</v>
      </c>
      <c r="M25" s="18" t="n">
        <v>16203.96</v>
      </c>
      <c r="N25" s="18" t="n">
        <v>14187.87</v>
      </c>
      <c r="O25" s="18" t="n">
        <v>15738.48</v>
      </c>
      <c r="P25" s="34" t="n">
        <v>15738.48</v>
      </c>
      <c r="Q25" s="18" t="n">
        <v>16195.33</v>
      </c>
      <c r="R25" s="18" t="n">
        <v>16998.18</v>
      </c>
      <c r="S25" s="18" t="n">
        <v>15411.53</v>
      </c>
      <c r="T25" s="18" t="n">
        <v>18341.41</v>
      </c>
      <c r="U25" s="34" t="n">
        <v>18341.41</v>
      </c>
      <c r="V25" s="18" t="n">
        <v>27242.59</v>
      </c>
      <c r="W25" s="18" t="n">
        <v>27512.29</v>
      </c>
      <c r="X25" s="18" t="n">
        <v>21839.49</v>
      </c>
      <c r="Y25" s="18" t="n">
        <v>17292.09</v>
      </c>
      <c r="Z25" s="34" t="n">
        <v>17292.09</v>
      </c>
      <c r="AA25" s="18" t="n">
        <v>19309.01</v>
      </c>
      <c r="AB25" s="19" t="n">
        <v>20222.03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12878863.21</v>
      </c>
      <c r="F26" s="34" t="n">
        <v>12878863.21</v>
      </c>
      <c r="G26" s="18" t="n">
        <v>13419303.76</v>
      </c>
      <c r="H26" s="18" t="n">
        <v>13933032.15</v>
      </c>
      <c r="I26" s="18" t="n">
        <v>13588106.61</v>
      </c>
      <c r="J26" s="18" t="n">
        <v>13118486.31</v>
      </c>
      <c r="K26" s="34" t="n">
        <v>13118486.31</v>
      </c>
      <c r="L26" s="18" t="n">
        <v>13304911</v>
      </c>
      <c r="M26" s="18" t="n">
        <v>13404770.27</v>
      </c>
      <c r="N26" s="18" t="n">
        <v>13410549.24</v>
      </c>
      <c r="O26" s="18" t="n">
        <v>13353471.08</v>
      </c>
      <c r="P26" s="34" t="n">
        <v>13353471.08</v>
      </c>
      <c r="Q26" s="18" t="n">
        <v>14103485.48</v>
      </c>
      <c r="R26" s="18" t="n">
        <v>13644592.13</v>
      </c>
      <c r="S26" s="18" t="n">
        <v>13503359.05</v>
      </c>
      <c r="T26" s="18" t="n">
        <v>13108550.14</v>
      </c>
      <c r="U26" s="34" t="n">
        <v>13108550.14</v>
      </c>
      <c r="V26" s="18" t="n">
        <v>15066170.68</v>
      </c>
      <c r="W26" s="18" t="n">
        <v>15589682.39</v>
      </c>
      <c r="X26" s="18" t="n">
        <v>16211875.14</v>
      </c>
      <c r="Y26" s="18" t="n">
        <v>16803559.41</v>
      </c>
      <c r="Z26" s="34" t="n">
        <v>16803559.41</v>
      </c>
      <c r="AA26" s="18" t="n">
        <v>17623019.75</v>
      </c>
      <c r="AB26" s="19" t="n">
        <v>21122799.78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2699971.58</v>
      </c>
      <c r="F27" s="34" t="n">
        <v>2699971.58</v>
      </c>
      <c r="G27" s="18" t="n">
        <v>3077569.33</v>
      </c>
      <c r="H27" s="18" t="n">
        <v>3069456.08</v>
      </c>
      <c r="I27" s="18" t="n">
        <v>2697212.45</v>
      </c>
      <c r="J27" s="18" t="n">
        <v>2869372.54</v>
      </c>
      <c r="K27" s="34" t="n">
        <v>2869372.54</v>
      </c>
      <c r="L27" s="18" t="n">
        <v>3507062.74</v>
      </c>
      <c r="M27" s="18" t="n">
        <v>3494210.95</v>
      </c>
      <c r="N27" s="18" t="n">
        <v>3496920.84</v>
      </c>
      <c r="O27" s="18" t="n">
        <v>3836444.03</v>
      </c>
      <c r="P27" s="34" t="n">
        <v>3836444.03</v>
      </c>
      <c r="Q27" s="18" t="n">
        <v>3512623.88</v>
      </c>
      <c r="R27" s="18" t="n">
        <v>3364128.97</v>
      </c>
      <c r="S27" s="18" t="n">
        <v>3331172.5</v>
      </c>
      <c r="T27" s="18" t="n">
        <v>3230859.31</v>
      </c>
      <c r="U27" s="34" t="n">
        <v>3230859.31</v>
      </c>
      <c r="V27" s="18" t="n">
        <v>3287556.31</v>
      </c>
      <c r="W27" s="18" t="n">
        <v>3073266.1</v>
      </c>
      <c r="X27" s="18" t="n">
        <v>4085188.05</v>
      </c>
      <c r="Y27" s="18" t="n">
        <v>3982446.44</v>
      </c>
      <c r="Z27" s="34" t="n">
        <v>3982446.44</v>
      </c>
      <c r="AA27" s="18" t="n">
        <v>4426078.09</v>
      </c>
      <c r="AB27" s="19" t="n">
        <v>4755186.19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788460.41</v>
      </c>
      <c r="F28" s="34" t="n">
        <v>788460.41</v>
      </c>
      <c r="G28" s="18" t="n">
        <v>825003.23</v>
      </c>
      <c r="H28" s="18" t="n">
        <v>830156.71</v>
      </c>
      <c r="I28" s="18" t="n">
        <v>774492.34</v>
      </c>
      <c r="J28" s="18" t="n">
        <v>711299.65</v>
      </c>
      <c r="K28" s="34" t="n">
        <v>711299.65</v>
      </c>
      <c r="L28" s="18" t="n">
        <v>673641.35</v>
      </c>
      <c r="M28" s="18" t="n">
        <v>664095.61</v>
      </c>
      <c r="N28" s="18" t="n">
        <v>659567.1</v>
      </c>
      <c r="O28" s="18" t="n">
        <v>647424.6</v>
      </c>
      <c r="P28" s="34" t="n">
        <v>647424.6</v>
      </c>
      <c r="Q28" s="18" t="n">
        <v>679488.85</v>
      </c>
      <c r="R28" s="18" t="n">
        <v>797652.42</v>
      </c>
      <c r="S28" s="18" t="n">
        <v>722109.1</v>
      </c>
      <c r="T28" s="18" t="n">
        <v>770281.37</v>
      </c>
      <c r="U28" s="34" t="n">
        <v>770281.37</v>
      </c>
      <c r="V28" s="18" t="n">
        <v>726303.83</v>
      </c>
      <c r="W28" s="18" t="n">
        <v>713029.62</v>
      </c>
      <c r="X28" s="18" t="n">
        <v>670278.36</v>
      </c>
      <c r="Y28" s="18" t="n">
        <v>679464.4</v>
      </c>
      <c r="Z28" s="34" t="n">
        <v>679464.4</v>
      </c>
      <c r="AA28" s="18" t="n">
        <v>767741.09</v>
      </c>
      <c r="AB28" s="19" t="n">
        <v>880090.72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842904.95</v>
      </c>
      <c r="F29" s="34" t="n">
        <v>842904.95</v>
      </c>
      <c r="G29" s="18" t="n">
        <v>908175.7</v>
      </c>
      <c r="H29" s="18" t="n">
        <v>860033.97</v>
      </c>
      <c r="I29" s="18" t="n">
        <v>534984.79</v>
      </c>
      <c r="J29" s="18" t="n">
        <v>514339.27</v>
      </c>
      <c r="K29" s="34" t="n">
        <v>514339.27</v>
      </c>
      <c r="L29" s="18" t="n">
        <v>1029631.91</v>
      </c>
      <c r="M29" s="18" t="n">
        <v>992103.1800000001</v>
      </c>
      <c r="N29" s="18" t="n">
        <v>995063.72</v>
      </c>
      <c r="O29" s="18" t="n">
        <v>1217352.89</v>
      </c>
      <c r="P29" s="34" t="n">
        <v>1217352.89</v>
      </c>
      <c r="Q29" s="18" t="n">
        <v>1062722.71</v>
      </c>
      <c r="R29" s="18" t="n">
        <v>898223.24</v>
      </c>
      <c r="S29" s="18" t="n">
        <v>937948.96</v>
      </c>
      <c r="T29" s="18" t="n">
        <v>910081.14</v>
      </c>
      <c r="U29" s="34" t="n">
        <v>910081.14</v>
      </c>
      <c r="V29" s="18" t="n">
        <v>1008542.41</v>
      </c>
      <c r="W29" s="18" t="n">
        <v>976434.86</v>
      </c>
      <c r="X29" s="18" t="n">
        <v>995194.05</v>
      </c>
      <c r="Y29" s="18" t="n">
        <v>758686.27</v>
      </c>
      <c r="Z29" s="34" t="n">
        <v>758686.27</v>
      </c>
      <c r="AA29" s="18" t="n">
        <v>818026.47</v>
      </c>
      <c r="AB29" s="19" t="n">
        <v>872950.9300000001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189935.04</v>
      </c>
      <c r="F30" s="34" t="n">
        <v>189935.04</v>
      </c>
      <c r="G30" s="18" t="n">
        <v>190147.06</v>
      </c>
      <c r="H30" s="18" t="n">
        <v>110779.13</v>
      </c>
      <c r="I30" s="18" t="n">
        <v>11886.19</v>
      </c>
      <c r="J30" s="18" t="n">
        <v>10544.15</v>
      </c>
      <c r="K30" s="34" t="n">
        <v>10544.15</v>
      </c>
      <c r="L30" s="18" t="n">
        <v>411082.3</v>
      </c>
      <c r="M30" s="18" t="n">
        <v>450542.8</v>
      </c>
      <c r="N30" s="18" t="n">
        <v>451774.8</v>
      </c>
      <c r="O30" s="18" t="n">
        <v>553484.41</v>
      </c>
      <c r="P30" s="34" t="n">
        <v>553484.41</v>
      </c>
      <c r="Q30" s="18" t="n">
        <v>286454.99</v>
      </c>
      <c r="R30" s="18" t="n">
        <v>249607.07</v>
      </c>
      <c r="S30" s="18" t="n">
        <v>243863.35</v>
      </c>
      <c r="T30" s="18" t="n">
        <v>150080.7</v>
      </c>
      <c r="U30" s="34" t="n">
        <v>150080.7</v>
      </c>
      <c r="V30" s="18" t="n">
        <v>12465.25</v>
      </c>
      <c r="W30" s="18" t="n">
        <v>11529.4</v>
      </c>
      <c r="X30" s="18" t="n">
        <v>11918.7</v>
      </c>
      <c r="Z30" s="9" t="n"/>
      <c r="AB30" s="19" t="n">
        <v>644879.9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10505.34</v>
      </c>
      <c r="F31" s="34" t="n">
        <v>10505.34</v>
      </c>
      <c r="G31" s="18" t="n">
        <v>13853.89</v>
      </c>
      <c r="H31" s="18" t="n">
        <v>8733.299999999999</v>
      </c>
      <c r="I31" s="18" t="n">
        <v>8735.59</v>
      </c>
      <c r="J31" s="18" t="n">
        <v>7380.48</v>
      </c>
      <c r="K31" s="34" t="n">
        <v>7380.48</v>
      </c>
      <c r="L31" s="18" t="n">
        <v>8017.85</v>
      </c>
      <c r="M31" s="18" t="n">
        <v>7984.02</v>
      </c>
      <c r="N31" s="18" t="n">
        <v>13347.63</v>
      </c>
      <c r="O31" s="18" t="n">
        <v>21080.88</v>
      </c>
      <c r="P31" s="34" t="n">
        <v>21080.88</v>
      </c>
      <c r="Q31" s="18" t="n">
        <v>21292.88</v>
      </c>
      <c r="R31" s="18" t="n">
        <v>32872.3</v>
      </c>
      <c r="S31" s="18" t="n">
        <v>31000.83</v>
      </c>
      <c r="T31" s="18" t="n">
        <v>32737.48</v>
      </c>
      <c r="U31" s="34" t="n">
        <v>32737.48</v>
      </c>
      <c r="V31" s="18" t="n">
        <v>32723.05</v>
      </c>
      <c r="W31" s="18" t="n">
        <v>19599.89</v>
      </c>
      <c r="X31" s="18" t="n">
        <v>19844.55</v>
      </c>
      <c r="Y31" s="18" t="n">
        <v>14106.13</v>
      </c>
      <c r="Z31" s="34" t="n">
        <v>14106.13</v>
      </c>
      <c r="AA31" s="18" t="n">
        <v>14790.91</v>
      </c>
      <c r="AB31" s="19" t="n">
        <v>15228.3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120658.55</v>
      </c>
      <c r="F32" s="34" t="n">
        <v>120658.55</v>
      </c>
      <c r="G32" s="18" t="n">
        <v>159253.88</v>
      </c>
      <c r="H32" s="18" t="n">
        <v>166643.8</v>
      </c>
      <c r="I32" s="18" t="n">
        <v>183870.14</v>
      </c>
      <c r="J32" s="18" t="n">
        <v>167092.5</v>
      </c>
      <c r="K32" s="34" t="n">
        <v>167092.5</v>
      </c>
      <c r="L32" s="18" t="n">
        <v>126573.31</v>
      </c>
      <c r="M32" s="18" t="n">
        <v>126721.49</v>
      </c>
      <c r="N32" s="18" t="n">
        <v>137021.38</v>
      </c>
      <c r="O32" s="18" t="n">
        <v>106391.95</v>
      </c>
      <c r="P32" s="34" t="n">
        <v>106391.95</v>
      </c>
      <c r="Q32" s="18" t="n">
        <v>156529.52</v>
      </c>
      <c r="R32" s="18" t="n">
        <v>174854.86</v>
      </c>
      <c r="S32" s="18" t="n">
        <v>168093.89</v>
      </c>
      <c r="T32" s="18" t="n">
        <v>229862.8</v>
      </c>
      <c r="U32" s="34" t="n">
        <v>229862.8</v>
      </c>
      <c r="V32" s="18" t="n">
        <v>196845.68</v>
      </c>
      <c r="W32" s="18" t="n">
        <v>130606.57</v>
      </c>
      <c r="X32" s="18" t="n">
        <v>131118.9</v>
      </c>
      <c r="Y32" s="18" t="n">
        <v>156234.92</v>
      </c>
      <c r="Z32" s="34" t="n">
        <v>156234.92</v>
      </c>
      <c r="AA32" s="18" t="n">
        <v>144575</v>
      </c>
      <c r="AB32" s="19" t="n">
        <v>124744.89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4802824.76</v>
      </c>
      <c r="F33" s="34" t="n">
        <v>4802824.76</v>
      </c>
      <c r="G33" s="18" t="n">
        <v>4984102.08</v>
      </c>
      <c r="H33" s="18" t="n">
        <v>5297007.25</v>
      </c>
      <c r="I33" s="18" t="n">
        <v>5467458.2</v>
      </c>
      <c r="J33" s="18" t="n">
        <v>4697975.26</v>
      </c>
      <c r="K33" s="34" t="n">
        <v>4697975.26</v>
      </c>
      <c r="L33" s="18" t="n">
        <v>4264195.92</v>
      </c>
      <c r="M33" s="18" t="n">
        <v>4384864.75</v>
      </c>
      <c r="N33" s="18" t="n">
        <v>4416448.37</v>
      </c>
      <c r="O33" s="18" t="n">
        <v>4069497.64</v>
      </c>
      <c r="P33" s="34" t="n">
        <v>4069497.64</v>
      </c>
      <c r="Q33" s="18" t="n">
        <v>4749051.24</v>
      </c>
      <c r="R33" s="18" t="n">
        <v>5171748.58</v>
      </c>
      <c r="S33" s="18" t="n">
        <v>5060833.08</v>
      </c>
      <c r="T33" s="18" t="n">
        <v>4838375.42</v>
      </c>
      <c r="U33" s="34" t="n">
        <v>4838375.42</v>
      </c>
      <c r="V33" s="18" t="n">
        <v>5518378.16</v>
      </c>
      <c r="W33" s="18" t="n">
        <v>5447175.3</v>
      </c>
      <c r="X33" s="18" t="n">
        <v>4675940.69</v>
      </c>
      <c r="Y33" s="18" t="n">
        <v>4996627.24</v>
      </c>
      <c r="Z33" s="34" t="n">
        <v>4996627.24</v>
      </c>
      <c r="AA33" s="18" t="n">
        <v>5097197.67</v>
      </c>
      <c r="AB33" s="19" t="n">
        <v>5350869.57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2388006.27</v>
      </c>
      <c r="F34" s="34" t="n">
        <v>2388006.27</v>
      </c>
      <c r="G34" s="18" t="n">
        <v>2800149.79</v>
      </c>
      <c r="H34" s="18" t="n">
        <v>2930951.94</v>
      </c>
      <c r="I34" s="18" t="n">
        <v>3161330.06</v>
      </c>
      <c r="J34" s="18" t="n">
        <v>2888547</v>
      </c>
      <c r="K34" s="34" t="n">
        <v>2888547</v>
      </c>
      <c r="L34" s="18" t="n">
        <v>2387341.43</v>
      </c>
      <c r="M34" s="18" t="n">
        <v>2400285.65</v>
      </c>
      <c r="N34" s="18" t="n">
        <v>2464805.12</v>
      </c>
      <c r="O34" s="18" t="n">
        <v>2261570.42</v>
      </c>
      <c r="P34" s="34" t="n">
        <v>2261570.42</v>
      </c>
      <c r="Q34" s="18" t="n">
        <v>2230189.34</v>
      </c>
      <c r="R34" s="18" t="n">
        <v>2946903.09</v>
      </c>
      <c r="S34" s="18" t="n">
        <v>2836327.93</v>
      </c>
      <c r="T34" s="18" t="n">
        <v>2499421.73</v>
      </c>
      <c r="U34" s="34" t="n">
        <v>2499421.73</v>
      </c>
      <c r="V34" s="18" t="n">
        <v>2594514.91</v>
      </c>
      <c r="W34" s="18" t="n">
        <v>2480885.35</v>
      </c>
      <c r="X34" s="18" t="n">
        <v>1594349.56</v>
      </c>
      <c r="Y34" s="18" t="n">
        <v>840860.9</v>
      </c>
      <c r="Z34" s="34" t="n">
        <v>840860.9</v>
      </c>
      <c r="AA34" s="18" t="n">
        <v>844658.9300000001</v>
      </c>
      <c r="AB34" s="19" t="n">
        <v>199506.7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1168017.83</v>
      </c>
      <c r="F35" s="34" t="n">
        <v>1168017.83</v>
      </c>
      <c r="G35" s="18" t="n">
        <v>968354.8100000001</v>
      </c>
      <c r="H35" s="18" t="n">
        <v>1117873.45</v>
      </c>
      <c r="I35" s="18" t="n">
        <v>1118099.16</v>
      </c>
      <c r="J35" s="18" t="n">
        <v>798493.51</v>
      </c>
      <c r="K35" s="34" t="n">
        <v>798493.51</v>
      </c>
      <c r="L35" s="18" t="n">
        <v>798672.52</v>
      </c>
      <c r="M35" s="18" t="n">
        <v>918134.6800000001</v>
      </c>
      <c r="N35" s="18" t="n">
        <v>918321.73</v>
      </c>
      <c r="O35" s="18" t="n">
        <v>748637.26</v>
      </c>
      <c r="P35" s="34" t="n">
        <v>748637.26</v>
      </c>
      <c r="Q35" s="18" t="n">
        <v>1327304.97</v>
      </c>
      <c r="R35" s="18" t="n">
        <v>1057792.36</v>
      </c>
      <c r="S35" s="18" t="n">
        <v>1058013.45</v>
      </c>
      <c r="T35" s="18" t="n">
        <v>1307469.09</v>
      </c>
      <c r="U35" s="34" t="n">
        <v>1307469.09</v>
      </c>
      <c r="V35" s="18" t="n">
        <v>1561826.92</v>
      </c>
      <c r="W35" s="18" t="n">
        <v>1287383.69</v>
      </c>
      <c r="X35" s="18" t="n">
        <v>1287652.9</v>
      </c>
      <c r="Y35" s="18" t="n">
        <v>2097835.66</v>
      </c>
      <c r="Z35" s="34" t="n">
        <v>2097835.66</v>
      </c>
      <c r="AA35" s="18" t="n">
        <v>2167189.75</v>
      </c>
      <c r="AB35" s="19" t="n">
        <v>2151185.33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43512.69</v>
      </c>
      <c r="F36" s="34" t="n">
        <v>43512.69</v>
      </c>
      <c r="G36" s="18" t="n">
        <v>29627.88</v>
      </c>
      <c r="H36" s="18" t="n">
        <v>5566.21</v>
      </c>
      <c r="I36" s="18" t="n">
        <v>1607.17</v>
      </c>
      <c r="J36" s="18" t="n">
        <v>57445.32</v>
      </c>
      <c r="K36" s="34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Y36" s="18" t="n">
        <v>11164.39</v>
      </c>
      <c r="Z36" s="34" t="n">
        <v>11164.39</v>
      </c>
      <c r="AA36" s="18" t="n">
        <v>7518.41</v>
      </c>
      <c r="AB36" s="19" t="n">
        <v>14633.96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43512.69</v>
      </c>
      <c r="F37" s="34" t="n">
        <v>43512.69</v>
      </c>
      <c r="G37" s="18" t="n">
        <v>29627.88</v>
      </c>
      <c r="H37" s="18" t="n">
        <v>5566.21</v>
      </c>
      <c r="I37" s="18" t="n">
        <v>1607.17</v>
      </c>
      <c r="J37" s="18" t="n">
        <v>57445.32</v>
      </c>
      <c r="K37" s="34" t="n">
        <v>57445.32</v>
      </c>
      <c r="L37" s="18" t="n">
        <v>31577.61</v>
      </c>
      <c r="M37" s="18" t="n">
        <v>20696.72</v>
      </c>
      <c r="N37" s="18" t="n">
        <v>3749.29</v>
      </c>
      <c r="P37" s="9" t="n"/>
      <c r="U37" s="9" t="n"/>
      <c r="Y37" s="18" t="n">
        <v>11164.39</v>
      </c>
      <c r="Z37" s="34" t="n">
        <v>11164.39</v>
      </c>
      <c r="AA37" s="18" t="n">
        <v>7518.41</v>
      </c>
      <c r="AB37" s="19" t="n">
        <v>14633.96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429025.14</v>
      </c>
      <c r="F38" s="34" t="n">
        <v>429025.14</v>
      </c>
      <c r="G38" s="18" t="n">
        <v>434418.07</v>
      </c>
      <c r="H38" s="18" t="n">
        <v>450907.6</v>
      </c>
      <c r="I38" s="18" t="n">
        <v>478463.69</v>
      </c>
      <c r="J38" s="18" t="n">
        <v>274253.73</v>
      </c>
      <c r="K38" s="34" t="n">
        <v>274253.73</v>
      </c>
      <c r="L38" s="18" t="n">
        <v>297962.49</v>
      </c>
      <c r="M38" s="18" t="n">
        <v>293544.05</v>
      </c>
      <c r="N38" s="18" t="n">
        <v>297047.35</v>
      </c>
      <c r="O38" s="18" t="n">
        <v>356537.68</v>
      </c>
      <c r="P38" s="34" t="n">
        <v>356537.68</v>
      </c>
      <c r="Q38" s="18" t="n">
        <v>372291.58</v>
      </c>
      <c r="R38" s="18" t="n">
        <v>372888.79</v>
      </c>
      <c r="S38" s="18" t="n">
        <v>369268.19</v>
      </c>
      <c r="T38" s="18" t="n">
        <v>366277.72</v>
      </c>
      <c r="U38" s="34" t="n">
        <v>366277.72</v>
      </c>
      <c r="V38" s="18" t="n">
        <v>371287.7</v>
      </c>
      <c r="W38" s="18" t="n">
        <v>367388.72</v>
      </c>
      <c r="X38" s="18" t="n">
        <v>383162.46</v>
      </c>
      <c r="Y38" s="18" t="n">
        <v>349309.9</v>
      </c>
      <c r="Z38" s="34" t="n">
        <v>349309.9</v>
      </c>
      <c r="AA38" s="18" t="n">
        <v>367217.75</v>
      </c>
      <c r="AB38" s="19" t="n">
        <v>373999.49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16886.93</v>
      </c>
      <c r="F39" s="34" t="n">
        <v>16886.93</v>
      </c>
      <c r="G39" s="18" t="n">
        <v>17237.78</v>
      </c>
      <c r="H39" s="18" t="n">
        <v>17616.08</v>
      </c>
      <c r="I39" s="18" t="n">
        <v>19202.98</v>
      </c>
      <c r="J39" s="18" t="n">
        <v>14527.3</v>
      </c>
      <c r="K39" s="34" t="n">
        <v>14527.3</v>
      </c>
      <c r="L39" s="18" t="n">
        <v>15566.4</v>
      </c>
      <c r="M39" s="18" t="n">
        <v>26897.75</v>
      </c>
      <c r="N39" s="18" t="n">
        <v>20150.73</v>
      </c>
      <c r="O39" s="18" t="n">
        <v>21640.37</v>
      </c>
      <c r="P39" s="34" t="n">
        <v>21640.37</v>
      </c>
      <c r="Q39" s="18" t="n">
        <v>22140.19</v>
      </c>
      <c r="R39" s="18" t="n">
        <v>22358.91</v>
      </c>
      <c r="S39" s="18" t="n">
        <v>22724.52</v>
      </c>
      <c r="T39" s="18" t="n">
        <v>24331.4</v>
      </c>
      <c r="U39" s="34" t="n">
        <v>24331.4</v>
      </c>
      <c r="V39" s="18" t="n">
        <v>25673.97</v>
      </c>
      <c r="W39" s="18" t="n">
        <v>23374.57</v>
      </c>
      <c r="X39" s="18" t="n">
        <v>23857.48</v>
      </c>
      <c r="Y39" s="18" t="n">
        <v>24880.68</v>
      </c>
      <c r="Z39" s="34" t="n">
        <v>24880.68</v>
      </c>
      <c r="AA39" s="18" t="n">
        <v>26077.86</v>
      </c>
      <c r="AB39" s="19" t="n">
        <v>25560.83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587271.9300000001</v>
      </c>
      <c r="F40" s="34" t="n">
        <v>587271.9300000001</v>
      </c>
      <c r="G40" s="18" t="n">
        <v>554089.62</v>
      </c>
      <c r="H40" s="18" t="n">
        <v>595406.37</v>
      </c>
      <c r="I40" s="18" t="n">
        <v>499683.99</v>
      </c>
      <c r="J40" s="18" t="n">
        <v>448431.11</v>
      </c>
      <c r="K40" s="34" t="n">
        <v>448431.11</v>
      </c>
      <c r="L40" s="18" t="n">
        <v>487002.07</v>
      </c>
      <c r="M40" s="18" t="n">
        <v>504457.57</v>
      </c>
      <c r="N40" s="18" t="n">
        <v>507454.11</v>
      </c>
      <c r="O40" s="18" t="n">
        <v>497063.26</v>
      </c>
      <c r="P40" s="34" t="n">
        <v>497063.26</v>
      </c>
      <c r="Q40" s="18" t="n">
        <v>601509.36</v>
      </c>
      <c r="R40" s="18" t="n">
        <v>580081.85</v>
      </c>
      <c r="S40" s="18" t="n">
        <v>583884.87</v>
      </c>
      <c r="T40" s="18" t="n">
        <v>430851.84</v>
      </c>
      <c r="U40" s="34" t="n">
        <v>430851.84</v>
      </c>
      <c r="V40" s="18" t="n">
        <v>737437.77</v>
      </c>
      <c r="W40" s="18" t="n">
        <v>1081628.76</v>
      </c>
      <c r="X40" s="18" t="n">
        <v>1178925.34</v>
      </c>
      <c r="Y40" s="18" t="n">
        <v>1410256.4</v>
      </c>
      <c r="Z40" s="34" t="n">
        <v>1410256.4</v>
      </c>
      <c r="AA40" s="18" t="n">
        <v>1458153.07</v>
      </c>
      <c r="AB40" s="19" t="n">
        <v>2384318.56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7502796.34</v>
      </c>
      <c r="F41" s="34" t="n">
        <v>7502796.34</v>
      </c>
      <c r="G41" s="18" t="n">
        <v>8061671.41</v>
      </c>
      <c r="H41" s="18" t="n">
        <v>8366463.33</v>
      </c>
      <c r="I41" s="18" t="n">
        <v>8164670.65</v>
      </c>
      <c r="J41" s="18" t="n">
        <v>7567347.8</v>
      </c>
      <c r="K41" s="34" t="n">
        <v>7567347.8</v>
      </c>
      <c r="L41" s="18" t="n">
        <v>7771258.66</v>
      </c>
      <c r="M41" s="18" t="n">
        <v>7879075.7</v>
      </c>
      <c r="N41" s="18" t="n">
        <v>7913369.21</v>
      </c>
      <c r="O41" s="18" t="n">
        <v>7905941.67</v>
      </c>
      <c r="P41" s="34" t="n">
        <v>7905941.67</v>
      </c>
      <c r="Q41" s="18" t="n">
        <v>8261675.12</v>
      </c>
      <c r="R41" s="18" t="n">
        <v>8535877.550000001</v>
      </c>
      <c r="S41" s="18" t="n">
        <v>8392005.58</v>
      </c>
      <c r="T41" s="18" t="n">
        <v>8069234.74</v>
      </c>
      <c r="U41" s="34" t="n">
        <v>8069234.74</v>
      </c>
      <c r="V41" s="18" t="n">
        <v>8805934.470000001</v>
      </c>
      <c r="W41" s="18" t="n">
        <v>8520441.4</v>
      </c>
      <c r="X41" s="18" t="n">
        <v>8761128.74</v>
      </c>
      <c r="Y41" s="18" t="n">
        <v>8979073.67</v>
      </c>
      <c r="Z41" s="34" t="n">
        <v>8979073.67</v>
      </c>
      <c r="AA41" s="18" t="n">
        <v>9523275.76</v>
      </c>
      <c r="AB41" s="19" t="n">
        <v>10106055.76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5035301.22</v>
      </c>
      <c r="F42" s="34" t="n">
        <v>5035301.22</v>
      </c>
      <c r="G42" s="18" t="n">
        <v>4970965.35</v>
      </c>
      <c r="H42" s="18" t="n">
        <v>5160875.91</v>
      </c>
      <c r="I42" s="18" t="n">
        <v>4993943.87</v>
      </c>
      <c r="J42" s="18" t="n">
        <v>5117785.07</v>
      </c>
      <c r="K42" s="34" t="n">
        <v>5117785.07</v>
      </c>
      <c r="L42" s="18" t="n">
        <v>5119406.84</v>
      </c>
      <c r="M42" s="18" t="n">
        <v>5156838.04</v>
      </c>
      <c r="N42" s="18" t="n">
        <v>5179538.02</v>
      </c>
      <c r="O42" s="18" t="n">
        <v>5177363.19</v>
      </c>
      <c r="P42" s="34" t="n">
        <v>5177363.19</v>
      </c>
      <c r="Q42" s="18" t="n">
        <v>5605468.88</v>
      </c>
      <c r="R42" s="18" t="n">
        <v>5108714.58</v>
      </c>
      <c r="S42" s="18" t="n">
        <v>5111353.47</v>
      </c>
      <c r="T42" s="18" t="n">
        <v>5039315.41</v>
      </c>
      <c r="U42" s="34" t="n">
        <v>5039315.41</v>
      </c>
      <c r="V42" s="18" t="n">
        <v>6260236.21</v>
      </c>
      <c r="W42" s="18" t="n">
        <v>7069240.99</v>
      </c>
      <c r="X42" s="18" t="n">
        <v>7450746.4</v>
      </c>
      <c r="Y42" s="18" t="n">
        <v>7824485.73</v>
      </c>
      <c r="Z42" s="34" t="n">
        <v>7824485.73</v>
      </c>
      <c r="AA42" s="18" t="n">
        <v>8099743.99</v>
      </c>
      <c r="AB42" s="19" t="n">
        <v>11016744.02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48084.66</v>
      </c>
      <c r="F43" s="34" t="n">
        <v>48084.66</v>
      </c>
      <c r="G43" s="18" t="n">
        <v>48084.66</v>
      </c>
      <c r="H43" s="18" t="n">
        <v>48084.66</v>
      </c>
      <c r="I43" s="18" t="n">
        <v>48084.66</v>
      </c>
      <c r="J43" s="18" t="n">
        <v>48084.66</v>
      </c>
      <c r="K43" s="34" t="n">
        <v>48084.66</v>
      </c>
      <c r="L43" s="18" t="n">
        <v>48084.66</v>
      </c>
      <c r="M43" s="18" t="n">
        <v>48084.66</v>
      </c>
      <c r="N43" s="18" t="n">
        <v>48084.66</v>
      </c>
      <c r="O43" s="18" t="n">
        <v>48084.66</v>
      </c>
      <c r="P43" s="34" t="n">
        <v>48084.66</v>
      </c>
      <c r="Q43" s="18" t="n">
        <v>48084.66</v>
      </c>
      <c r="R43" s="18" t="n">
        <v>48084.66</v>
      </c>
      <c r="S43" s="18" t="n">
        <v>48084.66</v>
      </c>
      <c r="T43" s="18" t="n">
        <v>48084.66</v>
      </c>
      <c r="U43" s="34" t="n">
        <v>48084.66</v>
      </c>
      <c r="V43" s="18" t="n">
        <v>48084.66</v>
      </c>
      <c r="W43" s="18" t="n">
        <v>48084.66</v>
      </c>
      <c r="X43" s="18" t="n">
        <v>48084.66</v>
      </c>
      <c r="Y43" s="18" t="n">
        <v>48084.66</v>
      </c>
      <c r="Z43" s="34" t="n">
        <v>48084.66</v>
      </c>
      <c r="AA43" s="18" t="n">
        <v>48084.66</v>
      </c>
      <c r="AB43" s="19" t="n">
        <v>48084.66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552912.6</v>
      </c>
      <c r="F44" s="34" t="n">
        <v>552912.6</v>
      </c>
      <c r="G44" s="18" t="n">
        <v>552912.6</v>
      </c>
      <c r="H44" s="18" t="n">
        <v>552912.6</v>
      </c>
      <c r="I44" s="18" t="n">
        <v>552912.6</v>
      </c>
      <c r="J44" s="18" t="n">
        <v>552912.6</v>
      </c>
      <c r="K44" s="34" t="n">
        <v>552912.6</v>
      </c>
      <c r="L44" s="18" t="n">
        <v>552912.6</v>
      </c>
      <c r="M44" s="18" t="n">
        <v>552912.6</v>
      </c>
      <c r="N44" s="18" t="n">
        <v>552912.6</v>
      </c>
      <c r="O44" s="18" t="n">
        <v>552912.6</v>
      </c>
      <c r="P44" s="34" t="n">
        <v>552912.6</v>
      </c>
      <c r="Q44" s="18" t="n">
        <v>552912.6</v>
      </c>
      <c r="R44" s="18" t="n">
        <v>349758.89</v>
      </c>
      <c r="S44" s="18" t="n">
        <v>349758.89</v>
      </c>
      <c r="T44" s="18" t="n">
        <v>349758.89</v>
      </c>
      <c r="U44" s="34" t="n">
        <v>349758.89</v>
      </c>
      <c r="V44" s="18" t="n">
        <v>349758.89</v>
      </c>
      <c r="W44" s="18" t="n">
        <v>349758.89</v>
      </c>
      <c r="X44" s="18" t="n">
        <v>349758.89</v>
      </c>
      <c r="Y44" s="18" t="n">
        <v>349758.89</v>
      </c>
      <c r="Z44" s="34" t="n">
        <v>349758.89</v>
      </c>
      <c r="AA44" s="18" t="n">
        <v>313103.99</v>
      </c>
      <c r="AB44" s="19" t="n">
        <v>313103.99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-204952.84</v>
      </c>
      <c r="F45" s="34" t="n">
        <v>-204952.84</v>
      </c>
      <c r="G45" s="18" t="n">
        <v>-286379.5</v>
      </c>
      <c r="H45" s="18" t="n">
        <v>-304846.77</v>
      </c>
      <c r="I45" s="18" t="n">
        <v>-304846.77</v>
      </c>
      <c r="J45" s="18" t="n">
        <v>-304846.77</v>
      </c>
      <c r="K45" s="34" t="n">
        <v>-304846.77</v>
      </c>
      <c r="L45" s="18" t="n">
        <v>-304846.77</v>
      </c>
      <c r="M45" s="18" t="n">
        <v>-304846.77</v>
      </c>
      <c r="N45" s="18" t="n">
        <v>-304846.77</v>
      </c>
      <c r="O45" s="18" t="n">
        <v>-304846.77</v>
      </c>
      <c r="P45" s="34" t="n">
        <v>-304846.77</v>
      </c>
      <c r="Q45" s="18" t="n">
        <v>-304846.77</v>
      </c>
      <c r="R45" s="18" t="n">
        <v>-504350.31</v>
      </c>
      <c r="S45" s="18" t="n">
        <v>-504350.31</v>
      </c>
      <c r="T45" s="18" t="n">
        <v>-504350.31</v>
      </c>
      <c r="U45" s="34" t="n">
        <v>-504350.31</v>
      </c>
      <c r="V45" s="18" t="n">
        <v>-504350.31</v>
      </c>
      <c r="W45" s="18" t="n">
        <v>-504350.31</v>
      </c>
      <c r="X45" s="18" t="n">
        <v>-504350.31</v>
      </c>
      <c r="Y45" s="18" t="n">
        <v>-504350.31</v>
      </c>
      <c r="Z45" s="34" t="n">
        <v>-504350.31</v>
      </c>
      <c r="AA45" s="18" t="n">
        <v>-504350.31</v>
      </c>
      <c r="AB45" s="19" t="n">
        <v>-445944.44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-39155.72</v>
      </c>
      <c r="F46" s="34" t="n">
        <v>-39155.72</v>
      </c>
      <c r="G46" s="18" t="n">
        <v>17601.15</v>
      </c>
      <c r="H46" s="18" t="n">
        <v>56623.62</v>
      </c>
      <c r="I46" s="18" t="n">
        <v>164890.87</v>
      </c>
      <c r="J46" s="18" t="n">
        <v>23231.82</v>
      </c>
      <c r="K46" s="34" t="n">
        <v>23231.82</v>
      </c>
      <c r="L46" s="18" t="n">
        <v>68771.61</v>
      </c>
      <c r="M46" s="18" t="n">
        <v>15208.9</v>
      </c>
      <c r="N46" s="18" t="n">
        <v>-1701.23</v>
      </c>
      <c r="O46" s="18" t="n">
        <v>-21227.45</v>
      </c>
      <c r="P46" s="34" t="n">
        <v>-21227.45</v>
      </c>
      <c r="Q46" s="18" t="n">
        <v>-12456.69</v>
      </c>
      <c r="R46" s="18" t="n">
        <v>-73685.64999999999</v>
      </c>
      <c r="S46" s="18" t="n">
        <v>-21581.85</v>
      </c>
      <c r="T46" s="18" t="n">
        <v>-20214.98</v>
      </c>
      <c r="U46" s="34" t="n">
        <v>-20214.98</v>
      </c>
      <c r="V46" s="18" t="n">
        <v>995115.73</v>
      </c>
      <c r="W46" s="18" t="n">
        <v>910874.52</v>
      </c>
      <c r="X46" s="18" t="n">
        <v>971446.89</v>
      </c>
      <c r="Y46" s="18" t="n">
        <v>1004614.38</v>
      </c>
      <c r="Z46" s="34" t="n">
        <v>1004614.38</v>
      </c>
      <c r="AA46" s="18" t="n">
        <v>1165819.05</v>
      </c>
      <c r="AB46" s="19" t="n">
        <v>1243695.19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4678412.51</v>
      </c>
      <c r="F47" s="34" t="n">
        <v>4678412.51</v>
      </c>
      <c r="G47" s="18" t="n">
        <v>4638746.44</v>
      </c>
      <c r="H47" s="18" t="n">
        <v>4808101.8</v>
      </c>
      <c r="I47" s="18" t="n">
        <v>4532902.51</v>
      </c>
      <c r="J47" s="18" t="n">
        <v>4798402.76</v>
      </c>
      <c r="K47" s="34" t="n">
        <v>4798402.76</v>
      </c>
      <c r="L47" s="18" t="n">
        <v>4754484.73</v>
      </c>
      <c r="M47" s="18" t="n">
        <v>4845478.65</v>
      </c>
      <c r="N47" s="18" t="n">
        <v>4885088.76</v>
      </c>
      <c r="O47" s="18" t="n">
        <v>4902440.15</v>
      </c>
      <c r="P47" s="34" t="n">
        <v>4902440.15</v>
      </c>
      <c r="Q47" s="18" t="n">
        <v>5321775.08</v>
      </c>
      <c r="R47" s="18" t="n">
        <v>5288906.99</v>
      </c>
      <c r="S47" s="18" t="n">
        <v>5239442.08</v>
      </c>
      <c r="T47" s="18" t="n">
        <v>5166037.15</v>
      </c>
      <c r="U47" s="34" t="n">
        <v>5166037.15</v>
      </c>
      <c r="V47" s="18" t="n">
        <v>5371627.25</v>
      </c>
      <c r="W47" s="18" t="n">
        <v>6264873.24</v>
      </c>
      <c r="X47" s="18" t="n">
        <v>6585806.27</v>
      </c>
      <c r="Y47" s="18" t="n">
        <v>6926378.11</v>
      </c>
      <c r="Z47" s="34" t="n">
        <v>6926378.11</v>
      </c>
      <c r="AA47" s="18" t="n">
        <v>7077086.59</v>
      </c>
      <c r="AB47" s="19" t="n">
        <v>9857804.609999999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340765.65</v>
      </c>
      <c r="F48" s="34" t="n">
        <v>340765.65</v>
      </c>
      <c r="G48" s="18" t="n">
        <v>386667</v>
      </c>
      <c r="H48" s="18" t="n">
        <v>405692.9</v>
      </c>
      <c r="I48" s="18" t="n">
        <v>429492.09</v>
      </c>
      <c r="J48" s="18" t="n">
        <v>433353.43</v>
      </c>
      <c r="K48" s="34" t="n">
        <v>433353.43</v>
      </c>
      <c r="L48" s="18" t="n">
        <v>414245.5</v>
      </c>
      <c r="M48" s="18" t="n">
        <v>368856.52</v>
      </c>
      <c r="N48" s="18" t="n">
        <v>317642.01</v>
      </c>
      <c r="O48" s="18" t="n">
        <v>270166.21</v>
      </c>
      <c r="P48" s="34" t="n">
        <v>270166.21</v>
      </c>
      <c r="Q48" s="18" t="n">
        <v>236341.47</v>
      </c>
      <c r="R48" s="18" t="n">
        <v>0</v>
      </c>
      <c r="S48" s="18" t="n">
        <v>0</v>
      </c>
      <c r="U48" s="9" t="n"/>
      <c r="V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5376066.87</v>
      </c>
      <c r="F49" s="34" t="n">
        <v>5376066.87</v>
      </c>
      <c r="G49" s="18" t="n">
        <v>5357632.35</v>
      </c>
      <c r="H49" s="18" t="n">
        <v>5566568.82</v>
      </c>
      <c r="I49" s="18" t="n">
        <v>5423435.96</v>
      </c>
      <c r="J49" s="18" t="n">
        <v>5551138.51</v>
      </c>
      <c r="K49" s="34" t="n">
        <v>5551138.51</v>
      </c>
      <c r="L49" s="18" t="n">
        <v>5533652.34</v>
      </c>
      <c r="M49" s="18" t="n">
        <v>5525694.56</v>
      </c>
      <c r="N49" s="18" t="n">
        <v>5497180.04</v>
      </c>
      <c r="O49" s="18" t="n">
        <v>5447529.41</v>
      </c>
      <c r="P49" s="34" t="n">
        <v>5447529.41</v>
      </c>
      <c r="Q49" s="18" t="n">
        <v>5841810.36</v>
      </c>
      <c r="R49" s="18" t="n">
        <v>5108714.58</v>
      </c>
      <c r="S49" s="18" t="n">
        <v>5111353.47</v>
      </c>
      <c r="T49" s="18" t="n">
        <v>5039315.41</v>
      </c>
      <c r="U49" s="34" t="n">
        <v>5039315.41</v>
      </c>
      <c r="V49" s="18" t="n">
        <v>6260236.21</v>
      </c>
      <c r="W49" s="18" t="n">
        <v>7069240.99</v>
      </c>
      <c r="X49" s="18" t="n">
        <v>7450746.4</v>
      </c>
      <c r="Y49" s="18" t="n">
        <v>7824485.73</v>
      </c>
      <c r="Z49" s="34" t="n">
        <v>7824485.73</v>
      </c>
      <c r="AA49" s="18" t="n">
        <v>8099743.99</v>
      </c>
      <c r="AB49" s="19" t="n">
        <v>11016744.02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12878863.21</v>
      </c>
      <c r="F50" s="34" t="n">
        <v>12878863.21</v>
      </c>
      <c r="G50" s="18" t="n">
        <v>13419303.76</v>
      </c>
      <c r="H50" s="18" t="n">
        <v>13933032.15</v>
      </c>
      <c r="I50" s="18" t="n">
        <v>13588106.61</v>
      </c>
      <c r="J50" s="18" t="n">
        <v>13118486.31</v>
      </c>
      <c r="K50" s="34" t="n">
        <v>13118486.31</v>
      </c>
      <c r="L50" s="18" t="n">
        <v>13304911</v>
      </c>
      <c r="M50" s="18" t="n">
        <v>13404770.27</v>
      </c>
      <c r="N50" s="18" t="n">
        <v>13410549.24</v>
      </c>
      <c r="O50" s="18" t="n">
        <v>13353471.08</v>
      </c>
      <c r="P50" s="34" t="n">
        <v>13353471.08</v>
      </c>
      <c r="Q50" s="18" t="n">
        <v>14103485.48</v>
      </c>
      <c r="R50" s="18" t="n">
        <v>13644592.13</v>
      </c>
      <c r="S50" s="18" t="n">
        <v>13503359.05</v>
      </c>
      <c r="T50" s="18" t="n">
        <v>13108550.14</v>
      </c>
      <c r="U50" s="34" t="n">
        <v>13108550.14</v>
      </c>
      <c r="V50" s="18" t="n">
        <v>15066170.68</v>
      </c>
      <c r="W50" s="18" t="n">
        <v>15589682.39</v>
      </c>
      <c r="X50" s="18" t="n">
        <v>16211875.14</v>
      </c>
      <c r="Y50" s="18" t="n">
        <v>16803559.41</v>
      </c>
      <c r="Z50" s="34" t="n">
        <v>16803559.41</v>
      </c>
      <c r="AA50" s="18" t="n">
        <v>17623019.75</v>
      </c>
      <c r="AB50" s="19" t="n">
        <v>21122799.78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4588864.09</v>
      </c>
      <c r="F51" s="34" t="n">
        <v>4588864.09</v>
      </c>
      <c r="G51" s="18" t="n">
        <v>5066717.41</v>
      </c>
      <c r="H51" s="18" t="n">
        <v>5369417</v>
      </c>
      <c r="I51" s="18" t="n">
        <v>5176146.9</v>
      </c>
      <c r="J51" s="18" t="n">
        <v>4881670.15</v>
      </c>
      <c r="K51" s="34" t="n">
        <v>4881670.15</v>
      </c>
      <c r="L51" s="18" t="n">
        <v>5096574.55</v>
      </c>
      <c r="M51" s="18" t="n">
        <v>5280827.92</v>
      </c>
      <c r="N51" s="18" t="n">
        <v>5349823.65</v>
      </c>
      <c r="O51" s="18" t="n">
        <v>5150850.18</v>
      </c>
      <c r="P51" s="34" t="n">
        <v>5150850.18</v>
      </c>
      <c r="Q51" s="18" t="n">
        <v>5276565.49</v>
      </c>
      <c r="R51" s="18" t="n">
        <v>5592274.24</v>
      </c>
      <c r="S51" s="18" t="n">
        <v>5516006.89</v>
      </c>
      <c r="T51" s="18" t="n">
        <v>5186962.65</v>
      </c>
      <c r="U51" s="34" t="n">
        <v>5186962.65</v>
      </c>
      <c r="V51" s="18" t="n">
        <v>5642147.66</v>
      </c>
      <c r="W51" s="18" t="n">
        <v>5225879.13</v>
      </c>
      <c r="X51" s="18" t="n">
        <v>5059496.06</v>
      </c>
      <c r="Y51" s="18" t="n">
        <v>5010779.15</v>
      </c>
      <c r="Z51" s="34" t="n">
        <v>5010779.15</v>
      </c>
      <c r="AA51" s="18" t="n">
        <v>5437429.78</v>
      </c>
      <c r="AB51" s="19" t="n">
        <v>5265511.15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3442918.82</v>
      </c>
      <c r="F52" s="34" t="n">
        <v>3442918.82</v>
      </c>
      <c r="G52" s="18" t="n">
        <v>3612354.9</v>
      </c>
      <c r="H52" s="18" t="n">
        <v>3768234.1</v>
      </c>
      <c r="I52" s="18" t="n">
        <v>3986123.71</v>
      </c>
      <c r="J52" s="18" t="n">
        <v>3696498.64</v>
      </c>
      <c r="K52" s="34" t="n">
        <v>3696498.64</v>
      </c>
      <c r="L52" s="18" t="n">
        <v>3777348.58</v>
      </c>
      <c r="M52" s="18" t="n">
        <v>3766988.01</v>
      </c>
      <c r="N52" s="18" t="n">
        <v>3805417.01</v>
      </c>
      <c r="O52" s="18" t="n">
        <v>3595839.19</v>
      </c>
      <c r="P52" s="34" t="n">
        <v>3595839.19</v>
      </c>
      <c r="Q52" s="18" t="n">
        <v>3643989.11</v>
      </c>
      <c r="R52" s="18" t="n">
        <v>4082981.63</v>
      </c>
      <c r="S52" s="18" t="n">
        <v>3988778.68</v>
      </c>
      <c r="T52" s="18" t="n">
        <v>4175487.76</v>
      </c>
      <c r="U52" s="34" t="n">
        <v>4175487.76</v>
      </c>
      <c r="V52" s="18" t="n">
        <v>4204397.25</v>
      </c>
      <c r="W52" s="18" t="n">
        <v>4070095.7</v>
      </c>
      <c r="X52" s="18" t="n">
        <v>3927389.06</v>
      </c>
      <c r="Y52" s="18" t="n">
        <v>3780328.16</v>
      </c>
      <c r="Z52" s="34" t="n">
        <v>3780328.16</v>
      </c>
      <c r="AA52" s="18" t="n">
        <v>3907850.65</v>
      </c>
      <c r="AB52" s="19" t="n">
        <v>4062787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3821873.06</v>
      </c>
      <c r="F53" s="34" t="n">
        <v>3821873.06</v>
      </c>
      <c r="G53" s="18" t="n">
        <v>3897761.35</v>
      </c>
      <c r="H53" s="18" t="n">
        <v>4214292.13</v>
      </c>
      <c r="I53" s="18" t="n">
        <v>3439378.77</v>
      </c>
      <c r="J53" s="18" t="n">
        <v>3571612.47</v>
      </c>
      <c r="K53" s="34" t="n">
        <v>3571612.47</v>
      </c>
      <c r="L53" s="18" t="n">
        <v>3621406.19</v>
      </c>
      <c r="M53" s="18" t="n">
        <v>3887957.54</v>
      </c>
      <c r="N53" s="18" t="n">
        <v>3860407.66</v>
      </c>
      <c r="O53" s="18" t="n">
        <v>4278876.22</v>
      </c>
      <c r="P53" s="34" t="n">
        <v>4278876.22</v>
      </c>
      <c r="Q53" s="18" t="n">
        <v>4840020.76</v>
      </c>
      <c r="R53" s="18" t="n">
        <v>4557058.91</v>
      </c>
      <c r="S53" s="18" t="n">
        <v>4585312.15</v>
      </c>
      <c r="T53" s="18" t="n">
        <v>3778542.21</v>
      </c>
      <c r="U53" s="34" t="n">
        <v>3778542.21</v>
      </c>
      <c r="V53" s="18" t="n">
        <v>4173497.31</v>
      </c>
      <c r="W53" s="18" t="n">
        <v>5144842.28</v>
      </c>
      <c r="X53" s="18" t="n">
        <v>5662254.31</v>
      </c>
      <c r="Y53" s="18" t="n">
        <v>6689512.54</v>
      </c>
      <c r="Z53" s="34" t="n">
        <v>6689512.54</v>
      </c>
      <c r="AA53" s="18" t="n">
        <v>7068994.33</v>
      </c>
      <c r="AB53" s="19" t="n">
        <v>10418227.47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단기사채</t>
        </is>
      </c>
      <c r="F54" s="9" t="n"/>
      <c r="G54" s="18" t="n">
        <v>199890.05</v>
      </c>
      <c r="H54" s="18" t="n">
        <v>349778.51</v>
      </c>
      <c r="I54" s="18" t="n">
        <v>349846.7</v>
      </c>
      <c r="J54" s="18" t="n">
        <v>669746.22</v>
      </c>
      <c r="K54" s="34" t="n">
        <v>669746.22</v>
      </c>
      <c r="L54" s="18" t="n">
        <v>469846.39</v>
      </c>
      <c r="M54" s="18" t="n">
        <v>519761.61</v>
      </c>
      <c r="N54" s="18" t="n">
        <v>519858.28</v>
      </c>
      <c r="O54" s="18" t="n">
        <v>369805.2</v>
      </c>
      <c r="P54" s="34" t="n">
        <v>369805.2</v>
      </c>
      <c r="Q54" s="18" t="n">
        <v>369893.48</v>
      </c>
      <c r="R54" s="18" t="n">
        <v>439748.48</v>
      </c>
      <c r="S54" s="18" t="n">
        <v>439853.2</v>
      </c>
      <c r="T54" s="18" t="n">
        <v>319909.99</v>
      </c>
      <c r="U54" s="34" t="n">
        <v>319909.99</v>
      </c>
      <c r="V54" s="18" t="n">
        <v>464798.17</v>
      </c>
      <c r="W54" s="18" t="n">
        <v>469645.83</v>
      </c>
      <c r="X54" s="18" t="n">
        <v>1170380.85</v>
      </c>
      <c r="Y54" s="18" t="n">
        <v>1313396.32</v>
      </c>
      <c r="Z54" s="34" t="n">
        <v>1313396.32</v>
      </c>
      <c r="AA54" s="18" t="n">
        <v>1607554.63</v>
      </c>
      <c r="AB54" s="19" t="n">
        <v>1396988.29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K55" s="9" t="n"/>
      <c r="O55" s="18" t="n">
        <v>164369.97</v>
      </c>
      <c r="P55" s="34" t="n">
        <v>164369.97</v>
      </c>
      <c r="Q55" s="18" t="n">
        <v>168939.66</v>
      </c>
      <c r="R55" s="18" t="n">
        <v>0</v>
      </c>
      <c r="S55" s="18" t="n">
        <v>0</v>
      </c>
      <c r="U55" s="9" t="n"/>
      <c r="X55" s="18" t="n">
        <v>299131.33</v>
      </c>
      <c r="Y55" s="18" t="n">
        <v>275328.61</v>
      </c>
      <c r="Z55" s="34" t="n">
        <v>275328.61</v>
      </c>
      <c r="AA55" s="18" t="n">
        <v>168371.8</v>
      </c>
      <c r="AB55" s="19" t="n">
        <v>136569.19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</t>
        </is>
      </c>
      <c r="F56" s="9" t="n"/>
      <c r="K56" s="9" t="n"/>
      <c r="O56" s="18" t="n">
        <v>164369.97</v>
      </c>
      <c r="P56" s="34" t="n">
        <v>164369.97</v>
      </c>
      <c r="Q56" s="18" t="n">
        <v>168939.66</v>
      </c>
      <c r="R56" s="18" t="n">
        <v>0</v>
      </c>
      <c r="S56" s="18" t="n">
        <v>0</v>
      </c>
      <c r="U56" s="9" t="n"/>
      <c r="X56" s="18" t="n">
        <v>299131.33</v>
      </c>
      <c r="Y56" s="18" t="n">
        <v>275328.61</v>
      </c>
      <c r="Z56" s="34" t="n">
        <v>275328.61</v>
      </c>
      <c r="AA56" s="18" t="n">
        <v>168371.8</v>
      </c>
      <c r="AB56" s="19" t="n">
        <v>136569.19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1509739.99</v>
      </c>
      <c r="F57" s="9" t="n"/>
      <c r="G57" s="18" t="n">
        <v>1637578.46</v>
      </c>
      <c r="H57" s="18" t="n">
        <v>1755882.43</v>
      </c>
      <c r="I57" s="18" t="n">
        <v>1740125.21</v>
      </c>
      <c r="J57" s="18" t="n">
        <v>1641207.55</v>
      </c>
      <c r="K57" s="34" t="n">
        <v>6774793.65</v>
      </c>
      <c r="L57" s="18" t="n">
        <v>1564942.78</v>
      </c>
      <c r="M57" s="18" t="n">
        <v>1588344.83</v>
      </c>
      <c r="N57" s="18" t="n">
        <v>1552724.54</v>
      </c>
      <c r="O57" s="18" t="n">
        <v>1582430.46</v>
      </c>
      <c r="P57" s="34" t="n">
        <v>6288442.61</v>
      </c>
      <c r="Q57" s="18" t="n">
        <v>1588371.74</v>
      </c>
      <c r="R57" s="18" t="n">
        <v>1778727.72</v>
      </c>
      <c r="S57" s="18" t="n">
        <v>1634207.68</v>
      </c>
      <c r="T57" s="18" t="n">
        <v>1657455.29</v>
      </c>
      <c r="U57" s="34" t="n">
        <v>6658762.43</v>
      </c>
      <c r="V57" s="18" t="n">
        <v>1599305.26</v>
      </c>
      <c r="W57" s="18" t="n">
        <v>1705263.97</v>
      </c>
      <c r="X57" s="18" t="n">
        <v>1622832.53</v>
      </c>
      <c r="Y57" s="18" t="n">
        <v>1556417.74</v>
      </c>
      <c r="Z57" s="34" t="n">
        <v>6483819.5</v>
      </c>
      <c r="AA57" s="18" t="n">
        <v>1626399.55</v>
      </c>
      <c r="AB57" s="19" t="n">
        <v>1806019.14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1178077.7</v>
      </c>
      <c r="F58" s="9" t="n"/>
      <c r="G58" s="18" t="n">
        <v>1253044.6</v>
      </c>
      <c r="H58" s="18" t="n">
        <v>1341496.78</v>
      </c>
      <c r="I58" s="18" t="n">
        <v>1382013.11</v>
      </c>
      <c r="J58" s="18" t="n">
        <v>1313330.41</v>
      </c>
      <c r="K58" s="34" t="n">
        <v>5289884.9</v>
      </c>
      <c r="L58" s="18" t="n">
        <v>1251543.34</v>
      </c>
      <c r="M58" s="18" t="n">
        <v>1241872.18</v>
      </c>
      <c r="N58" s="18" t="n">
        <v>1223040.35</v>
      </c>
      <c r="O58" s="18" t="n">
        <v>1243486.98</v>
      </c>
      <c r="P58" s="34" t="n">
        <v>4959942.85</v>
      </c>
      <c r="Q58" s="18" t="n">
        <v>1228576.49</v>
      </c>
      <c r="R58" s="18" t="n">
        <v>1348199.25</v>
      </c>
      <c r="S58" s="18" t="n">
        <v>1195391.75</v>
      </c>
      <c r="T58" s="18" t="n">
        <v>1255873.97</v>
      </c>
      <c r="U58" s="34" t="n">
        <v>5028041.46</v>
      </c>
      <c r="V58" s="18" t="n">
        <v>1204395.86</v>
      </c>
      <c r="W58" s="18" t="n">
        <v>1267996.21</v>
      </c>
      <c r="X58" s="18" t="n">
        <v>1206254.68</v>
      </c>
      <c r="Y58" s="18" t="n">
        <v>1167703.1</v>
      </c>
      <c r="Z58" s="34" t="n">
        <v>4846349.85</v>
      </c>
      <c r="AA58" s="18" t="n">
        <v>1224310.99</v>
      </c>
      <c r="AB58" s="19" t="n">
        <v>1348082.19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331662.29</v>
      </c>
      <c r="F59" s="9" t="n"/>
      <c r="G59" s="18" t="n">
        <v>384533.86</v>
      </c>
      <c r="H59" s="18" t="n">
        <v>414385.65</v>
      </c>
      <c r="I59" s="18" t="n">
        <v>358112.1</v>
      </c>
      <c r="J59" s="18" t="n">
        <v>327877.15</v>
      </c>
      <c r="K59" s="34" t="n">
        <v>1484908.76</v>
      </c>
      <c r="L59" s="18" t="n">
        <v>313399.44</v>
      </c>
      <c r="M59" s="18" t="n">
        <v>346472.66</v>
      </c>
      <c r="N59" s="18" t="n">
        <v>329684.19</v>
      </c>
      <c r="O59" s="18" t="n">
        <v>338943.49</v>
      </c>
      <c r="P59" s="34" t="n">
        <v>1328499.78</v>
      </c>
      <c r="Q59" s="18" t="n">
        <v>359795.25</v>
      </c>
      <c r="R59" s="18" t="n">
        <v>430528.47</v>
      </c>
      <c r="S59" s="18" t="n">
        <v>438815.93</v>
      </c>
      <c r="T59" s="18" t="n">
        <v>401581.32</v>
      </c>
      <c r="U59" s="34" t="n">
        <v>1630720.97</v>
      </c>
      <c r="V59" s="18" t="n">
        <v>394909.4</v>
      </c>
      <c r="W59" s="18" t="n">
        <v>437267.75</v>
      </c>
      <c r="X59" s="18" t="n">
        <v>416577.85</v>
      </c>
      <c r="Y59" s="18" t="n">
        <v>388714.63</v>
      </c>
      <c r="Z59" s="34" t="n">
        <v>1637469.63</v>
      </c>
      <c r="AA59" s="18" t="n">
        <v>402088.56</v>
      </c>
      <c r="AB59" s="19" t="n">
        <v>457936.95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257272.17</v>
      </c>
      <c r="F60" s="9" t="n"/>
      <c r="G60" s="18" t="n">
        <v>235126.09</v>
      </c>
      <c r="H60" s="18" t="n">
        <v>250152.01</v>
      </c>
      <c r="I60" s="18" t="n">
        <v>261732.55</v>
      </c>
      <c r="J60" s="18" t="n">
        <v>270236.58</v>
      </c>
      <c r="K60" s="34" t="n">
        <v>1017247.23</v>
      </c>
      <c r="L60" s="18" t="n">
        <v>237571.69</v>
      </c>
      <c r="M60" s="18" t="n">
        <v>256088.94</v>
      </c>
      <c r="N60" s="18" t="n">
        <v>241254.64</v>
      </c>
      <c r="O60" s="18" t="n">
        <v>281054.29</v>
      </c>
      <c r="P60" s="34" t="n">
        <v>1015969.56</v>
      </c>
      <c r="Q60" s="18" t="n">
        <v>252888.21</v>
      </c>
      <c r="R60" s="18" t="n">
        <v>289967.54</v>
      </c>
      <c r="S60" s="18" t="n">
        <v>313487.39</v>
      </c>
      <c r="T60" s="18" t="n">
        <v>303259.59</v>
      </c>
      <c r="U60" s="34" t="n">
        <v>1159602.73</v>
      </c>
      <c r="V60" s="18" t="n">
        <v>291465.55</v>
      </c>
      <c r="W60" s="18" t="n">
        <v>296887.06</v>
      </c>
      <c r="X60" s="18" t="n">
        <v>299314.3</v>
      </c>
      <c r="Y60" s="18" t="n">
        <v>322187.61</v>
      </c>
      <c r="Z60" s="34" t="n">
        <v>1209854.52</v>
      </c>
      <c r="AA60" s="18" t="n">
        <v>313960.45</v>
      </c>
      <c r="AB60" s="19" t="n">
        <v>329052.63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74390.13</v>
      </c>
      <c r="F61" s="9" t="n"/>
      <c r="G61" s="18" t="n">
        <v>149407.77</v>
      </c>
      <c r="H61" s="18" t="n">
        <v>164233.64</v>
      </c>
      <c r="I61" s="18" t="n">
        <v>96379.55</v>
      </c>
      <c r="J61" s="18" t="n">
        <v>57640.56</v>
      </c>
      <c r="K61" s="34" t="n">
        <v>467661.52</v>
      </c>
      <c r="L61" s="18" t="n">
        <v>75827.75</v>
      </c>
      <c r="M61" s="18" t="n">
        <v>90383.72</v>
      </c>
      <c r="N61" s="18" t="n">
        <v>88429.53999999999</v>
      </c>
      <c r="O61" s="18" t="n">
        <v>57889.19</v>
      </c>
      <c r="P61" s="34" t="n">
        <v>312530.2</v>
      </c>
      <c r="Q61" s="18" t="n">
        <v>106907.04</v>
      </c>
      <c r="R61" s="18" t="n">
        <v>140560.93</v>
      </c>
      <c r="S61" s="18" t="n">
        <v>125328.54</v>
      </c>
      <c r="T61" s="18" t="n">
        <v>98321.73</v>
      </c>
      <c r="U61" s="34" t="n">
        <v>471118.24</v>
      </c>
      <c r="V61" s="18" t="n">
        <v>103443.84</v>
      </c>
      <c r="W61" s="18" t="n">
        <v>140380.69</v>
      </c>
      <c r="X61" s="18" t="n">
        <v>117263.55</v>
      </c>
      <c r="Y61" s="18" t="n">
        <v>66527.03</v>
      </c>
      <c r="Z61" s="34" t="n">
        <v>427615.11</v>
      </c>
      <c r="AA61" s="18" t="n">
        <v>88128.12</v>
      </c>
      <c r="AB61" s="19" t="n">
        <v>128884.32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종속기업,공동지배기업및관계기업관련손익</t>
        </is>
      </c>
      <c r="E62" s="18" t="n">
        <v>-52803.61</v>
      </c>
      <c r="F62" s="9" t="n"/>
      <c r="G62" s="18" t="n">
        <v>11768.32</v>
      </c>
      <c r="H62" s="18" t="n">
        <v>9700.92</v>
      </c>
      <c r="I62" s="18" t="n">
        <v>-49.17</v>
      </c>
      <c r="J62" s="18" t="n">
        <v>3632.95</v>
      </c>
      <c r="K62" s="34" t="n">
        <v>25053.02</v>
      </c>
      <c r="L62" s="18" t="n">
        <v>-14433.15</v>
      </c>
      <c r="M62" s="18" t="n">
        <v>-4871.72</v>
      </c>
      <c r="N62" s="18" t="n">
        <v>-14493.56</v>
      </c>
      <c r="O62" s="18" t="n">
        <v>-166504.08</v>
      </c>
      <c r="P62" s="34" t="n">
        <v>-200302.51</v>
      </c>
      <c r="Q62" s="18" t="n">
        <v>-2633.1</v>
      </c>
      <c r="R62" s="18" t="n">
        <v>65671.25</v>
      </c>
      <c r="S62" s="18" t="n">
        <v>7178</v>
      </c>
      <c r="T62" s="18" t="n">
        <v>2118.68</v>
      </c>
      <c r="U62" s="34" t="n">
        <v>72334.83</v>
      </c>
      <c r="V62" s="18" t="n">
        <v>6099.35</v>
      </c>
      <c r="W62" s="18" t="n">
        <v>2784.63</v>
      </c>
      <c r="X62" s="18" t="n">
        <v>-205.02</v>
      </c>
      <c r="Y62" s="18" t="n">
        <v>-4864.31</v>
      </c>
      <c r="Z62" s="34" t="n">
        <v>3814.65</v>
      </c>
      <c r="AA62" s="18" t="n">
        <v>6589.4</v>
      </c>
      <c r="AB62" s="19" t="n">
        <v>5423.23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지분법관련손익</t>
        </is>
      </c>
      <c r="E63" s="18" t="n">
        <v>-52803.61</v>
      </c>
      <c r="F63" s="9" t="n"/>
      <c r="G63" s="18" t="n">
        <v>11768.32</v>
      </c>
      <c r="H63" s="18" t="n">
        <v>9700.92</v>
      </c>
      <c r="I63" s="18" t="n">
        <v>-49.17</v>
      </c>
      <c r="J63" s="18" t="n">
        <v>3632.95</v>
      </c>
      <c r="K63" s="34" t="n">
        <v>25053.02</v>
      </c>
      <c r="L63" s="18" t="n">
        <v>-14433.15</v>
      </c>
      <c r="M63" s="18" t="n">
        <v>-4871.72</v>
      </c>
      <c r="N63" s="18" t="n">
        <v>-14493.56</v>
      </c>
      <c r="O63" s="18" t="n">
        <v>-166504.08</v>
      </c>
      <c r="P63" s="34" t="n">
        <v>-200302.51</v>
      </c>
      <c r="Q63" s="18" t="n">
        <v>-2633.1</v>
      </c>
      <c r="R63" s="18" t="n">
        <v>65671.25</v>
      </c>
      <c r="S63" s="18" t="n">
        <v>7178</v>
      </c>
      <c r="T63" s="18" t="n">
        <v>2118.68</v>
      </c>
      <c r="U63" s="34" t="n">
        <v>72334.83</v>
      </c>
      <c r="V63" s="18" t="n">
        <v>6099.35</v>
      </c>
      <c r="W63" s="18" t="n">
        <v>2784.63</v>
      </c>
      <c r="X63" s="18" t="n">
        <v>-205.02</v>
      </c>
      <c r="Y63" s="18" t="n">
        <v>-4864.31</v>
      </c>
      <c r="Z63" s="34" t="n">
        <v>3814.65</v>
      </c>
      <c r="AA63" s="18" t="n">
        <v>6589.4</v>
      </c>
      <c r="AB63" s="19" t="n">
        <v>5423.23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-141725.05</v>
      </c>
      <c r="F64" s="9" t="n"/>
      <c r="G64" s="18" t="n">
        <v>-77425.14</v>
      </c>
      <c r="H64" s="18" t="n">
        <v>120747.61</v>
      </c>
      <c r="I64" s="18" t="n">
        <v>-396921.73</v>
      </c>
      <c r="J64" s="18" t="n">
        <v>50417.7</v>
      </c>
      <c r="K64" s="34" t="n">
        <v>-303181.56</v>
      </c>
      <c r="L64" s="18" t="n">
        <v>-36760.7</v>
      </c>
      <c r="M64" s="18" t="n">
        <v>43835.55</v>
      </c>
      <c r="N64" s="18" t="n">
        <v>-9375.540000000001</v>
      </c>
      <c r="O64" s="18" t="n">
        <v>171390.36</v>
      </c>
      <c r="P64" s="34" t="n">
        <v>169089.67</v>
      </c>
      <c r="Q64" s="18" t="n">
        <v>523045.66</v>
      </c>
      <c r="R64" s="18" t="n">
        <v>-197808.06</v>
      </c>
      <c r="S64" s="18" t="n">
        <v>-139073.87</v>
      </c>
      <c r="T64" s="18" t="n">
        <v>-246624.07</v>
      </c>
      <c r="U64" s="34" t="n">
        <v>-60460.34</v>
      </c>
      <c r="V64" s="18" t="n">
        <v>-50669.57</v>
      </c>
      <c r="W64" s="18" t="n">
        <v>1129282.86</v>
      </c>
      <c r="X64" s="18" t="n">
        <v>364281.54</v>
      </c>
      <c r="Y64" s="18" t="n">
        <v>861021.84</v>
      </c>
      <c r="Z64" s="34" t="n">
        <v>2303916.67</v>
      </c>
      <c r="AA64" s="18" t="n">
        <v>201322.45</v>
      </c>
      <c r="AB64" s="19" t="n">
        <v>3636399.22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60660.06</v>
      </c>
      <c r="F65" s="9" t="n"/>
      <c r="G65" s="18" t="n">
        <v>172654.13</v>
      </c>
      <c r="H65" s="18" t="n">
        <v>232747.28</v>
      </c>
      <c r="I65" s="18" t="n">
        <v>94028.08</v>
      </c>
      <c r="J65" s="18" t="n">
        <v>25075.89</v>
      </c>
      <c r="K65" s="34" t="n">
        <v>524505.38</v>
      </c>
      <c r="L65" s="18" t="n">
        <v>194455.26</v>
      </c>
      <c r="M65" s="18" t="n">
        <v>250334.27</v>
      </c>
      <c r="N65" s="18" t="n">
        <v>107961.58</v>
      </c>
      <c r="O65" s="18" t="n">
        <v>205449.62</v>
      </c>
      <c r="P65" s="34" t="n">
        <v>758200.73</v>
      </c>
      <c r="Q65" s="18" t="n">
        <v>656804.14</v>
      </c>
      <c r="R65" s="18" t="n">
        <v>108580.97</v>
      </c>
      <c r="S65" s="18" t="n">
        <v>-25469.22</v>
      </c>
      <c r="T65" s="18" t="n">
        <v>142914.91</v>
      </c>
      <c r="U65" s="34" t="n">
        <v>882830.8</v>
      </c>
      <c r="V65" s="18" t="n">
        <v>179435.72</v>
      </c>
      <c r="W65" s="18" t="n">
        <v>1327922.1</v>
      </c>
      <c r="X65" s="18" t="n">
        <v>542869.95</v>
      </c>
      <c r="Y65" s="18" t="n">
        <v>988843.73</v>
      </c>
      <c r="Z65" s="34" t="n">
        <v>3039071.5</v>
      </c>
      <c r="AA65" s="18" t="n">
        <v>562422.72</v>
      </c>
      <c r="AB65" s="19" t="n">
        <v>3764282.94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-202385.1</v>
      </c>
      <c r="F66" s="9" t="n"/>
      <c r="G66" s="18" t="n">
        <v>-250079.27</v>
      </c>
      <c r="H66" s="18" t="n">
        <v>-111999.67</v>
      </c>
      <c r="I66" s="18" t="n">
        <v>-490949.81</v>
      </c>
      <c r="J66" s="18" t="n">
        <v>25341.8</v>
      </c>
      <c r="K66" s="34" t="n">
        <v>-827686.95</v>
      </c>
      <c r="L66" s="18" t="n">
        <v>-231215.96</v>
      </c>
      <c r="M66" s="18" t="n">
        <v>-206498.72</v>
      </c>
      <c r="N66" s="18" t="n">
        <v>-117337.12</v>
      </c>
      <c r="O66" s="18" t="n">
        <v>-34059.26</v>
      </c>
      <c r="P66" s="34" t="n">
        <v>-589111.0600000001</v>
      </c>
      <c r="Q66" s="18" t="n">
        <v>-133758.48</v>
      </c>
      <c r="R66" s="18" t="n">
        <v>-306389.03</v>
      </c>
      <c r="S66" s="18" t="n">
        <v>-113604.65</v>
      </c>
      <c r="T66" s="18" t="n">
        <v>-389538.98</v>
      </c>
      <c r="U66" s="34" t="n">
        <v>-943291.14</v>
      </c>
      <c r="V66" s="18" t="n">
        <v>-230105.29</v>
      </c>
      <c r="W66" s="18" t="n">
        <v>-198639.25</v>
      </c>
      <c r="X66" s="18" t="n">
        <v>-178588.41</v>
      </c>
      <c r="Y66" s="18" t="n">
        <v>-127821.89</v>
      </c>
      <c r="Z66" s="34" t="n">
        <v>-735154.84</v>
      </c>
      <c r="AA66" s="18" t="n">
        <v>-361100.27</v>
      </c>
      <c r="AB66" s="19" t="n">
        <v>-127883.72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-108942.89</v>
      </c>
      <c r="F67" s="9" t="n"/>
      <c r="G67" s="18" t="n">
        <v>1084.84</v>
      </c>
      <c r="H67" s="18" t="n">
        <v>-14981.52</v>
      </c>
      <c r="I67" s="18" t="n">
        <v>-2537.48</v>
      </c>
      <c r="J67" s="18" t="n">
        <v>-61144.89</v>
      </c>
      <c r="K67" s="34" t="n">
        <v>-77579.05</v>
      </c>
      <c r="L67" s="18" t="n">
        <v>3451.36</v>
      </c>
      <c r="M67" s="18" t="n">
        <v>-10984.08</v>
      </c>
      <c r="N67" s="18" t="n">
        <v>407.65</v>
      </c>
      <c r="O67" s="18" t="n">
        <v>-29756.53</v>
      </c>
      <c r="P67" s="34" t="n">
        <v>-36881.6</v>
      </c>
      <c r="Q67" s="18" t="n">
        <v>-257.94</v>
      </c>
      <c r="R67" s="18" t="n">
        <v>-1097.36</v>
      </c>
      <c r="S67" s="18" t="n">
        <v>-533.25</v>
      </c>
      <c r="T67" s="18" t="n">
        <v>-11235.54</v>
      </c>
      <c r="U67" s="34" t="n">
        <v>-13124.09</v>
      </c>
      <c r="V67" s="18" t="n">
        <v>16521.8</v>
      </c>
      <c r="W67" s="18" t="n">
        <v>-5679.55</v>
      </c>
      <c r="X67" s="18" t="n">
        <v>-1951.29</v>
      </c>
      <c r="Y67" s="18" t="n">
        <v>-355408.02</v>
      </c>
      <c r="Z67" s="34" t="n">
        <v>-346517.06</v>
      </c>
      <c r="AA67" s="18" t="n">
        <v>16442.05</v>
      </c>
      <c r="AB67" s="19" t="n">
        <v>-11356.25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12171.04</v>
      </c>
      <c r="F68" s="9" t="n"/>
      <c r="G68" s="18" t="n">
        <v>25510.56</v>
      </c>
      <c r="H68" s="18" t="n">
        <v>9367.77</v>
      </c>
      <c r="I68" s="18" t="n">
        <v>13187.44</v>
      </c>
      <c r="J68" s="18" t="n">
        <v>14604.47</v>
      </c>
      <c r="K68" s="34" t="n">
        <v>62670.24</v>
      </c>
      <c r="L68" s="18" t="n">
        <v>30735.66</v>
      </c>
      <c r="M68" s="18" t="n">
        <v>14801.95</v>
      </c>
      <c r="N68" s="18" t="n">
        <v>-14493.56</v>
      </c>
      <c r="O68" s="18" t="n">
        <v>97273.99000000001</v>
      </c>
      <c r="P68" s="34" t="n">
        <v>128318.04</v>
      </c>
      <c r="Q68" s="18" t="n">
        <v>9612.6</v>
      </c>
      <c r="R68" s="18" t="n">
        <v>11687.35</v>
      </c>
      <c r="S68" s="18" t="n">
        <v>9202.83</v>
      </c>
      <c r="T68" s="18" t="n">
        <v>12298.98</v>
      </c>
      <c r="U68" s="34" t="n">
        <v>42801.76</v>
      </c>
      <c r="V68" s="18" t="n">
        <v>44443.33</v>
      </c>
      <c r="W68" s="18" t="n">
        <v>11915.21</v>
      </c>
      <c r="X68" s="18" t="n">
        <v>10059.25</v>
      </c>
      <c r="Y68" s="18" t="n">
        <v>80021.19</v>
      </c>
      <c r="Z68" s="34" t="n">
        <v>146438.98</v>
      </c>
      <c r="AA68" s="18" t="n">
        <v>28958.96</v>
      </c>
      <c r="AB68" s="19" t="n">
        <v>14305.05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-121113.93</v>
      </c>
      <c r="F69" s="9" t="n"/>
      <c r="G69" s="18" t="n">
        <v>-24425.72</v>
      </c>
      <c r="H69" s="18" t="n">
        <v>-24349.29</v>
      </c>
      <c r="I69" s="18" t="n">
        <v>-15724.92</v>
      </c>
      <c r="J69" s="18" t="n">
        <v>-75749.35000000001</v>
      </c>
      <c r="K69" s="34" t="n">
        <v>-140249.28</v>
      </c>
      <c r="L69" s="18" t="n">
        <v>-27284.3</v>
      </c>
      <c r="M69" s="18" t="n">
        <v>-25786.04</v>
      </c>
      <c r="N69" s="18" t="n">
        <v>-10154.46</v>
      </c>
      <c r="O69" s="18" t="n">
        <v>-37132.35</v>
      </c>
      <c r="P69" s="34" t="n">
        <v>-100357.15</v>
      </c>
      <c r="Q69" s="18" t="n">
        <v>-9870.540000000001</v>
      </c>
      <c r="R69" s="18" t="n">
        <v>-12784.71</v>
      </c>
      <c r="S69" s="18" t="n">
        <v>-9736.08</v>
      </c>
      <c r="T69" s="18" t="n">
        <v>-23534.53</v>
      </c>
      <c r="U69" s="34" t="n">
        <v>-55925.86</v>
      </c>
      <c r="V69" s="18" t="n">
        <v>-27921.53</v>
      </c>
      <c r="W69" s="18" t="n">
        <v>-17594.76</v>
      </c>
      <c r="X69" s="18" t="n">
        <v>-12010.54</v>
      </c>
      <c r="Y69" s="18" t="n">
        <v>-435429.19</v>
      </c>
      <c r="Z69" s="34" t="n">
        <v>-492956.02</v>
      </c>
      <c r="AA69" s="18" t="n">
        <v>-12516.91</v>
      </c>
      <c r="AB69" s="19" t="n">
        <v>-25661.3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-229081.42</v>
      </c>
      <c r="F70" s="9" t="n"/>
      <c r="G70" s="18" t="n">
        <v>84835.8</v>
      </c>
      <c r="H70" s="18" t="n">
        <v>279700.66</v>
      </c>
      <c r="I70" s="18" t="n">
        <v>-303128.83</v>
      </c>
      <c r="J70" s="18" t="n">
        <v>50546.32</v>
      </c>
      <c r="K70" s="34" t="n">
        <v>111953.95</v>
      </c>
      <c r="L70" s="18" t="n">
        <v>28085.27</v>
      </c>
      <c r="M70" s="18" t="n">
        <v>118363.47</v>
      </c>
      <c r="N70" s="18" t="n">
        <v>64968.09</v>
      </c>
      <c r="O70" s="18" t="n">
        <v>33018.95</v>
      </c>
      <c r="P70" s="34" t="n">
        <v>244435.78</v>
      </c>
      <c r="Q70" s="18" t="n">
        <v>627061.66</v>
      </c>
      <c r="R70" s="18" t="n">
        <v>7326.75</v>
      </c>
      <c r="S70" s="18" t="n">
        <v>-7100.57</v>
      </c>
      <c r="T70" s="18" t="n">
        <v>-157419.21</v>
      </c>
      <c r="U70" s="34" t="n">
        <v>469868.63</v>
      </c>
      <c r="V70" s="18" t="n">
        <v>75395.42</v>
      </c>
      <c r="W70" s="18" t="n">
        <v>1266768.63</v>
      </c>
      <c r="X70" s="18" t="n">
        <v>479388.78</v>
      </c>
      <c r="Y70" s="18" t="n">
        <v>567276.55</v>
      </c>
      <c r="Z70" s="34" t="n">
        <v>2388829.38</v>
      </c>
      <c r="AA70" s="18" t="n">
        <v>312482.02</v>
      </c>
      <c r="AB70" s="19" t="n">
        <v>3759350.52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3099.67</v>
      </c>
      <c r="F71" s="9" t="n"/>
      <c r="G71" s="18" t="n">
        <v>52638.49</v>
      </c>
      <c r="H71" s="18" t="n">
        <v>97501.33</v>
      </c>
      <c r="I71" s="18" t="n">
        <v>-37787.48</v>
      </c>
      <c r="J71" s="18" t="n">
        <v>-29060.04</v>
      </c>
      <c r="K71" s="34" t="n">
        <v>83292.3</v>
      </c>
      <c r="L71" s="18" t="n">
        <v>43537.28</v>
      </c>
      <c r="M71" s="18" t="n">
        <v>51039.59</v>
      </c>
      <c r="N71" s="18" t="n">
        <v>53730.12</v>
      </c>
      <c r="O71" s="18" t="n">
        <v>3626.16</v>
      </c>
      <c r="P71" s="34" t="n">
        <v>151933.15</v>
      </c>
      <c r="Q71" s="18" t="n">
        <v>172150.73</v>
      </c>
      <c r="R71" s="18" t="n">
        <v>40167.63</v>
      </c>
      <c r="S71" s="18" t="n">
        <v>35207.08</v>
      </c>
      <c r="T71" s="18" t="n">
        <v>-70951.32000000001</v>
      </c>
      <c r="U71" s="34" t="n">
        <v>176574.12</v>
      </c>
      <c r="V71" s="18" t="n">
        <v>31345.33</v>
      </c>
      <c r="W71" s="18" t="n">
        <v>373497.92</v>
      </c>
      <c r="X71" s="18" t="n">
        <v>153050.32</v>
      </c>
      <c r="Y71" s="18" t="n">
        <v>292439.53</v>
      </c>
      <c r="Z71" s="34" t="n">
        <v>850333.1</v>
      </c>
      <c r="AA71" s="18" t="n">
        <v>95525.12</v>
      </c>
      <c r="AB71" s="19" t="n">
        <v>916561.61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-232181.1</v>
      </c>
      <c r="F72" s="9" t="n"/>
      <c r="G72" s="18" t="n">
        <v>32197.3</v>
      </c>
      <c r="H72" s="18" t="n">
        <v>182199.33</v>
      </c>
      <c r="I72" s="18" t="n">
        <v>-265341.35</v>
      </c>
      <c r="J72" s="18" t="n">
        <v>79606.38</v>
      </c>
      <c r="K72" s="34" t="n">
        <v>28661.66</v>
      </c>
      <c r="L72" s="18" t="n">
        <v>-15452.01</v>
      </c>
      <c r="M72" s="18" t="n">
        <v>67323.88</v>
      </c>
      <c r="N72" s="18" t="n">
        <v>11237.96</v>
      </c>
      <c r="O72" s="18" t="n">
        <v>29392.8</v>
      </c>
      <c r="P72" s="34" t="n">
        <v>92502.63</v>
      </c>
      <c r="Q72" s="18" t="n">
        <v>454910.93</v>
      </c>
      <c r="R72" s="18" t="n">
        <v>-32840.88</v>
      </c>
      <c r="S72" s="18" t="n">
        <v>-42307.65</v>
      </c>
      <c r="T72" s="18" t="n">
        <v>-86467.89</v>
      </c>
      <c r="U72" s="34" t="n">
        <v>293294.51</v>
      </c>
      <c r="V72" s="18" t="n">
        <v>44050.09</v>
      </c>
      <c r="W72" s="18" t="n">
        <v>893270.72</v>
      </c>
      <c r="X72" s="18" t="n">
        <v>326338.46</v>
      </c>
      <c r="Y72" s="18" t="n">
        <v>274837.01</v>
      </c>
      <c r="Z72" s="34" t="n">
        <v>1538496.28</v>
      </c>
      <c r="AA72" s="18" t="n">
        <v>216956.9</v>
      </c>
      <c r="AB72" s="19" t="n">
        <v>2842788.91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-232181.1</v>
      </c>
      <c r="F73" s="9" t="n"/>
      <c r="G73" s="18" t="n">
        <v>32197.3</v>
      </c>
      <c r="H73" s="18" t="n">
        <v>182199.33</v>
      </c>
      <c r="I73" s="18" t="n">
        <v>-265341.35</v>
      </c>
      <c r="J73" s="18" t="n">
        <v>79606.38</v>
      </c>
      <c r="K73" s="34" t="n">
        <v>28661.66</v>
      </c>
      <c r="L73" s="18" t="n">
        <v>-15452.01</v>
      </c>
      <c r="M73" s="18" t="n">
        <v>67323.88</v>
      </c>
      <c r="N73" s="18" t="n">
        <v>11237.96</v>
      </c>
      <c r="O73" s="18" t="n">
        <v>29392.8</v>
      </c>
      <c r="P73" s="34" t="n">
        <v>92502.63</v>
      </c>
      <c r="Q73" s="18" t="n">
        <v>454910.93</v>
      </c>
      <c r="R73" s="18" t="n">
        <v>-32840.88</v>
      </c>
      <c r="S73" s="18" t="n">
        <v>-42307.65</v>
      </c>
      <c r="T73" s="18" t="n">
        <v>-86467.89</v>
      </c>
      <c r="U73" s="34" t="n">
        <v>293294.51</v>
      </c>
      <c r="V73" s="18" t="n">
        <v>44050.09</v>
      </c>
      <c r="W73" s="18" t="n">
        <v>893270.72</v>
      </c>
      <c r="X73" s="18" t="n">
        <v>326338.46</v>
      </c>
      <c r="Y73" s="18" t="n">
        <v>274837.01</v>
      </c>
      <c r="Z73" s="34" t="n">
        <v>1538496.28</v>
      </c>
      <c r="AA73" s="18" t="n">
        <v>216956.9</v>
      </c>
      <c r="AB73" s="19" t="n">
        <v>2839157.16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-144073.23</v>
      </c>
      <c r="F74" s="9" t="n"/>
      <c r="G74" s="18" t="n">
        <v>108941.06</v>
      </c>
      <c r="H74" s="18" t="n">
        <v>227403.73</v>
      </c>
      <c r="I74" s="18" t="n">
        <v>-135778.68</v>
      </c>
      <c r="J74" s="18" t="n">
        <v>127702.55</v>
      </c>
      <c r="K74" s="34" t="n">
        <v>328268.66</v>
      </c>
      <c r="L74" s="18" t="n">
        <v>33993.03</v>
      </c>
      <c r="M74" s="18" t="n">
        <v>-7957.78</v>
      </c>
      <c r="N74" s="18" t="n">
        <v>-21160.36</v>
      </c>
      <c r="O74" s="18" t="n">
        <v>-49650.63</v>
      </c>
      <c r="P74" s="34" t="n">
        <v>-44775.74</v>
      </c>
      <c r="Q74" s="18" t="n">
        <v>445760.15</v>
      </c>
      <c r="R74" s="18" t="n">
        <v>-94097.05</v>
      </c>
      <c r="S74" s="18" t="n">
        <v>9993.059999999999</v>
      </c>
      <c r="T74" s="18" t="n">
        <v>-72038.07000000001</v>
      </c>
      <c r="U74" s="34" t="n">
        <v>289618.09</v>
      </c>
      <c r="V74" s="18" t="n">
        <v>1060461.13</v>
      </c>
      <c r="W74" s="18" t="n">
        <v>809004.78</v>
      </c>
      <c r="X74" s="18" t="n">
        <v>388859.58</v>
      </c>
      <c r="Y74" s="18" t="n">
        <v>373739.33</v>
      </c>
      <c r="Z74" s="34" t="n">
        <v>2632064.82</v>
      </c>
      <c r="AA74" s="18" t="n">
        <v>378216.65</v>
      </c>
      <c r="AB74" s="19" t="n">
        <v>2917000.03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-184616.89</v>
      </c>
      <c r="F75" s="9" t="n"/>
      <c r="G75" s="18" t="n">
        <v>6580.39</v>
      </c>
      <c r="H75" s="18" t="n">
        <v>169357.94</v>
      </c>
      <c r="I75" s="18" t="n">
        <v>-268008.68</v>
      </c>
      <c r="J75" s="18" t="n">
        <v>125933.34</v>
      </c>
      <c r="K75" s="34" t="n">
        <v>33862.99</v>
      </c>
      <c r="L75" s="18" t="n">
        <v>8136.88</v>
      </c>
      <c r="M75" s="18" t="n">
        <v>90992.96000000001</v>
      </c>
      <c r="N75" s="18" t="n">
        <v>46964.03</v>
      </c>
      <c r="O75" s="18" t="n">
        <v>66568.91</v>
      </c>
      <c r="P75" s="34" t="n">
        <v>212662.78</v>
      </c>
      <c r="Q75" s="18" t="n">
        <v>472184.45</v>
      </c>
      <c r="R75" s="18" t="n">
        <v>-32840.88</v>
      </c>
      <c r="S75" s="18" t="n">
        <v>-42307.65</v>
      </c>
      <c r="T75" s="18" t="n">
        <v>-86467.88</v>
      </c>
      <c r="U75" s="34" t="n">
        <v>310568.04</v>
      </c>
      <c r="V75" s="18" t="n">
        <v>44050.09</v>
      </c>
      <c r="W75" s="18" t="n">
        <v>893270.72</v>
      </c>
      <c r="X75" s="18" t="n">
        <v>326338.46</v>
      </c>
      <c r="Y75" s="18" t="n">
        <v>274837.01</v>
      </c>
      <c r="Z75" s="34" t="n">
        <v>1538496.28</v>
      </c>
      <c r="AA75" s="18" t="n">
        <v>216956.9</v>
      </c>
      <c r="AB75" s="19" t="n">
        <v>2839157.16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-47564.22</v>
      </c>
      <c r="F76" s="9" t="n"/>
      <c r="G76" s="18" t="n">
        <v>25616.91</v>
      </c>
      <c r="H76" s="18" t="n">
        <v>12841.39</v>
      </c>
      <c r="I76" s="18" t="n">
        <v>2667.33</v>
      </c>
      <c r="J76" s="18" t="n">
        <v>-46326.96</v>
      </c>
      <c r="K76" s="34" t="n">
        <v>-5201.33</v>
      </c>
      <c r="L76" s="18" t="n">
        <v>-23588.9</v>
      </c>
      <c r="M76" s="18" t="n">
        <v>-23669.08</v>
      </c>
      <c r="N76" s="18" t="n">
        <v>-35726.07</v>
      </c>
      <c r="O76" s="18" t="n">
        <v>-37176.12</v>
      </c>
      <c r="P76" s="34" t="n">
        <v>-120160.17</v>
      </c>
      <c r="Q76" s="18" t="n">
        <v>-17273.52</v>
      </c>
      <c r="R76" s="18" t="n">
        <v>0</v>
      </c>
      <c r="S76" s="18" t="n">
        <v>0</v>
      </c>
      <c r="T76" s="18" t="n">
        <v>0</v>
      </c>
      <c r="U76" s="34" t="n">
        <v>-17273.52</v>
      </c>
      <c r="V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K77" s="9" t="n"/>
      <c r="P77" s="9" t="n"/>
      <c r="Q77" s="18" t="n">
        <v>9658.65</v>
      </c>
      <c r="R77" s="18" t="n">
        <v>9246.040000000001</v>
      </c>
      <c r="S77" s="18" t="n">
        <v>7984.59</v>
      </c>
      <c r="T77" s="18" t="n">
        <v>9140.559999999999</v>
      </c>
      <c r="U77" s="34" t="n">
        <v>36029.84</v>
      </c>
      <c r="V77" s="18" t="n">
        <v>4696.69</v>
      </c>
      <c r="W77" s="18" t="n">
        <v>5184</v>
      </c>
      <c r="X77" s="18" t="n">
        <v>6840.08</v>
      </c>
      <c r="Y77" s="18" t="n">
        <v>6399.41</v>
      </c>
      <c r="Z77" s="34" t="n">
        <v>23120.18</v>
      </c>
      <c r="AA77" s="18" t="n">
        <v>9435.26</v>
      </c>
      <c r="AB77" s="19" t="n">
        <v>9730.049999999999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배당금수익</t>
        </is>
      </c>
      <c r="F78" s="9" t="n"/>
      <c r="K78" s="9" t="n"/>
      <c r="P78" s="9" t="n"/>
      <c r="Q78" s="18" t="n">
        <v>48061.81</v>
      </c>
      <c r="R78" s="18" t="n">
        <v>0</v>
      </c>
      <c r="S78" s="18" t="n">
        <v>458.48</v>
      </c>
      <c r="T78" s="18" t="n">
        <v>0</v>
      </c>
      <c r="U78" s="34" t="n">
        <v>48520.29</v>
      </c>
      <c r="V78" s="18" t="n">
        <v>62913.24</v>
      </c>
      <c r="W78" s="18" t="n">
        <v>0</v>
      </c>
      <c r="X78" s="18" t="n">
        <v>9216.450000000001</v>
      </c>
      <c r="Y78" s="18" t="n">
        <v>110.77</v>
      </c>
      <c r="Z78" s="34" t="n">
        <v>72240.46000000001</v>
      </c>
      <c r="AA78" s="18" t="n">
        <v>78278.22</v>
      </c>
      <c r="AB78" s="19" t="n">
        <v>475.31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K79" s="9" t="n"/>
      <c r="P79" s="9" t="n"/>
      <c r="Q79" s="18" t="n">
        <v>-66011.17</v>
      </c>
      <c r="R79" s="18" t="n">
        <v>-92351.53999999999</v>
      </c>
      <c r="S79" s="18" t="n">
        <v>-94206.83</v>
      </c>
      <c r="T79" s="18" t="n">
        <v>-95237.00999999999</v>
      </c>
      <c r="U79" s="34" t="n">
        <v>-347806.55</v>
      </c>
      <c r="V79" s="18" t="n">
        <v>-78864.28999999999</v>
      </c>
      <c r="W79" s="18" t="n">
        <v>-78934.92999999999</v>
      </c>
      <c r="X79" s="18" t="n">
        <v>-90252.5</v>
      </c>
      <c r="Y79" s="18" t="n">
        <v>-91793.28</v>
      </c>
      <c r="Z79" s="34" t="n">
        <v>-339845</v>
      </c>
      <c r="AA79" s="18" t="n">
        <v>-72288.52</v>
      </c>
      <c r="AB79" s="19" t="n">
        <v>-75403.96000000001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K80" s="9" t="n"/>
      <c r="P80" s="9" t="n"/>
      <c r="Q80" s="18" t="n">
        <v>28985.2</v>
      </c>
      <c r="R80" s="18" t="n">
        <v>29021.28</v>
      </c>
      <c r="S80" s="18" t="n">
        <v>14401.43</v>
      </c>
      <c r="T80" s="18" t="n">
        <v>66663.8</v>
      </c>
      <c r="U80" s="34" t="n">
        <v>139071.71</v>
      </c>
      <c r="V80" s="18" t="n">
        <v>15900.6</v>
      </c>
      <c r="W80" s="18" t="n">
        <v>38399.63</v>
      </c>
      <c r="X80" s="18" t="n">
        <v>25574.32</v>
      </c>
      <c r="Y80" s="18" t="n">
        <v>33953.29</v>
      </c>
      <c r="Z80" s="34" t="n">
        <v>113827.84</v>
      </c>
      <c r="AA80" s="18" t="n">
        <v>21180.12</v>
      </c>
      <c r="AB80" s="19" t="n">
        <v>42412.63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K81" s="9" t="n"/>
      <c r="P81" s="9" t="n"/>
      <c r="Q81" s="18" t="n">
        <v>-11995.86</v>
      </c>
      <c r="R81" s="18" t="n">
        <v>-10360.83</v>
      </c>
      <c r="S81" s="18" t="n">
        <v>-23805.76</v>
      </c>
      <c r="T81" s="18" t="n">
        <v>-16623.5</v>
      </c>
      <c r="U81" s="34" t="n">
        <v>-62785.95</v>
      </c>
      <c r="V81" s="18" t="n">
        <v>-19009.53</v>
      </c>
      <c r="W81" s="18" t="n">
        <v>-35308.93</v>
      </c>
      <c r="X81" s="18" t="n">
        <v>-31992.77</v>
      </c>
      <c r="Y81" s="18" t="n">
        <v>-10033.54</v>
      </c>
      <c r="Z81" s="34" t="n">
        <v>-96344.77</v>
      </c>
      <c r="AA81" s="18" t="n">
        <v>-11180.82</v>
      </c>
      <c r="AB81" s="19" t="n">
        <v>-18254.8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K82" s="9" t="n"/>
      <c r="P82" s="9" t="n"/>
      <c r="Q82" s="18" t="n">
        <v>45192.81</v>
      </c>
      <c r="R82" s="18" t="n">
        <v>53139.72</v>
      </c>
      <c r="S82" s="18" t="n">
        <v>-65314.42</v>
      </c>
      <c r="T82" s="18" t="n">
        <v>82531.74000000001</v>
      </c>
      <c r="U82" s="34" t="n">
        <v>115549.85</v>
      </c>
      <c r="V82" s="18" t="n">
        <v>37598.45</v>
      </c>
      <c r="W82" s="18" t="n">
        <v>34797.71</v>
      </c>
      <c r="X82" s="18" t="n">
        <v>-4647.71</v>
      </c>
      <c r="Y82" s="18" t="n">
        <v>13358.45</v>
      </c>
      <c r="Z82" s="34" t="n">
        <v>81106.89999999999</v>
      </c>
      <c r="AA82" s="18" t="n">
        <v>68669.38</v>
      </c>
      <c r="AB82" s="19" t="n">
        <v>3281.19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K83" s="9" t="n"/>
      <c r="P83" s="9" t="n"/>
      <c r="Q83" s="18" t="n">
        <v>-34257.71</v>
      </c>
      <c r="R83" s="18" t="n">
        <v>-38852.34</v>
      </c>
      <c r="S83" s="18" t="n">
        <v>11325.64</v>
      </c>
      <c r="T83" s="18" t="n">
        <v>-28984.04</v>
      </c>
      <c r="U83" s="34" t="n">
        <v>-90768.45</v>
      </c>
      <c r="V83" s="18" t="n">
        <v>-49263.89</v>
      </c>
      <c r="W83" s="18" t="n">
        <v>-79895.00999999999</v>
      </c>
      <c r="X83" s="18" t="n">
        <v>18387.65</v>
      </c>
      <c r="Y83" s="18" t="n">
        <v>-36312.17</v>
      </c>
      <c r="Z83" s="34" t="n">
        <v>-147083.42</v>
      </c>
      <c r="AA83" s="18" t="n">
        <v>-85101.69</v>
      </c>
      <c r="AB83" s="19" t="n">
        <v>-27940.25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파생상품이익</t>
        </is>
      </c>
      <c r="F84" s="9" t="n"/>
      <c r="K84" s="9" t="n"/>
      <c r="P84" s="9" t="n"/>
      <c r="Q84" s="18" t="n">
        <v>6756.51</v>
      </c>
      <c r="R84" s="18" t="n">
        <v>9901.809999999999</v>
      </c>
      <c r="S84" s="18" t="n">
        <v>-65.06</v>
      </c>
      <c r="T84" s="18" t="n">
        <v>6212.8</v>
      </c>
      <c r="U84" s="34" t="n">
        <v>22806.06</v>
      </c>
      <c r="V84" s="18" t="n">
        <v>5394.59</v>
      </c>
      <c r="W84" s="18" t="n">
        <v>1069.6</v>
      </c>
      <c r="X84" s="18" t="n">
        <v>5330.21</v>
      </c>
      <c r="Y84" s="18" t="n">
        <v>5064.25</v>
      </c>
      <c r="Z84" s="34" t="n">
        <v>16858.65</v>
      </c>
      <c r="AA84" s="18" t="n">
        <v>122157.76</v>
      </c>
      <c r="AB84" s="19" t="n">
        <v>51127.49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Q85" s="18" t="n">
        <v>-5403.71</v>
      </c>
      <c r="R85" s="18" t="n">
        <v>-5059.23</v>
      </c>
      <c r="S85" s="18" t="n">
        <v>-2882</v>
      </c>
      <c r="T85" s="18" t="n">
        <v>-905.11</v>
      </c>
      <c r="U85" s="34" t="n">
        <v>-14250.05</v>
      </c>
      <c r="V85" s="18" t="n">
        <v>-1492.13</v>
      </c>
      <c r="W85" s="18" t="n">
        <v>-163.96</v>
      </c>
      <c r="X85" s="18" t="n">
        <v>-73656.39999999999</v>
      </c>
      <c r="Y85" s="18" t="n">
        <v>19085.1</v>
      </c>
      <c r="Z85" s="34" t="n">
        <v>-56227.39</v>
      </c>
      <c r="AA85" s="18" t="n">
        <v>-13246.43</v>
      </c>
      <c r="AB85" s="19" t="n">
        <v>-5429.36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이자손익</t>
        </is>
      </c>
      <c r="F86" s="9" t="n"/>
      <c r="K86" s="9" t="n"/>
      <c r="P86" s="9" t="n"/>
      <c r="Q86" s="18" t="n">
        <v>75669.82000000001</v>
      </c>
      <c r="R86" s="18" t="n">
        <v>101597.58</v>
      </c>
      <c r="S86" s="18" t="n">
        <v>102191.42</v>
      </c>
      <c r="T86" s="18" t="n">
        <v>104377.57</v>
      </c>
      <c r="U86" s="34" t="n">
        <v>383836.39</v>
      </c>
      <c r="V86" s="18" t="n">
        <v>83560.98</v>
      </c>
      <c r="W86" s="18" t="n">
        <v>84118.92999999999</v>
      </c>
      <c r="X86" s="18" t="n">
        <v>97092.58</v>
      </c>
      <c r="Y86" s="18" t="n">
        <v>98192.69</v>
      </c>
      <c r="Z86" s="34" t="n">
        <v>362965.18</v>
      </c>
      <c r="AA86" s="18" t="n">
        <v>81723.78</v>
      </c>
      <c r="AB86" s="19" t="n">
        <v>85134.00999999999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중단사업이익</t>
        </is>
      </c>
      <c r="F87" s="9" t="n"/>
      <c r="K87" s="9" t="n"/>
      <c r="P87" s="9" t="n"/>
      <c r="U87" s="9" t="n"/>
      <c r="Z87" s="9" t="n"/>
      <c r="AB87" s="19" t="n">
        <v>-3631.75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189767.52</v>
      </c>
      <c r="F88" s="9" t="n"/>
      <c r="G88" s="18" t="n">
        <v>-76357.97</v>
      </c>
      <c r="H88" s="18" t="n">
        <v>36313.96</v>
      </c>
      <c r="I88" s="18" t="n">
        <v>206935.87</v>
      </c>
      <c r="J88" s="18" t="n">
        <v>217674.51</v>
      </c>
      <c r="K88" s="34" t="n">
        <v>384566.37</v>
      </c>
      <c r="L88" s="18" t="n">
        <v>19425.33</v>
      </c>
      <c r="M88" s="18" t="n">
        <v>265160.35</v>
      </c>
      <c r="N88" s="18" t="n">
        <v>176899.91</v>
      </c>
      <c r="O88" s="18" t="n">
        <v>326780.74</v>
      </c>
      <c r="P88" s="34" t="n">
        <v>788266.33</v>
      </c>
      <c r="Q88" s="18" t="n">
        <v>113737.76</v>
      </c>
      <c r="R88" s="18" t="n">
        <v>209889</v>
      </c>
      <c r="S88" s="18" t="n">
        <v>134088.68</v>
      </c>
      <c r="T88" s="18" t="n">
        <v>139085.85</v>
      </c>
      <c r="U88" s="34" t="n">
        <v>596801.29</v>
      </c>
      <c r="V88" s="18" t="n">
        <v>109138.48</v>
      </c>
      <c r="W88" s="18" t="n">
        <v>167174.14</v>
      </c>
      <c r="X88" s="18" t="n">
        <v>135288.72</v>
      </c>
      <c r="Y88" s="18" t="n">
        <v>377876.14</v>
      </c>
      <c r="Z88" s="34" t="n">
        <v>789477.48</v>
      </c>
      <c r="AA88" s="18" t="n">
        <v>85181.96000000001</v>
      </c>
      <c r="AB88" s="19" t="n">
        <v>30910.52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감가상각비</t>
        </is>
      </c>
      <c r="E89" s="18" t="n">
        <v>7231.1</v>
      </c>
      <c r="F89" s="9" t="n"/>
      <c r="G89" s="18" t="n">
        <v>6904.18</v>
      </c>
      <c r="H89" s="18" t="n">
        <v>6495.89</v>
      </c>
      <c r="I89" s="18" t="n">
        <v>6792.9</v>
      </c>
      <c r="J89" s="18" t="n">
        <v>7437.76</v>
      </c>
      <c r="K89" s="34" t="n">
        <v>27630.73</v>
      </c>
      <c r="L89" s="18" t="n">
        <v>7069.9</v>
      </c>
      <c r="M89" s="18" t="n">
        <v>7034.24</v>
      </c>
      <c r="N89" s="18" t="n">
        <v>7209.64</v>
      </c>
      <c r="O89" s="18" t="n">
        <v>10742.84</v>
      </c>
      <c r="P89" s="34" t="n">
        <v>32056.62</v>
      </c>
      <c r="Q89" s="18" t="n">
        <v>7059.71</v>
      </c>
      <c r="R89" s="18" t="n">
        <v>7315.32</v>
      </c>
      <c r="S89" s="18" t="n">
        <v>7351.83</v>
      </c>
      <c r="T89" s="18" t="n">
        <v>6808.32</v>
      </c>
      <c r="U89" s="34" t="n">
        <v>28535.18</v>
      </c>
      <c r="V89" s="18" t="n">
        <v>103182.77</v>
      </c>
      <c r="W89" s="18" t="n">
        <v>97615.25</v>
      </c>
      <c r="X89" s="18" t="n">
        <v>-177546.86</v>
      </c>
      <c r="Y89" s="18" t="n">
        <v>386321.79</v>
      </c>
      <c r="Z89" s="34" t="n">
        <v>409572.95</v>
      </c>
      <c r="AA89" s="18" t="n">
        <v>93709.35000000001</v>
      </c>
      <c r="AB89" s="19" t="n">
        <v>91886.07000000001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무형자산상각비</t>
        </is>
      </c>
      <c r="E90" s="18" t="n">
        <v>10316.76</v>
      </c>
      <c r="F90" s="9" t="n"/>
      <c r="G90" s="18" t="n">
        <v>9633.33</v>
      </c>
      <c r="H90" s="18" t="n">
        <v>10783.43</v>
      </c>
      <c r="I90" s="18" t="n">
        <v>11943.51</v>
      </c>
      <c r="J90" s="18" t="n">
        <v>11017.5</v>
      </c>
      <c r="K90" s="34" t="n">
        <v>43377.77</v>
      </c>
      <c r="L90" s="18" t="n">
        <v>15455.79</v>
      </c>
      <c r="M90" s="18" t="n">
        <v>11241.46</v>
      </c>
      <c r="N90" s="18" t="n">
        <v>11390.85</v>
      </c>
      <c r="O90" s="18" t="n">
        <v>8506.49</v>
      </c>
      <c r="P90" s="34" t="n">
        <v>46594.59</v>
      </c>
      <c r="Q90" s="18" t="n">
        <v>12560.41</v>
      </c>
      <c r="R90" s="18" t="n">
        <v>11918.19</v>
      </c>
      <c r="S90" s="18" t="n">
        <v>11597.57</v>
      </c>
      <c r="T90" s="18" t="n">
        <v>12238.65</v>
      </c>
      <c r="U90" s="34" t="n">
        <v>48314.82</v>
      </c>
      <c r="V90" s="18" t="n">
        <v>12507.98</v>
      </c>
      <c r="W90" s="18" t="n">
        <v>12137.41</v>
      </c>
      <c r="X90" s="18" t="n">
        <v>11921.41</v>
      </c>
      <c r="Y90" s="18" t="n">
        <v>12821.84</v>
      </c>
      <c r="Z90" s="34" t="n">
        <v>49388.64</v>
      </c>
      <c r="AA90" s="18" t="n">
        <v>11707.12</v>
      </c>
      <c r="AB90" s="19" t="n">
        <v>12427.34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59809.67</v>
      </c>
      <c r="F91" s="9" t="n"/>
      <c r="G91" s="18" t="n">
        <v>-51434.55</v>
      </c>
      <c r="H91" s="18" t="n">
        <v>-51879.03</v>
      </c>
      <c r="I91" s="18" t="n">
        <v>-54912.15</v>
      </c>
      <c r="J91" s="18" t="n">
        <v>-15171.01</v>
      </c>
      <c r="K91" s="34" t="n">
        <v>-173396.74</v>
      </c>
      <c r="L91" s="18" t="n">
        <v>-52806.03</v>
      </c>
      <c r="M91" s="18" t="n">
        <v>-34801.84</v>
      </c>
      <c r="N91" s="18" t="n">
        <v>-29351.47</v>
      </c>
      <c r="O91" s="18" t="n">
        <v>-33724.33</v>
      </c>
      <c r="P91" s="34" t="n">
        <v>-150683.67</v>
      </c>
      <c r="Q91" s="18" t="n">
        <v>-25539.05</v>
      </c>
      <c r="R91" s="18" t="n">
        <v>-41834.59</v>
      </c>
      <c r="S91" s="18" t="n">
        <v>-37308.76</v>
      </c>
      <c r="T91" s="18" t="n">
        <v>-28225.56</v>
      </c>
      <c r="U91" s="34" t="n">
        <v>-132907.96</v>
      </c>
      <c r="V91" s="18" t="n">
        <v>-96171.84</v>
      </c>
      <c r="W91" s="18" t="n">
        <v>-83723.16</v>
      </c>
      <c r="X91" s="18" t="n">
        <v>-53013.38</v>
      </c>
      <c r="Y91" s="18" t="n">
        <v>-44772.23</v>
      </c>
      <c r="Z91" s="34" t="n">
        <v>-277680.61</v>
      </c>
      <c r="AA91" s="18" t="n">
        <v>-61617.87</v>
      </c>
      <c r="AB91" s="19" t="n">
        <v>-9135.620000000001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390031.95</v>
      </c>
      <c r="F92" s="9" t="n"/>
      <c r="G92" s="18" t="n">
        <v>-447113.88</v>
      </c>
      <c r="H92" s="18" t="n">
        <v>-95715.22</v>
      </c>
      <c r="I92" s="18" t="n">
        <v>401282.92</v>
      </c>
      <c r="J92" s="18" t="n">
        <v>177631.35</v>
      </c>
      <c r="K92" s="34" t="n">
        <v>36085.17</v>
      </c>
      <c r="L92" s="18" t="n">
        <v>-128460.36</v>
      </c>
      <c r="M92" s="18" t="n">
        <v>-83739.69</v>
      </c>
      <c r="N92" s="18" t="n">
        <v>-89760.59</v>
      </c>
      <c r="O92" s="18" t="n">
        <v>-53380.52</v>
      </c>
      <c r="P92" s="34" t="n">
        <v>-355341.16</v>
      </c>
      <c r="Q92" s="18" t="n">
        <v>-72833.17999999999</v>
      </c>
      <c r="R92" s="18" t="n">
        <v>507010.91</v>
      </c>
      <c r="S92" s="18" t="n">
        <v>-105491.96</v>
      </c>
      <c r="T92" s="18" t="n">
        <v>-47148.44</v>
      </c>
      <c r="U92" s="34" t="n">
        <v>281537.33</v>
      </c>
      <c r="V92" s="18" t="n">
        <v>-89288.97</v>
      </c>
      <c r="W92" s="18" t="n">
        <v>146540.07</v>
      </c>
      <c r="X92" s="18" t="n">
        <v>105710.03</v>
      </c>
      <c r="Y92" s="18" t="n">
        <v>106421.83</v>
      </c>
      <c r="Z92" s="34" t="n">
        <v>269382.96</v>
      </c>
      <c r="AA92" s="18" t="n">
        <v>-109480.52</v>
      </c>
      <c r="AB92" s="19" t="n">
        <v>67983.59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102819.66</v>
      </c>
      <c r="F93" s="9" t="n"/>
      <c r="G93" s="18" t="n">
        <v>72229.7</v>
      </c>
      <c r="H93" s="18" t="n">
        <v>87111.85000000001</v>
      </c>
      <c r="I93" s="18" t="n">
        <v>101693.09</v>
      </c>
      <c r="J93" s="18" t="n">
        <v>123706.92</v>
      </c>
      <c r="K93" s="34" t="n">
        <v>384741.56</v>
      </c>
      <c r="L93" s="18" t="n">
        <v>114720.08</v>
      </c>
      <c r="M93" s="18" t="n">
        <v>70988.73</v>
      </c>
      <c r="N93" s="18" t="n">
        <v>125619.7</v>
      </c>
      <c r="O93" s="18" t="n">
        <v>67680.85000000001</v>
      </c>
      <c r="P93" s="34" t="n">
        <v>379009.36</v>
      </c>
      <c r="Q93" s="18" t="n">
        <v>55864.07</v>
      </c>
      <c r="R93" s="18" t="n">
        <v>72825.24000000001</v>
      </c>
      <c r="S93" s="18" t="n">
        <v>64949.2</v>
      </c>
      <c r="T93" s="18" t="n">
        <v>64081.33</v>
      </c>
      <c r="U93" s="34" t="n">
        <v>257719.84</v>
      </c>
      <c r="V93" s="18" t="n">
        <v>91179.11</v>
      </c>
      <c r="W93" s="18" t="n">
        <v>46925.54</v>
      </c>
      <c r="X93" s="18" t="n">
        <v>73752.25999999999</v>
      </c>
      <c r="Y93" s="18" t="n">
        <v>108048.61</v>
      </c>
      <c r="Z93" s="34" t="n">
        <v>319905.52</v>
      </c>
      <c r="AA93" s="18" t="n">
        <v>94238.32000000001</v>
      </c>
      <c r="AB93" s="19" t="n">
        <v>83596.02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104133.59</v>
      </c>
      <c r="F94" s="9" t="n"/>
      <c r="G94" s="18" t="n">
        <v>72627.46000000001</v>
      </c>
      <c r="H94" s="18" t="n">
        <v>89907.98</v>
      </c>
      <c r="I94" s="18" t="n">
        <v>105056.71</v>
      </c>
      <c r="J94" s="18" t="n">
        <v>125439.45</v>
      </c>
      <c r="K94" s="34" t="n">
        <v>393031.6</v>
      </c>
      <c r="L94" s="18" t="n">
        <v>120787.53</v>
      </c>
      <c r="M94" s="18" t="n">
        <v>73053.42999999999</v>
      </c>
      <c r="N94" s="18" t="n">
        <v>126554.27</v>
      </c>
      <c r="O94" s="18" t="n">
        <v>69451.98</v>
      </c>
      <c r="P94" s="34" t="n">
        <v>389847.21</v>
      </c>
      <c r="Q94" s="18" t="n">
        <v>57157.04</v>
      </c>
      <c r="R94" s="18" t="n">
        <v>74065.75</v>
      </c>
      <c r="S94" s="18" t="n">
        <v>65508.53</v>
      </c>
      <c r="T94" s="18" t="n">
        <v>68269.3</v>
      </c>
      <c r="U94" s="34" t="n">
        <v>265000.62</v>
      </c>
      <c r="V94" s="18" t="n">
        <v>92403.92</v>
      </c>
      <c r="W94" s="18" t="n">
        <v>48155.14</v>
      </c>
      <c r="X94" s="18" t="n">
        <v>75674.07000000001</v>
      </c>
      <c r="Y94" s="18" t="n">
        <v>114486.52</v>
      </c>
      <c r="Z94" s="34" t="n">
        <v>330719.65</v>
      </c>
      <c r="AA94" s="18" t="n">
        <v>95027.00999999999</v>
      </c>
      <c r="AB94" s="19" t="n">
        <v>84402.91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E95" s="18" t="n">
        <v>1313.93</v>
      </c>
      <c r="F95" s="9" t="n"/>
      <c r="G95" s="18" t="n">
        <v>397.76</v>
      </c>
      <c r="H95" s="18" t="n">
        <v>2796.13</v>
      </c>
      <c r="I95" s="18" t="n">
        <v>3363.62</v>
      </c>
      <c r="J95" s="18" t="n">
        <v>1732.53</v>
      </c>
      <c r="K95" s="34" t="n">
        <v>8290.040000000001</v>
      </c>
      <c r="L95" s="18" t="n">
        <v>6067.45</v>
      </c>
      <c r="M95" s="18" t="n">
        <v>2064.7</v>
      </c>
      <c r="N95" s="18" t="n">
        <v>934.5700000000001</v>
      </c>
      <c r="O95" s="18" t="n">
        <v>1771.13</v>
      </c>
      <c r="P95" s="34" t="n">
        <v>10837.85</v>
      </c>
      <c r="Q95" s="18" t="n">
        <v>1292.97</v>
      </c>
      <c r="R95" s="18" t="n">
        <v>1240.51</v>
      </c>
      <c r="S95" s="18" t="n">
        <v>559.33</v>
      </c>
      <c r="T95" s="18" t="n">
        <v>4187.97</v>
      </c>
      <c r="U95" s="34" t="n">
        <v>7280.78</v>
      </c>
      <c r="V95" s="18" t="n">
        <v>1224.81</v>
      </c>
      <c r="W95" s="18" t="n">
        <v>1229.6</v>
      </c>
      <c r="X95" s="18" t="n">
        <v>1921.81</v>
      </c>
      <c r="Y95" s="18" t="n">
        <v>6437.91</v>
      </c>
      <c r="Z95" s="34" t="n">
        <v>10814.13</v>
      </c>
      <c r="AA95" s="18" t="n">
        <v>788.6900000000001</v>
      </c>
      <c r="AB95" s="19" t="n">
        <v>806.89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유형자산의감소</t>
        </is>
      </c>
      <c r="E96" s="18" t="n">
        <v>806.04</v>
      </c>
      <c r="F96" s="9" t="n"/>
      <c r="G96" s="18" t="n">
        <v>705.9299999999999</v>
      </c>
      <c r="H96" s="18" t="n">
        <v>2943.72</v>
      </c>
      <c r="I96" s="18" t="n">
        <v>508.07</v>
      </c>
      <c r="J96" s="18" t="n">
        <v>2019.59</v>
      </c>
      <c r="K96" s="34" t="n">
        <v>6177.31</v>
      </c>
      <c r="L96" s="18" t="n">
        <v>45146.72</v>
      </c>
      <c r="N96" s="18" t="n">
        <v>8482.85</v>
      </c>
      <c r="P96" s="9" t="n"/>
      <c r="Q96" s="18" t="n">
        <v>788.05</v>
      </c>
      <c r="R96" s="18" t="n">
        <v>820.5700000000001</v>
      </c>
      <c r="S96" s="18" t="n">
        <v>1244.14</v>
      </c>
      <c r="T96" s="18" t="n">
        <v>4274.97</v>
      </c>
      <c r="U96" s="34" t="n">
        <v>7127.73</v>
      </c>
      <c r="V96" s="18" t="n">
        <v>336.63</v>
      </c>
      <c r="W96" s="18" t="n">
        <v>1113.85</v>
      </c>
      <c r="X96" s="18" t="n">
        <v>5295.68</v>
      </c>
      <c r="Y96" s="18" t="n">
        <v>25821.38</v>
      </c>
      <c r="Z96" s="34" t="n">
        <v>32567.54</v>
      </c>
      <c r="AA96" s="18" t="n">
        <v>1031.43</v>
      </c>
      <c r="AB96" s="19" t="n">
        <v>451.46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무형자산의감소</t>
        </is>
      </c>
      <c r="E97" s="18" t="n">
        <v>0</v>
      </c>
      <c r="F97" s="9" t="n"/>
      <c r="G97" s="18" t="n">
        <v>0.22</v>
      </c>
      <c r="H97" s="18" t="n">
        <v>2150</v>
      </c>
      <c r="I97" s="18" t="n">
        <v>0</v>
      </c>
      <c r="J97" s="18" t="n">
        <v>0</v>
      </c>
      <c r="K97" s="34" t="n">
        <v>2150.22</v>
      </c>
      <c r="N97" s="18" t="n">
        <v>0.73</v>
      </c>
      <c r="O97" s="18" t="n">
        <v>8.32</v>
      </c>
      <c r="P97" s="9" t="n"/>
      <c r="S97" s="18" t="n">
        <v>3</v>
      </c>
      <c r="T97" s="18" t="n">
        <v>5.84</v>
      </c>
      <c r="U97" s="9" t="n"/>
      <c r="V97" s="18" t="n">
        <v>92.25</v>
      </c>
      <c r="X97" s="18" t="n">
        <v>208.14</v>
      </c>
      <c r="Y97" s="18" t="n">
        <v>75937.03999999999</v>
      </c>
      <c r="Z97" s="9" t="n"/>
      <c r="AA97" s="18" t="n">
        <v>0.01</v>
      </c>
      <c r="AB97" s="19" t="n">
        <v>0.49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이자수취(CF)</t>
        </is>
      </c>
      <c r="E98" s="18" t="n">
        <v>-732.52</v>
      </c>
      <c r="F98" s="9" t="n"/>
      <c r="G98" s="18" t="n">
        <v>530.49</v>
      </c>
      <c r="H98" s="18" t="n">
        <v>729.63</v>
      </c>
      <c r="I98" s="18" t="n">
        <v>1381.32</v>
      </c>
      <c r="J98" s="18" t="n">
        <v>3996.46</v>
      </c>
      <c r="K98" s="34" t="n">
        <v>6637.9</v>
      </c>
      <c r="L98" s="18" t="n">
        <v>9399.700000000001</v>
      </c>
      <c r="M98" s="18" t="n">
        <v>7308.47</v>
      </c>
      <c r="N98" s="18" t="n">
        <v>8080.09</v>
      </c>
      <c r="O98" s="18" t="n">
        <v>10292.59</v>
      </c>
      <c r="P98" s="34" t="n">
        <v>35080.85</v>
      </c>
      <c r="Q98" s="18" t="n">
        <v>8656.629999999999</v>
      </c>
      <c r="R98" s="18" t="n">
        <v>7100</v>
      </c>
      <c r="S98" s="18" t="n">
        <v>6164.48</v>
      </c>
      <c r="T98" s="18" t="n">
        <v>7190.6</v>
      </c>
      <c r="U98" s="34" t="n">
        <v>29111.71</v>
      </c>
      <c r="V98" s="18" t="n">
        <v>1182.95</v>
      </c>
      <c r="W98" s="18" t="n">
        <v>2246.77</v>
      </c>
      <c r="X98" s="18" t="n">
        <v>17202.97</v>
      </c>
      <c r="Y98" s="18" t="n">
        <v>3940.35</v>
      </c>
      <c r="Z98" s="34" t="n">
        <v>24573.04</v>
      </c>
      <c r="AA98" s="18" t="n">
        <v>5327.72</v>
      </c>
      <c r="AB98" s="19" t="n">
        <v>14843.15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배당금수취(CF)</t>
        </is>
      </c>
      <c r="E99" s="18" t="n">
        <v>90.22</v>
      </c>
      <c r="F99" s="9" t="n"/>
      <c r="G99" s="18" t="n">
        <v>9.24</v>
      </c>
      <c r="H99" s="18" t="n">
        <v>77797.63</v>
      </c>
      <c r="I99" s="18" t="n">
        <v>612.5599999999999</v>
      </c>
      <c r="J99" s="18" t="n">
        <v>0</v>
      </c>
      <c r="K99" s="34" t="n">
        <v>78419.42999999999</v>
      </c>
      <c r="L99" s="18" t="n">
        <v>143.5</v>
      </c>
      <c r="M99" s="18" t="n">
        <v>44983.33</v>
      </c>
      <c r="N99" s="18" t="n">
        <v>458.48</v>
      </c>
      <c r="O99" s="18" t="n">
        <v>0</v>
      </c>
      <c r="P99" s="34" t="n">
        <v>45585.31</v>
      </c>
      <c r="Q99" s="18" t="n">
        <v>143.5</v>
      </c>
      <c r="R99" s="18" t="n">
        <v>126861.47</v>
      </c>
      <c r="S99" s="18" t="n">
        <v>458.48</v>
      </c>
      <c r="T99" s="18" t="n">
        <v>7751.17</v>
      </c>
      <c r="U99" s="34" t="n">
        <v>135214.62</v>
      </c>
      <c r="V99" s="18" t="n">
        <v>205</v>
      </c>
      <c r="W99" s="18" t="n">
        <v>64147</v>
      </c>
      <c r="X99" s="18" t="n">
        <v>9216.450000000001</v>
      </c>
      <c r="Y99" s="18" t="n">
        <v>110.77</v>
      </c>
      <c r="Z99" s="34" t="n">
        <v>73679.22</v>
      </c>
      <c r="AA99" s="18" t="n">
        <v>205</v>
      </c>
      <c r="AB99" s="19" t="n">
        <v>91422.64999999999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18" t="n">
        <v>-540076.34</v>
      </c>
      <c r="F100" s="9" t="n"/>
      <c r="G100" s="18" t="n">
        <v>300042.19</v>
      </c>
      <c r="H100" s="18" t="n">
        <v>51526.02</v>
      </c>
      <c r="I100" s="18" t="n">
        <v>-495251.75</v>
      </c>
      <c r="J100" s="18" t="n">
        <v>-40442.19</v>
      </c>
      <c r="K100" s="34" t="n">
        <v>-184125.73</v>
      </c>
      <c r="L100" s="18" t="n">
        <v>147518.35</v>
      </c>
      <c r="M100" s="18" t="n">
        <v>-26619.29</v>
      </c>
      <c r="N100" s="18" t="n">
        <v>-44782.37</v>
      </c>
      <c r="O100" s="18" t="n">
        <v>-237858.81</v>
      </c>
      <c r="P100" s="34" t="n">
        <v>-161742.12</v>
      </c>
      <c r="Q100" s="18" t="n">
        <v>-19793.14</v>
      </c>
      <c r="R100" s="18" t="n">
        <v>-731808.1899999999</v>
      </c>
      <c r="S100" s="18" t="n">
        <v>-44825.63</v>
      </c>
      <c r="T100" s="18" t="n">
        <v>-657630.63</v>
      </c>
      <c r="U100" s="34" t="n">
        <v>-1454057.59</v>
      </c>
      <c r="V100" s="18" t="n">
        <v>383428.87</v>
      </c>
      <c r="W100" s="18" t="n">
        <v>-417154.8</v>
      </c>
      <c r="X100" s="18" t="n">
        <v>-128890.42</v>
      </c>
      <c r="Y100" s="18" t="n">
        <v>-199765.2</v>
      </c>
      <c r="Z100" s="34" t="n">
        <v>-362381.55</v>
      </c>
      <c r="AA100" s="18" t="n">
        <v>256723.4</v>
      </c>
      <c r="AB100" s="19" t="n">
        <v>-388537.8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371564.16</v>
      </c>
      <c r="H101" s="18" t="n">
        <v>0</v>
      </c>
      <c r="I101" s="18" t="n">
        <v>0</v>
      </c>
      <c r="J101" s="18" t="n">
        <v>0</v>
      </c>
      <c r="K101" s="34" t="n">
        <v>371564.16</v>
      </c>
      <c r="L101" s="18" t="n">
        <v>2154454.62</v>
      </c>
      <c r="M101" s="18" t="n">
        <v>32749.71</v>
      </c>
      <c r="N101" s="18" t="n">
        <v>9036.15</v>
      </c>
      <c r="P101" s="9" t="n"/>
      <c r="S101" s="18" t="n">
        <v>4304.06</v>
      </c>
      <c r="U101" s="9" t="n"/>
      <c r="V101" s="18" t="n">
        <v>100000</v>
      </c>
      <c r="W101" s="18" t="n">
        <v>100168</v>
      </c>
      <c r="X101" s="18" t="n">
        <v>0</v>
      </c>
      <c r="Y101" s="18" t="n">
        <v>0</v>
      </c>
      <c r="Z101" s="34" t="n">
        <v>200168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사채의증가</t>
        </is>
      </c>
      <c r="E102" s="18" t="n">
        <v>249261.26</v>
      </c>
      <c r="F102" s="9" t="n"/>
      <c r="I102" s="18" t="n">
        <v>0</v>
      </c>
      <c r="J102" s="18" t="n">
        <v>0</v>
      </c>
      <c r="K102" s="9" t="n"/>
      <c r="N102" s="18" t="n">
        <v>0</v>
      </c>
      <c r="O102" s="18" t="n">
        <v>0</v>
      </c>
      <c r="P102" s="9" t="n"/>
      <c r="Q102" s="18" t="n">
        <v>578380.4399999999</v>
      </c>
      <c r="R102" s="18" t="n">
        <v>0</v>
      </c>
      <c r="S102" s="18" t="n">
        <v>0</v>
      </c>
      <c r="T102" s="18" t="n">
        <v>299133.46</v>
      </c>
      <c r="U102" s="34" t="n">
        <v>877513.9</v>
      </c>
      <c r="V102" s="18" t="n">
        <v>398851.08</v>
      </c>
      <c r="W102" s="18" t="n">
        <v>0</v>
      </c>
      <c r="X102" s="18" t="n">
        <v>885072.27</v>
      </c>
      <c r="Y102" s="18" t="n">
        <v>945728.41</v>
      </c>
      <c r="Z102" s="34" t="n">
        <v>2229651.76</v>
      </c>
      <c r="AA102" s="18" t="n">
        <v>398861.36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E103" s="18" t="n">
        <v>2482.56</v>
      </c>
      <c r="F103" s="9" t="n"/>
      <c r="G103" s="18" t="n">
        <v>2522.89</v>
      </c>
      <c r="H103" s="18" t="n">
        <v>82628.41</v>
      </c>
      <c r="I103" s="18" t="n">
        <v>102778.2</v>
      </c>
      <c r="J103" s="18" t="n">
        <v>6160.89</v>
      </c>
      <c r="K103" s="34" t="n">
        <v>194090.39</v>
      </c>
      <c r="L103" s="18" t="n">
        <v>283.95</v>
      </c>
      <c r="M103" s="18" t="n">
        <v>3073.77</v>
      </c>
      <c r="N103" s="18" t="n">
        <v>8480.959999999999</v>
      </c>
      <c r="P103" s="9" t="n"/>
      <c r="Q103" s="18" t="n">
        <v>402822.96</v>
      </c>
      <c r="R103" s="18" t="n">
        <v>41594.42</v>
      </c>
      <c r="S103" s="18" t="n">
        <v>7193.09</v>
      </c>
      <c r="T103" s="18" t="n">
        <v>102606.24</v>
      </c>
      <c r="U103" s="34" t="n">
        <v>554216.71</v>
      </c>
      <c r="V103" s="18" t="n">
        <v>141407.31</v>
      </c>
      <c r="W103" s="18" t="n">
        <v>2247.14</v>
      </c>
      <c r="X103" s="18" t="n">
        <v>2937.79</v>
      </c>
      <c r="Y103" s="18" t="n">
        <v>12148.98</v>
      </c>
      <c r="Z103" s="34" t="n">
        <v>158741.22</v>
      </c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E104" s="18" t="n">
        <v>280000</v>
      </c>
      <c r="F104" s="9" t="n"/>
      <c r="K104" s="9" t="n"/>
      <c r="L104" s="18" t="n">
        <v>200000</v>
      </c>
      <c r="M104" s="18" t="n">
        <v>150000</v>
      </c>
      <c r="N104" s="18" t="n">
        <v>0</v>
      </c>
      <c r="O104" s="18" t="n">
        <v>320000</v>
      </c>
      <c r="P104" s="34" t="n">
        <v>670000</v>
      </c>
      <c r="S104" s="18" t="n">
        <v>0</v>
      </c>
      <c r="T104" s="18" t="n">
        <v>170000</v>
      </c>
      <c r="U104" s="9" t="n"/>
      <c r="X104" s="18" t="n">
        <v>0</v>
      </c>
      <c r="Y104" s="18" t="n">
        <v>50000</v>
      </c>
      <c r="Z104" s="9" t="n"/>
      <c r="AA104" s="18" t="n">
        <v>145000</v>
      </c>
      <c r="AB104" s="19" t="n">
        <v>275000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6519.81</v>
      </c>
      <c r="F105" s="9" t="n"/>
      <c r="G105" s="18" t="n">
        <v>6289.61</v>
      </c>
      <c r="H105" s="18" t="n">
        <v>6144.73</v>
      </c>
      <c r="I105" s="18" t="n">
        <v>6579.13</v>
      </c>
      <c r="J105" s="18" t="n">
        <v>6539.68</v>
      </c>
      <c r="K105" s="34" t="n">
        <v>25553.15</v>
      </c>
      <c r="L105" s="18" t="n">
        <v>6312.66</v>
      </c>
      <c r="M105" s="18" t="n">
        <v>10488.22</v>
      </c>
      <c r="N105" s="18" t="n">
        <v>8313.530000000001</v>
      </c>
      <c r="O105" s="18" t="n">
        <v>9634.780000000001</v>
      </c>
      <c r="P105" s="34" t="n">
        <v>34749.19</v>
      </c>
      <c r="Q105" s="18" t="n">
        <v>8229.379999999999</v>
      </c>
      <c r="R105" s="18" t="n">
        <v>8705.33</v>
      </c>
      <c r="S105" s="18" t="n">
        <v>8786.16</v>
      </c>
      <c r="T105" s="18" t="n">
        <v>8192.6</v>
      </c>
      <c r="U105" s="34" t="n">
        <v>33913.47</v>
      </c>
      <c r="V105" s="18" t="n">
        <v>9113.860000000001</v>
      </c>
      <c r="W105" s="18" t="n">
        <v>8755.969999999999</v>
      </c>
      <c r="X105" s="18" t="n">
        <v>8945.84</v>
      </c>
      <c r="Y105" s="18" t="n">
        <v>11242</v>
      </c>
      <c r="Z105" s="34" t="n">
        <v>38057.67</v>
      </c>
      <c r="AA105" s="18" t="n">
        <v>10304.71</v>
      </c>
      <c r="AB105" s="19" t="n">
        <v>9825.940000000001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이자지급(CF)</t>
        </is>
      </c>
      <c r="E106" s="18" t="n">
        <v>-36812.03</v>
      </c>
      <c r="F106" s="9" t="n"/>
      <c r="G106" s="18" t="n">
        <v>-44471.1</v>
      </c>
      <c r="H106" s="18" t="n">
        <v>-36900.94</v>
      </c>
      <c r="I106" s="18" t="n">
        <v>-40517.01</v>
      </c>
      <c r="J106" s="18" t="n">
        <v>-46861.4</v>
      </c>
      <c r="K106" s="34" t="n">
        <v>-168750.45</v>
      </c>
      <c r="L106" s="18" t="n">
        <v>-48830.07</v>
      </c>
      <c r="M106" s="18" t="n">
        <v>-66047.39999999999</v>
      </c>
      <c r="N106" s="18" t="n">
        <v>-59192.81</v>
      </c>
      <c r="O106" s="18" t="n">
        <v>-70323.56</v>
      </c>
      <c r="P106" s="34" t="n">
        <v>-244393.84</v>
      </c>
      <c r="Q106" s="18" t="n">
        <v>-50542.72</v>
      </c>
      <c r="R106" s="18" t="n">
        <v>-85058.64999999999</v>
      </c>
      <c r="S106" s="18" t="n">
        <v>-85128.08</v>
      </c>
      <c r="T106" s="18" t="n">
        <v>-78992.92999999999</v>
      </c>
      <c r="U106" s="34" t="n">
        <v>-299722.38</v>
      </c>
      <c r="V106" s="18" t="n">
        <v>-72092.56</v>
      </c>
      <c r="W106" s="18" t="n">
        <v>-74337.88</v>
      </c>
      <c r="X106" s="18" t="n">
        <v>-47366.11</v>
      </c>
      <c r="Y106" s="18" t="n">
        <v>-43950.96</v>
      </c>
      <c r="Z106" s="34" t="n">
        <v>-237747.51</v>
      </c>
      <c r="AA106" s="18" t="n">
        <v>-50624.16</v>
      </c>
      <c r="AB106" s="19" t="n">
        <v>-46810.71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배당금지급</t>
        </is>
      </c>
      <c r="E107" s="18" t="n">
        <v>0</v>
      </c>
      <c r="F107" s="9" t="n"/>
      <c r="I107" s="18" t="n">
        <v>7354.17</v>
      </c>
      <c r="J107" s="18" t="n">
        <v>0</v>
      </c>
      <c r="K107" s="9" t="n"/>
      <c r="N107" s="18" t="n">
        <v>7354.17</v>
      </c>
      <c r="O107" s="18" t="n">
        <v>0</v>
      </c>
      <c r="P107" s="9" t="n"/>
      <c r="S107" s="18" t="n">
        <v>7354.17</v>
      </c>
      <c r="T107" s="18" t="n">
        <v>0</v>
      </c>
      <c r="U107" s="9" t="n"/>
      <c r="X107" s="18" t="n">
        <v>7354.17</v>
      </c>
      <c r="Y107" s="18" t="n">
        <v>0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현금및현금성자산의증감</t>
        </is>
      </c>
      <c r="E108" s="18" t="n">
        <v>39723.13</v>
      </c>
      <c r="F108" s="9" t="n"/>
      <c r="G108" s="18" t="n">
        <v>-223429.66</v>
      </c>
      <c r="H108" s="18" t="n">
        <v>-7875.24</v>
      </c>
      <c r="I108" s="18" t="n">
        <v>112967.04</v>
      </c>
      <c r="J108" s="18" t="n">
        <v>354863.67</v>
      </c>
      <c r="K108" s="34" t="n">
        <v>236525.81</v>
      </c>
      <c r="L108" s="18" t="n">
        <v>38483.32</v>
      </c>
      <c r="M108" s="18" t="n">
        <v>154801.38</v>
      </c>
      <c r="N108" s="18" t="n">
        <v>42356.94</v>
      </c>
      <c r="O108" s="18" t="n">
        <v>35541.42</v>
      </c>
      <c r="P108" s="34" t="n">
        <v>271183.06</v>
      </c>
      <c r="Q108" s="18" t="n">
        <v>21111.44</v>
      </c>
      <c r="R108" s="18" t="n">
        <v>-14908.28</v>
      </c>
      <c r="S108" s="18" t="n">
        <v>-16228.9</v>
      </c>
      <c r="T108" s="18" t="n">
        <v>-565693.23</v>
      </c>
      <c r="U108" s="34" t="n">
        <v>-575718.97</v>
      </c>
      <c r="V108" s="18" t="n">
        <v>403278.38</v>
      </c>
      <c r="W108" s="18" t="n">
        <v>-103440.58</v>
      </c>
      <c r="X108" s="18" t="n">
        <v>112108.32</v>
      </c>
      <c r="Y108" s="18" t="n">
        <v>284532.77</v>
      </c>
      <c r="Z108" s="34" t="n">
        <v>696478.89</v>
      </c>
      <c r="AA108" s="18" t="n">
        <v>232424.84</v>
      </c>
      <c r="AB108" s="19" t="n">
        <v>-289643.7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기말현금및현금성자산</t>
        </is>
      </c>
      <c r="E109" s="18" t="n">
        <v>37910.82</v>
      </c>
      <c r="F109" s="9" t="n"/>
      <c r="G109" s="18" t="n">
        <v>328395.52</v>
      </c>
      <c r="H109" s="18" t="n">
        <v>65758.5</v>
      </c>
      <c r="I109" s="18" t="n">
        <v>73137.35000000001</v>
      </c>
      <c r="J109" s="18" t="n">
        <v>309456.3</v>
      </c>
      <c r="K109" s="34" t="n">
        <v>776747.67</v>
      </c>
      <c r="L109" s="18" t="n">
        <v>830350.62</v>
      </c>
      <c r="M109" s="18" t="n">
        <v>143259.7</v>
      </c>
      <c r="N109" s="18" t="n">
        <v>55829.09</v>
      </c>
      <c r="O109" s="18" t="n">
        <v>15702.7</v>
      </c>
      <c r="P109" s="34" t="n">
        <v>1045142.11</v>
      </c>
      <c r="Q109" s="18" t="n">
        <v>1083647.85</v>
      </c>
      <c r="R109" s="18" t="n">
        <v>-11018.16</v>
      </c>
      <c r="S109" s="18" t="n">
        <v>-31720.07</v>
      </c>
      <c r="T109" s="18" t="n">
        <v>-539579.86</v>
      </c>
      <c r="U109" s="34" t="n">
        <v>501329.76</v>
      </c>
      <c r="V109" s="18" t="n">
        <v>906545.13</v>
      </c>
      <c r="W109" s="18" t="n">
        <v>-124860.27</v>
      </c>
      <c r="X109" s="18" t="n">
        <v>133522.73</v>
      </c>
      <c r="Y109" s="18" t="n">
        <v>278404.85</v>
      </c>
      <c r="Z109" s="34" t="n">
        <v>1193612.44</v>
      </c>
      <c r="AA109" s="18" t="n">
        <v>1469494.85</v>
      </c>
      <c r="AB109" s="19" t="n">
        <v>-292114.55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자기주식의취득</t>
        </is>
      </c>
      <c r="F110" s="9" t="n"/>
      <c r="G110" s="18" t="n">
        <v>81426.66</v>
      </c>
      <c r="H110" s="18" t="n">
        <v>18467.27</v>
      </c>
      <c r="I110" s="18" t="n">
        <v>0</v>
      </c>
      <c r="J110" s="18" t="n">
        <v>0</v>
      </c>
      <c r="K110" s="34" t="n">
        <v>99893.92999999999</v>
      </c>
      <c r="P110" s="9" t="n"/>
      <c r="U110" s="9" t="n"/>
      <c r="Z110" s="9" t="n"/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장기차입금의감소</t>
        </is>
      </c>
      <c r="F111" s="9" t="n"/>
      <c r="K111" s="9" t="n"/>
      <c r="L111" s="18" t="n">
        <v>2106067.64</v>
      </c>
      <c r="M111" s="18" t="n">
        <v>71292.67999999999</v>
      </c>
      <c r="O111" s="18" t="n">
        <v>6333.5</v>
      </c>
      <c r="P111" s="9" t="n"/>
      <c r="S111" s="18" t="n">
        <v>0</v>
      </c>
      <c r="T111" s="18" t="n">
        <v>545592</v>
      </c>
      <c r="U111" s="9" t="n"/>
      <c r="X111" s="18" t="n">
        <v>958481.46</v>
      </c>
      <c r="Y111" s="18" t="n">
        <v>787297.34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케이씨씨(별)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1704546.27</v>
      </c>
      <c r="F5" s="34" t="n">
        <v>1704546.27</v>
      </c>
      <c r="G5" s="18" t="n">
        <v>2299643.47</v>
      </c>
      <c r="H5" s="18" t="n">
        <v>2395983.2</v>
      </c>
      <c r="I5" s="18" t="n">
        <v>2005125.99</v>
      </c>
      <c r="J5" s="18" t="n">
        <v>1971791.81</v>
      </c>
      <c r="K5" s="34" t="n">
        <v>1971791.81</v>
      </c>
      <c r="L5" s="18" t="n">
        <v>2158317.27</v>
      </c>
      <c r="M5" s="18" t="n">
        <v>2340728.49</v>
      </c>
      <c r="N5" s="18" t="n">
        <v>2401533.06</v>
      </c>
      <c r="O5" s="18" t="n">
        <v>2349590.48</v>
      </c>
      <c r="P5" s="34" t="n">
        <v>2349590.48</v>
      </c>
      <c r="Q5" s="18" t="n">
        <v>2448592.68</v>
      </c>
      <c r="R5" s="18" t="n">
        <v>2420739.35</v>
      </c>
      <c r="S5" s="18" t="n">
        <v>2467466.74</v>
      </c>
      <c r="T5" s="18" t="n">
        <v>1958625.22</v>
      </c>
      <c r="U5" s="34" t="n">
        <v>1958625.22</v>
      </c>
      <c r="V5" s="18" t="n">
        <v>2401953.45</v>
      </c>
      <c r="W5" s="18" t="n">
        <v>2041442.59</v>
      </c>
      <c r="X5" s="18" t="n">
        <v>2021694.73</v>
      </c>
      <c r="Y5" s="18" t="n">
        <v>1975270.37</v>
      </c>
      <c r="Z5" s="34" t="n">
        <v>1975270.37</v>
      </c>
      <c r="AA5" s="18" t="n">
        <v>2417429.1</v>
      </c>
      <c r="AB5" s="19" t="n">
        <v>1946446.98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182739.8</v>
      </c>
      <c r="F6" s="34" t="n">
        <v>182739.8</v>
      </c>
      <c r="G6" s="18" t="n">
        <v>153638.74</v>
      </c>
      <c r="H6" s="18" t="n">
        <v>158022.61</v>
      </c>
      <c r="I6" s="18" t="n">
        <v>227730.27</v>
      </c>
      <c r="J6" s="18" t="n">
        <v>501584.85</v>
      </c>
      <c r="K6" s="34" t="n">
        <v>501584.85</v>
      </c>
      <c r="L6" s="18" t="n">
        <v>555886.47</v>
      </c>
      <c r="M6" s="18" t="n">
        <v>689533.03</v>
      </c>
      <c r="N6" s="18" t="n">
        <v>732684.37</v>
      </c>
      <c r="O6" s="18" t="n">
        <v>724453.17</v>
      </c>
      <c r="P6" s="34" t="n">
        <v>724453.17</v>
      </c>
      <c r="Q6" s="18" t="n">
        <v>730153.27</v>
      </c>
      <c r="R6" s="18" t="n">
        <v>794183.36</v>
      </c>
      <c r="S6" s="18" t="n">
        <v>855245.7</v>
      </c>
      <c r="T6" s="18" t="n">
        <v>276042.67</v>
      </c>
      <c r="U6" s="34" t="n">
        <v>276042.67</v>
      </c>
      <c r="V6" s="18" t="n">
        <v>699444.78</v>
      </c>
      <c r="W6" s="18" t="n">
        <v>561965.16</v>
      </c>
      <c r="X6" s="18" t="n">
        <v>684640.21</v>
      </c>
      <c r="Y6" s="18" t="n">
        <v>886036.62</v>
      </c>
      <c r="Z6" s="34" t="n">
        <v>886036.62</v>
      </c>
      <c r="AA6" s="18" t="n">
        <v>1218978.29</v>
      </c>
      <c r="AB6" s="19" t="n">
        <v>793299.59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592331.14</v>
      </c>
      <c r="F7" s="34" t="n">
        <v>592331.14</v>
      </c>
      <c r="G7" s="18" t="n">
        <v>1101441.33</v>
      </c>
      <c r="H7" s="18" t="n">
        <v>1188377.77</v>
      </c>
      <c r="I7" s="18" t="n">
        <v>702058.35</v>
      </c>
      <c r="J7" s="18" t="n">
        <v>390186.83</v>
      </c>
      <c r="K7" s="34" t="n">
        <v>390186.83</v>
      </c>
      <c r="L7" s="18" t="n">
        <v>474572.4</v>
      </c>
      <c r="M7" s="18" t="n">
        <v>518738.49</v>
      </c>
      <c r="N7" s="18" t="n">
        <v>490438.22</v>
      </c>
      <c r="O7" s="18" t="n">
        <v>483239.54</v>
      </c>
      <c r="P7" s="34" t="n">
        <v>483239.54</v>
      </c>
      <c r="Q7" s="18" t="n">
        <v>526750.73</v>
      </c>
      <c r="R7" s="18" t="n">
        <v>415696.81</v>
      </c>
      <c r="S7" s="18" t="n">
        <v>461144.03</v>
      </c>
      <c r="T7" s="18" t="n">
        <v>481477.35</v>
      </c>
      <c r="U7" s="34" t="n">
        <v>481477.35</v>
      </c>
      <c r="V7" s="18" t="n">
        <v>509061.06</v>
      </c>
      <c r="W7" s="18" t="n">
        <v>349562.92</v>
      </c>
      <c r="X7" s="18" t="n">
        <v>194776.67</v>
      </c>
      <c r="Y7" s="18" t="n">
        <v>8501.549999999999</v>
      </c>
      <c r="Z7" s="34" t="n">
        <v>8501.549999999999</v>
      </c>
      <c r="AA7" s="18" t="n">
        <v>29584.01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592331.14</v>
      </c>
      <c r="F8" s="34" t="n">
        <v>592331.14</v>
      </c>
      <c r="G8" s="18" t="n">
        <v>1101441.33</v>
      </c>
      <c r="H8" s="18" t="n">
        <v>1188377.77</v>
      </c>
      <c r="I8" s="18" t="n">
        <v>702058.35</v>
      </c>
      <c r="J8" s="18" t="n">
        <v>390186.83</v>
      </c>
      <c r="K8" s="34" t="n">
        <v>390186.83</v>
      </c>
      <c r="L8" s="18" t="n">
        <v>474572.4</v>
      </c>
      <c r="M8" s="18" t="n">
        <v>518738.49</v>
      </c>
      <c r="N8" s="18" t="n">
        <v>490438.22</v>
      </c>
      <c r="O8" s="18" t="n">
        <v>483239.54</v>
      </c>
      <c r="P8" s="34" t="n">
        <v>483239.54</v>
      </c>
      <c r="Q8" s="18" t="n">
        <v>526750.73</v>
      </c>
      <c r="R8" s="18" t="n">
        <v>415696.81</v>
      </c>
      <c r="S8" s="18" t="n">
        <v>461144.03</v>
      </c>
      <c r="T8" s="18" t="n">
        <v>481477.35</v>
      </c>
      <c r="U8" s="34" t="n">
        <v>481477.35</v>
      </c>
      <c r="V8" s="18" t="n">
        <v>509061.06</v>
      </c>
      <c r="W8" s="18" t="n">
        <v>349562.92</v>
      </c>
      <c r="X8" s="18" t="n">
        <v>194776.67</v>
      </c>
      <c r="Y8" s="18" t="n">
        <v>8501.549999999999</v>
      </c>
      <c r="Z8" s="34" t="n">
        <v>8501.549999999999</v>
      </c>
      <c r="AA8" s="18" t="n">
        <v>29584.01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501805.77</v>
      </c>
      <c r="F9" s="34" t="n">
        <v>501805.77</v>
      </c>
      <c r="G9" s="18" t="n">
        <v>583506.47</v>
      </c>
      <c r="H9" s="18" t="n">
        <v>563766.88</v>
      </c>
      <c r="I9" s="18" t="n">
        <v>584313.78</v>
      </c>
      <c r="J9" s="18" t="n">
        <v>599834.4</v>
      </c>
      <c r="K9" s="34" t="n">
        <v>599834.4</v>
      </c>
      <c r="L9" s="18" t="n">
        <v>633422.24</v>
      </c>
      <c r="M9" s="18" t="n">
        <v>606209.5600000001</v>
      </c>
      <c r="N9" s="18" t="n">
        <v>622336.22</v>
      </c>
      <c r="O9" s="18" t="n">
        <v>598019.1</v>
      </c>
      <c r="P9" s="34" t="n">
        <v>598019.1</v>
      </c>
      <c r="Q9" s="18" t="n">
        <v>644551.23</v>
      </c>
      <c r="R9" s="18" t="n">
        <v>664776.34</v>
      </c>
      <c r="S9" s="18" t="n">
        <v>598688.34</v>
      </c>
      <c r="T9" s="18" t="n">
        <v>622823.1</v>
      </c>
      <c r="U9" s="34" t="n">
        <v>622823.1</v>
      </c>
      <c r="V9" s="18" t="n">
        <v>647886.29</v>
      </c>
      <c r="W9" s="18" t="n">
        <v>617084.63</v>
      </c>
      <c r="X9" s="18" t="n">
        <v>639817.24</v>
      </c>
      <c r="Y9" s="18" t="n">
        <v>566800.48</v>
      </c>
      <c r="Z9" s="34" t="n">
        <v>566800.48</v>
      </c>
      <c r="AA9" s="18" t="n">
        <v>659046.75</v>
      </c>
      <c r="AB9" s="19" t="n">
        <v>637404.65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4242.46</v>
      </c>
      <c r="F10" s="34" t="n">
        <v>4242.46</v>
      </c>
      <c r="G10" s="18" t="n">
        <v>4509.98</v>
      </c>
      <c r="H10" s="18" t="n">
        <v>9807.290000000001</v>
      </c>
      <c r="I10" s="18" t="n">
        <v>5648.42</v>
      </c>
      <c r="J10" s="18" t="n">
        <v>4708.45</v>
      </c>
      <c r="K10" s="34" t="n">
        <v>4708.45</v>
      </c>
      <c r="L10" s="18" t="n">
        <v>5190.49</v>
      </c>
      <c r="M10" s="18" t="n">
        <v>6315.52</v>
      </c>
      <c r="N10" s="18" t="n">
        <v>6107.37</v>
      </c>
      <c r="O10" s="18" t="n">
        <v>6777.41</v>
      </c>
      <c r="P10" s="34" t="n">
        <v>6777.41</v>
      </c>
      <c r="Q10" s="18" t="n">
        <v>8053.49</v>
      </c>
      <c r="R10" s="18" t="n">
        <v>5878.91</v>
      </c>
      <c r="S10" s="18" t="n">
        <v>4082.63</v>
      </c>
      <c r="T10" s="18" t="n">
        <v>3795.33</v>
      </c>
      <c r="U10" s="34" t="n">
        <v>3795.33</v>
      </c>
      <c r="V10" s="18" t="n">
        <v>3157.26</v>
      </c>
      <c r="W10" s="18" t="n">
        <v>2966.02</v>
      </c>
      <c r="X10" s="18" t="n">
        <v>2722.44</v>
      </c>
      <c r="Y10" s="18" t="n">
        <v>2736.59</v>
      </c>
      <c r="Z10" s="34" t="n">
        <v>2736.59</v>
      </c>
      <c r="AA10" s="18" t="n">
        <v>1626.35</v>
      </c>
      <c r="AB10" s="19" t="n">
        <v>3171.69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4242.46</v>
      </c>
      <c r="F11" s="34" t="n">
        <v>4242.46</v>
      </c>
      <c r="G11" s="18" t="n">
        <v>4509.98</v>
      </c>
      <c r="H11" s="18" t="n">
        <v>9807.290000000001</v>
      </c>
      <c r="I11" s="18" t="n">
        <v>5648.42</v>
      </c>
      <c r="J11" s="18" t="n">
        <v>4708.45</v>
      </c>
      <c r="K11" s="34" t="n">
        <v>4708.45</v>
      </c>
      <c r="L11" s="18" t="n">
        <v>5190.49</v>
      </c>
      <c r="M11" s="18" t="n">
        <v>6315.52</v>
      </c>
      <c r="N11" s="18" t="n">
        <v>6107.37</v>
      </c>
      <c r="O11" s="18" t="n">
        <v>6777.41</v>
      </c>
      <c r="P11" s="34" t="n">
        <v>6777.41</v>
      </c>
      <c r="Q11" s="18" t="n">
        <v>8053.49</v>
      </c>
      <c r="R11" s="18" t="n">
        <v>5878.91</v>
      </c>
      <c r="S11" s="18" t="n">
        <v>4082.63</v>
      </c>
      <c r="T11" s="18" t="n">
        <v>3795.33</v>
      </c>
      <c r="U11" s="34" t="n">
        <v>3795.33</v>
      </c>
      <c r="V11" s="18" t="n">
        <v>3157.26</v>
      </c>
      <c r="W11" s="18" t="n">
        <v>2966.02</v>
      </c>
      <c r="X11" s="18" t="n">
        <v>2722.44</v>
      </c>
      <c r="Y11" s="18" t="n">
        <v>2736.59</v>
      </c>
      <c r="Z11" s="34" t="n">
        <v>2736.59</v>
      </c>
      <c r="AA11" s="18" t="n">
        <v>1626.35</v>
      </c>
      <c r="AB11" s="19" t="n">
        <v>3171.69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14944.86</v>
      </c>
      <c r="F12" s="34" t="n">
        <v>14944.86</v>
      </c>
      <c r="G12" s="18" t="n">
        <v>21138.61</v>
      </c>
      <c r="H12" s="18" t="n">
        <v>24596.28</v>
      </c>
      <c r="I12" s="18" t="n">
        <v>18544.65</v>
      </c>
      <c r="J12" s="18" t="n">
        <v>19104.74</v>
      </c>
      <c r="K12" s="34" t="n">
        <v>19104.74</v>
      </c>
      <c r="L12" s="18" t="n">
        <v>18768.83</v>
      </c>
      <c r="M12" s="18" t="n">
        <v>18451.82</v>
      </c>
      <c r="N12" s="18" t="n">
        <v>16280.14</v>
      </c>
      <c r="O12" s="18" t="n">
        <v>21500.21</v>
      </c>
      <c r="P12" s="34" t="n">
        <v>21500.21</v>
      </c>
      <c r="Q12" s="18" t="n">
        <v>17557.59</v>
      </c>
      <c r="R12" s="18" t="n">
        <v>16353.17</v>
      </c>
      <c r="S12" s="18" t="n">
        <v>10432.9</v>
      </c>
      <c r="T12" s="18" t="n">
        <v>9863.51</v>
      </c>
      <c r="U12" s="34" t="n">
        <v>9863.51</v>
      </c>
      <c r="V12" s="18" t="n">
        <v>9264.790000000001</v>
      </c>
      <c r="W12" s="18" t="n">
        <v>9035.85</v>
      </c>
      <c r="X12" s="18" t="n">
        <v>8027.34</v>
      </c>
      <c r="Y12" s="18" t="n">
        <v>7842.79</v>
      </c>
      <c r="Z12" s="34" t="n">
        <v>7842.79</v>
      </c>
      <c r="AA12" s="18" t="n">
        <v>7381.64</v>
      </c>
      <c r="AB12" s="19" t="n">
        <v>10453.14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기타유동금융자산</t>
        </is>
      </c>
      <c r="E13" s="18" t="n">
        <v>2441.16</v>
      </c>
      <c r="F13" s="34" t="n">
        <v>2441.16</v>
      </c>
      <c r="G13" s="18" t="n">
        <v>3064.61</v>
      </c>
      <c r="H13" s="18" t="n">
        <v>3882.13</v>
      </c>
      <c r="I13" s="18" t="n">
        <v>2942.33</v>
      </c>
      <c r="J13" s="18" t="n">
        <v>3839.8</v>
      </c>
      <c r="K13" s="34" t="n">
        <v>3839.8</v>
      </c>
      <c r="L13" s="18" t="n">
        <v>3404.55</v>
      </c>
      <c r="M13" s="18" t="n">
        <v>5060.48</v>
      </c>
      <c r="N13" s="18" t="n">
        <v>12529.82</v>
      </c>
      <c r="O13" s="18" t="n">
        <v>9768.360000000001</v>
      </c>
      <c r="P13" s="34" t="n">
        <v>9768.360000000001</v>
      </c>
      <c r="Q13" s="18" t="n">
        <v>21085.95</v>
      </c>
      <c r="R13" s="18" t="n">
        <v>18838.42</v>
      </c>
      <c r="S13" s="18" t="n">
        <v>16384.87</v>
      </c>
      <c r="T13" s="18" t="n">
        <v>21688.98</v>
      </c>
      <c r="U13" s="34" t="n">
        <v>21688.98</v>
      </c>
      <c r="V13" s="18" t="n">
        <v>3303.08</v>
      </c>
      <c r="W13" s="18" t="n">
        <v>2833.72</v>
      </c>
      <c r="X13" s="18" t="n">
        <v>1439.78</v>
      </c>
      <c r="Y13" s="18" t="n">
        <v>96.7</v>
      </c>
      <c r="Z13" s="34" t="n">
        <v>96.7</v>
      </c>
      <c r="AA13" s="18" t="n">
        <v>95.68000000000001</v>
      </c>
      <c r="AB13" s="19" t="n">
        <v>37.51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387801.47</v>
      </c>
      <c r="F14" s="34" t="n">
        <v>387801.47</v>
      </c>
      <c r="G14" s="18" t="n">
        <v>414371.65</v>
      </c>
      <c r="H14" s="18" t="n">
        <v>434855.46</v>
      </c>
      <c r="I14" s="18" t="n">
        <v>447054.54</v>
      </c>
      <c r="J14" s="18" t="n">
        <v>457241.18</v>
      </c>
      <c r="K14" s="34" t="n">
        <v>457241.18</v>
      </c>
      <c r="L14" s="18" t="n">
        <v>472262.77</v>
      </c>
      <c r="M14" s="18" t="n">
        <v>502735.1</v>
      </c>
      <c r="N14" s="18" t="n">
        <v>504782.22</v>
      </c>
      <c r="O14" s="18" t="n">
        <v>512610.1</v>
      </c>
      <c r="P14" s="34" t="n">
        <v>512610.1</v>
      </c>
      <c r="Q14" s="18" t="n">
        <v>508493.9</v>
      </c>
      <c r="R14" s="18" t="n">
        <v>510891.27</v>
      </c>
      <c r="S14" s="18" t="n">
        <v>525570.91</v>
      </c>
      <c r="T14" s="18" t="n">
        <v>546729.6</v>
      </c>
      <c r="U14" s="34" t="n">
        <v>546729.6</v>
      </c>
      <c r="V14" s="18" t="n">
        <v>532993.45</v>
      </c>
      <c r="W14" s="18" t="n">
        <v>500960.31</v>
      </c>
      <c r="X14" s="18" t="n">
        <v>492993.48</v>
      </c>
      <c r="Y14" s="18" t="n">
        <v>505992.23</v>
      </c>
      <c r="Z14" s="34" t="n">
        <v>505992.23</v>
      </c>
      <c r="AA14" s="18" t="n">
        <v>502342.73</v>
      </c>
      <c r="AB14" s="19" t="n">
        <v>505252.08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7105826.15</v>
      </c>
      <c r="F15" s="34" t="n">
        <v>7105826.15</v>
      </c>
      <c r="G15" s="18" t="n">
        <v>6832549.81</v>
      </c>
      <c r="H15" s="18" t="n">
        <v>6961801.97</v>
      </c>
      <c r="I15" s="18" t="n">
        <v>6565494.49</v>
      </c>
      <c r="J15" s="18" t="n">
        <v>6831287.81</v>
      </c>
      <c r="K15" s="34" t="n">
        <v>6831287.81</v>
      </c>
      <c r="L15" s="18" t="n">
        <v>6802872.09</v>
      </c>
      <c r="M15" s="18" t="n">
        <v>6904157.67</v>
      </c>
      <c r="N15" s="18" t="n">
        <v>6915116.85</v>
      </c>
      <c r="O15" s="18" t="n">
        <v>7307682.02</v>
      </c>
      <c r="P15" s="34" t="n">
        <v>7307682.02</v>
      </c>
      <c r="Q15" s="18" t="n">
        <v>7904680.64</v>
      </c>
      <c r="R15" s="18" t="n">
        <v>8068423.86</v>
      </c>
      <c r="S15" s="18" t="n">
        <v>8056915.73</v>
      </c>
      <c r="T15" s="18" t="n">
        <v>8340919.56</v>
      </c>
      <c r="U15" s="34" t="n">
        <v>8340919.56</v>
      </c>
      <c r="V15" s="18" t="n">
        <v>9576913.890000001</v>
      </c>
      <c r="W15" s="18" t="n">
        <v>10814398.81</v>
      </c>
      <c r="X15" s="18" t="n">
        <v>12283419.77</v>
      </c>
      <c r="Y15" s="18" t="n">
        <v>13151278.44</v>
      </c>
      <c r="Z15" s="34" t="n">
        <v>13151278.44</v>
      </c>
      <c r="AA15" s="18" t="n">
        <v>13218320.2</v>
      </c>
      <c r="AB15" s="19" t="n">
        <v>17011650.34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46770.47</v>
      </c>
      <c r="F16" s="34" t="n">
        <v>46770.47</v>
      </c>
      <c r="G16" s="18" t="n">
        <v>44587.56</v>
      </c>
      <c r="H16" s="18" t="n">
        <v>43302.93</v>
      </c>
      <c r="I16" s="18" t="n">
        <v>42252.85</v>
      </c>
      <c r="J16" s="18" t="n">
        <v>40543.76</v>
      </c>
      <c r="K16" s="34" t="n">
        <v>40543.76</v>
      </c>
      <c r="L16" s="18" t="n">
        <v>879.8200000000001</v>
      </c>
      <c r="M16" s="18" t="n">
        <v>59020.73</v>
      </c>
      <c r="N16" s="18" t="n">
        <v>1529.85</v>
      </c>
      <c r="O16" s="18" t="n">
        <v>56418.12</v>
      </c>
      <c r="P16" s="34" t="n">
        <v>56418.12</v>
      </c>
      <c r="Q16" s="18" t="n">
        <v>189737.13</v>
      </c>
      <c r="R16" s="18" t="n">
        <v>194533.88</v>
      </c>
      <c r="S16" s="18" t="n">
        <v>186485.8</v>
      </c>
      <c r="T16" s="18" t="n">
        <v>197910.67</v>
      </c>
      <c r="U16" s="34" t="n">
        <v>197910.67</v>
      </c>
      <c r="V16" s="18" t="n">
        <v>198194.43</v>
      </c>
      <c r="W16" s="18" t="n">
        <v>189236.85</v>
      </c>
      <c r="X16" s="18" t="n">
        <v>37267.64</v>
      </c>
      <c r="Y16" s="18" t="n">
        <v>47834.76</v>
      </c>
      <c r="Z16" s="34" t="n">
        <v>47834.76</v>
      </c>
      <c r="AA16" s="18" t="n">
        <v>47607.35</v>
      </c>
      <c r="AB16" s="19" t="n">
        <v>45822.1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60933.36</v>
      </c>
      <c r="F17" s="34" t="n">
        <v>60933.36</v>
      </c>
      <c r="G17" s="18" t="n">
        <v>53039.26</v>
      </c>
      <c r="H17" s="18" t="n">
        <v>49310.5</v>
      </c>
      <c r="I17" s="18" t="n">
        <v>41197.55</v>
      </c>
      <c r="J17" s="18" t="n">
        <v>75656.75</v>
      </c>
      <c r="K17" s="34" t="n">
        <v>75656.75</v>
      </c>
      <c r="L17" s="18" t="n">
        <v>67797.53</v>
      </c>
      <c r="M17" s="18" t="n">
        <v>66474.25</v>
      </c>
      <c r="N17" s="18" t="n">
        <v>61613.59</v>
      </c>
      <c r="O17" s="18" t="n">
        <v>35849.4</v>
      </c>
      <c r="P17" s="34" t="n">
        <v>35849.4</v>
      </c>
      <c r="Q17" s="18" t="n">
        <v>28820.77</v>
      </c>
      <c r="R17" s="18" t="n">
        <v>31707.54</v>
      </c>
      <c r="S17" s="18" t="n">
        <v>29851.67</v>
      </c>
      <c r="T17" s="18" t="n">
        <v>43891.26</v>
      </c>
      <c r="U17" s="34" t="n">
        <v>43891.26</v>
      </c>
      <c r="V17" s="18" t="n">
        <v>37309.68</v>
      </c>
      <c r="W17" s="18" t="n">
        <v>32392.54</v>
      </c>
      <c r="X17" s="18" t="n">
        <v>30514.03</v>
      </c>
      <c r="Y17" s="18" t="n">
        <v>34851.46</v>
      </c>
      <c r="Z17" s="34" t="n">
        <v>34851.46</v>
      </c>
      <c r="AA17" s="18" t="n">
        <v>27679.67</v>
      </c>
      <c r="AB17" s="19" t="n">
        <v>24313.6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2666973.71</v>
      </c>
      <c r="F18" s="34" t="n">
        <v>2666973.71</v>
      </c>
      <c r="G18" s="18" t="n">
        <v>2384359.1</v>
      </c>
      <c r="H18" s="18" t="n">
        <v>2530953.17</v>
      </c>
      <c r="I18" s="18" t="n">
        <v>2134304.44</v>
      </c>
      <c r="J18" s="18" t="n">
        <v>2287108.98</v>
      </c>
      <c r="K18" s="34" t="n">
        <v>2287108.98</v>
      </c>
      <c r="L18" s="18" t="n">
        <v>2220663.99</v>
      </c>
      <c r="M18" s="18" t="n">
        <v>2306180.13</v>
      </c>
      <c r="N18" s="18" t="n">
        <v>2315995.32</v>
      </c>
      <c r="O18" s="18" t="n">
        <v>2723859.54</v>
      </c>
      <c r="P18" s="34" t="n">
        <v>2723859.54</v>
      </c>
      <c r="Q18" s="18" t="n">
        <v>3207437.76</v>
      </c>
      <c r="R18" s="18" t="n">
        <v>3047759.63</v>
      </c>
      <c r="S18" s="18" t="n">
        <v>3058077.3</v>
      </c>
      <c r="T18" s="18" t="n">
        <v>2767066.43</v>
      </c>
      <c r="U18" s="34" t="n">
        <v>2767066.43</v>
      </c>
      <c r="V18" s="18" t="n">
        <v>2735746.01</v>
      </c>
      <c r="W18" s="18" t="n">
        <v>3989057.93</v>
      </c>
      <c r="X18" s="18" t="n">
        <v>4530146.42</v>
      </c>
      <c r="Y18" s="18" t="n">
        <v>5455560.98</v>
      </c>
      <c r="Z18" s="34" t="n">
        <v>5455560.98</v>
      </c>
      <c r="AA18" s="18" t="n">
        <v>5525797.72</v>
      </c>
      <c r="AB18" s="19" t="n">
        <v>9177343.869999999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4743334.85</v>
      </c>
      <c r="F19" s="34" t="n">
        <v>4743334.85</v>
      </c>
      <c r="G19" s="18" t="n">
        <v>4486239.66</v>
      </c>
      <c r="H19" s="18" t="n">
        <v>4633222.62</v>
      </c>
      <c r="I19" s="18" t="n">
        <v>4238939.01</v>
      </c>
      <c r="J19" s="18" t="n">
        <v>4429827.17</v>
      </c>
      <c r="K19" s="34" t="n">
        <v>4429827.17</v>
      </c>
      <c r="L19" s="18" t="n">
        <v>4376954.42</v>
      </c>
      <c r="M19" s="18" t="n">
        <v>4473207.42</v>
      </c>
      <c r="N19" s="18" t="n">
        <v>4486013.37</v>
      </c>
      <c r="O19" s="18" t="n">
        <v>4898276.06</v>
      </c>
      <c r="P19" s="34" t="n">
        <v>4898276.06</v>
      </c>
      <c r="Q19" s="18" t="n">
        <v>5386811.54</v>
      </c>
      <c r="R19" s="18" t="n">
        <v>5548754.43</v>
      </c>
      <c r="S19" s="18" t="n">
        <v>5560133.11</v>
      </c>
      <c r="T19" s="18" t="n">
        <v>5846810.24</v>
      </c>
      <c r="U19" s="34" t="n">
        <v>5846810.24</v>
      </c>
      <c r="V19" s="18" t="n">
        <v>5815489.82</v>
      </c>
      <c r="W19" s="18" t="n">
        <v>7085790.22</v>
      </c>
      <c r="X19" s="18" t="n">
        <v>8731562.390000001</v>
      </c>
      <c r="Y19" s="18" t="n">
        <v>9656976.949999999</v>
      </c>
      <c r="Z19" s="34" t="n">
        <v>9656976.949999999</v>
      </c>
      <c r="AA19" s="18" t="n">
        <v>9728218.4</v>
      </c>
      <c r="AB19" s="19" t="n">
        <v>13535847.67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2076361.14</v>
      </c>
      <c r="F20" s="34" t="n">
        <v>2076361.14</v>
      </c>
      <c r="G20" s="18" t="n">
        <v>2101880.56</v>
      </c>
      <c r="H20" s="18" t="n">
        <v>2102269.45</v>
      </c>
      <c r="I20" s="18" t="n">
        <v>2104634.57</v>
      </c>
      <c r="J20" s="18" t="n">
        <v>2142718.19</v>
      </c>
      <c r="K20" s="34" t="n">
        <v>2142718.19</v>
      </c>
      <c r="L20" s="18" t="n">
        <v>2156290.43</v>
      </c>
      <c r="M20" s="18" t="n">
        <v>2167027.29</v>
      </c>
      <c r="N20" s="18" t="n">
        <v>2170018.05</v>
      </c>
      <c r="O20" s="18" t="n">
        <v>2174416.52</v>
      </c>
      <c r="P20" s="34" t="n">
        <v>2174416.52</v>
      </c>
      <c r="Q20" s="18" t="n">
        <v>2179373.78</v>
      </c>
      <c r="R20" s="18" t="n">
        <v>2500994.8</v>
      </c>
      <c r="S20" s="18" t="n">
        <v>2502055.81</v>
      </c>
      <c r="T20" s="18" t="n">
        <v>3079743.81</v>
      </c>
      <c r="U20" s="34" t="n">
        <v>3079743.81</v>
      </c>
      <c r="V20" s="18" t="n">
        <v>3079743.81</v>
      </c>
      <c r="W20" s="18" t="n">
        <v>3096732.29</v>
      </c>
      <c r="X20" s="18" t="n">
        <v>4201415.97</v>
      </c>
      <c r="Y20" s="18" t="n">
        <v>4201415.97</v>
      </c>
      <c r="Z20" s="34" t="n">
        <v>4201415.97</v>
      </c>
      <c r="AA20" s="18" t="n">
        <v>4202420.68</v>
      </c>
      <c r="AB20" s="19" t="n">
        <v>4358503.8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24633.01</v>
      </c>
      <c r="F21" s="34" t="n">
        <v>24633.01</v>
      </c>
      <c r="G21" s="18" t="n">
        <v>23862.44</v>
      </c>
      <c r="H21" s="18" t="n">
        <v>25286.24</v>
      </c>
      <c r="I21" s="18" t="n">
        <v>24567.87</v>
      </c>
      <c r="J21" s="18" t="n">
        <v>31189.47</v>
      </c>
      <c r="K21" s="34" t="n">
        <v>31189.47</v>
      </c>
      <c r="L21" s="18" t="n">
        <v>28842.12</v>
      </c>
      <c r="M21" s="18" t="n">
        <v>29305.02</v>
      </c>
      <c r="N21" s="18" t="n">
        <v>29263.65</v>
      </c>
      <c r="O21" s="18" t="n">
        <v>29085.44</v>
      </c>
      <c r="P21" s="34" t="n">
        <v>29085.44</v>
      </c>
      <c r="Q21" s="18" t="n">
        <v>27777.07</v>
      </c>
      <c r="R21" s="18" t="n">
        <v>29402.48</v>
      </c>
      <c r="S21" s="18" t="n">
        <v>27730.46</v>
      </c>
      <c r="T21" s="18" t="n">
        <v>31940.33</v>
      </c>
      <c r="U21" s="34" t="n">
        <v>31940.33</v>
      </c>
      <c r="V21" s="18" t="n">
        <v>31429.99</v>
      </c>
      <c r="W21" s="18" t="n">
        <v>29914.93</v>
      </c>
      <c r="X21" s="18" t="n">
        <v>28216.98</v>
      </c>
      <c r="Y21" s="18" t="n">
        <v>20485.31</v>
      </c>
      <c r="Z21" s="34" t="n">
        <v>20485.31</v>
      </c>
      <c r="AA21" s="18" t="n">
        <v>19156.37</v>
      </c>
      <c r="AB21" s="19" t="n">
        <v>21427.52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유형자산</t>
        </is>
      </c>
      <c r="E22" s="18" t="n">
        <v>1686066.61</v>
      </c>
      <c r="F22" s="34" t="n">
        <v>1686066.61</v>
      </c>
      <c r="G22" s="18" t="n">
        <v>1675929.73</v>
      </c>
      <c r="H22" s="18" t="n">
        <v>1651266.07</v>
      </c>
      <c r="I22" s="18" t="n">
        <v>1662029.72</v>
      </c>
      <c r="J22" s="18" t="n">
        <v>1682697.45</v>
      </c>
      <c r="K22" s="34" t="n">
        <v>1682697.45</v>
      </c>
      <c r="L22" s="18" t="n">
        <v>1629393.09</v>
      </c>
      <c r="M22" s="18" t="n">
        <v>1641970.54</v>
      </c>
      <c r="N22" s="18" t="n">
        <v>1660969.35</v>
      </c>
      <c r="O22" s="18" t="n">
        <v>1647382.6</v>
      </c>
      <c r="P22" s="34" t="n">
        <v>1647382.6</v>
      </c>
      <c r="Q22" s="18" t="n">
        <v>1625817.5</v>
      </c>
      <c r="R22" s="18" t="n">
        <v>1622853.43</v>
      </c>
      <c r="S22" s="18" t="n">
        <v>1573265.78</v>
      </c>
      <c r="T22" s="18" t="n">
        <v>1546196.24</v>
      </c>
      <c r="U22" s="34" t="n">
        <v>1546196.24</v>
      </c>
      <c r="V22" s="18" t="n">
        <v>2394751.96</v>
      </c>
      <c r="W22" s="18" t="n">
        <v>2396921.9</v>
      </c>
      <c r="X22" s="18" t="n">
        <v>2360733.57</v>
      </c>
      <c r="Y22" s="18" t="n">
        <v>2298805.12</v>
      </c>
      <c r="Z22" s="34" t="n">
        <v>2298805.12</v>
      </c>
      <c r="AA22" s="18" t="n">
        <v>2303207.93</v>
      </c>
      <c r="AB22" s="19" t="n">
        <v>2276886.63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8389.549999999999</v>
      </c>
      <c r="F23" s="34" t="n">
        <v>8389.549999999999</v>
      </c>
      <c r="G23" s="18" t="n">
        <v>8464.709999999999</v>
      </c>
      <c r="H23" s="18" t="n">
        <v>8275.950000000001</v>
      </c>
      <c r="I23" s="18" t="n">
        <v>8185.89</v>
      </c>
      <c r="J23" s="18" t="n">
        <v>8450.25</v>
      </c>
      <c r="K23" s="34" t="n">
        <v>8450.25</v>
      </c>
      <c r="L23" s="18" t="n">
        <v>8261.530000000001</v>
      </c>
      <c r="M23" s="18" t="n">
        <v>8247.42</v>
      </c>
      <c r="N23" s="18" t="n">
        <v>8074.7</v>
      </c>
      <c r="O23" s="18" t="n">
        <v>7794.26</v>
      </c>
      <c r="P23" s="34" t="n">
        <v>7794.26</v>
      </c>
      <c r="Q23" s="18" t="n">
        <v>7801.54</v>
      </c>
      <c r="R23" s="18" t="n">
        <v>7616.67</v>
      </c>
      <c r="S23" s="18" t="n">
        <v>7398.84</v>
      </c>
      <c r="T23" s="18" t="n">
        <v>7340.67</v>
      </c>
      <c r="U23" s="34" t="n">
        <v>7340.67</v>
      </c>
      <c r="V23" s="18" t="n">
        <v>7175.82</v>
      </c>
      <c r="W23" s="18" t="n">
        <v>7035.25</v>
      </c>
      <c r="X23" s="18" t="n">
        <v>6608.96</v>
      </c>
      <c r="Y23" s="18" t="n">
        <v>6486.98</v>
      </c>
      <c r="Z23" s="34" t="n">
        <v>6486.98</v>
      </c>
      <c r="AA23" s="18" t="n">
        <v>8546.01</v>
      </c>
      <c r="AB23" s="19" t="n">
        <v>8467.16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560331.3100000001</v>
      </c>
      <c r="F24" s="34" t="n">
        <v>560331.3100000001</v>
      </c>
      <c r="G24" s="18" t="n">
        <v>564288.89</v>
      </c>
      <c r="H24" s="18" t="n">
        <v>576423.9</v>
      </c>
      <c r="I24" s="18" t="n">
        <v>572889.48</v>
      </c>
      <c r="J24" s="18" t="n">
        <v>594112.4300000001</v>
      </c>
      <c r="K24" s="34" t="n">
        <v>594112.4300000001</v>
      </c>
      <c r="L24" s="18" t="n">
        <v>655734.0600000001</v>
      </c>
      <c r="M24" s="18" t="n">
        <v>655237.3100000001</v>
      </c>
      <c r="N24" s="18" t="n">
        <v>640515.15</v>
      </c>
      <c r="O24" s="18" t="n">
        <v>661961.58</v>
      </c>
      <c r="P24" s="34" t="n">
        <v>661961.58</v>
      </c>
      <c r="Q24" s="18" t="n">
        <v>665692.15</v>
      </c>
      <c r="R24" s="18" t="n">
        <v>662957.91</v>
      </c>
      <c r="S24" s="18" t="n">
        <v>699780.53</v>
      </c>
      <c r="T24" s="18" t="n">
        <v>698770.48</v>
      </c>
      <c r="U24" s="34" t="n">
        <v>698770.48</v>
      </c>
      <c r="V24" s="18" t="n">
        <v>1123992.16</v>
      </c>
      <c r="W24" s="18" t="n">
        <v>1103022.05</v>
      </c>
      <c r="X24" s="18" t="n">
        <v>1116733.19</v>
      </c>
      <c r="Y24" s="18" t="n">
        <v>1106323.17</v>
      </c>
      <c r="Z24" s="34" t="n">
        <v>1106323.17</v>
      </c>
      <c r="AA24" s="18" t="n">
        <v>1103060.83</v>
      </c>
      <c r="AB24" s="19" t="n">
        <v>1120313.18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8810372.41</v>
      </c>
      <c r="F25" s="34" t="n">
        <v>8810372.41</v>
      </c>
      <c r="G25" s="18" t="n">
        <v>9132193.279999999</v>
      </c>
      <c r="H25" s="18" t="n">
        <v>9357785.17</v>
      </c>
      <c r="I25" s="18" t="n">
        <v>8570620.470000001</v>
      </c>
      <c r="J25" s="18" t="n">
        <v>8803079.609999999</v>
      </c>
      <c r="K25" s="34" t="n">
        <v>8803079.609999999</v>
      </c>
      <c r="L25" s="18" t="n">
        <v>8961189.35</v>
      </c>
      <c r="M25" s="18" t="n">
        <v>9244886.15</v>
      </c>
      <c r="N25" s="18" t="n">
        <v>9316649.91</v>
      </c>
      <c r="O25" s="18" t="n">
        <v>9657272.5</v>
      </c>
      <c r="P25" s="34" t="n">
        <v>9657272.5</v>
      </c>
      <c r="Q25" s="18" t="n">
        <v>10353273.31</v>
      </c>
      <c r="R25" s="18" t="n">
        <v>10489163.22</v>
      </c>
      <c r="S25" s="18" t="n">
        <v>10524382.47</v>
      </c>
      <c r="T25" s="18" t="n">
        <v>10299544.78</v>
      </c>
      <c r="U25" s="34" t="n">
        <v>10299544.78</v>
      </c>
      <c r="V25" s="18" t="n">
        <v>11978867.34</v>
      </c>
      <c r="W25" s="18" t="n">
        <v>12855841.4</v>
      </c>
      <c r="X25" s="18" t="n">
        <v>14305114.5</v>
      </c>
      <c r="Y25" s="18" t="n">
        <v>15126548.8</v>
      </c>
      <c r="Z25" s="34" t="n">
        <v>15126548.8</v>
      </c>
      <c r="AA25" s="18" t="n">
        <v>15635749.3</v>
      </c>
      <c r="AB25" s="19" t="n">
        <v>18958097.32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1715523.11</v>
      </c>
      <c r="F26" s="34" t="n">
        <v>1715523.11</v>
      </c>
      <c r="G26" s="18" t="n">
        <v>2080099.89</v>
      </c>
      <c r="H26" s="18" t="n">
        <v>2024890.42</v>
      </c>
      <c r="I26" s="18" t="n">
        <v>1617175.37</v>
      </c>
      <c r="J26" s="18" t="n">
        <v>1872544.28</v>
      </c>
      <c r="K26" s="34" t="n">
        <v>1872544.28</v>
      </c>
      <c r="L26" s="18" t="n">
        <v>2548866.86</v>
      </c>
      <c r="M26" s="18" t="n">
        <v>2611180.26</v>
      </c>
      <c r="N26" s="18" t="n">
        <v>2598171.75</v>
      </c>
      <c r="O26" s="18" t="n">
        <v>2940655.63</v>
      </c>
      <c r="P26" s="34" t="n">
        <v>2940655.63</v>
      </c>
      <c r="Q26" s="18" t="n">
        <v>2555316.61</v>
      </c>
      <c r="R26" s="18" t="n">
        <v>2315621.62</v>
      </c>
      <c r="S26" s="18" t="n">
        <v>2323877.13</v>
      </c>
      <c r="T26" s="18" t="n">
        <v>2061750.2</v>
      </c>
      <c r="U26" s="34" t="n">
        <v>2061750.2</v>
      </c>
      <c r="V26" s="18" t="n">
        <v>2179419.69</v>
      </c>
      <c r="W26" s="18" t="n">
        <v>2058958.74</v>
      </c>
      <c r="X26" s="18" t="n">
        <v>3057296.73</v>
      </c>
      <c r="Y26" s="18" t="n">
        <v>3131736.42</v>
      </c>
      <c r="Z26" s="34" t="n">
        <v>3131736.42</v>
      </c>
      <c r="AA26" s="18" t="n">
        <v>3457853.77</v>
      </c>
      <c r="AB26" s="19" t="n">
        <v>3720364.22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240105.18</v>
      </c>
      <c r="F27" s="34" t="n">
        <v>240105.18</v>
      </c>
      <c r="G27" s="18" t="n">
        <v>256748.09</v>
      </c>
      <c r="H27" s="18" t="n">
        <v>273919.34</v>
      </c>
      <c r="I27" s="18" t="n">
        <v>261330.37</v>
      </c>
      <c r="J27" s="18" t="n">
        <v>256239.41</v>
      </c>
      <c r="K27" s="34" t="n">
        <v>256239.41</v>
      </c>
      <c r="L27" s="18" t="n">
        <v>254155.66</v>
      </c>
      <c r="M27" s="18" t="n">
        <v>274767.03</v>
      </c>
      <c r="N27" s="18" t="n">
        <v>259248.56</v>
      </c>
      <c r="O27" s="18" t="n">
        <v>269335.43</v>
      </c>
      <c r="P27" s="34" t="n">
        <v>269335.43</v>
      </c>
      <c r="Q27" s="18" t="n">
        <v>264217.76</v>
      </c>
      <c r="R27" s="18" t="n">
        <v>298397.1</v>
      </c>
      <c r="S27" s="18" t="n">
        <v>261625.03</v>
      </c>
      <c r="T27" s="18" t="n">
        <v>252195.8</v>
      </c>
      <c r="U27" s="34" t="n">
        <v>252195.8</v>
      </c>
      <c r="V27" s="18" t="n">
        <v>249991.29</v>
      </c>
      <c r="W27" s="18" t="n">
        <v>262388.7</v>
      </c>
      <c r="X27" s="18" t="n">
        <v>249827.95</v>
      </c>
      <c r="Y27" s="18" t="n">
        <v>235479.98</v>
      </c>
      <c r="Z27" s="34" t="n">
        <v>235479.98</v>
      </c>
      <c r="AA27" s="18" t="n">
        <v>261546.78</v>
      </c>
      <c r="AB27" s="19" t="n">
        <v>316525.44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817644.85</v>
      </c>
      <c r="F28" s="34" t="n">
        <v>817644.85</v>
      </c>
      <c r="G28" s="18" t="n">
        <v>887986.49</v>
      </c>
      <c r="H28" s="18" t="n">
        <v>751382.88</v>
      </c>
      <c r="I28" s="18" t="n">
        <v>419908.48</v>
      </c>
      <c r="J28" s="18" t="n">
        <v>423861.36</v>
      </c>
      <c r="K28" s="34" t="n">
        <v>423861.36</v>
      </c>
      <c r="L28" s="18" t="n">
        <v>892067.52</v>
      </c>
      <c r="M28" s="18" t="n">
        <v>832370.38</v>
      </c>
      <c r="N28" s="18" t="n">
        <v>818886.4300000001</v>
      </c>
      <c r="O28" s="18" t="n">
        <v>1041051.05</v>
      </c>
      <c r="P28" s="34" t="n">
        <v>1041051.05</v>
      </c>
      <c r="Q28" s="18" t="n">
        <v>879207.37</v>
      </c>
      <c r="R28" s="18" t="n">
        <v>742843.62</v>
      </c>
      <c r="S28" s="18" t="n">
        <v>791293.1800000001</v>
      </c>
      <c r="T28" s="18" t="n">
        <v>688405.34</v>
      </c>
      <c r="U28" s="34" t="n">
        <v>688405.34</v>
      </c>
      <c r="V28" s="18" t="n">
        <v>782545.3</v>
      </c>
      <c r="W28" s="18" t="n">
        <v>769309.89</v>
      </c>
      <c r="X28" s="18" t="n">
        <v>780302.6899999999</v>
      </c>
      <c r="Y28" s="18" t="n">
        <v>733327.35</v>
      </c>
      <c r="Z28" s="34" t="n">
        <v>733327.35</v>
      </c>
      <c r="AA28" s="18" t="n">
        <v>776978.74</v>
      </c>
      <c r="AB28" s="19" t="n">
        <v>769349.41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180000</v>
      </c>
      <c r="F29" s="34" t="n">
        <v>180000</v>
      </c>
      <c r="G29" s="18" t="n">
        <v>180000</v>
      </c>
      <c r="H29" s="18" t="n">
        <v>100000</v>
      </c>
      <c r="K29" s="9" t="n"/>
      <c r="L29" s="18" t="n">
        <v>400000</v>
      </c>
      <c r="M29" s="18" t="n">
        <v>439384</v>
      </c>
      <c r="N29" s="18" t="n">
        <v>440344</v>
      </c>
      <c r="O29" s="18" t="n">
        <v>538682</v>
      </c>
      <c r="P29" s="34" t="n">
        <v>538682</v>
      </c>
      <c r="Q29" s="18" t="n">
        <v>271101.01</v>
      </c>
      <c r="R29" s="18" t="n">
        <v>233793.5</v>
      </c>
      <c r="S29" s="18" t="n">
        <v>232646.75</v>
      </c>
      <c r="T29" s="18" t="n">
        <v>137585.7</v>
      </c>
      <c r="U29" s="34" t="n">
        <v>137585.7</v>
      </c>
      <c r="Z29" s="9" t="n"/>
      <c r="AB29" s="19" t="n">
        <v>644879.9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6543.51</v>
      </c>
      <c r="F30" s="34" t="n">
        <v>6543.51</v>
      </c>
      <c r="G30" s="18" t="n">
        <v>6877.63</v>
      </c>
      <c r="H30" s="18" t="n">
        <v>2627.64</v>
      </c>
      <c r="I30" s="18" t="n">
        <v>2727.72</v>
      </c>
      <c r="J30" s="18" t="n">
        <v>2296.82</v>
      </c>
      <c r="K30" s="34" t="n">
        <v>2296.82</v>
      </c>
      <c r="L30" s="18" t="n">
        <v>2383.94</v>
      </c>
      <c r="M30" s="18" t="n">
        <v>2490.55</v>
      </c>
      <c r="N30" s="18" t="n">
        <v>2573.68</v>
      </c>
      <c r="O30" s="18" t="n">
        <v>2548.08</v>
      </c>
      <c r="P30" s="34" t="n">
        <v>2548.08</v>
      </c>
      <c r="Q30" s="18" t="n">
        <v>2622.01</v>
      </c>
      <c r="R30" s="18" t="n">
        <v>2707.6</v>
      </c>
      <c r="S30" s="18" t="n">
        <v>2676.75</v>
      </c>
      <c r="T30" s="18" t="n">
        <v>2780.74</v>
      </c>
      <c r="U30" s="34" t="n">
        <v>2780.74</v>
      </c>
      <c r="V30" s="18" t="n">
        <v>2691.59</v>
      </c>
      <c r="W30" s="18" t="n">
        <v>2678.54</v>
      </c>
      <c r="X30" s="18" t="n">
        <v>2677.78</v>
      </c>
      <c r="Y30" s="18" t="n">
        <v>2649.08</v>
      </c>
      <c r="Z30" s="34" t="n">
        <v>2649.08</v>
      </c>
      <c r="AA30" s="18" t="n">
        <v>2397.58</v>
      </c>
      <c r="AB30" s="19" t="n">
        <v>2402.44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당기법인세부채(미지급법인세)</t>
        </is>
      </c>
      <c r="E31" s="18" t="n">
        <v>5146.05</v>
      </c>
      <c r="F31" s="34" t="n">
        <v>5146.05</v>
      </c>
      <c r="G31" s="18" t="n">
        <v>51844.16</v>
      </c>
      <c r="H31" s="18" t="n">
        <v>50265.93</v>
      </c>
      <c r="I31" s="18" t="n">
        <v>46773.92</v>
      </c>
      <c r="J31" s="18" t="n">
        <v>16081.26</v>
      </c>
      <c r="K31" s="34" t="n">
        <v>16081.26</v>
      </c>
      <c r="L31" s="18" t="n">
        <v>8310.860000000001</v>
      </c>
      <c r="M31" s="18" t="n">
        <v>20159.57</v>
      </c>
      <c r="N31" s="18" t="n">
        <v>34272.92</v>
      </c>
      <c r="O31" s="18" t="n">
        <v>20312.28</v>
      </c>
      <c r="P31" s="34" t="n">
        <v>20312.28</v>
      </c>
      <c r="Q31" s="18" t="n">
        <v>58598.53</v>
      </c>
      <c r="R31" s="18" t="n">
        <v>67506.56</v>
      </c>
      <c r="S31" s="18" t="n">
        <v>65299.47</v>
      </c>
      <c r="T31" s="18" t="n">
        <v>102655.11</v>
      </c>
      <c r="U31" s="34" t="n">
        <v>102655.11</v>
      </c>
      <c r="V31" s="18" t="n">
        <v>97021.45</v>
      </c>
      <c r="W31" s="18" t="n">
        <v>42736.02</v>
      </c>
      <c r="X31" s="18" t="n">
        <v>41623.6</v>
      </c>
      <c r="Y31" s="18" t="n">
        <v>36673.8</v>
      </c>
      <c r="Z31" s="34" t="n">
        <v>36673.8</v>
      </c>
      <c r="AA31" s="18" t="n">
        <v>40663.25</v>
      </c>
      <c r="AB31" s="19" t="n">
        <v>27111.65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2041225.42</v>
      </c>
      <c r="F32" s="34" t="n">
        <v>2041225.42</v>
      </c>
      <c r="G32" s="18" t="n">
        <v>2164830.48</v>
      </c>
      <c r="H32" s="18" t="n">
        <v>2341735.69</v>
      </c>
      <c r="I32" s="18" t="n">
        <v>2250087.38</v>
      </c>
      <c r="J32" s="18" t="n">
        <v>2018562.71</v>
      </c>
      <c r="K32" s="34" t="n">
        <v>2018562.71</v>
      </c>
      <c r="L32" s="18" t="n">
        <v>1495006.46</v>
      </c>
      <c r="M32" s="18" t="n">
        <v>1579191.92</v>
      </c>
      <c r="N32" s="18" t="n">
        <v>1572846.8</v>
      </c>
      <c r="O32" s="18" t="n">
        <v>1358330.69</v>
      </c>
      <c r="P32" s="34" t="n">
        <v>1358330.69</v>
      </c>
      <c r="Q32" s="18" t="n">
        <v>1916095.69</v>
      </c>
      <c r="R32" s="18" t="n">
        <v>2271867.9</v>
      </c>
      <c r="S32" s="18" t="n">
        <v>2269337.02</v>
      </c>
      <c r="T32" s="18" t="n">
        <v>2373548.47</v>
      </c>
      <c r="U32" s="34" t="n">
        <v>2373548.47</v>
      </c>
      <c r="V32" s="18" t="n">
        <v>2900929.42</v>
      </c>
      <c r="W32" s="18" t="n">
        <v>2959819.87</v>
      </c>
      <c r="X32" s="18" t="n">
        <v>3056512.57</v>
      </c>
      <c r="Y32" s="18" t="n">
        <v>3140683.53</v>
      </c>
      <c r="Z32" s="34" t="n">
        <v>3140683.53</v>
      </c>
      <c r="AA32" s="18" t="n">
        <v>3203626.81</v>
      </c>
      <c r="AB32" s="19" t="n">
        <v>3433354.05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434820.79</v>
      </c>
      <c r="F33" s="34" t="n">
        <v>434820.79</v>
      </c>
      <c r="G33" s="18" t="n">
        <v>807010.15</v>
      </c>
      <c r="H33" s="18" t="n">
        <v>809488.33</v>
      </c>
      <c r="I33" s="18" t="n">
        <v>819149.17</v>
      </c>
      <c r="J33" s="18" t="n">
        <v>809051.14</v>
      </c>
      <c r="K33" s="34" t="n">
        <v>809051.14</v>
      </c>
      <c r="L33" s="18" t="n">
        <v>266587.06</v>
      </c>
      <c r="M33" s="18" t="n">
        <v>228037.34</v>
      </c>
      <c r="N33" s="18" t="n">
        <v>227716.38</v>
      </c>
      <c r="O33" s="18" t="n">
        <v>128268.45</v>
      </c>
      <c r="P33" s="34" t="n">
        <v>128268.45</v>
      </c>
      <c r="Q33" s="18" t="n">
        <v>0</v>
      </c>
      <c r="R33" s="18" t="n">
        <v>644589.99</v>
      </c>
      <c r="S33" s="18" t="n">
        <v>644626.5</v>
      </c>
      <c r="T33" s="18" t="n">
        <v>644663.01</v>
      </c>
      <c r="U33" s="34" t="n">
        <v>644663.01</v>
      </c>
      <c r="V33" s="18" t="n">
        <v>644698.74</v>
      </c>
      <c r="W33" s="18" t="n">
        <v>644734.87</v>
      </c>
      <c r="X33" s="18" t="n">
        <v>644771.41</v>
      </c>
      <c r="Y33" s="18" t="n">
        <v>644807.96</v>
      </c>
      <c r="Z33" s="34" t="n">
        <v>644807.96</v>
      </c>
      <c r="AA33" s="18" t="n">
        <v>644843.73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1168017.83</v>
      </c>
      <c r="F34" s="34" t="n">
        <v>1168017.83</v>
      </c>
      <c r="G34" s="18" t="n">
        <v>968354.8100000001</v>
      </c>
      <c r="H34" s="18" t="n">
        <v>1117873.45</v>
      </c>
      <c r="I34" s="18" t="n">
        <v>1118099.16</v>
      </c>
      <c r="J34" s="18" t="n">
        <v>798493.51</v>
      </c>
      <c r="K34" s="34" t="n">
        <v>798493.51</v>
      </c>
      <c r="L34" s="18" t="n">
        <v>798672.52</v>
      </c>
      <c r="M34" s="18" t="n">
        <v>918134.6800000001</v>
      </c>
      <c r="N34" s="18" t="n">
        <v>918321.73</v>
      </c>
      <c r="O34" s="18" t="n">
        <v>748637.26</v>
      </c>
      <c r="P34" s="34" t="n">
        <v>748637.26</v>
      </c>
      <c r="Q34" s="18" t="n">
        <v>1327304.97</v>
      </c>
      <c r="R34" s="18" t="n">
        <v>1057792.36</v>
      </c>
      <c r="S34" s="18" t="n">
        <v>1058013.45</v>
      </c>
      <c r="T34" s="18" t="n">
        <v>1307469.09</v>
      </c>
      <c r="U34" s="34" t="n">
        <v>1307469.09</v>
      </c>
      <c r="V34" s="18" t="n">
        <v>1561826.92</v>
      </c>
      <c r="W34" s="18" t="n">
        <v>1287383.69</v>
      </c>
      <c r="X34" s="18" t="n">
        <v>1287652.9</v>
      </c>
      <c r="Y34" s="18" t="n">
        <v>1128051.57</v>
      </c>
      <c r="Z34" s="34" t="n">
        <v>1128051.57</v>
      </c>
      <c r="AA34" s="18" t="n">
        <v>1147519.77</v>
      </c>
      <c r="AB34" s="19" t="n">
        <v>1117780.9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기타비유동금융부채</t>
        </is>
      </c>
      <c r="E35" s="18" t="n">
        <v>18940.58</v>
      </c>
      <c r="F35" s="34" t="n">
        <v>18940.58</v>
      </c>
      <c r="G35" s="18" t="n">
        <v>8621.139999999999</v>
      </c>
      <c r="H35" s="18" t="n">
        <v>5566.21</v>
      </c>
      <c r="I35" s="18" t="n">
        <v>1607.17</v>
      </c>
      <c r="J35" s="18" t="n">
        <v>57445.32</v>
      </c>
      <c r="K35" s="34" t="n">
        <v>57445.32</v>
      </c>
      <c r="L35" s="18" t="n">
        <v>31577.61</v>
      </c>
      <c r="M35" s="18" t="n">
        <v>20696.72</v>
      </c>
      <c r="N35" s="18" t="n">
        <v>3749.29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18940.58</v>
      </c>
      <c r="F36" s="34" t="n">
        <v>18940.58</v>
      </c>
      <c r="G36" s="18" t="n">
        <v>8621.139999999999</v>
      </c>
      <c r="H36" s="18" t="n">
        <v>5566.21</v>
      </c>
      <c r="I36" s="18" t="n">
        <v>1607.17</v>
      </c>
      <c r="J36" s="18" t="n">
        <v>57445.32</v>
      </c>
      <c r="K36" s="34" t="n">
        <v>57445.32</v>
      </c>
      <c r="L36" s="18" t="n">
        <v>31577.61</v>
      </c>
      <c r="M36" s="18" t="n">
        <v>20696.72</v>
      </c>
      <c r="N36" s="18" t="n">
        <v>3749.29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3662.09</v>
      </c>
      <c r="F37" s="34" t="n">
        <v>3662.09</v>
      </c>
      <c r="G37" s="18" t="n">
        <v>3663.42</v>
      </c>
      <c r="H37" s="18" t="n">
        <v>3583.57</v>
      </c>
      <c r="I37" s="18" t="n">
        <v>3529.66</v>
      </c>
      <c r="J37" s="18" t="n">
        <v>3850.89</v>
      </c>
      <c r="K37" s="34" t="n">
        <v>3850.89</v>
      </c>
      <c r="L37" s="18" t="n">
        <v>4086.22</v>
      </c>
      <c r="M37" s="18" t="n">
        <v>4137.5</v>
      </c>
      <c r="N37" s="18" t="n">
        <v>4312.39</v>
      </c>
      <c r="O37" s="18" t="n">
        <v>5569.62</v>
      </c>
      <c r="P37" s="34" t="n">
        <v>5569.62</v>
      </c>
      <c r="Q37" s="18" t="n">
        <v>5481.84</v>
      </c>
      <c r="R37" s="18" t="n">
        <v>6144.64</v>
      </c>
      <c r="S37" s="18" t="n">
        <v>11966.1</v>
      </c>
      <c r="T37" s="18" t="n">
        <v>7515.15</v>
      </c>
      <c r="U37" s="34" t="n">
        <v>7515.15</v>
      </c>
      <c r="V37" s="18" t="n">
        <v>7468.03</v>
      </c>
      <c r="W37" s="18" t="n">
        <v>9725.969999999999</v>
      </c>
      <c r="X37" s="18" t="n">
        <v>15543.98</v>
      </c>
      <c r="Y37" s="18" t="n">
        <v>9931.4</v>
      </c>
      <c r="Z37" s="34" t="n">
        <v>9931.4</v>
      </c>
      <c r="AA37" s="18" t="n">
        <v>9862.459999999999</v>
      </c>
      <c r="AB37" s="19" t="n">
        <v>9791.24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688.12</v>
      </c>
      <c r="F38" s="34" t="n">
        <v>688.12</v>
      </c>
      <c r="G38" s="18" t="n">
        <v>693.27</v>
      </c>
      <c r="H38" s="18" t="n">
        <v>596.1799999999999</v>
      </c>
      <c r="I38" s="18" t="n">
        <v>608.09</v>
      </c>
      <c r="J38" s="18" t="n">
        <v>660.39</v>
      </c>
      <c r="K38" s="34" t="n">
        <v>660.39</v>
      </c>
      <c r="L38" s="18" t="n">
        <v>714.9299999999999</v>
      </c>
      <c r="M38" s="18" t="n">
        <v>724.29</v>
      </c>
      <c r="N38" s="18" t="n">
        <v>764.59</v>
      </c>
      <c r="O38" s="18" t="n">
        <v>787.65</v>
      </c>
      <c r="P38" s="34" t="n">
        <v>787.65</v>
      </c>
      <c r="Q38" s="18" t="n">
        <v>833.98</v>
      </c>
      <c r="R38" s="18" t="n">
        <v>856.55</v>
      </c>
      <c r="S38" s="18" t="n">
        <v>909.33</v>
      </c>
      <c r="T38" s="18" t="n">
        <v>923.5700000000001</v>
      </c>
      <c r="U38" s="34" t="n">
        <v>923.5700000000001</v>
      </c>
      <c r="V38" s="18" t="n">
        <v>967.2</v>
      </c>
      <c r="W38" s="18" t="n">
        <v>951.27</v>
      </c>
      <c r="X38" s="18" t="n">
        <v>1001.14</v>
      </c>
      <c r="Y38" s="18" t="n">
        <v>992.6</v>
      </c>
      <c r="Z38" s="34" t="n">
        <v>992.6</v>
      </c>
      <c r="AA38" s="18" t="n">
        <v>1055.97</v>
      </c>
      <c r="AB38" s="19" t="n">
        <v>1038.89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339243.99</v>
      </c>
      <c r="F39" s="34" t="n">
        <v>339243.99</v>
      </c>
      <c r="G39" s="18" t="n">
        <v>299512.84</v>
      </c>
      <c r="H39" s="18" t="n">
        <v>331373.93</v>
      </c>
      <c r="I39" s="18" t="n">
        <v>235605.99</v>
      </c>
      <c r="J39" s="18" t="n">
        <v>273884.26</v>
      </c>
      <c r="K39" s="34" t="n">
        <v>273884.26</v>
      </c>
      <c r="L39" s="18" t="n">
        <v>296835.38</v>
      </c>
      <c r="M39" s="18" t="n">
        <v>318147.33</v>
      </c>
      <c r="N39" s="18" t="n">
        <v>329454.99</v>
      </c>
      <c r="O39" s="18" t="n">
        <v>388026.54</v>
      </c>
      <c r="P39" s="34" t="n">
        <v>388026.54</v>
      </c>
      <c r="Q39" s="18" t="n">
        <v>484101.22</v>
      </c>
      <c r="R39" s="18" t="n">
        <v>464401.31</v>
      </c>
      <c r="S39" s="18" t="n">
        <v>468071.15</v>
      </c>
      <c r="T39" s="18" t="n">
        <v>323425.27</v>
      </c>
      <c r="U39" s="34" t="n">
        <v>323425.27</v>
      </c>
      <c r="V39" s="18" t="n">
        <v>590666.21</v>
      </c>
      <c r="W39" s="18" t="n">
        <v>931221.71</v>
      </c>
      <c r="X39" s="18" t="n">
        <v>1027604.83</v>
      </c>
      <c r="Y39" s="18" t="n">
        <v>1277184.49</v>
      </c>
      <c r="Z39" s="34" t="n">
        <v>1277184.49</v>
      </c>
      <c r="AA39" s="18" t="n">
        <v>1323531.88</v>
      </c>
      <c r="AB39" s="19" t="n">
        <v>2234715.14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3756748.54</v>
      </c>
      <c r="F40" s="34" t="n">
        <v>3756748.54</v>
      </c>
      <c r="G40" s="18" t="n">
        <v>4244930.37</v>
      </c>
      <c r="H40" s="18" t="n">
        <v>4366626.11</v>
      </c>
      <c r="I40" s="18" t="n">
        <v>3867262.75</v>
      </c>
      <c r="J40" s="18" t="n">
        <v>3891106.99</v>
      </c>
      <c r="K40" s="34" t="n">
        <v>3891106.99</v>
      </c>
      <c r="L40" s="18" t="n">
        <v>4043873.32</v>
      </c>
      <c r="M40" s="18" t="n">
        <v>4190372.18</v>
      </c>
      <c r="N40" s="18" t="n">
        <v>4171018.55</v>
      </c>
      <c r="O40" s="18" t="n">
        <v>4298986.32</v>
      </c>
      <c r="P40" s="34" t="n">
        <v>4298986.32</v>
      </c>
      <c r="Q40" s="18" t="n">
        <v>4471412.3</v>
      </c>
      <c r="R40" s="18" t="n">
        <v>4587489.52</v>
      </c>
      <c r="S40" s="18" t="n">
        <v>4593214.15</v>
      </c>
      <c r="T40" s="18" t="n">
        <v>4435298.67</v>
      </c>
      <c r="U40" s="34" t="n">
        <v>4435298.67</v>
      </c>
      <c r="V40" s="18" t="n">
        <v>5080349.11</v>
      </c>
      <c r="W40" s="18" t="n">
        <v>5018778.61</v>
      </c>
      <c r="X40" s="18" t="n">
        <v>6113809.29</v>
      </c>
      <c r="Y40" s="18" t="n">
        <v>6272419.95</v>
      </c>
      <c r="Z40" s="34" t="n">
        <v>6272419.95</v>
      </c>
      <c r="AA40" s="18" t="n">
        <v>6661480.58</v>
      </c>
      <c r="AB40" s="19" t="n">
        <v>7153718.28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48084.66</v>
      </c>
      <c r="F41" s="34" t="n">
        <v>48084.66</v>
      </c>
      <c r="G41" s="18" t="n">
        <v>48084.66</v>
      </c>
      <c r="H41" s="18" t="n">
        <v>48084.66</v>
      </c>
      <c r="I41" s="18" t="n">
        <v>48084.66</v>
      </c>
      <c r="J41" s="18" t="n">
        <v>48084.66</v>
      </c>
      <c r="K41" s="34" t="n">
        <v>48084.66</v>
      </c>
      <c r="L41" s="18" t="n">
        <v>48084.66</v>
      </c>
      <c r="M41" s="18" t="n">
        <v>48084.66</v>
      </c>
      <c r="N41" s="18" t="n">
        <v>48084.66</v>
      </c>
      <c r="O41" s="18" t="n">
        <v>48084.66</v>
      </c>
      <c r="P41" s="34" t="n">
        <v>48084.66</v>
      </c>
      <c r="Q41" s="18" t="n">
        <v>48084.66</v>
      </c>
      <c r="R41" s="18" t="n">
        <v>48084.66</v>
      </c>
      <c r="S41" s="18" t="n">
        <v>48084.66</v>
      </c>
      <c r="T41" s="18" t="n">
        <v>48084.66</v>
      </c>
      <c r="U41" s="34" t="n">
        <v>48084.66</v>
      </c>
      <c r="V41" s="18" t="n">
        <v>48084.66</v>
      </c>
      <c r="W41" s="18" t="n">
        <v>48084.66</v>
      </c>
      <c r="X41" s="18" t="n">
        <v>48084.66</v>
      </c>
      <c r="Y41" s="18" t="n">
        <v>48084.66</v>
      </c>
      <c r="Z41" s="34" t="n">
        <v>48084.66</v>
      </c>
      <c r="AA41" s="18" t="n">
        <v>48084.66</v>
      </c>
      <c r="AB41" s="19" t="n">
        <v>48084.66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553070.8100000001</v>
      </c>
      <c r="F42" s="34" t="n">
        <v>553070.8100000001</v>
      </c>
      <c r="G42" s="18" t="n">
        <v>553070.8100000001</v>
      </c>
      <c r="H42" s="18" t="n">
        <v>553070.8100000001</v>
      </c>
      <c r="I42" s="18" t="n">
        <v>553070.8100000001</v>
      </c>
      <c r="J42" s="18" t="n">
        <v>553070.8100000001</v>
      </c>
      <c r="K42" s="34" t="n">
        <v>553070.8100000001</v>
      </c>
      <c r="L42" s="18" t="n">
        <v>553070.8100000001</v>
      </c>
      <c r="M42" s="18" t="n">
        <v>553070.8100000001</v>
      </c>
      <c r="N42" s="18" t="n">
        <v>553070.8100000001</v>
      </c>
      <c r="O42" s="18" t="n">
        <v>553070.8100000001</v>
      </c>
      <c r="P42" s="34" t="n">
        <v>553070.8100000001</v>
      </c>
      <c r="Q42" s="18" t="n">
        <v>553070.8100000001</v>
      </c>
      <c r="R42" s="18" t="n">
        <v>553070.8100000001</v>
      </c>
      <c r="S42" s="18" t="n">
        <v>553070.8100000001</v>
      </c>
      <c r="T42" s="18" t="n">
        <v>553070.8100000001</v>
      </c>
      <c r="U42" s="34" t="n">
        <v>553070.8100000001</v>
      </c>
      <c r="V42" s="18" t="n">
        <v>553070.8100000001</v>
      </c>
      <c r="W42" s="18" t="n">
        <v>553070.8100000001</v>
      </c>
      <c r="X42" s="18" t="n">
        <v>553070.8100000001</v>
      </c>
      <c r="Y42" s="18" t="n">
        <v>553070.8100000001</v>
      </c>
      <c r="Z42" s="34" t="n">
        <v>553070.8100000001</v>
      </c>
      <c r="AA42" s="18" t="n">
        <v>516415.92</v>
      </c>
      <c r="AB42" s="19" t="n">
        <v>516415.92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-204952.84</v>
      </c>
      <c r="F43" s="34" t="n">
        <v>-204952.84</v>
      </c>
      <c r="G43" s="18" t="n">
        <v>-286379.5</v>
      </c>
      <c r="H43" s="18" t="n">
        <v>-304846.77</v>
      </c>
      <c r="I43" s="18" t="n">
        <v>-304846.77</v>
      </c>
      <c r="J43" s="18" t="n">
        <v>-304846.77</v>
      </c>
      <c r="K43" s="34" t="n">
        <v>-304846.77</v>
      </c>
      <c r="L43" s="18" t="n">
        <v>-304846.77</v>
      </c>
      <c r="M43" s="18" t="n">
        <v>-304846.77</v>
      </c>
      <c r="N43" s="18" t="n">
        <v>-304846.77</v>
      </c>
      <c r="O43" s="18" t="n">
        <v>-304846.77</v>
      </c>
      <c r="P43" s="34" t="n">
        <v>-304846.77</v>
      </c>
      <c r="Q43" s="18" t="n">
        <v>-304846.77</v>
      </c>
      <c r="R43" s="18" t="n">
        <v>-304846.77</v>
      </c>
      <c r="S43" s="18" t="n">
        <v>-304846.77</v>
      </c>
      <c r="T43" s="18" t="n">
        <v>-304846.77</v>
      </c>
      <c r="U43" s="34" t="n">
        <v>-304846.77</v>
      </c>
      <c r="V43" s="18" t="n">
        <v>-304846.77</v>
      </c>
      <c r="W43" s="18" t="n">
        <v>-304846.77</v>
      </c>
      <c r="X43" s="18" t="n">
        <v>-304846.77</v>
      </c>
      <c r="Y43" s="18" t="n">
        <v>-304846.77</v>
      </c>
      <c r="Z43" s="34" t="n">
        <v>-304846.77</v>
      </c>
      <c r="AA43" s="18" t="n">
        <v>-304846.77</v>
      </c>
      <c r="AB43" s="19" t="n">
        <v>-246440.9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-22922.71</v>
      </c>
      <c r="F44" s="34" t="n">
        <v>-22922.71</v>
      </c>
      <c r="G44" s="18" t="n">
        <v>-21421.96</v>
      </c>
      <c r="H44" s="18" t="n">
        <v>-27875.2</v>
      </c>
      <c r="I44" s="18" t="n">
        <v>-31477</v>
      </c>
      <c r="J44" s="18" t="n">
        <v>-33244.08</v>
      </c>
      <c r="K44" s="34" t="n">
        <v>-33244.08</v>
      </c>
      <c r="L44" s="18" t="n">
        <v>-32073.59</v>
      </c>
      <c r="M44" s="18" t="n">
        <v>-29984.94</v>
      </c>
      <c r="N44" s="18" t="n">
        <v>-31507.91</v>
      </c>
      <c r="O44" s="18" t="n">
        <v>-31464.4</v>
      </c>
      <c r="P44" s="34" t="n">
        <v>-31464.4</v>
      </c>
      <c r="Q44" s="18" t="n">
        <v>-31972.32</v>
      </c>
      <c r="R44" s="18" t="n">
        <v>-32214</v>
      </c>
      <c r="S44" s="18" t="n">
        <v>-32214</v>
      </c>
      <c r="T44" s="18" t="n">
        <v>-27839.89</v>
      </c>
      <c r="U44" s="34" t="n">
        <v>-27839.89</v>
      </c>
      <c r="V44" s="18" t="n">
        <v>647600.41</v>
      </c>
      <c r="W44" s="18" t="n">
        <v>652205.16</v>
      </c>
      <c r="X44" s="18" t="n">
        <v>647316.71</v>
      </c>
      <c r="Y44" s="18" t="n">
        <v>628418.0699999999</v>
      </c>
      <c r="Z44" s="34" t="n">
        <v>628418.0699999999</v>
      </c>
      <c r="AA44" s="18" t="n">
        <v>629641.25</v>
      </c>
      <c r="AB44" s="19" t="n">
        <v>634175.67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4680343.95</v>
      </c>
      <c r="F45" s="34" t="n">
        <v>4680343.95</v>
      </c>
      <c r="G45" s="18" t="n">
        <v>4593908.89</v>
      </c>
      <c r="H45" s="18" t="n">
        <v>4722725.55</v>
      </c>
      <c r="I45" s="18" t="n">
        <v>4438526.02</v>
      </c>
      <c r="J45" s="18" t="n">
        <v>4648908</v>
      </c>
      <c r="K45" s="34" t="n">
        <v>4648908</v>
      </c>
      <c r="L45" s="18" t="n">
        <v>4653080.92</v>
      </c>
      <c r="M45" s="18" t="n">
        <v>4788190.21</v>
      </c>
      <c r="N45" s="18" t="n">
        <v>4880830.57</v>
      </c>
      <c r="O45" s="18" t="n">
        <v>5093441.88</v>
      </c>
      <c r="P45" s="34" t="n">
        <v>5093441.88</v>
      </c>
      <c r="Q45" s="18" t="n">
        <v>5617524.62</v>
      </c>
      <c r="R45" s="18" t="n">
        <v>5637579</v>
      </c>
      <c r="S45" s="18" t="n">
        <v>5667073.61</v>
      </c>
      <c r="T45" s="18" t="n">
        <v>5595777.29</v>
      </c>
      <c r="U45" s="34" t="n">
        <v>5595777.29</v>
      </c>
      <c r="V45" s="18" t="n">
        <v>5954609.11</v>
      </c>
      <c r="W45" s="18" t="n">
        <v>6888548.93</v>
      </c>
      <c r="X45" s="18" t="n">
        <v>7247679.79</v>
      </c>
      <c r="Y45" s="18" t="n">
        <v>7929402.08</v>
      </c>
      <c r="Z45" s="34" t="n">
        <v>7929402.08</v>
      </c>
      <c r="AA45" s="18" t="n">
        <v>8084973.66</v>
      </c>
      <c r="AB45" s="19" t="n">
        <v>10852143.7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5053623.87</v>
      </c>
      <c r="F46" s="34" t="n">
        <v>5053623.87</v>
      </c>
      <c r="G46" s="18" t="n">
        <v>4887262.91</v>
      </c>
      <c r="H46" s="18" t="n">
        <v>4991159.06</v>
      </c>
      <c r="I46" s="18" t="n">
        <v>4703357.72</v>
      </c>
      <c r="J46" s="18" t="n">
        <v>4911972.62</v>
      </c>
      <c r="K46" s="34" t="n">
        <v>4911972.62</v>
      </c>
      <c r="L46" s="18" t="n">
        <v>4917316.04</v>
      </c>
      <c r="M46" s="18" t="n">
        <v>5054513.97</v>
      </c>
      <c r="N46" s="18" t="n">
        <v>5145631.36</v>
      </c>
      <c r="O46" s="18" t="n">
        <v>5358286.19</v>
      </c>
      <c r="P46" s="34" t="n">
        <v>5358286.19</v>
      </c>
      <c r="Q46" s="18" t="n">
        <v>5881861.01</v>
      </c>
      <c r="R46" s="18" t="n">
        <v>5901673.7</v>
      </c>
      <c r="S46" s="18" t="n">
        <v>5931168.32</v>
      </c>
      <c r="T46" s="18" t="n">
        <v>5864246.1</v>
      </c>
      <c r="U46" s="34" t="n">
        <v>5864246.1</v>
      </c>
      <c r="V46" s="18" t="n">
        <v>6898518.22</v>
      </c>
      <c r="W46" s="18" t="n">
        <v>7837062.79</v>
      </c>
      <c r="X46" s="18" t="n">
        <v>8191305.21</v>
      </c>
      <c r="Y46" s="18" t="n">
        <v>8854128.859999999</v>
      </c>
      <c r="Z46" s="34" t="n">
        <v>8854128.859999999</v>
      </c>
      <c r="AA46" s="18" t="n">
        <v>8974268.720000001</v>
      </c>
      <c r="AB46" s="19" t="n">
        <v>11804379.04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8810372.41</v>
      </c>
      <c r="F47" s="34" t="n">
        <v>8810372.41</v>
      </c>
      <c r="G47" s="18" t="n">
        <v>9132193.279999999</v>
      </c>
      <c r="H47" s="18" t="n">
        <v>9357785.17</v>
      </c>
      <c r="I47" s="18" t="n">
        <v>8570620.470000001</v>
      </c>
      <c r="J47" s="18" t="n">
        <v>8803079.609999999</v>
      </c>
      <c r="K47" s="34" t="n">
        <v>8803079.609999999</v>
      </c>
      <c r="L47" s="18" t="n">
        <v>8961189.35</v>
      </c>
      <c r="M47" s="18" t="n">
        <v>9244886.15</v>
      </c>
      <c r="N47" s="18" t="n">
        <v>9316649.91</v>
      </c>
      <c r="O47" s="18" t="n">
        <v>9657272.5</v>
      </c>
      <c r="P47" s="34" t="n">
        <v>9657272.5</v>
      </c>
      <c r="Q47" s="18" t="n">
        <v>10353273.31</v>
      </c>
      <c r="R47" s="18" t="n">
        <v>10489163.22</v>
      </c>
      <c r="S47" s="18" t="n">
        <v>10524382.47</v>
      </c>
      <c r="T47" s="18" t="n">
        <v>10299544.78</v>
      </c>
      <c r="U47" s="34" t="n">
        <v>10299544.78</v>
      </c>
      <c r="V47" s="18" t="n">
        <v>11978867.34</v>
      </c>
      <c r="W47" s="18" t="n">
        <v>12855841.4</v>
      </c>
      <c r="X47" s="18" t="n">
        <v>14305114.5</v>
      </c>
      <c r="Y47" s="18" t="n">
        <v>15126548.8</v>
      </c>
      <c r="Z47" s="34" t="n">
        <v>15126548.8</v>
      </c>
      <c r="AA47" s="18" t="n">
        <v>15635749.3</v>
      </c>
      <c r="AB47" s="19" t="n">
        <v>18958097.32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5053623.87</v>
      </c>
      <c r="F48" s="34" t="n">
        <v>5053623.87</v>
      </c>
      <c r="G48" s="18" t="n">
        <v>4887262.91</v>
      </c>
      <c r="H48" s="18" t="n">
        <v>4991159.06</v>
      </c>
      <c r="I48" s="18" t="n">
        <v>4703357.72</v>
      </c>
      <c r="J48" s="18" t="n">
        <v>4911972.62</v>
      </c>
      <c r="K48" s="34" t="n">
        <v>4911972.62</v>
      </c>
      <c r="L48" s="18" t="n">
        <v>4917316.04</v>
      </c>
      <c r="M48" s="18" t="n">
        <v>5054513.97</v>
      </c>
      <c r="N48" s="18" t="n">
        <v>5145631.36</v>
      </c>
      <c r="O48" s="18" t="n">
        <v>5358286.19</v>
      </c>
      <c r="P48" s="34" t="n">
        <v>5358286.19</v>
      </c>
      <c r="Q48" s="18" t="n">
        <v>5881861.01</v>
      </c>
      <c r="R48" s="18" t="n">
        <v>5901673.7</v>
      </c>
      <c r="S48" s="18" t="n">
        <v>5931168.32</v>
      </c>
      <c r="T48" s="18" t="n">
        <v>5864246.1</v>
      </c>
      <c r="U48" s="34" t="n">
        <v>5864246.1</v>
      </c>
      <c r="V48" s="18" t="n">
        <v>6898518.22</v>
      </c>
      <c r="W48" s="18" t="n">
        <v>7837062.79</v>
      </c>
      <c r="X48" s="18" t="n">
        <v>8191305.21</v>
      </c>
      <c r="Y48" s="18" t="n">
        <v>8854128.859999999</v>
      </c>
      <c r="Z48" s="34" t="n">
        <v>8854128.859999999</v>
      </c>
      <c r="AA48" s="18" t="n">
        <v>8974268.720000001</v>
      </c>
      <c r="AB48" s="19" t="n">
        <v>11804379.04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2600483.47</v>
      </c>
      <c r="F49" s="34" t="n">
        <v>2600483.47</v>
      </c>
      <c r="G49" s="18" t="n">
        <v>3043241.5</v>
      </c>
      <c r="H49" s="18" t="n">
        <v>3128523.17</v>
      </c>
      <c r="I49" s="18" t="n">
        <v>2707003.51</v>
      </c>
      <c r="J49" s="18" t="n">
        <v>2701152.23</v>
      </c>
      <c r="K49" s="34" t="n">
        <v>2701152.23</v>
      </c>
      <c r="L49" s="18" t="n">
        <v>2827173.49</v>
      </c>
      <c r="M49" s="18" t="n">
        <v>2937688.01</v>
      </c>
      <c r="N49" s="18" t="n">
        <v>2925126.82</v>
      </c>
      <c r="O49" s="18" t="n">
        <v>2826443.96</v>
      </c>
      <c r="P49" s="34" t="n">
        <v>2826443.96</v>
      </c>
      <c r="Q49" s="18" t="n">
        <v>2847506.83</v>
      </c>
      <c r="R49" s="18" t="n">
        <v>3118767.95</v>
      </c>
      <c r="S49" s="18" t="n">
        <v>3166433.08</v>
      </c>
      <c r="T49" s="18" t="n">
        <v>3098033.13</v>
      </c>
      <c r="U49" s="34" t="n">
        <v>3098033.13</v>
      </c>
      <c r="V49" s="18" t="n">
        <v>3453869.13</v>
      </c>
      <c r="W49" s="18" t="n">
        <v>3171074.28</v>
      </c>
      <c r="X49" s="18" t="n">
        <v>3883107.85</v>
      </c>
      <c r="Y49" s="18" t="n">
        <v>3819583.2</v>
      </c>
      <c r="Z49" s="34" t="n">
        <v>3819583.2</v>
      </c>
      <c r="AA49" s="18" t="n">
        <v>4176896.87</v>
      </c>
      <c r="AB49" s="19" t="n">
        <v>3928998.5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1825412.53</v>
      </c>
      <c r="F50" s="34" t="n">
        <v>1825412.53</v>
      </c>
      <c r="G50" s="18" t="n">
        <v>1788161.43</v>
      </c>
      <c r="H50" s="18" t="n">
        <v>1782122.79</v>
      </c>
      <c r="I50" s="18" t="n">
        <v>1777214.89</v>
      </c>
      <c r="J50" s="18" t="n">
        <v>1809380.55</v>
      </c>
      <c r="K50" s="34" t="n">
        <v>1809380.55</v>
      </c>
      <c r="L50" s="18" t="n">
        <v>1796714.62</v>
      </c>
      <c r="M50" s="18" t="n">
        <v>1729416.49</v>
      </c>
      <c r="N50" s="18" t="n">
        <v>1702004.23</v>
      </c>
      <c r="O50" s="18" t="n">
        <v>1618751.25</v>
      </c>
      <c r="P50" s="34" t="n">
        <v>1618751.25</v>
      </c>
      <c r="Q50" s="18" t="n">
        <v>1590602.83</v>
      </c>
      <c r="R50" s="18" t="n">
        <v>1908887.78</v>
      </c>
      <c r="S50" s="18" t="n">
        <v>1850043.35</v>
      </c>
      <c r="T50" s="18" t="n">
        <v>2340513.11</v>
      </c>
      <c r="U50" s="34" t="n">
        <v>2340513.11</v>
      </c>
      <c r="V50" s="18" t="n">
        <v>2245363.29</v>
      </c>
      <c r="W50" s="18" t="n">
        <v>2259546.2</v>
      </c>
      <c r="X50" s="18" t="n">
        <v>3003690.97</v>
      </c>
      <c r="Y50" s="18" t="n">
        <v>2925045.03</v>
      </c>
      <c r="Z50" s="34" t="n">
        <v>2925045.03</v>
      </c>
      <c r="AA50" s="18" t="n">
        <v>2928334.57</v>
      </c>
      <c r="AB50" s="19" t="n">
        <v>3135698.91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3442044.65</v>
      </c>
      <c r="F51" s="34" t="n">
        <v>3442044.65</v>
      </c>
      <c r="G51" s="18" t="n">
        <v>3639439.17</v>
      </c>
      <c r="H51" s="18" t="n">
        <v>3877353.55</v>
      </c>
      <c r="I51" s="18" t="n">
        <v>3064093.06</v>
      </c>
      <c r="J51" s="18" t="n">
        <v>3178880.66</v>
      </c>
      <c r="K51" s="34" t="n">
        <v>3178880.66</v>
      </c>
      <c r="L51" s="18" t="n">
        <v>3251122.86</v>
      </c>
      <c r="M51" s="18" t="n">
        <v>3514451.65</v>
      </c>
      <c r="N51" s="18" t="n">
        <v>3539117.91</v>
      </c>
      <c r="O51" s="18" t="n">
        <v>3931552.25</v>
      </c>
      <c r="P51" s="34" t="n">
        <v>3931552.25</v>
      </c>
      <c r="Q51" s="18" t="n">
        <v>4464341.76</v>
      </c>
      <c r="R51" s="18" t="n">
        <v>4257639.8</v>
      </c>
      <c r="S51" s="18" t="n">
        <v>4374467.03</v>
      </c>
      <c r="T51" s="18" t="n">
        <v>3524586.45</v>
      </c>
      <c r="U51" s="34" t="n">
        <v>3524586.45</v>
      </c>
      <c r="V51" s="18" t="n">
        <v>3944251.85</v>
      </c>
      <c r="W51" s="18" t="n">
        <v>4900586.01</v>
      </c>
      <c r="X51" s="18" t="n">
        <v>5409563.3</v>
      </c>
      <c r="Y51" s="18" t="n">
        <v>6350099.15</v>
      </c>
      <c r="Z51" s="34" t="n">
        <v>6350099.15</v>
      </c>
      <c r="AA51" s="18" t="n">
        <v>6774360.02</v>
      </c>
      <c r="AB51" s="19" t="n">
        <v>9970643.460000001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단기사채</t>
        </is>
      </c>
      <c r="F52" s="9" t="n"/>
      <c r="G52" s="18" t="n">
        <v>199890.05</v>
      </c>
      <c r="H52" s="18" t="n">
        <v>349778.51</v>
      </c>
      <c r="I52" s="18" t="n">
        <v>349846.7</v>
      </c>
      <c r="J52" s="18" t="n">
        <v>669746.22</v>
      </c>
      <c r="K52" s="34" t="n">
        <v>669746.22</v>
      </c>
      <c r="L52" s="18" t="n">
        <v>469846.39</v>
      </c>
      <c r="M52" s="18" t="n">
        <v>519761.61</v>
      </c>
      <c r="N52" s="18" t="n">
        <v>519858.28</v>
      </c>
      <c r="O52" s="18" t="n">
        <v>369805.2</v>
      </c>
      <c r="P52" s="34" t="n">
        <v>369805.2</v>
      </c>
      <c r="Q52" s="18" t="n">
        <v>369893.48</v>
      </c>
      <c r="R52" s="18" t="n">
        <v>439748.48</v>
      </c>
      <c r="S52" s="18" t="n">
        <v>439853.2</v>
      </c>
      <c r="T52" s="18" t="n">
        <v>319909.99</v>
      </c>
      <c r="U52" s="34" t="n">
        <v>319909.99</v>
      </c>
      <c r="V52" s="18" t="n">
        <v>464798.17</v>
      </c>
      <c r="W52" s="18" t="n">
        <v>469645.83</v>
      </c>
      <c r="X52" s="18" t="n">
        <v>1170380.85</v>
      </c>
      <c r="Y52" s="18" t="n">
        <v>1313396.32</v>
      </c>
      <c r="Z52" s="34" t="n">
        <v>1313396.32</v>
      </c>
      <c r="AA52" s="18" t="n">
        <v>1607554.63</v>
      </c>
      <c r="AB52" s="19" t="n">
        <v>1396988.29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O53" s="18" t="n">
        <v>164369.97</v>
      </c>
      <c r="P53" s="34" t="n">
        <v>164369.97</v>
      </c>
      <c r="Q53" s="18" t="n">
        <v>168939.66</v>
      </c>
      <c r="U53" s="9" t="n"/>
      <c r="X53" s="18" t="n">
        <v>299131.33</v>
      </c>
      <c r="Y53" s="18" t="n">
        <v>275328.61</v>
      </c>
      <c r="Z53" s="34" t="n">
        <v>275328.61</v>
      </c>
      <c r="AA53" s="18" t="n">
        <v>168371.8</v>
      </c>
      <c r="AB53" s="19" t="n">
        <v>136569.19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</t>
        </is>
      </c>
      <c r="F54" s="9" t="n"/>
      <c r="K54" s="9" t="n"/>
      <c r="O54" s="18" t="n">
        <v>164369.97</v>
      </c>
      <c r="P54" s="34" t="n">
        <v>164369.97</v>
      </c>
      <c r="Q54" s="18" t="n">
        <v>168939.66</v>
      </c>
      <c r="U54" s="9" t="n"/>
      <c r="X54" s="18" t="n">
        <v>299131.33</v>
      </c>
      <c r="Y54" s="18" t="n">
        <v>275328.61</v>
      </c>
      <c r="Z54" s="34" t="n">
        <v>275328.61</v>
      </c>
      <c r="AA54" s="18" t="n">
        <v>168371.8</v>
      </c>
      <c r="AB54" s="19" t="n">
        <v>136569.19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630575.28</v>
      </c>
      <c r="F55" s="9" t="n"/>
      <c r="G55" s="18" t="n">
        <v>591633.9399999999</v>
      </c>
      <c r="H55" s="18" t="n">
        <v>691108.74</v>
      </c>
      <c r="I55" s="18" t="n">
        <v>685954.1800000001</v>
      </c>
      <c r="J55" s="18" t="n">
        <v>733008.72</v>
      </c>
      <c r="K55" s="34" t="n">
        <v>2701705.58</v>
      </c>
      <c r="L55" s="18" t="n">
        <v>698957.77</v>
      </c>
      <c r="M55" s="18" t="n">
        <v>746470.85</v>
      </c>
      <c r="N55" s="18" t="n">
        <v>755998.4399999999</v>
      </c>
      <c r="O55" s="18" t="n">
        <v>798089.54</v>
      </c>
      <c r="P55" s="34" t="n">
        <v>2999516.6</v>
      </c>
      <c r="Q55" s="18" t="n">
        <v>761600.28</v>
      </c>
      <c r="R55" s="18" t="n">
        <v>855758.96</v>
      </c>
      <c r="S55" s="18" t="n">
        <v>748529.62</v>
      </c>
      <c r="T55" s="18" t="n">
        <v>761041.63</v>
      </c>
      <c r="U55" s="34" t="n">
        <v>3126930.49</v>
      </c>
      <c r="V55" s="18" t="n">
        <v>700063.86</v>
      </c>
      <c r="W55" s="18" t="n">
        <v>782984.14</v>
      </c>
      <c r="X55" s="18" t="n">
        <v>746115.12</v>
      </c>
      <c r="Y55" s="18" t="n">
        <v>706560.75</v>
      </c>
      <c r="Z55" s="34" t="n">
        <v>2935723.87</v>
      </c>
      <c r="AA55" s="18" t="n">
        <v>700342.9399999999</v>
      </c>
      <c r="AB55" s="19" t="n">
        <v>770047.6899999999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507378.36</v>
      </c>
      <c r="F56" s="9" t="n"/>
      <c r="G56" s="18" t="n">
        <v>470560.92</v>
      </c>
      <c r="H56" s="18" t="n">
        <v>534116.8</v>
      </c>
      <c r="I56" s="18" t="n">
        <v>543545.48</v>
      </c>
      <c r="J56" s="18" t="n">
        <v>581791.1800000001</v>
      </c>
      <c r="K56" s="34" t="n">
        <v>2130014.38</v>
      </c>
      <c r="L56" s="18" t="n">
        <v>553162.6899999999</v>
      </c>
      <c r="M56" s="18" t="n">
        <v>541461.97</v>
      </c>
      <c r="N56" s="18" t="n">
        <v>546661.5</v>
      </c>
      <c r="O56" s="18" t="n">
        <v>587008.28</v>
      </c>
      <c r="P56" s="34" t="n">
        <v>2228294.44</v>
      </c>
      <c r="Q56" s="18" t="n">
        <v>570438.14</v>
      </c>
      <c r="R56" s="18" t="n">
        <v>638194.87</v>
      </c>
      <c r="S56" s="18" t="n">
        <v>564653.11</v>
      </c>
      <c r="T56" s="18" t="n">
        <v>569674.37</v>
      </c>
      <c r="U56" s="34" t="n">
        <v>2342960.49</v>
      </c>
      <c r="V56" s="18" t="n">
        <v>536699.1899999999</v>
      </c>
      <c r="W56" s="18" t="n">
        <v>594586.73</v>
      </c>
      <c r="X56" s="18" t="n">
        <v>562215.33</v>
      </c>
      <c r="Y56" s="18" t="n">
        <v>535761.05</v>
      </c>
      <c r="Z56" s="34" t="n">
        <v>2229262.3</v>
      </c>
      <c r="AA56" s="18" t="n">
        <v>527331.83</v>
      </c>
      <c r="AB56" s="19" t="n">
        <v>584863.65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123196.91</v>
      </c>
      <c r="F57" s="9" t="n"/>
      <c r="G57" s="18" t="n">
        <v>121073.02</v>
      </c>
      <c r="H57" s="18" t="n">
        <v>156991.94</v>
      </c>
      <c r="I57" s="18" t="n">
        <v>142408.7</v>
      </c>
      <c r="J57" s="18" t="n">
        <v>151217.53</v>
      </c>
      <c r="K57" s="34" t="n">
        <v>571691.1899999999</v>
      </c>
      <c r="L57" s="18" t="n">
        <v>145795.07</v>
      </c>
      <c r="M57" s="18" t="n">
        <v>205008.88</v>
      </c>
      <c r="N57" s="18" t="n">
        <v>209336.93</v>
      </c>
      <c r="O57" s="18" t="n">
        <v>211081.26</v>
      </c>
      <c r="P57" s="34" t="n">
        <v>771222.14</v>
      </c>
      <c r="Q57" s="18" t="n">
        <v>191162.14</v>
      </c>
      <c r="R57" s="18" t="n">
        <v>217564.09</v>
      </c>
      <c r="S57" s="18" t="n">
        <v>183876.51</v>
      </c>
      <c r="T57" s="18" t="n">
        <v>191367.26</v>
      </c>
      <c r="U57" s="34" t="n">
        <v>783970</v>
      </c>
      <c r="V57" s="18" t="n">
        <v>163364.67</v>
      </c>
      <c r="W57" s="18" t="n">
        <v>188397.41</v>
      </c>
      <c r="X57" s="18" t="n">
        <v>183899.79</v>
      </c>
      <c r="Y57" s="18" t="n">
        <v>170799.7</v>
      </c>
      <c r="Z57" s="34" t="n">
        <v>706461.5699999999</v>
      </c>
      <c r="AA57" s="18" t="n">
        <v>173011.11</v>
      </c>
      <c r="AB57" s="19" t="n">
        <v>185184.04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103182.21</v>
      </c>
      <c r="F58" s="9" t="n"/>
      <c r="G58" s="18" t="n">
        <v>95815.64999999999</v>
      </c>
      <c r="H58" s="18" t="n">
        <v>95848.57000000001</v>
      </c>
      <c r="I58" s="18" t="n">
        <v>90805.56</v>
      </c>
      <c r="J58" s="18" t="n">
        <v>111430.06</v>
      </c>
      <c r="K58" s="34" t="n">
        <v>393899.84</v>
      </c>
      <c r="L58" s="18" t="n">
        <v>94556.38</v>
      </c>
      <c r="M58" s="18" t="n">
        <v>107361.67</v>
      </c>
      <c r="N58" s="18" t="n">
        <v>99067.66</v>
      </c>
      <c r="O58" s="18" t="n">
        <v>124953.6</v>
      </c>
      <c r="P58" s="34" t="n">
        <v>425939.31</v>
      </c>
      <c r="Q58" s="18" t="n">
        <v>102979.56</v>
      </c>
      <c r="R58" s="18" t="n">
        <v>115435</v>
      </c>
      <c r="S58" s="18" t="n">
        <v>107567.69</v>
      </c>
      <c r="T58" s="18" t="n">
        <v>120975.15</v>
      </c>
      <c r="U58" s="34" t="n">
        <v>446957.4</v>
      </c>
      <c r="V58" s="18" t="n">
        <v>101661.53</v>
      </c>
      <c r="W58" s="18" t="n">
        <v>105216.4</v>
      </c>
      <c r="X58" s="18" t="n">
        <v>105672.55</v>
      </c>
      <c r="Y58" s="18" t="n">
        <v>111076.58</v>
      </c>
      <c r="Z58" s="34" t="n">
        <v>423627.06</v>
      </c>
      <c r="AA58" s="18" t="n">
        <v>107374.68</v>
      </c>
      <c r="AB58" s="19" t="n">
        <v>107944.59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20014.71</v>
      </c>
      <c r="F59" s="9" t="n"/>
      <c r="G59" s="18" t="n">
        <v>25257.37</v>
      </c>
      <c r="H59" s="18" t="n">
        <v>61143.37</v>
      </c>
      <c r="I59" s="18" t="n">
        <v>51603.13</v>
      </c>
      <c r="J59" s="18" t="n">
        <v>39787.47</v>
      </c>
      <c r="K59" s="34" t="n">
        <v>177791.34</v>
      </c>
      <c r="L59" s="18" t="n">
        <v>51238.69</v>
      </c>
      <c r="M59" s="18" t="n">
        <v>97647.21000000001</v>
      </c>
      <c r="N59" s="18" t="n">
        <v>110269.27</v>
      </c>
      <c r="O59" s="18" t="n">
        <v>86127.67</v>
      </c>
      <c r="P59" s="34" t="n">
        <v>345282.84</v>
      </c>
      <c r="Q59" s="18" t="n">
        <v>88182.58</v>
      </c>
      <c r="R59" s="18" t="n">
        <v>102129.09</v>
      </c>
      <c r="S59" s="18" t="n">
        <v>76308.82000000001</v>
      </c>
      <c r="T59" s="18" t="n">
        <v>70392.11</v>
      </c>
      <c r="U59" s="34" t="n">
        <v>337012.6</v>
      </c>
      <c r="V59" s="18" t="n">
        <v>61703.14</v>
      </c>
      <c r="W59" s="18" t="n">
        <v>83181.02</v>
      </c>
      <c r="X59" s="18" t="n">
        <v>78227.23</v>
      </c>
      <c r="Y59" s="18" t="n">
        <v>59723.1</v>
      </c>
      <c r="Z59" s="34" t="n">
        <v>282834.49</v>
      </c>
      <c r="AA59" s="18" t="n">
        <v>65636.42999999999</v>
      </c>
      <c r="AB59" s="19" t="n">
        <v>77239.45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-119146.63</v>
      </c>
      <c r="F60" s="9" t="n"/>
      <c r="G60" s="18" t="n">
        <v>-56442.96</v>
      </c>
      <c r="H60" s="18" t="n">
        <v>119717.86</v>
      </c>
      <c r="I60" s="18" t="n">
        <v>-401686.64</v>
      </c>
      <c r="J60" s="18" t="n">
        <v>118680.8</v>
      </c>
      <c r="K60" s="34" t="n">
        <v>-219730.94</v>
      </c>
      <c r="L60" s="18" t="n">
        <v>721.46</v>
      </c>
      <c r="M60" s="18" t="n">
        <v>81318.32000000001</v>
      </c>
      <c r="N60" s="18" t="n">
        <v>17212.47</v>
      </c>
      <c r="O60" s="18" t="n">
        <v>227467.7</v>
      </c>
      <c r="P60" s="34" t="n">
        <v>326719.95</v>
      </c>
      <c r="Q60" s="18" t="n">
        <v>617436.2</v>
      </c>
      <c r="R60" s="18" t="n">
        <v>-75179.35000000001</v>
      </c>
      <c r="S60" s="18" t="n">
        <v>-36503.12</v>
      </c>
      <c r="T60" s="18" t="n">
        <v>-232867.64</v>
      </c>
      <c r="U60" s="34" t="n">
        <v>272886.09</v>
      </c>
      <c r="V60" s="18" t="n">
        <v>17367.57</v>
      </c>
      <c r="W60" s="18" t="n">
        <v>1195591.5</v>
      </c>
      <c r="X60" s="18" t="n">
        <v>397029.7</v>
      </c>
      <c r="Y60" s="18" t="n">
        <v>898787.41</v>
      </c>
      <c r="Z60" s="34" t="n">
        <v>2508776.18</v>
      </c>
      <c r="AA60" s="18" t="n">
        <v>203543.21</v>
      </c>
      <c r="AB60" s="19" t="n">
        <v>3635127.83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20128.86</v>
      </c>
      <c r="F61" s="9" t="n"/>
      <c r="G61" s="18" t="n">
        <v>114126.65</v>
      </c>
      <c r="H61" s="18" t="n">
        <v>191875.39</v>
      </c>
      <c r="I61" s="18" t="n">
        <v>70331.97</v>
      </c>
      <c r="J61" s="18" t="n">
        <v>35582.08</v>
      </c>
      <c r="K61" s="34" t="n">
        <v>411916.09</v>
      </c>
      <c r="L61" s="18" t="n">
        <v>145009.78</v>
      </c>
      <c r="M61" s="18" t="n">
        <v>171792.24</v>
      </c>
      <c r="N61" s="18" t="n">
        <v>54776.42</v>
      </c>
      <c r="O61" s="18" t="n">
        <v>275596.59</v>
      </c>
      <c r="P61" s="34" t="n">
        <v>647175.03</v>
      </c>
      <c r="Q61" s="18" t="n">
        <v>687489.22</v>
      </c>
      <c r="R61" s="18" t="n">
        <v>135197.42</v>
      </c>
      <c r="S61" s="18" t="n">
        <v>15993.77</v>
      </c>
      <c r="T61" s="18" t="n">
        <v>73901.48</v>
      </c>
      <c r="U61" s="34" t="n">
        <v>912581.89</v>
      </c>
      <c r="V61" s="18" t="n">
        <v>142894.84</v>
      </c>
      <c r="W61" s="18" t="n">
        <v>1277748.26</v>
      </c>
      <c r="X61" s="18" t="n">
        <v>544299.05</v>
      </c>
      <c r="Y61" s="18" t="n">
        <v>966146.05</v>
      </c>
      <c r="Z61" s="34" t="n">
        <v>2931088.2</v>
      </c>
      <c r="AA61" s="18" t="n">
        <v>510719.78</v>
      </c>
      <c r="AB61" s="19" t="n">
        <v>3730158.75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-139275.49</v>
      </c>
      <c r="F62" s="9" t="n"/>
      <c r="G62" s="18" t="n">
        <v>-170569.61</v>
      </c>
      <c r="H62" s="18" t="n">
        <v>-72157.53</v>
      </c>
      <c r="I62" s="18" t="n">
        <v>-472018.62</v>
      </c>
      <c r="J62" s="18" t="n">
        <v>83098.73</v>
      </c>
      <c r="K62" s="34" t="n">
        <v>-631647.03</v>
      </c>
      <c r="L62" s="18" t="n">
        <v>-144288.32</v>
      </c>
      <c r="M62" s="18" t="n">
        <v>-90473.92</v>
      </c>
      <c r="N62" s="18" t="n">
        <v>-37563.95</v>
      </c>
      <c r="O62" s="18" t="n">
        <v>-48128.9</v>
      </c>
      <c r="P62" s="34" t="n">
        <v>-320455.09</v>
      </c>
      <c r="Q62" s="18" t="n">
        <v>-70053.03</v>
      </c>
      <c r="R62" s="18" t="n">
        <v>-210376.77</v>
      </c>
      <c r="S62" s="18" t="n">
        <v>-52496.89</v>
      </c>
      <c r="T62" s="18" t="n">
        <v>-306769.12</v>
      </c>
      <c r="U62" s="34" t="n">
        <v>-639695.8100000001</v>
      </c>
      <c r="V62" s="18" t="n">
        <v>-125527.27</v>
      </c>
      <c r="W62" s="18" t="n">
        <v>-82156.75</v>
      </c>
      <c r="X62" s="18" t="n">
        <v>-147269.35</v>
      </c>
      <c r="Y62" s="18" t="n">
        <v>-67358.64</v>
      </c>
      <c r="Z62" s="34" t="n">
        <v>-422312.01</v>
      </c>
      <c r="AA62" s="18" t="n">
        <v>-307176.57</v>
      </c>
      <c r="AB62" s="19" t="n">
        <v>-95030.92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73652.06</v>
      </c>
      <c r="F63" s="9" t="n"/>
      <c r="G63" s="18" t="n">
        <v>4743</v>
      </c>
      <c r="H63" s="18" t="n">
        <v>3509.43</v>
      </c>
      <c r="I63" s="18" t="n">
        <v>-300.31</v>
      </c>
      <c r="J63" s="18" t="n">
        <v>41906.39</v>
      </c>
      <c r="K63" s="34" t="n">
        <v>49858.51</v>
      </c>
      <c r="L63" s="18" t="n">
        <v>19719.72</v>
      </c>
      <c r="M63" s="18" t="n">
        <v>-328.06</v>
      </c>
      <c r="N63" s="18" t="n">
        <v>9078.969999999999</v>
      </c>
      <c r="O63" s="18" t="n">
        <v>4909.24</v>
      </c>
      <c r="P63" s="34" t="n">
        <v>33379.87</v>
      </c>
      <c r="Q63" s="18" t="n">
        <v>7074.07</v>
      </c>
      <c r="R63" s="18" t="n">
        <v>6620.77</v>
      </c>
      <c r="S63" s="18" t="n">
        <v>8801.700000000001</v>
      </c>
      <c r="T63" s="18" t="n">
        <v>5948.41</v>
      </c>
      <c r="U63" s="34" t="n">
        <v>28444.95</v>
      </c>
      <c r="V63" s="18" t="n">
        <v>30044.02</v>
      </c>
      <c r="W63" s="18" t="n">
        <v>800.99</v>
      </c>
      <c r="X63" s="18" t="n">
        <v>10117.81</v>
      </c>
      <c r="Y63" s="18" t="n">
        <v>-46210.73</v>
      </c>
      <c r="Z63" s="34" t="n">
        <v>-5247.91</v>
      </c>
      <c r="AA63" s="18" t="n">
        <v>19692.88</v>
      </c>
      <c r="AB63" s="19" t="n">
        <v>1388.7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76741.7</v>
      </c>
      <c r="F64" s="9" t="n"/>
      <c r="G64" s="18" t="n">
        <v>9238.58</v>
      </c>
      <c r="H64" s="18" t="n">
        <v>12838.18</v>
      </c>
      <c r="I64" s="18" t="n">
        <v>11281.15</v>
      </c>
      <c r="J64" s="18" t="n">
        <v>51720.32</v>
      </c>
      <c r="K64" s="34" t="n">
        <v>85078.23</v>
      </c>
      <c r="L64" s="18" t="n">
        <v>29164.63</v>
      </c>
      <c r="M64" s="18" t="n">
        <v>15711.25</v>
      </c>
      <c r="N64" s="18" t="n">
        <v>10759.17</v>
      </c>
      <c r="O64" s="18" t="n">
        <v>13467.46</v>
      </c>
      <c r="P64" s="34" t="n">
        <v>69102.50999999999</v>
      </c>
      <c r="Q64" s="18" t="n">
        <v>10408.33</v>
      </c>
      <c r="R64" s="18" t="n">
        <v>14634.28</v>
      </c>
      <c r="S64" s="18" t="n">
        <v>11562.7</v>
      </c>
      <c r="T64" s="18" t="n">
        <v>14346.47</v>
      </c>
      <c r="U64" s="34" t="n">
        <v>50951.78</v>
      </c>
      <c r="V64" s="18" t="n">
        <v>43699.35</v>
      </c>
      <c r="W64" s="18" t="n">
        <v>12739.58</v>
      </c>
      <c r="X64" s="18" t="n">
        <v>14372.91</v>
      </c>
      <c r="Y64" s="18" t="n">
        <v>15162.62</v>
      </c>
      <c r="Z64" s="34" t="n">
        <v>85974.46000000001</v>
      </c>
      <c r="AA64" s="18" t="n">
        <v>23348.48</v>
      </c>
      <c r="AB64" s="19" t="n">
        <v>15237.11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-3089.64</v>
      </c>
      <c r="F65" s="9" t="n"/>
      <c r="G65" s="18" t="n">
        <v>-4495.57</v>
      </c>
      <c r="H65" s="18" t="n">
        <v>-9328.74</v>
      </c>
      <c r="I65" s="18" t="n">
        <v>-11581.46</v>
      </c>
      <c r="J65" s="18" t="n">
        <v>-9813.950000000001</v>
      </c>
      <c r="K65" s="34" t="n">
        <v>-35219.72</v>
      </c>
      <c r="L65" s="18" t="n">
        <v>-9444.91</v>
      </c>
      <c r="M65" s="18" t="n">
        <v>-16039.31</v>
      </c>
      <c r="N65" s="18" t="n">
        <v>-1680.21</v>
      </c>
      <c r="O65" s="18" t="n">
        <v>-8558.219999999999</v>
      </c>
      <c r="P65" s="34" t="n">
        <v>-35722.65</v>
      </c>
      <c r="Q65" s="18" t="n">
        <v>-3334.25</v>
      </c>
      <c r="R65" s="18" t="n">
        <v>-8013.51</v>
      </c>
      <c r="S65" s="18" t="n">
        <v>-2760.99</v>
      </c>
      <c r="T65" s="18" t="n">
        <v>-8398.07</v>
      </c>
      <c r="U65" s="34" t="n">
        <v>-22506.82</v>
      </c>
      <c r="V65" s="18" t="n">
        <v>-13655.34</v>
      </c>
      <c r="W65" s="18" t="n">
        <v>-11938.59</v>
      </c>
      <c r="X65" s="18" t="n">
        <v>-4255.1</v>
      </c>
      <c r="Y65" s="18" t="n">
        <v>-61373.35</v>
      </c>
      <c r="Z65" s="34" t="n">
        <v>-91222.38</v>
      </c>
      <c r="AA65" s="18" t="n">
        <v>-3655.59</v>
      </c>
      <c r="AB65" s="19" t="n">
        <v>-13848.41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-25479.86</v>
      </c>
      <c r="F66" s="9" t="n"/>
      <c r="G66" s="18" t="n">
        <v>-26442.59</v>
      </c>
      <c r="H66" s="18" t="n">
        <v>184370.67</v>
      </c>
      <c r="I66" s="18" t="n">
        <v>-350383.82</v>
      </c>
      <c r="J66" s="18" t="n">
        <v>200374.65</v>
      </c>
      <c r="K66" s="34" t="n">
        <v>7918.91</v>
      </c>
      <c r="L66" s="18" t="n">
        <v>71679.87</v>
      </c>
      <c r="M66" s="18" t="n">
        <v>178637.47</v>
      </c>
      <c r="N66" s="18" t="n">
        <v>136560.71</v>
      </c>
      <c r="O66" s="18" t="n">
        <v>318504.6</v>
      </c>
      <c r="P66" s="34" t="n">
        <v>705382.65</v>
      </c>
      <c r="Q66" s="18" t="n">
        <v>712692.84</v>
      </c>
      <c r="R66" s="18" t="n">
        <v>33570.51</v>
      </c>
      <c r="S66" s="18" t="n">
        <v>48607.4</v>
      </c>
      <c r="T66" s="18" t="n">
        <v>-156527.12</v>
      </c>
      <c r="U66" s="34" t="n">
        <v>638343.63</v>
      </c>
      <c r="V66" s="18" t="n">
        <v>109114.73</v>
      </c>
      <c r="W66" s="18" t="n">
        <v>1279573.51</v>
      </c>
      <c r="X66" s="18" t="n">
        <v>485374.74</v>
      </c>
      <c r="Y66" s="18" t="n">
        <v>912299.78</v>
      </c>
      <c r="Z66" s="34" t="n">
        <v>2786362.76</v>
      </c>
      <c r="AA66" s="18" t="n">
        <v>288872.52</v>
      </c>
      <c r="AB66" s="19" t="n">
        <v>3713755.98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-14725.27</v>
      </c>
      <c r="F67" s="9" t="n"/>
      <c r="G67" s="18" t="n">
        <v>14043.55</v>
      </c>
      <c r="H67" s="18" t="n">
        <v>55554.01</v>
      </c>
      <c r="I67" s="18" t="n">
        <v>-73538.46000000001</v>
      </c>
      <c r="J67" s="18" t="n">
        <v>4517.04</v>
      </c>
      <c r="K67" s="34" t="n">
        <v>576.14</v>
      </c>
      <c r="L67" s="18" t="n">
        <v>16027.75</v>
      </c>
      <c r="M67" s="18" t="n">
        <v>43528.18</v>
      </c>
      <c r="N67" s="18" t="n">
        <v>36566.18</v>
      </c>
      <c r="O67" s="18" t="n">
        <v>68431.09</v>
      </c>
      <c r="P67" s="34" t="n">
        <v>164553.2</v>
      </c>
      <c r="Q67" s="18" t="n">
        <v>137130.91</v>
      </c>
      <c r="R67" s="18" t="n">
        <v>13516.14</v>
      </c>
      <c r="S67" s="18" t="n">
        <v>11758.61</v>
      </c>
      <c r="T67" s="18" t="n">
        <v>-94909.16</v>
      </c>
      <c r="U67" s="34" t="n">
        <v>67496.5</v>
      </c>
      <c r="V67" s="18" t="n">
        <v>2461.13</v>
      </c>
      <c r="W67" s="18" t="n">
        <v>345633.68</v>
      </c>
      <c r="X67" s="18" t="n">
        <v>118889.71</v>
      </c>
      <c r="Y67" s="18" t="n">
        <v>254483.45</v>
      </c>
      <c r="Z67" s="34" t="n">
        <v>721467.97</v>
      </c>
      <c r="AA67" s="18" t="n">
        <v>67020.48</v>
      </c>
      <c r="AB67" s="19" t="n">
        <v>884548.3199999999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-10754.59</v>
      </c>
      <c r="F68" s="9" t="n"/>
      <c r="G68" s="18" t="n">
        <v>-40486.14</v>
      </c>
      <c r="H68" s="18" t="n">
        <v>128816.66</v>
      </c>
      <c r="I68" s="18" t="n">
        <v>-276845.36</v>
      </c>
      <c r="J68" s="18" t="n">
        <v>195857.61</v>
      </c>
      <c r="K68" s="34" t="n">
        <v>7342.77</v>
      </c>
      <c r="L68" s="18" t="n">
        <v>55652.12</v>
      </c>
      <c r="M68" s="18" t="n">
        <v>135109.29</v>
      </c>
      <c r="N68" s="18" t="n">
        <v>99994.53</v>
      </c>
      <c r="O68" s="18" t="n">
        <v>250073.51</v>
      </c>
      <c r="P68" s="34" t="n">
        <v>540829.45</v>
      </c>
      <c r="Q68" s="18" t="n">
        <v>575561.9399999999</v>
      </c>
      <c r="R68" s="18" t="n">
        <v>20054.37</v>
      </c>
      <c r="S68" s="18" t="n">
        <v>36848.79</v>
      </c>
      <c r="T68" s="18" t="n">
        <v>-61617.96</v>
      </c>
      <c r="U68" s="34" t="n">
        <v>570847.14</v>
      </c>
      <c r="V68" s="18" t="n">
        <v>106653.59</v>
      </c>
      <c r="W68" s="18" t="n">
        <v>933939.8199999999</v>
      </c>
      <c r="X68" s="18" t="n">
        <v>366485.04</v>
      </c>
      <c r="Y68" s="18" t="n">
        <v>657816.33</v>
      </c>
      <c r="Z68" s="34" t="n">
        <v>2064894.78</v>
      </c>
      <c r="AA68" s="18" t="n">
        <v>221852.04</v>
      </c>
      <c r="AB68" s="19" t="n">
        <v>2829207.66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284.9</v>
      </c>
      <c r="F69" s="9" t="n"/>
      <c r="K69" s="9" t="n"/>
      <c r="P69" s="9" t="n"/>
      <c r="U69" s="9" t="n"/>
      <c r="Z69" s="9" t="n"/>
      <c r="AB69" s="19" t="n">
        <v>-3631.75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-10469.68</v>
      </c>
      <c r="F70" s="9" t="n"/>
      <c r="G70" s="18" t="n">
        <v>-40486.14</v>
      </c>
      <c r="H70" s="18" t="n">
        <v>128816.66</v>
      </c>
      <c r="I70" s="18" t="n">
        <v>-276845.36</v>
      </c>
      <c r="J70" s="18" t="n">
        <v>195857.61</v>
      </c>
      <c r="K70" s="34" t="n">
        <v>7342.77</v>
      </c>
      <c r="L70" s="18" t="n">
        <v>55652.12</v>
      </c>
      <c r="M70" s="18" t="n">
        <v>135109.29</v>
      </c>
      <c r="N70" s="18" t="n">
        <v>99994.53</v>
      </c>
      <c r="O70" s="18" t="n">
        <v>250073.51</v>
      </c>
      <c r="P70" s="34" t="n">
        <v>540829.45</v>
      </c>
      <c r="Q70" s="18" t="n">
        <v>575561.9399999999</v>
      </c>
      <c r="R70" s="18" t="n">
        <v>20054.37</v>
      </c>
      <c r="S70" s="18" t="n">
        <v>36848.79</v>
      </c>
      <c r="T70" s="18" t="n">
        <v>-61617.96</v>
      </c>
      <c r="U70" s="34" t="n">
        <v>570847.14</v>
      </c>
      <c r="V70" s="18" t="n">
        <v>106653.59</v>
      </c>
      <c r="W70" s="18" t="n">
        <v>933939.8199999999</v>
      </c>
      <c r="X70" s="18" t="n">
        <v>366485.04</v>
      </c>
      <c r="Y70" s="18" t="n">
        <v>657816.33</v>
      </c>
      <c r="Z70" s="34" t="n">
        <v>2064894.78</v>
      </c>
      <c r="AA70" s="18" t="n">
        <v>221852.04</v>
      </c>
      <c r="AB70" s="19" t="n">
        <v>2825575.91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-14487.8</v>
      </c>
      <c r="F71" s="9" t="n"/>
      <c r="G71" s="18" t="n">
        <v>-38985.39</v>
      </c>
      <c r="H71" s="18" t="n">
        <v>122363.42</v>
      </c>
      <c r="I71" s="18" t="n">
        <v>-280447.17</v>
      </c>
      <c r="J71" s="18" t="n">
        <v>208614.9</v>
      </c>
      <c r="K71" s="34" t="n">
        <v>11545.76</v>
      </c>
      <c r="L71" s="18" t="n">
        <v>56822.61</v>
      </c>
      <c r="M71" s="18" t="n">
        <v>137197.93</v>
      </c>
      <c r="N71" s="18" t="n">
        <v>98471.56</v>
      </c>
      <c r="O71" s="18" t="n">
        <v>212654.83</v>
      </c>
      <c r="P71" s="34" t="n">
        <v>505146.93</v>
      </c>
      <c r="Q71" s="18" t="n">
        <v>575054.02</v>
      </c>
      <c r="R71" s="18" t="n">
        <v>19812.69</v>
      </c>
      <c r="S71" s="18" t="n">
        <v>36848.79</v>
      </c>
      <c r="T71" s="18" t="n">
        <v>-66922.22</v>
      </c>
      <c r="U71" s="34" t="n">
        <v>564793.28</v>
      </c>
      <c r="V71" s="18" t="n">
        <v>782093.89</v>
      </c>
      <c r="W71" s="18" t="n">
        <v>938544.5699999999</v>
      </c>
      <c r="X71" s="18" t="n">
        <v>361596.59</v>
      </c>
      <c r="Y71" s="18" t="n">
        <v>662823.65</v>
      </c>
      <c r="Z71" s="34" t="n">
        <v>2745058.7</v>
      </c>
      <c r="AA71" s="18" t="n">
        <v>223098.26</v>
      </c>
      <c r="AB71" s="19" t="n">
        <v>2830110.32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-10469.68</v>
      </c>
      <c r="F72" s="9" t="n"/>
      <c r="G72" s="18" t="n">
        <v>-40486.14</v>
      </c>
      <c r="H72" s="18" t="n">
        <v>128816.66</v>
      </c>
      <c r="I72" s="18" t="n">
        <v>-276845.36</v>
      </c>
      <c r="J72" s="18" t="n">
        <v>195857.61</v>
      </c>
      <c r="K72" s="34" t="n">
        <v>7342.77</v>
      </c>
      <c r="L72" s="18" t="n">
        <v>55652.12</v>
      </c>
      <c r="M72" s="18" t="n">
        <v>135109.29</v>
      </c>
      <c r="N72" s="18" t="n">
        <v>99994.53</v>
      </c>
      <c r="O72" s="18" t="n">
        <v>250073.51</v>
      </c>
      <c r="P72" s="34" t="n">
        <v>540829.45</v>
      </c>
      <c r="Q72" s="18" t="n">
        <v>575561.9399999999</v>
      </c>
      <c r="R72" s="18" t="n">
        <v>20054.37</v>
      </c>
      <c r="S72" s="18" t="n">
        <v>36848.79</v>
      </c>
      <c r="T72" s="18" t="n">
        <v>-61617.96</v>
      </c>
      <c r="U72" s="34" t="n">
        <v>570847.14</v>
      </c>
      <c r="V72" s="18" t="n">
        <v>106653.59</v>
      </c>
      <c r="W72" s="18" t="n">
        <v>933939.8199999999</v>
      </c>
      <c r="X72" s="18" t="n">
        <v>366485.04</v>
      </c>
      <c r="Y72" s="18" t="n">
        <v>657816.33</v>
      </c>
      <c r="Z72" s="34" t="n">
        <v>2064894.78</v>
      </c>
      <c r="AA72" s="18" t="n">
        <v>221852.04</v>
      </c>
      <c r="AB72" s="19" t="n">
        <v>2825575.91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55262.03</v>
      </c>
      <c r="F73" s="9" t="n"/>
      <c r="G73" s="18" t="n">
        <v>40549.7</v>
      </c>
      <c r="H73" s="18" t="n">
        <v>46685.51</v>
      </c>
      <c r="I73" s="18" t="n">
        <v>61101.3</v>
      </c>
      <c r="J73" s="18" t="n">
        <v>46341.16</v>
      </c>
      <c r="K73" s="34" t="n">
        <v>194677.67</v>
      </c>
      <c r="L73" s="18" t="n">
        <v>61146.89</v>
      </c>
      <c r="M73" s="18" t="n">
        <v>142577.1</v>
      </c>
      <c r="N73" s="18" t="n">
        <v>116191.4</v>
      </c>
      <c r="O73" s="18" t="n">
        <v>143487.23</v>
      </c>
      <c r="P73" s="34" t="n">
        <v>463402.62</v>
      </c>
      <c r="Q73" s="18" t="n">
        <v>88103.09</v>
      </c>
      <c r="R73" s="18" t="n">
        <v>145876.06</v>
      </c>
      <c r="S73" s="18" t="n">
        <v>110520.55</v>
      </c>
      <c r="T73" s="18" t="n">
        <v>100878.48</v>
      </c>
      <c r="U73" s="34" t="n">
        <v>445378.18</v>
      </c>
      <c r="V73" s="18" t="n">
        <v>108895.33</v>
      </c>
      <c r="W73" s="18" t="n">
        <v>77750.99000000001</v>
      </c>
      <c r="X73" s="18" t="n">
        <v>68771.97</v>
      </c>
      <c r="Y73" s="18" t="n">
        <v>159471.63</v>
      </c>
      <c r="Z73" s="34" t="n">
        <v>414889.92</v>
      </c>
      <c r="AA73" s="18" t="n">
        <v>86881.58</v>
      </c>
      <c r="AB73" s="19" t="n">
        <v>57074.6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감가상각비</t>
        </is>
      </c>
      <c r="E74" s="18" t="n">
        <v>2700.6</v>
      </c>
      <c r="F74" s="9" t="n"/>
      <c r="G74" s="18" t="n">
        <v>1595.29</v>
      </c>
      <c r="H74" s="18" t="n">
        <v>1435.81</v>
      </c>
      <c r="I74" s="18" t="n">
        <v>1521.73</v>
      </c>
      <c r="J74" s="18" t="n">
        <v>1735.28</v>
      </c>
      <c r="K74" s="34" t="n">
        <v>6288.11</v>
      </c>
      <c r="L74" s="18" t="n">
        <v>1747.1</v>
      </c>
      <c r="M74" s="18" t="n">
        <v>1663.29</v>
      </c>
      <c r="N74" s="18" t="n">
        <v>1710.02</v>
      </c>
      <c r="O74" s="18" t="n">
        <v>1927.27</v>
      </c>
      <c r="P74" s="34" t="n">
        <v>7047.68</v>
      </c>
      <c r="Q74" s="18" t="n">
        <v>1870.42</v>
      </c>
      <c r="R74" s="18" t="n">
        <v>2085.98</v>
      </c>
      <c r="S74" s="18" t="n">
        <v>2054.56</v>
      </c>
      <c r="T74" s="18" t="n">
        <v>2096.31</v>
      </c>
      <c r="U74" s="34" t="n">
        <v>8107.27</v>
      </c>
      <c r="V74" s="18" t="n">
        <v>36089.52</v>
      </c>
      <c r="W74" s="18" t="n">
        <v>35970.29</v>
      </c>
      <c r="X74" s="18" t="n">
        <v>-65540.87</v>
      </c>
      <c r="Y74" s="18" t="n">
        <v>2177.14</v>
      </c>
      <c r="Z74" s="34" t="n">
        <v>8696.08</v>
      </c>
      <c r="AA74" s="18" t="n">
        <v>30148.76</v>
      </c>
      <c r="AB74" s="19" t="n">
        <v>28325.79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무형자산상각비</t>
        </is>
      </c>
      <c r="E75" s="18" t="n">
        <v>233.61</v>
      </c>
      <c r="F75" s="9" t="n"/>
      <c r="G75" s="18" t="n">
        <v>265.79</v>
      </c>
      <c r="H75" s="18" t="n">
        <v>272.01</v>
      </c>
      <c r="I75" s="18" t="n">
        <v>279.46</v>
      </c>
      <c r="J75" s="18" t="n">
        <v>291.47</v>
      </c>
      <c r="K75" s="34" t="n">
        <v>1108.73</v>
      </c>
      <c r="L75" s="18" t="n">
        <v>311.5</v>
      </c>
      <c r="M75" s="18" t="n">
        <v>318.2</v>
      </c>
      <c r="N75" s="18" t="n">
        <v>332.73</v>
      </c>
      <c r="O75" s="18" t="n">
        <v>336.45</v>
      </c>
      <c r="P75" s="34" t="n">
        <v>1298.88</v>
      </c>
      <c r="Q75" s="18" t="n">
        <v>306.78</v>
      </c>
      <c r="R75" s="18" t="n">
        <v>294.28</v>
      </c>
      <c r="S75" s="18" t="n">
        <v>295.32</v>
      </c>
      <c r="T75" s="18" t="n">
        <v>300.54</v>
      </c>
      <c r="U75" s="34" t="n">
        <v>1196.92</v>
      </c>
      <c r="V75" s="18" t="n">
        <v>303.87</v>
      </c>
      <c r="W75" s="18" t="n">
        <v>386.78</v>
      </c>
      <c r="X75" s="18" t="n">
        <v>316.62</v>
      </c>
      <c r="Y75" s="18" t="n">
        <v>223.93</v>
      </c>
      <c r="Z75" s="34" t="n">
        <v>1231.2</v>
      </c>
      <c r="AA75" s="18" t="n">
        <v>219.23</v>
      </c>
      <c r="AB75" s="19" t="n">
        <v>275.37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-2014.92</v>
      </c>
      <c r="F76" s="9" t="n"/>
      <c r="G76" s="18" t="n">
        <v>-7577.65</v>
      </c>
      <c r="H76" s="18" t="n">
        <v>-23116.63</v>
      </c>
      <c r="I76" s="18" t="n">
        <v>-24518.95</v>
      </c>
      <c r="J76" s="18" t="n">
        <v>-1551.75</v>
      </c>
      <c r="K76" s="34" t="n">
        <v>-56764.98</v>
      </c>
      <c r="L76" s="18" t="n">
        <v>-1220.77</v>
      </c>
      <c r="M76" s="18" t="n">
        <v>-11024.21</v>
      </c>
      <c r="N76" s="18" t="n">
        <v>-10666.34</v>
      </c>
      <c r="O76" s="18" t="n">
        <v>-12055.52</v>
      </c>
      <c r="P76" s="34" t="n">
        <v>-34966.84</v>
      </c>
      <c r="Q76" s="18" t="n">
        <v>-3020.52</v>
      </c>
      <c r="R76" s="18" t="n">
        <v>-24235.13</v>
      </c>
      <c r="S76" s="18" t="n">
        <v>-10295.87</v>
      </c>
      <c r="T76" s="18" t="n">
        <v>-10788.77</v>
      </c>
      <c r="U76" s="34" t="n">
        <v>-48340.29</v>
      </c>
      <c r="V76" s="18" t="n">
        <v>-49833.53</v>
      </c>
      <c r="W76" s="18" t="n">
        <v>-60790.76</v>
      </c>
      <c r="X76" s="18" t="n">
        <v>-22103.94</v>
      </c>
      <c r="Y76" s="18" t="n">
        <v>-20064.1</v>
      </c>
      <c r="Z76" s="34" t="n">
        <v>-152792.33</v>
      </c>
      <c r="AA76" s="18" t="n">
        <v>-16641.51</v>
      </c>
      <c r="AB76" s="19" t="n">
        <v>12767.88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487807.47</v>
      </c>
      <c r="F77" s="9" t="n"/>
      <c r="G77" s="18" t="n">
        <v>-403500.26</v>
      </c>
      <c r="H77" s="18" t="n">
        <v>-41200.89</v>
      </c>
      <c r="I77" s="18" t="n">
        <v>464642.68</v>
      </c>
      <c r="J77" s="18" t="n">
        <v>246974.87</v>
      </c>
      <c r="K77" s="34" t="n">
        <v>266916.4</v>
      </c>
      <c r="L77" s="18" t="n">
        <v>-109839.3</v>
      </c>
      <c r="M77" s="18" t="n">
        <v>-46355.64</v>
      </c>
      <c r="N77" s="18" t="n">
        <v>-34459.7</v>
      </c>
      <c r="O77" s="18" t="n">
        <v>-1837.63</v>
      </c>
      <c r="P77" s="34" t="n">
        <v>-192492.27</v>
      </c>
      <c r="Q77" s="18" t="n">
        <v>-110680.21</v>
      </c>
      <c r="R77" s="18" t="n">
        <v>-259449.17</v>
      </c>
      <c r="S77" s="18" t="n">
        <v>-56792.76</v>
      </c>
      <c r="T77" s="18" t="n">
        <v>-579304.48</v>
      </c>
      <c r="U77" s="34" t="n">
        <v>-1006226.62</v>
      </c>
      <c r="V77" s="18" t="n">
        <v>-19778.95</v>
      </c>
      <c r="W77" s="18" t="n">
        <v>190156.65</v>
      </c>
      <c r="X77" s="18" t="n">
        <v>-818078.14</v>
      </c>
      <c r="Y77" s="18" t="n">
        <v>178601.86</v>
      </c>
      <c r="Z77" s="34" t="n">
        <v>-469098.58</v>
      </c>
      <c r="AA77" s="18" t="n">
        <v>-46664.01</v>
      </c>
      <c r="AB77" s="19" t="n">
        <v>-43977.87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25443.74</v>
      </c>
      <c r="F78" s="9" t="n"/>
      <c r="G78" s="18" t="n">
        <v>30879.31</v>
      </c>
      <c r="H78" s="18" t="n">
        <v>24361.41</v>
      </c>
      <c r="I78" s="18" t="n">
        <v>41142.14</v>
      </c>
      <c r="J78" s="18" t="n">
        <v>49551.38</v>
      </c>
      <c r="K78" s="34" t="n">
        <v>145934.24</v>
      </c>
      <c r="L78" s="18" t="n">
        <v>56905.8</v>
      </c>
      <c r="M78" s="18" t="n">
        <v>50598.74</v>
      </c>
      <c r="N78" s="18" t="n">
        <v>60546.09</v>
      </c>
      <c r="O78" s="18" t="n">
        <v>23978.74</v>
      </c>
      <c r="P78" s="34" t="n">
        <v>192029.37</v>
      </c>
      <c r="Q78" s="18" t="n">
        <v>21543.7</v>
      </c>
      <c r="R78" s="18" t="n">
        <v>30565.81</v>
      </c>
      <c r="S78" s="18" t="n">
        <v>21436.25</v>
      </c>
      <c r="T78" s="18" t="n">
        <v>12580.7</v>
      </c>
      <c r="U78" s="34" t="n">
        <v>86126.46000000001</v>
      </c>
      <c r="V78" s="18" t="n">
        <v>17729.21</v>
      </c>
      <c r="W78" s="18" t="n">
        <v>13172.56</v>
      </c>
      <c r="X78" s="18" t="n">
        <v>17958.43</v>
      </c>
      <c r="Y78" s="18" t="n">
        <v>37379.49</v>
      </c>
      <c r="Z78" s="34" t="n">
        <v>86239.69</v>
      </c>
      <c r="AA78" s="18" t="n">
        <v>30987.63</v>
      </c>
      <c r="AB78" s="19" t="n">
        <v>10565.74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26125.17</v>
      </c>
      <c r="F79" s="9" t="n"/>
      <c r="G79" s="18" t="n">
        <v>31047.65</v>
      </c>
      <c r="H79" s="18" t="n">
        <v>26553.8</v>
      </c>
      <c r="I79" s="18" t="n">
        <v>41349.35</v>
      </c>
      <c r="J79" s="18" t="n">
        <v>50008.86</v>
      </c>
      <c r="K79" s="34" t="n">
        <v>148959.66</v>
      </c>
      <c r="L79" s="18" t="n">
        <v>57114.96</v>
      </c>
      <c r="M79" s="18" t="n">
        <v>50877.37</v>
      </c>
      <c r="N79" s="18" t="n">
        <v>60733.76</v>
      </c>
      <c r="O79" s="18" t="n">
        <v>24228.55</v>
      </c>
      <c r="P79" s="34" t="n">
        <v>192954.64</v>
      </c>
      <c r="Q79" s="18" t="n">
        <v>21910.92</v>
      </c>
      <c r="R79" s="18" t="n">
        <v>30801.43</v>
      </c>
      <c r="S79" s="18" t="n">
        <v>21646.68</v>
      </c>
      <c r="T79" s="18" t="n">
        <v>12885.41</v>
      </c>
      <c r="U79" s="34" t="n">
        <v>87244.44</v>
      </c>
      <c r="V79" s="18" t="n">
        <v>17953.67</v>
      </c>
      <c r="W79" s="18" t="n">
        <v>13532.35</v>
      </c>
      <c r="X79" s="18" t="n">
        <v>18043.55</v>
      </c>
      <c r="Y79" s="18" t="n">
        <v>37683.66</v>
      </c>
      <c r="Z79" s="34" t="n">
        <v>87213.23</v>
      </c>
      <c r="AA79" s="18" t="n">
        <v>31200.45</v>
      </c>
      <c r="AB79" s="19" t="n">
        <v>10769.98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E80" s="18" t="n">
        <v>681.4299999999999</v>
      </c>
      <c r="F80" s="9" t="n"/>
      <c r="G80" s="18" t="n">
        <v>168.34</v>
      </c>
      <c r="H80" s="18" t="n">
        <v>2192.39</v>
      </c>
      <c r="I80" s="18" t="n">
        <v>207.21</v>
      </c>
      <c r="J80" s="18" t="n">
        <v>457.48</v>
      </c>
      <c r="K80" s="34" t="n">
        <v>3025.42</v>
      </c>
      <c r="L80" s="18" t="n">
        <v>209.16</v>
      </c>
      <c r="M80" s="18" t="n">
        <v>278.63</v>
      </c>
      <c r="N80" s="18" t="n">
        <v>187.67</v>
      </c>
      <c r="O80" s="18" t="n">
        <v>249.81</v>
      </c>
      <c r="P80" s="34" t="n">
        <v>925.27</v>
      </c>
      <c r="Q80" s="18" t="n">
        <v>367.22</v>
      </c>
      <c r="R80" s="18" t="n">
        <v>235.62</v>
      </c>
      <c r="S80" s="18" t="n">
        <v>210.43</v>
      </c>
      <c r="T80" s="18" t="n">
        <v>304.71</v>
      </c>
      <c r="U80" s="34" t="n">
        <v>1117.98</v>
      </c>
      <c r="V80" s="18" t="n">
        <v>224.46</v>
      </c>
      <c r="W80" s="18" t="n">
        <v>359.79</v>
      </c>
      <c r="X80" s="18" t="n">
        <v>85.12</v>
      </c>
      <c r="Y80" s="18" t="n">
        <v>304.17</v>
      </c>
      <c r="Z80" s="34" t="n">
        <v>973.54</v>
      </c>
      <c r="AA80" s="18" t="n">
        <v>212.82</v>
      </c>
      <c r="AB80" s="19" t="n">
        <v>204.24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865.95</v>
      </c>
      <c r="F81" s="9" t="n"/>
      <c r="G81" s="18" t="n">
        <v>807.17</v>
      </c>
      <c r="H81" s="18" t="n">
        <v>2850.64</v>
      </c>
      <c r="I81" s="18" t="n">
        <v>361.18</v>
      </c>
      <c r="J81" s="18" t="n">
        <v>1388.14</v>
      </c>
      <c r="K81" s="34" t="n">
        <v>5407.13</v>
      </c>
      <c r="L81" s="18" t="n">
        <v>20736.11</v>
      </c>
      <c r="M81" s="18" t="n">
        <v>6559.39</v>
      </c>
      <c r="N81" s="18" t="n">
        <v>842.54</v>
      </c>
      <c r="O81" s="18" t="n">
        <v>1107.53</v>
      </c>
      <c r="P81" s="34" t="n">
        <v>29245.57</v>
      </c>
      <c r="Q81" s="18" t="n">
        <v>649.33</v>
      </c>
      <c r="R81" s="18" t="n">
        <v>759.27</v>
      </c>
      <c r="S81" s="18" t="n">
        <v>992.29</v>
      </c>
      <c r="T81" s="18" t="n">
        <v>4203.36</v>
      </c>
      <c r="U81" s="34" t="n">
        <v>6604.25</v>
      </c>
      <c r="V81" s="18" t="n">
        <v>251.05</v>
      </c>
      <c r="W81" s="18" t="n">
        <v>1103.02</v>
      </c>
      <c r="X81" s="18" t="n">
        <v>5100.63</v>
      </c>
      <c r="Y81" s="18" t="n">
        <v>25860.7</v>
      </c>
      <c r="Z81" s="34" t="n">
        <v>32315.4</v>
      </c>
      <c r="AA81" s="18" t="n">
        <v>186.35</v>
      </c>
      <c r="AB81" s="19" t="n">
        <v>420.98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G82" s="18" t="n">
        <v>0.22</v>
      </c>
      <c r="H82" s="18" t="n">
        <v>2150</v>
      </c>
      <c r="I82" s="18" t="n">
        <v>0</v>
      </c>
      <c r="J82" s="18" t="n">
        <v>0</v>
      </c>
      <c r="K82" s="34" t="n">
        <v>2150.22</v>
      </c>
      <c r="N82" s="18" t="n">
        <v>0.73</v>
      </c>
      <c r="O82" s="18" t="n">
        <v>0</v>
      </c>
      <c r="P82" s="9" t="n"/>
      <c r="T82" s="18" t="n">
        <v>5.85</v>
      </c>
      <c r="U82" s="9" t="n"/>
      <c r="V82" s="18" t="n">
        <v>1.15</v>
      </c>
      <c r="W82" s="18" t="n">
        <v>0.24</v>
      </c>
      <c r="X82" s="18" t="n">
        <v>209.09</v>
      </c>
      <c r="Y82" s="18" t="n">
        <v>0</v>
      </c>
      <c r="Z82" s="34" t="n">
        <v>210.48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1987.14</v>
      </c>
      <c r="F83" s="9" t="n"/>
      <c r="G83" s="18" t="n">
        <v>311.34</v>
      </c>
      <c r="H83" s="18" t="n">
        <v>395.08</v>
      </c>
      <c r="I83" s="18" t="n">
        <v>961.47</v>
      </c>
      <c r="J83" s="18" t="n">
        <v>3043.58</v>
      </c>
      <c r="K83" s="34" t="n">
        <v>4711.47</v>
      </c>
      <c r="L83" s="18" t="n">
        <v>4350.76</v>
      </c>
      <c r="M83" s="18" t="n">
        <v>5329.17</v>
      </c>
      <c r="N83" s="18" t="n">
        <v>6718.03</v>
      </c>
      <c r="O83" s="18" t="n">
        <v>8378.450000000001</v>
      </c>
      <c r="P83" s="34" t="n">
        <v>24776.41</v>
      </c>
      <c r="Q83" s="18" t="n">
        <v>7188.55</v>
      </c>
      <c r="R83" s="18" t="n">
        <v>7636.26</v>
      </c>
      <c r="S83" s="18" t="n">
        <v>6764.26</v>
      </c>
      <c r="T83" s="18" t="n">
        <v>8165.82</v>
      </c>
      <c r="U83" s="34" t="n">
        <v>29754.89</v>
      </c>
      <c r="V83" s="18" t="n">
        <v>1908.06</v>
      </c>
      <c r="W83" s="18" t="n">
        <v>2777.28</v>
      </c>
      <c r="X83" s="18" t="n">
        <v>15710.58</v>
      </c>
      <c r="Y83" s="18" t="n">
        <v>4136.45</v>
      </c>
      <c r="Z83" s="34" t="n">
        <v>24532.37</v>
      </c>
      <c r="AA83" s="18" t="n">
        <v>4471.73</v>
      </c>
      <c r="AB83" s="19" t="n">
        <v>13438.65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배당금수취(CF)</t>
        </is>
      </c>
      <c r="E84" s="18" t="n">
        <v>90.22</v>
      </c>
      <c r="F84" s="9" t="n"/>
      <c r="G84" s="18" t="n">
        <v>152.74</v>
      </c>
      <c r="H84" s="18" t="n">
        <v>77654.13</v>
      </c>
      <c r="I84" s="18" t="n">
        <v>612.5599999999999</v>
      </c>
      <c r="J84" s="18" t="n">
        <v>0</v>
      </c>
      <c r="K84" s="34" t="n">
        <v>78419.42999999999</v>
      </c>
      <c r="L84" s="18" t="n">
        <v>143.5</v>
      </c>
      <c r="M84" s="18" t="n">
        <v>44983.33</v>
      </c>
      <c r="N84" s="18" t="n">
        <v>458.48</v>
      </c>
      <c r="O84" s="18" t="n">
        <v>0</v>
      </c>
      <c r="P84" s="34" t="n">
        <v>45585.31</v>
      </c>
      <c r="Q84" s="18" t="n">
        <v>72625.92</v>
      </c>
      <c r="R84" s="18" t="n">
        <v>126861.47</v>
      </c>
      <c r="S84" s="18" t="n">
        <v>458.48</v>
      </c>
      <c r="T84" s="18" t="n">
        <v>0</v>
      </c>
      <c r="U84" s="34" t="n">
        <v>199945.87</v>
      </c>
      <c r="V84" s="18" t="n">
        <v>205</v>
      </c>
      <c r="W84" s="18" t="n">
        <v>64147</v>
      </c>
      <c r="X84" s="18" t="n">
        <v>9216.450000000001</v>
      </c>
      <c r="Y84" s="18" t="n">
        <v>110.77</v>
      </c>
      <c r="Z84" s="34" t="n">
        <v>73679.22</v>
      </c>
      <c r="AA84" s="18" t="n">
        <v>205</v>
      </c>
      <c r="AB84" s="19" t="n">
        <v>79820.42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-511388.9</v>
      </c>
      <c r="F85" s="9" t="n"/>
      <c r="G85" s="18" t="n">
        <v>333582.22</v>
      </c>
      <c r="H85" s="18" t="n">
        <v>-972.04</v>
      </c>
      <c r="I85" s="18" t="n">
        <v>-462377.9</v>
      </c>
      <c r="J85" s="18" t="n">
        <v>2732.4</v>
      </c>
      <c r="K85" s="34" t="n">
        <v>-127035.32</v>
      </c>
      <c r="L85" s="18" t="n">
        <v>97094.24000000001</v>
      </c>
      <c r="M85" s="18" t="n">
        <v>41378.47</v>
      </c>
      <c r="N85" s="18" t="n">
        <v>-48064.51</v>
      </c>
      <c r="O85" s="18" t="n">
        <v>-137036.1</v>
      </c>
      <c r="P85" s="34" t="n">
        <v>-46627.9</v>
      </c>
      <c r="Q85" s="18" t="n">
        <v>21205.85</v>
      </c>
      <c r="R85" s="18" t="n">
        <v>174088.76</v>
      </c>
      <c r="S85" s="18" t="n">
        <v>22366.67</v>
      </c>
      <c r="T85" s="18" t="n">
        <v>-109995.62</v>
      </c>
      <c r="U85" s="34" t="n">
        <v>107665.66</v>
      </c>
      <c r="V85" s="18" t="n">
        <v>330986.87</v>
      </c>
      <c r="W85" s="18" t="n">
        <v>-388864.99</v>
      </c>
      <c r="X85" s="18" t="n">
        <v>855895.03</v>
      </c>
      <c r="Y85" s="18" t="n">
        <v>-130132.8</v>
      </c>
      <c r="Z85" s="34" t="n">
        <v>667884.11</v>
      </c>
      <c r="AA85" s="18" t="n">
        <v>263512.1</v>
      </c>
      <c r="AB85" s="19" t="n">
        <v>-425948.17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371564.16</v>
      </c>
      <c r="H86" s="18" t="n">
        <v>0</v>
      </c>
      <c r="I86" s="18" t="n">
        <v>0</v>
      </c>
      <c r="J86" s="18" t="n">
        <v>0</v>
      </c>
      <c r="K86" s="34" t="n">
        <v>371564.16</v>
      </c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사채의증가</t>
        </is>
      </c>
      <c r="E87" s="18" t="n">
        <v>249261.26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Q87" s="18" t="n">
        <v>578380.4399999999</v>
      </c>
      <c r="R87" s="18" t="n">
        <v>0</v>
      </c>
      <c r="S87" s="18" t="n">
        <v>0</v>
      </c>
      <c r="T87" s="18" t="n">
        <v>299133.46</v>
      </c>
      <c r="U87" s="34" t="n">
        <v>877513.9</v>
      </c>
      <c r="V87" s="18" t="n">
        <v>398851.08</v>
      </c>
      <c r="W87" s="18" t="n">
        <v>0</v>
      </c>
      <c r="X87" s="18" t="n">
        <v>885072.27</v>
      </c>
      <c r="Y87" s="18" t="n">
        <v>0</v>
      </c>
      <c r="Z87" s="34" t="n">
        <v>1283923.35</v>
      </c>
      <c r="AA87" s="18" t="n">
        <v>398861.36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I88" s="18" t="n">
        <v>100000</v>
      </c>
      <c r="J88" s="18" t="n">
        <v>0</v>
      </c>
      <c r="K88" s="9" t="n"/>
      <c r="P88" s="9" t="n"/>
      <c r="Q88" s="18" t="n">
        <v>400000</v>
      </c>
      <c r="R88" s="18" t="n">
        <v>238682</v>
      </c>
      <c r="S88" s="18" t="n">
        <v>0</v>
      </c>
      <c r="T88" s="18" t="n">
        <v>270000</v>
      </c>
      <c r="U88" s="34" t="n">
        <v>908682</v>
      </c>
      <c r="V88" s="18" t="n">
        <v>137585.7</v>
      </c>
      <c r="W88" s="18" t="n">
        <v>270000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사채의감소</t>
        </is>
      </c>
      <c r="E89" s="18" t="n">
        <v>280000</v>
      </c>
      <c r="F89" s="9" t="n"/>
      <c r="K89" s="9" t="n"/>
      <c r="L89" s="18" t="n">
        <v>200000</v>
      </c>
      <c r="M89" s="18" t="n">
        <v>150000</v>
      </c>
      <c r="P89" s="9" t="n"/>
      <c r="U89" s="9" t="n"/>
      <c r="Z89" s="9" t="n"/>
      <c r="AA89" s="18" t="n">
        <v>145000</v>
      </c>
      <c r="AB89" s="19" t="n">
        <v>275000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E90" s="18" t="n">
        <v>2374.58</v>
      </c>
      <c r="F90" s="9" t="n"/>
      <c r="G90" s="18" t="n">
        <v>1374.8</v>
      </c>
      <c r="H90" s="18" t="n">
        <v>1347.65</v>
      </c>
      <c r="I90" s="18" t="n">
        <v>1521.11</v>
      </c>
      <c r="J90" s="18" t="n">
        <v>1564.83</v>
      </c>
      <c r="K90" s="34" t="n">
        <v>5808.39</v>
      </c>
      <c r="L90" s="18" t="n">
        <v>1556.99</v>
      </c>
      <c r="M90" s="18" t="n">
        <v>2004.82</v>
      </c>
      <c r="N90" s="18" t="n">
        <v>1954.1</v>
      </c>
      <c r="O90" s="18" t="n">
        <v>2043.67</v>
      </c>
      <c r="P90" s="34" t="n">
        <v>7559.58</v>
      </c>
      <c r="Q90" s="18" t="n">
        <v>1987.4</v>
      </c>
      <c r="R90" s="18" t="n">
        <v>2218.97</v>
      </c>
      <c r="S90" s="18" t="n">
        <v>2348.56</v>
      </c>
      <c r="T90" s="18" t="n">
        <v>2230</v>
      </c>
      <c r="U90" s="34" t="n">
        <v>8784.93</v>
      </c>
      <c r="V90" s="18" t="n">
        <v>2322.56</v>
      </c>
      <c r="W90" s="18" t="n">
        <v>2314.88</v>
      </c>
      <c r="X90" s="18" t="n">
        <v>2445.55</v>
      </c>
      <c r="Y90" s="18" t="n">
        <v>2327.44</v>
      </c>
      <c r="Z90" s="34" t="n">
        <v>9410.43</v>
      </c>
      <c r="AA90" s="18" t="n">
        <v>2333.97</v>
      </c>
      <c r="AB90" s="19" t="n">
        <v>2110.26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18" t="n">
        <v>-13698.32</v>
      </c>
      <c r="F91" s="9" t="n"/>
      <c r="G91" s="18" t="n">
        <v>-23797.12</v>
      </c>
      <c r="H91" s="18" t="n">
        <v>-12442.16</v>
      </c>
      <c r="I91" s="18" t="n">
        <v>-14294.45</v>
      </c>
      <c r="J91" s="18" t="n">
        <v>-17833.24</v>
      </c>
      <c r="K91" s="34" t="n">
        <v>-68366.97</v>
      </c>
      <c r="L91" s="18" t="n">
        <v>-18227.7</v>
      </c>
      <c r="M91" s="18" t="n">
        <v>-18946.82</v>
      </c>
      <c r="N91" s="18" t="n">
        <v>-22566.28</v>
      </c>
      <c r="O91" s="18" t="n">
        <v>-32943.06</v>
      </c>
      <c r="P91" s="34" t="n">
        <v>-92683.86</v>
      </c>
      <c r="Q91" s="18" t="n">
        <v>-18437.81</v>
      </c>
      <c r="R91" s="18" t="n">
        <v>-29567.42</v>
      </c>
      <c r="S91" s="18" t="n">
        <v>-29042.57</v>
      </c>
      <c r="T91" s="18" t="n">
        <v>-31428.48</v>
      </c>
      <c r="U91" s="34" t="n">
        <v>-108476.28</v>
      </c>
      <c r="V91" s="18" t="n">
        <v>-30469.07</v>
      </c>
      <c r="W91" s="18" t="n">
        <v>-32825.28</v>
      </c>
      <c r="X91" s="18" t="n">
        <v>-29441.59</v>
      </c>
      <c r="Y91" s="18" t="n">
        <v>-29610.53</v>
      </c>
      <c r="Z91" s="34" t="n">
        <v>-122346.47</v>
      </c>
      <c r="AA91" s="18" t="n">
        <v>-37883.22</v>
      </c>
      <c r="AB91" s="19" t="n">
        <v>-32205.73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I92" s="18" t="n">
        <v>7354.17</v>
      </c>
      <c r="J92" s="18" t="n">
        <v>0</v>
      </c>
      <c r="K92" s="9" t="n"/>
      <c r="N92" s="18" t="n">
        <v>7354.17</v>
      </c>
      <c r="O92" s="18" t="n">
        <v>0</v>
      </c>
      <c r="P92" s="9" t="n"/>
      <c r="S92" s="18" t="n">
        <v>7354.17</v>
      </c>
      <c r="T92" s="18" t="n">
        <v>0</v>
      </c>
      <c r="U92" s="9" t="n"/>
      <c r="X92" s="18" t="n">
        <v>7354.17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31680.61</v>
      </c>
      <c r="F93" s="9" t="n"/>
      <c r="G93" s="18" t="n">
        <v>-29368.34</v>
      </c>
      <c r="H93" s="18" t="n">
        <v>4512.58</v>
      </c>
      <c r="I93" s="18" t="n">
        <v>63366.07</v>
      </c>
      <c r="J93" s="18" t="n">
        <v>296048.44</v>
      </c>
      <c r="K93" s="34" t="n">
        <v>334558.75</v>
      </c>
      <c r="L93" s="18" t="n">
        <v>48401.82</v>
      </c>
      <c r="M93" s="18" t="n">
        <v>137599.94</v>
      </c>
      <c r="N93" s="18" t="n">
        <v>33667.19</v>
      </c>
      <c r="O93" s="18" t="n">
        <v>4613.49</v>
      </c>
      <c r="P93" s="34" t="n">
        <v>224282.44</v>
      </c>
      <c r="Q93" s="18" t="n">
        <v>-1371.27</v>
      </c>
      <c r="R93" s="18" t="n">
        <v>60515.65</v>
      </c>
      <c r="S93" s="18" t="n">
        <v>76094.46000000001</v>
      </c>
      <c r="T93" s="18" t="n">
        <v>-588421.62</v>
      </c>
      <c r="U93" s="34" t="n">
        <v>-453182.78</v>
      </c>
      <c r="V93" s="18" t="n">
        <v>420103.25</v>
      </c>
      <c r="W93" s="18" t="n">
        <v>-120957.34</v>
      </c>
      <c r="X93" s="18" t="n">
        <v>106588.84</v>
      </c>
      <c r="Y93" s="18" t="n">
        <v>207940.71</v>
      </c>
      <c r="Z93" s="34" t="n">
        <v>613675.46</v>
      </c>
      <c r="AA93" s="18" t="n">
        <v>303729.67</v>
      </c>
      <c r="AB93" s="19" t="n">
        <v>-412851.44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30152.04</v>
      </c>
      <c r="F94" s="9" t="n"/>
      <c r="G94" s="18" t="n">
        <v>153638.74</v>
      </c>
      <c r="H94" s="18" t="n">
        <v>4383.87</v>
      </c>
      <c r="I94" s="18" t="n">
        <v>69707.66</v>
      </c>
      <c r="J94" s="18" t="n">
        <v>273854.58</v>
      </c>
      <c r="K94" s="34" t="n">
        <v>501584.85</v>
      </c>
      <c r="L94" s="18" t="n">
        <v>555886.47</v>
      </c>
      <c r="M94" s="18" t="n">
        <v>133646.56</v>
      </c>
      <c r="N94" s="18" t="n">
        <v>43151.34</v>
      </c>
      <c r="O94" s="18" t="n">
        <v>-8231.200000000001</v>
      </c>
      <c r="P94" s="34" t="n">
        <v>724453.17</v>
      </c>
      <c r="Q94" s="18" t="n">
        <v>730153.27</v>
      </c>
      <c r="R94" s="18" t="n">
        <v>64030.09</v>
      </c>
      <c r="S94" s="18" t="n">
        <v>61062.34</v>
      </c>
      <c r="T94" s="18" t="n">
        <v>-579203.03</v>
      </c>
      <c r="U94" s="34" t="n">
        <v>276042.67</v>
      </c>
      <c r="V94" s="18" t="n">
        <v>699444.78</v>
      </c>
      <c r="W94" s="18" t="n">
        <v>-137479.62</v>
      </c>
      <c r="X94" s="18" t="n">
        <v>122675.05</v>
      </c>
      <c r="Y94" s="18" t="n">
        <v>201396.41</v>
      </c>
      <c r="Z94" s="34" t="n">
        <v>886036.62</v>
      </c>
      <c r="AA94" s="18" t="n">
        <v>1218978.29</v>
      </c>
      <c r="AB94" s="19" t="n">
        <v>-425678.7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G95" s="18" t="n">
        <v>81426.66</v>
      </c>
      <c r="H95" s="18" t="n">
        <v>18467.27</v>
      </c>
      <c r="I95" s="18" t="n">
        <v>0</v>
      </c>
      <c r="J95" s="18" t="n">
        <v>0</v>
      </c>
      <c r="K95" s="34" t="n">
        <v>99893.92999999999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0.0493</v>
      </c>
      <c r="F10" s="34" t="n"/>
      <c r="G10" s="18" t="n">
        <v>0.0912</v>
      </c>
      <c r="H10" s="18" t="n">
        <v>0.0935</v>
      </c>
      <c r="I10" s="18" t="n">
        <v>0.0554</v>
      </c>
      <c r="J10" s="18" t="n">
        <v>0.0351</v>
      </c>
      <c r="K10" s="34">
        <f>SUM(G10:J10)</f>
        <v/>
      </c>
      <c r="L10" s="18" t="n">
        <v>0.0485</v>
      </c>
      <c r="M10" s="18" t="n">
        <v>0.0569</v>
      </c>
      <c r="N10" s="18" t="n">
        <v>0.057</v>
      </c>
      <c r="O10" s="18" t="n">
        <v>0.0366</v>
      </c>
      <c r="P10" s="34">
        <f>SUM(L10:O10)</f>
        <v/>
      </c>
      <c r="Q10" s="18" t="n">
        <v>0.0673</v>
      </c>
      <c r="R10" s="18" t="n">
        <v>0.079</v>
      </c>
      <c r="S10" s="18" t="n">
        <v>0.0767</v>
      </c>
      <c r="T10" s="18" t="n">
        <v>0.0593</v>
      </c>
      <c r="U10" s="34">
        <f>SUM(Q10:T10)</f>
        <v/>
      </c>
      <c r="V10" s="18" t="n">
        <v>0.06469999999999999</v>
      </c>
      <c r="W10" s="18" t="n">
        <v>0.0823</v>
      </c>
      <c r="X10" s="18" t="n">
        <v>0.0723</v>
      </c>
      <c r="Y10" s="18" t="n">
        <v>0.0427</v>
      </c>
      <c r="Z10" s="34">
        <f>SUM(V10:Y10)</f>
        <v/>
      </c>
      <c r="AA10" s="18" t="n">
        <v>0.0542</v>
      </c>
      <c r="AB10" s="19" t="n">
        <v>0.07140000000000001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/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>
        <v>-36.32</v>
      </c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IFERROR(X19*(1+변수!AC31),"")</f>
        <v/>
      </c>
      <c r="AD19" s="20">
        <f>IFERROR(Y19*(1+변수!AD31),"")</f>
        <v/>
      </c>
      <c r="AE19" s="35">
        <f>SUM(AA19:AD19)</f>
        <v/>
      </c>
      <c r="AF19" s="20">
        <f>IFERROR(AA19*(1+변수!AF31),"")</f>
        <v/>
      </c>
      <c r="AG19" s="20">
        <f>IFERROR(AB19*(1+변수!AG31),"")</f>
        <v/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816.21</v>
      </c>
      <c r="F20" s="34" t="n"/>
      <c r="G20" s="18" t="n">
        <v>1563.12</v>
      </c>
      <c r="H20" s="18" t="n">
        <v>1707.3</v>
      </c>
      <c r="I20" s="18" t="n">
        <v>1031.72</v>
      </c>
      <c r="J20" s="18" t="n">
        <v>650.78</v>
      </c>
      <c r="K20" s="34">
        <f>SUM(G20:J20)</f>
        <v/>
      </c>
      <c r="L20" s="18" t="n">
        <v>828.98</v>
      </c>
      <c r="M20" s="18" t="n">
        <v>974.1799999999999</v>
      </c>
      <c r="N20" s="18" t="n">
        <v>956.39</v>
      </c>
      <c r="O20" s="18" t="n">
        <v>686.3200000000001</v>
      </c>
      <c r="P20" s="34">
        <f>SUM(L20:O20)</f>
        <v/>
      </c>
      <c r="Q20" s="18" t="n">
        <v>1139.67</v>
      </c>
      <c r="R20" s="18" t="n">
        <v>1478.76</v>
      </c>
      <c r="S20" s="18" t="n">
        <v>1326.8</v>
      </c>
      <c r="T20" s="18" t="n">
        <v>1051.3</v>
      </c>
      <c r="U20" s="34">
        <f>SUM(Q20:T20)</f>
        <v/>
      </c>
      <c r="V20" s="18" t="n">
        <v>2066.27</v>
      </c>
      <c r="W20" s="18" t="n">
        <v>2379.96</v>
      </c>
      <c r="X20" s="18" t="n">
        <v>-602.83</v>
      </c>
      <c r="Y20" s="18" t="n">
        <v>4528.49</v>
      </c>
      <c r="Z20" s="34">
        <f>SUM(V20:Y20)</f>
        <v/>
      </c>
      <c r="AA20" s="18" t="n">
        <v>1818.37</v>
      </c>
      <c r="AB20" s="19" t="n">
        <v>2207.7</v>
      </c>
      <c r="AC20" s="20">
        <f>IFERROR(X20*(1+변수!AC32),"")</f>
        <v/>
      </c>
      <c r="AD20" s="20">
        <f>IFERROR(Y20*(1+변수!AD32),"")</f>
        <v/>
      </c>
      <c r="AE20" s="35">
        <f>SUM(AA20:AD20)</f>
        <v/>
      </c>
      <c r="AF20" s="20">
        <f>IFERROR(AA20*(1+변수!AF32),"")</f>
        <v/>
      </c>
      <c r="AG20" s="20">
        <f>IFERROR(AB20*(1+변수!AG32),"")</f>
        <v/>
      </c>
      <c r="AH20" s="20">
        <f>IFERROR(AC20*(1+변수!AH32),"")</f>
        <v/>
      </c>
      <c r="AI20" s="20">
        <f>IFERROR(AD20*(1+변수!AI32),"")</f>
        <v/>
      </c>
      <c r="AJ20" s="35">
        <f>SUM(AF20:AI20)</f>
        <v/>
      </c>
      <c r="AK20" s="20">
        <f>IFERROR(AF20*(1+변수!AK32),"")</f>
        <v/>
      </c>
      <c r="AL20" s="20">
        <f>IFERROR(AG20*(1+변수!AL32),"")</f>
        <v/>
      </c>
      <c r="AM20" s="20">
        <f>IFERROR(AH20*(1+변수!AM32),"")</f>
        <v/>
      </c>
      <c r="AN20" s="20">
        <f>IFERROR(AI20*(1+변수!AN32),"")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IFERROR(AB23+AC16-변수!AC34,"")</f>
        <v/>
      </c>
      <c r="AD23" s="20">
        <f>IFERROR(AC23+AD16-변수!AD34,"")</f>
        <v/>
      </c>
      <c r="AE23" s="35">
        <f>AD23</f>
        <v/>
      </c>
      <c r="AF23" s="20">
        <f>IFERROR(AD23+AF16-변수!AF34,"")</f>
        <v/>
      </c>
      <c r="AG23" s="20">
        <f>IFERROR(AF23+AG16-변수!AG34,"")</f>
        <v/>
      </c>
      <c r="AH23" s="20">
        <f>IFERROR(AG23+AH16-변수!AH34,"")</f>
        <v/>
      </c>
      <c r="AI23" s="20">
        <f>IFERROR(AH23+AI16-변수!AI34,"")</f>
        <v/>
      </c>
      <c r="AJ23" s="35">
        <f>AI23</f>
        <v/>
      </c>
      <c r="AK23" s="20">
        <f>IFERROR(AI23+AK16-변수!AK34,"")</f>
        <v/>
      </c>
      <c r="AL23" s="20">
        <f>IFERROR(AK23+AL16-변수!AL34,"")</f>
        <v/>
      </c>
      <c r="AM23" s="20">
        <f>IFERROR(AL23+AM16-변수!AM34,"")</f>
        <v/>
      </c>
      <c r="AN23" s="20">
        <f>IFERROR(AM23+AN16-변수!AN34,"")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IFERROR(AB24+AC17-변수!AC35,"")</f>
        <v/>
      </c>
      <c r="AD24" s="20">
        <f>IFERROR(AC24+AD17-변수!AD35,"")</f>
        <v/>
      </c>
      <c r="AE24" s="35">
        <f>AD24</f>
        <v/>
      </c>
      <c r="AF24" s="20">
        <f>IFERROR(AD24+AF17-변수!AF35,"")</f>
        <v/>
      </c>
      <c r="AG24" s="20">
        <f>IFERROR(AF24+AG17-변수!AG35,"")</f>
        <v/>
      </c>
      <c r="AH24" s="20">
        <f>IFERROR(AG24+AH17-변수!AH35,"")</f>
        <v/>
      </c>
      <c r="AI24" s="20">
        <f>IFERROR(AH24+AI17-변수!AI35,"")</f>
        <v/>
      </c>
      <c r="AJ24" s="35">
        <f>AI24</f>
        <v/>
      </c>
      <c r="AK24" s="20">
        <f>IFERROR(AI24+AK17-변수!AK35,"")</f>
        <v/>
      </c>
      <c r="AL24" s="20">
        <f>IFERROR(AK24+AL17-변수!AL35,"")</f>
        <v/>
      </c>
      <c r="AM24" s="20">
        <f>IFERROR(AL24+AM17-변수!AM35,"")</f>
        <v/>
      </c>
      <c r="AN24" s="20">
        <f>IFERROR(AM24+AN17-변수!AN35,"")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1897.68</v>
      </c>
      <c r="F30" s="34" t="n"/>
      <c r="G30" s="18" t="n">
        <v>-763.58</v>
      </c>
      <c r="H30" s="18" t="n">
        <v>363.14</v>
      </c>
      <c r="I30" s="18" t="n">
        <v>2069.36</v>
      </c>
      <c r="J30" s="18" t="n">
        <v>2176.75</v>
      </c>
      <c r="K30" s="34">
        <f>SUM(G30:J30)</f>
        <v/>
      </c>
      <c r="L30" s="18" t="n">
        <v>194.25</v>
      </c>
      <c r="M30" s="18" t="n">
        <v>2651.6</v>
      </c>
      <c r="N30" s="18" t="n">
        <v>1769</v>
      </c>
      <c r="O30" s="18" t="n">
        <v>3267.81</v>
      </c>
      <c r="P30" s="34">
        <f>SUM(L30:O30)</f>
        <v/>
      </c>
      <c r="Q30" s="18" t="n">
        <v>1137.38</v>
      </c>
      <c r="R30" s="18" t="n">
        <v>2098.89</v>
      </c>
      <c r="S30" s="18" t="n">
        <v>1340.89</v>
      </c>
      <c r="T30" s="18" t="n">
        <v>1390.86</v>
      </c>
      <c r="U30" s="34">
        <f>SUM(Q30:T30)</f>
        <v/>
      </c>
      <c r="V30" s="18" t="n">
        <v>1091.38</v>
      </c>
      <c r="W30" s="18" t="n">
        <v>1671.74</v>
      </c>
      <c r="X30" s="18" t="n">
        <v>1352.89</v>
      </c>
      <c r="Y30" s="18" t="n">
        <v>3778.76</v>
      </c>
      <c r="Z30" s="34">
        <f>SUM(V30:Y30)</f>
        <v/>
      </c>
      <c r="AA30" s="18" t="n">
        <v>851.8200000000001</v>
      </c>
      <c r="AB30" s="19" t="n">
        <v>309.11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7.658</v>
      </c>
      <c r="F31" s="27">
        <f>E31</f>
        <v/>
      </c>
      <c r="G31" s="26" t="n">
        <v>7.409</v>
      </c>
      <c r="H31" s="26" t="n">
        <v>7.354</v>
      </c>
      <c r="I31" s="26" t="n">
        <v>7.354</v>
      </c>
      <c r="J31" s="26" t="n">
        <v>7.354</v>
      </c>
      <c r="K31" s="27">
        <f>J31</f>
        <v/>
      </c>
      <c r="L31" s="26" t="n">
        <v>7.354</v>
      </c>
      <c r="M31" s="26" t="n">
        <v>7.354</v>
      </c>
      <c r="N31" s="26" t="n">
        <v>7.354</v>
      </c>
      <c r="O31" s="26" t="n">
        <v>7.354</v>
      </c>
      <c r="P31" s="27">
        <f>O31</f>
        <v/>
      </c>
      <c r="Q31" s="26" t="n">
        <v>7.354</v>
      </c>
      <c r="R31" s="26" t="n">
        <v>7.354</v>
      </c>
      <c r="S31" s="26" t="n">
        <v>7.354</v>
      </c>
      <c r="T31" s="26" t="n">
        <v>7.354</v>
      </c>
      <c r="U31" s="27">
        <f>T31</f>
        <v/>
      </c>
      <c r="V31" s="26" t="n">
        <v>7.354</v>
      </c>
      <c r="W31" s="26" t="n">
        <v>7.354</v>
      </c>
      <c r="X31" s="26" t="n">
        <v>7.354</v>
      </c>
      <c r="Y31" s="26" t="n">
        <v>7.354</v>
      </c>
      <c r="Z31" s="27">
        <f>Y31</f>
        <v/>
      </c>
      <c r="AA31" s="26" t="n">
        <v>7.354</v>
      </c>
      <c r="AB31" s="28" t="n">
        <v>7.354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IFERROR(E17*100/E31,"")</f>
        <v/>
      </c>
      <c r="F32" s="34" t="n"/>
      <c r="G32" s="18">
        <f>IFERROR(G17*100/G31,"")</f>
        <v/>
      </c>
      <c r="H32" s="18">
        <f>IFERROR(H17*100/H31,"")</f>
        <v/>
      </c>
      <c r="I32" s="18">
        <f>IFERROR(I17*100/I31,"")</f>
        <v/>
      </c>
      <c r="J32" s="18">
        <f>IFERROR(J17*100/J31,"")</f>
        <v/>
      </c>
      <c r="K32" s="34">
        <f>SUM(G32:J32)</f>
        <v/>
      </c>
      <c r="L32" s="18">
        <f>IFERROR(L17*100/L31,"")</f>
        <v/>
      </c>
      <c r="M32" s="18">
        <f>IFERROR(M17*100/M31,"")</f>
        <v/>
      </c>
      <c r="N32" s="18">
        <f>IFERROR(N17*100/N31,"")</f>
        <v/>
      </c>
      <c r="O32" s="18">
        <f>IFERROR(O17*100/O31,"")</f>
        <v/>
      </c>
      <c r="P32" s="34">
        <f>SUM(L32:O32)</f>
        <v/>
      </c>
      <c r="Q32" s="18">
        <f>IFERROR(Q17*100/Q31,"")</f>
        <v/>
      </c>
      <c r="R32" s="18">
        <f>IFERROR(R17*100/R31,"")</f>
        <v/>
      </c>
      <c r="S32" s="18">
        <f>IFERROR(S17*100/S31,"")</f>
        <v/>
      </c>
      <c r="T32" s="18">
        <f>IFERROR(T17*100/T31,"")</f>
        <v/>
      </c>
      <c r="U32" s="34">
        <f>SUM(Q32:T32)</f>
        <v/>
      </c>
      <c r="V32" s="18">
        <f>IFERROR(V17*100/V31,"")</f>
        <v/>
      </c>
      <c r="W32" s="18">
        <f>IFERROR(W17*100/W31,"")</f>
        <v/>
      </c>
      <c r="X32" s="18">
        <f>IFERROR(X17*100/X31,"")</f>
        <v/>
      </c>
      <c r="Y32" s="18">
        <f>IFERROR(Y17*100/Y31,"")</f>
        <v/>
      </c>
      <c r="Z32" s="34">
        <f>SUM(V32:Y32)</f>
        <v/>
      </c>
      <c r="AA32" s="18">
        <f>IFERROR(AA17*100/AA31,"")</f>
        <v/>
      </c>
      <c r="AB32" s="19">
        <f>IFERROR(AB17*100/AB31,"")</f>
        <v/>
      </c>
      <c r="AC32" s="20">
        <f>IFERROR(AC17*100/AC31,"")</f>
        <v/>
      </c>
      <c r="AD32" s="20">
        <f>IFERROR(AD17*100/AD31,"")</f>
        <v/>
      </c>
      <c r="AE32" s="35">
        <f>SUM(AA32:AD32)</f>
        <v/>
      </c>
      <c r="AF32" s="20">
        <f>IFERROR(AF17*100/AF31,"")</f>
        <v/>
      </c>
      <c r="AG32" s="20">
        <f>IFERROR(AG17*100/AG31,"")</f>
        <v/>
      </c>
      <c r="AH32" s="20">
        <f>IFERROR(AH17*100/AH31,"")</f>
        <v/>
      </c>
      <c r="AI32" s="20">
        <f>IFERROR(AI17*100/AI31,"")</f>
        <v/>
      </c>
      <c r="AJ32" s="35">
        <f>SUM(AF32:AI32)</f>
        <v/>
      </c>
      <c r="AK32" s="20">
        <f>IFERROR(AK17*100/AK31,"")</f>
        <v/>
      </c>
      <c r="AL32" s="20">
        <f>IFERROR(AL17*100/AL31,"")</f>
        <v/>
      </c>
      <c r="AM32" s="20">
        <f>IFERROR(AM17*100/AM31,"")</f>
        <v/>
      </c>
      <c r="AN32" s="20">
        <f>IFERROR(AN17*100/AN31,"")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7000</v>
      </c>
      <c r="F34" s="34" t="n">
        <v>7000</v>
      </c>
      <c r="G34" s="18" t="n"/>
      <c r="H34" s="18" t="n"/>
      <c r="I34" s="18" t="n"/>
      <c r="J34" s="18" t="n">
        <v>8000</v>
      </c>
      <c r="K34" s="34">
        <f>SUM(G34:J34)</f>
        <v/>
      </c>
      <c r="L34" s="18" t="n"/>
      <c r="M34" s="18" t="n"/>
      <c r="N34" s="18" t="n"/>
      <c r="O34" s="18" t="n">
        <v>8000</v>
      </c>
      <c r="P34" s="34">
        <f>SUM(L34:O34)</f>
        <v/>
      </c>
      <c r="Q34" s="18" t="n"/>
      <c r="R34" s="18" t="n"/>
      <c r="S34" s="18" t="n"/>
      <c r="T34" s="18" t="n">
        <v>10000</v>
      </c>
      <c r="U34" s="34">
        <f>SUM(Q34:T34)</f>
        <v/>
      </c>
      <c r="V34" s="18" t="n"/>
      <c r="W34" s="18" t="n"/>
      <c r="X34" s="18" t="n"/>
      <c r="Y34" s="18" t="n">
        <v>15000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/>
      <c r="J35" s="18" t="n">
        <v>51.98</v>
      </c>
      <c r="K35" s="34">
        <f>SUM(G35:J35)</f>
        <v/>
      </c>
      <c r="L35" s="18" t="n">
        <v>47.74</v>
      </c>
      <c r="M35" s="18" t="n"/>
      <c r="N35" s="18" t="n">
        <v>5.84</v>
      </c>
      <c r="O35" s="18" t="n">
        <v>7.94</v>
      </c>
      <c r="P35" s="34">
        <f>SUM(L35:O35)</f>
        <v/>
      </c>
      <c r="Q35" s="18" t="n">
        <v>2.76</v>
      </c>
      <c r="R35" s="18" t="n">
        <v>3.68</v>
      </c>
      <c r="S35" s="18" t="n">
        <v>4.86</v>
      </c>
      <c r="T35" s="18" t="n">
        <v>5.91</v>
      </c>
      <c r="U35" s="34">
        <f>SUM(Q35:T35)</f>
        <v/>
      </c>
      <c r="V35" s="18" t="n"/>
      <c r="W35" s="18" t="n">
        <v>2.51</v>
      </c>
      <c r="X35" s="18" t="n">
        <v>2.38</v>
      </c>
      <c r="Y35" s="18" t="n">
        <v>1.99</v>
      </c>
      <c r="Z35" s="34">
        <f>SUM(V35:Y35)</f>
        <v/>
      </c>
      <c r="AA35" s="18" t="n">
        <v>2.16</v>
      </c>
      <c r="AB35" s="19" t="n">
        <v>1.08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0.5</v>
      </c>
      <c r="F36" s="34" t="n">
        <v>0.48</v>
      </c>
      <c r="G36" s="18" t="n">
        <v>0.52</v>
      </c>
      <c r="H36" s="18" t="n">
        <v>0.47</v>
      </c>
      <c r="I36" s="18" t="n">
        <v>0.42</v>
      </c>
      <c r="J36" s="18" t="n">
        <v>0.34</v>
      </c>
      <c r="K36" s="34">
        <f>SUM(G36:J36)</f>
        <v/>
      </c>
      <c r="L36" s="18" t="n">
        <v>0.33</v>
      </c>
      <c r="M36" s="18" t="n">
        <v>0.31</v>
      </c>
      <c r="N36" s="18" t="n">
        <v>0.31</v>
      </c>
      <c r="O36" s="18" t="n">
        <v>0.33</v>
      </c>
      <c r="P36" s="34">
        <f>SUM(L36:O36)</f>
        <v/>
      </c>
      <c r="Q36" s="18" t="n">
        <v>0.33</v>
      </c>
      <c r="R36" s="18" t="n">
        <v>0.4</v>
      </c>
      <c r="S36" s="18" t="n">
        <v>0.44</v>
      </c>
      <c r="T36" s="18" t="n">
        <v>0.36</v>
      </c>
      <c r="U36" s="34">
        <f>SUM(Q36:T36)</f>
        <v/>
      </c>
      <c r="V36" s="18" t="n">
        <v>0.31</v>
      </c>
      <c r="W36" s="18" t="n">
        <v>0.29</v>
      </c>
      <c r="X36" s="18" t="n">
        <v>0.38</v>
      </c>
      <c r="Y36" s="18" t="n">
        <v>0.39</v>
      </c>
      <c r="Z36" s="34">
        <f>SUM(V36:Y36)</f>
        <v/>
      </c>
      <c r="AA36" s="18" t="n">
        <v>0.46</v>
      </c>
      <c r="AB36" s="19" t="n">
        <v>0.36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15097.4</v>
      </c>
      <c r="F37" s="34" t="n"/>
      <c r="G37" s="18" t="n">
        <v>16375.78</v>
      </c>
      <c r="H37" s="18" t="n">
        <v>17558.82</v>
      </c>
      <c r="I37" s="18" t="n">
        <v>17401.25</v>
      </c>
      <c r="J37" s="18" t="n">
        <v>16412.08</v>
      </c>
      <c r="K37" s="34">
        <f>SUM(G37:J37)</f>
        <v/>
      </c>
      <c r="L37" s="18" t="n">
        <v>15649.43</v>
      </c>
      <c r="M37" s="18" t="n">
        <v>15883.45</v>
      </c>
      <c r="N37" s="18" t="n">
        <v>15527.25</v>
      </c>
      <c r="O37" s="18" t="n">
        <v>15824.3</v>
      </c>
      <c r="P37" s="34">
        <f>SUM(L37:O37)</f>
        <v/>
      </c>
      <c r="Q37" s="18" t="n">
        <v>15883.72</v>
      </c>
      <c r="R37" s="18" t="n">
        <v>17787.28</v>
      </c>
      <c r="S37" s="18" t="n">
        <v>16342.08</v>
      </c>
      <c r="T37" s="18" t="n">
        <v>16574.55</v>
      </c>
      <c r="U37" s="34">
        <f>SUM(Q37:T37)</f>
        <v/>
      </c>
      <c r="V37" s="18" t="n">
        <v>15993.05</v>
      </c>
      <c r="W37" s="18" t="n">
        <v>17052.64</v>
      </c>
      <c r="X37" s="18" t="n">
        <v>16228.33</v>
      </c>
      <c r="Y37" s="18" t="n">
        <v>15564.18</v>
      </c>
      <c r="Z37" s="34">
        <f>SUM(V37:Y37)</f>
        <v/>
      </c>
      <c r="AA37" s="18" t="n">
        <v>16264</v>
      </c>
      <c r="AB37" s="19" t="n">
        <v>18060.19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743.9</v>
      </c>
      <c r="F38" s="34" t="n"/>
      <c r="G38" s="18" t="n">
        <v>1494.08</v>
      </c>
      <c r="H38" s="18" t="n">
        <v>1642.34</v>
      </c>
      <c r="I38" s="18" t="n">
        <v>963.8</v>
      </c>
      <c r="J38" s="18" t="n">
        <v>576.41</v>
      </c>
      <c r="K38" s="34">
        <f>SUM(G38:J38)</f>
        <v/>
      </c>
      <c r="L38" s="18" t="n">
        <v>758.28</v>
      </c>
      <c r="M38" s="18" t="n">
        <v>903.84</v>
      </c>
      <c r="N38" s="18" t="n">
        <v>884.3</v>
      </c>
      <c r="O38" s="18" t="n">
        <v>578.89</v>
      </c>
      <c r="P38" s="34">
        <f>SUM(L38:O38)</f>
        <v/>
      </c>
      <c r="Q38" s="18" t="n">
        <v>1069.07</v>
      </c>
      <c r="R38" s="18" t="n">
        <v>1405.61</v>
      </c>
      <c r="S38" s="18" t="n">
        <v>1253.29</v>
      </c>
      <c r="T38" s="18" t="n">
        <v>983.22</v>
      </c>
      <c r="U38" s="34">
        <f>SUM(Q38:T38)</f>
        <v/>
      </c>
      <c r="V38" s="18" t="n">
        <v>1034.44</v>
      </c>
      <c r="W38" s="18" t="n">
        <v>1403.81</v>
      </c>
      <c r="X38" s="18" t="n">
        <v>1172.64</v>
      </c>
      <c r="Y38" s="18" t="n">
        <v>665.27</v>
      </c>
      <c r="Z38" s="34">
        <f>SUM(V38:Y38)</f>
        <v/>
      </c>
      <c r="AA38" s="18" t="n">
        <v>881.28</v>
      </c>
      <c r="AB38" s="19" t="n">
        <v>1288.84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IFERROR(E17/E5,"")</f>
        <v/>
      </c>
      <c r="F41" s="22">
        <f>IFERROR(F17/F5,"")</f>
        <v/>
      </c>
      <c r="G41" s="21">
        <f>IFERROR(G17/G5,"")</f>
        <v/>
      </c>
      <c r="H41" s="21">
        <f>IFERROR(H17/H5,"")</f>
        <v/>
      </c>
      <c r="I41" s="21">
        <f>IFERROR(I17/I5,"")</f>
        <v/>
      </c>
      <c r="J41" s="21">
        <f>IFERROR(J17/J5,"")</f>
        <v/>
      </c>
      <c r="K41" s="22">
        <f>IFERROR(K17/K5,"")</f>
        <v/>
      </c>
      <c r="L41" s="21">
        <f>IFERROR(L17/L5,"")</f>
        <v/>
      </c>
      <c r="M41" s="21">
        <f>IFERROR(M17/M5,"")</f>
        <v/>
      </c>
      <c r="N41" s="21">
        <f>IFERROR(N17/N5,"")</f>
        <v/>
      </c>
      <c r="O41" s="21">
        <f>IFERROR(O17/O5,"")</f>
        <v/>
      </c>
      <c r="P41" s="22">
        <f>IFERROR(P17/P5,"")</f>
        <v/>
      </c>
      <c r="Q41" s="21">
        <f>IFERROR(Q17/Q5,"")</f>
        <v/>
      </c>
      <c r="R41" s="21">
        <f>IFERROR(R17/R5,"")</f>
        <v/>
      </c>
      <c r="S41" s="21">
        <f>IFERROR(S17/S5,"")</f>
        <v/>
      </c>
      <c r="T41" s="21">
        <f>IFERROR(T17/T5,"")</f>
        <v/>
      </c>
      <c r="U41" s="22">
        <f>IFERROR(U17/U5,"")</f>
        <v/>
      </c>
      <c r="V41" s="21">
        <f>IFERROR(V17/V5,"")</f>
        <v/>
      </c>
      <c r="W41" s="21">
        <f>IFERROR(W17/W5,"")</f>
        <v/>
      </c>
      <c r="X41" s="21">
        <f>IFERROR(X17/X5,"")</f>
        <v/>
      </c>
      <c r="Y41" s="21">
        <f>IFERROR(Y17/Y5,"")</f>
        <v/>
      </c>
      <c r="Z41" s="22">
        <f>IFERROR(Z17/Z5,"")</f>
        <v/>
      </c>
      <c r="AA41" s="21">
        <f>IFERROR(AA17/AA5,"")</f>
        <v/>
      </c>
      <c r="AB41" s="23">
        <f>IFERROR(AB17/AB5,"")</f>
        <v/>
      </c>
      <c r="AC41" s="31">
        <f>IFERROR(AC17/AC5,"")</f>
        <v/>
      </c>
      <c r="AD41" s="31">
        <f>IFERROR(AD17/AD5,"")</f>
        <v/>
      </c>
      <c r="AE41" s="25">
        <f>IFERROR(AE17/AE5,"")</f>
        <v/>
      </c>
      <c r="AF41" s="31">
        <f>IFERROR(AF17/AF5,"")</f>
        <v/>
      </c>
      <c r="AG41" s="31">
        <f>IFERROR(AG17/AG5,"")</f>
        <v/>
      </c>
      <c r="AH41" s="31">
        <f>IFERROR(AH17/AH5,"")</f>
        <v/>
      </c>
      <c r="AI41" s="31">
        <f>IFERROR(AI17/AI5,"")</f>
        <v/>
      </c>
      <c r="AJ41" s="25">
        <f>IFERROR(AJ17/AJ5,"")</f>
        <v/>
      </c>
      <c r="AK41" s="31">
        <f>IFERROR(AK17/AK5,"")</f>
        <v/>
      </c>
      <c r="AL41" s="31">
        <f>IFERROR(AL17/AL5,"")</f>
        <v/>
      </c>
      <c r="AM41" s="31">
        <f>IFERROR(AM17/AM5,"")</f>
        <v/>
      </c>
      <c r="AN41" s="31">
        <f>IFERROR(AN17/AN5,"")</f>
        <v/>
      </c>
      <c r="AO41" s="25">
        <f>IFERROR(AO17/AO5,"")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IFERROR(I17/E17-1,"")</f>
        <v/>
      </c>
      <c r="J43" s="21">
        <f>IFERROR(J17/F17-1,"")</f>
        <v/>
      </c>
      <c r="K43" s="21">
        <f>IFERROR(K17/G17-1,"")</f>
        <v/>
      </c>
      <c r="L43" s="21">
        <f>IFERROR(L17/H17-1,"")</f>
        <v/>
      </c>
      <c r="M43" s="21">
        <f>IFERROR(M17/I17-1,"")</f>
        <v/>
      </c>
      <c r="N43" s="21">
        <f>IFERROR(N17/J17-1,"")</f>
        <v/>
      </c>
      <c r="O43" s="21">
        <f>IFERROR(O17/K17-1,"")</f>
        <v/>
      </c>
      <c r="P43" s="21">
        <f>IFERROR(P17/L17-1,"")</f>
        <v/>
      </c>
      <c r="Q43" s="21">
        <f>IFERROR(Q17/M17-1,"")</f>
        <v/>
      </c>
      <c r="R43" s="21">
        <f>IFERROR(R17/N17-1,"")</f>
        <v/>
      </c>
      <c r="S43" s="21">
        <f>IFERROR(S17/O17-1,"")</f>
        <v/>
      </c>
      <c r="T43" s="21">
        <f>IFERROR(T17/P17-1,"")</f>
        <v/>
      </c>
      <c r="U43" s="21">
        <f>IFERROR(U17/Q17-1,"")</f>
        <v/>
      </c>
      <c r="V43" s="21">
        <f>IFERROR(V17/R17-1,"")</f>
        <v/>
      </c>
      <c r="W43" s="42">
        <f>IFERROR(W17/S17-1,"")</f>
        <v/>
      </c>
      <c r="X43" s="31">
        <f>IFERROR(X17/T17-1,"")</f>
        <v/>
      </c>
      <c r="Y43" s="31">
        <f>IFERROR(Y17/U17-1,"")</f>
        <v/>
      </c>
      <c r="Z43" s="31">
        <f>IFERROR(Z17/V17-1,"")</f>
        <v/>
      </c>
      <c r="AA43" s="31">
        <f>IFERROR(AA17/W17-1,"")</f>
        <v/>
      </c>
      <c r="AB43" s="31">
        <f>IFERROR(AB17/X17-1,"")</f>
        <v/>
      </c>
      <c r="AC43" s="31">
        <f>IFERROR(AC17/Y17-1,"")</f>
        <v/>
      </c>
      <c r="AD43" s="31">
        <f>IFERROR(AD17/Z17-1,"")</f>
        <v/>
      </c>
      <c r="AE43" s="31">
        <f>IFERROR(AE17/AA17-1,"")</f>
        <v/>
      </c>
      <c r="AF43" s="31">
        <f>IFERROR(AF17/AB17-1,"")</f>
        <v/>
      </c>
      <c r="AG43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IFERROR(F17/E17-1,"")</f>
        <v/>
      </c>
      <c r="G43" s="21">
        <f>IFERROR(G17/F17-1,"")</f>
        <v/>
      </c>
      <c r="H43" s="21">
        <f>IFERROR(H17/G17-1,"")</f>
        <v/>
      </c>
      <c r="I43" s="42">
        <f>IFERROR(I17/H17-1,"")</f>
        <v/>
      </c>
      <c r="J43" s="31">
        <f>IFERROR(J17/I17-1,"")</f>
        <v/>
      </c>
      <c r="K43" s="31">
        <f>IFERROR(K17/J17-1,"")</f>
        <v/>
      </c>
      <c r="L43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32561.2</v>
      </c>
    </row>
    <row r="30">
      <c r="C30" s="2" t="inlineStr">
        <is>
          <t>bps_latest</t>
        </is>
      </c>
      <c r="D30" t="n">
        <v>1498026.6</v>
      </c>
    </row>
    <row r="31">
      <c r="C31" s="2" t="inlineStr">
        <is>
          <t>per_now</t>
        </is>
      </c>
      <c r="D31" t="n">
        <v>14.53</v>
      </c>
    </row>
    <row r="32">
      <c r="C32" s="2" t="inlineStr">
        <is>
          <t>pbr_now</t>
        </is>
      </c>
      <c r="D32" t="n">
        <v>0.32</v>
      </c>
    </row>
    <row r="33">
      <c r="C33" s="2" t="inlineStr">
        <is>
          <t>roe_fwd</t>
        </is>
      </c>
      <c r="D33" t="n">
        <v>0.0217</v>
      </c>
    </row>
    <row r="34">
      <c r="C34" s="2" t="inlineStr">
        <is>
          <t>fair_pbr</t>
        </is>
      </c>
      <c r="D34" t="n">
        <v>0.24</v>
      </c>
    </row>
    <row r="35">
      <c r="C35" s="2" t="inlineStr">
        <is>
          <t>fair_value_pbr</t>
        </is>
      </c>
      <c r="D35" t="n">
        <v>359500</v>
      </c>
    </row>
    <row r="36">
      <c r="C36" s="2" t="inlineStr">
        <is>
          <t>ev_ebitda</t>
        </is>
      </c>
      <c r="D36" t="n">
        <v>9.17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