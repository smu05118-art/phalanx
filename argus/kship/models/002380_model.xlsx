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모델 v 그대로
직전 결산 DPS 15,000원 유지</t>
      </text>
    </comment>
    <comment ref="AI43" authorId="0" shapeId="0">
      <text>
        <t>모델값 역산(implied): 모델 v 그대로
직전 결산 DPS 15,000원 유지</t>
      </text>
    </comment>
    <comment ref="AN43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B37" authorId="0" shapeId="0">
      <text>
        <t>조정EPS 산식(모델 추정, 일회성 여부·세효과 주석 미확인): 지배NI − 초과 비영업손익 36,539억 × (1 − 세율 24.4% [분기 유효세율(법인세 9166억 ÷ 세전 37594억)]) × 지배 비중 1.0000 [그 분기 지배NI/NI] = 761억 ÷ 유통주식수 · 초과 = 비영업손익 36,305억 − 12분기 기준선 -235억 · 보고 EPS 386,061원(EPS 행 불변) · 상수 27630.69·1.0 는 모델 one_offs_detected 값(세전·법인세 셀을 바꿔도 재계산되지 않음)</t>
      </text>
    </comment>
    <comment ref="AC37" authorId="0" shapeId="0">
      <text>
        <t>추정: = EPS(추정 구간은 일회성 미가정)
[identity]</t>
      </text>
    </comment>
    <comment ref="AD37" authorId="0" shapeId="0">
      <text>
        <t>추정: = EPS(추정 구간은 일회성 미가정)
[identity]</t>
      </text>
    </comment>
    <comment ref="AF37" authorId="0" shapeId="0">
      <text>
        <t>추정: = EPS(추정 구간은 일회성 미가정)
[identity]</t>
      </text>
    </comment>
    <comment ref="AG37" authorId="0" shapeId="0">
      <text>
        <t>추정: = EPS(추정 구간은 일회성 미가정)
[identity]</t>
      </text>
    </comment>
    <comment ref="AH37" authorId="0" shapeId="0">
      <text>
        <t>추정: = EPS(추정 구간은 일회성 미가정)
[identity]</t>
      </text>
    </comment>
    <comment ref="AI37" authorId="0" shapeId="0">
      <text>
        <t>추정: = EPS(추정 구간은 일회성 미가정)
[identity]</t>
      </text>
    </comment>
    <comment ref="AK37" authorId="0" shapeId="0">
      <text>
        <t>추정: = EPS(추정 구간은 일회성 미가정)
[identity]</t>
      </text>
    </comment>
    <comment ref="AL37" authorId="0" shapeId="0">
      <text>
        <t>추정: = EPS(추정 구간은 일회성 미가정)
[identity]</t>
      </text>
    </comment>
    <comment ref="AM37" authorId="0" shapeId="0">
      <text>
        <t>추정: = EPS(추정 구간은 일회성 미가정)
[identity]</t>
      </text>
    </comment>
    <comment ref="AN37" authorId="0" shapeId="0">
      <text>
        <t>추정: = EPS(추정 구간은 일회성 미가정)
[identity]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386,061→조정 10,347원)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32.2, "op_wape_pct": 43.9, "n": 4, "note": "단일 회사 4분기 — 통계 아님", "driver_at_freeze": "customer_yard_revenue_weighted", "selection_oos_at_freeze": {"freeze": "2024Q2", "n": 4, "wape_link": null, "wape_trend": 3.9,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457000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456500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468900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$D$53</f>
        <v/>
      </c>
      <c r="AD29" s="26">
        <f>$D$53</f>
        <v/>
      </c>
      <c r="AE29" s="25">
        <f>IFERROR(subQ!AE19/subQ!AE18,"")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IFERROR(subQ!AJ19/subQ!AJ18,"")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subQ!E39</f>
        <v/>
      </c>
      <c r="F43" s="28">
        <f>subQ!F39</f>
        <v/>
      </c>
      <c r="G43" s="27">
        <f>subQ!G39</f>
        <v/>
      </c>
      <c r="H43" s="27">
        <f>subQ!H39</f>
        <v/>
      </c>
      <c r="I43" s="27">
        <f>subQ!I39</f>
        <v/>
      </c>
      <c r="J43" s="27">
        <f>subQ!J39</f>
        <v/>
      </c>
      <c r="K43" s="28">
        <f>subQ!K39</f>
        <v/>
      </c>
      <c r="L43" s="27">
        <f>subQ!L39</f>
        <v/>
      </c>
      <c r="M43" s="27">
        <f>subQ!M39</f>
        <v/>
      </c>
      <c r="N43" s="27">
        <f>subQ!N39</f>
        <v/>
      </c>
      <c r="O43" s="27">
        <f>subQ!O39</f>
        <v/>
      </c>
      <c r="P43" s="28">
        <f>subQ!P39</f>
        <v/>
      </c>
      <c r="Q43" s="27">
        <f>subQ!Q39</f>
        <v/>
      </c>
      <c r="R43" s="27">
        <f>subQ!R39</f>
        <v/>
      </c>
      <c r="S43" s="27">
        <f>subQ!S39</f>
        <v/>
      </c>
      <c r="T43" s="27">
        <f>subQ!T39</f>
        <v/>
      </c>
      <c r="U43" s="28">
        <f>subQ!U39</f>
        <v/>
      </c>
      <c r="V43" s="27">
        <f>subQ!V39</f>
        <v/>
      </c>
      <c r="W43" s="27">
        <f>subQ!W39</f>
        <v/>
      </c>
      <c r="X43" s="27">
        <f>subQ!X39</f>
        <v/>
      </c>
      <c r="Y43" s="27">
        <f>subQ!Y39</f>
        <v/>
      </c>
      <c r="Z43" s="28">
        <f>subQ!Z39</f>
        <v/>
      </c>
      <c r="AA43" s="27">
        <f>subQ!AA39</f>
        <v/>
      </c>
      <c r="AB43" s="29">
        <f>subQ!AB39</f>
        <v/>
      </c>
      <c r="AC43" s="32" t="n"/>
      <c r="AD43" s="30" t="n">
        <v>15000</v>
      </c>
      <c r="AE43" s="31">
        <f>subQ!AE39</f>
        <v/>
      </c>
      <c r="AF43" s="32" t="n"/>
      <c r="AG43" s="32" t="n"/>
      <c r="AH43" s="32" t="n"/>
      <c r="AI43" s="30" t="n">
        <v>15000</v>
      </c>
      <c r="AJ43" s="31">
        <f>subQ!AJ39</f>
        <v/>
      </c>
      <c r="AK43" s="32" t="n"/>
      <c r="AL43" s="32" t="n"/>
      <c r="AM43" s="32" t="n"/>
      <c r="AN43" s="30" t="n">
        <v>15000</v>
      </c>
      <c r="AO43" s="31">
        <f>subQ!AO39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457000</v>
      </c>
      <c r="E46" s="2" t="inlineStr">
        <is>
          <t>원 — 네이버 정규장 종가(aik 확정종가 대조 · aik 467,500원)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PER 중위 3.7배가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0.2200009445546425</v>
      </c>
      <c r="E53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0.18873975011067</v>
      </c>
      <c r="E54" s="2" t="inlineStr">
        <is>
          <t>연결 — 판관비 = 매출액 × 판관비율(역산, 재현 오차 ≤ 0.05억 · 모델 assumptions 0.1887)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0.004351802142744159</v>
      </c>
      <c r="E56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0.06350866803977641</v>
      </c>
      <c r="E57" s="2" t="inlineStr">
        <is>
          <t>연결 — 같은 수식의 부채 쪽(총차입금 행이 없으면 0)(역산, 재현 오차 ≤ 0.05억 · 모델 assumptions 0.0635)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0.0717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IFERROR((AB31*변수!$D$56-AB29*변수!$D$57)/4,"")</f>
        <v/>
      </c>
      <c r="AD12" s="20">
        <f>IFERROR((AC31*변수!$D$56-AC29*변수!$D$57)/4,"")</f>
        <v/>
      </c>
      <c r="AE12" s="38">
        <f>SUM(AA12:AD12)</f>
        <v/>
      </c>
      <c r="AF12" s="20">
        <f>IFERROR((AD31*변수!$D$56-AD29*변수!$D$57)/4,"")</f>
        <v/>
      </c>
      <c r="AG12" s="20">
        <f>IFERROR((AF31*변수!$D$56-AF29*변수!$D$57)/4,"")</f>
        <v/>
      </c>
      <c r="AH12" s="20">
        <f>IFERROR((AG31*변수!$D$56-AG29*변수!$D$57)/4,"")</f>
        <v/>
      </c>
      <c r="AI12" s="20">
        <f>IFERROR((AH31*변수!$D$56-AH29*변수!$D$57)/4,"")</f>
        <v/>
      </c>
      <c r="AJ12" s="38">
        <f>SUM(AF12:AI12)</f>
        <v/>
      </c>
      <c r="AK12" s="20">
        <f>IFERROR((AI31*변수!$D$56-AI29*변수!$D$57)/4,"")</f>
        <v/>
      </c>
      <c r="AL12" s="20">
        <f>IFERROR((AK31*변수!$D$56-AK29*변수!$D$57)/4,"")</f>
        <v/>
      </c>
      <c r="AM12" s="20">
        <f>IFERROR((AL31*변수!$D$56-AL29*변수!$D$57)/4,"")</f>
        <v/>
      </c>
      <c r="AN12" s="20">
        <f>IFERROR((AM31*변수!$D$56-AM29*변수!$D$57)/4,"")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>
        <f>IFERROR(E36,"")</f>
        <v/>
      </c>
      <c r="F37" s="37" t="n"/>
      <c r="G37" s="18">
        <f>IFERROR(G36,"")</f>
        <v/>
      </c>
      <c r="H37" s="18">
        <f>IFERROR(H36,"")</f>
        <v/>
      </c>
      <c r="I37" s="18">
        <f>IFERROR(I36,"")</f>
        <v/>
      </c>
      <c r="J37" s="18">
        <f>IFERROR(J36,"")</f>
        <v/>
      </c>
      <c r="K37" s="37">
        <f>SUM(G37:J37)</f>
        <v/>
      </c>
      <c r="L37" s="18">
        <f>IFERROR(L36,"")</f>
        <v/>
      </c>
      <c r="M37" s="18">
        <f>IFERROR(M36,"")</f>
        <v/>
      </c>
      <c r="N37" s="18">
        <f>IFERROR(N36,"")</f>
        <v/>
      </c>
      <c r="O37" s="18">
        <f>IFERROR(O36,"")</f>
        <v/>
      </c>
      <c r="P37" s="37">
        <f>SUM(L37:O37)</f>
        <v/>
      </c>
      <c r="Q37" s="18">
        <f>IFERROR(Q36,"")</f>
        <v/>
      </c>
      <c r="R37" s="18">
        <f>IFERROR(R36,"")</f>
        <v/>
      </c>
      <c r="S37" s="18">
        <f>IFERROR(S36,"")</f>
        <v/>
      </c>
      <c r="T37" s="18">
        <f>IFERROR(T36,"")</f>
        <v/>
      </c>
      <c r="U37" s="37">
        <f>SUM(Q37:T37)</f>
        <v/>
      </c>
      <c r="V37" s="18">
        <f>IFERROR(V36,"")</f>
        <v/>
      </c>
      <c r="W37" s="18">
        <f>IFERROR(W36,"")</f>
        <v/>
      </c>
      <c r="X37" s="18">
        <f>IFERROR(X36,"")</f>
        <v/>
      </c>
      <c r="Y37" s="18">
        <f>IFERROR(Y36,"")</f>
        <v/>
      </c>
      <c r="Z37" s="37">
        <f>SUM(V37:Y37)</f>
        <v/>
      </c>
      <c r="AA37" s="18">
        <f>IFERROR(AA36,"")</f>
        <v/>
      </c>
      <c r="AB37" s="39">
        <f>IFERROR((AB21-(27630.69)*(1.0))*100/AB35,"")</f>
        <v/>
      </c>
      <c r="AC37" s="20">
        <f>IFERROR(AC36,"")</f>
        <v/>
      </c>
      <c r="AD37" s="20">
        <f>IFERROR(AD36,"")</f>
        <v/>
      </c>
      <c r="AE37" s="38">
        <f>SUM(AA37:AD37)</f>
        <v/>
      </c>
      <c r="AF37" s="20">
        <f>IFERROR(AF36,"")</f>
        <v/>
      </c>
      <c r="AG37" s="20">
        <f>IFERROR(AG36,"")</f>
        <v/>
      </c>
      <c r="AH37" s="20">
        <f>IFERROR(AH36,"")</f>
        <v/>
      </c>
      <c r="AI37" s="20">
        <f>IFERROR(AI36,"")</f>
        <v/>
      </c>
      <c r="AJ37" s="38">
        <f>SUM(AF37:AI37)</f>
        <v/>
      </c>
      <c r="AK37" s="20">
        <f>IFERROR(AK36,"")</f>
        <v/>
      </c>
      <c r="AL37" s="20">
        <f>IFERROR(AL36,"")</f>
        <v/>
      </c>
      <c r="AM37" s="20">
        <f>IFERROR(AM36,"")</f>
        <v/>
      </c>
      <c r="AN37" s="20">
        <f>IFERROR(AN36,"")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변수!AD43</f>
        <v/>
      </c>
      <c r="AE39" s="38">
        <f>SUM(AA39:AD39)</f>
        <v/>
      </c>
      <c r="AF39" s="20" t="n"/>
      <c r="AG39" s="20" t="n"/>
      <c r="AH39" s="20" t="n"/>
      <c r="AI39" s="20">
        <f>변수!AI43</f>
        <v/>
      </c>
      <c r="AJ39" s="38">
        <f>SUM(AF39:AI39)</f>
        <v/>
      </c>
      <c r="AK39" s="20" t="n"/>
      <c r="AL39" s="20" t="n"/>
      <c r="AM39" s="20" t="n"/>
      <c r="AN39" s="20">
        <f>변수!AN43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IFERROR(변수!$D$46/(Y36+AA36+AB36+AC36),"")</f>
        <v/>
      </c>
      <c r="AD40" s="40">
        <f>IFERROR(변수!$D$46/(AA36+AB36+AC36+AD36),"")</f>
        <v/>
      </c>
      <c r="AE40" s="41">
        <f>AD40</f>
        <v/>
      </c>
      <c r="AF40" s="40">
        <f>IFERROR(변수!$D$46/(AB36+AC36+AD36+AF36),"")</f>
        <v/>
      </c>
      <c r="AG40" s="40">
        <f>IFERROR(변수!$D$46/(AC36+AD36+AF36+AG36),"")</f>
        <v/>
      </c>
      <c r="AH40" s="40">
        <f>IFERROR(변수!$D$46/(AD36+AF36+AG36+AH36),"")</f>
        <v/>
      </c>
      <c r="AI40" s="40">
        <f>IFERROR(변수!$D$46/(AF36+AG36+AH36+AI36),"")</f>
        <v/>
      </c>
      <c r="AJ40" s="41">
        <f>AI40</f>
        <v/>
      </c>
      <c r="AK40" s="40">
        <f>IFERROR(변수!$D$46/(AG36+AH36+AI36+AK36),"")</f>
        <v/>
      </c>
      <c r="AL40" s="40">
        <f>IFERROR(변수!$D$46/(AH36+AI36+AK36+AL36),"")</f>
        <v/>
      </c>
      <c r="AM40" s="40">
        <f>IFERROR(변수!$D$46/(AI36+AK36+AL36+AM36),"")</f>
        <v/>
      </c>
      <c r="AN40" s="40">
        <f>IFERROR(변수!$D$46/(AK36+AL36+AM36+AN36),"")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IFERROR(변수!$D$46/AC38,"")</f>
        <v/>
      </c>
      <c r="AD41" s="40">
        <f>IFERROR(변수!$D$46/AD38,"")</f>
        <v/>
      </c>
      <c r="AE41" s="41">
        <f>AD41</f>
        <v/>
      </c>
      <c r="AF41" s="40">
        <f>IFERROR(변수!$D$46/AF38,"")</f>
        <v/>
      </c>
      <c r="AG41" s="40">
        <f>IFERROR(변수!$D$46/AG38,"")</f>
        <v/>
      </c>
      <c r="AH41" s="40">
        <f>IFERROR(변수!$D$46/AH38,"")</f>
        <v/>
      </c>
      <c r="AI41" s="40">
        <f>IFERROR(변수!$D$46/AI38,"")</f>
        <v/>
      </c>
      <c r="AJ41" s="41">
        <f>AI41</f>
        <v/>
      </c>
      <c r="AK41" s="40">
        <f>IFERROR(변수!$D$46/AK38,"")</f>
        <v/>
      </c>
      <c r="AL41" s="40">
        <f>IFERROR(변수!$D$46/AL38,"")</f>
        <v/>
      </c>
      <c r="AM41" s="40">
        <f>IFERROR(변수!$D$46/AM38,"")</f>
        <v/>
      </c>
      <c r="AN41" s="40">
        <f>IFERROR(변수!$D$46/AN38,"")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</v>
      </c>
    </row>
    <row r="32">
      <c r="C32" s="2" t="inlineStr">
        <is>
          <t>pbr_now</t>
        </is>
      </c>
      <c r="D32" t="n">
        <v>0.31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9.029999999999999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