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BS연결!$C$5:$AO$111</definedName>
    <definedName name="BS별도H">BS별도!$C$1:$AO$1</definedName>
    <definedName name="BS별도">BS별도!$C$5:$AO$95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모델값 역산(implied): v / 매출액
매출액 × 판관비율 18.87%(최근 4분기 중위)</t>
      </text>
    </comment>
    <comment ref="AD22" authorId="0" shapeId="0">
      <text>
        <t>모델값 역산(implied): v / 매출액
매출액 × 판관비율 18.87%(최근 4분기 중위)</t>
      </text>
    </comment>
    <comment ref="AF22" authorId="0" shapeId="0">
      <text>
        <t>모델값 역산(implied): v / 매출액
매출액 × 판관비율 18.87%(최근 4분기 중위)</t>
      </text>
    </comment>
    <comment ref="AG22" authorId="0" shapeId="0">
      <text>
        <t>모델값 역산(implied): v / 매출액
매출액 × 판관비율 18.87%(최근 4분기 중위)</t>
      </text>
    </comment>
    <comment ref="AH22" authorId="0" shapeId="0">
      <text>
        <t>모델값 역산(implied): v / 매출액
매출액 × 판관비율 18.87%(최근 4분기 중위)</t>
      </text>
    </comment>
    <comment ref="AI22" authorId="0" shapeId="0">
      <text>
        <t>모델값 역산(implied): v / 매출액
매출액 × 판관비율 18.87%(최근 4분기 중위)</t>
      </text>
    </comment>
    <comment ref="AK22" authorId="0" shapeId="0">
      <text>
        <t>모델값 역산(implied): v / 매출액
매출액 × 판관비율 18.87%(최근 4분기 중위)</t>
      </text>
    </comment>
    <comment ref="AL22" authorId="0" shapeId="0">
      <text>
        <t>모델값 역산(implied): v / 매출액
매출액 × 판관비율 18.87%(최근 4분기 중위)</t>
      </text>
    </comment>
    <comment ref="AM22" authorId="0" shapeId="0">
      <text>
        <t>모델값 역산(implied): v / 매출액
매출액 × 판관비율 18.87%(최근 4분기 중위)</t>
      </text>
    </comment>
    <comment ref="AN22" authorId="0" shapeId="0">
      <text>
        <t>모델값 역산(implied): v / 매출액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v / 전년동기 − 1
최근 8분기 OPM 중위 6.8% 유지(클립 −20~40%)</t>
      </text>
    </comment>
    <comment ref="AD24" authorId="0" shapeId="0">
      <text>
        <t>모델값 역산(implied): v / 전년동기 − 1
최근 8분기 OPM 중위 6.8% 유지(클립 −20~40%)</t>
      </text>
    </comment>
    <comment ref="AF24" authorId="0" shapeId="0">
      <text>
        <t>모델값 역산(implied): v / 전년동기 − 1
최근 8분기 OPM 중위 6.8% 유지(클립 −20~40%)</t>
      </text>
    </comment>
    <comment ref="AG24" authorId="0" shapeId="0">
      <text>
        <t>모델값 역산(implied): v / 전년동기 − 1
최근 8분기 OPM 중위 6.8% 유지(클립 −20~40%)</t>
      </text>
    </comment>
    <comment ref="AH24" authorId="0" shapeId="0">
      <text>
        <t>모델값 역산(implied): v / 전년동기 − 1
최근 8분기 OPM 중위 6.8% 유지(클립 −20~40%)</t>
      </text>
    </comment>
    <comment ref="AI24" authorId="0" shapeId="0">
      <text>
        <t>모델값 역산(implied): v / 전년동기 − 1
최근 8분기 OPM 중위 6.8% 유지(클립 −20~40%)</t>
      </text>
    </comment>
    <comment ref="AK24" authorId="0" shapeId="0">
      <text>
        <t>모델값 역산(implied): v / 전년동기 − 1
최근 8분기 OPM 중위 6.8% 유지(클립 −20~40%)</t>
      </text>
    </comment>
    <comment ref="AL24" authorId="0" shapeId="0">
      <text>
        <t>모델값 역산(implied): v / 전년동기 − 1
최근 8분기 OPM 중위 6.8% 유지(클립 −20~40%)</t>
      </text>
    </comment>
    <comment ref="AM24" authorId="0" shapeId="0">
      <text>
        <t>모델값 역산(implied): v / 전년동기 − 1
최근 8분기 OPM 중위 6.8% 유지(클립 −20~40%)</t>
      </text>
    </comment>
    <comment ref="AN24" authorId="0" shapeId="0">
      <text>
        <t>모델값 역산(implied): v / 전년동기 − 1
최근 8분기 OPM 중위 6.8% 유지(클립 −20~40%)</t>
      </text>
    </comment>
    <comment ref="AC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104502억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104787억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105109억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104424억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104745억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105030억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105354억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104670억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+7150.00억이 이자손익 추정 -722.67억의 50% 초과 → 0(경고)) (항등식); 이자손익 = 이자발생자산 104991억 × 0.43%(주석 이자수익 ÷ 평균 이자발생자산(2025Q3~2026Q2)) − 총차입금 52655억 × 6.35%(주석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104182억 × 0.43%(주석 이자수익 ÷ 평균 이자발생자산(2025Q3~2026Q2)) − 총차입금 52655억 × 6.35%(주석 이자비용 ÷ 평균 총차입금(2025Q3~2026Q2)) (연율) ÷ 4</t>
      </text>
    </comment>
    <comment ref="AD26" authorId="0" shapeId="0">
      <text>
        <t>모델값 역산(implied): 모델 v 그대로
이자발생자산 104502억 × 0.43%(주석 이자수익 ÷ 평균 이자발생자산(2025Q3~2026Q2)) − 총차입금 52655억 × 6.35%(주석 이자비용 ÷ 평균 총차입금(2025Q3~2026Q2)) (연율) ÷ 4</t>
      </text>
    </comment>
    <comment ref="AF26" authorId="0" shapeId="0">
      <text>
        <t>모델값 역산(implied): 모델 v 그대로
이자발생자산 104787억 × 0.43%(주석 이자수익 ÷ 평균 이자발생자산(2025Q3~2026Q2)) − 총차입금 52655억 × 6.35%(주석 이자비용 ÷ 평균 총차입금(2025Q3~2026Q2)) (연율) ÷ 4</t>
      </text>
    </comment>
    <comment ref="AG26" authorId="0" shapeId="0">
      <text>
        <t>모델값 역산(implied): 모델 v 그대로
이자발생자산 105109억 × 0.43%(주석 이자수익 ÷ 평균 이자발생자산(2025Q3~2026Q2)) − 총차입금 52655억 × 6.35%(주석 이자비용 ÷ 평균 총차입금(2025Q3~2026Q2)) (연율) ÷ 4</t>
      </text>
    </comment>
    <comment ref="AH26" authorId="0" shapeId="0">
      <text>
        <t>모델값 역산(implied): 모델 v 그대로
이자발생자산 104424억 × 0.43%(주석 이자수익 ÷ 평균 이자발생자산(2025Q3~2026Q2)) − 총차입금 52655억 × 6.35%(주석 이자비용 ÷ 평균 총차입금(2025Q3~2026Q2)) (연율) ÷ 4</t>
      </text>
    </comment>
    <comment ref="AI26" authorId="0" shapeId="0">
      <text>
        <t>모델값 역산(implied): 모델 v 그대로
이자발생자산 104745억 × 0.43%(주석 이자수익 ÷ 평균 이자발생자산(2025Q3~2026Q2)) − 총차입금 52655억 × 6.35%(주석 이자비용 ÷ 평균 총차입금(2025Q3~2026Q2)) (연율) ÷ 4</t>
      </text>
    </comment>
    <comment ref="AK26" authorId="0" shapeId="0">
      <text>
        <t>모델값 역산(implied): 모델 v 그대로
이자발생자산 105030억 × 0.43%(주석 이자수익 ÷ 평균 이자발생자산(2025Q3~2026Q2)) − 총차입금 52655억 × 6.35%(주석 이자비용 ÷ 평균 총차입금(2025Q3~2026Q2)) (연율) ÷ 4</t>
      </text>
    </comment>
    <comment ref="AL26" authorId="0" shapeId="0">
      <text>
        <t>모델값 역산(implied): 모델 v 그대로
이자발생자산 105354억 × 0.43%(주석 이자수익 ÷ 평균 이자발생자산(2025Q3~2026Q2)) − 총차입금 52655억 × 6.35%(주석 이자비용 ÷ 평균 총차입금(2025Q3~2026Q2)) (연율) ÷ 4</t>
      </text>
    </comment>
    <comment ref="AM26" authorId="0" shapeId="0">
      <text>
        <t>모델값 역산(implied): 모델 v 그대로
이자발생자산 104670억 × 0.43%(주석 이자수익 ÷ 평균 이자발생자산(2025Q3~2026Q2)) − 총차입금 52655억 × 6.35%(주석 이자비용 ÷ 평균 총차입금(2025Q3~2026Q2)) (연율) ÷ 4</t>
      </text>
    </comment>
    <comment ref="AN26" authorId="0" shapeId="0">
      <text>
        <t>모델값 역산(implied): 모델 v 그대로
이자발생자산 104991억 × 0.43%(주석 이자수익 ÷ 평균 이자발생자산(2025Q3~2026Q2)) − 총차입금 52655억 × 6.35%(주석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+7150.00억이 이자손익 추정 -722.67억의 50% 초과 → 0(경고)</t>
      </text>
    </comment>
    <comment ref="AD29" authorId="0" shapeId="0">
      <text>
        <t>모델값 역산(implied): v / 전년동기 − 1
최근 4분기 중위 +7150.00억이 이자손익 추정 -722.67억의 50% 초과 → 0(경고)</t>
      </text>
    </comment>
    <comment ref="AF29" authorId="0" shapeId="0">
      <text>
        <t>모델값 역산(implied): v / 전년동기 − 1
최근 4분기 중위 +7150.00억이 이자손익 추정 -722.67억의 50% 초과 → 0(경고)</t>
      </text>
    </comment>
    <comment ref="AG29" authorId="0" shapeId="0">
      <text>
        <t>모델값 역산(implied): v / 전년동기 − 1
최근 4분기 중위 +7150.00억이 이자손익 추정 -722.67억의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D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F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G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H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I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K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L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M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N32" authorId="0" shapeId="0">
      <text>
        <t>모델값 역산(implied): v / 세전이익
max(세전, 0) × 세율 22.0%(최근 12분기 유효세율 29.8% 가 5~27% 밖; 세전 &gt; 0 분기 중위 31.2%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5" authorId="0" shapeId="0">
      <text>
        <t>모델값 역산(implied): v / 전년동기 − 1
최근 4분기 감가상각비 중위 유지</t>
      </text>
    </comment>
    <comment ref="AD35" authorId="0" shapeId="0">
      <text>
        <t>모델값 역산(implied): v / 전년동기 − 1
최근 4분기 감가상각비 중위 유지</t>
      </text>
    </comment>
    <comment ref="AF35" authorId="0" shapeId="0">
      <text>
        <t>모델값 역산(implied): v / 전년동기 − 1
최근 4분기 감가상각비 중위 유지</t>
      </text>
    </comment>
    <comment ref="AG35" authorId="0" shapeId="0">
      <text>
        <t>모델값 역산(implied): v / 전년동기 − 1
최근 4분기 감가상각비 중위 유지</t>
      </text>
    </comment>
    <comment ref="AH35" authorId="0" shapeId="0">
      <text>
        <t>모델값 역산(implied): v / 전년동기 − 1
최근 4분기 감가상각비 중위 유지</t>
      </text>
    </comment>
    <comment ref="AI35" authorId="0" shapeId="0">
      <text>
        <t>모델값 역산(implied): v / 전년동기 − 1
최근 4분기 감가상각비 중위 유지</t>
      </text>
    </comment>
    <comment ref="AK35" authorId="0" shapeId="0">
      <text>
        <t>모델값 역산(implied): v / 전년동기 − 1
최근 4분기 감가상각비 중위 유지</t>
      </text>
    </comment>
    <comment ref="AL35" authorId="0" shapeId="0">
      <text>
        <t>모델값 역산(implied): v / 전년동기 − 1
최근 4분기 감가상각비 중위 유지</t>
      </text>
    </comment>
    <comment ref="AM35" authorId="0" shapeId="0">
      <text>
        <t>모델값 역산(implied): v / 전년동기 − 1
최근 4분기 감가상각비 중위 유지</t>
      </text>
    </comment>
    <comment ref="AN35" authorId="0" shapeId="0">
      <text>
        <t>모델값 역산(implied): v / 전년동기 − 1
최근 4분기 감가상각비 중위 유지</t>
      </text>
    </comment>
    <comment ref="AC36" authorId="0" shapeId="0">
      <text>
        <t>모델값 역산(implied): v / 전년동기 − 1
영업이익 + 감가상각비</t>
      </text>
    </comment>
    <comment ref="AD36" authorId="0" shapeId="0">
      <text>
        <t>모델값 역산(implied): v / 전년동기 − 1
영업이익 + 감가상각비</t>
      </text>
    </comment>
    <comment ref="AF36" authorId="0" shapeId="0">
      <text>
        <t>모델값 역산(implied): v / 전년동기 − 1
영업이익 + 감가상각비</t>
      </text>
    </comment>
    <comment ref="AG36" authorId="0" shapeId="0">
      <text>
        <t>모델값 역산(implied): v / 전년동기 − 1
영업이익 + 감가상각비</t>
      </text>
    </comment>
    <comment ref="AH36" authorId="0" shapeId="0">
      <text>
        <t>모델값 역산(implied): v / 전년동기 − 1
영업이익 + 감가상각비</t>
      </text>
    </comment>
    <comment ref="AI36" authorId="0" shapeId="0">
      <text>
        <t>모델값 역산(implied): v / 전년동기 − 1
영업이익 + 감가상각비</t>
      </text>
    </comment>
    <comment ref="AK36" authorId="0" shapeId="0">
      <text>
        <t>모델값 역산(implied): v / 전년동기 − 1
영업이익 + 감가상각비</t>
      </text>
    </comment>
    <comment ref="AL36" authorId="0" shapeId="0">
      <text>
        <t>모델값 역산(implied): v / 전년동기 − 1
영업이익 + 감가상각비</t>
      </text>
    </comment>
    <comment ref="AM36" authorId="0" shapeId="0">
      <text>
        <t>모델값 역산(implied): v / 전년동기 − 1
영업이익 + 감가상각비</t>
      </text>
    </comment>
    <comment ref="AN36" authorId="0" shapeId="0">
      <text>
        <t>모델값 역산(implied): v / 전년동기 − 1
영업이익 + 감가상각비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전분기 + 당기순이익 − v
전분기 + 당기순이익 − 배당(Q2 지급 가정)</t>
      </text>
    </comment>
    <comment ref="AD38" authorId="0" shapeId="0">
      <text>
        <t>모델값 역산(implied): 전분기 + 당기순이익 − v
전분기 + 당기순이익 − 배당(Q2 지급 가정)</t>
      </text>
    </comment>
    <comment ref="AF38" authorId="0" shapeId="0">
      <text>
        <t>모델값 역산(implied): 전분기 + 당기순이익 − v
전분기 + 당기순이익 − 배당(Q2 지급 가정)</t>
      </text>
    </comment>
    <comment ref="AG38" authorId="0" shapeId="0">
      <text>
        <t>모델값 역산(implied): 전분기 + 당기순이익 − v
전분기 + 당기순이익 − 배당(Q2 지급 가정)</t>
      </text>
    </comment>
    <comment ref="AH38" authorId="0" shapeId="0">
      <text>
        <t>모델값 역산(implied): 전분기 + 당기순이익 − v
전분기 + 당기순이익 − 배당(Q2 지급 가정)</t>
      </text>
    </comment>
    <comment ref="AI38" authorId="0" shapeId="0">
      <text>
        <t>모델값 역산(implied): 전분기 + 당기순이익 − v
전분기 + 당기순이익 − 배당(Q2 지급 가정)</t>
      </text>
    </comment>
    <comment ref="AK38" authorId="0" shapeId="0">
      <text>
        <t>모델값 역산(implied): 전분기 + 당기순이익 − v
전분기 + 당기순이익 − 배당(Q2 지급 가정)</t>
      </text>
    </comment>
    <comment ref="AL38" authorId="0" shapeId="0">
      <text>
        <t>모델값 역산(implied): 전분기 + 당기순이익 − v
전분기 + 당기순이익 − 배당(Q2 지급 가정)</t>
      </text>
    </comment>
    <comment ref="AM38" authorId="0" shapeId="0">
      <text>
        <t>모델값 역산(implied): 전분기 + 당기순이익 − v
전분기 + 당기순이익 − 배당(Q2 지급 가정)</t>
      </text>
    </comment>
    <comment ref="AN38" authorId="0" shapeId="0">
      <text>
        <t>모델값 역산(implied): 전분기 + 당기순이익 − v
전분기 + 당기순이익 − 배당(Q2 지급 가정)</t>
      </text>
    </comment>
    <comment ref="AC39" authorId="0" shapeId="0">
      <text>
        <t>모델값 역산(implied): 전분기 + 지배주주순이익 − v
전분기 + 지배주주순이익 − 배당</t>
      </text>
    </comment>
    <comment ref="AD39" authorId="0" shapeId="0">
      <text>
        <t>모델값 역산(implied): 전분기 + 지배주주순이익 − v
전분기 + 지배주주순이익 − 배당</t>
      </text>
    </comment>
    <comment ref="AF39" authorId="0" shapeId="0">
      <text>
        <t>모델값 역산(implied): 전분기 + 지배주주순이익 − v
전분기 + 지배주주순이익 − 배당</t>
      </text>
    </comment>
    <comment ref="AG39" authorId="0" shapeId="0">
      <text>
        <t>모델값 역산(implied): 전분기 + 지배주주순이익 − v
전분기 + 지배주주순이익 − 배당</t>
      </text>
    </comment>
    <comment ref="AH39" authorId="0" shapeId="0">
      <text>
        <t>모델값 역산(implied): 전분기 + 지배주주순이익 − v
전분기 + 지배주주순이익 − 배당</t>
      </text>
    </comment>
    <comment ref="AI39" authorId="0" shapeId="0">
      <text>
        <t>모델값 역산(implied): 전분기 + 지배주주순이익 − v
전분기 + 지배주주순이익 − 배당</t>
      </text>
    </comment>
    <comment ref="AK39" authorId="0" shapeId="0">
      <text>
        <t>모델값 역산(implied): 전분기 + 지배주주순이익 − v
전분기 + 지배주주순이익 − 배당</t>
      </text>
    </comment>
    <comment ref="AL39" authorId="0" shapeId="0">
      <text>
        <t>모델값 역산(implied): 전분기 + 지배주주순이익 − v
전분기 + 지배주주순이익 − 배당</t>
      </text>
    </comment>
    <comment ref="AM39" authorId="0" shapeId="0">
      <text>
        <t>모델값 역산(implied): 전분기 + 지배주주순이익 − v
전분기 + 지배주주순이익 − 배당</t>
      </text>
    </comment>
    <comment ref="AN39" authorId="0" shapeId="0">
      <text>
        <t>모델값 역산(implied): 전분기 + 지배주주순이익 − v
전분기 + 지배주주순이익 − 배당</t>
      </text>
    </comment>
    <comment ref="AC40" authorId="0" shapeId="0">
      <text>
        <t>모델값 역산(implied): v / 전분기 − 1
마지막 실적 유지(가정)</t>
      </text>
    </comment>
    <comment ref="AD40" authorId="0" shapeId="0">
      <text>
        <t>모델값 역산(implied): v / 전분기 − 1
마지막 실적 유지(가정)</t>
      </text>
    </comment>
    <comment ref="AF40" authorId="0" shapeId="0">
      <text>
        <t>모델값 역산(implied): v / 전분기 − 1
마지막 실적 유지(가정)</t>
      </text>
    </comment>
    <comment ref="AG40" authorId="0" shapeId="0">
      <text>
        <t>모델값 역산(implied): v / 전분기 − 1
마지막 실적 유지(가정)</t>
      </text>
    </comment>
    <comment ref="AH40" authorId="0" shapeId="0">
      <text>
        <t>모델값 역산(implied): v / 전분기 − 1
마지막 실적 유지(가정)</t>
      </text>
    </comment>
    <comment ref="AI40" authorId="0" shapeId="0">
      <text>
        <t>모델값 역산(implied): v / 전분기 − 1
마지막 실적 유지(가정)</t>
      </text>
    </comment>
    <comment ref="AK40" authorId="0" shapeId="0">
      <text>
        <t>모델값 역산(implied): v / 전분기 − 1
마지막 실적 유지(가정)</t>
      </text>
    </comment>
    <comment ref="AL40" authorId="0" shapeId="0">
      <text>
        <t>모델값 역산(implied): v / 전분기 − 1
마지막 실적 유지(가정)</t>
      </text>
    </comment>
    <comment ref="AM40" authorId="0" shapeId="0">
      <text>
        <t>모델값 역산(implied): v / 전분기 − 1
마지막 실적 유지(가정)</t>
      </text>
    </comment>
    <comment ref="AN40" authorId="0" shapeId="0">
      <text>
        <t>모델값 역산(implied): v / 전분기 − 1
마지막 실적 유지(가정)</t>
      </text>
    </comment>
    <comment ref="AC41" authorId="0" shapeId="0">
      <text>
        <t>모델값 역산(implied): v / 전분기 − 1
전분기 − (순이익 − 배당): 순이익 = 순현금 증가 가정(CAPEX≈감가, 운전자본 불변)</t>
      </text>
    </comment>
    <comment ref="AD41" authorId="0" shapeId="0">
      <text>
        <t>모델값 역산(implied): v / 전분기 − 1
전분기 − (순이익 − 배당): 순이익 = 순현금 증가 가정(CAPEX≈감가, 운전자본 불변)</t>
      </text>
    </comment>
    <comment ref="AF41" authorId="0" shapeId="0">
      <text>
        <t>모델값 역산(implied): v / 전분기 − 1
전분기 − (순이익 − 배당): 순이익 = 순현금 증가 가정(CAPEX≈감가, 운전자본 불변)</t>
      </text>
    </comment>
    <comment ref="AG41" authorId="0" shapeId="0">
      <text>
        <t>모델값 역산(implied): v / 전분기 − 1
전분기 − (순이익 − 배당): 순이익 = 순현금 증가 가정(CAPEX≈감가, 운전자본 불변)</t>
      </text>
    </comment>
    <comment ref="AH41" authorId="0" shapeId="0">
      <text>
        <t>모델값 역산(implied): v / 전분기 − 1
전분기 − (순이익 − 배당): 순이익 = 순현금 증가 가정(CAPEX≈감가, 운전자본 불변)</t>
      </text>
    </comment>
    <comment ref="AI41" authorId="0" shapeId="0">
      <text>
        <t>모델값 역산(implied): v / 전분기 − 1
전분기 − (순이익 − 배당): 순이익 = 순현금 증가 가정(CAPEX≈감가, 운전자본 불변)</t>
      </text>
    </comment>
    <comment ref="AK41" authorId="0" shapeId="0">
      <text>
        <t>모델값 역산(implied): v / 전분기 − 1
전분기 − (순이익 − 배당): 순이익 = 순현금 증가 가정(CAPEX≈감가, 운전자본 불변)</t>
      </text>
    </comment>
    <comment ref="AL41" authorId="0" shapeId="0">
      <text>
        <t>모델값 역산(implied): v / 전분기 − 1
전분기 − (순이익 − 배당): 순이익 = 순현금 증가 가정(CAPEX≈감가, 운전자본 불변)</t>
      </text>
    </comment>
    <comment ref="AM41" authorId="0" shapeId="0">
      <text>
        <t>모델값 역산(implied): v / 전분기 − 1
전분기 − (순이익 − 배당): 순이익 = 순현금 증가 가정(CAPEX≈감가, 운전자본 불변)</t>
      </text>
    </comment>
    <comment ref="AN41" authorId="0" shapeId="0">
      <text>
        <t>모델값 역산(implied): v / 전분기 − 1
전분기 − (순이익 − 배당): 순이익 = 순현금 증가 가정(CAPEX≈감가, 운전자본 불변)</t>
      </text>
    </comment>
    <comment ref="AC42" authorId="0" shapeId="0">
      <text>
        <t>모델값 역산(implied): v / 전분기 − 1
전분기 + (순이익 − 배당) — 순차입금 롤과 같은 가정</t>
      </text>
    </comment>
    <comment ref="AD42" authorId="0" shapeId="0">
      <text>
        <t>모델값 역산(implied): v / 전분기 − 1
전분기 + (순이익 − 배당) — 순차입금 롤과 같은 가정</t>
      </text>
    </comment>
    <comment ref="AF42" authorId="0" shapeId="0">
      <text>
        <t>모델값 역산(implied): v / 전분기 − 1
전분기 + (순이익 − 배당) — 순차입금 롤과 같은 가정</t>
      </text>
    </comment>
    <comment ref="AG42" authorId="0" shapeId="0">
      <text>
        <t>모델값 역산(implied): v / 전분기 − 1
전분기 + (순이익 − 배당) — 순차입금 롤과 같은 가정</t>
      </text>
    </comment>
    <comment ref="AH42" authorId="0" shapeId="0">
      <text>
        <t>모델값 역산(implied): v / 전분기 − 1
전분기 + (순이익 − 배당) — 순차입금 롤과 같은 가정</t>
      </text>
    </comment>
    <comment ref="AI42" authorId="0" shapeId="0">
      <text>
        <t>모델값 역산(implied): v / 전분기 − 1
전분기 + (순이익 − 배당) — 순차입금 롤과 같은 가정</t>
      </text>
    </comment>
    <comment ref="AK42" authorId="0" shapeId="0">
      <text>
        <t>모델값 역산(implied): v / 전분기 − 1
전분기 + (순이익 − 배당) — 순차입금 롤과 같은 가정</t>
      </text>
    </comment>
    <comment ref="AL42" authorId="0" shapeId="0">
      <text>
        <t>모델값 역산(implied): v / 전분기 − 1
전분기 + (순이익 − 배당) — 순차입금 롤과 같은 가정</t>
      </text>
    </comment>
    <comment ref="AM42" authorId="0" shapeId="0">
      <text>
        <t>모델값 역산(implied): v / 전분기 − 1
전분기 + (순이익 − 배당) — 순차입금 롤과 같은 가정</t>
      </text>
    </comment>
    <comment ref="AN42" authorId="0" shapeId="0">
      <text>
        <t>모델값 역산(implied): v / 전분기 − 1
전분기 + (순이익 − 배당) — 순차입금 롤과 같은 가정</t>
      </text>
    </comment>
    <comment ref="AC46" authorId="0" shapeId="0">
      <text>
        <t>모델값 역산(implied): v / 전분기 − 1
유통주식수 유지 — fin.shares.common_outstanding(2026Q2)</t>
      </text>
    </comment>
    <comment ref="AD46" authorId="0" shapeId="0">
      <text>
        <t>모델값 역산(implied): v / 전분기 − 1
유통주식수 유지 — fin.shares.common_outstanding(2026Q2)</t>
      </text>
    </comment>
    <comment ref="AF46" authorId="0" shapeId="0">
      <text>
        <t>모델값 역산(implied): v / 전분기 − 1
유통주식수 유지 — fin.shares.common_outstanding(2026Q2)</t>
      </text>
    </comment>
    <comment ref="AG46" authorId="0" shapeId="0">
      <text>
        <t>모델값 역산(implied): v / 전분기 − 1
유통주식수 유지 — fin.shares.common_outstanding(2026Q2)</t>
      </text>
    </comment>
    <comment ref="AH46" authorId="0" shapeId="0">
      <text>
        <t>모델값 역산(implied): v / 전분기 − 1
유통주식수 유지 — fin.shares.common_outstanding(2026Q2)</t>
      </text>
    </comment>
    <comment ref="AI46" authorId="0" shapeId="0">
      <text>
        <t>모델값 역산(implied): v / 전분기 − 1
유통주식수 유지 — fin.shares.common_outstanding(2026Q2)</t>
      </text>
    </comment>
    <comment ref="AK46" authorId="0" shapeId="0">
      <text>
        <t>모델값 역산(implied): v / 전분기 − 1
유통주식수 유지 — fin.shares.common_outstanding(2026Q2)</t>
      </text>
    </comment>
    <comment ref="AL46" authorId="0" shapeId="0">
      <text>
        <t>모델값 역산(implied): v / 전분기 − 1
유통주식수 유지 — fin.shares.common_outstanding(2026Q2)</t>
      </text>
    </comment>
    <comment ref="AM46" authorId="0" shapeId="0">
      <text>
        <t>모델값 역산(implied): v / 전분기 − 1
유통주식수 유지 — fin.shares.common_outstanding(2026Q2)</t>
      </text>
    </comment>
    <comment ref="AN46" authorId="0" shapeId="0">
      <text>
        <t>모델값 역산(implied): v / 전분기 − 1
유통주식수 유지 — fin.shares.common_outstanding(2026Q2)</t>
      </text>
    </comment>
    <comment ref="AD47" authorId="0" shapeId="0">
      <text>
        <t>모델값 역산(implied): v / 전년동기 − 1
직전 결산 DPS 15,000원 유지</t>
      </text>
    </comment>
    <comment ref="AI47" authorId="0" shapeId="0">
      <text>
        <t>모델값 역산(implied): v / 전년동기 − 1
직전 결산 DPS 15,000원 유지</t>
      </text>
    </comment>
    <comment ref="AN47" authorId="0" shapeId="0">
      <text>
        <t>모델값 역산(implied): v / 전년동기 − 1
직전 결산 DPS 15,000원 유지</t>
      </text>
    </comment>
    <comment ref="AC48" authorId="0" shapeId="0">
      <text>
        <t>모델값 역산(implied): v / 전년동기 − 1
현재 종가 ÷ TTM EPS(추정 포함)</t>
      </text>
    </comment>
    <comment ref="AD48" authorId="0" shapeId="0">
      <text>
        <t>모델값 역산(implied): v / 전년동기 − 1
현재 종가 ÷ TTM EPS(추정 포함)</t>
      </text>
    </comment>
    <comment ref="AF48" authorId="0" shapeId="0">
      <text>
        <t>모델값 역산(implied): v / 전년동기 − 1
현재 종가 ÷ TTM EPS(추정 포함)</t>
      </text>
    </comment>
    <comment ref="AG48" authorId="0" shapeId="0">
      <text>
        <t>모델값 역산(implied): v / 전년동기 − 1
현재 종가 ÷ TTM EPS(추정 포함)</t>
      </text>
    </comment>
    <comment ref="AH48" authorId="0" shapeId="0">
      <text>
        <t>모델값 역산(implied): v / 전년동기 − 1
현재 종가 ÷ TTM EPS(추정 포함)</t>
      </text>
    </comment>
    <comment ref="AI48" authorId="0" shapeId="0">
      <text>
        <t>모델값 역산(implied): v / 전년동기 − 1
현재 종가 ÷ TTM EPS(추정 포함)</t>
      </text>
    </comment>
    <comment ref="AK48" authorId="0" shapeId="0">
      <text>
        <t>모델값 역산(implied): v / 전년동기 − 1
현재 종가 ÷ TTM EPS(추정 포함)</t>
      </text>
    </comment>
    <comment ref="AL48" authorId="0" shapeId="0">
      <text>
        <t>모델값 역산(implied): v / 전년동기 − 1
현재 종가 ÷ TTM EPS(추정 포함)</t>
      </text>
    </comment>
    <comment ref="AM48" authorId="0" shapeId="0">
      <text>
        <t>모델값 역산(implied): v / 전년동기 − 1
현재 종가 ÷ TTM EPS(추정 포함)</t>
      </text>
    </comment>
    <comment ref="AN48" authorId="0" shapeId="0">
      <text>
        <t>모델값 역산(implied): v / 전년동기 − 1
현재 종가 ÷ TTM EPS(추정 포함)</t>
      </text>
    </comment>
    <comment ref="AC49" authorId="0" shapeId="0">
      <text>
        <t>모델값 역산(implied): v / 전년동기 − 1
현재 종가 ÷ BPS(추정 포함)</t>
      </text>
    </comment>
    <comment ref="AD49" authorId="0" shapeId="0">
      <text>
        <t>모델값 역산(implied): v / 전년동기 − 1
현재 종가 ÷ BPS(추정 포함)</t>
      </text>
    </comment>
    <comment ref="AF49" authorId="0" shapeId="0">
      <text>
        <t>모델값 역산(implied): v / 전년동기 − 1
현재 종가 ÷ BPS(추정 포함)</t>
      </text>
    </comment>
    <comment ref="AG49" authorId="0" shapeId="0">
      <text>
        <t>모델값 역산(implied): v / 전년동기 − 1
현재 종가 ÷ BPS(추정 포함)</t>
      </text>
    </comment>
    <comment ref="AH49" authorId="0" shapeId="0">
      <text>
        <t>모델값 역산(implied): v / 전년동기 − 1
현재 종가 ÷ BPS(추정 포함)</t>
      </text>
    </comment>
    <comment ref="AI49" authorId="0" shapeId="0">
      <text>
        <t>모델값 역산(implied): v / 전년동기 − 1
현재 종가 ÷ BPS(추정 포함)</t>
      </text>
    </comment>
    <comment ref="AK49" authorId="0" shapeId="0">
      <text>
        <t>모델값 역산(implied): v / 전년동기 − 1
현재 종가 ÷ BPS(추정 포함)</t>
      </text>
    </comment>
    <comment ref="AL49" authorId="0" shapeId="0">
      <text>
        <t>모델값 역산(implied): v / 전년동기 − 1
현재 종가 ÷ BPS(추정 포함)</t>
      </text>
    </comment>
    <comment ref="AM49" authorId="0" shapeId="0">
      <text>
        <t>모델값 역산(implied): v / 전년동기 − 1
현재 종가 ÷ BPS(추정 포함)</t>
      </text>
    </comment>
    <comment ref="AN49" authorId="0" shapeId="0">
      <text>
        <t>모델값 역산(implied): v / 전년동기 − 1
현재 종가 ÷ BPS(추정 포함)</t>
      </text>
    </comment>
    <comment ref="AC50" authorId="0" shapeId="0">
      <text>
        <t>모델값 역산(implied): v / 매출액
= 매출액 추정(부문 미분리)</t>
      </text>
    </comment>
    <comment ref="AD50" authorId="0" shapeId="0">
      <text>
        <t>모델값 역산(implied): v / 매출액
= 매출액 추정(부문 미분리)</t>
      </text>
    </comment>
    <comment ref="AF50" authorId="0" shapeId="0">
      <text>
        <t>모델값 역산(implied): v / 매출액
= 매출액 추정(부문 미분리)</t>
      </text>
    </comment>
    <comment ref="AG50" authorId="0" shapeId="0">
      <text>
        <t>모델값 역산(implied): v / 매출액
= 매출액 추정(부문 미분리)</t>
      </text>
    </comment>
    <comment ref="AH50" authorId="0" shapeId="0">
      <text>
        <t>모델값 역산(implied): v / 매출액
= 매출액 추정(부문 미분리)</t>
      </text>
    </comment>
    <comment ref="AI50" authorId="0" shapeId="0">
      <text>
        <t>모델값 역산(implied): v / 매출액
= 매출액 추정(부문 미분리)</t>
      </text>
    </comment>
    <comment ref="AK50" authorId="0" shapeId="0">
      <text>
        <t>모델값 역산(implied): v / 매출액
= 매출액 추정(부문 미분리)</t>
      </text>
    </comment>
    <comment ref="AL50" authorId="0" shapeId="0">
      <text>
        <t>모델값 역산(implied): v / 매출액
= 매출액 추정(부문 미분리)</t>
      </text>
    </comment>
    <comment ref="AM50" authorId="0" shapeId="0">
      <text>
        <t>모델값 역산(implied): v / 매출액
= 매출액 추정(부문 미분리)</t>
      </text>
    </comment>
    <comment ref="AN50" authorId="0" shapeId="0">
      <text>
        <t>모델값 역산(implied): v / 매출액
= 매출액 추정(부문 미분리)</t>
      </text>
    </comment>
    <comment ref="AC51" authorId="0" shapeId="0">
      <text>
        <t>모델값 역산(implied): v / 매출전사
= 매출액 × OPM(부문 미분리)</t>
      </text>
    </comment>
    <comment ref="AD51" authorId="0" shapeId="0">
      <text>
        <t>모델값 역산(implied): v / 매출전사
= 매출액 × OPM(부문 미분리)</t>
      </text>
    </comment>
    <comment ref="AF51" authorId="0" shapeId="0">
      <text>
        <t>모델값 역산(implied): v / 매출전사
= 매출액 × OPM(부문 미분리)</t>
      </text>
    </comment>
    <comment ref="AG51" authorId="0" shapeId="0">
      <text>
        <t>모델값 역산(implied): v / 매출전사
= 매출액 × OPM(부문 미분리)</t>
      </text>
    </comment>
    <comment ref="AH51" authorId="0" shapeId="0">
      <text>
        <t>모델값 역산(implied): v / 매출전사
= 매출액 × OPM(부문 미분리)</t>
      </text>
    </comment>
    <comment ref="AI51" authorId="0" shapeId="0">
      <text>
        <t>모델값 역산(implied): v / 매출전사
= 매출액 × OPM(부문 미분리)</t>
      </text>
    </comment>
    <comment ref="AK51" authorId="0" shapeId="0">
      <text>
        <t>모델값 역산(implied): v / 매출전사
= 매출액 × OPM(부문 미분리)</t>
      </text>
    </comment>
    <comment ref="AL51" authorId="0" shapeId="0">
      <text>
        <t>모델값 역산(implied): v / 매출전사
= 매출액 × OPM(부문 미분리)</t>
      </text>
    </comment>
    <comment ref="AM51" authorId="0" shapeId="0">
      <text>
        <t>모델값 역산(implied): v / 매출전사
= 매출액 × OPM(부문 미분리)</t>
      </text>
    </comment>
    <comment ref="AN51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6.8% 유지(클립 −20~40%)
[yoy]</t>
      </text>
    </comment>
    <comment ref="AD10" authorId="0" shapeId="0">
      <text>
        <t>추정: 최근 8분기 OPM 중위 6.8% 유지(클립 −20~40%)
[yoy]</t>
      </text>
    </comment>
    <comment ref="AF10" authorId="0" shapeId="0">
      <text>
        <t>추정: 최근 8분기 OPM 중위 6.8% 유지(클립 −20~40%)
[yoy]</t>
      </text>
    </comment>
    <comment ref="AG10" authorId="0" shapeId="0">
      <text>
        <t>추정: 최근 8분기 OPM 중위 6.8% 유지(클립 −20~40%)
[yoy]</t>
      </text>
    </comment>
    <comment ref="AH10" authorId="0" shapeId="0">
      <text>
        <t>추정: 최근 8분기 OPM 중위 6.8% 유지(클립 −20~40%)
[yoy]</t>
      </text>
    </comment>
    <comment ref="AI10" authorId="0" shapeId="0">
      <text>
        <t>추정: 최근 8분기 OPM 중위 6.8% 유지(클립 −20~40%)
[yoy]</t>
      </text>
    </comment>
    <comment ref="AK10" authorId="0" shapeId="0">
      <text>
        <t>추정: 최근 8분기 OPM 중위 6.8% 유지(클립 −20~40%)
[yoy]</t>
      </text>
    </comment>
    <comment ref="AL10" authorId="0" shapeId="0">
      <text>
        <t>추정: 최근 8분기 OPM 중위 6.8% 유지(클립 −20~40%)
[yoy]</t>
      </text>
    </comment>
    <comment ref="AM10" authorId="0" shapeId="0">
      <text>
        <t>추정: 최근 8분기 OPM 중위 6.8% 유지(클립 −20~40%)
[yoy]</t>
      </text>
    </comment>
    <comment ref="AN10" authorId="0" shapeId="0">
      <text>
        <t>추정: 최근 8분기 OPM 중위 6.8% 유지(클립 −20~40%)
[yoy]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104502억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104787억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105109억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104424억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104745억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105030억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105354억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104670억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104991억 × 0.43%(주석 이자수익 ÷ 평균 이자발생자산(2025Q3~2026Q2)) − 총차입금 52655억 × 6.35%(주석 이자비용 ÷ 평균 총차입금(2025Q3~2026Q2)) (연율) ÷ 4; 환율 효과는 환관련손익 행 별도
[abs]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[abs]</t>
      </text>
    </comment>
    <comment ref="AD12" authorId="0" shapeId="0">
      <text>
        <t>추정: 이자발생자산 104502억 × 0.43%(주석 이자수익 ÷ 평균 이자발생자산(2025Q3~2026Q2)) − 총차입금 52655억 × 6.35%(주석 이자비용 ÷ 평균 총차입금(2025Q3~2026Q2)) (연율) ÷ 4
[abs]</t>
      </text>
    </comment>
    <comment ref="AF12" authorId="0" shapeId="0">
      <text>
        <t>추정: 이자발생자산 104787억 × 0.43%(주석 이자수익 ÷ 평균 이자발생자산(2025Q3~2026Q2)) − 총차입금 52655억 × 6.35%(주석 이자비용 ÷ 평균 총차입금(2025Q3~2026Q2)) (연율) ÷ 4
[abs]</t>
      </text>
    </comment>
    <comment ref="AG12" authorId="0" shapeId="0">
      <text>
        <t>추정: 이자발생자산 105109억 × 0.43%(주석 이자수익 ÷ 평균 이자발생자산(2025Q3~2026Q2)) − 총차입금 52655억 × 6.35%(주석 이자비용 ÷ 평균 총차입금(2025Q3~2026Q2)) (연율) ÷ 4
[abs]</t>
      </text>
    </comment>
    <comment ref="AH12" authorId="0" shapeId="0">
      <text>
        <t>추정: 이자발생자산 104424억 × 0.43%(주석 이자수익 ÷ 평균 이자발생자산(2025Q3~2026Q2)) − 총차입금 52655억 × 6.35%(주석 이자비용 ÷ 평균 총차입금(2025Q3~2026Q2)) (연율) ÷ 4
[abs]</t>
      </text>
    </comment>
    <comment ref="AI12" authorId="0" shapeId="0">
      <text>
        <t>추정: 이자발생자산 104745억 × 0.43%(주석 이자수익 ÷ 평균 이자발생자산(2025Q3~2026Q2)) − 총차입금 52655억 × 6.35%(주석 이자비용 ÷ 평균 총차입금(2025Q3~2026Q2)) (연율) ÷ 4
[abs]</t>
      </text>
    </comment>
    <comment ref="AK12" authorId="0" shapeId="0">
      <text>
        <t>추정: 이자발생자산 105030억 × 0.43%(주석 이자수익 ÷ 평균 이자발생자산(2025Q3~2026Q2)) − 총차입금 52655억 × 6.35%(주석 이자비용 ÷ 평균 총차입금(2025Q3~2026Q2)) (연율) ÷ 4
[abs]</t>
      </text>
    </comment>
    <comment ref="AL12" authorId="0" shapeId="0">
      <text>
        <t>추정: 이자발생자산 105354억 × 0.43%(주석 이자수익 ÷ 평균 이자발생자산(2025Q3~2026Q2)) − 총차입금 52655억 × 6.35%(주석 이자비용 ÷ 평균 총차입금(2025Q3~2026Q2)) (연율) ÷ 4
[abs]</t>
      </text>
    </comment>
    <comment ref="AM12" authorId="0" shapeId="0">
      <text>
        <t>추정: 이자발생자산 104670억 × 0.43%(주석 이자수익 ÷ 평균 이자발생자산(2025Q3~2026Q2)) − 총차입금 52655억 × 6.35%(주석 이자비용 ÷ 평균 총차입금(2025Q3~2026Q2)) (연율) ÷ 4
[abs]</t>
      </text>
    </comment>
    <comment ref="AN12" authorId="0" shapeId="0">
      <text>
        <t>추정: 이자발생자산 104991억 × 0.43%(주석 이자수익 ÷ 평균 이자발생자산(2025Q3~2026Q2)) − 총차입금 52655억 × 6.35%(주석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H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I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J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L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M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N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O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Q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R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S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T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V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W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X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Y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AA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AB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fin.cons.is.파생상품손실(음수 저장 → 부호 반전)</t>
      </text>
    </comment>
    <comment ref="H14" authorId="0" shapeId="0">
      <text>
        <t>실측(계정 매핑 없음 — 모델값 직접) — fin.cons.is.파생상품이익 − fin.cons.is.파생상품손실(음수 저장 → 부호 반전)</t>
      </text>
    </comment>
    <comment ref="I14" authorId="0" shapeId="0">
      <text>
        <t>실측(계정 매핑 없음 — 모델값 직접) — fin.cons.is.파생상품이익 − fin.cons.is.파생상품손실(음수 저장 → 부호 반전)</t>
      </text>
    </comment>
    <comment ref="J14" authorId="0" shapeId="0">
      <text>
        <t>실측(계정 매핑 없음 — 모델값 직접) — fin.cons.is.파생상품이익 − fin.cons.is.파생상품손실(음수 저장 → 부호 반전)</t>
      </text>
    </comment>
    <comment ref="L14" authorId="0" shapeId="0">
      <text>
        <t>실측(계정 매핑 없음 — 모델값 직접) — fin.cons.is.파생상품이익 − fin.cons.is.파생상품손실(음수 저장 → 부호 반전)</t>
      </text>
    </comment>
    <comment ref="M14" authorId="0" shapeId="0">
      <text>
        <t>실측(계정 매핑 없음 — 모델값 직접) — fin.cons.is.파생상품이익 − fin.cons.is.파생상품손실(음수 저장 → 부호 반전)</t>
      </text>
    </comment>
    <comment ref="N14" authorId="0" shapeId="0">
      <text>
        <t>실측(계정 매핑 없음 — 모델값 직접) — fin.cons.is.파생상품이익 − fin.cons.is.파생상품손실(음수 저장 → 부호 반전)</t>
      </text>
    </comment>
    <comment ref="O14" authorId="0" shapeId="0">
      <text>
        <t>실측(계정 매핑 없음 — 모델값 직접) — fin.cons.is.파생상품이익 − fin.cons.is.파생상품손실(음수 저장 → 부호 반전)</t>
      </text>
    </comment>
    <comment ref="Q14" authorId="0" shapeId="0">
      <text>
        <t>실측(계정 매핑 없음 — 모델값 직접) — fin.cons.is.파생상품이익 − fin.cons.is.파생상품손실(음수 저장 → 부호 반전)</t>
      </text>
    </comment>
    <comment ref="R14" authorId="0" shapeId="0">
      <text>
        <t>실측(계정 매핑 없음 — 모델값 직접) — fin.cons.is.파생상품이익 − fin.cons.is.파생상품손실(음수 저장 → 부호 반전)</t>
      </text>
    </comment>
    <comment ref="S14" authorId="0" shapeId="0">
      <text>
        <t>실측(계정 매핑 없음 — 모델값 직접) — fin.cons.is.파생상품이익 − fin.cons.is.파생상품손실(음수 저장 → 부호 반전)</t>
      </text>
    </comment>
    <comment ref="T14" authorId="0" shapeId="0">
      <text>
        <t>실측(계정 매핑 없음 — 모델값 직접) — fin.cons.is.파생상품이익 − fin.cons.is.파생상품손실(음수 저장 → 부호 반전)</t>
      </text>
    </comment>
    <comment ref="V14" authorId="0" shapeId="0">
      <text>
        <t>실측(계정 매핑 없음 — 모델값 직접) — fin.cons.is.파생상품이익 − fin.cons.is.파생상품손실(음수 저장 → 부호 반전)</t>
      </text>
    </comment>
    <comment ref="W14" authorId="0" shapeId="0">
      <text>
        <t>실측(계정 매핑 없음 — 모델값 직접) — fin.cons.is.파생상품이익 − fin.cons.is.파생상품손실(음수 저장 → 부호 반전)</t>
      </text>
    </comment>
    <comment ref="X14" authorId="0" shapeId="0">
      <text>
        <t>실측(계정 매핑 없음 — 모델값 직접) — fin.cons.is.파생상품이익 − fin.cons.is.파생상품손실(음수 저장 → 부호 반전)</t>
      </text>
    </comment>
    <comment ref="Y14" authorId="0" shapeId="0">
      <text>
        <t>실측(계정 매핑 없음 — 모델값 직접) — fin.cons.is.파생상품이익 − fin.cons.is.파생상품손실(음수 저장 → 부호 반전)</t>
      </text>
    </comment>
    <comment ref="AA14" authorId="0" shapeId="0">
      <text>
        <t>실측(계정 매핑 없음 — 모델값 직접) — fin.cons.is.파생상품이익 − fin.cons.is.파생상품손실(음수 저장 → 부호 반전)</t>
      </text>
    </comment>
    <comment ref="AB14" authorId="0" shapeId="0">
      <text>
        <t>실측(계정 매핑 없음 — 모델값 직접) — fin.cons.is.파생상품이익 − fin.cons.is.파생상품손실(음수 저장 → 부호 반전)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+7150.00억이 이자손익 추정 -722.67억의 50% 초과 → 0(경고)
[yoy]</t>
      </text>
    </comment>
    <comment ref="AD15" authorId="0" shapeId="0">
      <text>
        <t>추정: 최근 4분기 중위 +7150.00억이 이자손익 추정 -722.67억의 50% 초과 → 0(경고)
[yoy]</t>
      </text>
    </comment>
    <comment ref="AF15" authorId="0" shapeId="0">
      <text>
        <t>추정: 최근 4분기 중위 +7150.00억이 이자손익 추정 -722.67억의 50% 초과 → 0(경고)
[yoy]</t>
      </text>
    </comment>
    <comment ref="AG15" authorId="0" shapeId="0">
      <text>
        <t>추정: 최근 4분기 중위 +7150.00억이 이자손익 추정 -722.67억의 50% 초과 → 0(경고)
[yoy]</t>
      </text>
    </comment>
    <comment ref="AH15" authorId="0" shapeId="0">
      <text>
        <t>추정(가정 셀 참조 불가 — 기준값 없음, 모델값 직접): 최근 4분기 중위 +7150.00억이 이자손익 추정 -722.67억의 50% 초과 → 0(경고)</t>
      </text>
    </comment>
    <comment ref="AI15" authorId="0" shapeId="0">
      <text>
        <t>추정(가정 셀 참조 불가 — 기준값 없음, 모델값 직접): 최근 4분기 중위 +7150.00억이 이자손익 추정 -722.67억의 50% 초과 → 0(경고)</t>
      </text>
    </comment>
    <comment ref="AK15" authorId="0" shapeId="0">
      <text>
        <t>추정(가정 셀 참조 불가 — 기준값 없음, 모델값 직접): 최근 4분기 중위 +7150.00억이 이자손익 추정 -722.67억의 50% 초과 → 0(경고)</t>
      </text>
    </comment>
    <comment ref="AL15" authorId="0" shapeId="0">
      <text>
        <t>추정(가정 셀 참조 불가 — 기준값 없음, 모델값 직접): 최근 4분기 중위 +7150.00억이 이자손익 추정 -722.67억의 50% 초과 → 0(경고)</t>
      </text>
    </comment>
    <comment ref="AM15" authorId="0" shapeId="0">
      <text>
        <t>추정(가정 셀 참조 불가 — 기준값 없음, 모델값 직접): 최근 4분기 중위 +7150.00억이 이자손익 추정 -722.67억의 50% 초과 → 0(경고)</t>
      </text>
    </comment>
    <comment ref="AN15" authorId="0" shapeId="0">
      <text>
        <t>추정(가정 셀 참조 불가 — 기준값 없음, 모델값 직접): 최근 4분기 중위 +7150.00억이 이자손익 추정 -722.67억의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B22" authorId="0" shapeId="0">
      <text>
        <t>실측(계정 매핑 없음 — 모델값 직접) — fin.cons.is.중단사업이익</t>
      </text>
    </comment>
    <comment ref="AC23" authorId="0" shapeId="0">
      <text>
        <t>추정: 최근 4분기 감가상각비 중위 유지
[yoy]</t>
      </text>
    </comment>
    <comment ref="AD23" authorId="0" shapeId="0">
      <text>
        <t>추정: 최근 4분기 감가상각비 중위 유지
[yoy]</t>
      </text>
    </comment>
    <comment ref="AF23" authorId="0" shapeId="0">
      <text>
        <t>추정: 최근 4분기 감가상각비 중위 유지
[yoy]</t>
      </text>
    </comment>
    <comment ref="AG23" authorId="0" shapeId="0">
      <text>
        <t>추정: 최근 4분기 감가상각비 중위 유지
[yoy]</t>
      </text>
    </comment>
    <comment ref="AH23" authorId="0" shapeId="0">
      <text>
        <t>추정: 최근 4분기 감가상각비 중위 유지
[yoy]</t>
      </text>
    </comment>
    <comment ref="AI23" authorId="0" shapeId="0">
      <text>
        <t>추정: 최근 4분기 감가상각비 중위 유지
[yoy]</t>
      </text>
    </comment>
    <comment ref="AK23" authorId="0" shapeId="0">
      <text>
        <t>추정: 최근 4분기 감가상각비 중위 유지
[yoy]</t>
      </text>
    </comment>
    <comment ref="AL23" authorId="0" shapeId="0">
      <text>
        <t>추정: 최근 4분기 감가상각비 중위 유지
[yoy]</t>
      </text>
    </comment>
    <comment ref="AM23" authorId="0" shapeId="0">
      <text>
        <t>추정: 최근 4분기 감가상각비 중위 유지
[yoy]</t>
      </text>
    </comment>
    <comment ref="AN23" authorId="0" shapeId="0">
      <text>
        <t>추정: 최근 4분기 감가상각비 중위 유지
[yoy]</t>
      </text>
    </comment>
    <comment ref="E24" authorId="0" shapeId="0">
      <text>
        <t>실측(계정 매핑 없음 — 모델값 직접) — 영업이익 + 감가상각비(CF)</t>
      </text>
    </comment>
    <comment ref="G24" authorId="0" shapeId="0">
      <text>
        <t>실측(계정 매핑 없음 — 모델값 직접) — 영업이익 + 감가상각비(CF)</t>
      </text>
    </comment>
    <comment ref="H24" authorId="0" shapeId="0">
      <text>
        <t>실측(계정 매핑 없음 — 모델값 직접) — 영업이익 + 감가상각비(CF)</t>
      </text>
    </comment>
    <comment ref="I24" authorId="0" shapeId="0">
      <text>
        <t>실측(계정 매핑 없음 — 모델값 직접) — 영업이익 + 감가상각비(CF)</t>
      </text>
    </comment>
    <comment ref="J24" authorId="0" shapeId="0">
      <text>
        <t>실측(계정 매핑 없음 — 모델값 직접) — 영업이익 + 감가상각비(CF)</t>
      </text>
    </comment>
    <comment ref="L24" authorId="0" shapeId="0">
      <text>
        <t>실측(계정 매핑 없음 — 모델값 직접) — 영업이익 + 감가상각비(CF)</t>
      </text>
    </comment>
    <comment ref="M24" authorId="0" shapeId="0">
      <text>
        <t>실측(계정 매핑 없음 — 모델값 직접) — 영업이익 + 감가상각비(CF)</t>
      </text>
    </comment>
    <comment ref="N24" authorId="0" shapeId="0">
      <text>
        <t>실측(계정 매핑 없음 — 모델값 직접) — 영업이익 + 감가상각비(CF)</t>
      </text>
    </comment>
    <comment ref="O24" authorId="0" shapeId="0">
      <text>
        <t>실측(계정 매핑 없음 — 모델값 직접) — 영업이익 + 감가상각비(CF)</t>
      </text>
    </comment>
    <comment ref="Q24" authorId="0" shapeId="0">
      <text>
        <t>실측(계정 매핑 없음 — 모델값 직접) — 영업이익 + 감가상각비(CF)</t>
      </text>
    </comment>
    <comment ref="R24" authorId="0" shapeId="0">
      <text>
        <t>실측(계정 매핑 없음 — 모델값 직접) — 영업이익 + 감가상각비(CF)</t>
      </text>
    </comment>
    <comment ref="S24" authorId="0" shapeId="0">
      <text>
        <t>실측(계정 매핑 없음 — 모델값 직접) — 영업이익 + 감가상각비(CF)</t>
      </text>
    </comment>
    <comment ref="T24" authorId="0" shapeId="0">
      <text>
        <t>실측(계정 매핑 없음 — 모델값 직접) — 영업이익 + 감가상각비(CF)</t>
      </text>
    </comment>
    <comment ref="V24" authorId="0" shapeId="0">
      <text>
        <t>실측(계정 매핑 없음 — 모델값 직접) — 영업이익 + 감가상각비(CF)</t>
      </text>
    </comment>
    <comment ref="W24" authorId="0" shapeId="0">
      <text>
        <t>실측(계정 매핑 없음 — 모델값 직접) — 영업이익 + 감가상각비(CF)</t>
      </text>
    </comment>
    <comment ref="X24" authorId="0" shapeId="0">
      <text>
        <t>실측(계정 매핑 없음 — 모델값 직접) — 영업이익 + 감가상각비(CF)</t>
      </text>
    </comment>
    <comment ref="Y24" authorId="0" shapeId="0">
      <text>
        <t>실측(계정 매핑 없음 — 모델값 직접) — 영업이익 + 감가상각비(CF)</t>
      </text>
    </comment>
    <comment ref="AA24" authorId="0" shapeId="0">
      <text>
        <t>실측(계정 매핑 없음 — 모델값 직접) — 영업이익 + 감가상각비(CF)</t>
      </text>
    </comment>
    <comment ref="AB24" authorId="0" shapeId="0">
      <text>
        <t>실측(계정 매핑 없음 — 모델값 직접) — 영업이익 + 감가상각비(CF)</t>
      </text>
    </comment>
    <comment ref="AC24" authorId="0" shapeId="0">
      <text>
        <t>추정: 영업이익 + 감가상각비
[yoy]</t>
      </text>
    </comment>
    <comment ref="AD24" authorId="0" shapeId="0">
      <text>
        <t>추정: 영업이익 + 감가상각비
[yoy]</t>
      </text>
    </comment>
    <comment ref="AF24" authorId="0" shapeId="0">
      <text>
        <t>추정: 영업이익 + 감가상각비
[yoy]</t>
      </text>
    </comment>
    <comment ref="AG24" authorId="0" shapeId="0">
      <text>
        <t>추정: 영업이익 + 감가상각비
[yoy]</t>
      </text>
    </comment>
    <comment ref="AH24" authorId="0" shapeId="0">
      <text>
        <t>추정: 영업이익 + 감가상각비
[yoy]</t>
      </text>
    </comment>
    <comment ref="AI24" authorId="0" shapeId="0">
      <text>
        <t>추정: 영업이익 + 감가상각비
[yoy]</t>
      </text>
    </comment>
    <comment ref="AK24" authorId="0" shapeId="0">
      <text>
        <t>추정: 영업이익 + 감가상각비
[yoy]</t>
      </text>
    </comment>
    <comment ref="AL24" authorId="0" shapeId="0">
      <text>
        <t>추정: 영업이익 + 감가상각비
[yoy]</t>
      </text>
    </comment>
    <comment ref="AM24" authorId="0" shapeId="0">
      <text>
        <t>추정: 영업이익 + 감가상각비
[yoy]</t>
      </text>
    </comment>
    <comment ref="AN24" authorId="0" shapeId="0">
      <text>
        <t>추정: 영업이익 + 감가상각비
[yoy]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(순이익 − 배당): 순이익 = 순현금 증가 가정(CAPEX≈감가, 운전자본 불변)
[qoq]</t>
      </text>
    </comment>
    <comment ref="AD30" authorId="0" shapeId="0">
      <text>
        <t>추정: 전분기 − (순이익 − 배당): 순이익 = 순현금 증가 가정(CAPEX≈감가, 운전자본 불변)
[qoq]</t>
      </text>
    </comment>
    <comment ref="AF30" authorId="0" shapeId="0">
      <text>
        <t>추정: 전분기 − (순이익 − 배당): 순이익 = 순현금 증가 가정(CAPEX≈감가, 운전자본 불변)
[qoq]</t>
      </text>
    </comment>
    <comment ref="AG30" authorId="0" shapeId="0">
      <text>
        <t>추정: 전분기 − (순이익 − 배당): 순이익 = 순현금 증가 가정(CAPEX≈감가, 운전자본 불변)
[qoq]</t>
      </text>
    </comment>
    <comment ref="AH30" authorId="0" shapeId="0">
      <text>
        <t>추정: 전분기 − (순이익 − 배당): 순이익 = 순현금 증가 가정(CAPEX≈감가, 운전자본 불변)
[qoq]</t>
      </text>
    </comment>
    <comment ref="AI30" authorId="0" shapeId="0">
      <text>
        <t>추정: 전분기 − (순이익 − 배당): 순이익 = 순현금 증가 가정(CAPEX≈감가, 운전자본 불변)
[qoq]</t>
      </text>
    </comment>
    <comment ref="AK30" authorId="0" shapeId="0">
      <text>
        <t>추정: 전분기 − (순이익 − 배당): 순이익 = 순현금 증가 가정(CAPEX≈감가, 운전자본 불변)
[qoq]</t>
      </text>
    </comment>
    <comment ref="AL30" authorId="0" shapeId="0">
      <text>
        <t>추정: 전분기 − (순이익 − 배당): 순이익 = 순현금 증가 가정(CAPEX≈감가, 운전자본 불변)
[qoq]</t>
      </text>
    </comment>
    <comment ref="AM30" authorId="0" shapeId="0">
      <text>
        <t>추정: 전분기 − (순이익 − 배당): 순이익 = 순현금 증가 가정(CAPEX≈감가, 운전자본 불변)
[qoq]</t>
      </text>
    </comment>
    <comment ref="AN30" authorId="0" shapeId="0">
      <text>
        <t>추정: 전분기 − (순이익 − 배당): 순이익 = 순현금 증가 가정(CAPEX≈감가, 운전자본 불변)
[qoq]</t>
      </text>
    </comment>
    <comment ref="AC31" authorId="0" shapeId="0">
      <text>
        <t>추정: 전분기 + (순이익 − 배당) — 순차입금 롤과 같은 가정
[qoq]</t>
      </text>
    </comment>
    <comment ref="AD31" authorId="0" shapeId="0">
      <text>
        <t>추정: 전분기 + (순이익 − 배당) — 순차입금 롤과 같은 가정
[qoq]</t>
      </text>
    </comment>
    <comment ref="AF31" authorId="0" shapeId="0">
      <text>
        <t>추정: 전분기 + (순이익 − 배당) — 순차입금 롤과 같은 가정
[qoq]</t>
      </text>
    </comment>
    <comment ref="AG31" authorId="0" shapeId="0">
      <text>
        <t>추정: 전분기 + (순이익 − 배당) — 순차입금 롤과 같은 가정
[qoq]</t>
      </text>
    </comment>
    <comment ref="AH31" authorId="0" shapeId="0">
      <text>
        <t>추정: 전분기 + (순이익 − 배당) — 순차입금 롤과 같은 가정
[qoq]</t>
      </text>
    </comment>
    <comment ref="AI31" authorId="0" shapeId="0">
      <text>
        <t>추정: 전분기 + (순이익 − 배당) — 순차입금 롤과 같은 가정
[qoq]</t>
      </text>
    </comment>
    <comment ref="AK31" authorId="0" shapeId="0">
      <text>
        <t>추정: 전분기 + (순이익 − 배당) — 순차입금 롤과 같은 가정
[qoq]</t>
      </text>
    </comment>
    <comment ref="AL31" authorId="0" shapeId="0">
      <text>
        <t>추정: 전분기 + (순이익 − 배당) — 순차입금 롤과 같은 가정
[qoq]</t>
      </text>
    </comment>
    <comment ref="AM31" authorId="0" shapeId="0">
      <text>
        <t>추정: 전분기 + (순이익 − 배당) — 순차입금 롤과 같은 가정
[qoq]</t>
      </text>
    </comment>
    <comment ref="AN31" authorId="0" shapeId="0">
      <text>
        <t>추정: 전분기 + (순이익 − 배당) — 순차입금 롤과 같은 가정
[qoq]</t>
      </text>
    </comment>
    <comment ref="E34" authorId="0" shapeId="0">
      <text>
        <t>실측(계정 매핑 없음 — 모델값 직접) — fin.cons.cf.영업활동으로인한현금흐름</t>
      </text>
    </comment>
    <comment ref="G34" authorId="0" shapeId="0">
      <text>
        <t>실측(계정 매핑 없음 — 모델값 직접) — fin.cons.cf.영업활동으로인한현금흐름</t>
      </text>
    </comment>
    <comment ref="H34" authorId="0" shapeId="0">
      <text>
        <t>실측(계정 매핑 없음 — 모델값 직접) — fin.cons.cf.영업활동으로인한현금흐름</t>
      </text>
    </comment>
    <comment ref="I34" authorId="0" shapeId="0">
      <text>
        <t>실측(계정 매핑 없음 — 모델값 직접) — fin.cons.cf.영업활동으로인한현금흐름</t>
      </text>
    </comment>
    <comment ref="J34" authorId="0" shapeId="0">
      <text>
        <t>실측(계정 매핑 없음 — 모델값 직접) — fin.cons.cf.영업활동으로인한현금흐름</t>
      </text>
    </comment>
    <comment ref="L34" authorId="0" shapeId="0">
      <text>
        <t>실측(계정 매핑 없음 — 모델값 직접) — fin.cons.cf.영업활동으로인한현금흐름</t>
      </text>
    </comment>
    <comment ref="M34" authorId="0" shapeId="0">
      <text>
        <t>실측(계정 매핑 없음 — 모델값 직접) — fin.cons.cf.영업활동으로인한현금흐름</t>
      </text>
    </comment>
    <comment ref="N34" authorId="0" shapeId="0">
      <text>
        <t>실측(계정 매핑 없음 — 모델값 직접) — fin.cons.cf.영업활동으로인한현금흐름</t>
      </text>
    </comment>
    <comment ref="O34" authorId="0" shapeId="0">
      <text>
        <t>실측(계정 매핑 없음 — 모델값 직접) — fin.cons.cf.영업활동으로인한현금흐름</t>
      </text>
    </comment>
    <comment ref="Q34" authorId="0" shapeId="0">
      <text>
        <t>실측(계정 매핑 없음 — 모델값 직접) — fin.cons.cf.영업활동으로인한현금흐름</t>
      </text>
    </comment>
    <comment ref="R34" authorId="0" shapeId="0">
      <text>
        <t>실측(계정 매핑 없음 — 모델값 직접) — fin.cons.cf.영업활동으로인한현금흐름</t>
      </text>
    </comment>
    <comment ref="S34" authorId="0" shapeId="0">
      <text>
        <t>실측(계정 매핑 없음 — 모델값 직접) — fin.cons.cf.영업활동으로인한현금흐름</t>
      </text>
    </comment>
    <comment ref="T34" authorId="0" shapeId="0">
      <text>
        <t>실측(계정 매핑 없음 — 모델값 직접) — fin.cons.cf.영업활동으로인한현금흐름</t>
      </text>
    </comment>
    <comment ref="V34" authorId="0" shapeId="0">
      <text>
        <t>실측(계정 매핑 없음 — 모델값 직접) — fin.cons.cf.영업활동으로인한현금흐름</t>
      </text>
    </comment>
    <comment ref="W34" authorId="0" shapeId="0">
      <text>
        <t>실측(계정 매핑 없음 — 모델값 직접) — fin.cons.cf.영업활동으로인한현금흐름</t>
      </text>
    </comment>
    <comment ref="X34" authorId="0" shapeId="0">
      <text>
        <t>실측(계정 매핑 없음 — 모델값 직접) — fin.cons.cf.영업활동으로인한현금흐름</t>
      </text>
    </comment>
    <comment ref="Y34" authorId="0" shapeId="0">
      <text>
        <t>실측(계정 매핑 없음 — 모델값 직접) — fin.cons.cf.영업활동으로인한현금흐름</t>
      </text>
    </comment>
    <comment ref="AA34" authorId="0" shapeId="0">
      <text>
        <t>실측(계정 매핑 없음 — 모델값 직접) — fin.cons.cf.영업활동으로인한현금흐름</t>
      </text>
    </comment>
    <comment ref="AB34" authorId="0" shapeId="0">
      <text>
        <t>실측(계정 매핑 없음 — 모델값 직접) — fin.cons.cf.영업활동으로인한현금흐름</t>
      </text>
    </comment>
    <comment ref="E35" authorId="0" shapeId="0">
      <text>
        <t>실측(계정 매핑 없음 — 모델값 직접) — fin.shares.common_outstanding</t>
      </text>
    </comment>
    <comment ref="G35" authorId="0" shapeId="0">
      <text>
        <t>실측(계정 매핑 없음 — 모델값 직접) — fin.shares.common_outstanding</t>
      </text>
    </comment>
    <comment ref="H35" authorId="0" shapeId="0">
      <text>
        <t>실측(계정 매핑 없음 — 모델값 직접) — fin.shares.common_outstanding</t>
      </text>
    </comment>
    <comment ref="I35" authorId="0" shapeId="0">
      <text>
        <t>실측(계정 매핑 없음 — 모델값 직접) — fin.shares.common_outstanding</t>
      </text>
    </comment>
    <comment ref="J35" authorId="0" shapeId="0">
      <text>
        <t>실측(계정 매핑 없음 — 모델값 직접) — fin.shares.common_outstanding</t>
      </text>
    </comment>
    <comment ref="L35" authorId="0" shapeId="0">
      <text>
        <t>실측(계정 매핑 없음 — 모델값 직접) — fin.shares.common_outstanding</t>
      </text>
    </comment>
    <comment ref="M35" authorId="0" shapeId="0">
      <text>
        <t>실측(계정 매핑 없음 — 모델값 직접) — fin.shares.common_outstanding</t>
      </text>
    </comment>
    <comment ref="N35" authorId="0" shapeId="0">
      <text>
        <t>실측(계정 매핑 없음 — 모델값 직접) — fin.shares.common_outstanding</t>
      </text>
    </comment>
    <comment ref="O35" authorId="0" shapeId="0">
      <text>
        <t>실측(계정 매핑 없음 — 모델값 직접) — fin.shares.common_outstanding</t>
      </text>
    </comment>
    <comment ref="Q35" authorId="0" shapeId="0">
      <text>
        <t>실측(계정 매핑 없음 — 모델값 직접) — fin.shares.common_outstanding</t>
      </text>
    </comment>
    <comment ref="R35" authorId="0" shapeId="0">
      <text>
        <t>실측(계정 매핑 없음 — 모델값 직접) — fin.shares.common_outstanding</t>
      </text>
    </comment>
    <comment ref="S35" authorId="0" shapeId="0">
      <text>
        <t>실측(계정 매핑 없음 — 모델값 직접) — fin.shares.common_outstanding</t>
      </text>
    </comment>
    <comment ref="T35" authorId="0" shapeId="0">
      <text>
        <t>실측(계정 매핑 없음 — 모델값 직접) — fin.shares.common_outstanding</t>
      </text>
    </comment>
    <comment ref="V35" authorId="0" shapeId="0">
      <text>
        <t>실측(계정 매핑 없음 — 모델값 직접) — fin.shares.common_outstanding</t>
      </text>
    </comment>
    <comment ref="W35" authorId="0" shapeId="0">
      <text>
        <t>실측(계정 매핑 없음 — 모델값 직접) — fin.shares.common_outstanding</t>
      </text>
    </comment>
    <comment ref="X35" authorId="0" shapeId="0">
      <text>
        <t>실측(계정 매핑 없음 — 모델값 직접) — fin.shares.common_outstanding</t>
      </text>
    </comment>
    <comment ref="Y35" authorId="0" shapeId="0">
      <text>
        <t>실측(계정 매핑 없음 — 모델값 직접) — fin.shares.common_outstanding</t>
      </text>
    </comment>
    <comment ref="AA35" authorId="0" shapeId="0">
      <text>
        <t>실측(계정 매핑 없음 — 모델값 직접) — fin.shares.common_outstanding</t>
      </text>
    </comment>
    <comment ref="AB35" authorId="0" shapeId="0">
      <text>
        <t>실측(계정 매핑 없음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C37" authorId="0" shapeId="0">
      <text>
        <t>추정: 지배주주지분 ÷ 유통주식수
[per_share]</t>
      </text>
    </comment>
    <comment ref="AD37" authorId="0" shapeId="0">
      <text>
        <t>추정: 지배주주지분 ÷ 유통주식수
[per_share]</t>
      </text>
    </comment>
    <comment ref="AF37" authorId="0" shapeId="0">
      <text>
        <t>추정: 지배주주지분 ÷ 유통주식수
[per_share]</t>
      </text>
    </comment>
    <comment ref="AG37" authorId="0" shapeId="0">
      <text>
        <t>추정: 지배주주지분 ÷ 유통주식수
[per_share]</t>
      </text>
    </comment>
    <comment ref="AH37" authorId="0" shapeId="0">
      <text>
        <t>추정: 지배주주지분 ÷ 유통주식수
[per_share]</t>
      </text>
    </comment>
    <comment ref="AI37" authorId="0" shapeId="0">
      <text>
        <t>추정: 지배주주지분 ÷ 유통주식수
[per_share]</t>
      </text>
    </comment>
    <comment ref="AK37" authorId="0" shapeId="0">
      <text>
        <t>추정: 지배주주지분 ÷ 유통주식수
[per_share]</t>
      </text>
    </comment>
    <comment ref="AL37" authorId="0" shapeId="0">
      <text>
        <t>추정: 지배주주지분 ÷ 유통주식수
[per_share]</t>
      </text>
    </comment>
    <comment ref="AM37" authorId="0" shapeId="0">
      <text>
        <t>추정: 지배주주지분 ÷ 유통주식수
[per_share]</t>
      </text>
    </comment>
    <comment ref="AN37" authorId="0" shapeId="0">
      <text>
        <t>추정: 지배주주지분 ÷ 유통주식수
[per_share]</t>
      </text>
    </comment>
    <comment ref="E38" authorId="0" shapeId="0">
      <text>
        <t>실측(계정 매핑 없음 — 모델값 직접) — fin.dividend.dps_common(연간, Q4 에 표기)</t>
      </text>
    </comment>
    <comment ref="F38" authorId="0" shapeId="0">
      <text>
        <t>연간(actual) — 분기 미완 연도, 모델 a 값 직접</t>
      </text>
    </comment>
    <comment ref="J38" authorId="0" shapeId="0">
      <text>
        <t>실측(계정 매핑 없음 — 모델값 직접) — fin.dividend.dps_common(연간, Q4 에 표기)</t>
      </text>
    </comment>
    <comment ref="O38" authorId="0" shapeId="0">
      <text>
        <t>실측(계정 매핑 없음 — 모델값 직접) — fin.dividend.dps_common(연간, Q4 에 표기)</t>
      </text>
    </comment>
    <comment ref="T38" authorId="0" shapeId="0">
      <text>
        <t>실측(계정 매핑 없음 — 모델값 직접) — fin.dividend.dps_common(연간, Q4 에 표기)</t>
      </text>
    </comment>
    <comment ref="Y38" authorId="0" shapeId="0">
      <text>
        <t>실측(계정 매핑 없음 — 모델값 직접) — fin.dividend.dps_common(연간, Q4 에 표기)</t>
      </text>
    </comment>
    <comment ref="AD38" authorId="0" shapeId="0">
      <text>
        <t>추정: 직전 결산 DPS 15,000원 유지
[yoy]</t>
      </text>
    </comment>
    <comment ref="AI38" authorId="0" shapeId="0">
      <text>
        <t>추정: 직전 결산 DPS 15,000원 유지
[yoy]</t>
      </text>
    </comment>
    <comment ref="AN38" authorId="0" shapeId="0">
      <text>
        <t>추정: 직전 결산 DPS 15,000원 유지
[yoy]</t>
      </text>
    </comment>
    <comment ref="J39" authorId="0" shapeId="0">
      <text>
        <t>실측(계정 매핑 없음 — 모델값 직접) — 토스 일봉 분기 평균 ÷ TTM EPS</t>
      </text>
    </comment>
    <comment ref="L39" authorId="0" shapeId="0">
      <text>
        <t>실측(계정 매핑 없음 — 모델값 직접) — 토스 일봉 분기 평균 ÷ TTM EPS</t>
      </text>
    </comment>
    <comment ref="N39" authorId="0" shapeId="0">
      <text>
        <t>실측(계정 매핑 없음 — 모델값 직접) — 토스 일봉 분기 평균 ÷ TTM EPS</t>
      </text>
    </comment>
    <comment ref="O39" authorId="0" shapeId="0">
      <text>
        <t>실측(계정 매핑 없음 — 모델값 직접) — 토스 일봉 분기 평균 ÷ TTM EPS</t>
      </text>
    </comment>
    <comment ref="Q39" authorId="0" shapeId="0">
      <text>
        <t>실측(계정 매핑 없음 — 모델값 직접) — 토스 일봉 분기 평균 ÷ TTM EPS</t>
      </text>
    </comment>
    <comment ref="R39" authorId="0" shapeId="0">
      <text>
        <t>실측(계정 매핑 없음 — 모델값 직접) — 토스 일봉 분기 평균 ÷ TTM EPS</t>
      </text>
    </comment>
    <comment ref="S39" authorId="0" shapeId="0">
      <text>
        <t>실측(계정 매핑 없음 — 모델값 직접) — 토스 일봉 분기 평균 ÷ TTM EPS</t>
      </text>
    </comment>
    <comment ref="T39" authorId="0" shapeId="0">
      <text>
        <t>실측(계정 매핑 없음 — 모델값 직접) — 토스 일봉 분기 평균 ÷ TTM EPS</t>
      </text>
    </comment>
    <comment ref="W39" authorId="0" shapeId="0">
      <text>
        <t>실측(계정 매핑 없음 — 모델값 직접) — 토스 일봉 분기 평균 ÷ TTM EPS</t>
      </text>
    </comment>
    <comment ref="X39" authorId="0" shapeId="0">
      <text>
        <t>실측(계정 매핑 없음 — 모델값 직접) — 토스 일봉 분기 평균 ÷ TTM EPS</t>
      </text>
    </comment>
    <comment ref="Y39" authorId="0" shapeId="0">
      <text>
        <t>실측(계정 매핑 없음 — 모델값 직접) — 토스 일봉 분기 평균 ÷ TTM EPS</t>
      </text>
    </comment>
    <comment ref="AA39" authorId="0" shapeId="0">
      <text>
        <t>실측(계정 매핑 없음 — 모델값 직접) — 토스 일봉 분기 평균 ÷ TTM EPS</t>
      </text>
    </comment>
    <comment ref="AB39" authorId="0" shapeId="0">
      <text>
        <t>실측(계정 매핑 없음 — 모델값 직접) — 토스 일봉 분기 평균 ÷ TTM EPS</t>
      </text>
    </comment>
    <comment ref="AC39" authorId="0" shapeId="0">
      <text>
        <t>추정: 현재 종가 ÷ TTM EPS(추정 포함)
[yoy]</t>
      </text>
    </comment>
    <comment ref="AD39" authorId="0" shapeId="0">
      <text>
        <t>추정: 현재 종가 ÷ TTM EPS(추정 포함)
[yoy]</t>
      </text>
    </comment>
    <comment ref="AF39" authorId="0" shapeId="0">
      <text>
        <t>추정: 현재 종가 ÷ TTM EPS(추정 포함)
[yoy]</t>
      </text>
    </comment>
    <comment ref="AG39" authorId="0" shapeId="0">
      <text>
        <t>추정: 현재 종가 ÷ TTM EPS(추정 포함)
[yoy]</t>
      </text>
    </comment>
    <comment ref="AH39" authorId="0" shapeId="0">
      <text>
        <t>추정: 현재 종가 ÷ TTM EPS(추정 포함)
[yoy]</t>
      </text>
    </comment>
    <comment ref="AI39" authorId="0" shapeId="0">
      <text>
        <t>추정: 현재 종가 ÷ TTM EPS(추정 포함)
[yoy]</t>
      </text>
    </comment>
    <comment ref="AK39" authorId="0" shapeId="0">
      <text>
        <t>추정: 현재 종가 ÷ TTM EPS(추정 포함)
[yoy]</t>
      </text>
    </comment>
    <comment ref="AL39" authorId="0" shapeId="0">
      <text>
        <t>추정: 현재 종가 ÷ TTM EPS(추정 포함)
[yoy]</t>
      </text>
    </comment>
    <comment ref="AM39" authorId="0" shapeId="0">
      <text>
        <t>추정: 현재 종가 ÷ TTM EPS(추정 포함)
[yoy]</t>
      </text>
    </comment>
    <comment ref="AN39" authorId="0" shapeId="0">
      <text>
        <t>추정: 현재 종가 ÷ TTM EPS(추정 포함)
[yoy]</t>
      </text>
    </comment>
    <comment ref="E40" authorId="0" shapeId="0">
      <text>
        <t>실측(계정 매핑 없음 — 모델값 직접) — 토스 일봉 분기 평균 ÷ BPS</t>
      </text>
    </comment>
    <comment ref="F40" authorId="0" shapeId="0">
      <text>
        <t>연간(actual) — 분기 미완 연도, 모델 a 값 직접</t>
      </text>
    </comment>
    <comment ref="G40" authorId="0" shapeId="0">
      <text>
        <t>실측(계정 매핑 없음 — 모델값 직접) — 토스 일봉 분기 평균 ÷ BPS</t>
      </text>
    </comment>
    <comment ref="H40" authorId="0" shapeId="0">
      <text>
        <t>실측(계정 매핑 없음 — 모델값 직접) — 토스 일봉 분기 평균 ÷ BPS</t>
      </text>
    </comment>
    <comment ref="I40" authorId="0" shapeId="0">
      <text>
        <t>실측(계정 매핑 없음 — 모델값 직접) — 토스 일봉 분기 평균 ÷ BPS</t>
      </text>
    </comment>
    <comment ref="J40" authorId="0" shapeId="0">
      <text>
        <t>실측(계정 매핑 없음 — 모델값 직접) — 토스 일봉 분기 평균 ÷ BPS</t>
      </text>
    </comment>
    <comment ref="L40" authorId="0" shapeId="0">
      <text>
        <t>실측(계정 매핑 없음 — 모델값 직접) — 토스 일봉 분기 평균 ÷ BPS</t>
      </text>
    </comment>
    <comment ref="M40" authorId="0" shapeId="0">
      <text>
        <t>실측(계정 매핑 없음 — 모델값 직접) — 토스 일봉 분기 평균 ÷ BPS</t>
      </text>
    </comment>
    <comment ref="N40" authorId="0" shapeId="0">
      <text>
        <t>실측(계정 매핑 없음 — 모델값 직접) — 토스 일봉 분기 평균 ÷ BPS</t>
      </text>
    </comment>
    <comment ref="O40" authorId="0" shapeId="0">
      <text>
        <t>실측(계정 매핑 없음 — 모델값 직접) — 토스 일봉 분기 평균 ÷ BPS</t>
      </text>
    </comment>
    <comment ref="Q40" authorId="0" shapeId="0">
      <text>
        <t>실측(계정 매핑 없음 — 모델값 직접) — 토스 일봉 분기 평균 ÷ BPS</t>
      </text>
    </comment>
    <comment ref="R40" authorId="0" shapeId="0">
      <text>
        <t>실측(계정 매핑 없음 — 모델값 직접) — 토스 일봉 분기 평균 ÷ BPS</t>
      </text>
    </comment>
    <comment ref="S40" authorId="0" shapeId="0">
      <text>
        <t>실측(계정 매핑 없음 — 모델값 직접) — 토스 일봉 분기 평균 ÷ BPS</t>
      </text>
    </comment>
    <comment ref="T40" authorId="0" shapeId="0">
      <text>
        <t>실측(계정 매핑 없음 — 모델값 직접) — 토스 일봉 분기 평균 ÷ BPS</t>
      </text>
    </comment>
    <comment ref="V40" authorId="0" shapeId="0">
      <text>
        <t>실측(계정 매핑 없음 — 모델값 직접) — 토스 일봉 분기 평균 ÷ BPS</t>
      </text>
    </comment>
    <comment ref="W40" authorId="0" shapeId="0">
      <text>
        <t>실측(계정 매핑 없음 — 모델값 직접) — 토스 일봉 분기 평균 ÷ BPS</t>
      </text>
    </comment>
    <comment ref="X40" authorId="0" shapeId="0">
      <text>
        <t>실측(계정 매핑 없음 — 모델값 직접) — 토스 일봉 분기 평균 ÷ BPS</t>
      </text>
    </comment>
    <comment ref="Y40" authorId="0" shapeId="0">
      <text>
        <t>실측(계정 매핑 없음 — 모델값 직접) — 토스 일봉 분기 평균 ÷ BPS</t>
      </text>
    </comment>
    <comment ref="AA40" authorId="0" shapeId="0">
      <text>
        <t>실측(계정 매핑 없음 — 모델값 직접) — 토스 일봉 분기 평균 ÷ BPS</t>
      </text>
    </comment>
    <comment ref="AB40" authorId="0" shapeId="0">
      <text>
        <t>실측(계정 매핑 없음 — 모델값 직접) — 토스 일봉 분기 평균 ÷ BPS</t>
      </text>
    </comment>
    <comment ref="AC40" authorId="0" shapeId="0">
      <text>
        <t>추정: 현재 종가 ÷ BPS(추정 포함)
[yoy]</t>
      </text>
    </comment>
    <comment ref="AD40" authorId="0" shapeId="0">
      <text>
        <t>추정: 현재 종가 ÷ BPS(추정 포함)
[yoy]</t>
      </text>
    </comment>
    <comment ref="AF40" authorId="0" shapeId="0">
      <text>
        <t>추정: 현재 종가 ÷ BPS(추정 포함)
[yoy]</t>
      </text>
    </comment>
    <comment ref="AG40" authorId="0" shapeId="0">
      <text>
        <t>추정: 현재 종가 ÷ BPS(추정 포함)
[yoy]</t>
      </text>
    </comment>
    <comment ref="AH40" authorId="0" shapeId="0">
      <text>
        <t>추정: 현재 종가 ÷ BPS(추정 포함)
[yoy]</t>
      </text>
    </comment>
    <comment ref="AI40" authorId="0" shapeId="0">
      <text>
        <t>추정: 현재 종가 ÷ BPS(추정 포함)
[yoy]</t>
      </text>
    </comment>
    <comment ref="AK40" authorId="0" shapeId="0">
      <text>
        <t>추정: 현재 종가 ÷ BPS(추정 포함)
[yoy]</t>
      </text>
    </comment>
    <comment ref="AL40" authorId="0" shapeId="0">
      <text>
        <t>추정: 현재 종가 ÷ BPS(추정 포함)
[yoy]</t>
      </text>
    </comment>
    <comment ref="AM40" authorId="0" shapeId="0">
      <text>
        <t>추정: 현재 종가 ÷ BPS(추정 포함)
[yoy]</t>
      </text>
    </comment>
    <comment ref="AN40" authorId="0" shapeId="0">
      <text>
        <t>추정: 현재 종가 ÷ BPS(추정 포함)
[yoy]</t>
      </text>
    </comment>
    <comment ref="E41" authorId="0" shapeId="0">
      <text>
        <t>실측(계정 매핑 없음 — 모델값 직접) — = 매출액(부문 미분리)</t>
      </text>
    </comment>
    <comment ref="G41" authorId="0" shapeId="0">
      <text>
        <t>실측(계정 매핑 없음 — 모델값 직접) — = 매출액(부문 미분리)</t>
      </text>
    </comment>
    <comment ref="H41" authorId="0" shapeId="0">
      <text>
        <t>실측(계정 매핑 없음 — 모델값 직접) — = 매출액(부문 미분리)</t>
      </text>
    </comment>
    <comment ref="I41" authorId="0" shapeId="0">
      <text>
        <t>실측(계정 매핑 없음 — 모델값 직접) — = 매출액(부문 미분리)</t>
      </text>
    </comment>
    <comment ref="J41" authorId="0" shapeId="0">
      <text>
        <t>실측(계정 매핑 없음 — 모델값 직접) — = 매출액(부문 미분리)</t>
      </text>
    </comment>
    <comment ref="L41" authorId="0" shapeId="0">
      <text>
        <t>실측(계정 매핑 없음 — 모델값 직접) — = 매출액(부문 미분리)</t>
      </text>
    </comment>
    <comment ref="M41" authorId="0" shapeId="0">
      <text>
        <t>실측(계정 매핑 없음 — 모델값 직접) — = 매출액(부문 미분리)</t>
      </text>
    </comment>
    <comment ref="N41" authorId="0" shapeId="0">
      <text>
        <t>실측(계정 매핑 없음 — 모델값 직접) — = 매출액(부문 미분리)</t>
      </text>
    </comment>
    <comment ref="O41" authorId="0" shapeId="0">
      <text>
        <t>실측(계정 매핑 없음 — 모델값 직접) — = 매출액(부문 미분리)</t>
      </text>
    </comment>
    <comment ref="Q41" authorId="0" shapeId="0">
      <text>
        <t>실측(계정 매핑 없음 — 모델값 직접) — = 매출액(부문 미분리)</t>
      </text>
    </comment>
    <comment ref="R41" authorId="0" shapeId="0">
      <text>
        <t>실측(계정 매핑 없음 — 모델값 직접) — = 매출액(부문 미분리)</t>
      </text>
    </comment>
    <comment ref="S41" authorId="0" shapeId="0">
      <text>
        <t>실측(계정 매핑 없음 — 모델값 직접) — = 매출액(부문 미분리)</t>
      </text>
    </comment>
    <comment ref="T41" authorId="0" shapeId="0">
      <text>
        <t>실측(계정 매핑 없음 — 모델값 직접) — = 매출액(부문 미분리)</t>
      </text>
    </comment>
    <comment ref="V41" authorId="0" shapeId="0">
      <text>
        <t>실측(계정 매핑 없음 — 모델값 직접) — = 매출액(부문 미분리)</t>
      </text>
    </comment>
    <comment ref="W41" authorId="0" shapeId="0">
      <text>
        <t>실측(계정 매핑 없음 — 모델값 직접) — = 매출액(부문 미분리)</t>
      </text>
    </comment>
    <comment ref="X41" authorId="0" shapeId="0">
      <text>
        <t>실측(계정 매핑 없음 — 모델값 직접) — = 매출액(부문 미분리)</t>
      </text>
    </comment>
    <comment ref="Y41" authorId="0" shapeId="0">
      <text>
        <t>실측(계정 매핑 없음 — 모델값 직접) — = 매출액(부문 미분리)</t>
      </text>
    </comment>
    <comment ref="AA41" authorId="0" shapeId="0">
      <text>
        <t>실측(계정 매핑 없음 — 모델값 직접) — = 매출액(부문 미분리)</t>
      </text>
    </comment>
    <comment ref="AB41" authorId="0" shapeId="0">
      <text>
        <t>실측(계정 매핑 없음 — 모델값 직접) — = 매출액(부문 미분리)</t>
      </text>
    </comment>
    <comment ref="AC41" authorId="0" shapeId="0">
      <text>
        <t>추정: = 매출액 추정(부문 미분리)
[ratio]</t>
      </text>
    </comment>
    <comment ref="AD41" authorId="0" shapeId="0">
      <text>
        <t>추정: = 매출액 추정(부문 미분리)
[ratio]</t>
      </text>
    </comment>
    <comment ref="AF41" authorId="0" shapeId="0">
      <text>
        <t>추정: = 매출액 추정(부문 미분리)
[ratio]</t>
      </text>
    </comment>
    <comment ref="AG41" authorId="0" shapeId="0">
      <text>
        <t>추정: = 매출액 추정(부문 미분리)
[ratio]</t>
      </text>
    </comment>
    <comment ref="AH41" authorId="0" shapeId="0">
      <text>
        <t>추정: = 매출액 추정(부문 미분리)
[ratio]</t>
      </text>
    </comment>
    <comment ref="AI41" authorId="0" shapeId="0">
      <text>
        <t>추정: = 매출액 추정(부문 미분리)
[ratio]</t>
      </text>
    </comment>
    <comment ref="AK41" authorId="0" shapeId="0">
      <text>
        <t>추정: = 매출액 추정(부문 미분리)
[ratio]</t>
      </text>
    </comment>
    <comment ref="AL41" authorId="0" shapeId="0">
      <text>
        <t>추정: = 매출액 추정(부문 미분리)
[ratio]</t>
      </text>
    </comment>
    <comment ref="AM41" authorId="0" shapeId="0">
      <text>
        <t>추정: = 매출액 추정(부문 미분리)
[ratio]</t>
      </text>
    </comment>
    <comment ref="AN41" authorId="0" shapeId="0">
      <text>
        <t>추정: = 매출액 추정(부문 미분리)
[ratio]</t>
      </text>
    </comment>
    <comment ref="E42" authorId="0" shapeId="0">
      <text>
        <t>실측(계정 매핑 없음 — 모델값 직접) — = 영업이익(부문 미분리)</t>
      </text>
    </comment>
    <comment ref="G42" authorId="0" shapeId="0">
      <text>
        <t>실측(계정 매핑 없음 — 모델값 직접) — = 영업이익(부문 미분리)</t>
      </text>
    </comment>
    <comment ref="H42" authorId="0" shapeId="0">
      <text>
        <t>실측(계정 매핑 없음 — 모델값 직접) — = 영업이익(부문 미분리)</t>
      </text>
    </comment>
    <comment ref="I42" authorId="0" shapeId="0">
      <text>
        <t>실측(계정 매핑 없음 — 모델값 직접) — = 영업이익(부문 미분리)</t>
      </text>
    </comment>
    <comment ref="J42" authorId="0" shapeId="0">
      <text>
        <t>실측(계정 매핑 없음 — 모델값 직접) — = 영업이익(부문 미분리)</t>
      </text>
    </comment>
    <comment ref="L42" authorId="0" shapeId="0">
      <text>
        <t>실측(계정 매핑 없음 — 모델값 직접) — = 영업이익(부문 미분리)</t>
      </text>
    </comment>
    <comment ref="M42" authorId="0" shapeId="0">
      <text>
        <t>실측(계정 매핑 없음 — 모델값 직접) — = 영업이익(부문 미분리)</t>
      </text>
    </comment>
    <comment ref="N42" authorId="0" shapeId="0">
      <text>
        <t>실측(계정 매핑 없음 — 모델값 직접) — = 영업이익(부문 미분리)</t>
      </text>
    </comment>
    <comment ref="O42" authorId="0" shapeId="0">
      <text>
        <t>실측(계정 매핑 없음 — 모델값 직접) — = 영업이익(부문 미분리)</t>
      </text>
    </comment>
    <comment ref="Q42" authorId="0" shapeId="0">
      <text>
        <t>실측(계정 매핑 없음 — 모델값 직접) — = 영업이익(부문 미분리)</t>
      </text>
    </comment>
    <comment ref="R42" authorId="0" shapeId="0">
      <text>
        <t>실측(계정 매핑 없음 — 모델값 직접) — = 영업이익(부문 미분리)</t>
      </text>
    </comment>
    <comment ref="S42" authorId="0" shapeId="0">
      <text>
        <t>실측(계정 매핑 없음 — 모델값 직접) — = 영업이익(부문 미분리)</t>
      </text>
    </comment>
    <comment ref="T42" authorId="0" shapeId="0">
      <text>
        <t>실측(계정 매핑 없음 — 모델값 직접) — = 영업이익(부문 미분리)</t>
      </text>
    </comment>
    <comment ref="V42" authorId="0" shapeId="0">
      <text>
        <t>실측(계정 매핑 없음 — 모델값 직접) — = 영업이익(부문 미분리)</t>
      </text>
    </comment>
    <comment ref="W42" authorId="0" shapeId="0">
      <text>
        <t>실측(계정 매핑 없음 — 모델값 직접) — = 영업이익(부문 미분리)</t>
      </text>
    </comment>
    <comment ref="X42" authorId="0" shapeId="0">
      <text>
        <t>실측(계정 매핑 없음 — 모델값 직접) — = 영업이익(부문 미분리)</t>
      </text>
    </comment>
    <comment ref="Y42" authorId="0" shapeId="0">
      <text>
        <t>실측(계정 매핑 없음 — 모델값 직접) — = 영업이익(부문 미분리)</t>
      </text>
    </comment>
    <comment ref="AA42" authorId="0" shapeId="0">
      <text>
        <t>실측(계정 매핑 없음 — 모델값 직접) — = 영업이익(부문 미분리)</t>
      </text>
    </comment>
    <comment ref="AB42" authorId="0" shapeId="0">
      <text>
        <t>실측(계정 매핑 없음 — 모델값 직접) — = 영업이익(부문 미분리)</t>
      </text>
    </comment>
    <comment ref="AC42" authorId="0" shapeId="0">
      <text>
        <t>추정: = 매출액 × OPM(부문 미분리)
[ratio]</t>
      </text>
    </comment>
    <comment ref="AD42" authorId="0" shapeId="0">
      <text>
        <t>추정: = 매출액 × OPM(부문 미분리)
[ratio]</t>
      </text>
    </comment>
    <comment ref="AF42" authorId="0" shapeId="0">
      <text>
        <t>추정: = 매출액 × OPM(부문 미분리)
[ratio]</t>
      </text>
    </comment>
    <comment ref="AG42" authorId="0" shapeId="0">
      <text>
        <t>추정: = 매출액 × OPM(부문 미분리)
[ratio]</t>
      </text>
    </comment>
    <comment ref="AH42" authorId="0" shapeId="0">
      <text>
        <t>추정: = 매출액 × OPM(부문 미분리)
[ratio]</t>
      </text>
    </comment>
    <comment ref="AI42" authorId="0" shapeId="0">
      <text>
        <t>추정: = 매출액 × OPM(부문 미분리)
[ratio]</t>
      </text>
    </comment>
    <comment ref="AK42" authorId="0" shapeId="0">
      <text>
        <t>추정: = 매출액 × OPM(부문 미분리)
[ratio]</t>
      </text>
    </comment>
    <comment ref="AL42" authorId="0" shapeId="0">
      <text>
        <t>추정: = 매출액 × OPM(부문 미분리)
[ratio]</t>
      </text>
    </comment>
    <comment ref="AM42" authorId="0" shapeId="0">
      <text>
        <t>추정: = 매출액 × OPM(부문 미분리)
[ratio]</t>
      </text>
    </comment>
    <comment ref="AN4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주석 비용 계정을 음수로 저장(0 아닌 분기 과반) → 금융손익 세부 계산에서 부호 반전: 이자비용, 외환차손, 외화환산손실, 파생상품손실 — kship_fin 부호 규약 확인 필요 /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2,244억) → 지배NI 28,392억·EPS·FY2026 합계·TTM PER 에 그대로 포함 — 처분이익 등 일회성 여부는 주석 확인 전까지 미확정(12M fwd EPS 에는 미포함)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254000</v>
      </c>
      <c r="W15" s="18" t="n">
        <v>312500</v>
      </c>
      <c r="X15" s="18" t="n">
        <v>381000</v>
      </c>
      <c r="Y15" s="18" t="n">
        <v>419500</v>
      </c>
      <c r="Z15" s="9" t="n"/>
      <c r="AA15" s="18" t="n">
        <v>481500</v>
      </c>
      <c r="AB15" s="19" t="n">
        <v>489500</v>
      </c>
      <c r="AC15" s="20" t="n">
        <v>470500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295000</v>
      </c>
      <c r="W16" s="18" t="n">
        <v>344000</v>
      </c>
      <c r="X16" s="18" t="n">
        <v>443000</v>
      </c>
      <c r="Y16" s="18" t="n">
        <v>467000</v>
      </c>
      <c r="Z16" s="9" t="n"/>
      <c r="AA16" s="18" t="n">
        <v>731000</v>
      </c>
      <c r="AB16" s="19" t="n">
        <v>656000</v>
      </c>
      <c r="AC16" s="20" t="n">
        <v>514000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313000</v>
      </c>
      <c r="Y17" s="18" t="n">
        <v>367000</v>
      </c>
      <c r="Z17" s="9" t="n"/>
      <c r="AA17" s="18" t="n">
        <v>382500</v>
      </c>
      <c r="AB17" s="19" t="n">
        <v>383500</v>
      </c>
      <c r="AC17" s="20" t="n">
        <v>336000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263465.5</v>
      </c>
      <c r="W18" s="18" t="n">
        <v>276383.3</v>
      </c>
      <c r="X18" s="18" t="n">
        <v>380176.9</v>
      </c>
      <c r="Y18" s="18" t="n">
        <v>416178</v>
      </c>
      <c r="Z18" s="9" t="n"/>
      <c r="AA18" s="18" t="n">
        <v>503618.6</v>
      </c>
      <c r="AB18" s="19" t="n">
        <v>535893.4</v>
      </c>
      <c r="AC18" s="20" t="n">
        <v>450314.5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</v>
      </c>
      <c r="AD21" s="24" t="n">
        <v>0.00234</v>
      </c>
      <c r="AE21" s="25" t="n"/>
      <c r="AF21" s="24" t="n">
        <v>0.00234</v>
      </c>
      <c r="AG21" s="24" t="n">
        <v>0.00234</v>
      </c>
      <c r="AH21" s="24" t="n">
        <v>0.001171</v>
      </c>
      <c r="AI21" s="24" t="n">
        <v>0.00117</v>
      </c>
      <c r="AJ21" s="25" t="n"/>
      <c r="AK21" s="24" t="n">
        <v>0.00117</v>
      </c>
      <c r="AL21" s="24" t="n">
        <v>0.00117</v>
      </c>
      <c r="AM21" s="24" t="n">
        <v>0.000585</v>
      </c>
      <c r="AN21" s="24" t="n">
        <v>0.000585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0.18874</v>
      </c>
      <c r="AD22" s="24" t="n">
        <v>0.18874</v>
      </c>
      <c r="AE22" s="25">
        <f>IFERROR(subQ!AE8/subQ!AE5,"")</f>
        <v/>
      </c>
      <c r="AF22" s="24" t="n">
        <v>0.18874</v>
      </c>
      <c r="AG22" s="24" t="n">
        <v>0.18874</v>
      </c>
      <c r="AH22" s="24" t="n">
        <v>0.18874</v>
      </c>
      <c r="AI22" s="24" t="n">
        <v>0.18874</v>
      </c>
      <c r="AJ22" s="25">
        <f>IFERROR(subQ!AJ8/subQ!AJ5,"")</f>
        <v/>
      </c>
      <c r="AK22" s="24" t="n">
        <v>0.18874</v>
      </c>
      <c r="AL22" s="24" t="n">
        <v>0.18874</v>
      </c>
      <c r="AM22" s="24" t="n">
        <v>0.18874</v>
      </c>
      <c r="AN22" s="24" t="n">
        <v>0.18874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</v>
      </c>
      <c r="AD23" s="24" t="n">
        <v>0.068022</v>
      </c>
      <c r="AE23" s="25">
        <f>IFERROR(subQ!AE9/subQ!AE5,"")</f>
        <v/>
      </c>
      <c r="AF23" s="24" t="n">
        <v>0.068022</v>
      </c>
      <c r="AG23" s="24" t="n">
        <v>0.068022</v>
      </c>
      <c r="AH23" s="24" t="n">
        <v>0.068022</v>
      </c>
      <c r="AI23" s="24" t="n">
        <v>0.068022</v>
      </c>
      <c r="AJ23" s="25">
        <f>IFERROR(subQ!AJ9/subQ!AJ5,"")</f>
        <v/>
      </c>
      <c r="AK23" s="24" t="n">
        <v>0.068022</v>
      </c>
      <c r="AL23" s="24" t="n">
        <v>0.068022</v>
      </c>
      <c r="AM23" s="24" t="n">
        <v>0.068022</v>
      </c>
      <c r="AN23" s="24" t="n">
        <v>0.068022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IFERROR(subQ!J44/subQ!E44-1,"")</f>
        <v/>
      </c>
      <c r="K24" s="22" t="n"/>
      <c r="L24" s="21">
        <f>IFERROR(subQ!L44/subQ!G44-1,"")</f>
        <v/>
      </c>
      <c r="M24" s="21">
        <f>IFERROR(subQ!M44/subQ!H44-1,"")</f>
        <v/>
      </c>
      <c r="N24" s="21">
        <f>IFERROR(subQ!N44/subQ!I44-1,"")</f>
        <v/>
      </c>
      <c r="O24" s="21">
        <f>IFERROR(subQ!O44/subQ!J44-1,"")</f>
        <v/>
      </c>
      <c r="P24" s="22" t="n"/>
      <c r="Q24" s="21">
        <f>IFERROR(subQ!Q44/subQ!L44-1,"")</f>
        <v/>
      </c>
      <c r="R24" s="21">
        <f>IFERROR(subQ!R44/subQ!M44-1,"")</f>
        <v/>
      </c>
      <c r="S24" s="21">
        <f>IFERROR(subQ!S44/subQ!N44-1,"")</f>
        <v/>
      </c>
      <c r="T24" s="21">
        <f>IFERROR(subQ!T44/subQ!O44-1,"")</f>
        <v/>
      </c>
      <c r="U24" s="22" t="n"/>
      <c r="V24" s="21">
        <f>IFERROR(subQ!V44/subQ!Q44-1,"")</f>
        <v/>
      </c>
      <c r="W24" s="21">
        <f>IFERROR(subQ!W44/subQ!R44-1,"")</f>
        <v/>
      </c>
      <c r="X24" s="21">
        <f>IFERROR(subQ!X44/subQ!S44-1,"")</f>
        <v/>
      </c>
      <c r="Y24" s="21">
        <f>IFERROR(subQ!Y44/subQ!T44-1,"")</f>
        <v/>
      </c>
      <c r="Z24" s="22" t="n"/>
      <c r="AA24" s="21">
        <f>IFERROR(subQ!AA44/subQ!V44-1,"")</f>
        <v/>
      </c>
      <c r="AB24" s="23">
        <f>IFERROR(subQ!AB44/subQ!W44-1,"")</f>
        <v/>
      </c>
      <c r="AC24" s="24" t="n">
        <v>-0.059474</v>
      </c>
      <c r="AD24" s="24" t="n">
        <v>0.592506</v>
      </c>
      <c r="AE24" s="25" t="n"/>
      <c r="AF24" s="24" t="n">
        <v>0.254613</v>
      </c>
      <c r="AG24" s="24" t="n">
        <v>-0.047619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-722.67</v>
      </c>
      <c r="AD25" s="29" t="n">
        <v>-722.3200000000001</v>
      </c>
      <c r="AE25" s="30">
        <f>subQ!AE11</f>
        <v/>
      </c>
      <c r="AF25" s="29" t="n">
        <v>-722.01</v>
      </c>
      <c r="AG25" s="29" t="n">
        <v>-721.66</v>
      </c>
      <c r="AH25" s="29" t="n">
        <v>-722.4</v>
      </c>
      <c r="AI25" s="29" t="n">
        <v>-722.0599999999999</v>
      </c>
      <c r="AJ25" s="30">
        <f>subQ!AJ11</f>
        <v/>
      </c>
      <c r="AK25" s="29" t="n">
        <v>-721.75</v>
      </c>
      <c r="AL25" s="29" t="n">
        <v>-721.39</v>
      </c>
      <c r="AM25" s="29" t="n">
        <v>-722.14</v>
      </c>
      <c r="AN25" s="29" t="n">
        <v>-721.79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-722.67</v>
      </c>
      <c r="AD26" s="29" t="n">
        <v>-722.3200000000001</v>
      </c>
      <c r="AE26" s="30">
        <f>subQ!AE12</f>
        <v/>
      </c>
      <c r="AF26" s="29" t="n">
        <v>-722.01</v>
      </c>
      <c r="AG26" s="29" t="n">
        <v>-721.66</v>
      </c>
      <c r="AH26" s="29" t="n">
        <v>-722.4</v>
      </c>
      <c r="AI26" s="29" t="n">
        <v>-722.0599999999999</v>
      </c>
      <c r="AJ26" s="30">
        <f>subQ!AJ12</f>
        <v/>
      </c>
      <c r="AK26" s="29" t="n">
        <v>-721.75</v>
      </c>
      <c r="AL26" s="29" t="n">
        <v>-721.39</v>
      </c>
      <c r="AM26" s="29" t="n">
        <v>-722.14</v>
      </c>
      <c r="AN26" s="29" t="n">
        <v>-721.79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26.09</v>
      </c>
      <c r="AD31" s="29" t="n">
        <v>26.09</v>
      </c>
      <c r="AE31" s="30">
        <f>subQ!AE17</f>
        <v/>
      </c>
      <c r="AF31" s="29" t="n">
        <v>26.09</v>
      </c>
      <c r="AG31" s="29" t="n">
        <v>26.09</v>
      </c>
      <c r="AH31" s="29" t="n">
        <v>26.09</v>
      </c>
      <c r="AI31" s="29" t="n">
        <v>26.09</v>
      </c>
      <c r="AJ31" s="30">
        <f>subQ!AJ17</f>
        <v/>
      </c>
      <c r="AK31" s="29" t="n">
        <v>26.09</v>
      </c>
      <c r="AL31" s="29" t="n">
        <v>26.09</v>
      </c>
      <c r="AM31" s="29" t="n">
        <v>26.09</v>
      </c>
      <c r="AN31" s="29" t="n">
        <v>26.09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0.22001</v>
      </c>
      <c r="AD32" s="24" t="n">
        <v>0.219997</v>
      </c>
      <c r="AE32" s="25">
        <f>IFERROR(subQ!AE19/subQ!AE18,"")</f>
        <v/>
      </c>
      <c r="AF32" s="24" t="n">
        <v>0.220011</v>
      </c>
      <c r="AG32" s="24" t="n">
        <v>0.220007</v>
      </c>
      <c r="AH32" s="24" t="n">
        <v>0.220002</v>
      </c>
      <c r="AI32" s="24" t="n">
        <v>0.219997</v>
      </c>
      <c r="AJ32" s="25">
        <f>IFERROR(subQ!AJ19/subQ!AJ18,"")</f>
        <v/>
      </c>
      <c r="AK32" s="24" t="n">
        <v>0.220003</v>
      </c>
      <c r="AL32" s="24" t="n">
        <v>0.219996</v>
      </c>
      <c r="AM32" s="24" t="n">
        <v>0.219997</v>
      </c>
      <c r="AN32" s="24" t="n">
        <v>0.220008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drv:중단사업이익</t>
        </is>
      </c>
      <c r="B34" s="2" t="inlineStr">
        <is>
          <t>yoy</t>
        </is>
      </c>
      <c r="C34" t="inlineStr">
        <is>
          <t>중단사업이익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drv:감가상각비</t>
        </is>
      </c>
      <c r="B35" s="2" t="inlineStr">
        <is>
          <t>yoy</t>
        </is>
      </c>
      <c r="C35" t="inlineStr">
        <is>
          <t>감가상각비 YoY</t>
        </is>
      </c>
      <c r="E35" s="21" t="n"/>
      <c r="F35" s="22" t="n"/>
      <c r="G35" s="21" t="n"/>
      <c r="H35" s="21" t="n"/>
      <c r="I35" s="21" t="n"/>
      <c r="J35" s="21">
        <f>IFERROR(subQ!J23/subQ!E23-1,"")</f>
        <v/>
      </c>
      <c r="K35" s="22" t="n"/>
      <c r="L35" s="21">
        <f>IFERROR(subQ!L23/subQ!G23-1,"")</f>
        <v/>
      </c>
      <c r="M35" s="21">
        <f>IFERROR(subQ!M23/subQ!H23-1,"")</f>
        <v/>
      </c>
      <c r="N35" s="21">
        <f>IFERROR(subQ!N23/subQ!I23-1,"")</f>
        <v/>
      </c>
      <c r="O35" s="21">
        <f>IFERROR(subQ!O23/subQ!J23-1,"")</f>
        <v/>
      </c>
      <c r="P35" s="22" t="n"/>
      <c r="Q35" s="21">
        <f>IFERROR(subQ!Q23/subQ!L23-1,"")</f>
        <v/>
      </c>
      <c r="R35" s="21">
        <f>IFERROR(subQ!R23/subQ!M23-1,"")</f>
        <v/>
      </c>
      <c r="S35" s="21">
        <f>IFERROR(subQ!S23/subQ!N23-1,"")</f>
        <v/>
      </c>
      <c r="T35" s="21">
        <f>IFERROR(subQ!T23/subQ!O23-1,"")</f>
        <v/>
      </c>
      <c r="U35" s="22" t="n"/>
      <c r="V35" s="21">
        <f>IFERROR(subQ!V23/subQ!Q23-1,"")</f>
        <v/>
      </c>
      <c r="W35" s="21">
        <f>IFERROR(subQ!W23/subQ!R23-1,"")</f>
        <v/>
      </c>
      <c r="X35" s="21">
        <f>IFERROR(subQ!X23/subQ!S23-1,"")</f>
        <v/>
      </c>
      <c r="Y35" s="21">
        <f>IFERROR(subQ!Y23/subQ!T23-1,"")</f>
        <v/>
      </c>
      <c r="Z35" s="22" t="n"/>
      <c r="AA35" s="21">
        <f>IFERROR(subQ!AA23/subQ!V23-1,"")</f>
        <v/>
      </c>
      <c r="AB35" s="23">
        <f>IFERROR(subQ!AB23/subQ!W23-1,"")</f>
        <v/>
      </c>
      <c r="AC35" s="24" t="n">
        <v>-1.522668</v>
      </c>
      <c r="AD35" s="24" t="n">
        <v>-0.759791</v>
      </c>
      <c r="AE35" s="25" t="n"/>
      <c r="AF35" s="24" t="n">
        <v>-0.009724999999999999</v>
      </c>
      <c r="AG35" s="24" t="n">
        <v>0.009925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drv:EBITDA</t>
        </is>
      </c>
      <c r="B36" s="2" t="inlineStr">
        <is>
          <t>yoy</t>
        </is>
      </c>
      <c r="C36" t="inlineStr">
        <is>
          <t>EBITDA YoY</t>
        </is>
      </c>
      <c r="E36" s="21" t="n"/>
      <c r="F36" s="22" t="n"/>
      <c r="G36" s="21" t="n"/>
      <c r="H36" s="21" t="n"/>
      <c r="I36" s="21" t="n"/>
      <c r="J36" s="21">
        <f>IFERROR(subQ!J24/subQ!E24-1,"")</f>
        <v/>
      </c>
      <c r="K36" s="22" t="n"/>
      <c r="L36" s="21">
        <f>IFERROR(subQ!L24/subQ!G24-1,"")</f>
        <v/>
      </c>
      <c r="M36" s="21">
        <f>IFERROR(subQ!M24/subQ!H24-1,"")</f>
        <v/>
      </c>
      <c r="N36" s="21">
        <f>IFERROR(subQ!N24/subQ!I24-1,"")</f>
        <v/>
      </c>
      <c r="O36" s="21">
        <f>IFERROR(subQ!O24/subQ!J24-1,"")</f>
        <v/>
      </c>
      <c r="P36" s="22" t="n"/>
      <c r="Q36" s="21">
        <f>IFERROR(subQ!Q24/subQ!L24-1,"")</f>
        <v/>
      </c>
      <c r="R36" s="21">
        <f>IFERROR(subQ!R24/subQ!M24-1,"")</f>
        <v/>
      </c>
      <c r="S36" s="21">
        <f>IFERROR(subQ!S24/subQ!N24-1,"")</f>
        <v/>
      </c>
      <c r="T36" s="21">
        <f>IFERROR(subQ!T24/subQ!O24-1,"")</f>
        <v/>
      </c>
      <c r="U36" s="22" t="n"/>
      <c r="V36" s="21">
        <f>IFERROR(subQ!V24/subQ!Q24-1,"")</f>
        <v/>
      </c>
      <c r="W36" s="21">
        <f>IFERROR(subQ!W24/subQ!R24-1,"")</f>
        <v/>
      </c>
      <c r="X36" s="21">
        <f>IFERROR(subQ!X24/subQ!S24-1,"")</f>
        <v/>
      </c>
      <c r="Y36" s="21">
        <f>IFERROR(subQ!Y24/subQ!T24-1,"")</f>
        <v/>
      </c>
      <c r="Z36" s="22" t="n"/>
      <c r="AA36" s="21">
        <f>IFERROR(subQ!AA24/subQ!V24-1,"")</f>
        <v/>
      </c>
      <c r="AB36" s="23">
        <f>IFERROR(subQ!AB24/subQ!W24-1,"")</f>
        <v/>
      </c>
      <c r="AC36" s="24" t="n">
        <v>-4.374832</v>
      </c>
      <c r="AD36" s="24" t="n">
        <v>-0.560745</v>
      </c>
      <c r="AE36" s="25" t="n"/>
      <c r="AF36" s="24" t="n">
        <v>0.120168</v>
      </c>
      <c r="AG36" s="24" t="n">
        <v>-0.021905</v>
      </c>
      <c r="AH36" s="24" t="n">
        <v>0.000634</v>
      </c>
      <c r="AI36" s="24" t="n">
        <v>0.000623</v>
      </c>
      <c r="AJ36" s="25" t="n"/>
      <c r="AK36" s="24" t="n">
        <v>0.000638</v>
      </c>
      <c r="AL36" s="24" t="n">
        <v>0.000672</v>
      </c>
      <c r="AM36" s="24" t="n">
        <v>0.000319</v>
      </c>
      <c r="AN36" s="24" t="n">
        <v>0.000317</v>
      </c>
      <c r="AO36" s="25" t="n"/>
    </row>
    <row r="37">
      <c r="A37" s="12" t="inlineStr">
        <is>
          <t>drv:부채총계</t>
        </is>
      </c>
      <c r="B37" s="2" t="inlineStr">
        <is>
          <t>qoq</t>
        </is>
      </c>
      <c r="C37" t="inlineStr">
        <is>
          <t>부채총계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drv:자본총계</t>
        </is>
      </c>
      <c r="B38" s="2" t="inlineStr">
        <is>
          <t>roll</t>
        </is>
      </c>
      <c r="C38" t="inlineStr">
        <is>
          <t>자본총계 기타변동(배당 등, 억원)</t>
        </is>
      </c>
      <c r="E38" s="26" t="n"/>
      <c r="F38" s="27" t="n"/>
      <c r="G38" s="26">
        <f>IFERROR(subQ!E27+subQ!G20-subQ!G27,"")</f>
        <v/>
      </c>
      <c r="H38" s="26">
        <f>IFERROR(subQ!G27+subQ!H20-subQ!H27,"")</f>
        <v/>
      </c>
      <c r="I38" s="26">
        <f>IFERROR(subQ!H27+subQ!I20-subQ!I27,"")</f>
        <v/>
      </c>
      <c r="J38" s="26">
        <f>IFERROR(subQ!I27+subQ!J20-subQ!J27,"")</f>
        <v/>
      </c>
      <c r="K38" s="27" t="n"/>
      <c r="L38" s="26">
        <f>IFERROR(subQ!J27+subQ!L20-subQ!L27,"")</f>
        <v/>
      </c>
      <c r="M38" s="26">
        <f>IFERROR(subQ!L27+subQ!M20-subQ!M27,"")</f>
        <v/>
      </c>
      <c r="N38" s="26">
        <f>IFERROR(subQ!M27+subQ!N20-subQ!N27,"")</f>
        <v/>
      </c>
      <c r="O38" s="26">
        <f>IFERROR(subQ!N27+subQ!O20-subQ!O27,"")</f>
        <v/>
      </c>
      <c r="P38" s="27" t="n"/>
      <c r="Q38" s="26">
        <f>IFERROR(subQ!O27+subQ!Q20-subQ!Q27,"")</f>
        <v/>
      </c>
      <c r="R38" s="26">
        <f>IFERROR(subQ!Q27+subQ!R20-subQ!R27,"")</f>
        <v/>
      </c>
      <c r="S38" s="26">
        <f>IFERROR(subQ!R27+subQ!S20-subQ!S27,"")</f>
        <v/>
      </c>
      <c r="T38" s="26">
        <f>IFERROR(subQ!S27+subQ!T20-subQ!T27,"")</f>
        <v/>
      </c>
      <c r="U38" s="27" t="n"/>
      <c r="V38" s="26">
        <f>IFERROR(subQ!T27+subQ!V20-subQ!V27,"")</f>
        <v/>
      </c>
      <c r="W38" s="26">
        <f>IFERROR(subQ!V27+subQ!W20-subQ!W27,"")</f>
        <v/>
      </c>
      <c r="X38" s="26">
        <f>IFERROR(subQ!W27+subQ!X20-subQ!X27,"")</f>
        <v/>
      </c>
      <c r="Y38" s="26">
        <f>IFERROR(subQ!X27+subQ!Y20-subQ!Y27,"")</f>
        <v/>
      </c>
      <c r="Z38" s="27" t="n"/>
      <c r="AA38" s="26">
        <f>IFERROR(subQ!Y27+subQ!AA20-subQ!AA27,"")</f>
        <v/>
      </c>
      <c r="AB38" s="28">
        <f>IFERROR(subQ!AA27+subQ!AB20-subQ!AB27,"")</f>
        <v/>
      </c>
      <c r="AC38" s="29" t="n">
        <v>0.0002</v>
      </c>
      <c r="AD38" s="29" t="n">
        <v>0.01</v>
      </c>
      <c r="AE38" s="30" t="n"/>
      <c r="AF38" s="29" t="n">
        <v>0</v>
      </c>
      <c r="AG38" s="29" t="n">
        <v>1103.12</v>
      </c>
      <c r="AH38" s="29" t="n">
        <v>0</v>
      </c>
      <c r="AI38" s="29" t="n">
        <v>-0</v>
      </c>
      <c r="AJ38" s="30" t="n"/>
      <c r="AK38" s="29" t="n">
        <v>0</v>
      </c>
      <c r="AL38" s="29" t="n">
        <v>1103.12</v>
      </c>
      <c r="AM38" s="29" t="n">
        <v>-0.01</v>
      </c>
      <c r="AN38" s="29" t="n">
        <v>0.01</v>
      </c>
      <c r="AO38" s="30" t="n"/>
    </row>
    <row r="39">
      <c r="A39" s="12" t="inlineStr">
        <is>
          <t>drv:지배주주지분</t>
        </is>
      </c>
      <c r="B39" s="2" t="inlineStr">
        <is>
          <t>roll</t>
        </is>
      </c>
      <c r="C39" t="inlineStr">
        <is>
          <t>지배주주지분 기타변동(배당 등, 억원)</t>
        </is>
      </c>
      <c r="E39" s="26" t="n"/>
      <c r="F39" s="27" t="n"/>
      <c r="G39" s="26">
        <f>IFERROR(subQ!E28+subQ!G21-subQ!G28,"")</f>
        <v/>
      </c>
      <c r="H39" s="26">
        <f>IFERROR(subQ!G28+subQ!H21-subQ!H28,"")</f>
        <v/>
      </c>
      <c r="I39" s="26">
        <f>IFERROR(subQ!H28+subQ!I21-subQ!I28,"")</f>
        <v/>
      </c>
      <c r="J39" s="26">
        <f>IFERROR(subQ!I28+subQ!J21-subQ!J28,"")</f>
        <v/>
      </c>
      <c r="K39" s="27" t="n"/>
      <c r="L39" s="26">
        <f>IFERROR(subQ!J28+subQ!L21-subQ!L28,"")</f>
        <v/>
      </c>
      <c r="M39" s="26">
        <f>IFERROR(subQ!L28+subQ!M21-subQ!M28,"")</f>
        <v/>
      </c>
      <c r="N39" s="26">
        <f>IFERROR(subQ!M28+subQ!N21-subQ!N28,"")</f>
        <v/>
      </c>
      <c r="O39" s="26">
        <f>IFERROR(subQ!N28+subQ!O21-subQ!O28,"")</f>
        <v/>
      </c>
      <c r="P39" s="27" t="n"/>
      <c r="Q39" s="26">
        <f>IFERROR(subQ!O28+subQ!Q21-subQ!Q28,"")</f>
        <v/>
      </c>
      <c r="R39" s="26">
        <f>IFERROR(subQ!Q28+subQ!R21-subQ!R28,"")</f>
        <v/>
      </c>
      <c r="S39" s="26">
        <f>IFERROR(subQ!R28+subQ!S21-subQ!S28,"")</f>
        <v/>
      </c>
      <c r="T39" s="26">
        <f>IFERROR(subQ!S28+subQ!T21-subQ!T28,"")</f>
        <v/>
      </c>
      <c r="U39" s="27" t="n"/>
      <c r="V39" s="26">
        <f>IFERROR(subQ!T28+subQ!V21-subQ!V28,"")</f>
        <v/>
      </c>
      <c r="W39" s="26">
        <f>IFERROR(subQ!V28+subQ!W21-subQ!W28,"")</f>
        <v/>
      </c>
      <c r="X39" s="26">
        <f>IFERROR(subQ!W28+subQ!X21-subQ!X28,"")</f>
        <v/>
      </c>
      <c r="Y39" s="26">
        <f>IFERROR(subQ!X28+subQ!Y21-subQ!Y28,"")</f>
        <v/>
      </c>
      <c r="Z39" s="27" t="n"/>
      <c r="AA39" s="26">
        <f>IFERROR(subQ!Y28+subQ!AA21-subQ!AA28,"")</f>
        <v/>
      </c>
      <c r="AB39" s="28">
        <f>IFERROR(subQ!AA28+subQ!AB21-subQ!AB28,"")</f>
        <v/>
      </c>
      <c r="AC39" s="29" t="n">
        <v>0.0002</v>
      </c>
      <c r="AD39" s="29" t="n">
        <v>0.01</v>
      </c>
      <c r="AE39" s="30" t="n"/>
      <c r="AF39" s="29" t="n">
        <v>0</v>
      </c>
      <c r="AG39" s="29" t="n">
        <v>1103.12</v>
      </c>
      <c r="AH39" s="29" t="n">
        <v>0</v>
      </c>
      <c r="AI39" s="29" t="n">
        <v>-0</v>
      </c>
      <c r="AJ39" s="30" t="n"/>
      <c r="AK39" s="29" t="n">
        <v>0</v>
      </c>
      <c r="AL39" s="29" t="n">
        <v>1103.12</v>
      </c>
      <c r="AM39" s="29" t="n">
        <v>-0.01</v>
      </c>
      <c r="AN39" s="29" t="n">
        <v>0.01</v>
      </c>
      <c r="AO39" s="30" t="n"/>
    </row>
    <row r="40">
      <c r="A40" s="12" t="inlineStr">
        <is>
          <t>drv:총차입금</t>
        </is>
      </c>
      <c r="B40" s="2" t="inlineStr">
        <is>
          <t>qoq</t>
        </is>
      </c>
      <c r="C40" t="inlineStr">
        <is>
          <t>총차입금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-0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drv:순차입금</t>
        </is>
      </c>
      <c r="B41" s="2" t="inlineStr">
        <is>
          <t>qoq</t>
        </is>
      </c>
      <c r="C41" t="inlineStr">
        <is>
          <t>순차입금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-0.007868999999999999</v>
      </c>
      <c r="AD41" s="24" t="n">
        <v>-0.007062</v>
      </c>
      <c r="AE41" s="25" t="n"/>
      <c r="AF41" s="24" t="n">
        <v>-0.008049000000000001</v>
      </c>
      <c r="AG41" s="24" t="n">
        <v>0.017259</v>
      </c>
      <c r="AH41" s="24" t="n">
        <v>-0.007946</v>
      </c>
      <c r="AI41" s="24" t="n">
        <v>-0.007134</v>
      </c>
      <c r="AJ41" s="25" t="n"/>
      <c r="AK41" s="24" t="n">
        <v>-0.008128</v>
      </c>
      <c r="AL41" s="24" t="n">
        <v>0.017332</v>
      </c>
      <c r="AM41" s="24" t="n">
        <v>-0.008012999999999999</v>
      </c>
      <c r="AN41" s="24" t="n">
        <v>-0.007196</v>
      </c>
      <c r="AO41" s="25" t="n"/>
    </row>
    <row r="42">
      <c r="A42" s="12" t="inlineStr">
        <is>
          <t>drv:이자발생자산</t>
        </is>
      </c>
      <c r="B42" s="2" t="inlineStr">
        <is>
          <t>qoq</t>
        </is>
      </c>
      <c r="C42" t="inlineStr">
        <is>
          <t>이자발생자산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0.003069</v>
      </c>
      <c r="AD42" s="24" t="n">
        <v>0.002724</v>
      </c>
      <c r="AE42" s="25" t="n"/>
      <c r="AF42" s="24" t="n">
        <v>0.003074</v>
      </c>
      <c r="AG42" s="24" t="n">
        <v>-0.006519</v>
      </c>
      <c r="AH42" s="24" t="n">
        <v>0.003073</v>
      </c>
      <c r="AI42" s="24" t="n">
        <v>0.002729</v>
      </c>
      <c r="AJ42" s="25" t="n"/>
      <c r="AK42" s="24" t="n">
        <v>0.003079</v>
      </c>
      <c r="AL42" s="24" t="n">
        <v>-0.006491</v>
      </c>
      <c r="AM42" s="24" t="n">
        <v>0.003073</v>
      </c>
      <c r="AN42" s="24" t="n">
        <v>0.002729</v>
      </c>
      <c r="AO42" s="25" t="n"/>
    </row>
    <row r="43">
      <c r="A43" s="12" t="inlineStr">
        <is>
          <t>drv:현금및현금성자산</t>
        </is>
      </c>
      <c r="B43" s="2" t="inlineStr">
        <is>
          <t>qoq</t>
        </is>
      </c>
      <c r="C43" t="inlineStr">
        <is>
          <t>현금및현금성자산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drv:CAPEX</t>
        </is>
      </c>
      <c r="B44" s="2" t="inlineStr">
        <is>
          <t>yoy</t>
        </is>
      </c>
      <c r="C44" t="inlineStr">
        <is>
          <t>CAPEX YoY</t>
        </is>
      </c>
      <c r="E44" s="21" t="n"/>
      <c r="F44" s="22" t="n"/>
      <c r="G44" s="21" t="n"/>
      <c r="H44" s="21" t="n"/>
      <c r="I44" s="21" t="n"/>
      <c r="J44" s="21">
        <f>IFERROR(subQ!J33/subQ!E33-1,"")</f>
        <v/>
      </c>
      <c r="K44" s="22" t="n"/>
      <c r="L44" s="21">
        <f>IFERROR(subQ!L33/subQ!G33-1,"")</f>
        <v/>
      </c>
      <c r="M44" s="21">
        <f>IFERROR(subQ!M33/subQ!H33-1,"")</f>
        <v/>
      </c>
      <c r="N44" s="21">
        <f>IFERROR(subQ!N33/subQ!I33-1,"")</f>
        <v/>
      </c>
      <c r="O44" s="21">
        <f>IFERROR(subQ!O33/subQ!J33-1,"")</f>
        <v/>
      </c>
      <c r="P44" s="22" t="n"/>
      <c r="Q44" s="21">
        <f>IFERROR(subQ!Q33/subQ!L33-1,"")</f>
        <v/>
      </c>
      <c r="R44" s="21">
        <f>IFERROR(subQ!R33/subQ!M33-1,"")</f>
        <v/>
      </c>
      <c r="S44" s="21">
        <f>IFERROR(subQ!S33/subQ!N33-1,"")</f>
        <v/>
      </c>
      <c r="T44" s="21">
        <f>IFERROR(subQ!T33/subQ!O33-1,"")</f>
        <v/>
      </c>
      <c r="U44" s="22" t="n"/>
      <c r="V44" s="21">
        <f>IFERROR(subQ!V33/subQ!Q33-1,"")</f>
        <v/>
      </c>
      <c r="W44" s="21">
        <f>IFERROR(subQ!W33/subQ!R33-1,"")</f>
        <v/>
      </c>
      <c r="X44" s="21">
        <f>IFERROR(subQ!X33/subQ!S33-1,"")</f>
        <v/>
      </c>
      <c r="Y44" s="21">
        <f>IFERROR(subQ!Y33/subQ!T33-1,"")</f>
        <v/>
      </c>
      <c r="Z44" s="22" t="n"/>
      <c r="AA44" s="21">
        <f>IFERROR(subQ!AA33/subQ!V33-1,"")</f>
        <v/>
      </c>
      <c r="AB44" s="23">
        <f>IFERROR(subQ!AB33/subQ!W33-1,"")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drv:영업활동현금흐름</t>
        </is>
      </c>
      <c r="B45" s="2" t="inlineStr">
        <is>
          <t>yoy</t>
        </is>
      </c>
      <c r="C45" t="inlineStr">
        <is>
          <t>영업활동현금흐름 YoY</t>
        </is>
      </c>
      <c r="E45" s="21" t="n"/>
      <c r="F45" s="22" t="n"/>
      <c r="G45" s="21" t="n"/>
      <c r="H45" s="21" t="n"/>
      <c r="I45" s="21" t="n"/>
      <c r="J45" s="21">
        <f>IFERROR(subQ!J34/subQ!E34-1,"")</f>
        <v/>
      </c>
      <c r="K45" s="22" t="n"/>
      <c r="L45" s="21">
        <f>IFERROR(subQ!L34/subQ!G34-1,"")</f>
        <v/>
      </c>
      <c r="M45" s="21">
        <f>IFERROR(subQ!M34/subQ!H34-1,"")</f>
        <v/>
      </c>
      <c r="N45" s="21">
        <f>IFERROR(subQ!N34/subQ!I34-1,"")</f>
        <v/>
      </c>
      <c r="O45" s="21">
        <f>IFERROR(subQ!O34/subQ!J34-1,"")</f>
        <v/>
      </c>
      <c r="P45" s="22" t="n"/>
      <c r="Q45" s="21">
        <f>IFERROR(subQ!Q34/subQ!L34-1,"")</f>
        <v/>
      </c>
      <c r="R45" s="21">
        <f>IFERROR(subQ!R34/subQ!M34-1,"")</f>
        <v/>
      </c>
      <c r="S45" s="21">
        <f>IFERROR(subQ!S34/subQ!N34-1,"")</f>
        <v/>
      </c>
      <c r="T45" s="21">
        <f>IFERROR(subQ!T34/subQ!O34-1,"")</f>
        <v/>
      </c>
      <c r="U45" s="22" t="n"/>
      <c r="V45" s="21">
        <f>IFERROR(subQ!V34/subQ!Q34-1,"")</f>
        <v/>
      </c>
      <c r="W45" s="21">
        <f>IFERROR(subQ!W34/subQ!R34-1,"")</f>
        <v/>
      </c>
      <c r="X45" s="21">
        <f>IFERROR(subQ!X34/subQ!S34-1,"")</f>
        <v/>
      </c>
      <c r="Y45" s="21">
        <f>IFERROR(subQ!Y34/subQ!T34-1,"")</f>
        <v/>
      </c>
      <c r="Z45" s="22" t="n"/>
      <c r="AA45" s="21">
        <f>IFERROR(subQ!AA34/subQ!V34-1,"")</f>
        <v/>
      </c>
      <c r="AB45" s="23">
        <f>IFERROR(subQ!AB34/subQ!W34-1,"")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drv:주식수</t>
        </is>
      </c>
      <c r="B46" s="2" t="inlineStr">
        <is>
          <t>qoq</t>
        </is>
      </c>
      <c r="C46" t="inlineStr">
        <is>
          <t>주식수 QoQ</t>
        </is>
      </c>
      <c r="E46" s="21" t="n"/>
      <c r="F46" s="22" t="n"/>
      <c r="G46" s="21">
        <f>IFERROR(subQ!G35/subQ!E35-1,"")</f>
        <v/>
      </c>
      <c r="H46" s="21">
        <f>IFERROR(subQ!H35/subQ!G35-1,"")</f>
        <v/>
      </c>
      <c r="I46" s="21">
        <f>IFERROR(subQ!I35/subQ!H35-1,"")</f>
        <v/>
      </c>
      <c r="J46" s="21">
        <f>IFERROR(subQ!J35/subQ!I35-1,"")</f>
        <v/>
      </c>
      <c r="K46" s="22" t="n"/>
      <c r="L46" s="21">
        <f>IFERROR(subQ!L35/subQ!J35-1,"")</f>
        <v/>
      </c>
      <c r="M46" s="21">
        <f>IFERROR(subQ!M35/subQ!L35-1,"")</f>
        <v/>
      </c>
      <c r="N46" s="21">
        <f>IFERROR(subQ!N35/subQ!M35-1,"")</f>
        <v/>
      </c>
      <c r="O46" s="21">
        <f>IFERROR(subQ!O35/subQ!N35-1,"")</f>
        <v/>
      </c>
      <c r="P46" s="22" t="n"/>
      <c r="Q46" s="21">
        <f>IFERROR(subQ!Q35/subQ!O35-1,"")</f>
        <v/>
      </c>
      <c r="R46" s="21">
        <f>IFERROR(subQ!R35/subQ!Q35-1,"")</f>
        <v/>
      </c>
      <c r="S46" s="21">
        <f>IFERROR(subQ!S35/subQ!R35-1,"")</f>
        <v/>
      </c>
      <c r="T46" s="21">
        <f>IFERROR(subQ!T35/subQ!S35-1,"")</f>
        <v/>
      </c>
      <c r="U46" s="22" t="n"/>
      <c r="V46" s="21">
        <f>IFERROR(subQ!V35/subQ!T35-1,"")</f>
        <v/>
      </c>
      <c r="W46" s="21">
        <f>IFERROR(subQ!W35/subQ!V35-1,"")</f>
        <v/>
      </c>
      <c r="X46" s="21">
        <f>IFERROR(subQ!X35/subQ!W35-1,"")</f>
        <v/>
      </c>
      <c r="Y46" s="21">
        <f>IFERROR(subQ!Y35/subQ!X35-1,"")</f>
        <v/>
      </c>
      <c r="Z46" s="22" t="n"/>
      <c r="AA46" s="21">
        <f>IFERROR(subQ!AA35/subQ!Y35-1,"")</f>
        <v/>
      </c>
      <c r="AB46" s="23">
        <f>IFERROR(subQ!AB35/subQ!AA35-1,"")</f>
        <v/>
      </c>
      <c r="AC46" s="24" t="n">
        <v>0</v>
      </c>
      <c r="AD46" s="24" t="n">
        <v>0</v>
      </c>
      <c r="AE46" s="25" t="n"/>
      <c r="AF46" s="24" t="n">
        <v>0</v>
      </c>
      <c r="AG46" s="24" t="n">
        <v>0</v>
      </c>
      <c r="AH46" s="24" t="n">
        <v>0</v>
      </c>
      <c r="AI46" s="24" t="n">
        <v>0</v>
      </c>
      <c r="AJ46" s="25" t="n"/>
      <c r="AK46" s="24" t="n">
        <v>0</v>
      </c>
      <c r="AL46" s="24" t="n">
        <v>0</v>
      </c>
      <c r="AM46" s="24" t="n">
        <v>0</v>
      </c>
      <c r="AN46" s="24" t="n">
        <v>0</v>
      </c>
      <c r="AO46" s="25" t="n"/>
    </row>
    <row r="47">
      <c r="A47" s="12" t="inlineStr">
        <is>
          <t>drv:DPS</t>
        </is>
      </c>
      <c r="B47" s="2" t="inlineStr">
        <is>
          <t>yoy</t>
        </is>
      </c>
      <c r="C47" t="inlineStr">
        <is>
          <t>DPS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31" t="n"/>
      <c r="AD47" s="24" t="n">
        <v>0</v>
      </c>
      <c r="AE47" s="25" t="n"/>
      <c r="AF47" s="31" t="n"/>
      <c r="AG47" s="31" t="n"/>
      <c r="AH47" s="31" t="n"/>
      <c r="AI47" s="24" t="n">
        <v>0</v>
      </c>
      <c r="AJ47" s="25" t="n"/>
      <c r="AK47" s="31" t="n"/>
      <c r="AL47" s="31" t="n"/>
      <c r="AM47" s="31" t="n"/>
      <c r="AN47" s="24" t="n">
        <v>0</v>
      </c>
      <c r="AO47" s="25" t="n"/>
    </row>
    <row r="48">
      <c r="A48" s="12" t="inlineStr">
        <is>
          <t>drv:PER</t>
        </is>
      </c>
      <c r="B48" s="2" t="inlineStr">
        <is>
          <t>yoy</t>
        </is>
      </c>
      <c r="C48" t="inlineStr">
        <is>
          <t>PER YoY</t>
        </is>
      </c>
      <c r="E48" s="21" t="n"/>
      <c r="F48" s="22" t="n"/>
      <c r="G48" s="21" t="n"/>
      <c r="H48" s="21" t="n"/>
      <c r="I48" s="21" t="n"/>
      <c r="J48" s="21">
        <f>IFERROR(subQ!J39/subQ!E39-1,"")</f>
        <v/>
      </c>
      <c r="K48" s="22" t="n"/>
      <c r="L48" s="21">
        <f>IFERROR(subQ!L39/subQ!G39-1,"")</f>
        <v/>
      </c>
      <c r="M48" s="21">
        <f>IFERROR(subQ!M39/subQ!H39-1,"")</f>
        <v/>
      </c>
      <c r="N48" s="21">
        <f>IFERROR(subQ!N39/subQ!I39-1,"")</f>
        <v/>
      </c>
      <c r="O48" s="21">
        <f>IFERROR(subQ!O39/subQ!J39-1,"")</f>
        <v/>
      </c>
      <c r="P48" s="22" t="n"/>
      <c r="Q48" s="21">
        <f>IFERROR(subQ!Q39/subQ!L39-1,"")</f>
        <v/>
      </c>
      <c r="R48" s="21">
        <f>IFERROR(subQ!R39/subQ!M39-1,"")</f>
        <v/>
      </c>
      <c r="S48" s="21">
        <f>IFERROR(subQ!S39/subQ!N39-1,"")</f>
        <v/>
      </c>
      <c r="T48" s="21">
        <f>IFERROR(subQ!T39/subQ!O39-1,"")</f>
        <v/>
      </c>
      <c r="U48" s="22" t="n"/>
      <c r="V48" s="21">
        <f>IFERROR(subQ!V39/subQ!Q39-1,"")</f>
        <v/>
      </c>
      <c r="W48" s="21">
        <f>IFERROR(subQ!W39/subQ!R39-1,"")</f>
        <v/>
      </c>
      <c r="X48" s="21">
        <f>IFERROR(subQ!X39/subQ!S39-1,"")</f>
        <v/>
      </c>
      <c r="Y48" s="21">
        <f>IFERROR(subQ!Y39/subQ!T39-1,"")</f>
        <v/>
      </c>
      <c r="Z48" s="22" t="n"/>
      <c r="AA48" s="21">
        <f>IFERROR(subQ!AA39/subQ!V39-1,"")</f>
        <v/>
      </c>
      <c r="AB48" s="23">
        <f>IFERROR(subQ!AB39/subQ!W39-1,"")</f>
        <v/>
      </c>
      <c r="AC48" s="24" t="n">
        <v>-0.567227</v>
      </c>
      <c r="AD48" s="24" t="n">
        <v>-0.437186</v>
      </c>
      <c r="AE48" s="25" t="n"/>
      <c r="AF48" s="24" t="n">
        <v>-0.449074</v>
      </c>
      <c r="AG48" s="24" t="n">
        <v>22.953704</v>
      </c>
      <c r="AH48" s="24" t="n">
        <v>24.097087</v>
      </c>
      <c r="AI48" s="24" t="n">
        <v>22.0625</v>
      </c>
      <c r="AJ48" s="25" t="n"/>
      <c r="AK48" s="24" t="n">
        <v>20.680672</v>
      </c>
      <c r="AL48" s="24" t="n">
        <v>-0.003479</v>
      </c>
      <c r="AM48" s="24" t="n">
        <v>-0.003095</v>
      </c>
      <c r="AN48" s="24" t="n">
        <v>-0.003097</v>
      </c>
      <c r="AO48" s="25" t="n"/>
    </row>
    <row r="49">
      <c r="A49" s="12" t="inlineStr">
        <is>
          <t>drv:PBR</t>
        </is>
      </c>
      <c r="B49" s="2" t="inlineStr">
        <is>
          <t>yoy</t>
        </is>
      </c>
      <c r="C49" t="inlineStr">
        <is>
          <t>PBR YoY</t>
        </is>
      </c>
      <c r="E49" s="21" t="n"/>
      <c r="F49" s="22" t="n"/>
      <c r="G49" s="21" t="n"/>
      <c r="H49" s="21" t="n"/>
      <c r="I49" s="21" t="n"/>
      <c r="J49" s="21">
        <f>IFERROR(subQ!J40/subQ!E40-1,"")</f>
        <v/>
      </c>
      <c r="K49" s="22" t="n"/>
      <c r="L49" s="21">
        <f>IFERROR(subQ!L40/subQ!G40-1,"")</f>
        <v/>
      </c>
      <c r="M49" s="21">
        <f>IFERROR(subQ!M40/subQ!H40-1,"")</f>
        <v/>
      </c>
      <c r="N49" s="21">
        <f>IFERROR(subQ!N40/subQ!I40-1,"")</f>
        <v/>
      </c>
      <c r="O49" s="21">
        <f>IFERROR(subQ!O40/subQ!J40-1,"")</f>
        <v/>
      </c>
      <c r="P49" s="22" t="n"/>
      <c r="Q49" s="21">
        <f>IFERROR(subQ!Q40/subQ!L40-1,"")</f>
        <v/>
      </c>
      <c r="R49" s="21">
        <f>IFERROR(subQ!R40/subQ!M40-1,"")</f>
        <v/>
      </c>
      <c r="S49" s="21">
        <f>IFERROR(subQ!S40/subQ!N40-1,"")</f>
        <v/>
      </c>
      <c r="T49" s="21">
        <f>IFERROR(subQ!T40/subQ!O40-1,"")</f>
        <v/>
      </c>
      <c r="U49" s="22" t="n"/>
      <c r="V49" s="21">
        <f>IFERROR(subQ!V40/subQ!Q40-1,"")</f>
        <v/>
      </c>
      <c r="W49" s="21">
        <f>IFERROR(subQ!W40/subQ!R40-1,"")</f>
        <v/>
      </c>
      <c r="X49" s="21">
        <f>IFERROR(subQ!X40/subQ!S40-1,"")</f>
        <v/>
      </c>
      <c r="Y49" s="21">
        <f>IFERROR(subQ!Y40/subQ!T40-1,"")</f>
        <v/>
      </c>
      <c r="Z49" s="22" t="n"/>
      <c r="AA49" s="21">
        <f>IFERROR(subQ!AA40/subQ!V40-1,"")</f>
        <v/>
      </c>
      <c r="AB49" s="23">
        <f>IFERROR(subQ!AB40/subQ!W40-1,"")</f>
        <v/>
      </c>
      <c r="AC49" s="24" t="n">
        <v>-0.184211</v>
      </c>
      <c r="AD49" s="24" t="n">
        <v>-0.205128</v>
      </c>
      <c r="AE49" s="25" t="n"/>
      <c r="AF49" s="24" t="n">
        <v>-0.326087</v>
      </c>
      <c r="AG49" s="24" t="n">
        <v>-0.111111</v>
      </c>
      <c r="AH49" s="24" t="n">
        <v>0</v>
      </c>
      <c r="AI49" s="24" t="n">
        <v>0</v>
      </c>
      <c r="AJ49" s="25" t="n"/>
      <c r="AK49" s="24" t="n">
        <v>0</v>
      </c>
      <c r="AL49" s="24" t="n">
        <v>-0.03125</v>
      </c>
      <c r="AM49" s="24" t="n">
        <v>0</v>
      </c>
      <c r="AN49" s="24" t="n">
        <v>0</v>
      </c>
      <c r="AO49" s="25" t="n"/>
    </row>
    <row r="50">
      <c r="A50" s="12" t="inlineStr">
        <is>
          <t>drv:매출전사</t>
        </is>
      </c>
      <c r="B50" s="2" t="inlineStr">
        <is>
          <t>ratio</t>
        </is>
      </c>
      <c r="C50" t="inlineStr">
        <is>
          <t>매출전사 비중(/매출액)</t>
        </is>
      </c>
      <c r="E50" s="21">
        <f>IFERROR(subQ!E41/subQ!E5,"")</f>
        <v/>
      </c>
      <c r="F50" s="22">
        <f>IFERROR(subQ!F41/subQ!F5,"")</f>
        <v/>
      </c>
      <c r="G50" s="21">
        <f>IFERROR(subQ!G41/subQ!G5,"")</f>
        <v/>
      </c>
      <c r="H50" s="21">
        <f>IFERROR(subQ!H41/subQ!H5,"")</f>
        <v/>
      </c>
      <c r="I50" s="21">
        <f>IFERROR(subQ!I41/subQ!I5,"")</f>
        <v/>
      </c>
      <c r="J50" s="21">
        <f>IFERROR(subQ!J41/subQ!J5,"")</f>
        <v/>
      </c>
      <c r="K50" s="22">
        <f>IFERROR(subQ!K41/subQ!K5,"")</f>
        <v/>
      </c>
      <c r="L50" s="21">
        <f>IFERROR(subQ!L41/subQ!L5,"")</f>
        <v/>
      </c>
      <c r="M50" s="21">
        <f>IFERROR(subQ!M41/subQ!M5,"")</f>
        <v/>
      </c>
      <c r="N50" s="21">
        <f>IFERROR(subQ!N41/subQ!N5,"")</f>
        <v/>
      </c>
      <c r="O50" s="21">
        <f>IFERROR(subQ!O41/subQ!O5,"")</f>
        <v/>
      </c>
      <c r="P50" s="22">
        <f>IFERROR(subQ!P41/subQ!P5,"")</f>
        <v/>
      </c>
      <c r="Q50" s="21">
        <f>IFERROR(subQ!Q41/subQ!Q5,"")</f>
        <v/>
      </c>
      <c r="R50" s="21">
        <f>IFERROR(subQ!R41/subQ!R5,"")</f>
        <v/>
      </c>
      <c r="S50" s="21">
        <f>IFERROR(subQ!S41/subQ!S5,"")</f>
        <v/>
      </c>
      <c r="T50" s="21">
        <f>IFERROR(subQ!T41/subQ!T5,"")</f>
        <v/>
      </c>
      <c r="U50" s="22">
        <f>IFERROR(subQ!U41/subQ!U5,"")</f>
        <v/>
      </c>
      <c r="V50" s="21">
        <f>IFERROR(subQ!V41/subQ!V5,"")</f>
        <v/>
      </c>
      <c r="W50" s="21">
        <f>IFERROR(subQ!W41/subQ!W5,"")</f>
        <v/>
      </c>
      <c r="X50" s="21">
        <f>IFERROR(subQ!X41/subQ!X5,"")</f>
        <v/>
      </c>
      <c r="Y50" s="21">
        <f>IFERROR(subQ!Y41/subQ!Y5,"")</f>
        <v/>
      </c>
      <c r="Z50" s="22">
        <f>IFERROR(subQ!Z41/subQ!Z5,"")</f>
        <v/>
      </c>
      <c r="AA50" s="21">
        <f>IFERROR(subQ!AA41/subQ!AA5,"")</f>
        <v/>
      </c>
      <c r="AB50" s="23">
        <f>IFERROR(subQ!AB41/subQ!AB5,"")</f>
        <v/>
      </c>
      <c r="AC50" s="24" t="n">
        <v>1</v>
      </c>
      <c r="AD50" s="24" t="n">
        <v>1</v>
      </c>
      <c r="AE50" s="25">
        <f>IFERROR(subQ!AE41/subQ!AE5,"")</f>
        <v/>
      </c>
      <c r="AF50" s="24" t="n">
        <v>1</v>
      </c>
      <c r="AG50" s="24" t="n">
        <v>1</v>
      </c>
      <c r="AH50" s="24" t="n">
        <v>1</v>
      </c>
      <c r="AI50" s="24" t="n">
        <v>1</v>
      </c>
      <c r="AJ50" s="25">
        <f>IFERROR(subQ!AJ41/subQ!AJ5,"")</f>
        <v/>
      </c>
      <c r="AK50" s="24" t="n">
        <v>1</v>
      </c>
      <c r="AL50" s="24" t="n">
        <v>1</v>
      </c>
      <c r="AM50" s="24" t="n">
        <v>1</v>
      </c>
      <c r="AN50" s="24" t="n">
        <v>1</v>
      </c>
      <c r="AO50" s="25">
        <f>IFERROR(subQ!AO41/subQ!AO5,"")</f>
        <v/>
      </c>
    </row>
    <row r="51">
      <c r="A51" s="12" t="inlineStr">
        <is>
          <t>drv:OP전사</t>
        </is>
      </c>
      <c r="B51" s="2" t="inlineStr">
        <is>
          <t>ratio</t>
        </is>
      </c>
      <c r="C51" t="inlineStr">
        <is>
          <t>OP전사 마진(/매출전사)</t>
        </is>
      </c>
      <c r="E51" s="21">
        <f>IFERROR(subQ!E42/subQ!E41,"")</f>
        <v/>
      </c>
      <c r="F51" s="22">
        <f>IFERROR(subQ!F42/subQ!F41,"")</f>
        <v/>
      </c>
      <c r="G51" s="21">
        <f>IFERROR(subQ!G42/subQ!G41,"")</f>
        <v/>
      </c>
      <c r="H51" s="21">
        <f>IFERROR(subQ!H42/subQ!H41,"")</f>
        <v/>
      </c>
      <c r="I51" s="21">
        <f>IFERROR(subQ!I42/subQ!I41,"")</f>
        <v/>
      </c>
      <c r="J51" s="21">
        <f>IFERROR(subQ!J42/subQ!J41,"")</f>
        <v/>
      </c>
      <c r="K51" s="22">
        <f>IFERROR(subQ!K42/subQ!K41,"")</f>
        <v/>
      </c>
      <c r="L51" s="21">
        <f>IFERROR(subQ!L42/subQ!L41,"")</f>
        <v/>
      </c>
      <c r="M51" s="21">
        <f>IFERROR(subQ!M42/subQ!M41,"")</f>
        <v/>
      </c>
      <c r="N51" s="21">
        <f>IFERROR(subQ!N42/subQ!N41,"")</f>
        <v/>
      </c>
      <c r="O51" s="21">
        <f>IFERROR(subQ!O42/subQ!O41,"")</f>
        <v/>
      </c>
      <c r="P51" s="22">
        <f>IFERROR(subQ!P42/subQ!P41,"")</f>
        <v/>
      </c>
      <c r="Q51" s="21">
        <f>IFERROR(subQ!Q42/subQ!Q41,"")</f>
        <v/>
      </c>
      <c r="R51" s="21">
        <f>IFERROR(subQ!R42/subQ!R41,"")</f>
        <v/>
      </c>
      <c r="S51" s="21">
        <f>IFERROR(subQ!S42/subQ!S41,"")</f>
        <v/>
      </c>
      <c r="T51" s="21">
        <f>IFERROR(subQ!T42/subQ!T41,"")</f>
        <v/>
      </c>
      <c r="U51" s="22">
        <f>IFERROR(subQ!U42/subQ!U41,"")</f>
        <v/>
      </c>
      <c r="V51" s="21">
        <f>IFERROR(subQ!V42/subQ!V41,"")</f>
        <v/>
      </c>
      <c r="W51" s="21">
        <f>IFERROR(subQ!W42/subQ!W41,"")</f>
        <v/>
      </c>
      <c r="X51" s="21">
        <f>IFERROR(subQ!X42/subQ!X41,"")</f>
        <v/>
      </c>
      <c r="Y51" s="21">
        <f>IFERROR(subQ!Y42/subQ!Y41,"")</f>
        <v/>
      </c>
      <c r="Z51" s="22">
        <f>IFERROR(subQ!Z42/subQ!Z41,"")</f>
        <v/>
      </c>
      <c r="AA51" s="21">
        <f>IFERROR(subQ!AA42/subQ!AA41,"")</f>
        <v/>
      </c>
      <c r="AB51" s="23">
        <f>IFERROR(subQ!AB42/subQ!AB41,"")</f>
        <v/>
      </c>
      <c r="AC51" s="24" t="n">
        <v>0.068022</v>
      </c>
      <c r="AD51" s="24" t="n">
        <v>0.068022</v>
      </c>
      <c r="AE51" s="25">
        <f>IFERROR(subQ!AE42/subQ!AE41,"")</f>
        <v/>
      </c>
      <c r="AF51" s="24" t="n">
        <v>0.068022</v>
      </c>
      <c r="AG51" s="24" t="n">
        <v>0.068022</v>
      </c>
      <c r="AH51" s="24" t="n">
        <v>0.068022</v>
      </c>
      <c r="AI51" s="24" t="n">
        <v>0.068022</v>
      </c>
      <c r="AJ51" s="25">
        <f>IFERROR(subQ!AJ42/subQ!AJ41,"")</f>
        <v/>
      </c>
      <c r="AK51" s="24" t="n">
        <v>0.068022</v>
      </c>
      <c r="AL51" s="24" t="n">
        <v>0.068022</v>
      </c>
      <c r="AM51" s="24" t="n">
        <v>0.068022</v>
      </c>
      <c r="AN51" s="24" t="n">
        <v>0.068022</v>
      </c>
      <c r="AO51" s="25">
        <f>IFERROR(subQ!AO42/subQ!AO41,"")</f>
        <v/>
      </c>
    </row>
    <row r="52"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B53" s="1" t="inlineStr">
        <is>
          <t>3. 밸류에이션·스칼라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sc:종가</t>
        </is>
      </c>
      <c r="C54" t="inlineStr">
        <is>
          <t>종가</t>
        </is>
      </c>
      <c r="D54" s="32" t="n">
        <v>473000</v>
      </c>
      <c r="E54" s="2" t="inlineStr">
        <is>
          <t>원 — aikstockdata(금융위 T+1)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sc:기준일</t>
        </is>
      </c>
      <c r="C55" t="inlineStr">
        <is>
          <t>기준일</t>
        </is>
      </c>
      <c r="D55" s="33" t="inlineStr">
        <is>
          <t>20260929</t>
        </is>
      </c>
      <c r="E55" s="2" t="inlineStr">
        <is>
          <t>종가 기준일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sc:COE</t>
        </is>
      </c>
      <c r="C56" t="inlineStr">
        <is>
          <t>COE</t>
        </is>
      </c>
      <c r="D56" s="24" t="n">
        <v>0.09</v>
      </c>
      <c r="E56" s="2" t="inlineStr">
        <is>
          <t>자기자본비용(가정)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sc:PER_lo</t>
        </is>
      </c>
      <c r="C57" t="inlineStr">
        <is>
          <t>PER_lo</t>
        </is>
      </c>
      <c r="D57" s="29" t="n">
        <v>10</v>
      </c>
      <c r="E57" s="2" t="inlineStr">
        <is>
          <t>PER 밴드 하단(배) — sector_default(레퍼런스 TP_PE PB 예시 10/15/20배; 과거 PER 중위 3.7배가 캡 5~30 밖 — 턴어라운드 초기 TTM EPS 왜곡)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sc:PER_mid</t>
        </is>
      </c>
      <c r="C58" t="inlineStr">
        <is>
          <t>PER_mid</t>
        </is>
      </c>
      <c r="D58" s="29" t="n">
        <v>15</v>
      </c>
      <c r="E58" s="2" t="inlineStr">
        <is>
          <t>PER 밴드 중단(배)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sc:PER_hi</t>
        </is>
      </c>
      <c r="C59" t="inlineStr">
        <is>
          <t>PER_hi</t>
        </is>
      </c>
      <c r="D59" s="29" t="n">
        <v>20</v>
      </c>
      <c r="E59" s="2" t="inlineStr">
        <is>
          <t>PER 밴드 상단(배)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sc:EPS_Y1가중</t>
        </is>
      </c>
      <c r="C60" t="inlineStr">
        <is>
          <t>EPS_Y1가중</t>
        </is>
      </c>
      <c r="D60" s="24" t="n">
        <v>0.5</v>
      </c>
      <c r="E60" s="2" t="inlineStr">
        <is>
          <t>12M fwd EPS = FY(last_actual연도)E × w + FY+1E × (1−w) — 기준 분기 2Q 이면 0.5(가정)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sc:세율</t>
        </is>
      </c>
      <c r="C61" t="inlineStr">
        <is>
          <t>세율</t>
        </is>
      </c>
      <c r="D61" s="24" t="n">
        <v>0.22</v>
      </c>
      <c r="E61" s="2" t="inlineStr">
        <is>
          <t>법인세율 가정(참고 — 추정 수식은 드라이버 행 참조)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sc:판관비율</t>
        </is>
      </c>
      <c r="C62" t="inlineStr">
        <is>
          <t>판관비율</t>
        </is>
      </c>
      <c r="D62" s="24" t="n">
        <v>0.1887</v>
      </c>
      <c r="E62" s="2" t="inlineStr">
        <is>
          <t>판관비율 가정(참고)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s="12" t="inlineStr">
        <is>
          <t>sc:배당성향</t>
        </is>
      </c>
      <c r="C63" t="inlineStr">
        <is>
          <t>배당성향</t>
        </is>
      </c>
      <c r="D63" s="24" t="n">
        <v>0.0717</v>
      </c>
      <c r="E63" s="2" t="inlineStr">
        <is>
          <t>배당성향 가정(참고)</t>
        </is>
      </c>
      <c r="F63" s="9" t="n"/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s="12" t="inlineStr">
        <is>
          <t>sc:외화순노출_백만$</t>
        </is>
      </c>
      <c r="C64" t="inlineStr">
        <is>
          <t>외화순노출_백만$</t>
        </is>
      </c>
      <c r="D64" s="29" t="n"/>
      <c r="E64" s="2" t="inlineStr">
        <is>
          <t>외화 순노출 × Δ기말환율 (외화 시트 방식)</t>
        </is>
      </c>
      <c r="F64" s="9" t="n"/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4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4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4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4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4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4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4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4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4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4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4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4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4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4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4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4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4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4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4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4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4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4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4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4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4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4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4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4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4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4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4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4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4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4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4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4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4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4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4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4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4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4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4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4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4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4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4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4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4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4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4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4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4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4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4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4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4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4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4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4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4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4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4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4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4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4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4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4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4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4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4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4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4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4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4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4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4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4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4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4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4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4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4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4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4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4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4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4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4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4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4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4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4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4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4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4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4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4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4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4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4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4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4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4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4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4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4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4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4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4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4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4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4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4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4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4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4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4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4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4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4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4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4" t="n">
        <v>189935.04</v>
      </c>
      <c r="G30" s="18" t="n">
        <v>190147.06</v>
      </c>
      <c r="H30" s="18" t="n">
        <v>110779.13</v>
      </c>
      <c r="I30" s="18" t="n">
        <v>11886.19</v>
      </c>
      <c r="J30" s="18" t="n">
        <v>10544.15</v>
      </c>
      <c r="K30" s="34" t="n">
        <v>10544.15</v>
      </c>
      <c r="L30" s="18" t="n">
        <v>411082.3</v>
      </c>
      <c r="M30" s="18" t="n">
        <v>450542.8</v>
      </c>
      <c r="N30" s="18" t="n">
        <v>451774.8</v>
      </c>
      <c r="O30" s="18" t="n">
        <v>553484.41</v>
      </c>
      <c r="P30" s="34" t="n">
        <v>553484.41</v>
      </c>
      <c r="Q30" s="18" t="n">
        <v>286454.99</v>
      </c>
      <c r="R30" s="18" t="n">
        <v>249607.07</v>
      </c>
      <c r="S30" s="18" t="n">
        <v>243863.35</v>
      </c>
      <c r="T30" s="18" t="n">
        <v>150080.7</v>
      </c>
      <c r="U30" s="34" t="n">
        <v>150080.7</v>
      </c>
      <c r="V30" s="18" t="n">
        <v>12465.25</v>
      </c>
      <c r="W30" s="18" t="n">
        <v>11529.4</v>
      </c>
      <c r="X30" s="18" t="n">
        <v>11918.7</v>
      </c>
      <c r="Y30" s="18" t="n">
        <v>0</v>
      </c>
      <c r="Z30" s="34" t="n">
        <v>0</v>
      </c>
      <c r="AA30" s="18" t="n">
        <v>0</v>
      </c>
      <c r="AB30" s="19" t="n">
        <v>644879.9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4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4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4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4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4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4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4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4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4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4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4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4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4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4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4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4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4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4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4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4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4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4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4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4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4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4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4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4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4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4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4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4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4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4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4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4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4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4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4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4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4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4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4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4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4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4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4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4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4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4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4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4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4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4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4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4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4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4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4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4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4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4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4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4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4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4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4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4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4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4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4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4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4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4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4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4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4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4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4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4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4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4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4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4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4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4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4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4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4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4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4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4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4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4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4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4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4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4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4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4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4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4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4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4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4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4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4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4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단기사채</t>
        </is>
      </c>
      <c r="F54" s="9" t="n"/>
      <c r="G54" s="18" t="n">
        <v>199890.05</v>
      </c>
      <c r="H54" s="18" t="n">
        <v>349778.51</v>
      </c>
      <c r="I54" s="18" t="n">
        <v>349846.7</v>
      </c>
      <c r="J54" s="18" t="n">
        <v>669746.22</v>
      </c>
      <c r="K54" s="34" t="n">
        <v>669746.22</v>
      </c>
      <c r="L54" s="18" t="n">
        <v>469846.39</v>
      </c>
      <c r="M54" s="18" t="n">
        <v>519761.61</v>
      </c>
      <c r="N54" s="18" t="n">
        <v>519858.28</v>
      </c>
      <c r="O54" s="18" t="n">
        <v>369805.2</v>
      </c>
      <c r="P54" s="34" t="n">
        <v>369805.2</v>
      </c>
      <c r="Q54" s="18" t="n">
        <v>369893.48</v>
      </c>
      <c r="R54" s="18" t="n">
        <v>439748.48</v>
      </c>
      <c r="S54" s="18" t="n">
        <v>439853.2</v>
      </c>
      <c r="T54" s="18" t="n">
        <v>319909.99</v>
      </c>
      <c r="U54" s="34" t="n">
        <v>319909.99</v>
      </c>
      <c r="V54" s="18" t="n">
        <v>464798.17</v>
      </c>
      <c r="W54" s="18" t="n">
        <v>469645.83</v>
      </c>
      <c r="X54" s="18" t="n">
        <v>1170380.85</v>
      </c>
      <c r="Y54" s="18" t="n">
        <v>1313396.32</v>
      </c>
      <c r="Z54" s="34" t="n">
        <v>1313396.32</v>
      </c>
      <c r="AA54" s="18" t="n">
        <v>1607554.63</v>
      </c>
      <c r="AB54" s="19" t="n">
        <v>1396988.29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K55" s="9" t="n"/>
      <c r="O55" s="18" t="n">
        <v>164369.97</v>
      </c>
      <c r="P55" s="34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4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K56" s="9" t="n"/>
      <c r="O56" s="18" t="n">
        <v>164369.97</v>
      </c>
      <c r="P56" s="34" t="n">
        <v>164369.97</v>
      </c>
      <c r="Q56" s="18" t="n">
        <v>168939.66</v>
      </c>
      <c r="R56" s="18" t="n">
        <v>0</v>
      </c>
      <c r="S56" s="18" t="n">
        <v>0</v>
      </c>
      <c r="U56" s="9" t="n"/>
      <c r="X56" s="18" t="n">
        <v>299131.33</v>
      </c>
      <c r="Y56" s="18" t="n">
        <v>275328.61</v>
      </c>
      <c r="Z56" s="34" t="n">
        <v>275328.61</v>
      </c>
      <c r="AA56" s="18" t="n">
        <v>168371.8</v>
      </c>
      <c r="AB56" s="19" t="n">
        <v>136569.19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1509739.99</v>
      </c>
      <c r="F57" s="9" t="n"/>
      <c r="G57" s="18" t="n">
        <v>1637578.46</v>
      </c>
      <c r="H57" s="18" t="n">
        <v>1755882.43</v>
      </c>
      <c r="I57" s="18" t="n">
        <v>1740125.21</v>
      </c>
      <c r="J57" s="18" t="n">
        <v>1641207.55</v>
      </c>
      <c r="K57" s="34" t="n">
        <v>6774793.65</v>
      </c>
      <c r="L57" s="18" t="n">
        <v>1564942.78</v>
      </c>
      <c r="M57" s="18" t="n">
        <v>1588344.83</v>
      </c>
      <c r="N57" s="18" t="n">
        <v>1552724.54</v>
      </c>
      <c r="O57" s="18" t="n">
        <v>1582430.46</v>
      </c>
      <c r="P57" s="34" t="n">
        <v>6288442.61</v>
      </c>
      <c r="Q57" s="18" t="n">
        <v>1588371.74</v>
      </c>
      <c r="R57" s="18" t="n">
        <v>1778727.72</v>
      </c>
      <c r="S57" s="18" t="n">
        <v>1634207.68</v>
      </c>
      <c r="T57" s="18" t="n">
        <v>1657455.29</v>
      </c>
      <c r="U57" s="34" t="n">
        <v>6658762.43</v>
      </c>
      <c r="V57" s="18" t="n">
        <v>1599305.26</v>
      </c>
      <c r="W57" s="18" t="n">
        <v>1705263.97</v>
      </c>
      <c r="X57" s="18" t="n">
        <v>1622832.53</v>
      </c>
      <c r="Y57" s="18" t="n">
        <v>1556417.74</v>
      </c>
      <c r="Z57" s="34" t="n">
        <v>6483819.5</v>
      </c>
      <c r="AA57" s="18" t="n">
        <v>1626399.55</v>
      </c>
      <c r="AB57" s="19" t="n">
        <v>1806019.14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1178077.7</v>
      </c>
      <c r="F58" s="9" t="n"/>
      <c r="G58" s="18" t="n">
        <v>1253044.6</v>
      </c>
      <c r="H58" s="18" t="n">
        <v>1341496.78</v>
      </c>
      <c r="I58" s="18" t="n">
        <v>1382013.11</v>
      </c>
      <c r="J58" s="18" t="n">
        <v>1313330.41</v>
      </c>
      <c r="K58" s="34" t="n">
        <v>5289884.9</v>
      </c>
      <c r="L58" s="18" t="n">
        <v>1251543.34</v>
      </c>
      <c r="M58" s="18" t="n">
        <v>1241872.18</v>
      </c>
      <c r="N58" s="18" t="n">
        <v>1223040.35</v>
      </c>
      <c r="O58" s="18" t="n">
        <v>1243486.98</v>
      </c>
      <c r="P58" s="34" t="n">
        <v>4959942.85</v>
      </c>
      <c r="Q58" s="18" t="n">
        <v>1228576.49</v>
      </c>
      <c r="R58" s="18" t="n">
        <v>1348199.25</v>
      </c>
      <c r="S58" s="18" t="n">
        <v>1195391.75</v>
      </c>
      <c r="T58" s="18" t="n">
        <v>1255873.97</v>
      </c>
      <c r="U58" s="34" t="n">
        <v>5028041.46</v>
      </c>
      <c r="V58" s="18" t="n">
        <v>1204395.86</v>
      </c>
      <c r="W58" s="18" t="n">
        <v>1267996.21</v>
      </c>
      <c r="X58" s="18" t="n">
        <v>1206254.68</v>
      </c>
      <c r="Y58" s="18" t="n">
        <v>1167703.1</v>
      </c>
      <c r="Z58" s="34" t="n">
        <v>4846349.85</v>
      </c>
      <c r="AA58" s="18" t="n">
        <v>1224310.99</v>
      </c>
      <c r="AB58" s="19" t="n">
        <v>1348082.19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331662.29</v>
      </c>
      <c r="F59" s="9" t="n"/>
      <c r="G59" s="18" t="n">
        <v>384533.86</v>
      </c>
      <c r="H59" s="18" t="n">
        <v>414385.65</v>
      </c>
      <c r="I59" s="18" t="n">
        <v>358112.1</v>
      </c>
      <c r="J59" s="18" t="n">
        <v>327877.15</v>
      </c>
      <c r="K59" s="34" t="n">
        <v>1484908.76</v>
      </c>
      <c r="L59" s="18" t="n">
        <v>313399.44</v>
      </c>
      <c r="M59" s="18" t="n">
        <v>346472.66</v>
      </c>
      <c r="N59" s="18" t="n">
        <v>329684.19</v>
      </c>
      <c r="O59" s="18" t="n">
        <v>338943.49</v>
      </c>
      <c r="P59" s="34" t="n">
        <v>1328499.78</v>
      </c>
      <c r="Q59" s="18" t="n">
        <v>359795.25</v>
      </c>
      <c r="R59" s="18" t="n">
        <v>430528.47</v>
      </c>
      <c r="S59" s="18" t="n">
        <v>438815.93</v>
      </c>
      <c r="T59" s="18" t="n">
        <v>401581.32</v>
      </c>
      <c r="U59" s="34" t="n">
        <v>1630720.97</v>
      </c>
      <c r="V59" s="18" t="n">
        <v>394909.4</v>
      </c>
      <c r="W59" s="18" t="n">
        <v>437267.75</v>
      </c>
      <c r="X59" s="18" t="n">
        <v>416577.85</v>
      </c>
      <c r="Y59" s="18" t="n">
        <v>388714.63</v>
      </c>
      <c r="Z59" s="34" t="n">
        <v>1637469.63</v>
      </c>
      <c r="AA59" s="18" t="n">
        <v>402088.56</v>
      </c>
      <c r="AB59" s="19" t="n">
        <v>457936.95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257272.17</v>
      </c>
      <c r="F60" s="9" t="n"/>
      <c r="G60" s="18" t="n">
        <v>235126.09</v>
      </c>
      <c r="H60" s="18" t="n">
        <v>250152.01</v>
      </c>
      <c r="I60" s="18" t="n">
        <v>261732.55</v>
      </c>
      <c r="J60" s="18" t="n">
        <v>270236.58</v>
      </c>
      <c r="K60" s="34" t="n">
        <v>1017247.23</v>
      </c>
      <c r="L60" s="18" t="n">
        <v>237571.69</v>
      </c>
      <c r="M60" s="18" t="n">
        <v>256088.94</v>
      </c>
      <c r="N60" s="18" t="n">
        <v>241254.64</v>
      </c>
      <c r="O60" s="18" t="n">
        <v>281054.29</v>
      </c>
      <c r="P60" s="34" t="n">
        <v>1015969.56</v>
      </c>
      <c r="Q60" s="18" t="n">
        <v>252888.21</v>
      </c>
      <c r="R60" s="18" t="n">
        <v>289967.54</v>
      </c>
      <c r="S60" s="18" t="n">
        <v>313487.39</v>
      </c>
      <c r="T60" s="18" t="n">
        <v>303259.59</v>
      </c>
      <c r="U60" s="34" t="n">
        <v>1159602.73</v>
      </c>
      <c r="V60" s="18" t="n">
        <v>291465.55</v>
      </c>
      <c r="W60" s="18" t="n">
        <v>296887.06</v>
      </c>
      <c r="X60" s="18" t="n">
        <v>299314.3</v>
      </c>
      <c r="Y60" s="18" t="n">
        <v>322187.61</v>
      </c>
      <c r="Z60" s="34" t="n">
        <v>1209854.52</v>
      </c>
      <c r="AA60" s="18" t="n">
        <v>313960.45</v>
      </c>
      <c r="AB60" s="19" t="n">
        <v>329052.63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74390.13</v>
      </c>
      <c r="F61" s="9" t="n"/>
      <c r="G61" s="18" t="n">
        <v>149407.77</v>
      </c>
      <c r="H61" s="18" t="n">
        <v>164233.64</v>
      </c>
      <c r="I61" s="18" t="n">
        <v>96379.55</v>
      </c>
      <c r="J61" s="18" t="n">
        <v>57640.56</v>
      </c>
      <c r="K61" s="34" t="n">
        <v>467661.52</v>
      </c>
      <c r="L61" s="18" t="n">
        <v>75827.75</v>
      </c>
      <c r="M61" s="18" t="n">
        <v>90383.72</v>
      </c>
      <c r="N61" s="18" t="n">
        <v>88429.53999999999</v>
      </c>
      <c r="O61" s="18" t="n">
        <v>57889.19</v>
      </c>
      <c r="P61" s="34" t="n">
        <v>312530.2</v>
      </c>
      <c r="Q61" s="18" t="n">
        <v>106907.04</v>
      </c>
      <c r="R61" s="18" t="n">
        <v>140560.93</v>
      </c>
      <c r="S61" s="18" t="n">
        <v>125328.54</v>
      </c>
      <c r="T61" s="18" t="n">
        <v>98321.73</v>
      </c>
      <c r="U61" s="34" t="n">
        <v>471118.24</v>
      </c>
      <c r="V61" s="18" t="n">
        <v>103443.84</v>
      </c>
      <c r="W61" s="18" t="n">
        <v>140380.69</v>
      </c>
      <c r="X61" s="18" t="n">
        <v>117263.55</v>
      </c>
      <c r="Y61" s="18" t="n">
        <v>66527.03</v>
      </c>
      <c r="Z61" s="34" t="n">
        <v>427615.11</v>
      </c>
      <c r="AA61" s="18" t="n">
        <v>88128.12</v>
      </c>
      <c r="AB61" s="19" t="n">
        <v>128884.32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4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4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4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4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-52803.61</v>
      </c>
      <c r="F63" s="9" t="n"/>
      <c r="G63" s="18" t="n">
        <v>11768.32</v>
      </c>
      <c r="H63" s="18" t="n">
        <v>9700.92</v>
      </c>
      <c r="I63" s="18" t="n">
        <v>-49.17</v>
      </c>
      <c r="J63" s="18" t="n">
        <v>3632.95</v>
      </c>
      <c r="K63" s="34" t="n">
        <v>25053.02</v>
      </c>
      <c r="L63" s="18" t="n">
        <v>-14433.15</v>
      </c>
      <c r="M63" s="18" t="n">
        <v>-4871.72</v>
      </c>
      <c r="N63" s="18" t="n">
        <v>-14493.56</v>
      </c>
      <c r="O63" s="18" t="n">
        <v>-166504.08</v>
      </c>
      <c r="P63" s="34" t="n">
        <v>-200302.51</v>
      </c>
      <c r="Q63" s="18" t="n">
        <v>-2633.1</v>
      </c>
      <c r="R63" s="18" t="n">
        <v>65671.25</v>
      </c>
      <c r="S63" s="18" t="n">
        <v>7178</v>
      </c>
      <c r="T63" s="18" t="n">
        <v>2118.68</v>
      </c>
      <c r="U63" s="34" t="n">
        <v>72334.83</v>
      </c>
      <c r="V63" s="18" t="n">
        <v>6099.35</v>
      </c>
      <c r="W63" s="18" t="n">
        <v>2784.63</v>
      </c>
      <c r="X63" s="18" t="n">
        <v>-205.02</v>
      </c>
      <c r="Y63" s="18" t="n">
        <v>-4864.31</v>
      </c>
      <c r="Z63" s="34" t="n">
        <v>3814.65</v>
      </c>
      <c r="AA63" s="18" t="n">
        <v>6589.4</v>
      </c>
      <c r="AB63" s="19" t="n">
        <v>5423.23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-141725.05</v>
      </c>
      <c r="F64" s="9" t="n"/>
      <c r="G64" s="18" t="n">
        <v>-77425.14</v>
      </c>
      <c r="H64" s="18" t="n">
        <v>120747.61</v>
      </c>
      <c r="I64" s="18" t="n">
        <v>-396921.73</v>
      </c>
      <c r="J64" s="18" t="n">
        <v>50417.7</v>
      </c>
      <c r="K64" s="34" t="n">
        <v>-303181.56</v>
      </c>
      <c r="L64" s="18" t="n">
        <v>-36760.7</v>
      </c>
      <c r="M64" s="18" t="n">
        <v>43835.55</v>
      </c>
      <c r="N64" s="18" t="n">
        <v>-9375.540000000001</v>
      </c>
      <c r="O64" s="18" t="n">
        <v>171390.36</v>
      </c>
      <c r="P64" s="34" t="n">
        <v>169089.67</v>
      </c>
      <c r="Q64" s="18" t="n">
        <v>523045.66</v>
      </c>
      <c r="R64" s="18" t="n">
        <v>-197808.06</v>
      </c>
      <c r="S64" s="18" t="n">
        <v>-139073.87</v>
      </c>
      <c r="T64" s="18" t="n">
        <v>-246624.07</v>
      </c>
      <c r="U64" s="34" t="n">
        <v>-60460.34</v>
      </c>
      <c r="V64" s="18" t="n">
        <v>-50669.57</v>
      </c>
      <c r="W64" s="18" t="n">
        <v>1129282.86</v>
      </c>
      <c r="X64" s="18" t="n">
        <v>364281.54</v>
      </c>
      <c r="Y64" s="18" t="n">
        <v>861021.84</v>
      </c>
      <c r="Z64" s="34" t="n">
        <v>2303916.67</v>
      </c>
      <c r="AA64" s="18" t="n">
        <v>201322.45</v>
      </c>
      <c r="AB64" s="19" t="n">
        <v>3636399.22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60660.06</v>
      </c>
      <c r="F65" s="9" t="n"/>
      <c r="G65" s="18" t="n">
        <v>172654.13</v>
      </c>
      <c r="H65" s="18" t="n">
        <v>232747.28</v>
      </c>
      <c r="I65" s="18" t="n">
        <v>94028.08</v>
      </c>
      <c r="J65" s="18" t="n">
        <v>25075.89</v>
      </c>
      <c r="K65" s="34" t="n">
        <v>524505.38</v>
      </c>
      <c r="L65" s="18" t="n">
        <v>194455.26</v>
      </c>
      <c r="M65" s="18" t="n">
        <v>250334.27</v>
      </c>
      <c r="N65" s="18" t="n">
        <v>107961.58</v>
      </c>
      <c r="O65" s="18" t="n">
        <v>205449.62</v>
      </c>
      <c r="P65" s="34" t="n">
        <v>758200.73</v>
      </c>
      <c r="Q65" s="18" t="n">
        <v>656804.14</v>
      </c>
      <c r="R65" s="18" t="n">
        <v>108580.97</v>
      </c>
      <c r="S65" s="18" t="n">
        <v>-25469.22</v>
      </c>
      <c r="T65" s="18" t="n">
        <v>142914.91</v>
      </c>
      <c r="U65" s="34" t="n">
        <v>882830.8</v>
      </c>
      <c r="V65" s="18" t="n">
        <v>179435.72</v>
      </c>
      <c r="W65" s="18" t="n">
        <v>1327922.1</v>
      </c>
      <c r="X65" s="18" t="n">
        <v>542869.95</v>
      </c>
      <c r="Y65" s="18" t="n">
        <v>988843.73</v>
      </c>
      <c r="Z65" s="34" t="n">
        <v>3039071.5</v>
      </c>
      <c r="AA65" s="18" t="n">
        <v>562422.72</v>
      </c>
      <c r="AB65" s="19" t="n">
        <v>3764282.94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-202385.1</v>
      </c>
      <c r="F66" s="9" t="n"/>
      <c r="G66" s="18" t="n">
        <v>-250079.27</v>
      </c>
      <c r="H66" s="18" t="n">
        <v>-111999.67</v>
      </c>
      <c r="I66" s="18" t="n">
        <v>-490949.81</v>
      </c>
      <c r="J66" s="18" t="n">
        <v>25341.8</v>
      </c>
      <c r="K66" s="34" t="n">
        <v>-827686.95</v>
      </c>
      <c r="L66" s="18" t="n">
        <v>-231215.96</v>
      </c>
      <c r="M66" s="18" t="n">
        <v>-206498.72</v>
      </c>
      <c r="N66" s="18" t="n">
        <v>-117337.12</v>
      </c>
      <c r="O66" s="18" t="n">
        <v>-34059.26</v>
      </c>
      <c r="P66" s="34" t="n">
        <v>-589111.0600000001</v>
      </c>
      <c r="Q66" s="18" t="n">
        <v>-133758.48</v>
      </c>
      <c r="R66" s="18" t="n">
        <v>-306389.03</v>
      </c>
      <c r="S66" s="18" t="n">
        <v>-113604.65</v>
      </c>
      <c r="T66" s="18" t="n">
        <v>-389538.98</v>
      </c>
      <c r="U66" s="34" t="n">
        <v>-943291.14</v>
      </c>
      <c r="V66" s="18" t="n">
        <v>-230105.29</v>
      </c>
      <c r="W66" s="18" t="n">
        <v>-198639.25</v>
      </c>
      <c r="X66" s="18" t="n">
        <v>-178588.41</v>
      </c>
      <c r="Y66" s="18" t="n">
        <v>-127821.89</v>
      </c>
      <c r="Z66" s="34" t="n">
        <v>-735154.84</v>
      </c>
      <c r="AA66" s="18" t="n">
        <v>-361100.27</v>
      </c>
      <c r="AB66" s="19" t="n">
        <v>-127883.72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-108942.89</v>
      </c>
      <c r="F67" s="9" t="n"/>
      <c r="G67" s="18" t="n">
        <v>1084.84</v>
      </c>
      <c r="H67" s="18" t="n">
        <v>-14981.52</v>
      </c>
      <c r="I67" s="18" t="n">
        <v>-2537.48</v>
      </c>
      <c r="J67" s="18" t="n">
        <v>-61144.89</v>
      </c>
      <c r="K67" s="34" t="n">
        <v>-77579.05</v>
      </c>
      <c r="L67" s="18" t="n">
        <v>3451.36</v>
      </c>
      <c r="M67" s="18" t="n">
        <v>-10984.08</v>
      </c>
      <c r="N67" s="18" t="n">
        <v>407.65</v>
      </c>
      <c r="O67" s="18" t="n">
        <v>-29756.53</v>
      </c>
      <c r="P67" s="34" t="n">
        <v>-36881.6</v>
      </c>
      <c r="Q67" s="18" t="n">
        <v>-257.94</v>
      </c>
      <c r="R67" s="18" t="n">
        <v>-1097.36</v>
      </c>
      <c r="S67" s="18" t="n">
        <v>-533.25</v>
      </c>
      <c r="T67" s="18" t="n">
        <v>-11235.54</v>
      </c>
      <c r="U67" s="34" t="n">
        <v>-13124.09</v>
      </c>
      <c r="V67" s="18" t="n">
        <v>16521.8</v>
      </c>
      <c r="W67" s="18" t="n">
        <v>-5679.55</v>
      </c>
      <c r="X67" s="18" t="n">
        <v>-1951.29</v>
      </c>
      <c r="Y67" s="18" t="n">
        <v>-355408.02</v>
      </c>
      <c r="Z67" s="34" t="n">
        <v>-346517.06</v>
      </c>
      <c r="AA67" s="18" t="n">
        <v>16442.05</v>
      </c>
      <c r="AB67" s="19" t="n">
        <v>-11356.25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12171.04</v>
      </c>
      <c r="F68" s="9" t="n"/>
      <c r="G68" s="18" t="n">
        <v>25510.56</v>
      </c>
      <c r="H68" s="18" t="n">
        <v>9367.77</v>
      </c>
      <c r="I68" s="18" t="n">
        <v>13187.44</v>
      </c>
      <c r="J68" s="18" t="n">
        <v>14604.47</v>
      </c>
      <c r="K68" s="34" t="n">
        <v>62670.24</v>
      </c>
      <c r="L68" s="18" t="n">
        <v>30735.66</v>
      </c>
      <c r="M68" s="18" t="n">
        <v>14801.95</v>
      </c>
      <c r="N68" s="18" t="n">
        <v>-14493.56</v>
      </c>
      <c r="O68" s="18" t="n">
        <v>97273.99000000001</v>
      </c>
      <c r="P68" s="34" t="n">
        <v>128318.04</v>
      </c>
      <c r="Q68" s="18" t="n">
        <v>9612.6</v>
      </c>
      <c r="R68" s="18" t="n">
        <v>11687.35</v>
      </c>
      <c r="S68" s="18" t="n">
        <v>9202.83</v>
      </c>
      <c r="T68" s="18" t="n">
        <v>12298.98</v>
      </c>
      <c r="U68" s="34" t="n">
        <v>42801.76</v>
      </c>
      <c r="V68" s="18" t="n">
        <v>44443.33</v>
      </c>
      <c r="W68" s="18" t="n">
        <v>11915.21</v>
      </c>
      <c r="X68" s="18" t="n">
        <v>10059.25</v>
      </c>
      <c r="Y68" s="18" t="n">
        <v>80021.19</v>
      </c>
      <c r="Z68" s="34" t="n">
        <v>146438.98</v>
      </c>
      <c r="AA68" s="18" t="n">
        <v>28958.96</v>
      </c>
      <c r="AB68" s="19" t="n">
        <v>14305.05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-121113.93</v>
      </c>
      <c r="F69" s="9" t="n"/>
      <c r="G69" s="18" t="n">
        <v>-24425.72</v>
      </c>
      <c r="H69" s="18" t="n">
        <v>-24349.29</v>
      </c>
      <c r="I69" s="18" t="n">
        <v>-15724.92</v>
      </c>
      <c r="J69" s="18" t="n">
        <v>-75749.35000000001</v>
      </c>
      <c r="K69" s="34" t="n">
        <v>-140249.28</v>
      </c>
      <c r="L69" s="18" t="n">
        <v>-27284.3</v>
      </c>
      <c r="M69" s="18" t="n">
        <v>-25786.04</v>
      </c>
      <c r="N69" s="18" t="n">
        <v>-10154.46</v>
      </c>
      <c r="O69" s="18" t="n">
        <v>-37132.35</v>
      </c>
      <c r="P69" s="34" t="n">
        <v>-100357.15</v>
      </c>
      <c r="Q69" s="18" t="n">
        <v>-9870.540000000001</v>
      </c>
      <c r="R69" s="18" t="n">
        <v>-12784.71</v>
      </c>
      <c r="S69" s="18" t="n">
        <v>-9736.08</v>
      </c>
      <c r="T69" s="18" t="n">
        <v>-23534.53</v>
      </c>
      <c r="U69" s="34" t="n">
        <v>-55925.86</v>
      </c>
      <c r="V69" s="18" t="n">
        <v>-27921.53</v>
      </c>
      <c r="W69" s="18" t="n">
        <v>-17594.76</v>
      </c>
      <c r="X69" s="18" t="n">
        <v>-12010.54</v>
      </c>
      <c r="Y69" s="18" t="n">
        <v>-435429.19</v>
      </c>
      <c r="Z69" s="34" t="n">
        <v>-492956.02</v>
      </c>
      <c r="AA69" s="18" t="n">
        <v>-12516.91</v>
      </c>
      <c r="AB69" s="19" t="n">
        <v>-25661.3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-229081.42</v>
      </c>
      <c r="F70" s="9" t="n"/>
      <c r="G70" s="18" t="n">
        <v>84835.8</v>
      </c>
      <c r="H70" s="18" t="n">
        <v>279700.66</v>
      </c>
      <c r="I70" s="18" t="n">
        <v>-303128.83</v>
      </c>
      <c r="J70" s="18" t="n">
        <v>50546.32</v>
      </c>
      <c r="K70" s="34" t="n">
        <v>111953.95</v>
      </c>
      <c r="L70" s="18" t="n">
        <v>28085.27</v>
      </c>
      <c r="M70" s="18" t="n">
        <v>118363.47</v>
      </c>
      <c r="N70" s="18" t="n">
        <v>64968.09</v>
      </c>
      <c r="O70" s="18" t="n">
        <v>33018.95</v>
      </c>
      <c r="P70" s="34" t="n">
        <v>244435.78</v>
      </c>
      <c r="Q70" s="18" t="n">
        <v>627061.66</v>
      </c>
      <c r="R70" s="18" t="n">
        <v>7326.75</v>
      </c>
      <c r="S70" s="18" t="n">
        <v>-7100.57</v>
      </c>
      <c r="T70" s="18" t="n">
        <v>-157419.21</v>
      </c>
      <c r="U70" s="34" t="n">
        <v>469868.63</v>
      </c>
      <c r="V70" s="18" t="n">
        <v>75395.42</v>
      </c>
      <c r="W70" s="18" t="n">
        <v>1266768.63</v>
      </c>
      <c r="X70" s="18" t="n">
        <v>479388.78</v>
      </c>
      <c r="Y70" s="18" t="n">
        <v>567276.55</v>
      </c>
      <c r="Z70" s="34" t="n">
        <v>2388829.38</v>
      </c>
      <c r="AA70" s="18" t="n">
        <v>312482.02</v>
      </c>
      <c r="AB70" s="19" t="n">
        <v>3759350.52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3099.67</v>
      </c>
      <c r="F71" s="9" t="n"/>
      <c r="G71" s="18" t="n">
        <v>52638.49</v>
      </c>
      <c r="H71" s="18" t="n">
        <v>97501.33</v>
      </c>
      <c r="I71" s="18" t="n">
        <v>-37787.48</v>
      </c>
      <c r="J71" s="18" t="n">
        <v>-29060.04</v>
      </c>
      <c r="K71" s="34" t="n">
        <v>83292.3</v>
      </c>
      <c r="L71" s="18" t="n">
        <v>43537.28</v>
      </c>
      <c r="M71" s="18" t="n">
        <v>51039.59</v>
      </c>
      <c r="N71" s="18" t="n">
        <v>53730.12</v>
      </c>
      <c r="O71" s="18" t="n">
        <v>3626.16</v>
      </c>
      <c r="P71" s="34" t="n">
        <v>151933.15</v>
      </c>
      <c r="Q71" s="18" t="n">
        <v>172150.73</v>
      </c>
      <c r="R71" s="18" t="n">
        <v>40167.63</v>
      </c>
      <c r="S71" s="18" t="n">
        <v>35207.08</v>
      </c>
      <c r="T71" s="18" t="n">
        <v>-70951.32000000001</v>
      </c>
      <c r="U71" s="34" t="n">
        <v>176574.12</v>
      </c>
      <c r="V71" s="18" t="n">
        <v>31345.33</v>
      </c>
      <c r="W71" s="18" t="n">
        <v>373497.92</v>
      </c>
      <c r="X71" s="18" t="n">
        <v>153050.32</v>
      </c>
      <c r="Y71" s="18" t="n">
        <v>292439.53</v>
      </c>
      <c r="Z71" s="34" t="n">
        <v>850333.1</v>
      </c>
      <c r="AA71" s="18" t="n">
        <v>95525.12</v>
      </c>
      <c r="AB71" s="19" t="n">
        <v>916561.61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4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4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4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4" t="n">
        <v>1538496.28</v>
      </c>
      <c r="AA72" s="18" t="n">
        <v>216956.9</v>
      </c>
      <c r="AB72" s="19" t="n">
        <v>2842788.91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-232181.1</v>
      </c>
      <c r="F73" s="9" t="n"/>
      <c r="G73" s="18" t="n">
        <v>32197.3</v>
      </c>
      <c r="H73" s="18" t="n">
        <v>182199.33</v>
      </c>
      <c r="I73" s="18" t="n">
        <v>-265341.35</v>
      </c>
      <c r="J73" s="18" t="n">
        <v>79606.38</v>
      </c>
      <c r="K73" s="34" t="n">
        <v>28661.66</v>
      </c>
      <c r="L73" s="18" t="n">
        <v>-15452.01</v>
      </c>
      <c r="M73" s="18" t="n">
        <v>67323.88</v>
      </c>
      <c r="N73" s="18" t="n">
        <v>11237.96</v>
      </c>
      <c r="O73" s="18" t="n">
        <v>29392.8</v>
      </c>
      <c r="P73" s="34" t="n">
        <v>92502.63</v>
      </c>
      <c r="Q73" s="18" t="n">
        <v>454910.93</v>
      </c>
      <c r="R73" s="18" t="n">
        <v>-32840.88</v>
      </c>
      <c r="S73" s="18" t="n">
        <v>-42307.65</v>
      </c>
      <c r="T73" s="18" t="n">
        <v>-86467.89</v>
      </c>
      <c r="U73" s="34" t="n">
        <v>293294.51</v>
      </c>
      <c r="V73" s="18" t="n">
        <v>44050.09</v>
      </c>
      <c r="W73" s="18" t="n">
        <v>893270.72</v>
      </c>
      <c r="X73" s="18" t="n">
        <v>326338.46</v>
      </c>
      <c r="Y73" s="18" t="n">
        <v>274837.01</v>
      </c>
      <c r="Z73" s="34" t="n">
        <v>1538496.28</v>
      </c>
      <c r="AA73" s="18" t="n">
        <v>216956.9</v>
      </c>
      <c r="AB73" s="19" t="n">
        <v>2839157.16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-144073.23</v>
      </c>
      <c r="F74" s="9" t="n"/>
      <c r="G74" s="18" t="n">
        <v>108941.06</v>
      </c>
      <c r="H74" s="18" t="n">
        <v>227403.73</v>
      </c>
      <c r="I74" s="18" t="n">
        <v>-135778.68</v>
      </c>
      <c r="J74" s="18" t="n">
        <v>127702.55</v>
      </c>
      <c r="K74" s="34" t="n">
        <v>328268.66</v>
      </c>
      <c r="L74" s="18" t="n">
        <v>33993.03</v>
      </c>
      <c r="M74" s="18" t="n">
        <v>-7957.78</v>
      </c>
      <c r="N74" s="18" t="n">
        <v>-21160.36</v>
      </c>
      <c r="O74" s="18" t="n">
        <v>-49650.63</v>
      </c>
      <c r="P74" s="34" t="n">
        <v>-44775.74</v>
      </c>
      <c r="Q74" s="18" t="n">
        <v>445760.15</v>
      </c>
      <c r="R74" s="18" t="n">
        <v>-94097.05</v>
      </c>
      <c r="S74" s="18" t="n">
        <v>9993.059999999999</v>
      </c>
      <c r="T74" s="18" t="n">
        <v>-72038.07000000001</v>
      </c>
      <c r="U74" s="34" t="n">
        <v>289618.09</v>
      </c>
      <c r="V74" s="18" t="n">
        <v>1060461.13</v>
      </c>
      <c r="W74" s="18" t="n">
        <v>809004.78</v>
      </c>
      <c r="X74" s="18" t="n">
        <v>388859.58</v>
      </c>
      <c r="Y74" s="18" t="n">
        <v>373739.33</v>
      </c>
      <c r="Z74" s="34" t="n">
        <v>2632064.82</v>
      </c>
      <c r="AA74" s="18" t="n">
        <v>378216.65</v>
      </c>
      <c r="AB74" s="19" t="n">
        <v>2917000.03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-184616.89</v>
      </c>
      <c r="F75" s="9" t="n"/>
      <c r="G75" s="18" t="n">
        <v>6580.39</v>
      </c>
      <c r="H75" s="18" t="n">
        <v>169357.94</v>
      </c>
      <c r="I75" s="18" t="n">
        <v>-268008.68</v>
      </c>
      <c r="J75" s="18" t="n">
        <v>125933.34</v>
      </c>
      <c r="K75" s="34" t="n">
        <v>33862.99</v>
      </c>
      <c r="L75" s="18" t="n">
        <v>8136.88</v>
      </c>
      <c r="M75" s="18" t="n">
        <v>90992.96000000001</v>
      </c>
      <c r="N75" s="18" t="n">
        <v>46964.03</v>
      </c>
      <c r="O75" s="18" t="n">
        <v>66568.91</v>
      </c>
      <c r="P75" s="34" t="n">
        <v>212662.78</v>
      </c>
      <c r="Q75" s="18" t="n">
        <v>472184.45</v>
      </c>
      <c r="R75" s="18" t="n">
        <v>-32840.88</v>
      </c>
      <c r="S75" s="18" t="n">
        <v>-42307.65</v>
      </c>
      <c r="T75" s="18" t="n">
        <v>-86467.88</v>
      </c>
      <c r="U75" s="34" t="n">
        <v>310568.04</v>
      </c>
      <c r="V75" s="18" t="n">
        <v>44050.09</v>
      </c>
      <c r="W75" s="18" t="n">
        <v>893270.72</v>
      </c>
      <c r="X75" s="18" t="n">
        <v>326338.46</v>
      </c>
      <c r="Y75" s="18" t="n">
        <v>274837.01</v>
      </c>
      <c r="Z75" s="34" t="n">
        <v>1538496.28</v>
      </c>
      <c r="AA75" s="18" t="n">
        <v>216956.9</v>
      </c>
      <c r="AB75" s="19" t="n">
        <v>2839157.16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-47564.22</v>
      </c>
      <c r="F76" s="9" t="n"/>
      <c r="G76" s="18" t="n">
        <v>25616.91</v>
      </c>
      <c r="H76" s="18" t="n">
        <v>12841.39</v>
      </c>
      <c r="I76" s="18" t="n">
        <v>2667.33</v>
      </c>
      <c r="J76" s="18" t="n">
        <v>-46326.96</v>
      </c>
      <c r="K76" s="34" t="n">
        <v>-5201.33</v>
      </c>
      <c r="L76" s="18" t="n">
        <v>-23588.9</v>
      </c>
      <c r="M76" s="18" t="n">
        <v>-23669.08</v>
      </c>
      <c r="N76" s="18" t="n">
        <v>-35726.07</v>
      </c>
      <c r="O76" s="18" t="n">
        <v>-37176.12</v>
      </c>
      <c r="P76" s="34" t="n">
        <v>-120160.17</v>
      </c>
      <c r="Q76" s="18" t="n">
        <v>-17273.52</v>
      </c>
      <c r="R76" s="18" t="n">
        <v>0</v>
      </c>
      <c r="S76" s="18" t="n">
        <v>0</v>
      </c>
      <c r="T76" s="18" t="n">
        <v>0</v>
      </c>
      <c r="U76" s="34" t="n">
        <v>-17273.52</v>
      </c>
      <c r="V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1243.58</v>
      </c>
      <c r="H77" s="18" t="n">
        <v>1287.06</v>
      </c>
      <c r="I77" s="18" t="n">
        <v>2315.89</v>
      </c>
      <c r="J77" s="18" t="n">
        <v>5753.51</v>
      </c>
      <c r="K77" s="34" t="n">
        <v>10600.04</v>
      </c>
      <c r="L77" s="18" t="n">
        <v>6824.39</v>
      </c>
      <c r="M77" s="18" t="n">
        <v>7998.41</v>
      </c>
      <c r="N77" s="18" t="n">
        <v>9053.59</v>
      </c>
      <c r="O77" s="18" t="n">
        <v>9749.049999999999</v>
      </c>
      <c r="P77" s="34" t="n">
        <v>33625.44</v>
      </c>
      <c r="Q77" s="18" t="n">
        <v>9658.65</v>
      </c>
      <c r="R77" s="18" t="n">
        <v>9246.040000000001</v>
      </c>
      <c r="S77" s="18" t="n">
        <v>7984.59</v>
      </c>
      <c r="T77" s="18" t="n">
        <v>9140.559999999999</v>
      </c>
      <c r="U77" s="34" t="n">
        <v>36029.84</v>
      </c>
      <c r="V77" s="18" t="n">
        <v>4696.69</v>
      </c>
      <c r="W77" s="18" t="n">
        <v>5184</v>
      </c>
      <c r="X77" s="18" t="n">
        <v>6840.08</v>
      </c>
      <c r="Y77" s="18" t="n">
        <v>6399.41</v>
      </c>
      <c r="Z77" s="34" t="n">
        <v>23120.18</v>
      </c>
      <c r="AA77" s="18" t="n">
        <v>9435.26</v>
      </c>
      <c r="AB77" s="19" t="n">
        <v>9730.049999999999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G78" s="18" t="n">
        <v>76131.39</v>
      </c>
      <c r="H78" s="18" t="n">
        <v>143.99</v>
      </c>
      <c r="I78" s="18" t="n">
        <v>604.63</v>
      </c>
      <c r="J78" s="18" t="n">
        <v>7.94</v>
      </c>
      <c r="K78" s="34" t="n">
        <v>76887.95</v>
      </c>
      <c r="L78" s="18" t="n">
        <v>43826.68</v>
      </c>
      <c r="M78" s="18" t="n">
        <v>0</v>
      </c>
      <c r="N78" s="18" t="n">
        <v>458.48</v>
      </c>
      <c r="O78" s="18" t="n">
        <v>0</v>
      </c>
      <c r="P78" s="34" t="n">
        <v>44285.16</v>
      </c>
      <c r="Q78" s="18" t="n">
        <v>48061.81</v>
      </c>
      <c r="R78" s="18" t="n">
        <v>0</v>
      </c>
      <c r="S78" s="18" t="n">
        <v>458.48</v>
      </c>
      <c r="T78" s="18" t="n">
        <v>0</v>
      </c>
      <c r="U78" s="34" t="n">
        <v>48520.29</v>
      </c>
      <c r="V78" s="18" t="n">
        <v>62913.24</v>
      </c>
      <c r="W78" s="18" t="n">
        <v>0</v>
      </c>
      <c r="X78" s="18" t="n">
        <v>9216.450000000001</v>
      </c>
      <c r="Y78" s="18" t="n">
        <v>110.77</v>
      </c>
      <c r="Z78" s="34" t="n">
        <v>72240.46000000001</v>
      </c>
      <c r="AA78" s="18" t="n">
        <v>78278.22</v>
      </c>
      <c r="AB78" s="19" t="n">
        <v>475.31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-35914.99</v>
      </c>
      <c r="H79" s="18" t="n">
        <v>-45070.25</v>
      </c>
      <c r="I79" s="18" t="n">
        <v>-47540.95</v>
      </c>
      <c r="J79" s="18" t="n">
        <v>-49805.16</v>
      </c>
      <c r="K79" s="34" t="n">
        <v>-178331.35</v>
      </c>
      <c r="L79" s="18" t="n">
        <v>-51779.3</v>
      </c>
      <c r="M79" s="18" t="n">
        <v>-73501.45</v>
      </c>
      <c r="N79" s="18" t="n">
        <v>-62995.28</v>
      </c>
      <c r="O79" s="18" t="n">
        <v>-66368.49000000001</v>
      </c>
      <c r="P79" s="34" t="n">
        <v>-254644.52</v>
      </c>
      <c r="Q79" s="18" t="n">
        <v>-66011.17</v>
      </c>
      <c r="R79" s="18" t="n">
        <v>-92351.53999999999</v>
      </c>
      <c r="S79" s="18" t="n">
        <v>-94206.83</v>
      </c>
      <c r="T79" s="18" t="n">
        <v>-95237.00999999999</v>
      </c>
      <c r="U79" s="34" t="n">
        <v>-347806.55</v>
      </c>
      <c r="V79" s="18" t="n">
        <v>-78864.28999999999</v>
      </c>
      <c r="W79" s="18" t="n">
        <v>-78934.92999999999</v>
      </c>
      <c r="X79" s="18" t="n">
        <v>-90252.5</v>
      </c>
      <c r="Y79" s="18" t="n">
        <v>-91793.28</v>
      </c>
      <c r="Z79" s="34" t="n">
        <v>-339845</v>
      </c>
      <c r="AA79" s="18" t="n">
        <v>-72288.52</v>
      </c>
      <c r="AB79" s="19" t="n">
        <v>-75403.96000000001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18645.12</v>
      </c>
      <c r="H80" s="18" t="n">
        <v>37520.7</v>
      </c>
      <c r="I80" s="18" t="n">
        <v>44645.99</v>
      </c>
      <c r="J80" s="18" t="n">
        <v>36391.16</v>
      </c>
      <c r="K80" s="34" t="n">
        <v>137202.97</v>
      </c>
      <c r="L80" s="18" t="n">
        <v>26667.8</v>
      </c>
      <c r="M80" s="18" t="n">
        <v>26381.53</v>
      </c>
      <c r="N80" s="18" t="n">
        <v>19835.6</v>
      </c>
      <c r="O80" s="18" t="n">
        <v>25749.15</v>
      </c>
      <c r="P80" s="34" t="n">
        <v>98634.08</v>
      </c>
      <c r="Q80" s="18" t="n">
        <v>28985.2</v>
      </c>
      <c r="R80" s="18" t="n">
        <v>29021.28</v>
      </c>
      <c r="S80" s="18" t="n">
        <v>14401.43</v>
      </c>
      <c r="T80" s="18" t="n">
        <v>66663.8</v>
      </c>
      <c r="U80" s="34" t="n">
        <v>139071.71</v>
      </c>
      <c r="V80" s="18" t="n">
        <v>15900.6</v>
      </c>
      <c r="W80" s="18" t="n">
        <v>38399.63</v>
      </c>
      <c r="X80" s="18" t="n">
        <v>25574.32</v>
      </c>
      <c r="Y80" s="18" t="n">
        <v>33953.29</v>
      </c>
      <c r="Z80" s="34" t="n">
        <v>113827.84</v>
      </c>
      <c r="AA80" s="18" t="n">
        <v>21180.12</v>
      </c>
      <c r="AB80" s="19" t="n">
        <v>42412.63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-14682.41</v>
      </c>
      <c r="H81" s="18" t="n">
        <v>-23109.87</v>
      </c>
      <c r="I81" s="18" t="n">
        <v>-25429</v>
      </c>
      <c r="J81" s="18" t="n">
        <v>-39700.82</v>
      </c>
      <c r="K81" s="34" t="n">
        <v>-102922.1</v>
      </c>
      <c r="L81" s="18" t="n">
        <v>-29261.05</v>
      </c>
      <c r="M81" s="18" t="n">
        <v>-20398.24</v>
      </c>
      <c r="N81" s="18" t="n">
        <v>-16061.95</v>
      </c>
      <c r="O81" s="18" t="n">
        <v>-17418.38</v>
      </c>
      <c r="P81" s="34" t="n">
        <v>-83139.62</v>
      </c>
      <c r="Q81" s="18" t="n">
        <v>-11995.86</v>
      </c>
      <c r="R81" s="18" t="n">
        <v>-10360.83</v>
      </c>
      <c r="S81" s="18" t="n">
        <v>-23805.76</v>
      </c>
      <c r="T81" s="18" t="n">
        <v>-16623.5</v>
      </c>
      <c r="U81" s="34" t="n">
        <v>-62785.95</v>
      </c>
      <c r="V81" s="18" t="n">
        <v>-19009.53</v>
      </c>
      <c r="W81" s="18" t="n">
        <v>-35308.93</v>
      </c>
      <c r="X81" s="18" t="n">
        <v>-31992.77</v>
      </c>
      <c r="Y81" s="18" t="n">
        <v>-10033.54</v>
      </c>
      <c r="Z81" s="34" t="n">
        <v>-96344.77</v>
      </c>
      <c r="AA81" s="18" t="n">
        <v>-11180.82</v>
      </c>
      <c r="AB81" s="19" t="n">
        <v>-18254.8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51609.49</v>
      </c>
      <c r="H82" s="18" t="n">
        <v>25151.02</v>
      </c>
      <c r="I82" s="18" t="n">
        <v>10592</v>
      </c>
      <c r="J82" s="18" t="n">
        <v>-47352.59</v>
      </c>
      <c r="K82" s="34" t="n">
        <v>39999.92</v>
      </c>
      <c r="L82" s="18" t="n">
        <v>38497.85</v>
      </c>
      <c r="M82" s="18" t="n">
        <v>61106.82</v>
      </c>
      <c r="N82" s="18" t="n">
        <v>46830.42</v>
      </c>
      <c r="O82" s="18" t="n">
        <v>-106124.03</v>
      </c>
      <c r="P82" s="34" t="n">
        <v>40311.06</v>
      </c>
      <c r="Q82" s="18" t="n">
        <v>45192.81</v>
      </c>
      <c r="R82" s="18" t="n">
        <v>53139.72</v>
      </c>
      <c r="S82" s="18" t="n">
        <v>-65314.42</v>
      </c>
      <c r="T82" s="18" t="n">
        <v>82531.74000000001</v>
      </c>
      <c r="U82" s="34" t="n">
        <v>115549.85</v>
      </c>
      <c r="V82" s="18" t="n">
        <v>37598.45</v>
      </c>
      <c r="W82" s="18" t="n">
        <v>34797.71</v>
      </c>
      <c r="X82" s="18" t="n">
        <v>-4647.71</v>
      </c>
      <c r="Y82" s="18" t="n">
        <v>13358.45</v>
      </c>
      <c r="Z82" s="34" t="n">
        <v>81106.89999999999</v>
      </c>
      <c r="AA82" s="18" t="n">
        <v>68669.38</v>
      </c>
      <c r="AB82" s="19" t="n">
        <v>3281.19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-53177.18</v>
      </c>
      <c r="H83" s="18" t="n">
        <v>-21345.24</v>
      </c>
      <c r="I83" s="18" t="n">
        <v>-17103.1</v>
      </c>
      <c r="J83" s="18" t="n">
        <v>7234.39</v>
      </c>
      <c r="K83" s="34" t="n">
        <v>-84391.13</v>
      </c>
      <c r="L83" s="18" t="n">
        <v>-51826.15</v>
      </c>
      <c r="M83" s="18" t="n">
        <v>-57681.44</v>
      </c>
      <c r="N83" s="18" t="n">
        <v>-37136.92</v>
      </c>
      <c r="O83" s="18" t="n">
        <v>69979.13</v>
      </c>
      <c r="P83" s="34" t="n">
        <v>-76665.38</v>
      </c>
      <c r="Q83" s="18" t="n">
        <v>-34257.71</v>
      </c>
      <c r="R83" s="18" t="n">
        <v>-38852.34</v>
      </c>
      <c r="S83" s="18" t="n">
        <v>11325.64</v>
      </c>
      <c r="T83" s="18" t="n">
        <v>-28984.04</v>
      </c>
      <c r="U83" s="34" t="n">
        <v>-90768.45</v>
      </c>
      <c r="V83" s="18" t="n">
        <v>-49263.89</v>
      </c>
      <c r="W83" s="18" t="n">
        <v>-79895.00999999999</v>
      </c>
      <c r="X83" s="18" t="n">
        <v>18387.65</v>
      </c>
      <c r="Y83" s="18" t="n">
        <v>-36312.17</v>
      </c>
      <c r="Z83" s="34" t="n">
        <v>-147083.42</v>
      </c>
      <c r="AA83" s="18" t="n">
        <v>-85101.69</v>
      </c>
      <c r="AB83" s="19" t="n">
        <v>-27940.25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파생상품이익</t>
        </is>
      </c>
      <c r="F84" s="9" t="n"/>
      <c r="G84" s="18" t="n">
        <v>15339.88</v>
      </c>
      <c r="H84" s="18" t="n">
        <v>13053.82</v>
      </c>
      <c r="I84" s="18" t="n">
        <v>16582.84</v>
      </c>
      <c r="J84" s="18" t="n">
        <v>-19179.86</v>
      </c>
      <c r="K84" s="34" t="n">
        <v>25796.68</v>
      </c>
      <c r="L84" s="18" t="n">
        <v>31822.83</v>
      </c>
      <c r="M84" s="18" t="n">
        <v>19689.76</v>
      </c>
      <c r="N84" s="18" t="n">
        <v>21970.38</v>
      </c>
      <c r="O84" s="18" t="n">
        <v>-47550.93</v>
      </c>
      <c r="P84" s="34" t="n">
        <v>25932.04</v>
      </c>
      <c r="Q84" s="18" t="n">
        <v>6756.51</v>
      </c>
      <c r="R84" s="18" t="n">
        <v>9901.809999999999</v>
      </c>
      <c r="S84" s="18" t="n">
        <v>-65.06</v>
      </c>
      <c r="T84" s="18" t="n">
        <v>6212.8</v>
      </c>
      <c r="U84" s="34" t="n">
        <v>22806.06</v>
      </c>
      <c r="V84" s="18" t="n">
        <v>5394.59</v>
      </c>
      <c r="W84" s="18" t="n">
        <v>1069.6</v>
      </c>
      <c r="X84" s="18" t="n">
        <v>5330.21</v>
      </c>
      <c r="Y84" s="18" t="n">
        <v>5064.25</v>
      </c>
      <c r="Z84" s="34" t="n">
        <v>16858.65</v>
      </c>
      <c r="AA84" s="18" t="n">
        <v>122157.76</v>
      </c>
      <c r="AB84" s="19" t="n">
        <v>51127.49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-2415.93</v>
      </c>
      <c r="H85" s="18" t="n">
        <v>-1204.86</v>
      </c>
      <c r="I85" s="18" t="n">
        <v>-1148.32</v>
      </c>
      <c r="J85" s="18" t="n">
        <v>-38446.14</v>
      </c>
      <c r="K85" s="34" t="n">
        <v>-43215.25</v>
      </c>
      <c r="L85" s="18" t="n">
        <v>-3456.95</v>
      </c>
      <c r="M85" s="18" t="n">
        <v>-470.21</v>
      </c>
      <c r="N85" s="18" t="n">
        <v>-764.04</v>
      </c>
      <c r="O85" s="18" t="n">
        <v>-112308.6</v>
      </c>
      <c r="P85" s="34" t="n">
        <v>-116999.8</v>
      </c>
      <c r="Q85" s="18" t="n">
        <v>-5403.71</v>
      </c>
      <c r="R85" s="18" t="n">
        <v>-5059.23</v>
      </c>
      <c r="S85" s="18" t="n">
        <v>-2882</v>
      </c>
      <c r="T85" s="18" t="n">
        <v>-905.11</v>
      </c>
      <c r="U85" s="34" t="n">
        <v>-14250.05</v>
      </c>
      <c r="V85" s="18" t="n">
        <v>-1492.13</v>
      </c>
      <c r="W85" s="18" t="n">
        <v>-163.96</v>
      </c>
      <c r="X85" s="18" t="n">
        <v>-73656.39999999999</v>
      </c>
      <c r="Y85" s="18" t="n">
        <v>19085.1</v>
      </c>
      <c r="Z85" s="34" t="n">
        <v>-56227.39</v>
      </c>
      <c r="AA85" s="18" t="n">
        <v>-13246.43</v>
      </c>
      <c r="AB85" s="19" t="n">
        <v>-5429.36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37158.57</v>
      </c>
      <c r="H86" s="18" t="n">
        <v>46357.31</v>
      </c>
      <c r="I86" s="18" t="n">
        <v>49856.84</v>
      </c>
      <c r="J86" s="18" t="n">
        <v>55558.67</v>
      </c>
      <c r="K86" s="34" t="n">
        <v>188931.39</v>
      </c>
      <c r="L86" s="18" t="n">
        <v>58603.69</v>
      </c>
      <c r="M86" s="18" t="n">
        <v>81499.86</v>
      </c>
      <c r="N86" s="18" t="n">
        <v>72048.87</v>
      </c>
      <c r="O86" s="18" t="n">
        <v>76117.53999999999</v>
      </c>
      <c r="P86" s="34" t="n">
        <v>288269.96</v>
      </c>
      <c r="Q86" s="18" t="n">
        <v>75669.82000000001</v>
      </c>
      <c r="R86" s="18" t="n">
        <v>101597.58</v>
      </c>
      <c r="S86" s="18" t="n">
        <v>102191.42</v>
      </c>
      <c r="T86" s="18" t="n">
        <v>104377.57</v>
      </c>
      <c r="U86" s="34" t="n">
        <v>383836.39</v>
      </c>
      <c r="V86" s="18" t="n">
        <v>83560.98</v>
      </c>
      <c r="W86" s="18" t="n">
        <v>84118.92999999999</v>
      </c>
      <c r="X86" s="18" t="n">
        <v>97092.58</v>
      </c>
      <c r="Y86" s="18" t="n">
        <v>98192.69</v>
      </c>
      <c r="Z86" s="34" t="n">
        <v>362965.18</v>
      </c>
      <c r="AA86" s="18" t="n">
        <v>81723.78</v>
      </c>
      <c r="AB86" s="19" t="n">
        <v>85134.00999999999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중단사업이익</t>
        </is>
      </c>
      <c r="F87" s="9" t="n"/>
      <c r="K87" s="9" t="n"/>
      <c r="P87" s="9" t="n"/>
      <c r="U87" s="9" t="n"/>
      <c r="Z87" s="9" t="n"/>
      <c r="AB87" s="19" t="n">
        <v>-3631.75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189767.52</v>
      </c>
      <c r="F88" s="9" t="n"/>
      <c r="G88" s="18" t="n">
        <v>-76357.97</v>
      </c>
      <c r="H88" s="18" t="n">
        <v>36313.96</v>
      </c>
      <c r="I88" s="18" t="n">
        <v>206935.87</v>
      </c>
      <c r="J88" s="18" t="n">
        <v>217674.51</v>
      </c>
      <c r="K88" s="34" t="n">
        <v>384566.37</v>
      </c>
      <c r="L88" s="18" t="n">
        <v>19425.33</v>
      </c>
      <c r="M88" s="18" t="n">
        <v>265160.35</v>
      </c>
      <c r="N88" s="18" t="n">
        <v>176899.91</v>
      </c>
      <c r="O88" s="18" t="n">
        <v>326780.74</v>
      </c>
      <c r="P88" s="34" t="n">
        <v>788266.33</v>
      </c>
      <c r="Q88" s="18" t="n">
        <v>113737.76</v>
      </c>
      <c r="R88" s="18" t="n">
        <v>209889</v>
      </c>
      <c r="S88" s="18" t="n">
        <v>134088.68</v>
      </c>
      <c r="T88" s="18" t="n">
        <v>139085.85</v>
      </c>
      <c r="U88" s="34" t="n">
        <v>596801.29</v>
      </c>
      <c r="V88" s="18" t="n">
        <v>109138.48</v>
      </c>
      <c r="W88" s="18" t="n">
        <v>167174.14</v>
      </c>
      <c r="X88" s="18" t="n">
        <v>135288.72</v>
      </c>
      <c r="Y88" s="18" t="n">
        <v>377876.14</v>
      </c>
      <c r="Z88" s="34" t="n">
        <v>789477.48</v>
      </c>
      <c r="AA88" s="18" t="n">
        <v>85181.96000000001</v>
      </c>
      <c r="AB88" s="19" t="n">
        <v>30910.52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감가상각비</t>
        </is>
      </c>
      <c r="E89" s="18" t="n">
        <v>7231.1</v>
      </c>
      <c r="F89" s="9" t="n"/>
      <c r="G89" s="18" t="n">
        <v>6904.18</v>
      </c>
      <c r="H89" s="18" t="n">
        <v>6495.89</v>
      </c>
      <c r="I89" s="18" t="n">
        <v>6792.9</v>
      </c>
      <c r="J89" s="18" t="n">
        <v>7437.76</v>
      </c>
      <c r="K89" s="34" t="n">
        <v>27630.73</v>
      </c>
      <c r="L89" s="18" t="n">
        <v>7069.9</v>
      </c>
      <c r="M89" s="18" t="n">
        <v>7034.24</v>
      </c>
      <c r="N89" s="18" t="n">
        <v>7209.64</v>
      </c>
      <c r="O89" s="18" t="n">
        <v>10742.84</v>
      </c>
      <c r="P89" s="34" t="n">
        <v>32056.62</v>
      </c>
      <c r="Q89" s="18" t="n">
        <v>7059.71</v>
      </c>
      <c r="R89" s="18" t="n">
        <v>7315.32</v>
      </c>
      <c r="S89" s="18" t="n">
        <v>7351.83</v>
      </c>
      <c r="T89" s="18" t="n">
        <v>6808.32</v>
      </c>
      <c r="U89" s="34" t="n">
        <v>28535.18</v>
      </c>
      <c r="V89" s="18" t="n">
        <v>103182.77</v>
      </c>
      <c r="W89" s="18" t="n">
        <v>97615.25</v>
      </c>
      <c r="X89" s="18" t="n">
        <v>-177546.86</v>
      </c>
      <c r="Y89" s="18" t="n">
        <v>386321.79</v>
      </c>
      <c r="Z89" s="34" t="n">
        <v>409572.95</v>
      </c>
      <c r="AA89" s="18" t="n">
        <v>93709.35000000001</v>
      </c>
      <c r="AB89" s="19" t="n">
        <v>91886.07000000001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무형자산상각비</t>
        </is>
      </c>
      <c r="E90" s="18" t="n">
        <v>10316.76</v>
      </c>
      <c r="F90" s="9" t="n"/>
      <c r="G90" s="18" t="n">
        <v>9633.33</v>
      </c>
      <c r="H90" s="18" t="n">
        <v>10783.43</v>
      </c>
      <c r="I90" s="18" t="n">
        <v>11943.51</v>
      </c>
      <c r="J90" s="18" t="n">
        <v>11017.5</v>
      </c>
      <c r="K90" s="34" t="n">
        <v>43377.77</v>
      </c>
      <c r="L90" s="18" t="n">
        <v>15455.79</v>
      </c>
      <c r="M90" s="18" t="n">
        <v>11241.46</v>
      </c>
      <c r="N90" s="18" t="n">
        <v>11390.85</v>
      </c>
      <c r="O90" s="18" t="n">
        <v>8506.49</v>
      </c>
      <c r="P90" s="34" t="n">
        <v>46594.59</v>
      </c>
      <c r="Q90" s="18" t="n">
        <v>12560.41</v>
      </c>
      <c r="R90" s="18" t="n">
        <v>11918.19</v>
      </c>
      <c r="S90" s="18" t="n">
        <v>11597.57</v>
      </c>
      <c r="T90" s="18" t="n">
        <v>12238.65</v>
      </c>
      <c r="U90" s="34" t="n">
        <v>48314.82</v>
      </c>
      <c r="V90" s="18" t="n">
        <v>12507.98</v>
      </c>
      <c r="W90" s="18" t="n">
        <v>12137.41</v>
      </c>
      <c r="X90" s="18" t="n">
        <v>11921.41</v>
      </c>
      <c r="Y90" s="18" t="n">
        <v>12821.84</v>
      </c>
      <c r="Z90" s="34" t="n">
        <v>49388.64</v>
      </c>
      <c r="AA90" s="18" t="n">
        <v>11707.12</v>
      </c>
      <c r="AB90" s="19" t="n">
        <v>12427.34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59809.67</v>
      </c>
      <c r="F91" s="9" t="n"/>
      <c r="G91" s="18" t="n">
        <v>-51434.55</v>
      </c>
      <c r="H91" s="18" t="n">
        <v>-51879.03</v>
      </c>
      <c r="I91" s="18" t="n">
        <v>-54912.15</v>
      </c>
      <c r="J91" s="18" t="n">
        <v>-15171.01</v>
      </c>
      <c r="K91" s="34" t="n">
        <v>-173396.74</v>
      </c>
      <c r="L91" s="18" t="n">
        <v>-52806.03</v>
      </c>
      <c r="M91" s="18" t="n">
        <v>-34801.84</v>
      </c>
      <c r="N91" s="18" t="n">
        <v>-29351.47</v>
      </c>
      <c r="O91" s="18" t="n">
        <v>-33724.33</v>
      </c>
      <c r="P91" s="34" t="n">
        <v>-150683.67</v>
      </c>
      <c r="Q91" s="18" t="n">
        <v>-25539.05</v>
      </c>
      <c r="R91" s="18" t="n">
        <v>-41834.59</v>
      </c>
      <c r="S91" s="18" t="n">
        <v>-37308.76</v>
      </c>
      <c r="T91" s="18" t="n">
        <v>-28225.56</v>
      </c>
      <c r="U91" s="34" t="n">
        <v>-132907.96</v>
      </c>
      <c r="V91" s="18" t="n">
        <v>-96171.84</v>
      </c>
      <c r="W91" s="18" t="n">
        <v>-83723.16</v>
      </c>
      <c r="X91" s="18" t="n">
        <v>-53013.38</v>
      </c>
      <c r="Y91" s="18" t="n">
        <v>-44772.23</v>
      </c>
      <c r="Z91" s="34" t="n">
        <v>-277680.61</v>
      </c>
      <c r="AA91" s="18" t="n">
        <v>-61617.87</v>
      </c>
      <c r="AB91" s="19" t="n">
        <v>-9135.620000000001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390031.95</v>
      </c>
      <c r="F92" s="9" t="n"/>
      <c r="G92" s="18" t="n">
        <v>-447113.88</v>
      </c>
      <c r="H92" s="18" t="n">
        <v>-95715.22</v>
      </c>
      <c r="I92" s="18" t="n">
        <v>401282.92</v>
      </c>
      <c r="J92" s="18" t="n">
        <v>177631.35</v>
      </c>
      <c r="K92" s="34" t="n">
        <v>36085.17</v>
      </c>
      <c r="L92" s="18" t="n">
        <v>-128460.36</v>
      </c>
      <c r="M92" s="18" t="n">
        <v>-83739.69</v>
      </c>
      <c r="N92" s="18" t="n">
        <v>-89760.59</v>
      </c>
      <c r="O92" s="18" t="n">
        <v>-53380.52</v>
      </c>
      <c r="P92" s="34" t="n">
        <v>-355341.16</v>
      </c>
      <c r="Q92" s="18" t="n">
        <v>-72833.17999999999</v>
      </c>
      <c r="R92" s="18" t="n">
        <v>507010.91</v>
      </c>
      <c r="S92" s="18" t="n">
        <v>-105491.96</v>
      </c>
      <c r="T92" s="18" t="n">
        <v>-47148.44</v>
      </c>
      <c r="U92" s="34" t="n">
        <v>281537.33</v>
      </c>
      <c r="V92" s="18" t="n">
        <v>-89288.97</v>
      </c>
      <c r="W92" s="18" t="n">
        <v>146540.07</v>
      </c>
      <c r="X92" s="18" t="n">
        <v>105710.03</v>
      </c>
      <c r="Y92" s="18" t="n">
        <v>106421.83</v>
      </c>
      <c r="Z92" s="34" t="n">
        <v>269382.96</v>
      </c>
      <c r="AA92" s="18" t="n">
        <v>-109480.52</v>
      </c>
      <c r="AB92" s="19" t="n">
        <v>67983.59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102819.66</v>
      </c>
      <c r="F93" s="9" t="n"/>
      <c r="G93" s="18" t="n">
        <v>72229.7</v>
      </c>
      <c r="H93" s="18" t="n">
        <v>87111.85000000001</v>
      </c>
      <c r="I93" s="18" t="n">
        <v>101693.09</v>
      </c>
      <c r="J93" s="18" t="n">
        <v>123706.92</v>
      </c>
      <c r="K93" s="34" t="n">
        <v>384741.56</v>
      </c>
      <c r="L93" s="18" t="n">
        <v>114720.08</v>
      </c>
      <c r="M93" s="18" t="n">
        <v>70988.73</v>
      </c>
      <c r="N93" s="18" t="n">
        <v>125619.7</v>
      </c>
      <c r="O93" s="18" t="n">
        <v>67680.85000000001</v>
      </c>
      <c r="P93" s="34" t="n">
        <v>379009.36</v>
      </c>
      <c r="Q93" s="18" t="n">
        <v>55864.07</v>
      </c>
      <c r="R93" s="18" t="n">
        <v>72825.24000000001</v>
      </c>
      <c r="S93" s="18" t="n">
        <v>64949.2</v>
      </c>
      <c r="T93" s="18" t="n">
        <v>64081.33</v>
      </c>
      <c r="U93" s="34" t="n">
        <v>257719.84</v>
      </c>
      <c r="V93" s="18" t="n">
        <v>91179.11</v>
      </c>
      <c r="W93" s="18" t="n">
        <v>46925.54</v>
      </c>
      <c r="X93" s="18" t="n">
        <v>73752.25999999999</v>
      </c>
      <c r="Y93" s="18" t="n">
        <v>108048.61</v>
      </c>
      <c r="Z93" s="34" t="n">
        <v>319905.52</v>
      </c>
      <c r="AA93" s="18" t="n">
        <v>94238.32000000001</v>
      </c>
      <c r="AB93" s="19" t="n">
        <v>83596.02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104133.59</v>
      </c>
      <c r="F94" s="9" t="n"/>
      <c r="G94" s="18" t="n">
        <v>72627.46000000001</v>
      </c>
      <c r="H94" s="18" t="n">
        <v>89907.98</v>
      </c>
      <c r="I94" s="18" t="n">
        <v>105056.71</v>
      </c>
      <c r="J94" s="18" t="n">
        <v>125439.45</v>
      </c>
      <c r="K94" s="34" t="n">
        <v>393031.6</v>
      </c>
      <c r="L94" s="18" t="n">
        <v>120787.53</v>
      </c>
      <c r="M94" s="18" t="n">
        <v>73053.42999999999</v>
      </c>
      <c r="N94" s="18" t="n">
        <v>126554.27</v>
      </c>
      <c r="O94" s="18" t="n">
        <v>69451.98</v>
      </c>
      <c r="P94" s="34" t="n">
        <v>389847.21</v>
      </c>
      <c r="Q94" s="18" t="n">
        <v>57157.04</v>
      </c>
      <c r="R94" s="18" t="n">
        <v>74065.75</v>
      </c>
      <c r="S94" s="18" t="n">
        <v>65508.53</v>
      </c>
      <c r="T94" s="18" t="n">
        <v>68269.3</v>
      </c>
      <c r="U94" s="34" t="n">
        <v>265000.62</v>
      </c>
      <c r="V94" s="18" t="n">
        <v>92403.92</v>
      </c>
      <c r="W94" s="18" t="n">
        <v>48155.14</v>
      </c>
      <c r="X94" s="18" t="n">
        <v>75674.07000000001</v>
      </c>
      <c r="Y94" s="18" t="n">
        <v>114486.52</v>
      </c>
      <c r="Z94" s="34" t="n">
        <v>330719.65</v>
      </c>
      <c r="AA94" s="18" t="n">
        <v>95027.00999999999</v>
      </c>
      <c r="AB94" s="19" t="n">
        <v>84402.91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1313.93</v>
      </c>
      <c r="F95" s="9" t="n"/>
      <c r="G95" s="18" t="n">
        <v>397.76</v>
      </c>
      <c r="H95" s="18" t="n">
        <v>2796.13</v>
      </c>
      <c r="I95" s="18" t="n">
        <v>3363.62</v>
      </c>
      <c r="J95" s="18" t="n">
        <v>1732.53</v>
      </c>
      <c r="K95" s="34" t="n">
        <v>8290.040000000001</v>
      </c>
      <c r="L95" s="18" t="n">
        <v>6067.45</v>
      </c>
      <c r="M95" s="18" t="n">
        <v>2064.7</v>
      </c>
      <c r="N95" s="18" t="n">
        <v>934.5700000000001</v>
      </c>
      <c r="O95" s="18" t="n">
        <v>1771.13</v>
      </c>
      <c r="P95" s="34" t="n">
        <v>10837.85</v>
      </c>
      <c r="Q95" s="18" t="n">
        <v>1292.97</v>
      </c>
      <c r="R95" s="18" t="n">
        <v>1240.51</v>
      </c>
      <c r="S95" s="18" t="n">
        <v>559.33</v>
      </c>
      <c r="T95" s="18" t="n">
        <v>4187.97</v>
      </c>
      <c r="U95" s="34" t="n">
        <v>7280.78</v>
      </c>
      <c r="V95" s="18" t="n">
        <v>1224.81</v>
      </c>
      <c r="W95" s="18" t="n">
        <v>1229.6</v>
      </c>
      <c r="X95" s="18" t="n">
        <v>1921.81</v>
      </c>
      <c r="Y95" s="18" t="n">
        <v>6437.91</v>
      </c>
      <c r="Z95" s="34" t="n">
        <v>10814.13</v>
      </c>
      <c r="AA95" s="18" t="n">
        <v>788.6900000000001</v>
      </c>
      <c r="AB95" s="19" t="n">
        <v>806.89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806.04</v>
      </c>
      <c r="F96" s="9" t="n"/>
      <c r="G96" s="18" t="n">
        <v>705.9299999999999</v>
      </c>
      <c r="H96" s="18" t="n">
        <v>2943.72</v>
      </c>
      <c r="I96" s="18" t="n">
        <v>508.07</v>
      </c>
      <c r="J96" s="18" t="n">
        <v>2019.59</v>
      </c>
      <c r="K96" s="34" t="n">
        <v>6177.31</v>
      </c>
      <c r="L96" s="18" t="n">
        <v>45146.72</v>
      </c>
      <c r="N96" s="18" t="n">
        <v>8482.85</v>
      </c>
      <c r="P96" s="9" t="n"/>
      <c r="Q96" s="18" t="n">
        <v>788.05</v>
      </c>
      <c r="R96" s="18" t="n">
        <v>820.5700000000001</v>
      </c>
      <c r="S96" s="18" t="n">
        <v>1244.14</v>
      </c>
      <c r="T96" s="18" t="n">
        <v>4274.97</v>
      </c>
      <c r="U96" s="34" t="n">
        <v>7127.73</v>
      </c>
      <c r="V96" s="18" t="n">
        <v>336.63</v>
      </c>
      <c r="W96" s="18" t="n">
        <v>1113.85</v>
      </c>
      <c r="X96" s="18" t="n">
        <v>5295.68</v>
      </c>
      <c r="Y96" s="18" t="n">
        <v>25821.38</v>
      </c>
      <c r="Z96" s="34" t="n">
        <v>32567.54</v>
      </c>
      <c r="AA96" s="18" t="n">
        <v>1031.43</v>
      </c>
      <c r="AB96" s="19" t="n">
        <v>451.46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E97" s="18" t="n">
        <v>0</v>
      </c>
      <c r="F97" s="9" t="n"/>
      <c r="G97" s="18" t="n">
        <v>0.22</v>
      </c>
      <c r="H97" s="18" t="n">
        <v>2150</v>
      </c>
      <c r="I97" s="18" t="n">
        <v>0</v>
      </c>
      <c r="J97" s="18" t="n">
        <v>0</v>
      </c>
      <c r="K97" s="34" t="n">
        <v>2150.22</v>
      </c>
      <c r="N97" s="18" t="n">
        <v>0.73</v>
      </c>
      <c r="O97" s="18" t="n">
        <v>8.32</v>
      </c>
      <c r="P97" s="9" t="n"/>
      <c r="S97" s="18" t="n">
        <v>3</v>
      </c>
      <c r="T97" s="18" t="n">
        <v>5.84</v>
      </c>
      <c r="U97" s="9" t="n"/>
      <c r="V97" s="18" t="n">
        <v>92.25</v>
      </c>
      <c r="X97" s="18" t="n">
        <v>208.14</v>
      </c>
      <c r="Y97" s="18" t="n">
        <v>75937.03999999999</v>
      </c>
      <c r="Z97" s="9" t="n"/>
      <c r="AA97" s="18" t="n">
        <v>0.01</v>
      </c>
      <c r="AB97" s="19" t="n">
        <v>0.49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E98" s="18" t="n">
        <v>-732.52</v>
      </c>
      <c r="F98" s="9" t="n"/>
      <c r="G98" s="18" t="n">
        <v>530.49</v>
      </c>
      <c r="H98" s="18" t="n">
        <v>729.63</v>
      </c>
      <c r="I98" s="18" t="n">
        <v>1381.32</v>
      </c>
      <c r="J98" s="18" t="n">
        <v>3996.46</v>
      </c>
      <c r="K98" s="34" t="n">
        <v>6637.9</v>
      </c>
      <c r="L98" s="18" t="n">
        <v>9399.700000000001</v>
      </c>
      <c r="M98" s="18" t="n">
        <v>7308.47</v>
      </c>
      <c r="N98" s="18" t="n">
        <v>8080.09</v>
      </c>
      <c r="O98" s="18" t="n">
        <v>10292.59</v>
      </c>
      <c r="P98" s="34" t="n">
        <v>35080.85</v>
      </c>
      <c r="Q98" s="18" t="n">
        <v>8656.629999999999</v>
      </c>
      <c r="R98" s="18" t="n">
        <v>7100</v>
      </c>
      <c r="S98" s="18" t="n">
        <v>6164.48</v>
      </c>
      <c r="T98" s="18" t="n">
        <v>7190.6</v>
      </c>
      <c r="U98" s="34" t="n">
        <v>29111.71</v>
      </c>
      <c r="V98" s="18" t="n">
        <v>1182.95</v>
      </c>
      <c r="W98" s="18" t="n">
        <v>2246.77</v>
      </c>
      <c r="X98" s="18" t="n">
        <v>17202.97</v>
      </c>
      <c r="Y98" s="18" t="n">
        <v>3940.35</v>
      </c>
      <c r="Z98" s="34" t="n">
        <v>24573.04</v>
      </c>
      <c r="AA98" s="18" t="n">
        <v>5327.72</v>
      </c>
      <c r="AB98" s="19" t="n">
        <v>14843.15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90.22</v>
      </c>
      <c r="F99" s="9" t="n"/>
      <c r="G99" s="18" t="n">
        <v>9.24</v>
      </c>
      <c r="H99" s="18" t="n">
        <v>77797.63</v>
      </c>
      <c r="I99" s="18" t="n">
        <v>612.5599999999999</v>
      </c>
      <c r="J99" s="18" t="n">
        <v>0</v>
      </c>
      <c r="K99" s="34" t="n">
        <v>78419.42999999999</v>
      </c>
      <c r="L99" s="18" t="n">
        <v>143.5</v>
      </c>
      <c r="M99" s="18" t="n">
        <v>44983.33</v>
      </c>
      <c r="N99" s="18" t="n">
        <v>458.48</v>
      </c>
      <c r="O99" s="18" t="n">
        <v>0</v>
      </c>
      <c r="P99" s="34" t="n">
        <v>45585.31</v>
      </c>
      <c r="Q99" s="18" t="n">
        <v>143.5</v>
      </c>
      <c r="R99" s="18" t="n">
        <v>126861.47</v>
      </c>
      <c r="S99" s="18" t="n">
        <v>458.48</v>
      </c>
      <c r="T99" s="18" t="n">
        <v>7751.17</v>
      </c>
      <c r="U99" s="34" t="n">
        <v>135214.62</v>
      </c>
      <c r="V99" s="18" t="n">
        <v>205</v>
      </c>
      <c r="W99" s="18" t="n">
        <v>64147</v>
      </c>
      <c r="X99" s="18" t="n">
        <v>9216.450000000001</v>
      </c>
      <c r="Y99" s="18" t="n">
        <v>110.77</v>
      </c>
      <c r="Z99" s="34" t="n">
        <v>73679.22</v>
      </c>
      <c r="AA99" s="18" t="n">
        <v>205</v>
      </c>
      <c r="AB99" s="19" t="n">
        <v>91422.64999999999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-540076.34</v>
      </c>
      <c r="F100" s="9" t="n"/>
      <c r="G100" s="18" t="n">
        <v>300042.19</v>
      </c>
      <c r="H100" s="18" t="n">
        <v>51526.02</v>
      </c>
      <c r="I100" s="18" t="n">
        <v>-495251.75</v>
      </c>
      <c r="J100" s="18" t="n">
        <v>-40442.19</v>
      </c>
      <c r="K100" s="34" t="n">
        <v>-184125.73</v>
      </c>
      <c r="L100" s="18" t="n">
        <v>147518.35</v>
      </c>
      <c r="M100" s="18" t="n">
        <v>-26619.29</v>
      </c>
      <c r="N100" s="18" t="n">
        <v>-44782.37</v>
      </c>
      <c r="O100" s="18" t="n">
        <v>-237858.81</v>
      </c>
      <c r="P100" s="34" t="n">
        <v>-161742.12</v>
      </c>
      <c r="Q100" s="18" t="n">
        <v>-19793.14</v>
      </c>
      <c r="R100" s="18" t="n">
        <v>-731808.1899999999</v>
      </c>
      <c r="S100" s="18" t="n">
        <v>-44825.63</v>
      </c>
      <c r="T100" s="18" t="n">
        <v>-657630.63</v>
      </c>
      <c r="U100" s="34" t="n">
        <v>-1454057.59</v>
      </c>
      <c r="V100" s="18" t="n">
        <v>383428.87</v>
      </c>
      <c r="W100" s="18" t="n">
        <v>-417154.8</v>
      </c>
      <c r="X100" s="18" t="n">
        <v>-128890.42</v>
      </c>
      <c r="Y100" s="18" t="n">
        <v>-199765.2</v>
      </c>
      <c r="Z100" s="34" t="n">
        <v>-362381.55</v>
      </c>
      <c r="AA100" s="18" t="n">
        <v>256723.4</v>
      </c>
      <c r="AB100" s="19" t="n">
        <v>-388537.8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371564.16</v>
      </c>
      <c r="H101" s="18" t="n">
        <v>0</v>
      </c>
      <c r="I101" s="18" t="n">
        <v>0</v>
      </c>
      <c r="J101" s="18" t="n">
        <v>0</v>
      </c>
      <c r="K101" s="34" t="n">
        <v>371564.16</v>
      </c>
      <c r="L101" s="18" t="n">
        <v>2154454.62</v>
      </c>
      <c r="M101" s="18" t="n">
        <v>32749.71</v>
      </c>
      <c r="N101" s="18" t="n">
        <v>9036.15</v>
      </c>
      <c r="P101" s="9" t="n"/>
      <c r="S101" s="18" t="n">
        <v>4304.06</v>
      </c>
      <c r="U101" s="9" t="n"/>
      <c r="V101" s="18" t="n">
        <v>100000</v>
      </c>
      <c r="W101" s="18" t="n">
        <v>100168</v>
      </c>
      <c r="X101" s="18" t="n">
        <v>0</v>
      </c>
      <c r="Y101" s="18" t="n">
        <v>0</v>
      </c>
      <c r="Z101" s="34" t="n">
        <v>200168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사채의증가</t>
        </is>
      </c>
      <c r="E102" s="18" t="n">
        <v>249261.26</v>
      </c>
      <c r="F102" s="9" t="n"/>
      <c r="I102" s="18" t="n">
        <v>0</v>
      </c>
      <c r="J102" s="18" t="n">
        <v>0</v>
      </c>
      <c r="K102" s="9" t="n"/>
      <c r="N102" s="18" t="n">
        <v>0</v>
      </c>
      <c r="O102" s="18" t="n">
        <v>0</v>
      </c>
      <c r="P102" s="9" t="n"/>
      <c r="Q102" s="18" t="n">
        <v>578380.4399999999</v>
      </c>
      <c r="R102" s="18" t="n">
        <v>0</v>
      </c>
      <c r="S102" s="18" t="n">
        <v>0</v>
      </c>
      <c r="T102" s="18" t="n">
        <v>299133.46</v>
      </c>
      <c r="U102" s="34" t="n">
        <v>877513.9</v>
      </c>
      <c r="V102" s="18" t="n">
        <v>398851.08</v>
      </c>
      <c r="W102" s="18" t="n">
        <v>0</v>
      </c>
      <c r="X102" s="18" t="n">
        <v>885072.27</v>
      </c>
      <c r="Y102" s="18" t="n">
        <v>945728.41</v>
      </c>
      <c r="Z102" s="34" t="n">
        <v>2229651.76</v>
      </c>
      <c r="AA102" s="18" t="n">
        <v>398861.36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E103" s="18" t="n">
        <v>2482.56</v>
      </c>
      <c r="F103" s="9" t="n"/>
      <c r="G103" s="18" t="n">
        <v>2522.89</v>
      </c>
      <c r="H103" s="18" t="n">
        <v>82628.41</v>
      </c>
      <c r="I103" s="18" t="n">
        <v>102778.2</v>
      </c>
      <c r="J103" s="18" t="n">
        <v>6160.89</v>
      </c>
      <c r="K103" s="34" t="n">
        <v>194090.39</v>
      </c>
      <c r="L103" s="18" t="n">
        <v>283.95</v>
      </c>
      <c r="M103" s="18" t="n">
        <v>3073.77</v>
      </c>
      <c r="N103" s="18" t="n">
        <v>8480.959999999999</v>
      </c>
      <c r="P103" s="9" t="n"/>
      <c r="Q103" s="18" t="n">
        <v>402822.96</v>
      </c>
      <c r="R103" s="18" t="n">
        <v>41594.42</v>
      </c>
      <c r="S103" s="18" t="n">
        <v>7193.09</v>
      </c>
      <c r="T103" s="18" t="n">
        <v>102606.24</v>
      </c>
      <c r="U103" s="34" t="n">
        <v>554216.71</v>
      </c>
      <c r="V103" s="18" t="n">
        <v>141407.31</v>
      </c>
      <c r="W103" s="18" t="n">
        <v>2247.14</v>
      </c>
      <c r="X103" s="18" t="n">
        <v>2937.79</v>
      </c>
      <c r="Y103" s="18" t="n">
        <v>12148.98</v>
      </c>
      <c r="Z103" s="34" t="n">
        <v>158741.22</v>
      </c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E104" s="18" t="n">
        <v>280000</v>
      </c>
      <c r="F104" s="9" t="n"/>
      <c r="K104" s="9" t="n"/>
      <c r="L104" s="18" t="n">
        <v>200000</v>
      </c>
      <c r="M104" s="18" t="n">
        <v>150000</v>
      </c>
      <c r="N104" s="18" t="n">
        <v>0</v>
      </c>
      <c r="O104" s="18" t="n">
        <v>320000</v>
      </c>
      <c r="P104" s="34" t="n">
        <v>670000</v>
      </c>
      <c r="S104" s="18" t="n">
        <v>0</v>
      </c>
      <c r="T104" s="18" t="n">
        <v>170000</v>
      </c>
      <c r="U104" s="9" t="n"/>
      <c r="X104" s="18" t="n">
        <v>0</v>
      </c>
      <c r="Y104" s="18" t="n">
        <v>50000</v>
      </c>
      <c r="Z104" s="9" t="n"/>
      <c r="AA104" s="18" t="n">
        <v>145000</v>
      </c>
      <c r="AB104" s="19" t="n">
        <v>275000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6519.81</v>
      </c>
      <c r="F105" s="9" t="n"/>
      <c r="G105" s="18" t="n">
        <v>6289.61</v>
      </c>
      <c r="H105" s="18" t="n">
        <v>6144.73</v>
      </c>
      <c r="I105" s="18" t="n">
        <v>6579.13</v>
      </c>
      <c r="J105" s="18" t="n">
        <v>6539.68</v>
      </c>
      <c r="K105" s="34" t="n">
        <v>25553.15</v>
      </c>
      <c r="L105" s="18" t="n">
        <v>6312.66</v>
      </c>
      <c r="M105" s="18" t="n">
        <v>10488.22</v>
      </c>
      <c r="N105" s="18" t="n">
        <v>8313.530000000001</v>
      </c>
      <c r="O105" s="18" t="n">
        <v>9634.780000000001</v>
      </c>
      <c r="P105" s="34" t="n">
        <v>34749.19</v>
      </c>
      <c r="Q105" s="18" t="n">
        <v>8229.379999999999</v>
      </c>
      <c r="R105" s="18" t="n">
        <v>8705.33</v>
      </c>
      <c r="S105" s="18" t="n">
        <v>8786.16</v>
      </c>
      <c r="T105" s="18" t="n">
        <v>8192.6</v>
      </c>
      <c r="U105" s="34" t="n">
        <v>33913.47</v>
      </c>
      <c r="V105" s="18" t="n">
        <v>9113.860000000001</v>
      </c>
      <c r="W105" s="18" t="n">
        <v>8755.969999999999</v>
      </c>
      <c r="X105" s="18" t="n">
        <v>8945.84</v>
      </c>
      <c r="Y105" s="18" t="n">
        <v>11242</v>
      </c>
      <c r="Z105" s="34" t="n">
        <v>38057.67</v>
      </c>
      <c r="AA105" s="18" t="n">
        <v>10304.71</v>
      </c>
      <c r="AB105" s="19" t="n">
        <v>9825.940000000001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이자지급(CF)</t>
        </is>
      </c>
      <c r="E106" s="18" t="n">
        <v>-36812.03</v>
      </c>
      <c r="F106" s="9" t="n"/>
      <c r="G106" s="18" t="n">
        <v>-44471.1</v>
      </c>
      <c r="H106" s="18" t="n">
        <v>-36900.94</v>
      </c>
      <c r="I106" s="18" t="n">
        <v>-40517.01</v>
      </c>
      <c r="J106" s="18" t="n">
        <v>-46861.4</v>
      </c>
      <c r="K106" s="34" t="n">
        <v>-168750.45</v>
      </c>
      <c r="L106" s="18" t="n">
        <v>-48830.07</v>
      </c>
      <c r="M106" s="18" t="n">
        <v>-66047.39999999999</v>
      </c>
      <c r="N106" s="18" t="n">
        <v>-59192.81</v>
      </c>
      <c r="O106" s="18" t="n">
        <v>-70323.56</v>
      </c>
      <c r="P106" s="34" t="n">
        <v>-244393.84</v>
      </c>
      <c r="Q106" s="18" t="n">
        <v>-50542.72</v>
      </c>
      <c r="R106" s="18" t="n">
        <v>-85058.64999999999</v>
      </c>
      <c r="S106" s="18" t="n">
        <v>-85128.08</v>
      </c>
      <c r="T106" s="18" t="n">
        <v>-78992.92999999999</v>
      </c>
      <c r="U106" s="34" t="n">
        <v>-299722.38</v>
      </c>
      <c r="V106" s="18" t="n">
        <v>-72092.56</v>
      </c>
      <c r="W106" s="18" t="n">
        <v>-74337.88</v>
      </c>
      <c r="X106" s="18" t="n">
        <v>-47366.11</v>
      </c>
      <c r="Y106" s="18" t="n">
        <v>-43950.96</v>
      </c>
      <c r="Z106" s="34" t="n">
        <v>-237747.51</v>
      </c>
      <c r="AA106" s="18" t="n">
        <v>-50624.16</v>
      </c>
      <c r="AB106" s="19" t="n">
        <v>-46810.71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E107" s="18" t="n">
        <v>0</v>
      </c>
      <c r="F107" s="9" t="n"/>
      <c r="I107" s="18" t="n">
        <v>7354.17</v>
      </c>
      <c r="J107" s="18" t="n">
        <v>0</v>
      </c>
      <c r="K107" s="9" t="n"/>
      <c r="N107" s="18" t="n">
        <v>7354.17</v>
      </c>
      <c r="O107" s="18" t="n">
        <v>0</v>
      </c>
      <c r="P107" s="9" t="n"/>
      <c r="S107" s="18" t="n">
        <v>7354.17</v>
      </c>
      <c r="T107" s="18" t="n">
        <v>0</v>
      </c>
      <c r="U107" s="9" t="n"/>
      <c r="X107" s="18" t="n">
        <v>7354.17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현금및현금성자산의증감</t>
        </is>
      </c>
      <c r="E108" s="18" t="n">
        <v>39723.13</v>
      </c>
      <c r="F108" s="9" t="n"/>
      <c r="G108" s="18" t="n">
        <v>-223429.66</v>
      </c>
      <c r="H108" s="18" t="n">
        <v>-7875.24</v>
      </c>
      <c r="I108" s="18" t="n">
        <v>112967.04</v>
      </c>
      <c r="J108" s="18" t="n">
        <v>354863.67</v>
      </c>
      <c r="K108" s="34" t="n">
        <v>236525.81</v>
      </c>
      <c r="L108" s="18" t="n">
        <v>38483.32</v>
      </c>
      <c r="M108" s="18" t="n">
        <v>154801.38</v>
      </c>
      <c r="N108" s="18" t="n">
        <v>42356.94</v>
      </c>
      <c r="O108" s="18" t="n">
        <v>35541.42</v>
      </c>
      <c r="P108" s="34" t="n">
        <v>271183.06</v>
      </c>
      <c r="Q108" s="18" t="n">
        <v>21111.44</v>
      </c>
      <c r="R108" s="18" t="n">
        <v>-14908.28</v>
      </c>
      <c r="S108" s="18" t="n">
        <v>-16228.9</v>
      </c>
      <c r="T108" s="18" t="n">
        <v>-565693.23</v>
      </c>
      <c r="U108" s="34" t="n">
        <v>-575718.97</v>
      </c>
      <c r="V108" s="18" t="n">
        <v>403278.38</v>
      </c>
      <c r="W108" s="18" t="n">
        <v>-103440.58</v>
      </c>
      <c r="X108" s="18" t="n">
        <v>112108.32</v>
      </c>
      <c r="Y108" s="18" t="n">
        <v>284532.77</v>
      </c>
      <c r="Z108" s="34" t="n">
        <v>696478.89</v>
      </c>
      <c r="AA108" s="18" t="n">
        <v>232424.84</v>
      </c>
      <c r="AB108" s="19" t="n">
        <v>-289643.7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기말현금및현금성자산</t>
        </is>
      </c>
      <c r="E109" s="18" t="n">
        <v>37910.82</v>
      </c>
      <c r="F109" s="9" t="n"/>
      <c r="G109" s="18" t="n">
        <v>328395.52</v>
      </c>
      <c r="H109" s="18" t="n">
        <v>65758.5</v>
      </c>
      <c r="I109" s="18" t="n">
        <v>73137.35000000001</v>
      </c>
      <c r="J109" s="18" t="n">
        <v>309456.3</v>
      </c>
      <c r="K109" s="34" t="n">
        <v>776747.67</v>
      </c>
      <c r="L109" s="18" t="n">
        <v>830350.62</v>
      </c>
      <c r="M109" s="18" t="n">
        <v>143259.7</v>
      </c>
      <c r="N109" s="18" t="n">
        <v>55829.09</v>
      </c>
      <c r="O109" s="18" t="n">
        <v>15702.7</v>
      </c>
      <c r="P109" s="34" t="n">
        <v>1045142.11</v>
      </c>
      <c r="Q109" s="18" t="n">
        <v>1083647.85</v>
      </c>
      <c r="R109" s="18" t="n">
        <v>-11018.16</v>
      </c>
      <c r="S109" s="18" t="n">
        <v>-31720.07</v>
      </c>
      <c r="T109" s="18" t="n">
        <v>-539579.86</v>
      </c>
      <c r="U109" s="34" t="n">
        <v>501329.76</v>
      </c>
      <c r="V109" s="18" t="n">
        <v>906545.13</v>
      </c>
      <c r="W109" s="18" t="n">
        <v>-124860.27</v>
      </c>
      <c r="X109" s="18" t="n">
        <v>133522.73</v>
      </c>
      <c r="Y109" s="18" t="n">
        <v>278404.85</v>
      </c>
      <c r="Z109" s="34" t="n">
        <v>1193612.44</v>
      </c>
      <c r="AA109" s="18" t="n">
        <v>1469494.85</v>
      </c>
      <c r="AB109" s="19" t="n">
        <v>-292114.55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G110" s="18" t="n">
        <v>81426.66</v>
      </c>
      <c r="H110" s="18" t="n">
        <v>18467.27</v>
      </c>
      <c r="I110" s="18" t="n">
        <v>0</v>
      </c>
      <c r="J110" s="18" t="n">
        <v>0</v>
      </c>
      <c r="K110" s="34" t="n">
        <v>99893.92999999999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장기차입금의감소</t>
        </is>
      </c>
      <c r="F111" s="9" t="n"/>
      <c r="K111" s="9" t="n"/>
      <c r="L111" s="18" t="n">
        <v>2106067.64</v>
      </c>
      <c r="M111" s="18" t="n">
        <v>71292.67999999999</v>
      </c>
      <c r="O111" s="18" t="n">
        <v>6333.5</v>
      </c>
      <c r="P111" s="9" t="n"/>
      <c r="S111" s="18" t="n">
        <v>0</v>
      </c>
      <c r="T111" s="18" t="n">
        <v>545592</v>
      </c>
      <c r="U111" s="9" t="n"/>
      <c r="X111" s="18" t="n">
        <v>958481.46</v>
      </c>
      <c r="Y111" s="18" t="n">
        <v>787297.34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4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4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4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4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4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4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4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4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4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4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4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4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4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4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4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4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4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4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4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4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4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4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4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4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4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4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4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4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4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4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4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4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4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4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4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4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4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4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4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4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4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4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4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4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4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4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4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4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4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4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4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4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4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4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4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4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4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4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4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4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4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4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4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4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4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4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4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4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4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4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4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4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4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4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4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4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4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4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4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4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4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4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4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4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4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4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4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4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4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4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4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4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4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4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4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4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4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4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4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4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4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4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4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4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4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4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4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4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4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4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4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4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4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4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4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4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4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4" t="n">
        <v>180000</v>
      </c>
      <c r="G29" s="18" t="n">
        <v>180000</v>
      </c>
      <c r="H29" s="18" t="n">
        <v>100000</v>
      </c>
      <c r="K29" s="9" t="n"/>
      <c r="L29" s="18" t="n">
        <v>400000</v>
      </c>
      <c r="M29" s="18" t="n">
        <v>439384</v>
      </c>
      <c r="N29" s="18" t="n">
        <v>440344</v>
      </c>
      <c r="O29" s="18" t="n">
        <v>538682</v>
      </c>
      <c r="P29" s="34" t="n">
        <v>538682</v>
      </c>
      <c r="Q29" s="18" t="n">
        <v>271101.01</v>
      </c>
      <c r="R29" s="18" t="n">
        <v>233793.5</v>
      </c>
      <c r="S29" s="18" t="n">
        <v>232646.75</v>
      </c>
      <c r="T29" s="18" t="n">
        <v>137585.7</v>
      </c>
      <c r="U29" s="34" t="n">
        <v>137585.7</v>
      </c>
      <c r="Z29" s="9" t="n"/>
      <c r="AB29" s="19" t="n">
        <v>644879.9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4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4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4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4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4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4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4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4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4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4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4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4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4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4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4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4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4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4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4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4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4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4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4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4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4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4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4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4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4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4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4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4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4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4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4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4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4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4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4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4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4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4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4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4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4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4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4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4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4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4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4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4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4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4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4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4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4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4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4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4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4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4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4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4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4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4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4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4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4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4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4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4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4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4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4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4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4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4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4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4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4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4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4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4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4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4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4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4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4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4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4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4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4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4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4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4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4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4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4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4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4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4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4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단기사채</t>
        </is>
      </c>
      <c r="F52" s="9" t="n"/>
      <c r="G52" s="18" t="n">
        <v>199890.05</v>
      </c>
      <c r="H52" s="18" t="n">
        <v>349778.51</v>
      </c>
      <c r="I52" s="18" t="n">
        <v>349846.7</v>
      </c>
      <c r="J52" s="18" t="n">
        <v>669746.22</v>
      </c>
      <c r="K52" s="34" t="n">
        <v>669746.22</v>
      </c>
      <c r="L52" s="18" t="n">
        <v>469846.39</v>
      </c>
      <c r="M52" s="18" t="n">
        <v>519761.61</v>
      </c>
      <c r="N52" s="18" t="n">
        <v>519858.28</v>
      </c>
      <c r="O52" s="18" t="n">
        <v>369805.2</v>
      </c>
      <c r="P52" s="34" t="n">
        <v>369805.2</v>
      </c>
      <c r="Q52" s="18" t="n">
        <v>369893.48</v>
      </c>
      <c r="R52" s="18" t="n">
        <v>439748.48</v>
      </c>
      <c r="S52" s="18" t="n">
        <v>439853.2</v>
      </c>
      <c r="T52" s="18" t="n">
        <v>319909.99</v>
      </c>
      <c r="U52" s="34" t="n">
        <v>319909.99</v>
      </c>
      <c r="V52" s="18" t="n">
        <v>464798.17</v>
      </c>
      <c r="W52" s="18" t="n">
        <v>469645.83</v>
      </c>
      <c r="X52" s="18" t="n">
        <v>1170380.85</v>
      </c>
      <c r="Y52" s="18" t="n">
        <v>1313396.32</v>
      </c>
      <c r="Z52" s="34" t="n">
        <v>1313396.32</v>
      </c>
      <c r="AA52" s="18" t="n">
        <v>1607554.63</v>
      </c>
      <c r="AB52" s="19" t="n">
        <v>1396988.29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O53" s="18" t="n">
        <v>164369.97</v>
      </c>
      <c r="P53" s="34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4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K54" s="9" t="n"/>
      <c r="O54" s="18" t="n">
        <v>164369.97</v>
      </c>
      <c r="P54" s="34" t="n">
        <v>164369.97</v>
      </c>
      <c r="Q54" s="18" t="n">
        <v>168939.66</v>
      </c>
      <c r="U54" s="9" t="n"/>
      <c r="X54" s="18" t="n">
        <v>299131.33</v>
      </c>
      <c r="Y54" s="18" t="n">
        <v>275328.61</v>
      </c>
      <c r="Z54" s="34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630575.28</v>
      </c>
      <c r="F55" s="9" t="n"/>
      <c r="G55" s="18" t="n">
        <v>591633.9399999999</v>
      </c>
      <c r="H55" s="18" t="n">
        <v>691108.74</v>
      </c>
      <c r="I55" s="18" t="n">
        <v>685954.1800000001</v>
      </c>
      <c r="J55" s="18" t="n">
        <v>733008.72</v>
      </c>
      <c r="K55" s="34" t="n">
        <v>2701705.58</v>
      </c>
      <c r="L55" s="18" t="n">
        <v>698957.77</v>
      </c>
      <c r="M55" s="18" t="n">
        <v>746470.85</v>
      </c>
      <c r="N55" s="18" t="n">
        <v>755998.4399999999</v>
      </c>
      <c r="O55" s="18" t="n">
        <v>798089.54</v>
      </c>
      <c r="P55" s="34" t="n">
        <v>2999516.6</v>
      </c>
      <c r="Q55" s="18" t="n">
        <v>761600.28</v>
      </c>
      <c r="R55" s="18" t="n">
        <v>855758.96</v>
      </c>
      <c r="S55" s="18" t="n">
        <v>748529.62</v>
      </c>
      <c r="T55" s="18" t="n">
        <v>761041.63</v>
      </c>
      <c r="U55" s="34" t="n">
        <v>3126930.49</v>
      </c>
      <c r="V55" s="18" t="n">
        <v>700063.86</v>
      </c>
      <c r="W55" s="18" t="n">
        <v>782984.14</v>
      </c>
      <c r="X55" s="18" t="n">
        <v>746115.12</v>
      </c>
      <c r="Y55" s="18" t="n">
        <v>706560.75</v>
      </c>
      <c r="Z55" s="34" t="n">
        <v>2935723.87</v>
      </c>
      <c r="AA55" s="18" t="n">
        <v>700342.9399999999</v>
      </c>
      <c r="AB55" s="19" t="n">
        <v>770047.6899999999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507378.36</v>
      </c>
      <c r="F56" s="9" t="n"/>
      <c r="G56" s="18" t="n">
        <v>470560.92</v>
      </c>
      <c r="H56" s="18" t="n">
        <v>534116.8</v>
      </c>
      <c r="I56" s="18" t="n">
        <v>543545.48</v>
      </c>
      <c r="J56" s="18" t="n">
        <v>581791.1800000001</v>
      </c>
      <c r="K56" s="34" t="n">
        <v>2130014.38</v>
      </c>
      <c r="L56" s="18" t="n">
        <v>553162.6899999999</v>
      </c>
      <c r="M56" s="18" t="n">
        <v>541461.97</v>
      </c>
      <c r="N56" s="18" t="n">
        <v>546661.5</v>
      </c>
      <c r="O56" s="18" t="n">
        <v>587008.28</v>
      </c>
      <c r="P56" s="34" t="n">
        <v>2228294.44</v>
      </c>
      <c r="Q56" s="18" t="n">
        <v>570438.14</v>
      </c>
      <c r="R56" s="18" t="n">
        <v>638194.87</v>
      </c>
      <c r="S56" s="18" t="n">
        <v>564653.11</v>
      </c>
      <c r="T56" s="18" t="n">
        <v>569674.37</v>
      </c>
      <c r="U56" s="34" t="n">
        <v>2342960.49</v>
      </c>
      <c r="V56" s="18" t="n">
        <v>536699.1899999999</v>
      </c>
      <c r="W56" s="18" t="n">
        <v>594586.73</v>
      </c>
      <c r="X56" s="18" t="n">
        <v>562215.33</v>
      </c>
      <c r="Y56" s="18" t="n">
        <v>535761.05</v>
      </c>
      <c r="Z56" s="34" t="n">
        <v>2229262.3</v>
      </c>
      <c r="AA56" s="18" t="n">
        <v>527331.83</v>
      </c>
      <c r="AB56" s="19" t="n">
        <v>584863.65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123196.91</v>
      </c>
      <c r="F57" s="9" t="n"/>
      <c r="G57" s="18" t="n">
        <v>121073.02</v>
      </c>
      <c r="H57" s="18" t="n">
        <v>156991.94</v>
      </c>
      <c r="I57" s="18" t="n">
        <v>142408.7</v>
      </c>
      <c r="J57" s="18" t="n">
        <v>151217.53</v>
      </c>
      <c r="K57" s="34" t="n">
        <v>571691.1899999999</v>
      </c>
      <c r="L57" s="18" t="n">
        <v>145795.07</v>
      </c>
      <c r="M57" s="18" t="n">
        <v>205008.88</v>
      </c>
      <c r="N57" s="18" t="n">
        <v>209336.93</v>
      </c>
      <c r="O57" s="18" t="n">
        <v>211081.26</v>
      </c>
      <c r="P57" s="34" t="n">
        <v>771222.14</v>
      </c>
      <c r="Q57" s="18" t="n">
        <v>191162.14</v>
      </c>
      <c r="R57" s="18" t="n">
        <v>217564.09</v>
      </c>
      <c r="S57" s="18" t="n">
        <v>183876.51</v>
      </c>
      <c r="T57" s="18" t="n">
        <v>191367.26</v>
      </c>
      <c r="U57" s="34" t="n">
        <v>783970</v>
      </c>
      <c r="V57" s="18" t="n">
        <v>163364.67</v>
      </c>
      <c r="W57" s="18" t="n">
        <v>188397.41</v>
      </c>
      <c r="X57" s="18" t="n">
        <v>183899.79</v>
      </c>
      <c r="Y57" s="18" t="n">
        <v>170799.7</v>
      </c>
      <c r="Z57" s="34" t="n">
        <v>706461.5699999999</v>
      </c>
      <c r="AA57" s="18" t="n">
        <v>173011.11</v>
      </c>
      <c r="AB57" s="19" t="n">
        <v>185184.04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103182.21</v>
      </c>
      <c r="F58" s="9" t="n"/>
      <c r="G58" s="18" t="n">
        <v>95815.64999999999</v>
      </c>
      <c r="H58" s="18" t="n">
        <v>95848.57000000001</v>
      </c>
      <c r="I58" s="18" t="n">
        <v>90805.56</v>
      </c>
      <c r="J58" s="18" t="n">
        <v>111430.06</v>
      </c>
      <c r="K58" s="34" t="n">
        <v>393899.84</v>
      </c>
      <c r="L58" s="18" t="n">
        <v>94556.38</v>
      </c>
      <c r="M58" s="18" t="n">
        <v>107361.67</v>
      </c>
      <c r="N58" s="18" t="n">
        <v>99067.66</v>
      </c>
      <c r="O58" s="18" t="n">
        <v>124953.6</v>
      </c>
      <c r="P58" s="34" t="n">
        <v>425939.31</v>
      </c>
      <c r="Q58" s="18" t="n">
        <v>102979.56</v>
      </c>
      <c r="R58" s="18" t="n">
        <v>115435</v>
      </c>
      <c r="S58" s="18" t="n">
        <v>107567.69</v>
      </c>
      <c r="T58" s="18" t="n">
        <v>120975.15</v>
      </c>
      <c r="U58" s="34" t="n">
        <v>446957.4</v>
      </c>
      <c r="V58" s="18" t="n">
        <v>101661.53</v>
      </c>
      <c r="W58" s="18" t="n">
        <v>105216.4</v>
      </c>
      <c r="X58" s="18" t="n">
        <v>105672.55</v>
      </c>
      <c r="Y58" s="18" t="n">
        <v>111076.58</v>
      </c>
      <c r="Z58" s="34" t="n">
        <v>423627.06</v>
      </c>
      <c r="AA58" s="18" t="n">
        <v>107374.68</v>
      </c>
      <c r="AB58" s="19" t="n">
        <v>107944.59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20014.71</v>
      </c>
      <c r="F59" s="9" t="n"/>
      <c r="G59" s="18" t="n">
        <v>25257.37</v>
      </c>
      <c r="H59" s="18" t="n">
        <v>61143.37</v>
      </c>
      <c r="I59" s="18" t="n">
        <v>51603.13</v>
      </c>
      <c r="J59" s="18" t="n">
        <v>39787.47</v>
      </c>
      <c r="K59" s="34" t="n">
        <v>177791.34</v>
      </c>
      <c r="L59" s="18" t="n">
        <v>51238.69</v>
      </c>
      <c r="M59" s="18" t="n">
        <v>97647.21000000001</v>
      </c>
      <c r="N59" s="18" t="n">
        <v>110269.27</v>
      </c>
      <c r="O59" s="18" t="n">
        <v>86127.67</v>
      </c>
      <c r="P59" s="34" t="n">
        <v>345282.84</v>
      </c>
      <c r="Q59" s="18" t="n">
        <v>88182.58</v>
      </c>
      <c r="R59" s="18" t="n">
        <v>102129.09</v>
      </c>
      <c r="S59" s="18" t="n">
        <v>76308.82000000001</v>
      </c>
      <c r="T59" s="18" t="n">
        <v>70392.11</v>
      </c>
      <c r="U59" s="34" t="n">
        <v>337012.6</v>
      </c>
      <c r="V59" s="18" t="n">
        <v>61703.14</v>
      </c>
      <c r="W59" s="18" t="n">
        <v>83181.02</v>
      </c>
      <c r="X59" s="18" t="n">
        <v>78227.23</v>
      </c>
      <c r="Y59" s="18" t="n">
        <v>59723.1</v>
      </c>
      <c r="Z59" s="34" t="n">
        <v>282834.49</v>
      </c>
      <c r="AA59" s="18" t="n">
        <v>65636.42999999999</v>
      </c>
      <c r="AB59" s="19" t="n">
        <v>77239.45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-119146.63</v>
      </c>
      <c r="F60" s="9" t="n"/>
      <c r="G60" s="18" t="n">
        <v>-56442.96</v>
      </c>
      <c r="H60" s="18" t="n">
        <v>119717.86</v>
      </c>
      <c r="I60" s="18" t="n">
        <v>-401686.64</v>
      </c>
      <c r="J60" s="18" t="n">
        <v>118680.8</v>
      </c>
      <c r="K60" s="34" t="n">
        <v>-219730.94</v>
      </c>
      <c r="L60" s="18" t="n">
        <v>721.46</v>
      </c>
      <c r="M60" s="18" t="n">
        <v>81318.32000000001</v>
      </c>
      <c r="N60" s="18" t="n">
        <v>17212.47</v>
      </c>
      <c r="O60" s="18" t="n">
        <v>227467.7</v>
      </c>
      <c r="P60" s="34" t="n">
        <v>326719.95</v>
      </c>
      <c r="Q60" s="18" t="n">
        <v>617436.2</v>
      </c>
      <c r="R60" s="18" t="n">
        <v>-75179.35000000001</v>
      </c>
      <c r="S60" s="18" t="n">
        <v>-36503.12</v>
      </c>
      <c r="T60" s="18" t="n">
        <v>-232867.64</v>
      </c>
      <c r="U60" s="34" t="n">
        <v>272886.09</v>
      </c>
      <c r="V60" s="18" t="n">
        <v>17367.57</v>
      </c>
      <c r="W60" s="18" t="n">
        <v>1195591.5</v>
      </c>
      <c r="X60" s="18" t="n">
        <v>397029.7</v>
      </c>
      <c r="Y60" s="18" t="n">
        <v>898787.41</v>
      </c>
      <c r="Z60" s="34" t="n">
        <v>2508776.18</v>
      </c>
      <c r="AA60" s="18" t="n">
        <v>203543.21</v>
      </c>
      <c r="AB60" s="19" t="n">
        <v>3635127.83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20128.86</v>
      </c>
      <c r="F61" s="9" t="n"/>
      <c r="G61" s="18" t="n">
        <v>114126.65</v>
      </c>
      <c r="H61" s="18" t="n">
        <v>191875.39</v>
      </c>
      <c r="I61" s="18" t="n">
        <v>70331.97</v>
      </c>
      <c r="J61" s="18" t="n">
        <v>35582.08</v>
      </c>
      <c r="K61" s="34" t="n">
        <v>411916.09</v>
      </c>
      <c r="L61" s="18" t="n">
        <v>145009.78</v>
      </c>
      <c r="M61" s="18" t="n">
        <v>171792.24</v>
      </c>
      <c r="N61" s="18" t="n">
        <v>54776.42</v>
      </c>
      <c r="O61" s="18" t="n">
        <v>275596.59</v>
      </c>
      <c r="P61" s="34" t="n">
        <v>647175.03</v>
      </c>
      <c r="Q61" s="18" t="n">
        <v>687489.22</v>
      </c>
      <c r="R61" s="18" t="n">
        <v>135197.42</v>
      </c>
      <c r="S61" s="18" t="n">
        <v>15993.77</v>
      </c>
      <c r="T61" s="18" t="n">
        <v>73901.48</v>
      </c>
      <c r="U61" s="34" t="n">
        <v>912581.89</v>
      </c>
      <c r="V61" s="18" t="n">
        <v>142894.84</v>
      </c>
      <c r="W61" s="18" t="n">
        <v>1277748.26</v>
      </c>
      <c r="X61" s="18" t="n">
        <v>544299.05</v>
      </c>
      <c r="Y61" s="18" t="n">
        <v>966146.05</v>
      </c>
      <c r="Z61" s="34" t="n">
        <v>2931088.2</v>
      </c>
      <c r="AA61" s="18" t="n">
        <v>510719.78</v>
      </c>
      <c r="AB61" s="19" t="n">
        <v>3730158.75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-139275.49</v>
      </c>
      <c r="F62" s="9" t="n"/>
      <c r="G62" s="18" t="n">
        <v>-170569.61</v>
      </c>
      <c r="H62" s="18" t="n">
        <v>-72157.53</v>
      </c>
      <c r="I62" s="18" t="n">
        <v>-472018.62</v>
      </c>
      <c r="J62" s="18" t="n">
        <v>83098.73</v>
      </c>
      <c r="K62" s="34" t="n">
        <v>-631647.03</v>
      </c>
      <c r="L62" s="18" t="n">
        <v>-144288.32</v>
      </c>
      <c r="M62" s="18" t="n">
        <v>-90473.92</v>
      </c>
      <c r="N62" s="18" t="n">
        <v>-37563.95</v>
      </c>
      <c r="O62" s="18" t="n">
        <v>-48128.9</v>
      </c>
      <c r="P62" s="34" t="n">
        <v>-320455.09</v>
      </c>
      <c r="Q62" s="18" t="n">
        <v>-70053.03</v>
      </c>
      <c r="R62" s="18" t="n">
        <v>-210376.77</v>
      </c>
      <c r="S62" s="18" t="n">
        <v>-52496.89</v>
      </c>
      <c r="T62" s="18" t="n">
        <v>-306769.12</v>
      </c>
      <c r="U62" s="34" t="n">
        <v>-639695.8100000001</v>
      </c>
      <c r="V62" s="18" t="n">
        <v>-125527.27</v>
      </c>
      <c r="W62" s="18" t="n">
        <v>-82156.75</v>
      </c>
      <c r="X62" s="18" t="n">
        <v>-147269.35</v>
      </c>
      <c r="Y62" s="18" t="n">
        <v>-67358.64</v>
      </c>
      <c r="Z62" s="34" t="n">
        <v>-422312.01</v>
      </c>
      <c r="AA62" s="18" t="n">
        <v>-307176.57</v>
      </c>
      <c r="AB62" s="19" t="n">
        <v>-95030.92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73652.06</v>
      </c>
      <c r="F63" s="9" t="n"/>
      <c r="G63" s="18" t="n">
        <v>4743</v>
      </c>
      <c r="H63" s="18" t="n">
        <v>3509.43</v>
      </c>
      <c r="I63" s="18" t="n">
        <v>-300.31</v>
      </c>
      <c r="J63" s="18" t="n">
        <v>41906.39</v>
      </c>
      <c r="K63" s="34" t="n">
        <v>49858.51</v>
      </c>
      <c r="L63" s="18" t="n">
        <v>19719.72</v>
      </c>
      <c r="M63" s="18" t="n">
        <v>-328.06</v>
      </c>
      <c r="N63" s="18" t="n">
        <v>9078.969999999999</v>
      </c>
      <c r="O63" s="18" t="n">
        <v>4909.24</v>
      </c>
      <c r="P63" s="34" t="n">
        <v>33379.87</v>
      </c>
      <c r="Q63" s="18" t="n">
        <v>7074.07</v>
      </c>
      <c r="R63" s="18" t="n">
        <v>6620.77</v>
      </c>
      <c r="S63" s="18" t="n">
        <v>8801.700000000001</v>
      </c>
      <c r="T63" s="18" t="n">
        <v>5948.41</v>
      </c>
      <c r="U63" s="34" t="n">
        <v>28444.95</v>
      </c>
      <c r="V63" s="18" t="n">
        <v>30044.02</v>
      </c>
      <c r="W63" s="18" t="n">
        <v>800.99</v>
      </c>
      <c r="X63" s="18" t="n">
        <v>10117.81</v>
      </c>
      <c r="Y63" s="18" t="n">
        <v>-46210.73</v>
      </c>
      <c r="Z63" s="34" t="n">
        <v>-5247.91</v>
      </c>
      <c r="AA63" s="18" t="n">
        <v>19692.88</v>
      </c>
      <c r="AB63" s="19" t="n">
        <v>1388.7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76741.7</v>
      </c>
      <c r="F64" s="9" t="n"/>
      <c r="G64" s="18" t="n">
        <v>9238.58</v>
      </c>
      <c r="H64" s="18" t="n">
        <v>12838.18</v>
      </c>
      <c r="I64" s="18" t="n">
        <v>11281.15</v>
      </c>
      <c r="J64" s="18" t="n">
        <v>51720.32</v>
      </c>
      <c r="K64" s="34" t="n">
        <v>85078.23</v>
      </c>
      <c r="L64" s="18" t="n">
        <v>29164.63</v>
      </c>
      <c r="M64" s="18" t="n">
        <v>15711.25</v>
      </c>
      <c r="N64" s="18" t="n">
        <v>10759.17</v>
      </c>
      <c r="O64" s="18" t="n">
        <v>13467.46</v>
      </c>
      <c r="P64" s="34" t="n">
        <v>69102.50999999999</v>
      </c>
      <c r="Q64" s="18" t="n">
        <v>10408.33</v>
      </c>
      <c r="R64" s="18" t="n">
        <v>14634.28</v>
      </c>
      <c r="S64" s="18" t="n">
        <v>11562.7</v>
      </c>
      <c r="T64" s="18" t="n">
        <v>14346.47</v>
      </c>
      <c r="U64" s="34" t="n">
        <v>50951.78</v>
      </c>
      <c r="V64" s="18" t="n">
        <v>43699.35</v>
      </c>
      <c r="W64" s="18" t="n">
        <v>12739.58</v>
      </c>
      <c r="X64" s="18" t="n">
        <v>14372.91</v>
      </c>
      <c r="Y64" s="18" t="n">
        <v>15162.62</v>
      </c>
      <c r="Z64" s="34" t="n">
        <v>85974.46000000001</v>
      </c>
      <c r="AA64" s="18" t="n">
        <v>23348.48</v>
      </c>
      <c r="AB64" s="19" t="n">
        <v>15237.11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-3089.64</v>
      </c>
      <c r="F65" s="9" t="n"/>
      <c r="G65" s="18" t="n">
        <v>-4495.57</v>
      </c>
      <c r="H65" s="18" t="n">
        <v>-9328.74</v>
      </c>
      <c r="I65" s="18" t="n">
        <v>-11581.46</v>
      </c>
      <c r="J65" s="18" t="n">
        <v>-9813.950000000001</v>
      </c>
      <c r="K65" s="34" t="n">
        <v>-35219.72</v>
      </c>
      <c r="L65" s="18" t="n">
        <v>-9444.91</v>
      </c>
      <c r="M65" s="18" t="n">
        <v>-16039.31</v>
      </c>
      <c r="N65" s="18" t="n">
        <v>-1680.21</v>
      </c>
      <c r="O65" s="18" t="n">
        <v>-8558.219999999999</v>
      </c>
      <c r="P65" s="34" t="n">
        <v>-35722.65</v>
      </c>
      <c r="Q65" s="18" t="n">
        <v>-3334.25</v>
      </c>
      <c r="R65" s="18" t="n">
        <v>-8013.51</v>
      </c>
      <c r="S65" s="18" t="n">
        <v>-2760.99</v>
      </c>
      <c r="T65" s="18" t="n">
        <v>-8398.07</v>
      </c>
      <c r="U65" s="34" t="n">
        <v>-22506.82</v>
      </c>
      <c r="V65" s="18" t="n">
        <v>-13655.34</v>
      </c>
      <c r="W65" s="18" t="n">
        <v>-11938.59</v>
      </c>
      <c r="X65" s="18" t="n">
        <v>-4255.1</v>
      </c>
      <c r="Y65" s="18" t="n">
        <v>-61373.35</v>
      </c>
      <c r="Z65" s="34" t="n">
        <v>-91222.38</v>
      </c>
      <c r="AA65" s="18" t="n">
        <v>-3655.59</v>
      </c>
      <c r="AB65" s="19" t="n">
        <v>-13848.41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-25479.86</v>
      </c>
      <c r="F66" s="9" t="n"/>
      <c r="G66" s="18" t="n">
        <v>-26442.59</v>
      </c>
      <c r="H66" s="18" t="n">
        <v>184370.67</v>
      </c>
      <c r="I66" s="18" t="n">
        <v>-350383.82</v>
      </c>
      <c r="J66" s="18" t="n">
        <v>200374.65</v>
      </c>
      <c r="K66" s="34" t="n">
        <v>7918.91</v>
      </c>
      <c r="L66" s="18" t="n">
        <v>71679.87</v>
      </c>
      <c r="M66" s="18" t="n">
        <v>178637.47</v>
      </c>
      <c r="N66" s="18" t="n">
        <v>136560.71</v>
      </c>
      <c r="O66" s="18" t="n">
        <v>318504.6</v>
      </c>
      <c r="P66" s="34" t="n">
        <v>705382.65</v>
      </c>
      <c r="Q66" s="18" t="n">
        <v>712692.84</v>
      </c>
      <c r="R66" s="18" t="n">
        <v>33570.51</v>
      </c>
      <c r="S66" s="18" t="n">
        <v>48607.4</v>
      </c>
      <c r="T66" s="18" t="n">
        <v>-156527.12</v>
      </c>
      <c r="U66" s="34" t="n">
        <v>638343.63</v>
      </c>
      <c r="V66" s="18" t="n">
        <v>109114.73</v>
      </c>
      <c r="W66" s="18" t="n">
        <v>1279573.51</v>
      </c>
      <c r="X66" s="18" t="n">
        <v>485374.74</v>
      </c>
      <c r="Y66" s="18" t="n">
        <v>912299.78</v>
      </c>
      <c r="Z66" s="34" t="n">
        <v>2786362.76</v>
      </c>
      <c r="AA66" s="18" t="n">
        <v>288872.52</v>
      </c>
      <c r="AB66" s="19" t="n">
        <v>3713755.98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-14725.27</v>
      </c>
      <c r="F67" s="9" t="n"/>
      <c r="G67" s="18" t="n">
        <v>14043.55</v>
      </c>
      <c r="H67" s="18" t="n">
        <v>55554.01</v>
      </c>
      <c r="I67" s="18" t="n">
        <v>-73538.46000000001</v>
      </c>
      <c r="J67" s="18" t="n">
        <v>4517.04</v>
      </c>
      <c r="K67" s="34" t="n">
        <v>576.14</v>
      </c>
      <c r="L67" s="18" t="n">
        <v>16027.75</v>
      </c>
      <c r="M67" s="18" t="n">
        <v>43528.18</v>
      </c>
      <c r="N67" s="18" t="n">
        <v>36566.18</v>
      </c>
      <c r="O67" s="18" t="n">
        <v>68431.09</v>
      </c>
      <c r="P67" s="34" t="n">
        <v>164553.2</v>
      </c>
      <c r="Q67" s="18" t="n">
        <v>137130.91</v>
      </c>
      <c r="R67" s="18" t="n">
        <v>13516.14</v>
      </c>
      <c r="S67" s="18" t="n">
        <v>11758.61</v>
      </c>
      <c r="T67" s="18" t="n">
        <v>-94909.16</v>
      </c>
      <c r="U67" s="34" t="n">
        <v>67496.5</v>
      </c>
      <c r="V67" s="18" t="n">
        <v>2461.13</v>
      </c>
      <c r="W67" s="18" t="n">
        <v>345633.68</v>
      </c>
      <c r="X67" s="18" t="n">
        <v>118889.71</v>
      </c>
      <c r="Y67" s="18" t="n">
        <v>254483.45</v>
      </c>
      <c r="Z67" s="34" t="n">
        <v>721467.97</v>
      </c>
      <c r="AA67" s="18" t="n">
        <v>67020.48</v>
      </c>
      <c r="AB67" s="19" t="n">
        <v>884548.3199999999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-10754.59</v>
      </c>
      <c r="F68" s="9" t="n"/>
      <c r="G68" s="18" t="n">
        <v>-40486.14</v>
      </c>
      <c r="H68" s="18" t="n">
        <v>128816.66</v>
      </c>
      <c r="I68" s="18" t="n">
        <v>-276845.36</v>
      </c>
      <c r="J68" s="18" t="n">
        <v>195857.61</v>
      </c>
      <c r="K68" s="34" t="n">
        <v>7342.77</v>
      </c>
      <c r="L68" s="18" t="n">
        <v>55652.12</v>
      </c>
      <c r="M68" s="18" t="n">
        <v>135109.29</v>
      </c>
      <c r="N68" s="18" t="n">
        <v>99994.53</v>
      </c>
      <c r="O68" s="18" t="n">
        <v>250073.51</v>
      </c>
      <c r="P68" s="34" t="n">
        <v>540829.45</v>
      </c>
      <c r="Q68" s="18" t="n">
        <v>575561.9399999999</v>
      </c>
      <c r="R68" s="18" t="n">
        <v>20054.37</v>
      </c>
      <c r="S68" s="18" t="n">
        <v>36848.79</v>
      </c>
      <c r="T68" s="18" t="n">
        <v>-61617.96</v>
      </c>
      <c r="U68" s="34" t="n">
        <v>570847.14</v>
      </c>
      <c r="V68" s="18" t="n">
        <v>106653.59</v>
      </c>
      <c r="W68" s="18" t="n">
        <v>933939.8199999999</v>
      </c>
      <c r="X68" s="18" t="n">
        <v>366485.04</v>
      </c>
      <c r="Y68" s="18" t="n">
        <v>657816.33</v>
      </c>
      <c r="Z68" s="34" t="n">
        <v>2064894.78</v>
      </c>
      <c r="AA68" s="18" t="n">
        <v>221852.04</v>
      </c>
      <c r="AB68" s="19" t="n">
        <v>2829207.66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284.9</v>
      </c>
      <c r="F69" s="9" t="n"/>
      <c r="K69" s="9" t="n"/>
      <c r="P69" s="9" t="n"/>
      <c r="U69" s="9" t="n"/>
      <c r="Z69" s="9" t="n"/>
      <c r="AB69" s="19" t="n">
        <v>-3631.75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-10469.68</v>
      </c>
      <c r="F70" s="9" t="n"/>
      <c r="G70" s="18" t="n">
        <v>-40486.14</v>
      </c>
      <c r="H70" s="18" t="n">
        <v>128816.66</v>
      </c>
      <c r="I70" s="18" t="n">
        <v>-276845.36</v>
      </c>
      <c r="J70" s="18" t="n">
        <v>195857.61</v>
      </c>
      <c r="K70" s="34" t="n">
        <v>7342.77</v>
      </c>
      <c r="L70" s="18" t="n">
        <v>55652.12</v>
      </c>
      <c r="M70" s="18" t="n">
        <v>135109.29</v>
      </c>
      <c r="N70" s="18" t="n">
        <v>99994.53</v>
      </c>
      <c r="O70" s="18" t="n">
        <v>250073.51</v>
      </c>
      <c r="P70" s="34" t="n">
        <v>540829.45</v>
      </c>
      <c r="Q70" s="18" t="n">
        <v>575561.9399999999</v>
      </c>
      <c r="R70" s="18" t="n">
        <v>20054.37</v>
      </c>
      <c r="S70" s="18" t="n">
        <v>36848.79</v>
      </c>
      <c r="T70" s="18" t="n">
        <v>-61617.96</v>
      </c>
      <c r="U70" s="34" t="n">
        <v>570847.14</v>
      </c>
      <c r="V70" s="18" t="n">
        <v>106653.59</v>
      </c>
      <c r="W70" s="18" t="n">
        <v>933939.8199999999</v>
      </c>
      <c r="X70" s="18" t="n">
        <v>366485.04</v>
      </c>
      <c r="Y70" s="18" t="n">
        <v>657816.33</v>
      </c>
      <c r="Z70" s="34" t="n">
        <v>2064894.78</v>
      </c>
      <c r="AA70" s="18" t="n">
        <v>221852.04</v>
      </c>
      <c r="AB70" s="19" t="n">
        <v>2825575.91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-14487.8</v>
      </c>
      <c r="F71" s="9" t="n"/>
      <c r="G71" s="18" t="n">
        <v>-38985.39</v>
      </c>
      <c r="H71" s="18" t="n">
        <v>122363.42</v>
      </c>
      <c r="I71" s="18" t="n">
        <v>-280447.17</v>
      </c>
      <c r="J71" s="18" t="n">
        <v>208614.9</v>
      </c>
      <c r="K71" s="34" t="n">
        <v>11545.76</v>
      </c>
      <c r="L71" s="18" t="n">
        <v>56822.61</v>
      </c>
      <c r="M71" s="18" t="n">
        <v>137197.93</v>
      </c>
      <c r="N71" s="18" t="n">
        <v>98471.56</v>
      </c>
      <c r="O71" s="18" t="n">
        <v>212654.83</v>
      </c>
      <c r="P71" s="34" t="n">
        <v>505146.93</v>
      </c>
      <c r="Q71" s="18" t="n">
        <v>575054.02</v>
      </c>
      <c r="R71" s="18" t="n">
        <v>19812.69</v>
      </c>
      <c r="S71" s="18" t="n">
        <v>36848.79</v>
      </c>
      <c r="T71" s="18" t="n">
        <v>-66922.22</v>
      </c>
      <c r="U71" s="34" t="n">
        <v>564793.28</v>
      </c>
      <c r="V71" s="18" t="n">
        <v>782093.89</v>
      </c>
      <c r="W71" s="18" t="n">
        <v>938544.5699999999</v>
      </c>
      <c r="X71" s="18" t="n">
        <v>361596.59</v>
      </c>
      <c r="Y71" s="18" t="n">
        <v>662823.65</v>
      </c>
      <c r="Z71" s="34" t="n">
        <v>2745058.7</v>
      </c>
      <c r="AA71" s="18" t="n">
        <v>223098.26</v>
      </c>
      <c r="AB71" s="19" t="n">
        <v>2830110.32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-10469.68</v>
      </c>
      <c r="F72" s="9" t="n"/>
      <c r="G72" s="18" t="n">
        <v>-40486.14</v>
      </c>
      <c r="H72" s="18" t="n">
        <v>128816.66</v>
      </c>
      <c r="I72" s="18" t="n">
        <v>-276845.36</v>
      </c>
      <c r="J72" s="18" t="n">
        <v>195857.61</v>
      </c>
      <c r="K72" s="34" t="n">
        <v>7342.77</v>
      </c>
      <c r="L72" s="18" t="n">
        <v>55652.12</v>
      </c>
      <c r="M72" s="18" t="n">
        <v>135109.29</v>
      </c>
      <c r="N72" s="18" t="n">
        <v>99994.53</v>
      </c>
      <c r="O72" s="18" t="n">
        <v>250073.51</v>
      </c>
      <c r="P72" s="34" t="n">
        <v>540829.45</v>
      </c>
      <c r="Q72" s="18" t="n">
        <v>575561.9399999999</v>
      </c>
      <c r="R72" s="18" t="n">
        <v>20054.37</v>
      </c>
      <c r="S72" s="18" t="n">
        <v>36848.79</v>
      </c>
      <c r="T72" s="18" t="n">
        <v>-61617.96</v>
      </c>
      <c r="U72" s="34" t="n">
        <v>570847.14</v>
      </c>
      <c r="V72" s="18" t="n">
        <v>106653.59</v>
      </c>
      <c r="W72" s="18" t="n">
        <v>933939.8199999999</v>
      </c>
      <c r="X72" s="18" t="n">
        <v>366485.04</v>
      </c>
      <c r="Y72" s="18" t="n">
        <v>657816.33</v>
      </c>
      <c r="Z72" s="34" t="n">
        <v>2064894.78</v>
      </c>
      <c r="AA72" s="18" t="n">
        <v>221852.04</v>
      </c>
      <c r="AB72" s="19" t="n">
        <v>2825575.91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55262.03</v>
      </c>
      <c r="F73" s="9" t="n"/>
      <c r="G73" s="18" t="n">
        <v>40549.7</v>
      </c>
      <c r="H73" s="18" t="n">
        <v>46685.51</v>
      </c>
      <c r="I73" s="18" t="n">
        <v>61101.3</v>
      </c>
      <c r="J73" s="18" t="n">
        <v>46341.16</v>
      </c>
      <c r="K73" s="34" t="n">
        <v>194677.67</v>
      </c>
      <c r="L73" s="18" t="n">
        <v>61146.89</v>
      </c>
      <c r="M73" s="18" t="n">
        <v>142577.1</v>
      </c>
      <c r="N73" s="18" t="n">
        <v>116191.4</v>
      </c>
      <c r="O73" s="18" t="n">
        <v>143487.23</v>
      </c>
      <c r="P73" s="34" t="n">
        <v>463402.62</v>
      </c>
      <c r="Q73" s="18" t="n">
        <v>88103.09</v>
      </c>
      <c r="R73" s="18" t="n">
        <v>145876.06</v>
      </c>
      <c r="S73" s="18" t="n">
        <v>110520.55</v>
      </c>
      <c r="T73" s="18" t="n">
        <v>100878.48</v>
      </c>
      <c r="U73" s="34" t="n">
        <v>445378.18</v>
      </c>
      <c r="V73" s="18" t="n">
        <v>108895.33</v>
      </c>
      <c r="W73" s="18" t="n">
        <v>77750.99000000001</v>
      </c>
      <c r="X73" s="18" t="n">
        <v>68771.97</v>
      </c>
      <c r="Y73" s="18" t="n">
        <v>159471.63</v>
      </c>
      <c r="Z73" s="34" t="n">
        <v>414889.92</v>
      </c>
      <c r="AA73" s="18" t="n">
        <v>86881.58</v>
      </c>
      <c r="AB73" s="19" t="n">
        <v>57074.6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2700.6</v>
      </c>
      <c r="F74" s="9" t="n"/>
      <c r="G74" s="18" t="n">
        <v>1595.29</v>
      </c>
      <c r="H74" s="18" t="n">
        <v>1435.81</v>
      </c>
      <c r="I74" s="18" t="n">
        <v>1521.73</v>
      </c>
      <c r="J74" s="18" t="n">
        <v>1735.28</v>
      </c>
      <c r="K74" s="34" t="n">
        <v>6288.11</v>
      </c>
      <c r="L74" s="18" t="n">
        <v>1747.1</v>
      </c>
      <c r="M74" s="18" t="n">
        <v>1663.29</v>
      </c>
      <c r="N74" s="18" t="n">
        <v>1710.02</v>
      </c>
      <c r="O74" s="18" t="n">
        <v>1927.27</v>
      </c>
      <c r="P74" s="34" t="n">
        <v>7047.68</v>
      </c>
      <c r="Q74" s="18" t="n">
        <v>1870.42</v>
      </c>
      <c r="R74" s="18" t="n">
        <v>2085.98</v>
      </c>
      <c r="S74" s="18" t="n">
        <v>2054.56</v>
      </c>
      <c r="T74" s="18" t="n">
        <v>2096.31</v>
      </c>
      <c r="U74" s="34" t="n">
        <v>8107.27</v>
      </c>
      <c r="V74" s="18" t="n">
        <v>36089.52</v>
      </c>
      <c r="W74" s="18" t="n">
        <v>35970.29</v>
      </c>
      <c r="X74" s="18" t="n">
        <v>-65540.87</v>
      </c>
      <c r="Y74" s="18" t="n">
        <v>2177.14</v>
      </c>
      <c r="Z74" s="34" t="n">
        <v>8696.08</v>
      </c>
      <c r="AA74" s="18" t="n">
        <v>30148.76</v>
      </c>
      <c r="AB74" s="19" t="n">
        <v>28325.79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233.61</v>
      </c>
      <c r="F75" s="9" t="n"/>
      <c r="G75" s="18" t="n">
        <v>265.79</v>
      </c>
      <c r="H75" s="18" t="n">
        <v>272.01</v>
      </c>
      <c r="I75" s="18" t="n">
        <v>279.46</v>
      </c>
      <c r="J75" s="18" t="n">
        <v>291.47</v>
      </c>
      <c r="K75" s="34" t="n">
        <v>1108.73</v>
      </c>
      <c r="L75" s="18" t="n">
        <v>311.5</v>
      </c>
      <c r="M75" s="18" t="n">
        <v>318.2</v>
      </c>
      <c r="N75" s="18" t="n">
        <v>332.73</v>
      </c>
      <c r="O75" s="18" t="n">
        <v>336.45</v>
      </c>
      <c r="P75" s="34" t="n">
        <v>1298.88</v>
      </c>
      <c r="Q75" s="18" t="n">
        <v>306.78</v>
      </c>
      <c r="R75" s="18" t="n">
        <v>294.28</v>
      </c>
      <c r="S75" s="18" t="n">
        <v>295.32</v>
      </c>
      <c r="T75" s="18" t="n">
        <v>300.54</v>
      </c>
      <c r="U75" s="34" t="n">
        <v>1196.92</v>
      </c>
      <c r="V75" s="18" t="n">
        <v>303.87</v>
      </c>
      <c r="W75" s="18" t="n">
        <v>386.78</v>
      </c>
      <c r="X75" s="18" t="n">
        <v>316.62</v>
      </c>
      <c r="Y75" s="18" t="n">
        <v>223.93</v>
      </c>
      <c r="Z75" s="34" t="n">
        <v>1231.2</v>
      </c>
      <c r="AA75" s="18" t="n">
        <v>219.23</v>
      </c>
      <c r="AB75" s="19" t="n">
        <v>275.37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-2014.92</v>
      </c>
      <c r="F76" s="9" t="n"/>
      <c r="G76" s="18" t="n">
        <v>-7577.65</v>
      </c>
      <c r="H76" s="18" t="n">
        <v>-23116.63</v>
      </c>
      <c r="I76" s="18" t="n">
        <v>-24518.95</v>
      </c>
      <c r="J76" s="18" t="n">
        <v>-1551.75</v>
      </c>
      <c r="K76" s="34" t="n">
        <v>-56764.98</v>
      </c>
      <c r="L76" s="18" t="n">
        <v>-1220.77</v>
      </c>
      <c r="M76" s="18" t="n">
        <v>-11024.21</v>
      </c>
      <c r="N76" s="18" t="n">
        <v>-10666.34</v>
      </c>
      <c r="O76" s="18" t="n">
        <v>-12055.52</v>
      </c>
      <c r="P76" s="34" t="n">
        <v>-34966.84</v>
      </c>
      <c r="Q76" s="18" t="n">
        <v>-3020.52</v>
      </c>
      <c r="R76" s="18" t="n">
        <v>-24235.13</v>
      </c>
      <c r="S76" s="18" t="n">
        <v>-10295.87</v>
      </c>
      <c r="T76" s="18" t="n">
        <v>-10788.77</v>
      </c>
      <c r="U76" s="34" t="n">
        <v>-48340.29</v>
      </c>
      <c r="V76" s="18" t="n">
        <v>-49833.53</v>
      </c>
      <c r="W76" s="18" t="n">
        <v>-60790.76</v>
      </c>
      <c r="X76" s="18" t="n">
        <v>-22103.94</v>
      </c>
      <c r="Y76" s="18" t="n">
        <v>-20064.1</v>
      </c>
      <c r="Z76" s="34" t="n">
        <v>-152792.33</v>
      </c>
      <c r="AA76" s="18" t="n">
        <v>-16641.51</v>
      </c>
      <c r="AB76" s="19" t="n">
        <v>12767.88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487807.47</v>
      </c>
      <c r="F77" s="9" t="n"/>
      <c r="G77" s="18" t="n">
        <v>-403500.26</v>
      </c>
      <c r="H77" s="18" t="n">
        <v>-41200.89</v>
      </c>
      <c r="I77" s="18" t="n">
        <v>464642.68</v>
      </c>
      <c r="J77" s="18" t="n">
        <v>246974.87</v>
      </c>
      <c r="K77" s="34" t="n">
        <v>266916.4</v>
      </c>
      <c r="L77" s="18" t="n">
        <v>-109839.3</v>
      </c>
      <c r="M77" s="18" t="n">
        <v>-46355.64</v>
      </c>
      <c r="N77" s="18" t="n">
        <v>-34459.7</v>
      </c>
      <c r="O77" s="18" t="n">
        <v>-1837.63</v>
      </c>
      <c r="P77" s="34" t="n">
        <v>-192492.27</v>
      </c>
      <c r="Q77" s="18" t="n">
        <v>-110680.21</v>
      </c>
      <c r="R77" s="18" t="n">
        <v>-259449.17</v>
      </c>
      <c r="S77" s="18" t="n">
        <v>-56792.76</v>
      </c>
      <c r="T77" s="18" t="n">
        <v>-579304.48</v>
      </c>
      <c r="U77" s="34" t="n">
        <v>-1006226.62</v>
      </c>
      <c r="V77" s="18" t="n">
        <v>-19778.95</v>
      </c>
      <c r="W77" s="18" t="n">
        <v>190156.65</v>
      </c>
      <c r="X77" s="18" t="n">
        <v>-818078.14</v>
      </c>
      <c r="Y77" s="18" t="n">
        <v>178601.86</v>
      </c>
      <c r="Z77" s="34" t="n">
        <v>-469098.58</v>
      </c>
      <c r="AA77" s="18" t="n">
        <v>-46664.01</v>
      </c>
      <c r="AB77" s="19" t="n">
        <v>-43977.87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25443.74</v>
      </c>
      <c r="F78" s="9" t="n"/>
      <c r="G78" s="18" t="n">
        <v>30879.31</v>
      </c>
      <c r="H78" s="18" t="n">
        <v>24361.41</v>
      </c>
      <c r="I78" s="18" t="n">
        <v>41142.14</v>
      </c>
      <c r="J78" s="18" t="n">
        <v>49551.38</v>
      </c>
      <c r="K78" s="34" t="n">
        <v>145934.24</v>
      </c>
      <c r="L78" s="18" t="n">
        <v>56905.8</v>
      </c>
      <c r="M78" s="18" t="n">
        <v>50598.74</v>
      </c>
      <c r="N78" s="18" t="n">
        <v>60546.09</v>
      </c>
      <c r="O78" s="18" t="n">
        <v>23978.74</v>
      </c>
      <c r="P78" s="34" t="n">
        <v>192029.37</v>
      </c>
      <c r="Q78" s="18" t="n">
        <v>21543.7</v>
      </c>
      <c r="R78" s="18" t="n">
        <v>30565.81</v>
      </c>
      <c r="S78" s="18" t="n">
        <v>21436.25</v>
      </c>
      <c r="T78" s="18" t="n">
        <v>12580.7</v>
      </c>
      <c r="U78" s="34" t="n">
        <v>86126.46000000001</v>
      </c>
      <c r="V78" s="18" t="n">
        <v>17729.21</v>
      </c>
      <c r="W78" s="18" t="n">
        <v>13172.56</v>
      </c>
      <c r="X78" s="18" t="n">
        <v>17958.43</v>
      </c>
      <c r="Y78" s="18" t="n">
        <v>37379.49</v>
      </c>
      <c r="Z78" s="34" t="n">
        <v>86239.69</v>
      </c>
      <c r="AA78" s="18" t="n">
        <v>30987.63</v>
      </c>
      <c r="AB78" s="19" t="n">
        <v>10565.74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26125.17</v>
      </c>
      <c r="F79" s="9" t="n"/>
      <c r="G79" s="18" t="n">
        <v>31047.65</v>
      </c>
      <c r="H79" s="18" t="n">
        <v>26553.8</v>
      </c>
      <c r="I79" s="18" t="n">
        <v>41349.35</v>
      </c>
      <c r="J79" s="18" t="n">
        <v>50008.86</v>
      </c>
      <c r="K79" s="34" t="n">
        <v>148959.66</v>
      </c>
      <c r="L79" s="18" t="n">
        <v>57114.96</v>
      </c>
      <c r="M79" s="18" t="n">
        <v>50877.37</v>
      </c>
      <c r="N79" s="18" t="n">
        <v>60733.76</v>
      </c>
      <c r="O79" s="18" t="n">
        <v>24228.55</v>
      </c>
      <c r="P79" s="34" t="n">
        <v>192954.64</v>
      </c>
      <c r="Q79" s="18" t="n">
        <v>21910.92</v>
      </c>
      <c r="R79" s="18" t="n">
        <v>30801.43</v>
      </c>
      <c r="S79" s="18" t="n">
        <v>21646.68</v>
      </c>
      <c r="T79" s="18" t="n">
        <v>12885.41</v>
      </c>
      <c r="U79" s="34" t="n">
        <v>87244.44</v>
      </c>
      <c r="V79" s="18" t="n">
        <v>17953.67</v>
      </c>
      <c r="W79" s="18" t="n">
        <v>13532.35</v>
      </c>
      <c r="X79" s="18" t="n">
        <v>18043.55</v>
      </c>
      <c r="Y79" s="18" t="n">
        <v>37683.66</v>
      </c>
      <c r="Z79" s="34" t="n">
        <v>87213.23</v>
      </c>
      <c r="AA79" s="18" t="n">
        <v>31200.45</v>
      </c>
      <c r="AB79" s="19" t="n">
        <v>10769.98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681.4299999999999</v>
      </c>
      <c r="F80" s="9" t="n"/>
      <c r="G80" s="18" t="n">
        <v>168.34</v>
      </c>
      <c r="H80" s="18" t="n">
        <v>2192.39</v>
      </c>
      <c r="I80" s="18" t="n">
        <v>207.21</v>
      </c>
      <c r="J80" s="18" t="n">
        <v>457.48</v>
      </c>
      <c r="K80" s="34" t="n">
        <v>3025.42</v>
      </c>
      <c r="L80" s="18" t="n">
        <v>209.16</v>
      </c>
      <c r="M80" s="18" t="n">
        <v>278.63</v>
      </c>
      <c r="N80" s="18" t="n">
        <v>187.67</v>
      </c>
      <c r="O80" s="18" t="n">
        <v>249.81</v>
      </c>
      <c r="P80" s="34" t="n">
        <v>925.27</v>
      </c>
      <c r="Q80" s="18" t="n">
        <v>367.22</v>
      </c>
      <c r="R80" s="18" t="n">
        <v>235.62</v>
      </c>
      <c r="S80" s="18" t="n">
        <v>210.43</v>
      </c>
      <c r="T80" s="18" t="n">
        <v>304.71</v>
      </c>
      <c r="U80" s="34" t="n">
        <v>1117.98</v>
      </c>
      <c r="V80" s="18" t="n">
        <v>224.46</v>
      </c>
      <c r="W80" s="18" t="n">
        <v>359.79</v>
      </c>
      <c r="X80" s="18" t="n">
        <v>85.12</v>
      </c>
      <c r="Y80" s="18" t="n">
        <v>304.17</v>
      </c>
      <c r="Z80" s="34" t="n">
        <v>973.54</v>
      </c>
      <c r="AA80" s="18" t="n">
        <v>212.82</v>
      </c>
      <c r="AB80" s="19" t="n">
        <v>204.24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865.95</v>
      </c>
      <c r="F81" s="9" t="n"/>
      <c r="G81" s="18" t="n">
        <v>807.17</v>
      </c>
      <c r="H81" s="18" t="n">
        <v>2850.64</v>
      </c>
      <c r="I81" s="18" t="n">
        <v>361.18</v>
      </c>
      <c r="J81" s="18" t="n">
        <v>1388.14</v>
      </c>
      <c r="K81" s="34" t="n">
        <v>5407.13</v>
      </c>
      <c r="L81" s="18" t="n">
        <v>20736.11</v>
      </c>
      <c r="M81" s="18" t="n">
        <v>6559.39</v>
      </c>
      <c r="N81" s="18" t="n">
        <v>842.54</v>
      </c>
      <c r="O81" s="18" t="n">
        <v>1107.53</v>
      </c>
      <c r="P81" s="34" t="n">
        <v>29245.57</v>
      </c>
      <c r="Q81" s="18" t="n">
        <v>649.33</v>
      </c>
      <c r="R81" s="18" t="n">
        <v>759.27</v>
      </c>
      <c r="S81" s="18" t="n">
        <v>992.29</v>
      </c>
      <c r="T81" s="18" t="n">
        <v>4203.36</v>
      </c>
      <c r="U81" s="34" t="n">
        <v>6604.25</v>
      </c>
      <c r="V81" s="18" t="n">
        <v>251.05</v>
      </c>
      <c r="W81" s="18" t="n">
        <v>1103.02</v>
      </c>
      <c r="X81" s="18" t="n">
        <v>5100.63</v>
      </c>
      <c r="Y81" s="18" t="n">
        <v>25860.7</v>
      </c>
      <c r="Z81" s="34" t="n">
        <v>32315.4</v>
      </c>
      <c r="AA81" s="18" t="n">
        <v>186.35</v>
      </c>
      <c r="AB81" s="19" t="n">
        <v>420.98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0.22</v>
      </c>
      <c r="H82" s="18" t="n">
        <v>2150</v>
      </c>
      <c r="I82" s="18" t="n">
        <v>0</v>
      </c>
      <c r="J82" s="18" t="n">
        <v>0</v>
      </c>
      <c r="K82" s="34" t="n">
        <v>2150.22</v>
      </c>
      <c r="N82" s="18" t="n">
        <v>0.73</v>
      </c>
      <c r="O82" s="18" t="n">
        <v>0</v>
      </c>
      <c r="P82" s="9" t="n"/>
      <c r="T82" s="18" t="n">
        <v>5.85</v>
      </c>
      <c r="U82" s="9" t="n"/>
      <c r="V82" s="18" t="n">
        <v>1.15</v>
      </c>
      <c r="W82" s="18" t="n">
        <v>0.24</v>
      </c>
      <c r="X82" s="18" t="n">
        <v>209.09</v>
      </c>
      <c r="Y82" s="18" t="n">
        <v>0</v>
      </c>
      <c r="Z82" s="34" t="n">
        <v>210.48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1987.14</v>
      </c>
      <c r="F83" s="9" t="n"/>
      <c r="G83" s="18" t="n">
        <v>311.34</v>
      </c>
      <c r="H83" s="18" t="n">
        <v>395.08</v>
      </c>
      <c r="I83" s="18" t="n">
        <v>961.47</v>
      </c>
      <c r="J83" s="18" t="n">
        <v>3043.58</v>
      </c>
      <c r="K83" s="34" t="n">
        <v>4711.47</v>
      </c>
      <c r="L83" s="18" t="n">
        <v>4350.76</v>
      </c>
      <c r="M83" s="18" t="n">
        <v>5329.17</v>
      </c>
      <c r="N83" s="18" t="n">
        <v>6718.03</v>
      </c>
      <c r="O83" s="18" t="n">
        <v>8378.450000000001</v>
      </c>
      <c r="P83" s="34" t="n">
        <v>24776.41</v>
      </c>
      <c r="Q83" s="18" t="n">
        <v>7188.55</v>
      </c>
      <c r="R83" s="18" t="n">
        <v>7636.26</v>
      </c>
      <c r="S83" s="18" t="n">
        <v>6764.26</v>
      </c>
      <c r="T83" s="18" t="n">
        <v>8165.82</v>
      </c>
      <c r="U83" s="34" t="n">
        <v>29754.89</v>
      </c>
      <c r="V83" s="18" t="n">
        <v>1908.06</v>
      </c>
      <c r="W83" s="18" t="n">
        <v>2777.28</v>
      </c>
      <c r="X83" s="18" t="n">
        <v>15710.58</v>
      </c>
      <c r="Y83" s="18" t="n">
        <v>4136.45</v>
      </c>
      <c r="Z83" s="34" t="n">
        <v>24532.37</v>
      </c>
      <c r="AA83" s="18" t="n">
        <v>4471.73</v>
      </c>
      <c r="AB83" s="19" t="n">
        <v>13438.65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90.22</v>
      </c>
      <c r="F84" s="9" t="n"/>
      <c r="G84" s="18" t="n">
        <v>152.74</v>
      </c>
      <c r="H84" s="18" t="n">
        <v>77654.13</v>
      </c>
      <c r="I84" s="18" t="n">
        <v>612.5599999999999</v>
      </c>
      <c r="J84" s="18" t="n">
        <v>0</v>
      </c>
      <c r="K84" s="34" t="n">
        <v>78419.42999999999</v>
      </c>
      <c r="L84" s="18" t="n">
        <v>143.5</v>
      </c>
      <c r="M84" s="18" t="n">
        <v>44983.33</v>
      </c>
      <c r="N84" s="18" t="n">
        <v>458.48</v>
      </c>
      <c r="O84" s="18" t="n">
        <v>0</v>
      </c>
      <c r="P84" s="34" t="n">
        <v>45585.31</v>
      </c>
      <c r="Q84" s="18" t="n">
        <v>72625.92</v>
      </c>
      <c r="R84" s="18" t="n">
        <v>126861.47</v>
      </c>
      <c r="S84" s="18" t="n">
        <v>458.48</v>
      </c>
      <c r="T84" s="18" t="n">
        <v>0</v>
      </c>
      <c r="U84" s="34" t="n">
        <v>199945.87</v>
      </c>
      <c r="V84" s="18" t="n">
        <v>205</v>
      </c>
      <c r="W84" s="18" t="n">
        <v>64147</v>
      </c>
      <c r="X84" s="18" t="n">
        <v>9216.450000000001</v>
      </c>
      <c r="Y84" s="18" t="n">
        <v>110.77</v>
      </c>
      <c r="Z84" s="34" t="n">
        <v>73679.22</v>
      </c>
      <c r="AA84" s="18" t="n">
        <v>205</v>
      </c>
      <c r="AB84" s="19" t="n">
        <v>79820.42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-511388.9</v>
      </c>
      <c r="F85" s="9" t="n"/>
      <c r="G85" s="18" t="n">
        <v>333582.22</v>
      </c>
      <c r="H85" s="18" t="n">
        <v>-972.04</v>
      </c>
      <c r="I85" s="18" t="n">
        <v>-462377.9</v>
      </c>
      <c r="J85" s="18" t="n">
        <v>2732.4</v>
      </c>
      <c r="K85" s="34" t="n">
        <v>-127035.32</v>
      </c>
      <c r="L85" s="18" t="n">
        <v>97094.24000000001</v>
      </c>
      <c r="M85" s="18" t="n">
        <v>41378.47</v>
      </c>
      <c r="N85" s="18" t="n">
        <v>-48064.51</v>
      </c>
      <c r="O85" s="18" t="n">
        <v>-137036.1</v>
      </c>
      <c r="P85" s="34" t="n">
        <v>-46627.9</v>
      </c>
      <c r="Q85" s="18" t="n">
        <v>21205.85</v>
      </c>
      <c r="R85" s="18" t="n">
        <v>174088.76</v>
      </c>
      <c r="S85" s="18" t="n">
        <v>22366.67</v>
      </c>
      <c r="T85" s="18" t="n">
        <v>-109995.62</v>
      </c>
      <c r="U85" s="34" t="n">
        <v>107665.66</v>
      </c>
      <c r="V85" s="18" t="n">
        <v>330986.87</v>
      </c>
      <c r="W85" s="18" t="n">
        <v>-388864.99</v>
      </c>
      <c r="X85" s="18" t="n">
        <v>855895.03</v>
      </c>
      <c r="Y85" s="18" t="n">
        <v>-130132.8</v>
      </c>
      <c r="Z85" s="34" t="n">
        <v>667884.11</v>
      </c>
      <c r="AA85" s="18" t="n">
        <v>263512.1</v>
      </c>
      <c r="AB85" s="19" t="n">
        <v>-425948.17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371564.16</v>
      </c>
      <c r="H86" s="18" t="n">
        <v>0</v>
      </c>
      <c r="I86" s="18" t="n">
        <v>0</v>
      </c>
      <c r="J86" s="18" t="n">
        <v>0</v>
      </c>
      <c r="K86" s="34" t="n">
        <v>371564.16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사채의증가</t>
        </is>
      </c>
      <c r="E87" s="18" t="n">
        <v>249261.26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Q87" s="18" t="n">
        <v>578380.4399999999</v>
      </c>
      <c r="R87" s="18" t="n">
        <v>0</v>
      </c>
      <c r="S87" s="18" t="n">
        <v>0</v>
      </c>
      <c r="T87" s="18" t="n">
        <v>299133.46</v>
      </c>
      <c r="U87" s="34" t="n">
        <v>877513.9</v>
      </c>
      <c r="V87" s="18" t="n">
        <v>398851.08</v>
      </c>
      <c r="W87" s="18" t="n">
        <v>0</v>
      </c>
      <c r="X87" s="18" t="n">
        <v>885072.27</v>
      </c>
      <c r="Y87" s="18" t="n">
        <v>0</v>
      </c>
      <c r="Z87" s="34" t="n">
        <v>1283923.35</v>
      </c>
      <c r="AA87" s="18" t="n">
        <v>398861.36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I88" s="18" t="n">
        <v>100000</v>
      </c>
      <c r="J88" s="18" t="n">
        <v>0</v>
      </c>
      <c r="K88" s="9" t="n"/>
      <c r="P88" s="9" t="n"/>
      <c r="Q88" s="18" t="n">
        <v>400000</v>
      </c>
      <c r="R88" s="18" t="n">
        <v>238682</v>
      </c>
      <c r="S88" s="18" t="n">
        <v>0</v>
      </c>
      <c r="T88" s="18" t="n">
        <v>270000</v>
      </c>
      <c r="U88" s="34" t="n">
        <v>908682</v>
      </c>
      <c r="V88" s="18" t="n">
        <v>137585.7</v>
      </c>
      <c r="W88" s="18" t="n">
        <v>270000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사채의감소</t>
        </is>
      </c>
      <c r="E89" s="18" t="n">
        <v>280000</v>
      </c>
      <c r="F89" s="9" t="n"/>
      <c r="K89" s="9" t="n"/>
      <c r="L89" s="18" t="n">
        <v>200000</v>
      </c>
      <c r="M89" s="18" t="n">
        <v>150000</v>
      </c>
      <c r="P89" s="9" t="n"/>
      <c r="U89" s="9" t="n"/>
      <c r="Z89" s="9" t="n"/>
      <c r="AA89" s="18" t="n">
        <v>145000</v>
      </c>
      <c r="AB89" s="19" t="n">
        <v>275000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2374.58</v>
      </c>
      <c r="F90" s="9" t="n"/>
      <c r="G90" s="18" t="n">
        <v>1374.8</v>
      </c>
      <c r="H90" s="18" t="n">
        <v>1347.65</v>
      </c>
      <c r="I90" s="18" t="n">
        <v>1521.11</v>
      </c>
      <c r="J90" s="18" t="n">
        <v>1564.83</v>
      </c>
      <c r="K90" s="34" t="n">
        <v>5808.39</v>
      </c>
      <c r="L90" s="18" t="n">
        <v>1556.99</v>
      </c>
      <c r="M90" s="18" t="n">
        <v>2004.82</v>
      </c>
      <c r="N90" s="18" t="n">
        <v>1954.1</v>
      </c>
      <c r="O90" s="18" t="n">
        <v>2043.67</v>
      </c>
      <c r="P90" s="34" t="n">
        <v>7559.58</v>
      </c>
      <c r="Q90" s="18" t="n">
        <v>1987.4</v>
      </c>
      <c r="R90" s="18" t="n">
        <v>2218.97</v>
      </c>
      <c r="S90" s="18" t="n">
        <v>2348.56</v>
      </c>
      <c r="T90" s="18" t="n">
        <v>2230</v>
      </c>
      <c r="U90" s="34" t="n">
        <v>8784.93</v>
      </c>
      <c r="V90" s="18" t="n">
        <v>2322.56</v>
      </c>
      <c r="W90" s="18" t="n">
        <v>2314.88</v>
      </c>
      <c r="X90" s="18" t="n">
        <v>2445.55</v>
      </c>
      <c r="Y90" s="18" t="n">
        <v>2327.44</v>
      </c>
      <c r="Z90" s="34" t="n">
        <v>9410.43</v>
      </c>
      <c r="AA90" s="18" t="n">
        <v>2333.97</v>
      </c>
      <c r="AB90" s="19" t="n">
        <v>2110.26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-13698.32</v>
      </c>
      <c r="F91" s="9" t="n"/>
      <c r="G91" s="18" t="n">
        <v>-23797.12</v>
      </c>
      <c r="H91" s="18" t="n">
        <v>-12442.16</v>
      </c>
      <c r="I91" s="18" t="n">
        <v>-14294.45</v>
      </c>
      <c r="J91" s="18" t="n">
        <v>-17833.24</v>
      </c>
      <c r="K91" s="34" t="n">
        <v>-68366.97</v>
      </c>
      <c r="L91" s="18" t="n">
        <v>-18227.7</v>
      </c>
      <c r="M91" s="18" t="n">
        <v>-18946.82</v>
      </c>
      <c r="N91" s="18" t="n">
        <v>-22566.28</v>
      </c>
      <c r="O91" s="18" t="n">
        <v>-32943.06</v>
      </c>
      <c r="P91" s="34" t="n">
        <v>-92683.86</v>
      </c>
      <c r="Q91" s="18" t="n">
        <v>-18437.81</v>
      </c>
      <c r="R91" s="18" t="n">
        <v>-29567.42</v>
      </c>
      <c r="S91" s="18" t="n">
        <v>-29042.57</v>
      </c>
      <c r="T91" s="18" t="n">
        <v>-31428.48</v>
      </c>
      <c r="U91" s="34" t="n">
        <v>-108476.28</v>
      </c>
      <c r="V91" s="18" t="n">
        <v>-30469.07</v>
      </c>
      <c r="W91" s="18" t="n">
        <v>-32825.28</v>
      </c>
      <c r="X91" s="18" t="n">
        <v>-29441.59</v>
      </c>
      <c r="Y91" s="18" t="n">
        <v>-29610.53</v>
      </c>
      <c r="Z91" s="34" t="n">
        <v>-122346.47</v>
      </c>
      <c r="AA91" s="18" t="n">
        <v>-37883.22</v>
      </c>
      <c r="AB91" s="19" t="n">
        <v>-32205.73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I92" s="18" t="n">
        <v>7354.17</v>
      </c>
      <c r="J92" s="18" t="n">
        <v>0</v>
      </c>
      <c r="K92" s="9" t="n"/>
      <c r="N92" s="18" t="n">
        <v>7354.17</v>
      </c>
      <c r="O92" s="18" t="n">
        <v>0</v>
      </c>
      <c r="P92" s="9" t="n"/>
      <c r="S92" s="18" t="n">
        <v>7354.17</v>
      </c>
      <c r="T92" s="18" t="n">
        <v>0</v>
      </c>
      <c r="U92" s="9" t="n"/>
      <c r="X92" s="18" t="n">
        <v>7354.17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31680.61</v>
      </c>
      <c r="F93" s="9" t="n"/>
      <c r="G93" s="18" t="n">
        <v>-29368.34</v>
      </c>
      <c r="H93" s="18" t="n">
        <v>4512.58</v>
      </c>
      <c r="I93" s="18" t="n">
        <v>63366.07</v>
      </c>
      <c r="J93" s="18" t="n">
        <v>296048.44</v>
      </c>
      <c r="K93" s="34" t="n">
        <v>334558.75</v>
      </c>
      <c r="L93" s="18" t="n">
        <v>48401.82</v>
      </c>
      <c r="M93" s="18" t="n">
        <v>137599.94</v>
      </c>
      <c r="N93" s="18" t="n">
        <v>33667.19</v>
      </c>
      <c r="O93" s="18" t="n">
        <v>4613.49</v>
      </c>
      <c r="P93" s="34" t="n">
        <v>224282.44</v>
      </c>
      <c r="Q93" s="18" t="n">
        <v>-1371.27</v>
      </c>
      <c r="R93" s="18" t="n">
        <v>60515.65</v>
      </c>
      <c r="S93" s="18" t="n">
        <v>76094.46000000001</v>
      </c>
      <c r="T93" s="18" t="n">
        <v>-588421.62</v>
      </c>
      <c r="U93" s="34" t="n">
        <v>-453182.78</v>
      </c>
      <c r="V93" s="18" t="n">
        <v>420103.25</v>
      </c>
      <c r="W93" s="18" t="n">
        <v>-120957.34</v>
      </c>
      <c r="X93" s="18" t="n">
        <v>106588.84</v>
      </c>
      <c r="Y93" s="18" t="n">
        <v>207940.71</v>
      </c>
      <c r="Z93" s="34" t="n">
        <v>613675.46</v>
      </c>
      <c r="AA93" s="18" t="n">
        <v>303729.67</v>
      </c>
      <c r="AB93" s="19" t="n">
        <v>-412851.44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30152.04</v>
      </c>
      <c r="F94" s="9" t="n"/>
      <c r="G94" s="18" t="n">
        <v>153638.74</v>
      </c>
      <c r="H94" s="18" t="n">
        <v>4383.87</v>
      </c>
      <c r="I94" s="18" t="n">
        <v>69707.66</v>
      </c>
      <c r="J94" s="18" t="n">
        <v>273854.58</v>
      </c>
      <c r="K94" s="34" t="n">
        <v>501584.85</v>
      </c>
      <c r="L94" s="18" t="n">
        <v>555886.47</v>
      </c>
      <c r="M94" s="18" t="n">
        <v>133646.56</v>
      </c>
      <c r="N94" s="18" t="n">
        <v>43151.34</v>
      </c>
      <c r="O94" s="18" t="n">
        <v>-8231.200000000001</v>
      </c>
      <c r="P94" s="34" t="n">
        <v>724453.17</v>
      </c>
      <c r="Q94" s="18" t="n">
        <v>730153.27</v>
      </c>
      <c r="R94" s="18" t="n">
        <v>64030.09</v>
      </c>
      <c r="S94" s="18" t="n">
        <v>61062.34</v>
      </c>
      <c r="T94" s="18" t="n">
        <v>-579203.03</v>
      </c>
      <c r="U94" s="34" t="n">
        <v>276042.67</v>
      </c>
      <c r="V94" s="18" t="n">
        <v>699444.78</v>
      </c>
      <c r="W94" s="18" t="n">
        <v>-137479.62</v>
      </c>
      <c r="X94" s="18" t="n">
        <v>122675.05</v>
      </c>
      <c r="Y94" s="18" t="n">
        <v>201396.41</v>
      </c>
      <c r="Z94" s="34" t="n">
        <v>886036.62</v>
      </c>
      <c r="AA94" s="18" t="n">
        <v>1218978.29</v>
      </c>
      <c r="AB94" s="19" t="n">
        <v>-425678.7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G95" s="18" t="n">
        <v>81426.66</v>
      </c>
      <c r="H95" s="18" t="n">
        <v>18467.27</v>
      </c>
      <c r="I95" s="18" t="n">
        <v>0</v>
      </c>
      <c r="J95" s="18" t="n">
        <v>0</v>
      </c>
      <c r="K95" s="34" t="n">
        <v>99893.92999999999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0.0493</v>
      </c>
      <c r="F10" s="34" t="n"/>
      <c r="G10" s="18" t="n">
        <v>0.0912</v>
      </c>
      <c r="H10" s="18" t="n">
        <v>0.0935</v>
      </c>
      <c r="I10" s="18" t="n">
        <v>0.0554</v>
      </c>
      <c r="J10" s="18" t="n">
        <v>0.0351</v>
      </c>
      <c r="K10" s="34">
        <f>SUM(G10:J10)</f>
        <v/>
      </c>
      <c r="L10" s="18" t="n">
        <v>0.0485</v>
      </c>
      <c r="M10" s="18" t="n">
        <v>0.0569</v>
      </c>
      <c r="N10" s="18" t="n">
        <v>0.057</v>
      </c>
      <c r="O10" s="18" t="n">
        <v>0.0366</v>
      </c>
      <c r="P10" s="34">
        <f>SUM(L10:O10)</f>
        <v/>
      </c>
      <c r="Q10" s="18" t="n">
        <v>0.0673</v>
      </c>
      <c r="R10" s="18" t="n">
        <v>0.079</v>
      </c>
      <c r="S10" s="18" t="n">
        <v>0.0767</v>
      </c>
      <c r="T10" s="18" t="n">
        <v>0.0593</v>
      </c>
      <c r="U10" s="34">
        <f>SUM(Q10:T10)</f>
        <v/>
      </c>
      <c r="V10" s="18" t="n">
        <v>0.06469999999999999</v>
      </c>
      <c r="W10" s="18" t="n">
        <v>0.0823</v>
      </c>
      <c r="X10" s="18" t="n">
        <v>0.0723</v>
      </c>
      <c r="Y10" s="18" t="n">
        <v>0.0427</v>
      </c>
      <c r="Z10" s="34">
        <f>SUM(V10:Y10)</f>
        <v/>
      </c>
      <c r="AA10" s="18" t="n">
        <v>0.0542</v>
      </c>
      <c r="AB10" s="19" t="n">
        <v>0.07140000000000001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23.95</v>
      </c>
      <c r="H13" s="18" t="n">
        <v>182.17</v>
      </c>
      <c r="I13" s="18" t="n">
        <v>127.06</v>
      </c>
      <c r="J13" s="18" t="n">
        <v>-434.28</v>
      </c>
      <c r="K13" s="34">
        <f>SUM(G13:J13)</f>
        <v/>
      </c>
      <c r="L13" s="18" t="n">
        <v>-159.22</v>
      </c>
      <c r="M13" s="18" t="n">
        <v>94.09</v>
      </c>
      <c r="N13" s="18" t="n">
        <v>134.67</v>
      </c>
      <c r="O13" s="18" t="n">
        <v>-278.14</v>
      </c>
      <c r="P13" s="34">
        <f>SUM(L13:O13)</f>
        <v/>
      </c>
      <c r="Q13" s="18" t="n">
        <v>279.24</v>
      </c>
      <c r="R13" s="18" t="n">
        <v>329.48</v>
      </c>
      <c r="S13" s="18" t="n">
        <v>-633.9299999999999</v>
      </c>
      <c r="T13" s="18" t="n">
        <v>1035.88</v>
      </c>
      <c r="U13" s="34">
        <f>SUM(Q13:T13)</f>
        <v/>
      </c>
      <c r="V13" s="18" t="n">
        <v>-147.74</v>
      </c>
      <c r="W13" s="18" t="n">
        <v>-420.07</v>
      </c>
      <c r="X13" s="18" t="n">
        <v>73.20999999999999</v>
      </c>
      <c r="Y13" s="18" t="n">
        <v>9.66</v>
      </c>
      <c r="Z13" s="34">
        <f>SUM(V13:Y13)</f>
        <v/>
      </c>
      <c r="AA13" s="18" t="n">
        <v>-64.33</v>
      </c>
      <c r="AB13" s="19" t="n">
        <v>-5.01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129.24</v>
      </c>
      <c r="H14" s="18" t="n">
        <v>118.49</v>
      </c>
      <c r="I14" s="18" t="n">
        <v>154.35</v>
      </c>
      <c r="J14" s="18" t="n">
        <v>-576.26</v>
      </c>
      <c r="K14" s="34">
        <f>SUM(G14:J14)</f>
        <v/>
      </c>
      <c r="L14" s="18" t="n">
        <v>283.66</v>
      </c>
      <c r="M14" s="18" t="n">
        <v>192.2</v>
      </c>
      <c r="N14" s="18" t="n">
        <v>212.06</v>
      </c>
      <c r="O14" s="18" t="n">
        <v>-1598.6</v>
      </c>
      <c r="P14" s="34">
        <f>SUM(L14:O14)</f>
        <v/>
      </c>
      <c r="Q14" s="18" t="n">
        <v>13.53</v>
      </c>
      <c r="R14" s="18" t="n">
        <v>48.43</v>
      </c>
      <c r="S14" s="18" t="n">
        <v>-29.47</v>
      </c>
      <c r="T14" s="18" t="n">
        <v>53.08</v>
      </c>
      <c r="U14" s="34">
        <f>SUM(Q14:T14)</f>
        <v/>
      </c>
      <c r="V14" s="18" t="n">
        <v>39.02</v>
      </c>
      <c r="W14" s="18" t="n">
        <v>9.06</v>
      </c>
      <c r="X14" s="18" t="n">
        <v>-683.26</v>
      </c>
      <c r="Y14" s="18" t="n">
        <v>241.49</v>
      </c>
      <c r="Z14" s="34">
        <f>SUM(V14:Y14)</f>
        <v/>
      </c>
      <c r="AA14" s="18" t="n">
        <v>1089.11</v>
      </c>
      <c r="AB14" s="19" t="n">
        <v>456.98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-580.73</v>
      </c>
      <c r="H15" s="18" t="n">
        <v>1344.65</v>
      </c>
      <c r="I15" s="18" t="n">
        <v>-3798.38</v>
      </c>
      <c r="J15" s="18" t="n">
        <v>1955.24</v>
      </c>
      <c r="K15" s="34">
        <f>SUM(G15:J15)</f>
        <v/>
      </c>
      <c r="L15" s="18" t="n">
        <v>-42.5</v>
      </c>
      <c r="M15" s="18" t="n">
        <v>807.1</v>
      </c>
      <c r="N15" s="18" t="n">
        <v>98.93000000000001</v>
      </c>
      <c r="O15" s="18" t="n">
        <v>4156.83</v>
      </c>
      <c r="P15" s="34">
        <f>SUM(L15:O15)</f>
        <v/>
      </c>
      <c r="Q15" s="18" t="n">
        <v>5501.22</v>
      </c>
      <c r="R15" s="18" t="n">
        <v>-1524.94</v>
      </c>
      <c r="S15" s="18" t="n">
        <v>134.88</v>
      </c>
      <c r="T15" s="18" t="n">
        <v>-2694.24</v>
      </c>
      <c r="U15" s="34">
        <f>SUM(Q15:T15)</f>
        <v/>
      </c>
      <c r="V15" s="18" t="n">
        <v>343.7</v>
      </c>
      <c r="W15" s="18" t="n">
        <v>12441.35</v>
      </c>
      <c r="X15" s="18" t="n">
        <v>5086.99</v>
      </c>
      <c r="Y15" s="18" t="n">
        <v>9213.01</v>
      </c>
      <c r="Z15" s="34">
        <f>SUM(V15:Y15)</f>
        <v/>
      </c>
      <c r="AA15" s="18" t="n">
        <v>1616.97</v>
      </c>
      <c r="AB15" s="19" t="n">
        <v>36568.76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중단사업이익(실적만)</t>
        </is>
      </c>
      <c r="E22" s="18" t="n"/>
      <c r="F22" s="34" t="n"/>
      <c r="G22" s="18" t="n"/>
      <c r="H22" s="18" t="n"/>
      <c r="I22" s="18" t="n"/>
      <c r="J22" s="18" t="n"/>
      <c r="K22" s="34">
        <f>SUM(G22:J22)</f>
        <v/>
      </c>
      <c r="L22" s="18" t="n"/>
      <c r="M22" s="18" t="n"/>
      <c r="N22" s="18" t="n"/>
      <c r="O22" s="18" t="n"/>
      <c r="P22" s="34">
        <f>SUM(L22:O22)</f>
        <v/>
      </c>
      <c r="Q22" s="18" t="n"/>
      <c r="R22" s="18" t="n"/>
      <c r="S22" s="18" t="n"/>
      <c r="T22" s="18" t="n"/>
      <c r="U22" s="34">
        <f>SUM(Q22:T22)</f>
        <v/>
      </c>
      <c r="V22" s="18" t="n"/>
      <c r="W22" s="18" t="n"/>
      <c r="X22" s="18" t="n"/>
      <c r="Y22" s="18" t="n"/>
      <c r="Z22" s="34">
        <f>SUM(V22:Y22)</f>
        <v/>
      </c>
      <c r="AA22" s="18" t="n"/>
      <c r="AB22" s="19" t="n">
        <v>-36.32</v>
      </c>
      <c r="AC22" s="20" t="n"/>
      <c r="AD22" s="20" t="n"/>
      <c r="AE22" s="35">
        <f>SUM(AA22:AD22)</f>
        <v/>
      </c>
      <c r="AF22" s="20" t="n"/>
      <c r="AG22" s="20" t="n"/>
      <c r="AH22" s="20" t="n"/>
      <c r="AI22" s="20" t="n"/>
      <c r="AJ22" s="35">
        <f>SUM(AF22:AI22)</f>
        <v/>
      </c>
      <c r="AK22" s="20" t="n"/>
      <c r="AL22" s="20" t="n"/>
      <c r="AM22" s="20" t="n"/>
      <c r="AN22" s="20" t="n"/>
      <c r="AO22" s="35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4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IFERROR(X23*(1+변수!AC35),"")</f>
        <v/>
      </c>
      <c r="AD23" s="20">
        <f>IFERROR(Y23*(1+변수!AD35),"")</f>
        <v/>
      </c>
      <c r="AE23" s="35">
        <f>SUM(AA23:AD23)</f>
        <v/>
      </c>
      <c r="AF23" s="20">
        <f>IFERROR(AA23*(1+변수!AF35),"")</f>
        <v/>
      </c>
      <c r="AG23" s="20">
        <f>IFERROR(AB23*(1+변수!AG35),"")</f>
        <v/>
      </c>
      <c r="AH23" s="20">
        <f>IFERROR(AC23*(1+변수!AH35),"")</f>
        <v/>
      </c>
      <c r="AI23" s="20">
        <f>IFERROR(AD23*(1+변수!AI35),"")</f>
        <v/>
      </c>
      <c r="AJ23" s="35">
        <f>SUM(AF23:AI23)</f>
        <v/>
      </c>
      <c r="AK23" s="20">
        <f>IFERROR(AF23*(1+변수!AK35),"")</f>
        <v/>
      </c>
      <c r="AL23" s="20">
        <f>IFERROR(AG23*(1+변수!AL35),"")</f>
        <v/>
      </c>
      <c r="AM23" s="20">
        <f>IFERROR(AH23*(1+변수!AM35),"")</f>
        <v/>
      </c>
      <c r="AN23" s="20">
        <f>IFERROR(AI23*(1+변수!AN35),"")</f>
        <v/>
      </c>
      <c r="AO23" s="35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4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4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4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4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4">
        <f>SUM(V24:Y24)</f>
        <v/>
      </c>
      <c r="AA24" s="18" t="n">
        <v>1818.37</v>
      </c>
      <c r="AB24" s="19" t="n">
        <v>2207.7</v>
      </c>
      <c r="AC24" s="20">
        <f>IFERROR(X24*(1+변수!AC36),"")</f>
        <v/>
      </c>
      <c r="AD24" s="20">
        <f>IFERROR(Y24*(1+변수!AD36),"")</f>
        <v/>
      </c>
      <c r="AE24" s="35">
        <f>SUM(AA24:AD24)</f>
        <v/>
      </c>
      <c r="AF24" s="20">
        <f>IFERROR(AA24*(1+변수!AF36),"")</f>
        <v/>
      </c>
      <c r="AG24" s="20">
        <f>IFERROR(AB24*(1+변수!AG36),"")</f>
        <v/>
      </c>
      <c r="AH24" s="20">
        <f>IFERROR(AC24*(1+변수!AH36),"")</f>
        <v/>
      </c>
      <c r="AI24" s="20">
        <f>IFERROR(AD24*(1+변수!AI36),"")</f>
        <v/>
      </c>
      <c r="AJ24" s="35">
        <f>SUM(AF24:AI24)</f>
        <v/>
      </c>
      <c r="AK24" s="20">
        <f>IFERROR(AF24*(1+변수!AK36),"")</f>
        <v/>
      </c>
      <c r="AL24" s="20">
        <f>IFERROR(AG24*(1+변수!AL36),"")</f>
        <v/>
      </c>
      <c r="AM24" s="20">
        <f>IFERROR(AH24*(1+변수!AM36),"")</f>
        <v/>
      </c>
      <c r="AN24" s="20">
        <f>IFERROR(AI24*(1+변수!AN36),"")</f>
        <v/>
      </c>
      <c r="AO24" s="35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5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5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5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IFERROR(AB27+AC20-변수!AC38,"")</f>
        <v/>
      </c>
      <c r="AD27" s="20">
        <f>IFERROR(AC27+AD20-변수!AD38,"")</f>
        <v/>
      </c>
      <c r="AE27" s="35">
        <f>AD27</f>
        <v/>
      </c>
      <c r="AF27" s="20">
        <f>IFERROR(AD27+AF20-변수!AF38,"")</f>
        <v/>
      </c>
      <c r="AG27" s="20">
        <f>IFERROR(AF27+AG20-변수!AG38,"")</f>
        <v/>
      </c>
      <c r="AH27" s="20">
        <f>IFERROR(AG27+AH20-변수!AH38,"")</f>
        <v/>
      </c>
      <c r="AI27" s="20">
        <f>IFERROR(AH27+AI20-변수!AI38,"")</f>
        <v/>
      </c>
      <c r="AJ27" s="35">
        <f>AI27</f>
        <v/>
      </c>
      <c r="AK27" s="20">
        <f>IFERROR(AI27+AK20-변수!AK38,"")</f>
        <v/>
      </c>
      <c r="AL27" s="20">
        <f>IFERROR(AK27+AL20-변수!AL38,"")</f>
        <v/>
      </c>
      <c r="AM27" s="20">
        <f>IFERROR(AL27+AM20-변수!AM38,"")</f>
        <v/>
      </c>
      <c r="AN27" s="20">
        <f>IFERROR(AM27+AN20-변수!AN38,"")</f>
        <v/>
      </c>
      <c r="AO27" s="35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IFERROR(AB28+AC21-변수!AC39,"")</f>
        <v/>
      </c>
      <c r="AD28" s="20">
        <f>IFERROR(AC28+AD21-변수!AD39,"")</f>
        <v/>
      </c>
      <c r="AE28" s="35">
        <f>AD28</f>
        <v/>
      </c>
      <c r="AF28" s="20">
        <f>IFERROR(AD28+AF21-변수!AF39,"")</f>
        <v/>
      </c>
      <c r="AG28" s="20">
        <f>IFERROR(AF28+AG21-변수!AG39,"")</f>
        <v/>
      </c>
      <c r="AH28" s="20">
        <f>IFERROR(AG28+AH21-변수!AH39,"")</f>
        <v/>
      </c>
      <c r="AI28" s="20">
        <f>IFERROR(AH28+AI21-변수!AI39,"")</f>
        <v/>
      </c>
      <c r="AJ28" s="35">
        <f>AI28</f>
        <v/>
      </c>
      <c r="AK28" s="20">
        <f>IFERROR(AI28+AK21-변수!AK39,"")</f>
        <v/>
      </c>
      <c r="AL28" s="20">
        <f>IFERROR(AK28+AL21-변수!AL39,"")</f>
        <v/>
      </c>
      <c r="AM28" s="20">
        <f>IFERROR(AL28+AM21-변수!AM39,"")</f>
        <v/>
      </c>
      <c r="AN28" s="20">
        <f>IFERROR(AM28+AN21-변수!AN39,"")</f>
        <v/>
      </c>
      <c r="AO28" s="35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IFERROR(AB30*(1+변수!AC41),"")</f>
        <v/>
      </c>
      <c r="AD30" s="20">
        <f>IFERROR(AC30*(1+변수!AD41),"")</f>
        <v/>
      </c>
      <c r="AE30" s="35">
        <f>AD30</f>
        <v/>
      </c>
      <c r="AF30" s="20">
        <f>IFERROR(AD30*(1+변수!AF41),"")</f>
        <v/>
      </c>
      <c r="AG30" s="20">
        <f>IFERROR(AF30*(1+변수!AG41),"")</f>
        <v/>
      </c>
      <c r="AH30" s="20">
        <f>IFERROR(AG30*(1+변수!AH41),"")</f>
        <v/>
      </c>
      <c r="AI30" s="20">
        <f>IFERROR(AH30*(1+변수!AI41),"")</f>
        <v/>
      </c>
      <c r="AJ30" s="35">
        <f>AI30</f>
        <v/>
      </c>
      <c r="AK30" s="20">
        <f>IFERROR(AI30*(1+변수!AK41),"")</f>
        <v/>
      </c>
      <c r="AL30" s="20">
        <f>IFERROR(AK30*(1+변수!AL41),"")</f>
        <v/>
      </c>
      <c r="AM30" s="20">
        <f>IFERROR(AL30*(1+변수!AM41),"")</f>
        <v/>
      </c>
      <c r="AN30" s="20">
        <f>IFERROR(AM30*(1+변수!AN41),"")</f>
        <v/>
      </c>
      <c r="AO30" s="35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4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IFERROR(AB31*(1+변수!AC42),"")</f>
        <v/>
      </c>
      <c r="AD31" s="20">
        <f>IFERROR(AC31*(1+변수!AD42),"")</f>
        <v/>
      </c>
      <c r="AE31" s="35">
        <f>AD31</f>
        <v/>
      </c>
      <c r="AF31" s="20">
        <f>IFERROR(AD31*(1+변수!AF42),"")</f>
        <v/>
      </c>
      <c r="AG31" s="20">
        <f>IFERROR(AF31*(1+변수!AG42),"")</f>
        <v/>
      </c>
      <c r="AH31" s="20">
        <f>IFERROR(AG31*(1+변수!AH42),"")</f>
        <v/>
      </c>
      <c r="AI31" s="20">
        <f>IFERROR(AH31*(1+변수!AI42),"")</f>
        <v/>
      </c>
      <c r="AJ31" s="35">
        <f>AI31</f>
        <v/>
      </c>
      <c r="AK31" s="20">
        <f>IFERROR(AI31*(1+변수!AK42),"")</f>
        <v/>
      </c>
      <c r="AL31" s="20">
        <f>IFERROR(AK31*(1+변수!AL42),"")</f>
        <v/>
      </c>
      <c r="AM31" s="20">
        <f>IFERROR(AL31*(1+변수!AM42),"")</f>
        <v/>
      </c>
      <c r="AN31" s="20">
        <f>IFERROR(AM31*(1+변수!AN42),"")</f>
        <v/>
      </c>
      <c r="AO31" s="35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4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4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4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4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4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5">
        <f>AD32</f>
        <v/>
      </c>
      <c r="AF32" s="20" t="n"/>
      <c r="AG32" s="20" t="n"/>
      <c r="AH32" s="20" t="n"/>
      <c r="AI32" s="20" t="n"/>
      <c r="AJ32" s="35">
        <f>AI32</f>
        <v/>
      </c>
      <c r="AK32" s="20" t="n"/>
      <c r="AL32" s="20" t="n"/>
      <c r="AM32" s="20" t="n"/>
      <c r="AN32" s="20" t="n"/>
      <c r="AO32" s="35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4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4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4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4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4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5">
        <f>SUM(AA33:AD33)</f>
        <v/>
      </c>
      <c r="AF33" s="20" t="n"/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영업활동현금흐름</t>
        </is>
      </c>
      <c r="E34" s="18" t="n">
        <v>1897.68</v>
      </c>
      <c r="F34" s="34" t="n"/>
      <c r="G34" s="18" t="n">
        <v>-763.58</v>
      </c>
      <c r="H34" s="18" t="n">
        <v>363.14</v>
      </c>
      <c r="I34" s="18" t="n">
        <v>2069.36</v>
      </c>
      <c r="J34" s="18" t="n">
        <v>2176.75</v>
      </c>
      <c r="K34" s="34">
        <f>SUM(G34:J34)</f>
        <v/>
      </c>
      <c r="L34" s="18" t="n">
        <v>194.25</v>
      </c>
      <c r="M34" s="18" t="n">
        <v>2651.6</v>
      </c>
      <c r="N34" s="18" t="n">
        <v>1769</v>
      </c>
      <c r="O34" s="18" t="n">
        <v>3267.81</v>
      </c>
      <c r="P34" s="34">
        <f>SUM(L34:O34)</f>
        <v/>
      </c>
      <c r="Q34" s="18" t="n">
        <v>1137.38</v>
      </c>
      <c r="R34" s="18" t="n">
        <v>2098.89</v>
      </c>
      <c r="S34" s="18" t="n">
        <v>1340.89</v>
      </c>
      <c r="T34" s="18" t="n">
        <v>1390.86</v>
      </c>
      <c r="U34" s="34">
        <f>SUM(Q34:T34)</f>
        <v/>
      </c>
      <c r="V34" s="18" t="n">
        <v>1091.38</v>
      </c>
      <c r="W34" s="18" t="n">
        <v>1671.74</v>
      </c>
      <c r="X34" s="18" t="n">
        <v>1352.89</v>
      </c>
      <c r="Y34" s="18" t="n">
        <v>3778.76</v>
      </c>
      <c r="Z34" s="34">
        <f>SUM(V34:Y34)</f>
        <v/>
      </c>
      <c r="AA34" s="18" t="n">
        <v>851.8200000000001</v>
      </c>
      <c r="AB34" s="19" t="n">
        <v>309.11</v>
      </c>
      <c r="AC34" s="20" t="n"/>
      <c r="AD34" s="20" t="n"/>
      <c r="AE34" s="35">
        <f>SUM(AA34:AD34)</f>
        <v/>
      </c>
      <c r="AF34" s="20" t="n"/>
      <c r="AG34" s="20" t="n"/>
      <c r="AH34" s="20" t="n"/>
      <c r="AI34" s="20" t="n"/>
      <c r="AJ34" s="35">
        <f>SUM(AF34:AI34)</f>
        <v/>
      </c>
      <c r="AK34" s="20" t="n"/>
      <c r="AL34" s="20" t="n"/>
      <c r="AM34" s="20" t="n"/>
      <c r="AN34" s="20" t="n"/>
      <c r="AO34" s="35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6" t="n">
        <v>7.658</v>
      </c>
      <c r="F35" s="27">
        <f>E35</f>
        <v/>
      </c>
      <c r="G35" s="26" t="n">
        <v>7.409</v>
      </c>
      <c r="H35" s="26" t="n">
        <v>7.354</v>
      </c>
      <c r="I35" s="26" t="n">
        <v>7.354</v>
      </c>
      <c r="J35" s="26" t="n">
        <v>7.354</v>
      </c>
      <c r="K35" s="27">
        <f>J35</f>
        <v/>
      </c>
      <c r="L35" s="26" t="n">
        <v>7.354</v>
      </c>
      <c r="M35" s="26" t="n">
        <v>7.354</v>
      </c>
      <c r="N35" s="26" t="n">
        <v>7.354</v>
      </c>
      <c r="O35" s="26" t="n">
        <v>7.354</v>
      </c>
      <c r="P35" s="27">
        <f>O35</f>
        <v/>
      </c>
      <c r="Q35" s="26" t="n">
        <v>7.354</v>
      </c>
      <c r="R35" s="26" t="n">
        <v>7.354</v>
      </c>
      <c r="S35" s="26" t="n">
        <v>7.354</v>
      </c>
      <c r="T35" s="26" t="n">
        <v>7.354</v>
      </c>
      <c r="U35" s="27">
        <f>T35</f>
        <v/>
      </c>
      <c r="V35" s="26" t="n">
        <v>7.354</v>
      </c>
      <c r="W35" s="26" t="n">
        <v>7.354</v>
      </c>
      <c r="X35" s="26" t="n">
        <v>7.354</v>
      </c>
      <c r="Y35" s="26" t="n">
        <v>7.354</v>
      </c>
      <c r="Z35" s="27">
        <f>Y35</f>
        <v/>
      </c>
      <c r="AA35" s="26" t="n">
        <v>7.354</v>
      </c>
      <c r="AB35" s="28" t="n">
        <v>7.354</v>
      </c>
      <c r="AC35" s="36">
        <f>IFERROR(AB35*(1+변수!AC46),"")</f>
        <v/>
      </c>
      <c r="AD35" s="36">
        <f>IFERROR(AC35*(1+변수!AD46),"")</f>
        <v/>
      </c>
      <c r="AE35" s="30">
        <f>AD35</f>
        <v/>
      </c>
      <c r="AF35" s="36">
        <f>IFERROR(AD35*(1+변수!AF46),"")</f>
        <v/>
      </c>
      <c r="AG35" s="36">
        <f>IFERROR(AF35*(1+변수!AG46),"")</f>
        <v/>
      </c>
      <c r="AH35" s="36">
        <f>IFERROR(AG35*(1+변수!AH46),"")</f>
        <v/>
      </c>
      <c r="AI35" s="36">
        <f>IFERROR(AH35*(1+변수!AI46),"")</f>
        <v/>
      </c>
      <c r="AJ35" s="30">
        <f>AI35</f>
        <v/>
      </c>
      <c r="AK35" s="36">
        <f>IFERROR(AI35*(1+변수!AK46),"")</f>
        <v/>
      </c>
      <c r="AL35" s="36">
        <f>IFERROR(AK35*(1+변수!AL46),"")</f>
        <v/>
      </c>
      <c r="AM35" s="36">
        <f>IFERROR(AL35*(1+변수!AM46),"")</f>
        <v/>
      </c>
      <c r="AN35" s="36">
        <f>IFERROR(AM35*(1+변수!AN46),"")</f>
        <v/>
      </c>
      <c r="AO35" s="30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4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4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4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4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4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5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5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5">
        <f>SUM(AK36:AN36)</f>
        <v/>
      </c>
    </row>
    <row r="37">
      <c r="A37" s="12" t="inlineStr">
        <is>
          <t>BPS</t>
        </is>
      </c>
      <c r="B37" t="inlineStr">
        <is>
          <t>주당</t>
        </is>
      </c>
      <c r="C37" t="inlineStr">
        <is>
          <t>원</t>
        </is>
      </c>
      <c r="D37" t="inlineStr">
        <is>
          <t>BPS</t>
        </is>
      </c>
      <c r="E37" s="18">
        <f>IFERROR(E28*100/E35,"")</f>
        <v/>
      </c>
      <c r="F37" s="34">
        <f>E37</f>
        <v/>
      </c>
      <c r="G37" s="18">
        <f>IFERROR(G28*100/G35,"")</f>
        <v/>
      </c>
      <c r="H37" s="18">
        <f>IFERROR(H28*100/H35,"")</f>
        <v/>
      </c>
      <c r="I37" s="18">
        <f>IFERROR(I28*100/I35,"")</f>
        <v/>
      </c>
      <c r="J37" s="18">
        <f>IFERROR(J28*100/J35,"")</f>
        <v/>
      </c>
      <c r="K37" s="34">
        <f>J37</f>
        <v/>
      </c>
      <c r="L37" s="18">
        <f>IFERROR(L28*100/L35,"")</f>
        <v/>
      </c>
      <c r="M37" s="18">
        <f>IFERROR(M28*100/M35,"")</f>
        <v/>
      </c>
      <c r="N37" s="18">
        <f>IFERROR(N28*100/N35,"")</f>
        <v/>
      </c>
      <c r="O37" s="18">
        <f>IFERROR(O28*100/O35,"")</f>
        <v/>
      </c>
      <c r="P37" s="34">
        <f>O37</f>
        <v/>
      </c>
      <c r="Q37" s="18">
        <f>IFERROR(Q28*100/Q35,"")</f>
        <v/>
      </c>
      <c r="R37" s="18">
        <f>IFERROR(R28*100/R35,"")</f>
        <v/>
      </c>
      <c r="S37" s="18">
        <f>IFERROR(S28*100/S35,"")</f>
        <v/>
      </c>
      <c r="T37" s="18">
        <f>IFERROR(T28*100/T35,"")</f>
        <v/>
      </c>
      <c r="U37" s="34">
        <f>T37</f>
        <v/>
      </c>
      <c r="V37" s="18">
        <f>IFERROR(V28*100/V35,"")</f>
        <v/>
      </c>
      <c r="W37" s="18">
        <f>IFERROR(W28*100/W35,"")</f>
        <v/>
      </c>
      <c r="X37" s="18">
        <f>IFERROR(X28*100/X35,"")</f>
        <v/>
      </c>
      <c r="Y37" s="18">
        <f>IFERROR(Y28*100/Y35,"")</f>
        <v/>
      </c>
      <c r="Z37" s="34">
        <f>Y37</f>
        <v/>
      </c>
      <c r="AA37" s="18">
        <f>IFERROR(AA28*100/AA35,"")</f>
        <v/>
      </c>
      <c r="AB37" s="19">
        <f>IFERROR(AB28*100/AB35,"")</f>
        <v/>
      </c>
      <c r="AC37" s="20">
        <f>IFERROR(AC28*100/AC35,"")</f>
        <v/>
      </c>
      <c r="AD37" s="20">
        <f>IFERROR(AD28*100/AD35,"")</f>
        <v/>
      </c>
      <c r="AE37" s="35">
        <f>AD37</f>
        <v/>
      </c>
      <c r="AF37" s="20">
        <f>IFERROR(AF28*100/AF35,"")</f>
        <v/>
      </c>
      <c r="AG37" s="20">
        <f>IFERROR(AG28*100/AG35,"")</f>
        <v/>
      </c>
      <c r="AH37" s="20">
        <f>IFERROR(AH28*100/AH35,"")</f>
        <v/>
      </c>
      <c r="AI37" s="20">
        <f>IFERROR(AI28*100/AI35,"")</f>
        <v/>
      </c>
      <c r="AJ37" s="35">
        <f>AI37</f>
        <v/>
      </c>
      <c r="AK37" s="20">
        <f>IFERROR(AK28*100/AK35,"")</f>
        <v/>
      </c>
      <c r="AL37" s="20">
        <f>IFERROR(AL28*100/AL35,"")</f>
        <v/>
      </c>
      <c r="AM37" s="20">
        <f>IFERROR(AM28*100/AM35,"")</f>
        <v/>
      </c>
      <c r="AN37" s="20">
        <f>IFERROR(AN28*100/AN35,"")</f>
        <v/>
      </c>
      <c r="AO37" s="35">
        <f>AN37</f>
        <v/>
      </c>
    </row>
    <row r="38">
      <c r="A38" s="12" t="inlineStr">
        <is>
          <t>DPS</t>
        </is>
      </c>
      <c r="B38" t="inlineStr">
        <is>
          <t>주당</t>
        </is>
      </c>
      <c r="C38" t="inlineStr">
        <is>
          <t>원</t>
        </is>
      </c>
      <c r="D38" t="inlineStr">
        <is>
          <t>DPS(보통주)</t>
        </is>
      </c>
      <c r="E38" s="18" t="n">
        <v>7000</v>
      </c>
      <c r="F38" s="34" t="n">
        <v>7000</v>
      </c>
      <c r="G38" s="18" t="n"/>
      <c r="H38" s="18" t="n"/>
      <c r="I38" s="18" t="n"/>
      <c r="J38" s="18" t="n">
        <v>8000</v>
      </c>
      <c r="K38" s="34">
        <f>SUM(G38:J38)</f>
        <v/>
      </c>
      <c r="L38" s="18" t="n"/>
      <c r="M38" s="18" t="n"/>
      <c r="N38" s="18" t="n"/>
      <c r="O38" s="18" t="n">
        <v>8000</v>
      </c>
      <c r="P38" s="34">
        <f>SUM(L38:O38)</f>
        <v/>
      </c>
      <c r="Q38" s="18" t="n"/>
      <c r="R38" s="18" t="n"/>
      <c r="S38" s="18" t="n"/>
      <c r="T38" s="18" t="n">
        <v>10000</v>
      </c>
      <c r="U38" s="34">
        <f>SUM(Q38:T38)</f>
        <v/>
      </c>
      <c r="V38" s="18" t="n"/>
      <c r="W38" s="18" t="n"/>
      <c r="X38" s="18" t="n"/>
      <c r="Y38" s="18" t="n">
        <v>15000</v>
      </c>
      <c r="Z38" s="34">
        <f>SUM(V38:Y38)</f>
        <v/>
      </c>
      <c r="AA38" s="18" t="n"/>
      <c r="AB38" s="19" t="n"/>
      <c r="AC38" s="20" t="n"/>
      <c r="AD38" s="20">
        <f>IFERROR(Y38*(1+변수!AD47),"")</f>
        <v/>
      </c>
      <c r="AE38" s="35">
        <f>SUM(AA38:AD38)</f>
        <v/>
      </c>
      <c r="AF38" s="20" t="n"/>
      <c r="AG38" s="20" t="n"/>
      <c r="AH38" s="20" t="n"/>
      <c r="AI38" s="20">
        <f>IFERROR(AD38*(1+변수!AI47),"")</f>
        <v/>
      </c>
      <c r="AJ38" s="35">
        <f>SUM(AF38:AI38)</f>
        <v/>
      </c>
      <c r="AK38" s="20" t="n"/>
      <c r="AL38" s="20" t="n"/>
      <c r="AM38" s="20" t="n"/>
      <c r="AN38" s="20">
        <f>IFERROR(AI38*(1+변수!AN47),"")</f>
        <v/>
      </c>
      <c r="AO38" s="35">
        <f>SUM(AK38:AN38)</f>
        <v/>
      </c>
    </row>
    <row r="39">
      <c r="A39" s="12" t="inlineStr">
        <is>
          <t>PER</t>
        </is>
      </c>
      <c r="B39" t="inlineStr">
        <is>
          <t>주당</t>
        </is>
      </c>
      <c r="C39" t="inlineStr">
        <is>
          <t>배</t>
        </is>
      </c>
      <c r="D39" t="inlineStr">
        <is>
          <t>PER</t>
        </is>
      </c>
      <c r="E39" s="18" t="n"/>
      <c r="F39" s="34" t="n"/>
      <c r="G39" s="18" t="n"/>
      <c r="H39" s="18" t="n"/>
      <c r="I39" s="18" t="n"/>
      <c r="J39" s="18" t="n">
        <v>51.98</v>
      </c>
      <c r="K39" s="34">
        <f>SUM(G39:J39)</f>
        <v/>
      </c>
      <c r="L39" s="18" t="n">
        <v>47.74</v>
      </c>
      <c r="M39" s="18" t="n"/>
      <c r="N39" s="18" t="n">
        <v>5.84</v>
      </c>
      <c r="O39" s="18" t="n">
        <v>7.94</v>
      </c>
      <c r="P39" s="34">
        <f>SUM(L39:O39)</f>
        <v/>
      </c>
      <c r="Q39" s="18" t="n">
        <v>2.76</v>
      </c>
      <c r="R39" s="18" t="n">
        <v>3.68</v>
      </c>
      <c r="S39" s="18" t="n">
        <v>4.86</v>
      </c>
      <c r="T39" s="18" t="n">
        <v>5.91</v>
      </c>
      <c r="U39" s="34">
        <f>SUM(Q39:T39)</f>
        <v/>
      </c>
      <c r="V39" s="18" t="n"/>
      <c r="W39" s="18" t="n">
        <v>2.51</v>
      </c>
      <c r="X39" s="18" t="n">
        <v>2.38</v>
      </c>
      <c r="Y39" s="18" t="n">
        <v>1.99</v>
      </c>
      <c r="Z39" s="34">
        <f>SUM(V39:Y39)</f>
        <v/>
      </c>
      <c r="AA39" s="18" t="n">
        <v>2.16</v>
      </c>
      <c r="AB39" s="19" t="n">
        <v>1.08</v>
      </c>
      <c r="AC39" s="20">
        <f>IFERROR(X39*(1+변수!AC48),"")</f>
        <v/>
      </c>
      <c r="AD39" s="20">
        <f>IFERROR(Y39*(1+변수!AD48),"")</f>
        <v/>
      </c>
      <c r="AE39" s="35">
        <f>SUM(AA39:AD39)</f>
        <v/>
      </c>
      <c r="AF39" s="20">
        <f>IFERROR(AA39*(1+변수!AF48),"")</f>
        <v/>
      </c>
      <c r="AG39" s="20">
        <f>IFERROR(AB39*(1+변수!AG48),"")</f>
        <v/>
      </c>
      <c r="AH39" s="20">
        <f>IFERROR(AC39*(1+변수!AH48),"")</f>
        <v/>
      </c>
      <c r="AI39" s="20">
        <f>IFERROR(AD39*(1+변수!AI48),"")</f>
        <v/>
      </c>
      <c r="AJ39" s="35">
        <f>SUM(AF39:AI39)</f>
        <v/>
      </c>
      <c r="AK39" s="20">
        <f>IFERROR(AF39*(1+변수!AK48),"")</f>
        <v/>
      </c>
      <c r="AL39" s="20">
        <f>IFERROR(AG39*(1+변수!AL48),"")</f>
        <v/>
      </c>
      <c r="AM39" s="20">
        <f>IFERROR(AH39*(1+변수!AM48),"")</f>
        <v/>
      </c>
      <c r="AN39" s="20">
        <f>IFERROR(AI39*(1+변수!AN48),"")</f>
        <v/>
      </c>
      <c r="AO39" s="35">
        <f>SUM(AK39:AN39)</f>
        <v/>
      </c>
    </row>
    <row r="40">
      <c r="A40" s="12" t="inlineStr">
        <is>
          <t>PBR</t>
        </is>
      </c>
      <c r="B40" t="inlineStr">
        <is>
          <t>주당</t>
        </is>
      </c>
      <c r="C40" t="inlineStr">
        <is>
          <t>배</t>
        </is>
      </c>
      <c r="D40" t="inlineStr">
        <is>
          <t>PBR</t>
        </is>
      </c>
      <c r="E40" s="18" t="n">
        <v>0.5</v>
      </c>
      <c r="F40" s="34" t="n">
        <v>0.48</v>
      </c>
      <c r="G40" s="18" t="n">
        <v>0.52</v>
      </c>
      <c r="H40" s="18" t="n">
        <v>0.47</v>
      </c>
      <c r="I40" s="18" t="n">
        <v>0.42</v>
      </c>
      <c r="J40" s="18" t="n">
        <v>0.34</v>
      </c>
      <c r="K40" s="34">
        <f>SUM(G40:J40)</f>
        <v/>
      </c>
      <c r="L40" s="18" t="n">
        <v>0.33</v>
      </c>
      <c r="M40" s="18" t="n">
        <v>0.31</v>
      </c>
      <c r="N40" s="18" t="n">
        <v>0.31</v>
      </c>
      <c r="O40" s="18" t="n">
        <v>0.33</v>
      </c>
      <c r="P40" s="34">
        <f>SUM(L40:O40)</f>
        <v/>
      </c>
      <c r="Q40" s="18" t="n">
        <v>0.33</v>
      </c>
      <c r="R40" s="18" t="n">
        <v>0.4</v>
      </c>
      <c r="S40" s="18" t="n">
        <v>0.44</v>
      </c>
      <c r="T40" s="18" t="n">
        <v>0.36</v>
      </c>
      <c r="U40" s="34">
        <f>SUM(Q40:T40)</f>
        <v/>
      </c>
      <c r="V40" s="18" t="n">
        <v>0.31</v>
      </c>
      <c r="W40" s="18" t="n">
        <v>0.29</v>
      </c>
      <c r="X40" s="18" t="n">
        <v>0.38</v>
      </c>
      <c r="Y40" s="18" t="n">
        <v>0.39</v>
      </c>
      <c r="Z40" s="34">
        <f>SUM(V40:Y40)</f>
        <v/>
      </c>
      <c r="AA40" s="18" t="n">
        <v>0.46</v>
      </c>
      <c r="AB40" s="19" t="n">
        <v>0.36</v>
      </c>
      <c r="AC40" s="20">
        <f>IFERROR(X40*(1+변수!AC49),"")</f>
        <v/>
      </c>
      <c r="AD40" s="20">
        <f>IFERROR(Y40*(1+변수!AD49),"")</f>
        <v/>
      </c>
      <c r="AE40" s="35">
        <f>SUM(AA40:AD40)</f>
        <v/>
      </c>
      <c r="AF40" s="20">
        <f>IFERROR(AA40*(1+변수!AF49),"")</f>
        <v/>
      </c>
      <c r="AG40" s="20">
        <f>IFERROR(AB40*(1+변수!AG49),"")</f>
        <v/>
      </c>
      <c r="AH40" s="20">
        <f>IFERROR(AC40*(1+변수!AH49),"")</f>
        <v/>
      </c>
      <c r="AI40" s="20">
        <f>IFERROR(AD40*(1+변수!AI49),"")</f>
        <v/>
      </c>
      <c r="AJ40" s="35">
        <f>SUM(AF40:AI40)</f>
        <v/>
      </c>
      <c r="AK40" s="20">
        <f>IFERROR(AF40*(1+변수!AK49),"")</f>
        <v/>
      </c>
      <c r="AL40" s="20">
        <f>IFERROR(AG40*(1+변수!AL49),"")</f>
        <v/>
      </c>
      <c r="AM40" s="20">
        <f>IFERROR(AH40*(1+변수!AM49),"")</f>
        <v/>
      </c>
      <c r="AN40" s="20">
        <f>IFERROR(AI40*(1+변수!AN49),"")</f>
        <v/>
      </c>
      <c r="AO40" s="35">
        <f>SUM(AK40:AN40)</f>
        <v/>
      </c>
    </row>
    <row r="41">
      <c r="A41" s="12" t="inlineStr">
        <is>
          <t>매출전사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전사(부문 미분리)</t>
        </is>
      </c>
      <c r="E41" s="18" t="n">
        <v>15097.4</v>
      </c>
      <c r="F41" s="34" t="n"/>
      <c r="G41" s="18" t="n">
        <v>16375.78</v>
      </c>
      <c r="H41" s="18" t="n">
        <v>17558.82</v>
      </c>
      <c r="I41" s="18" t="n">
        <v>17401.25</v>
      </c>
      <c r="J41" s="18" t="n">
        <v>16412.08</v>
      </c>
      <c r="K41" s="34">
        <f>SUM(G41:J41)</f>
        <v/>
      </c>
      <c r="L41" s="18" t="n">
        <v>15649.43</v>
      </c>
      <c r="M41" s="18" t="n">
        <v>15883.45</v>
      </c>
      <c r="N41" s="18" t="n">
        <v>15527.25</v>
      </c>
      <c r="O41" s="18" t="n">
        <v>15824.3</v>
      </c>
      <c r="P41" s="34">
        <f>SUM(L41:O41)</f>
        <v/>
      </c>
      <c r="Q41" s="18" t="n">
        <v>15883.72</v>
      </c>
      <c r="R41" s="18" t="n">
        <v>17787.28</v>
      </c>
      <c r="S41" s="18" t="n">
        <v>16342.08</v>
      </c>
      <c r="T41" s="18" t="n">
        <v>16574.55</v>
      </c>
      <c r="U41" s="34">
        <f>SUM(Q41:T41)</f>
        <v/>
      </c>
      <c r="V41" s="18" t="n">
        <v>15993.05</v>
      </c>
      <c r="W41" s="18" t="n">
        <v>17052.64</v>
      </c>
      <c r="X41" s="18" t="n">
        <v>16228.33</v>
      </c>
      <c r="Y41" s="18" t="n">
        <v>15564.18</v>
      </c>
      <c r="Z41" s="34">
        <f>SUM(V41:Y41)</f>
        <v/>
      </c>
      <c r="AA41" s="18" t="n">
        <v>16264</v>
      </c>
      <c r="AB41" s="19" t="n">
        <v>18060.19</v>
      </c>
      <c r="AC41" s="20">
        <f>IFERROR(AC5*변수!AC50,"")</f>
        <v/>
      </c>
      <c r="AD41" s="20">
        <f>IFERROR(AD5*변수!AD50,"")</f>
        <v/>
      </c>
      <c r="AE41" s="35">
        <f>SUM(AA41:AD41)</f>
        <v/>
      </c>
      <c r="AF41" s="20">
        <f>IFERROR(AF5*변수!AF50,"")</f>
        <v/>
      </c>
      <c r="AG41" s="20">
        <f>IFERROR(AG5*변수!AG50,"")</f>
        <v/>
      </c>
      <c r="AH41" s="20">
        <f>IFERROR(AH5*변수!AH50,"")</f>
        <v/>
      </c>
      <c r="AI41" s="20">
        <f>IFERROR(AI5*변수!AI50,"")</f>
        <v/>
      </c>
      <c r="AJ41" s="35">
        <f>SUM(AF41:AI41)</f>
        <v/>
      </c>
      <c r="AK41" s="20">
        <f>IFERROR(AK5*변수!AK50,"")</f>
        <v/>
      </c>
      <c r="AL41" s="20">
        <f>IFERROR(AL5*변수!AL50,"")</f>
        <v/>
      </c>
      <c r="AM41" s="20">
        <f>IFERROR(AM5*변수!AM50,"")</f>
        <v/>
      </c>
      <c r="AN41" s="20">
        <f>IFERROR(AN5*변수!AN50,"")</f>
        <v/>
      </c>
      <c r="AO41" s="35">
        <f>SUM(AK41:AN41)</f>
        <v/>
      </c>
    </row>
    <row r="42">
      <c r="A42" s="12" t="inlineStr">
        <is>
          <t>OP전사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전사(부문 미분리)</t>
        </is>
      </c>
      <c r="E42" s="18" t="n">
        <v>743.9</v>
      </c>
      <c r="F42" s="34" t="n"/>
      <c r="G42" s="18" t="n">
        <v>1494.08</v>
      </c>
      <c r="H42" s="18" t="n">
        <v>1642.34</v>
      </c>
      <c r="I42" s="18" t="n">
        <v>963.8</v>
      </c>
      <c r="J42" s="18" t="n">
        <v>576.41</v>
      </c>
      <c r="K42" s="34">
        <f>SUM(G42:J42)</f>
        <v/>
      </c>
      <c r="L42" s="18" t="n">
        <v>758.28</v>
      </c>
      <c r="M42" s="18" t="n">
        <v>903.84</v>
      </c>
      <c r="N42" s="18" t="n">
        <v>884.3</v>
      </c>
      <c r="O42" s="18" t="n">
        <v>578.89</v>
      </c>
      <c r="P42" s="34">
        <f>SUM(L42:O42)</f>
        <v/>
      </c>
      <c r="Q42" s="18" t="n">
        <v>1069.07</v>
      </c>
      <c r="R42" s="18" t="n">
        <v>1405.61</v>
      </c>
      <c r="S42" s="18" t="n">
        <v>1253.29</v>
      </c>
      <c r="T42" s="18" t="n">
        <v>983.22</v>
      </c>
      <c r="U42" s="34">
        <f>SUM(Q42:T42)</f>
        <v/>
      </c>
      <c r="V42" s="18" t="n">
        <v>1034.44</v>
      </c>
      <c r="W42" s="18" t="n">
        <v>1403.81</v>
      </c>
      <c r="X42" s="18" t="n">
        <v>1172.64</v>
      </c>
      <c r="Y42" s="18" t="n">
        <v>665.27</v>
      </c>
      <c r="Z42" s="34">
        <f>SUM(V42:Y42)</f>
        <v/>
      </c>
      <c r="AA42" s="18" t="n">
        <v>881.28</v>
      </c>
      <c r="AB42" s="19" t="n">
        <v>1288.84</v>
      </c>
      <c r="AC42" s="20">
        <f>IFERROR(AC41*변수!AC51,"")</f>
        <v/>
      </c>
      <c r="AD42" s="20">
        <f>IFERROR(AD41*변수!AD51,"")</f>
        <v/>
      </c>
      <c r="AE42" s="35">
        <f>SUM(AA42:AD42)</f>
        <v/>
      </c>
      <c r="AF42" s="20">
        <f>IFERROR(AF41*변수!AF51,"")</f>
        <v/>
      </c>
      <c r="AG42" s="20">
        <f>IFERROR(AG41*변수!AG51,"")</f>
        <v/>
      </c>
      <c r="AH42" s="20">
        <f>IFERROR(AH41*변수!AH51,"")</f>
        <v/>
      </c>
      <c r="AI42" s="20">
        <f>IFERROR(AI41*변수!AI51,"")</f>
        <v/>
      </c>
      <c r="AJ42" s="35">
        <f>SUM(AF42:AI42)</f>
        <v/>
      </c>
      <c r="AK42" s="20">
        <f>IFERROR(AK41*변수!AK51,"")</f>
        <v/>
      </c>
      <c r="AL42" s="20">
        <f>IFERROR(AL41*변수!AL51,"")</f>
        <v/>
      </c>
      <c r="AM42" s="20">
        <f>IFERROR(AM41*변수!AM51,"")</f>
        <v/>
      </c>
      <c r="AN42" s="20">
        <f>IFERROR(AN41*변수!AN51,"")</f>
        <v/>
      </c>
      <c r="AO42" s="35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OPM</t>
        </is>
      </c>
      <c r="C44" t="inlineStr">
        <is>
          <t>%</t>
        </is>
      </c>
      <c r="D44" t="inlineStr">
        <is>
          <t>영업이익 / 매출액</t>
        </is>
      </c>
      <c r="E44" s="21">
        <f>IFERROR(E9/E5,"")</f>
        <v/>
      </c>
      <c r="F44" s="22">
        <f>IFERROR(F9/F5,"")</f>
        <v/>
      </c>
      <c r="G44" s="21">
        <f>IFERROR(G9/G5,"")</f>
        <v/>
      </c>
      <c r="H44" s="21">
        <f>IFERROR(H9/H5,"")</f>
        <v/>
      </c>
      <c r="I44" s="21">
        <f>IFERROR(I9/I5,"")</f>
        <v/>
      </c>
      <c r="J44" s="21">
        <f>IFERROR(J9/J5,"")</f>
        <v/>
      </c>
      <c r="K44" s="22">
        <f>IFERROR(K9/K5,"")</f>
        <v/>
      </c>
      <c r="L44" s="21">
        <f>IFERROR(L9/L5,"")</f>
        <v/>
      </c>
      <c r="M44" s="21">
        <f>IFERROR(M9/M5,"")</f>
        <v/>
      </c>
      <c r="N44" s="21">
        <f>IFERROR(N9/N5,"")</f>
        <v/>
      </c>
      <c r="O44" s="21">
        <f>IFERROR(O9/O5,"")</f>
        <v/>
      </c>
      <c r="P44" s="22">
        <f>IFERROR(P9/P5,"")</f>
        <v/>
      </c>
      <c r="Q44" s="21">
        <f>IFERROR(Q9/Q5,"")</f>
        <v/>
      </c>
      <c r="R44" s="21">
        <f>IFERROR(R9/R5,"")</f>
        <v/>
      </c>
      <c r="S44" s="21">
        <f>IFERROR(S9/S5,"")</f>
        <v/>
      </c>
      <c r="T44" s="21">
        <f>IFERROR(T9/T5,"")</f>
        <v/>
      </c>
      <c r="U44" s="22">
        <f>IFERROR(U9/U5,"")</f>
        <v/>
      </c>
      <c r="V44" s="21">
        <f>IFERROR(V9/V5,"")</f>
        <v/>
      </c>
      <c r="W44" s="21">
        <f>IFERROR(W9/W5,"")</f>
        <v/>
      </c>
      <c r="X44" s="21">
        <f>IFERROR(X9/X5,"")</f>
        <v/>
      </c>
      <c r="Y44" s="21">
        <f>IFERROR(Y9/Y5,"")</f>
        <v/>
      </c>
      <c r="Z44" s="22">
        <f>IFERROR(Z9/Z5,"")</f>
        <v/>
      </c>
      <c r="AA44" s="21">
        <f>IFERROR(AA9/AA5,"")</f>
        <v/>
      </c>
      <c r="AB44" s="23">
        <f>IFERROR(AB9/AB5,"")</f>
        <v/>
      </c>
      <c r="AC44" s="31">
        <f>IFERROR(AC9/AC5,"")</f>
        <v/>
      </c>
      <c r="AD44" s="31">
        <f>IFERROR(AD9/AD5,"")</f>
        <v/>
      </c>
      <c r="AE44" s="25">
        <f>IFERROR(AE9/AE5,"")</f>
        <v/>
      </c>
      <c r="AF44" s="31">
        <f>IFERROR(AF9/AF5,"")</f>
        <v/>
      </c>
      <c r="AG44" s="31">
        <f>IFERROR(AG9/AG5,"")</f>
        <v/>
      </c>
      <c r="AH44" s="31">
        <f>IFERROR(AH9/AH5,"")</f>
        <v/>
      </c>
      <c r="AI44" s="31">
        <f>IFERROR(AI9/AI5,"")</f>
        <v/>
      </c>
      <c r="AJ44" s="25">
        <f>IFERROR(AJ9/AJ5,"")</f>
        <v/>
      </c>
      <c r="AK44" s="31">
        <f>IFERROR(AK9/AK5,"")</f>
        <v/>
      </c>
      <c r="AL44" s="31">
        <f>IFERROR(AL9/AL5,"")</f>
        <v/>
      </c>
      <c r="AM44" s="31">
        <f>IFERROR(AM9/AM5,"")</f>
        <v/>
      </c>
      <c r="AN44" s="31">
        <f>IFERROR(AN9/AN5,"")</f>
        <v/>
      </c>
      <c r="AO44" s="25">
        <f>IFERROR(AO9/AO5,"")</f>
        <v/>
      </c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1">
        <f>IFERROR(AC21/AC5,"")</f>
        <v/>
      </c>
      <c r="AD45" s="31">
        <f>IFERROR(AD21/AD5,"")</f>
        <v/>
      </c>
      <c r="AE45" s="25">
        <f>IFERROR(AE21/AE5,"")</f>
        <v/>
      </c>
      <c r="AF45" s="31">
        <f>IFERROR(AF21/AF5,"")</f>
        <v/>
      </c>
      <c r="AG45" s="31">
        <f>IFERROR(AG21/AG5,"")</f>
        <v/>
      </c>
      <c r="AH45" s="31">
        <f>IFERROR(AH21/AH5,"")</f>
        <v/>
      </c>
      <c r="AI45" s="31">
        <f>IFERROR(AI21/AI5,"")</f>
        <v/>
      </c>
      <c r="AJ45" s="25">
        <f>IFERROR(AJ21/AJ5,"")</f>
        <v/>
      </c>
      <c r="AK45" s="31">
        <f>IFERROR(AK21/AK5,"")</f>
        <v/>
      </c>
      <c r="AL45" s="31">
        <f>IFERROR(AL21/AL5,"")</f>
        <v/>
      </c>
      <c r="AM45" s="31">
        <f>IFERROR(AM21/AM5,"")</f>
        <v/>
      </c>
      <c r="AN45" s="31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1">
        <f>IFERROR(AC6/AC5,"")</f>
        <v/>
      </c>
      <c r="AD46" s="31">
        <f>IFERROR(AD6/AD5,"")</f>
        <v/>
      </c>
      <c r="AE46" s="25">
        <f>IFERROR(AE6/AE5,"")</f>
        <v/>
      </c>
      <c r="AF46" s="31">
        <f>IFERROR(AF6/AF5,"")</f>
        <v/>
      </c>
      <c r="AG46" s="31">
        <f>IFERROR(AG6/AG5,"")</f>
        <v/>
      </c>
      <c r="AH46" s="31">
        <f>IFERROR(AH6/AH5,"")</f>
        <v/>
      </c>
      <c r="AI46" s="31">
        <f>IFERROR(AI6/AI5,"")</f>
        <v/>
      </c>
      <c r="AJ46" s="25">
        <f>IFERROR(AJ6/AJ5,"")</f>
        <v/>
      </c>
      <c r="AK46" s="31">
        <f>IFERROR(AK6/AK5,"")</f>
        <v/>
      </c>
      <c r="AL46" s="31">
        <f>IFERROR(AL6/AL5,"")</f>
        <v/>
      </c>
      <c r="AM46" s="31">
        <f>IFERROR(AM6/AM5,"")</f>
        <v/>
      </c>
      <c r="AN46" s="31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1">
        <f>IFERROR(AC8/AC5,"")</f>
        <v/>
      </c>
      <c r="AD47" s="31">
        <f>IFERROR(AD8/AD5,"")</f>
        <v/>
      </c>
      <c r="AE47" s="25">
        <f>IFERROR(AE8/AE5,"")</f>
        <v/>
      </c>
      <c r="AF47" s="31">
        <f>IFERROR(AF8/AF5,"")</f>
        <v/>
      </c>
      <c r="AG47" s="31">
        <f>IFERROR(AG8/AG5,"")</f>
        <v/>
      </c>
      <c r="AH47" s="31">
        <f>IFERROR(AH8/AH5,"")</f>
        <v/>
      </c>
      <c r="AI47" s="31">
        <f>IFERROR(AI8/AI5,"")</f>
        <v/>
      </c>
      <c r="AJ47" s="25">
        <f>IFERROR(AJ8/AJ5,"")</f>
        <v/>
      </c>
      <c r="AK47" s="31">
        <f>IFERROR(AK8/AK5,"")</f>
        <v/>
      </c>
      <c r="AL47" s="31">
        <f>IFERROR(AL8/AL5,"")</f>
        <v/>
      </c>
      <c r="AM47" s="31">
        <f>IFERROR(AM8/AM5,"")</f>
        <v/>
      </c>
      <c r="AN47" s="31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변수!D54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6">
        <f>IFERROR(VLOOKUP($A35,subQ,MATCH(E$1,SUBQH,0),0),"")</f>
        <v/>
      </c>
      <c r="F35" s="26">
        <f>IFERROR(VLOOKUP($A35,subQ,MATCH(F$1,SUBQH,0),0),"")</f>
        <v/>
      </c>
      <c r="G35" s="26">
        <f>IFERROR(VLOOKUP($A35,subQ,MATCH(G$1,SUBQH,0),0),"")</f>
        <v/>
      </c>
      <c r="H35" s="26">
        <f>IFERROR(VLOOKUP($A35,subQ,MATCH(H$1,SUBQH,0),0),"")</f>
        <v/>
      </c>
      <c r="I35" s="26">
        <f>IFERROR(VLOOKUP($A35,subQ,MATCH(I$1,SUBQH,0),0),"")</f>
        <v/>
      </c>
      <c r="J35" s="26">
        <f>IFERROR(VLOOKUP($A35,subQ,MATCH(J$1,SUBQH,0),0),"")</f>
        <v/>
      </c>
      <c r="K35" s="26">
        <f>IFERROR(VLOOKUP($A35,subQ,MATCH(K$1,SUBQH,0),0),"")</f>
        <v/>
      </c>
      <c r="L35" s="26">
        <f>IFERROR(VLOOKUP($A35,subQ,MATCH(L$1,SUBQH,0),0),"")</f>
        <v/>
      </c>
      <c r="M35" s="26">
        <f>IFERROR(VLOOKUP($A35,subQ,MATCH(M$1,SUBQH,0),0),"")</f>
        <v/>
      </c>
      <c r="N35" s="26">
        <f>IFERROR(VLOOKUP($A35,subQ,MATCH(N$1,SUBQH,0),0),"")</f>
        <v/>
      </c>
      <c r="O35" s="26">
        <f>IFERROR(VLOOKUP($A35,subQ,MATCH(O$1,SUBQH,0),0),"")</f>
        <v/>
      </c>
      <c r="P35" s="26">
        <f>IFERROR(VLOOKUP($A35,subQ,MATCH(P$1,SUBQH,0),0),"")</f>
        <v/>
      </c>
      <c r="Q35" s="26">
        <f>IFERROR(VLOOKUP($A35,subQ,MATCH(Q$1,SUBQH,0),0),"")</f>
        <v/>
      </c>
      <c r="R35" s="26">
        <f>IFERROR(VLOOKUP($A35,subQ,MATCH(R$1,SUBQH,0),0),"")</f>
        <v/>
      </c>
      <c r="S35" s="26">
        <f>IFERROR(VLOOKUP($A35,subQ,MATCH(S$1,SUBQH,0),0),"")</f>
        <v/>
      </c>
      <c r="T35" s="26">
        <f>IFERROR(VLOOKUP($A35,subQ,MATCH(T$1,SUBQH,0),0),"")</f>
        <v/>
      </c>
      <c r="U35" s="26">
        <f>IFERROR(VLOOKUP($A35,subQ,MATCH(U$1,SUBQH,0),0),"")</f>
        <v/>
      </c>
      <c r="V35" s="26">
        <f>IFERROR(VLOOKUP($A35,subQ,MATCH(V$1,SUBQH,0),0),"")</f>
        <v/>
      </c>
      <c r="W35" s="43">
        <f>IFERROR(VLOOKUP($A35,subQ,MATCH(W$1,SUBQH,0),0),"")</f>
        <v/>
      </c>
      <c r="X35" s="36">
        <f>IFERROR(VLOOKUP($A35,subQ,MATCH(X$1,SUBQH,0),0),"")</f>
        <v/>
      </c>
      <c r="Y35" s="36">
        <f>IFERROR(VLOOKUP($A35,subQ,MATCH(Y$1,SUBQH,0),0),"")</f>
        <v/>
      </c>
      <c r="Z35" s="36">
        <f>IFERROR(VLOOKUP($A35,subQ,MATCH(Z$1,SUBQH,0),0),"")</f>
        <v/>
      </c>
      <c r="AA35" s="36">
        <f>IFERROR(VLOOKUP($A35,subQ,MATCH(AA$1,SUBQH,0),0),"")</f>
        <v/>
      </c>
      <c r="AB35" s="36">
        <f>IFERROR(VLOOKUP($A35,subQ,MATCH(AB$1,SUBQH,0),0),"")</f>
        <v/>
      </c>
      <c r="AC35" s="36">
        <f>IFERROR(VLOOKUP($A35,subQ,MATCH(AC$1,SUBQH,0),0),"")</f>
        <v/>
      </c>
      <c r="AD35" s="36">
        <f>IFERROR(VLOOKUP($A35,subQ,MATCH(AD$1,SUBQH,0),0),"")</f>
        <v/>
      </c>
      <c r="AE35" s="36">
        <f>IFERROR(VLOOKUP($A35,subQ,MATCH(AE$1,SUBQH,0),0),"")</f>
        <v/>
      </c>
      <c r="AF35" s="36">
        <f>IFERROR(VLOOKUP($A35,subQ,MATCH(AF$1,SUBQH,0),0),"")</f>
        <v/>
      </c>
      <c r="AG35" s="36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BPS</t>
        </is>
      </c>
      <c r="D37" t="inlineStr">
        <is>
          <t>BPS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DPS</t>
        </is>
      </c>
      <c r="D38" t="inlineStr">
        <is>
          <t>DPS(보통주)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PER</t>
        </is>
      </c>
      <c r="D39" t="inlineStr">
        <is>
          <t>PER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PBR</t>
        </is>
      </c>
      <c r="D40" t="inlineStr">
        <is>
          <t>PBR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매출전사</t>
        </is>
      </c>
      <c r="D41" t="inlineStr">
        <is>
          <t>매출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1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OP전사</t>
        </is>
      </c>
      <c r="D42" t="inlineStr">
        <is>
          <t>OP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1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OPM</t>
        </is>
      </c>
      <c r="D43" t="inlineStr">
        <is>
          <t>영업이익률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2">
        <f>IFERROR(VLOOKUP($A43,subQ,MATCH(W$1,SUBQH,0),0),"")</f>
        <v/>
      </c>
      <c r="X43" s="31">
        <f>IFERROR(VLOOKUP($A43,subQ,MATCH(X$1,SUBQH,0),0),"")</f>
        <v/>
      </c>
      <c r="Y43" s="31">
        <f>IFERROR(VLOOKUP($A43,subQ,MATCH(Y$1,SUBQH,0),0),"")</f>
        <v/>
      </c>
      <c r="Z43" s="31">
        <f>IFERROR(VLOOKUP($A43,subQ,MATCH(Z$1,SUBQH,0),0),"")</f>
        <v/>
      </c>
      <c r="AA43" s="31">
        <f>IFERROR(VLOOKUP($A43,subQ,MATCH(AA$1,SUBQH,0),0),"")</f>
        <v/>
      </c>
      <c r="AB43" s="31">
        <f>IFERROR(VLOOKUP($A43,subQ,MATCH(AB$1,SUBQH,0),0),"")</f>
        <v/>
      </c>
      <c r="AC43" s="31">
        <f>IFERROR(VLOOKUP($A43,subQ,MATCH(AC$1,SUBQH,0),0),"")</f>
        <v/>
      </c>
      <c r="AD43" s="31">
        <f>IFERROR(VLOOKUP($A43,subQ,MATCH(AD$1,SUBQH,0),0),"")</f>
        <v/>
      </c>
      <c r="AE43" s="31">
        <f>IFERROR(VLOOKUP($A43,subQ,MATCH(AE$1,SUBQH,0),0),"")</f>
        <v/>
      </c>
      <c r="AF43" s="31">
        <f>IFERROR(VLOOKUP($A43,subQ,MATCH(AF$1,SUBQH,0),0),"")</f>
        <v/>
      </c>
      <c r="AG43" s="31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2">
        <f>IFERROR(VLOOKUP($A44,subQ,MATCH(W$1,SUBQH,0),0),"")</f>
        <v/>
      </c>
      <c r="X44" s="31">
        <f>IFERROR(VLOOKUP($A44,subQ,MATCH(X$1,SUBQH,0),0),"")</f>
        <v/>
      </c>
      <c r="Y44" s="31">
        <f>IFERROR(VLOOKUP($A44,subQ,MATCH(Y$1,SUBQH,0),0),"")</f>
        <v/>
      </c>
      <c r="Z44" s="31">
        <f>IFERROR(VLOOKUP($A44,subQ,MATCH(Z$1,SUBQH,0),0),"")</f>
        <v/>
      </c>
      <c r="AA44" s="31">
        <f>IFERROR(VLOOKUP($A44,subQ,MATCH(AA$1,SUBQH,0),0),"")</f>
        <v/>
      </c>
      <c r="AB44" s="31">
        <f>IFERROR(VLOOKUP($A44,subQ,MATCH(AB$1,SUBQH,0),0),"")</f>
        <v/>
      </c>
      <c r="AC44" s="31">
        <f>IFERROR(VLOOKUP($A44,subQ,MATCH(AC$1,SUBQH,0),0),"")</f>
        <v/>
      </c>
      <c r="AD44" s="31">
        <f>IFERROR(VLOOKUP($A44,subQ,MATCH(AD$1,SUBQH,0),0),"")</f>
        <v/>
      </c>
      <c r="AE44" s="31">
        <f>IFERROR(VLOOKUP($A44,subQ,MATCH(AE$1,SUBQH,0),0),"")</f>
        <v/>
      </c>
      <c r="AF44" s="31">
        <f>IFERROR(VLOOKUP($A44,subQ,MATCH(AF$1,SUBQH,0),0),"")</f>
        <v/>
      </c>
      <c r="AG44" s="31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2">
        <f>IFERROR(W5/S5-1,"")</f>
        <v/>
      </c>
      <c r="X45" s="31">
        <f>IFERROR(X5/T5-1,"")</f>
        <v/>
      </c>
      <c r="Y45" s="31">
        <f>IFERROR(Y5/U5-1,"")</f>
        <v/>
      </c>
      <c r="Z45" s="31">
        <f>IFERROR(Z5/V5-1,"")</f>
        <v/>
      </c>
      <c r="AA45" s="31">
        <f>IFERROR(AA5/W5-1,"")</f>
        <v/>
      </c>
      <c r="AB45" s="31">
        <f>IFERROR(AB5/X5-1,"")</f>
        <v/>
      </c>
      <c r="AC45" s="31">
        <f>IFERROR(AC5/Y5-1,"")</f>
        <v/>
      </c>
      <c r="AD45" s="31">
        <f>IFERROR(AD5/Z5-1,"")</f>
        <v/>
      </c>
      <c r="AE45" s="31">
        <f>IFERROR(AE5/AA5-1,"")</f>
        <v/>
      </c>
      <c r="AF45" s="31">
        <f>IFERROR(AF5/AB5-1,"")</f>
        <v/>
      </c>
      <c r="AG45" s="31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2">
        <f>IFERROR(W9/S9-1,"")</f>
        <v/>
      </c>
      <c r="X46" s="31">
        <f>IFERROR(X9/T9-1,"")</f>
        <v/>
      </c>
      <c r="Y46" s="31">
        <f>IFERROR(Y9/U9-1,"")</f>
        <v/>
      </c>
      <c r="Z46" s="31">
        <f>IFERROR(Z9/V9-1,"")</f>
        <v/>
      </c>
      <c r="AA46" s="31">
        <f>IFERROR(AA9/W9-1,"")</f>
        <v/>
      </c>
      <c r="AB46" s="31">
        <f>IFERROR(AB9/X9-1,"")</f>
        <v/>
      </c>
      <c r="AC46" s="31">
        <f>IFERROR(AC9/Y9-1,"")</f>
        <v/>
      </c>
      <c r="AD46" s="31">
        <f>IFERROR(AD9/Z9-1,"")</f>
        <v/>
      </c>
      <c r="AE46" s="31">
        <f>IFERROR(AE9/AA9-1,"")</f>
        <v/>
      </c>
      <c r="AF46" s="31">
        <f>IFERROR(AF9/AB9-1,"")</f>
        <v/>
      </c>
      <c r="AG46" s="31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2">
        <f>IFERROR(W21/S21-1,"")</f>
        <v/>
      </c>
      <c r="X47" s="31">
        <f>IFERROR(X21/T21-1,"")</f>
        <v/>
      </c>
      <c r="Y47" s="31">
        <f>IFERROR(Y21/U21-1,"")</f>
        <v/>
      </c>
      <c r="Z47" s="31">
        <f>IFERROR(Z21/V21-1,"")</f>
        <v/>
      </c>
      <c r="AA47" s="31">
        <f>IFERROR(AA21/W21-1,"")</f>
        <v/>
      </c>
      <c r="AB47" s="31">
        <f>IFERROR(AB21/X21-1,"")</f>
        <v/>
      </c>
      <c r="AC47" s="31">
        <f>IFERROR(AC21/Y21-1,"")</f>
        <v/>
      </c>
      <c r="AD47" s="31">
        <f>IFERROR(AD21/Z21-1,"")</f>
        <v/>
      </c>
      <c r="AE47" s="31">
        <f>IFERROR(AE21/AA21-1,"")</f>
        <v/>
      </c>
      <c r="AF47" s="31">
        <f>IFERROR(AF21/AB21-1,"")</f>
        <v/>
      </c>
      <c r="AG47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변수!D54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6">
        <f>IFERROR(VLOOKUP($A35,subQ,MATCH(E$1,SUBQH,0),0),"")</f>
        <v/>
      </c>
      <c r="F35" s="26">
        <f>IFERROR(VLOOKUP($A35,subQ,MATCH(F$1,SUBQH,0),0),"")</f>
        <v/>
      </c>
      <c r="G35" s="26">
        <f>IFERROR(VLOOKUP($A35,subQ,MATCH(G$1,SUBQH,0),0),"")</f>
        <v/>
      </c>
      <c r="H35" s="26">
        <f>IFERROR(VLOOKUP($A35,subQ,MATCH(H$1,SUBQH,0),0),"")</f>
        <v/>
      </c>
      <c r="I35" s="43">
        <f>IFERROR(VLOOKUP($A35,subQ,MATCH(I$1,SUBQH,0),0),"")</f>
        <v/>
      </c>
      <c r="J35" s="36">
        <f>IFERROR(VLOOKUP($A35,subQ,MATCH(J$1,SUBQH,0),0),"")</f>
        <v/>
      </c>
      <c r="K35" s="36">
        <f>IFERROR(VLOOKUP($A35,subQ,MATCH(K$1,SUBQH,0),0),"")</f>
        <v/>
      </c>
      <c r="L35" s="36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BPS</t>
        </is>
      </c>
      <c r="D37" t="inlineStr">
        <is>
          <t>BPS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DPS</t>
        </is>
      </c>
      <c r="D38" t="inlineStr">
        <is>
          <t>DPS(보통주)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PER</t>
        </is>
      </c>
      <c r="D39" t="inlineStr">
        <is>
          <t>PER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PBR</t>
        </is>
      </c>
      <c r="D40" t="inlineStr">
        <is>
          <t>PBR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매출전사</t>
        </is>
      </c>
      <c r="D41" t="inlineStr">
        <is>
          <t>매출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1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OP전사</t>
        </is>
      </c>
      <c r="D42" t="inlineStr">
        <is>
          <t>OP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1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OPM</t>
        </is>
      </c>
      <c r="D43" t="inlineStr">
        <is>
          <t>영업이익률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2">
        <f>IFERROR(VLOOKUP($A43,subQ,MATCH(I$1,SUBQH,0),0),"")</f>
        <v/>
      </c>
      <c r="J43" s="31">
        <f>IFERROR(VLOOKUP($A43,subQ,MATCH(J$1,SUBQH,0),0),"")</f>
        <v/>
      </c>
      <c r="K43" s="31">
        <f>IFERROR(VLOOKUP($A43,subQ,MATCH(K$1,SUBQH,0),0),"")</f>
        <v/>
      </c>
      <c r="L43" s="31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2">
        <f>IFERROR(VLOOKUP($A44,subQ,MATCH(I$1,SUBQH,0),0),"")</f>
        <v/>
      </c>
      <c r="J44" s="31">
        <f>IFERROR(VLOOKUP($A44,subQ,MATCH(J$1,SUBQH,0),0),"")</f>
        <v/>
      </c>
      <c r="K44" s="31">
        <f>IFERROR(VLOOKUP($A44,subQ,MATCH(K$1,SUBQH,0),0),"")</f>
        <v/>
      </c>
      <c r="L44" s="31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2">
        <f>IFERROR(I5/H5-1,"")</f>
        <v/>
      </c>
      <c r="J45" s="31">
        <f>IFERROR(J5/I5-1,"")</f>
        <v/>
      </c>
      <c r="K45" s="31">
        <f>IFERROR(K5/J5-1,"")</f>
        <v/>
      </c>
      <c r="L45" s="31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2">
        <f>IFERROR(I9/H9-1,"")</f>
        <v/>
      </c>
      <c r="J46" s="31">
        <f>IFERROR(J9/I9-1,"")</f>
        <v/>
      </c>
      <c r="K46" s="31">
        <f>IFERROR(K9/J9-1,"")</f>
        <v/>
      </c>
      <c r="L46" s="31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2">
        <f>IFERROR(I21/H21-1,"")</f>
        <v/>
      </c>
      <c r="J47" s="31">
        <f>IFERROR(J21/I21-1,"")</f>
        <v/>
      </c>
      <c r="K47" s="31">
        <f>IFERROR(K21/J21-1,"")</f>
        <v/>
      </c>
      <c r="L47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변수!D54</f>
        <v/>
      </c>
    </row>
    <row r="2">
      <c r="B2" s="1" t="inlineStr">
        <is>
          <t>기준일</t>
        </is>
      </c>
      <c r="C2">
        <f>변수!D55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IFERROR(E7*변수!D60+F7*(1-변수!D60),"")</f>
        <v/>
      </c>
    </row>
    <row r="15">
      <c r="C15" t="inlineStr">
        <is>
          <t>적정가치 @PER_lo</t>
        </is>
      </c>
      <c r="D15" s="26">
        <f>변수!D57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18281.2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25.87</v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9.17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