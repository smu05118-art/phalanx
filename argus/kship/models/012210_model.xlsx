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BS별도!$C$5:$AJ$76</definedName>
    <definedName name="SUBQH">subQ!$A$1:$AJ$1</definedName>
    <definedName name="subQ">subQ!$A$5:$AJ$39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X15" authorId="0" shapeId="0">
      <text>
        <t>분기 진행 중(partial) — aikstockdata/토스 일봉</t>
      </text>
    </comment>
    <comment ref="X16" authorId="0" shapeId="0">
      <text>
        <t>분기 진행 중(partial) — aikstockdata/토스 일봉</t>
      </text>
    </comment>
    <comment ref="X17" authorId="0" shapeId="0">
      <text>
        <t>분기 진행 중(partial) — aikstockdata/토스 일봉</t>
      </text>
    </comment>
    <comment ref="X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모델값 역산(implied): v / 매출액
매출액 × 판관비율 6.20%(최근 4분기 중위)</t>
      </text>
    </comment>
    <comment ref="Y22" authorId="0" shapeId="0">
      <text>
        <t>모델값 역산(implied): v / 매출액
매출액 × 판관비율 6.20%(최근 4분기 중위)</t>
      </text>
    </comment>
    <comment ref="AA22" authorId="0" shapeId="0">
      <text>
        <t>모델값 역산(implied): v / 매출액
매출액 × 판관비율 6.20%(최근 4분기 중위)</t>
      </text>
    </comment>
    <comment ref="AB22" authorId="0" shapeId="0">
      <text>
        <t>모델값 역산(implied): v / 매출액
매출액 × 판관비율 6.20%(최근 4분기 중위)</t>
      </text>
    </comment>
    <comment ref="AC22" authorId="0" shapeId="0">
      <text>
        <t>모델값 역산(implied): v / 매출액
매출액 × 판관비율 6.20%(최근 4분기 중위)</t>
      </text>
    </comment>
    <comment ref="AD22" authorId="0" shapeId="0">
      <text>
        <t>모델값 역산(implied): v / 매출액
매출액 × 판관비율 6.20%(최근 4분기 중위)</t>
      </text>
    </comment>
    <comment ref="AF22" authorId="0" shapeId="0">
      <text>
        <t>모델값 역산(implied): v / 매출액
매출액 × 판관비율 6.20%(최근 4분기 중위)</t>
      </text>
    </comment>
    <comment ref="AG22" authorId="0" shapeId="0">
      <text>
        <t>모델값 역산(implied): v / 매출액
매출액 × 판관비율 6.20%(최근 4분기 중위)</t>
      </text>
    </comment>
    <comment ref="AH22" authorId="0" shapeId="0">
      <text>
        <t>모델값 역산(implied): v / 매출액
매출액 × 판관비율 6.20%(최근 4분기 중위)</t>
      </text>
    </comment>
    <comment ref="AI22" authorId="0" shapeId="0">
      <text>
        <t>모델값 역산(implied): v / 매출액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v / 전년동기 − 1
최근 6분기 OPM 중위 8.9% 유지(클립 −20~40%)</t>
      </text>
    </comment>
    <comment ref="Y24" authorId="0" shapeId="0">
      <text>
        <t>모델값 역산(implied): v / 전년동기 − 1
최근 6분기 OPM 중위 8.9% 유지(클립 −20~40%)</t>
      </text>
    </comment>
    <comment ref="AA24" authorId="0" shapeId="0">
      <text>
        <t>모델값 역산(implied): v / 전년동기 − 1
최근 6분기 OPM 중위 8.9% 유지(클립 −20~40%)</t>
      </text>
    </comment>
    <comment ref="AB24" authorId="0" shapeId="0">
      <text>
        <t>모델값 역산(implied): v / 전년동기 − 1
최근 6분기 OPM 중위 8.9% 유지(클립 −20~40%)</t>
      </text>
    </comment>
    <comment ref="AC24" authorId="0" shapeId="0">
      <text>
        <t>모델값 역산(implied): v / 전년동기 − 1
최근 6분기 OPM 중위 8.9% 유지(클립 −20~40%)</t>
      </text>
    </comment>
    <comment ref="AD24" authorId="0" shapeId="0">
      <text>
        <t>모델값 역산(implied): v / 전년동기 − 1
최근 6분기 OPM 중위 8.9% 유지(클립 −20~40%)</t>
      </text>
    </comment>
    <comment ref="AF24" authorId="0" shapeId="0">
      <text>
        <t>모델값 역산(implied): v / 전년동기 − 1
최근 6분기 OPM 중위 8.9% 유지(클립 −20~40%)</t>
      </text>
    </comment>
    <comment ref="AG24" authorId="0" shapeId="0">
      <text>
        <t>모델값 역산(implied): v / 전년동기 − 1
최근 6분기 OPM 중위 8.9% 유지(클립 −20~40%)</t>
      </text>
    </comment>
    <comment ref="AH24" authorId="0" shapeId="0">
      <text>
        <t>모델값 역산(implied): v / 전년동기 − 1
최근 6분기 OPM 중위 8.9% 유지(클립 −20~40%)</t>
      </text>
    </comment>
    <comment ref="AI24" authorId="0" shapeId="0">
      <text>
        <t>모델값 역산(implied): v / 전년동기 − 1
최근 6분기 OPM 중위 8.9% 유지(클립 −20~40%)</t>
      </text>
    </comment>
    <comment ref="X25" authorId="0" shapeId="0">
      <text>
        <t>모델값 역산(implied): 모델 v 그대로
이자손익 = 이자발생자산 389억 × 1.04% − 총차입금 864억 × 0.00% (연율, CF 실측) ÷ 4; 환·평가손익 0 가정</t>
      </text>
    </comment>
    <comment ref="Y25" authorId="0" shapeId="0">
      <text>
        <t>모델값 역산(implied): 모델 v 그대로
이자손익 = 이자발생자산 405억 × 1.04% − 총차입금 864억 × 0.00% (연율, CF 실측) ÷ 4; 환·평가손익 0 가정</t>
      </text>
    </comment>
    <comment ref="AA25" authorId="0" shapeId="0">
      <text>
        <t>모델값 역산(implied): 모델 v 그대로
이자손익 = 이자발생자산 420억 × 1.04% − 총차입금 864억 × 0.00% (연율, CF 실측) ÷ 4; 환·평가손익 0 가정</t>
      </text>
    </comment>
    <comment ref="AB25" authorId="0" shapeId="0">
      <text>
        <t>모델값 역산(implied): 모델 v 그대로
이자손익 = 이자발생자산 436억 × 1.04% − 총차입금 864억 × 0.00% (연율, CF 실측) ÷ 4; 환·평가손익 0 가정</t>
      </text>
    </comment>
    <comment ref="AC25" authorId="0" shapeId="0">
      <text>
        <t>모델값 역산(implied): 모델 v 그대로
이자손익 = 이자발생자산 456억 × 1.04% − 총차입금 864억 × 0.00% (연율, CF 실측) ÷ 4; 환·평가손익 0 가정</t>
      </text>
    </comment>
    <comment ref="AD25" authorId="0" shapeId="0">
      <text>
        <t>모델값 역산(implied): 모델 v 그대로
이자손익 = 이자발생자산 472억 × 1.04% − 총차입금 864억 × 0.00% (연율, CF 실측) ÷ 4; 환·평가손익 0 가정</t>
      </text>
    </comment>
    <comment ref="AF25" authorId="0" shapeId="0">
      <text>
        <t>모델값 역산(implied): 모델 v 그대로
이자손익 = 이자발생자산 487억 × 1.04% − 총차입금 864억 × 0.00% (연율, CF 실측) ÷ 4; 환·평가손익 0 가정</t>
      </text>
    </comment>
    <comment ref="AG25" authorId="0" shapeId="0">
      <text>
        <t>모델값 역산(implied): 모델 v 그대로
이자손익 = 이자발생자산 504억 × 1.04% − 총차입금 864억 × 0.00% (연율, CF 실측) ÷ 4; 환·평가손익 0 가정</t>
      </text>
    </comment>
    <comment ref="AH25" authorId="0" shapeId="0">
      <text>
        <t>모델값 역산(implied): 모델 v 그대로
이자손익 = 이자발생자산 524억 × 1.04% − 총차입금 864억 × 0.00% (연율, CF 실측) ÷ 4; 환·평가손익 0 가정</t>
      </text>
    </comment>
    <comment ref="AI25" authorId="0" shapeId="0">
      <text>
        <t>모델값 역산(implied): 모델 v 그대로
이자손익 = 이자발생자산 540억 × 1.04% − 총차입금 864억 × 0.00% (연율, CF 실측) ÷ 4; 환·평가손익 0 가정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
max(세전, 0) × 세율 5.0%(최근 6분기 유효세율 -102.9% → 5~27% 클립)</t>
      </text>
    </comment>
    <comment ref="Y27" authorId="0" shapeId="0">
      <text>
        <t>모델값 역산(implied): v / 세전이익
max(세전, 0) × 세율 5.0%(최근 6분기 유효세율 -102.9% → 5~27% 클립)</t>
      </text>
    </comment>
    <comment ref="AA27" authorId="0" shapeId="0">
      <text>
        <t>모델값 역산(implied): v / 세전이익
max(세전, 0) × 세율 5.0%(최근 6분기 유효세율 -102.9% → 5~27% 클립)</t>
      </text>
    </comment>
    <comment ref="AB27" authorId="0" shapeId="0">
      <text>
        <t>모델값 역산(implied): v / 세전이익
max(세전, 0) × 세율 5.0%(최근 6분기 유효세율 -102.9% → 5~27% 클립)</t>
      </text>
    </comment>
    <comment ref="AC27" authorId="0" shapeId="0">
      <text>
        <t>모델값 역산(implied): v / 세전이익
max(세전, 0) × 세율 5.0%(최근 6분기 유효세율 -102.9% → 5~27% 클립)</t>
      </text>
    </comment>
    <comment ref="AD27" authorId="0" shapeId="0">
      <text>
        <t>모델값 역산(implied): v / 세전이익
max(세전, 0) × 세율 5.0%(최근 6분기 유효세율 -102.9% → 5~27% 클립)</t>
      </text>
    </comment>
    <comment ref="AF27" authorId="0" shapeId="0">
      <text>
        <t>모델값 역산(implied): v / 세전이익
max(세전, 0) × 세율 5.0%(최근 6분기 유효세율 -102.9% → 5~27% 클립)</t>
      </text>
    </comment>
    <comment ref="AG27" authorId="0" shapeId="0">
      <text>
        <t>모델값 역산(implied): v / 세전이익
max(세전, 0) × 세율 5.0%(최근 6분기 유효세율 -102.9% → 5~27% 클립)</t>
      </text>
    </comment>
    <comment ref="AH27" authorId="0" shapeId="0">
      <text>
        <t>모델값 역산(implied): v / 세전이익
max(세전, 0) × 세율 5.0%(최근 6분기 유효세율 -102.9% → 5~27% 클립)</t>
      </text>
    </comment>
    <comment ref="AI27" authorId="0" shapeId="0">
      <text>
        <t>모델값 역산(implied): v / 세전이익
max(세전, 0) × 세율 5.0%(최근 6분기 유효세율 -102.9% → 5~27% 클립)</t>
      </text>
    </comment>
    <comment ref="X28" authorId="0" shapeId="0">
      <text>
        <t>모델값 역산(implied): v / 당기순이익
당기순이익 × (1 − 비지배 비중 0.0%, 최근 8분기 실측)</t>
      </text>
    </comment>
    <comment ref="Y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B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 + 당기순이익 − v
전분기 + 당기순이익 − 배당(Q2 지급 가정)</t>
      </text>
    </comment>
    <comment ref="Y30" authorId="0" shapeId="0">
      <text>
        <t>모델값 역산(implied): 전분기 + 당기순이익 − v
전분기 + 당기순이익 − 배당(Q2 지급 가정)</t>
      </text>
    </comment>
    <comment ref="AA30" authorId="0" shapeId="0">
      <text>
        <t>모델값 역산(implied): 전분기 + 당기순이익 − v
전분기 + 당기순이익 − 배당(Q2 지급 가정)</t>
      </text>
    </comment>
    <comment ref="AB30" authorId="0" shapeId="0">
      <text>
        <t>모델값 역산(implied): 전분기 + 당기순이익 − v
전분기 + 당기순이익 − 배당(Q2 지급 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X31" authorId="0" shapeId="0">
      <text>
        <t>모델값 역산(implied): 전분기 + 지배주주순이익 − v
전분기 + 지배주주순이익 − 배당</t>
      </text>
    </comment>
    <comment ref="Y31" authorId="0" shapeId="0">
      <text>
        <t>모델값 역산(implied): 전분기 + 지배주주순이익 − v
전분기 + 지배주주순이익 − 배당</t>
      </text>
    </comment>
    <comment ref="AA31" authorId="0" shapeId="0">
      <text>
        <t>모델값 역산(implied): 전분기 + 지배주주순이익 − v
전분기 + 지배주주순이익 − 배당</t>
      </text>
    </comment>
    <comment ref="AB31" authorId="0" shapeId="0">
      <text>
        <t>모델값 역산(implied): 전분기 + 지배주주순이익 − v
전분기 + 지배주주순이익 − 배당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(순이익 − 배당): 순이익 = 순현금 증가 가정(CAPEX≈감가, 운전자본 불변)</t>
      </text>
    </comment>
    <comment ref="Y33" authorId="0" shapeId="0">
      <text>
        <t>모델값 역산(implied): v / 전분기 − 1
전분기 − (순이익 − 배당): 순이익 = 순현금 증가 가정(CAPEX≈감가, 운전자본 불변)</t>
      </text>
    </comment>
    <comment ref="AA33" authorId="0" shapeId="0">
      <text>
        <t>모델값 역산(implied): v / 전분기 − 1
전분기 − (순이익 − 배당): 순이익 = 순현금 증가 가정(CAPEX≈감가, 운전자본 불변)</t>
      </text>
    </comment>
    <comment ref="AB33" authorId="0" shapeId="0">
      <text>
        <t>모델값 역산(implied): v / 전분기 − 1
전분기 − (순이익 − 배당): 순이익 = 순현금 증가 가정(CAPEX≈감가, 운전자본 불변)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X34" authorId="0" shapeId="0">
      <text>
        <t>모델값 역산(implied): v / 전분기 − 1
전분기 + (순이익 − 배당) — 순차입금 롤과 같은 가정</t>
      </text>
    </comment>
    <comment ref="Y34" authorId="0" shapeId="0">
      <text>
        <t>모델값 역산(implied): v / 전분기 − 1
전분기 + (순이익 − 배당) — 순차입금 롤과 같은 가정</t>
      </text>
    </comment>
    <comment ref="AA34" authorId="0" shapeId="0">
      <text>
        <t>모델값 역산(implied): v / 전분기 − 1
전분기 + (순이익 − 배당) — 순차입금 롤과 같은 가정</t>
      </text>
    </comment>
    <comment ref="AB34" authorId="0" shapeId="0">
      <text>
        <t>모델값 역산(implied): v / 전분기 − 1
전분기 + (순이익 − 배당) — 순차입금 롤과 같은 가정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전년동기 − 1
현재 종가 ÷ TTM EPS(추정 포함)</t>
      </text>
    </comment>
    <comment ref="AB40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Y41" authorId="0" shapeId="0">
      <text>
        <t>모델값 역산(implied): v / 전년동기 − 1
현재 종가 ÷ BPS(추정 포함)</t>
      </text>
    </comment>
    <comment ref="AA41" authorId="0" shapeId="0">
      <text>
        <t>모델값 역산(implied): v / 전년동기 − 1
현재 종가 ÷ BPS(추정 포함)</t>
      </text>
    </comment>
    <comment ref="AB41" authorId="0" shapeId="0">
      <text>
        <t>모델값 역산(implied): v / 전년동기 − 1
현재 종가 ÷ BPS(추정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X42" authorId="0" shapeId="0">
      <text>
        <t>모델값 역산(implied): v / 매출액
= 매출액 추정(부문 미분리)</t>
      </text>
    </comment>
    <comment ref="Y42" authorId="0" shapeId="0">
      <text>
        <t>모델값 역산(implied): v / 매출액
= 매출액 추정(부문 미분리)</t>
      </text>
    </comment>
    <comment ref="AA42" authorId="0" shapeId="0">
      <text>
        <t>모델값 역산(implied): v / 매출액
= 매출액 추정(부문 미분리)</t>
      </text>
    </comment>
    <comment ref="AB42" authorId="0" shapeId="0">
      <text>
        <t>모델값 역산(implied): v / 매출액
= 매출액 추정(부문 미분리)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X43" authorId="0" shapeId="0">
      <text>
        <t>모델값 역산(implied): v / 매출전사
= 매출액 × OPM(부문 미분리)</t>
      </text>
    </comment>
    <comment ref="Y43" authorId="0" shapeId="0">
      <text>
        <t>모델값 역산(implied): v / 매출전사
= 매출액 × OPM(부문 미분리)</t>
      </text>
    </comment>
    <comment ref="AA43" authorId="0" shapeId="0">
      <text>
        <t>모델값 역산(implied): v / 매출전사
= 매출액 × OPM(부문 미분리)</t>
      </text>
    </comment>
    <comment ref="AB43" authorId="0" shapeId="0">
      <text>
        <t>모델값 역산(implied): v / 매출전사
= 매출액 × OPM(부문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O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추정: 최근 6분기 OPM 중위 8.9% 유지(클립 −20~40%)
[yoy]</t>
      </text>
    </comment>
    <comment ref="Y10" authorId="0" shapeId="0">
      <text>
        <t>추정: 최근 6분기 OPM 중위 8.9% 유지(클립 −20~40%)
[yoy]</t>
      </text>
    </comment>
    <comment ref="AA10" authorId="0" shapeId="0">
      <text>
        <t>추정: 최근 6분기 OPM 중위 8.9% 유지(클립 −20~40%)
[yoy]</t>
      </text>
    </comment>
    <comment ref="AB10" authorId="0" shapeId="0">
      <text>
        <t>추정: 최근 6분기 OPM 중위 8.9% 유지(클립 −20~40%)
[yoy]</t>
      </text>
    </comment>
    <comment ref="AC10" authorId="0" shapeId="0">
      <text>
        <t>추정: 최근 6분기 OPM 중위 8.9% 유지(클립 −20~40%)
[yoy]</t>
      </text>
    </comment>
    <comment ref="AD10" authorId="0" shapeId="0">
      <text>
        <t>추정: 최근 6분기 OPM 중위 8.9% 유지(클립 −20~40%)
[yoy]</t>
      </text>
    </comment>
    <comment ref="AF10" authorId="0" shapeId="0">
      <text>
        <t>추정: 최근 6분기 OPM 중위 8.9% 유지(클립 −20~40%)
[yoy]</t>
      </text>
    </comment>
    <comment ref="AG10" authorId="0" shapeId="0">
      <text>
        <t>추정: 최근 6분기 OPM 중위 8.9% 유지(클립 −20~40%)
[yoy]</t>
      </text>
    </comment>
    <comment ref="AH10" authorId="0" shapeId="0">
      <text>
        <t>추정: 최근 6분기 OPM 중위 8.9% 유지(클립 −20~40%)
[yoy]</t>
      </text>
    </comment>
    <comment ref="AI10" authorId="0" shapeId="0">
      <text>
        <t>추정: 최근 6분기 OPM 중위 8.9% 유지(클립 −20~40%)
[yoy]</t>
      </text>
    </comment>
    <comment ref="X11" authorId="0" shapeId="0">
      <text>
        <t>추정: 이자손익 = 이자발생자산 389억 × 1.04% − 총차입금 864억 × 0.00% (연율, CF 실측) ÷ 4; 환·평가손익 0 가정
[abs]</t>
      </text>
    </comment>
    <comment ref="Y11" authorId="0" shapeId="0">
      <text>
        <t>추정: 이자손익 = 이자발생자산 405억 × 1.04% − 총차입금 864억 × 0.00% (연율, CF 실측) ÷ 4; 환·평가손익 0 가정
[abs]</t>
      </text>
    </comment>
    <comment ref="AA11" authorId="0" shapeId="0">
      <text>
        <t>추정: 이자손익 = 이자발생자산 420억 × 1.04% − 총차입금 864억 × 0.00% (연율, CF 실측) ÷ 4; 환·평가손익 0 가정
[abs]</t>
      </text>
    </comment>
    <comment ref="AB11" authorId="0" shapeId="0">
      <text>
        <t>추정: 이자손익 = 이자발생자산 436억 × 1.04% − 총차입금 864억 × 0.00% (연율, CF 실측) ÷ 4; 환·평가손익 0 가정
[abs]</t>
      </text>
    </comment>
    <comment ref="AC11" authorId="0" shapeId="0">
      <text>
        <t>추정: 이자손익 = 이자발생자산 456억 × 1.04% − 총차입금 864억 × 0.00% (연율, CF 실측) ÷ 4; 환·평가손익 0 가정
[abs]</t>
      </text>
    </comment>
    <comment ref="AD11" authorId="0" shapeId="0">
      <text>
        <t>추정: 이자손익 = 이자발생자산 472억 × 1.04% − 총차입금 864억 × 0.00% (연율, CF 실측) ÷ 4; 환·평가손익 0 가정
[abs]</t>
      </text>
    </comment>
    <comment ref="AF11" authorId="0" shapeId="0">
      <text>
        <t>추정: 이자손익 = 이자발생자산 487억 × 1.04% − 총차입금 864억 × 0.00% (연율, CF 실측) ÷ 4; 환·평가손익 0 가정
[abs]</t>
      </text>
    </comment>
    <comment ref="AG11" authorId="0" shapeId="0">
      <text>
        <t>추정: 이자손익 = 이자발생자산 504억 × 1.04% − 총차입금 864억 × 0.00% (연율, CF 실측) ÷ 4; 환·평가손익 0 가정
[abs]</t>
      </text>
    </comment>
    <comment ref="AH11" authorId="0" shapeId="0">
      <text>
        <t>추정: 이자손익 = 이자발생자산 524억 × 1.04% − 총차입금 864억 × 0.00% (연율, CF 실측) ÷ 4; 환·평가손익 0 가정
[abs]</t>
      </text>
    </comment>
    <comment ref="AI11" authorId="0" shapeId="0">
      <text>
        <t>추정: 이자손익 = 이자발생자산 540억 × 1.04% − 총차입금 864억 × 0.00% (연율, CF 실측) ÷ 4; 환·평가손익 0 가정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X13" authorId="0" shapeId="0">
      <text>
        <t>추정: 영업이익 + 금융손익 + 기타영업외 + 지분법 + 환관련(항등식)
[identity]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X14" authorId="0" shapeId="0">
      <text>
        <t>추정: max(세전, 0) × 세율 5.0%(최근 6분기 유효세율 -102.9% → 5~27% 클립)
[ratio]</t>
      </text>
    </comment>
    <comment ref="Y14" authorId="0" shapeId="0">
      <text>
        <t>추정: max(세전, 0) × 세율 5.0%(최근 6분기 유효세율 -102.9% → 5~27% 클립)
[ratio]</t>
      </text>
    </comment>
    <comment ref="AA14" authorId="0" shapeId="0">
      <text>
        <t>추정: max(세전, 0) × 세율 5.0%(최근 6분기 유효세율 -102.9% → 5~27% 클립)
[ratio]</t>
      </text>
    </comment>
    <comment ref="AB14" authorId="0" shapeId="0">
      <text>
        <t>추정: max(세전, 0) × 세율 5.0%(최근 6분기 유효세율 -102.9% → 5~27% 클립)
[ratio]</t>
      </text>
    </comment>
    <comment ref="AC14" authorId="0" shapeId="0">
      <text>
        <t>추정: max(세전, 0) × 세율 5.0%(최근 6분기 유효세율 -102.9% → 5~27% 클립)
[ratio]</t>
      </text>
    </comment>
    <comment ref="AD14" authorId="0" shapeId="0">
      <text>
        <t>추정: max(세전, 0) × 세율 5.0%(최근 6분기 유효세율 -102.9% → 5~27% 클립)
[ratio]</t>
      </text>
    </comment>
    <comment ref="AF14" authorId="0" shapeId="0">
      <text>
        <t>추정: max(세전, 0) × 세율 5.0%(최근 6분기 유효세율 -102.9% → 5~27% 클립)
[ratio]</t>
      </text>
    </comment>
    <comment ref="AG14" authorId="0" shapeId="0">
      <text>
        <t>추정: max(세전, 0) × 세율 5.0%(최근 6분기 유효세율 -102.9% → 5~27% 클립)
[ratio]</t>
      </text>
    </comment>
    <comment ref="AH14" authorId="0" shapeId="0">
      <text>
        <t>추정: max(세전, 0) × 세율 5.0%(최근 6분기 유효세율 -102.9% → 5~27% 클립)
[ratio]</t>
      </text>
    </comment>
    <comment ref="AI14" authorId="0" shapeId="0">
      <text>
        <t>추정: max(세전, 0) × 세율 5.0%(최근 6분기 유효세율 -102.9% → 5~27% 클립)
[ratio]</t>
      </text>
    </comment>
    <comment ref="X15" authorId="0" shapeId="0">
      <text>
        <t>추정: 세전이익 − 법인세비용(항등식)
[identity]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X16" authorId="0" shapeId="0">
      <text>
        <t>추정: 당기순이익 × (1 − 비지배 비중 0.0%, 최근 8분기 실측)
[ratio]</t>
      </text>
    </comment>
    <comment ref="Y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B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F17" authorId="0" shapeId="0">
      <text>
        <t>연간 실측(BS 시트에 2022.12A 없음 — 모델 a 값 직접)</t>
      </text>
    </comment>
    <comment ref="X17" authorId="0" shapeId="0">
      <text>
        <t>추정: 부채총계 + 자본총계(항등식)
[identity]</t>
      </text>
    </comment>
    <comment ref="Y17" authorId="0" shapeId="0">
      <text>
        <t>추정: 부채총계 + 자본총계(항등식)
[identity]</t>
      </text>
    </comment>
    <comment ref="AA17" authorId="0" shapeId="0">
      <text>
        <t>추정: 부채총계 + 자본총계(항등식)
[identity]</t>
      </text>
    </comment>
    <comment ref="AB17" authorId="0" shapeId="0">
      <text>
        <t>추정: 부채총계 + 자본총계(항등식)
[identity]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F18" authorId="0" shapeId="0">
      <text>
        <t>연간 실측(BS 시트에 2022.12A 없음 — 모델 a 값 직접)</t>
      </text>
    </comment>
    <comment ref="X18" authorId="0" shapeId="0">
      <text>
        <t>추정: 마지막 실적 유지(가정)
[qoq]</t>
      </text>
    </comment>
    <comment ref="Y18" authorId="0" shapeId="0">
      <text>
        <t>추정: 마지막 실적 유지(가정)
[qoq]</t>
      </text>
    </comment>
    <comment ref="AA18" authorId="0" shapeId="0">
      <text>
        <t>추정: 마지막 실적 유지(가정)
[qoq]</t>
      </text>
    </comment>
    <comment ref="AB18" authorId="0" shapeId="0">
      <text>
        <t>추정: 마지막 실적 유지(가정)
[qoq]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F19" authorId="0" shapeId="0">
      <text>
        <t>연간 실측(BS 시트에 2022.12A 없음 — 모델 a 값 직접)</t>
      </text>
    </comment>
    <comment ref="X19" authorId="0" shapeId="0">
      <text>
        <t>추정: 전분기 + 당기순이익 − 배당(Q2 지급 가정)
[roll]</t>
      </text>
    </comment>
    <comment ref="Y19" authorId="0" shapeId="0">
      <text>
        <t>추정: 전분기 + 당기순이익 − 배당(Q2 지급 가정)
[roll]</t>
      </text>
    </comment>
    <comment ref="AA19" authorId="0" shapeId="0">
      <text>
        <t>추정: 전분기 + 당기순이익 − 배당(Q2 지급 가정)
[roll]</t>
      </text>
    </comment>
    <comment ref="AB19" authorId="0" shapeId="0">
      <text>
        <t>추정: 전분기 + 당기순이익 − 배당(Q2 지급 가정)
[roll]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전분기 + 지배주주순이익 − 배당
[roll]</t>
      </text>
    </comment>
    <comment ref="Y20" authorId="0" shapeId="0">
      <text>
        <t>추정: 전분기 + 지배주주순이익 − 배당
[roll]</t>
      </text>
    </comment>
    <comment ref="AA20" authorId="0" shapeId="0">
      <text>
        <t>추정: 전분기 + 지배주주순이익 − 배당
[roll]</t>
      </text>
    </comment>
    <comment ref="AB20" authorId="0" shapeId="0">
      <text>
        <t>추정: 전분기 + 지배주주순이익 − 배당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− (순이익 − 배당): 순이익 = 순현금 증가 가정(CAPEX≈감가, 운전자본 불변)
[qoq]</t>
      </text>
    </comment>
    <comment ref="Y22" authorId="0" shapeId="0">
      <text>
        <t>추정: 전분기 − (순이익 − 배당): 순이익 = 순현금 증가 가정(CAPEX≈감가, 운전자본 불변)
[qoq]</t>
      </text>
    </comment>
    <comment ref="AA22" authorId="0" shapeId="0">
      <text>
        <t>추정: 전분기 − (순이익 − 배당): 순이익 = 순현금 증가 가정(CAPEX≈감가, 운전자본 불변)
[qoq]</t>
      </text>
    </comment>
    <comment ref="AB22" authorId="0" shapeId="0">
      <text>
        <t>추정: 전분기 − (순이익 − 배당): 순이익 = 순현금 증가 가정(CAPEX≈감가, 운전자본 불변)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(순이익 − 배당) — 순차입금 롤과 같은 가정
[qoq]</t>
      </text>
    </comment>
    <comment ref="Y23" authorId="0" shapeId="0">
      <text>
        <t>추정: 전분기 + (순이익 − 배당) — 순차입금 롤과 같은 가정
[qoq]</t>
      </text>
    </comment>
    <comment ref="AA23" authorId="0" shapeId="0">
      <text>
        <t>추정: 전분기 + (순이익 − 배당) — 순차입금 롤과 같은 가정
[qoq]</t>
      </text>
    </comment>
    <comment ref="AB23" authorId="0" shapeId="0">
      <text>
        <t>추정: 전분기 + (순이익 − 배당) — 순차입금 롤과 같은 가정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F24" authorId="0" shapeId="0">
      <text>
        <t>연간 실측(BS 시트에 2022.12A 없음 — 모델 a 값 직접)</t>
      </text>
    </comment>
    <comment ref="O26" authorId="0" shapeId="0">
      <text>
        <t>실측(계정 매핑 없음 — 모델값 직접) — fin.sep.cf.영업활동으로인한현금흐름</t>
      </text>
    </comment>
    <comment ref="R26" authorId="0" shapeId="0">
      <text>
        <t>실측(계정 매핑 없음 — 모델값 직접) — fin.sep.cf.영업활동으로인한현금흐름</t>
      </text>
    </comment>
    <comment ref="S26" authorId="0" shapeId="0">
      <text>
        <t>실측(계정 매핑 없음 — 모델값 직접) — fin.sep.cf.영업활동으로인한현금흐름</t>
      </text>
    </comment>
    <comment ref="T26" authorId="0" shapeId="0">
      <text>
        <t>실측(계정 매핑 없음 — 모델값 직접) — fin.sep.cf.영업활동으로인한현금흐름</t>
      </text>
    </comment>
    <comment ref="V26" authorId="0" shapeId="0">
      <text>
        <t>실측(계정 매핑 없음 — 모델값 직접) — fin.sep.cf.영업활동으로인한현금흐름</t>
      </text>
    </comment>
    <comment ref="W26" authorId="0" shapeId="0">
      <text>
        <t>실측(계정 매핑 없음 — 모델값 직접) — fin.sep.cf.영업활동으로인한현금흐름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추정(실적 구간 갭필): 주식의 총수 기재 없는 분기 → 2022Q4 값 이월</t>
      </text>
    </comment>
    <comment ref="H27" authorId="0" shapeId="0">
      <text>
        <t>추정(실적 구간 갭필): 주식의 총수 기재 없는 분기 → 2022Q4 값 이월</t>
      </text>
    </comment>
    <comment ref="I27" authorId="0" shapeId="0">
      <text>
        <t>추정(실적 구간 갭필): 주식의 총수 기재 없는 분기 → 2022Q4 값 이월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추정(실적 구간 갭필): 주식의 총수 기재 없는 분기 → 2023Q4 값 이월</t>
      </text>
    </comment>
    <comment ref="M27" authorId="0" shapeId="0">
      <text>
        <t>추정(실적 구간 갭필): 주식의 총수 기재 없는 분기 → 2023Q4 값 이월</t>
      </text>
    </comment>
    <comment ref="N27" authorId="0" shapeId="0">
      <text>
        <t>추정(실적 구간 갭필): 주식의 총수 기재 없는 분기 → 2023Q4 값 이월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추정(실적 구간 갭필): 주식의 총수 기재 없는 분기 → 2024Q4 값 이월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추정: 유통주식수 유지 — fin.shares.common_outstanding(2026Q2)
[qoq]</t>
      </text>
    </comment>
    <comment ref="Y27" authorId="0" shapeId="0">
      <text>
        <t>추정: 유통주식수 유지 — fin.shares.common_outstanding(2026Q2)
[qoq]</t>
      </text>
    </comment>
    <comment ref="AA27" authorId="0" shapeId="0">
      <text>
        <t>추정: 유통주식수 유지 — fin.shares.common_outstanding(2026Q2)
[qoq]</t>
      </text>
    </comment>
    <comment ref="AB27" authorId="0" shapeId="0">
      <text>
        <t>추정: 유통주식수 유지 — fin.shares.common_outstanding(2026Q2)
[qoq]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X28" authorId="0" shapeId="0">
      <text>
        <t>추정: 지배주주순이익 ÷ 유통주식수
[per_share]</t>
      </text>
    </comment>
    <comment ref="Y28" authorId="0" shapeId="0">
      <text>
        <t>추정: 지배주주순이익 ÷ 유통주식수
[per_share]</t>
      </text>
    </comment>
    <comment ref="AA28" authorId="0" shapeId="0">
      <text>
        <t>추정: 지배주주순이익 ÷ 유통주식수
[per_share]</t>
      </text>
    </comment>
    <comment ref="AB28" authorId="0" shapeId="0">
      <text>
        <t>추정: 지배주주순이익 ÷ 유통주식수
[per_share]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X29" authorId="0" shapeId="0">
      <text>
        <t>추정: 지배주주지분 ÷ 유통주식수
[per_share]</t>
      </text>
    </comment>
    <comment ref="Y29" authorId="0" shapeId="0">
      <text>
        <t>추정: 지배주주지분 ÷ 유통주식수
[per_share]</t>
      </text>
    </comment>
    <comment ref="AA29" authorId="0" shapeId="0">
      <text>
        <t>추정: 지배주주지분 ÷ 유통주식수
[per_share]</t>
      </text>
    </comment>
    <comment ref="AB29" authorId="0" shapeId="0">
      <text>
        <t>추정: 지배주주지분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추정(가정 셀 참조 불가 — 기준값 없음, 모델값 직접): 직전 결산 DPS 0원 유지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추정(가정 셀 참조 불가 — 기준값 없음, 모델값 직접): 현재 종가 ÷ TTM EPS(추정 포함)</t>
      </text>
    </comment>
    <comment ref="Y31" authorId="0" shapeId="0">
      <text>
        <t>추정(가정 셀 참조 불가 — 기준값 없음, 모델값 직접): 현재 종가 ÷ TTM EPS(추정 포함)</t>
      </text>
    </comment>
    <comment ref="AA31" authorId="0" shapeId="0">
      <text>
        <t>추정: 현재 종가 ÷ TTM EPS(추정 포함)
[yoy]</t>
      </text>
    </comment>
    <comment ref="AB31" authorId="0" shapeId="0">
      <text>
        <t>추정: 현재 종가 ÷ TTM EPS(추정 포함)
[yoy]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추정(가정 셀 참조 불가 — 기준값 없음, 모델값 직접): 현재 종가 ÷ BPS(추정 포함)</t>
      </text>
    </comment>
    <comment ref="Y32" authorId="0" shapeId="0">
      <text>
        <t>추정: 현재 종가 ÷ BPS(추정 포함)
[yoy]</t>
      </text>
    </comment>
    <comment ref="AA32" authorId="0" shapeId="0">
      <text>
        <t>추정: 현재 종가 ÷ BPS(추정 포함)
[yoy]</t>
      </text>
    </comment>
    <comment ref="AB32" authorId="0" shapeId="0">
      <text>
        <t>추정: 현재 종가 ÷ BPS(추정 포함)
[yoy]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O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추정: = 매출액 추정(부문 미분리)
[ratio]</t>
      </text>
    </comment>
    <comment ref="Y33" authorId="0" shapeId="0">
      <text>
        <t>추정: = 매출액 추정(부문 미분리)
[ratio]</t>
      </text>
    </comment>
    <comment ref="AA33" authorId="0" shapeId="0">
      <text>
        <t>추정: = 매출액 추정(부문 미분리)
[ratio]</t>
      </text>
    </comment>
    <comment ref="AB33" authorId="0" shapeId="0">
      <text>
        <t>추정: = 매출액 추정(부문 미분리)
[ratio]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O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추정: = 매출액 × OPM(부문 미분리)
[ratio]</t>
      </text>
    </comment>
    <comment ref="Y34" authorId="0" shapeId="0">
      <text>
        <t>추정: = 매출액 × OPM(부문 미분리)
[ratio]</t>
      </text>
    </comment>
    <comment ref="AA34" authorId="0" shapeId="0">
      <text>
        <t>추정: = 매출액 × OPM(부문 미분리)
[ratio]</t>
      </text>
    </comment>
    <comment ref="AB34" authorId="0" shapeId="0">
      <text>
        <t>추정: = 매출액 × OPM(부문 미분리)
[ratio]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assets/models/012210.json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미수집 분기 7개(no_report 등): 2023Q1, 2023Q2, 2023Q3, 2024Q1, 2024Q2, 2024Q3 / 매출 드라이버 폴백(고객 조선사 연결 없음(suppliers.json)): 전년동기 × (1+g) 추세 / 감가상각비가 face·CF 에 없음(주석 미파싱) → EBITDA·EV/EBITDA 미산출 / 일회성 의심 2025Q4: 비영업손익 -34억(영업이익 15억의 2배, 12분기 중위 6억) → 지배NI -9억·EPS·FY2025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1419.72</v>
      </c>
      <c r="Y6" s="16" t="n">
        <v>1353.36</v>
      </c>
      <c r="Z6" s="17" t="n">
        <v>1461.87</v>
      </c>
      <c r="AA6" s="16" t="n">
        <v>1353.36</v>
      </c>
      <c r="AB6" s="16" t="n">
        <v>1353.36</v>
      </c>
      <c r="AC6" s="16" t="n">
        <v>1353.36</v>
      </c>
      <c r="AD6" s="16" t="n">
        <v>1353.36</v>
      </c>
      <c r="AE6" s="11" t="n"/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1353.36</v>
      </c>
      <c r="Y7" s="16" t="n">
        <v>1353.36</v>
      </c>
      <c r="Z7" s="17" t="n">
        <v>1353.36</v>
      </c>
      <c r="AA7" s="16" t="n">
        <v>1353.36</v>
      </c>
      <c r="AB7" s="16" t="n">
        <v>1353.36</v>
      </c>
      <c r="AC7" s="16" t="n">
        <v>1353.36</v>
      </c>
      <c r="AD7" s="16" t="n">
        <v>1353.36</v>
      </c>
      <c r="AE7" s="11" t="n"/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890.83</v>
      </c>
      <c r="Y8" s="16" t="n">
        <v>861.35</v>
      </c>
      <c r="Z8" s="17" t="n">
        <v>922.02</v>
      </c>
      <c r="AA8" s="16" t="n">
        <v>861.35</v>
      </c>
      <c r="AB8" s="16" t="n">
        <v>861.35</v>
      </c>
      <c r="AC8" s="16" t="n">
        <v>861.35</v>
      </c>
      <c r="AD8" s="16" t="n">
        <v>861.35</v>
      </c>
      <c r="AE8" s="11" t="n"/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861.35</v>
      </c>
      <c r="Y9" s="16" t="n">
        <v>861.35</v>
      </c>
      <c r="Z9" s="17" t="n">
        <v>861.35</v>
      </c>
      <c r="AA9" s="16" t="n">
        <v>861.35</v>
      </c>
      <c r="AB9" s="16" t="n">
        <v>861.35</v>
      </c>
      <c r="AC9" s="16" t="n">
        <v>861.35</v>
      </c>
      <c r="AD9" s="16" t="n">
        <v>861.35</v>
      </c>
      <c r="AE9" s="11" t="n"/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1633.4</v>
      </c>
      <c r="Y10" s="16" t="n">
        <v>1536.74</v>
      </c>
      <c r="Z10" s="17" t="n">
        <v>1697.39</v>
      </c>
      <c r="AA10" s="16" t="n">
        <v>1536.74</v>
      </c>
      <c r="AB10" s="16" t="n">
        <v>1536.74</v>
      </c>
      <c r="AC10" s="16" t="n">
        <v>1536.74</v>
      </c>
      <c r="AD10" s="16" t="n">
        <v>1536.74</v>
      </c>
      <c r="AE10" s="11" t="n"/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1536.74</v>
      </c>
      <c r="Y11" s="16" t="n">
        <v>1536.74</v>
      </c>
      <c r="Z11" s="17" t="n">
        <v>1536.74</v>
      </c>
      <c r="AA11" s="16" t="n">
        <v>1536.74</v>
      </c>
      <c r="AB11" s="16" t="n">
        <v>1536.74</v>
      </c>
      <c r="AC11" s="16" t="n">
        <v>1536.74</v>
      </c>
      <c r="AD11" s="16" t="n">
        <v>1536.74</v>
      </c>
      <c r="AE11" s="11" t="n"/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210.55</v>
      </c>
      <c r="Y12" s="16" t="n">
        <v>201.89</v>
      </c>
      <c r="Z12" s="17" t="n">
        <v>214.29</v>
      </c>
      <c r="AA12" s="16" t="n">
        <v>201.89</v>
      </c>
      <c r="AB12" s="16" t="n">
        <v>201.89</v>
      </c>
      <c r="AC12" s="16" t="n">
        <v>201.89</v>
      </c>
      <c r="AD12" s="16" t="n">
        <v>201.89</v>
      </c>
      <c r="AE12" s="11" t="n"/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201.89</v>
      </c>
      <c r="Y13" s="16" t="n">
        <v>201.89</v>
      </c>
      <c r="Z13" s="17" t="n">
        <v>201.89</v>
      </c>
      <c r="AA13" s="16" t="n">
        <v>201.89</v>
      </c>
      <c r="AB13" s="16" t="n">
        <v>201.89</v>
      </c>
      <c r="AC13" s="16" t="n">
        <v>201.89</v>
      </c>
      <c r="AD13" s="16" t="n">
        <v>201.89</v>
      </c>
      <c r="AE13" s="11" t="n"/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P15" s="9" t="n"/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P16" s="9" t="n"/>
      <c r="T16" s="18" t="n">
        <v>14200</v>
      </c>
      <c r="U16" s="9" t="n"/>
      <c r="V16" s="18" t="n">
        <v>20850</v>
      </c>
      <c r="W16" s="19" t="n">
        <v>16190</v>
      </c>
      <c r="X16" s="20" t="n">
        <v>14140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P17" s="9" t="n"/>
      <c r="T17" s="18" t="n">
        <v>10200</v>
      </c>
      <c r="U17" s="9" t="n"/>
      <c r="V17" s="18" t="n">
        <v>7350</v>
      </c>
      <c r="W17" s="19" t="n">
        <v>6390</v>
      </c>
      <c r="X17" s="20" t="n">
        <v>4020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P18" s="9" t="n"/>
      <c r="T18" s="18" t="n">
        <v>11930</v>
      </c>
      <c r="U18" s="9" t="n"/>
      <c r="V18" s="18" t="n">
        <v>13342.4</v>
      </c>
      <c r="W18" s="19" t="n">
        <v>11960.3</v>
      </c>
      <c r="X18" s="20" t="n">
        <v>8267.299999999999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-2.7e-05</v>
      </c>
      <c r="Y21" s="24" t="n">
        <v>8e-06</v>
      </c>
      <c r="Z21" s="25" t="n"/>
      <c r="AA21" s="24" t="n">
        <v>1.6e-05</v>
      </c>
      <c r="AB21" s="24" t="n">
        <v>1.5e-05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4" t="n">
        <v>0.062051</v>
      </c>
      <c r="Y22" s="24" t="n">
        <v>0.06202</v>
      </c>
      <c r="Z22" s="25">
        <f>IFERROR(subQ!Z8/subQ!Z5,"")</f>
        <v/>
      </c>
      <c r="AA22" s="24" t="n">
        <v>0.062052</v>
      </c>
      <c r="AB22" s="24" t="n">
        <v>0.062042</v>
      </c>
      <c r="AC22" s="24" t="n">
        <v>0.062051</v>
      </c>
      <c r="AD22" s="24" t="n">
        <v>0.06202</v>
      </c>
      <c r="AE22" s="25">
        <f>IFERROR(subQ!AE8/subQ!AE5,"")</f>
        <v/>
      </c>
      <c r="AF22" s="24" t="n">
        <v>0.062052</v>
      </c>
      <c r="AG22" s="24" t="n">
        <v>0.062042</v>
      </c>
      <c r="AH22" s="24" t="n">
        <v>0.062051</v>
      </c>
      <c r="AI22" s="24" t="n">
        <v>0.06202</v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0.089402</v>
      </c>
      <c r="Y23" s="24" t="n">
        <v>0.089376</v>
      </c>
      <c r="Z23" s="25">
        <f>IFERROR(subQ!Z9/subQ!Z5,"")</f>
        <v/>
      </c>
      <c r="AA23" s="24" t="n">
        <v>0.089381</v>
      </c>
      <c r="AB23" s="24" t="n">
        <v>0.089402</v>
      </c>
      <c r="AC23" s="24" t="n">
        <v>0.089402</v>
      </c>
      <c r="AD23" s="24" t="n">
        <v>0.089376</v>
      </c>
      <c r="AE23" s="25">
        <f>IFERROR(subQ!AE9/subQ!AE5,"")</f>
        <v/>
      </c>
      <c r="AF23" s="24" t="n">
        <v>0.089381</v>
      </c>
      <c r="AG23" s="24" t="n">
        <v>0.089402</v>
      </c>
      <c r="AH23" s="24" t="n">
        <v>0.089402</v>
      </c>
      <c r="AI23" s="24" t="n">
        <v>0.089376</v>
      </c>
      <c r="AJ23" s="25">
        <f>IFERROR(subQ!AJ9/subQ!AJ5,"")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3">
        <f>IFERROR(subQ!W36/subQ!R36-1,"")</f>
        <v/>
      </c>
      <c r="X24" s="24" t="n">
        <v>0.696395</v>
      </c>
      <c r="Y24" s="24" t="n">
        <v>-0.017582</v>
      </c>
      <c r="Z24" s="25" t="n"/>
      <c r="AA24" s="24" t="n">
        <v>0.018223</v>
      </c>
      <c r="AB24" s="24" t="n">
        <v>-0.23655</v>
      </c>
      <c r="AC24" s="24" t="n">
        <v>0</v>
      </c>
      <c r="AD24" s="24" t="n">
        <v>0</v>
      </c>
      <c r="AE24" s="25" t="n"/>
      <c r="AF24" s="24" t="n">
        <v>0</v>
      </c>
      <c r="AG24" s="24" t="n">
        <v>0</v>
      </c>
      <c r="AH24" s="24" t="n">
        <v>0</v>
      </c>
      <c r="AI24" s="24" t="n">
        <v>0</v>
      </c>
      <c r="AJ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8">
        <f>subQ!W11</f>
        <v/>
      </c>
      <c r="X25" s="29" t="n">
        <v>1.01</v>
      </c>
      <c r="Y25" s="29" t="n">
        <v>1.05</v>
      </c>
      <c r="Z25" s="30">
        <f>subQ!Z11</f>
        <v/>
      </c>
      <c r="AA25" s="29" t="n">
        <v>1.09</v>
      </c>
      <c r="AB25" s="29" t="n">
        <v>1.13</v>
      </c>
      <c r="AC25" s="29" t="n">
        <v>1.18</v>
      </c>
      <c r="AD25" s="29" t="n">
        <v>1.23</v>
      </c>
      <c r="AE25" s="30">
        <f>subQ!AE11</f>
        <v/>
      </c>
      <c r="AF25" s="29" t="n">
        <v>1.26</v>
      </c>
      <c r="AG25" s="29" t="n">
        <v>1.31</v>
      </c>
      <c r="AH25" s="29" t="n">
        <v>1.36</v>
      </c>
      <c r="AI25" s="29" t="n">
        <v>1.4</v>
      </c>
      <c r="AJ25" s="30">
        <f>subQ!AJ11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8">
        <f>subQ!W12</f>
        <v/>
      </c>
      <c r="X26" s="29" t="n">
        <v>0</v>
      </c>
      <c r="Y26" s="29" t="n">
        <v>0</v>
      </c>
      <c r="Z26" s="30">
        <f>subQ!Z12</f>
        <v/>
      </c>
      <c r="AA26" s="29" t="n">
        <v>0</v>
      </c>
      <c r="AB26" s="29" t="n">
        <v>0</v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3">
        <f>IFERROR(subQ!W14/subQ!W13,"")</f>
        <v/>
      </c>
      <c r="X27" s="24" t="n">
        <v>0.050299</v>
      </c>
      <c r="Y27" s="24" t="n">
        <v>0.050098</v>
      </c>
      <c r="Z27" s="25">
        <f>IFERROR(subQ!Z14/subQ!Z13,"")</f>
        <v/>
      </c>
      <c r="AA27" s="24" t="n">
        <v>0.049971</v>
      </c>
      <c r="AB27" s="24" t="n">
        <v>0.049929</v>
      </c>
      <c r="AC27" s="24" t="n">
        <v>0.049793</v>
      </c>
      <c r="AD27" s="24" t="n">
        <v>0.050193</v>
      </c>
      <c r="AE27" s="25">
        <f>IFERROR(subQ!AE14/subQ!AE13,"")</f>
        <v/>
      </c>
      <c r="AF27" s="24" t="n">
        <v>0.050028</v>
      </c>
      <c r="AG27" s="24" t="n">
        <v>0.049976</v>
      </c>
      <c r="AH27" s="24" t="n">
        <v>0.049853</v>
      </c>
      <c r="AI27" s="24" t="n">
        <v>0.050254</v>
      </c>
      <c r="AJ27" s="25">
        <f>IFERROR(subQ!AJ14/subQ!AJ13,"")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3">
        <f>IFERROR(subQ!W16/subQ!W15,"")</f>
        <v/>
      </c>
      <c r="X28" s="24" t="n">
        <v>1</v>
      </c>
      <c r="Y28" s="24" t="n">
        <v>1</v>
      </c>
      <c r="Z28" s="25">
        <f>IFERROR(subQ!Z16/subQ!Z15,"")</f>
        <v/>
      </c>
      <c r="AA28" s="24" t="n">
        <v>1</v>
      </c>
      <c r="AB28" s="24" t="n">
        <v>1</v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3">
        <f>IFERROR(subQ!W18/subQ!V18-1,"")</f>
        <v/>
      </c>
      <c r="X29" s="24" t="n">
        <v>-2e-06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8">
        <f>IFERROR(subQ!V19+subQ!W15-subQ!W19,"")</f>
        <v/>
      </c>
      <c r="X30" s="29" t="n">
        <v>0.0062</v>
      </c>
      <c r="Y30" s="29" t="n">
        <v>-0</v>
      </c>
      <c r="Z30" s="30" t="n"/>
      <c r="AA30" s="29" t="n">
        <v>0</v>
      </c>
      <c r="AB30" s="29" t="n">
        <v>0</v>
      </c>
      <c r="AC30" s="29" t="n">
        <v>0</v>
      </c>
      <c r="AD30" s="29" t="n">
        <v>0</v>
      </c>
      <c r="AE30" s="30" t="n"/>
      <c r="AF30" s="29" t="n">
        <v>0</v>
      </c>
      <c r="AG30" s="29" t="n">
        <v>0</v>
      </c>
      <c r="AH30" s="29" t="n">
        <v>0.01</v>
      </c>
      <c r="AI30" s="29" t="n">
        <v>0</v>
      </c>
      <c r="AJ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8">
        <f>IFERROR(subQ!V20+subQ!W16-subQ!W20,"")</f>
        <v/>
      </c>
      <c r="X31" s="29" t="n">
        <v>0.0062</v>
      </c>
      <c r="Y31" s="29" t="n">
        <v>-0</v>
      </c>
      <c r="Z31" s="30" t="n"/>
      <c r="AA31" s="29" t="n">
        <v>0</v>
      </c>
      <c r="AB31" s="29" t="n">
        <v>0</v>
      </c>
      <c r="AC31" s="29" t="n">
        <v>0</v>
      </c>
      <c r="AD31" s="29" t="n">
        <v>0</v>
      </c>
      <c r="AE31" s="30" t="n"/>
      <c r="AF31" s="29" t="n">
        <v>0</v>
      </c>
      <c r="AG31" s="29" t="n">
        <v>0</v>
      </c>
      <c r="AH31" s="29" t="n">
        <v>0.01</v>
      </c>
      <c r="AI31" s="29" t="n">
        <v>0</v>
      </c>
      <c r="AJ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3">
        <f>IFERROR(subQ!W21/subQ!V21-1,"")</f>
        <v/>
      </c>
      <c r="X32" s="24" t="n">
        <v>-0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3">
        <f>IFERROR(subQ!W22/subQ!V22-1,"")</f>
        <v/>
      </c>
      <c r="X33" s="24" t="n">
        <v>-0.03344</v>
      </c>
      <c r="Y33" s="24" t="n">
        <v>-0.031846</v>
      </c>
      <c r="Z33" s="25" t="n"/>
      <c r="AA33" s="24" t="n">
        <v>-0.037265</v>
      </c>
      <c r="AB33" s="24" t="n">
        <v>-0.046758</v>
      </c>
      <c r="AC33" s="24" t="n">
        <v>-0.039354</v>
      </c>
      <c r="AD33" s="24" t="n">
        <v>-0.037746</v>
      </c>
      <c r="AE33" s="25" t="n"/>
      <c r="AF33" s="24" t="n">
        <v>-0.044352</v>
      </c>
      <c r="AG33" s="24" t="n">
        <v>-0.055999</v>
      </c>
      <c r="AH33" s="24" t="n">
        <v>-0.047692</v>
      </c>
      <c r="AI33" s="24" t="n">
        <v>-0.046154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3">
        <f>IFERROR(subQ!W23/subQ!V23-1,"")</f>
        <v/>
      </c>
      <c r="X34" s="24" t="n">
        <v>0.040735</v>
      </c>
      <c r="Y34" s="24" t="n">
        <v>0.03602</v>
      </c>
      <c r="Z34" s="25" t="n"/>
      <c r="AA34" s="24" t="n">
        <v>0.039388</v>
      </c>
      <c r="AB34" s="24" t="n">
        <v>0.045776</v>
      </c>
      <c r="AC34" s="24" t="n">
        <v>0.035119</v>
      </c>
      <c r="AD34" s="24" t="n">
        <v>0.031239</v>
      </c>
      <c r="AE34" s="25" t="n"/>
      <c r="AF34" s="24" t="n">
        <v>0.034295</v>
      </c>
      <c r="AG34" s="24" t="n">
        <v>0.039984</v>
      </c>
      <c r="AH34" s="24" t="n">
        <v>0.030891</v>
      </c>
      <c r="AI34" s="24" t="n">
        <v>0.027633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3">
        <f>IFERROR(subQ!W24/subQ!V24-1,"")</f>
        <v/>
      </c>
      <c r="X35" s="31" t="n"/>
      <c r="Y35" s="31" t="n"/>
      <c r="Z35" s="25" t="n"/>
      <c r="AA35" s="31" t="n"/>
      <c r="AB35" s="31" t="n"/>
      <c r="AC35" s="31" t="n"/>
      <c r="AD35" s="31" t="n"/>
      <c r="AE35" s="25" t="n"/>
      <c r="AF35" s="31" t="n"/>
      <c r="AG35" s="31" t="n"/>
      <c r="AH35" s="31" t="n"/>
      <c r="AI35" s="31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3">
        <f>IFERROR(subQ!W25/subQ!R25-1,"")</f>
        <v/>
      </c>
      <c r="X36" s="31" t="n"/>
      <c r="Y36" s="31" t="n"/>
      <c r="Z36" s="25" t="n"/>
      <c r="AA36" s="31" t="n"/>
      <c r="AB36" s="31" t="n"/>
      <c r="AC36" s="31" t="n"/>
      <c r="AD36" s="31" t="n"/>
      <c r="AE36" s="25" t="n"/>
      <c r="AF36" s="31" t="n"/>
      <c r="AG36" s="31" t="n"/>
      <c r="AH36" s="31" t="n"/>
      <c r="AI36" s="31" t="n"/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3">
        <f>IFERROR(subQ!W26/subQ!R26-1,"")</f>
        <v/>
      </c>
      <c r="X37" s="31" t="n"/>
      <c r="Y37" s="31" t="n"/>
      <c r="Z37" s="25" t="n"/>
      <c r="AA37" s="31" t="n"/>
      <c r="AB37" s="31" t="n"/>
      <c r="AC37" s="31" t="n"/>
      <c r="AD37" s="31" t="n"/>
      <c r="AE37" s="25" t="n"/>
      <c r="AF37" s="31" t="n"/>
      <c r="AG37" s="31" t="n"/>
      <c r="AH37" s="31" t="n"/>
      <c r="AI37" s="31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3">
        <f>IFERROR(subQ!W27/subQ!V27-1,"")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3">
        <f>IFERROR(subQ!W30/subQ!R30-1,"")</f>
        <v/>
      </c>
      <c r="X39" s="31" t="n"/>
      <c r="Y39" s="31" t="n"/>
      <c r="Z39" s="25" t="n"/>
      <c r="AA39" s="31" t="n"/>
      <c r="AB39" s="31" t="n"/>
      <c r="AC39" s="31" t="n"/>
      <c r="AD39" s="31" t="n"/>
      <c r="AE39" s="25" t="n"/>
      <c r="AF39" s="31" t="n"/>
      <c r="AG39" s="31" t="n"/>
      <c r="AH39" s="31" t="n"/>
      <c r="AI39" s="31" t="n"/>
      <c r="AJ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3">
        <f>IFERROR(subQ!W31/subQ!R31-1,"")</f>
        <v/>
      </c>
      <c r="X40" s="31" t="n"/>
      <c r="Y40" s="31" t="n"/>
      <c r="Z40" s="25" t="n"/>
      <c r="AA40" s="24" t="n">
        <v>-0.557759</v>
      </c>
      <c r="AB40" s="24" t="n">
        <v>-0.648166</v>
      </c>
      <c r="AC40" s="24" t="n">
        <v>-0.513891</v>
      </c>
      <c r="AD40" s="24" t="n">
        <v>-0.164135</v>
      </c>
      <c r="AE40" s="25" t="n"/>
      <c r="AF40" s="24" t="n">
        <v>-0.113677</v>
      </c>
      <c r="AG40" s="24" t="n">
        <v>-0.009545</v>
      </c>
      <c r="AH40" s="24" t="n">
        <v>-0.009819</v>
      </c>
      <c r="AI40" s="24" t="n">
        <v>-0.010096</v>
      </c>
      <c r="AJ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3">
        <f>IFERROR(subQ!W32/subQ!R32-1,"")</f>
        <v/>
      </c>
      <c r="X41" s="31" t="n"/>
      <c r="Y41" s="24" t="n">
        <v>-0.136364</v>
      </c>
      <c r="Z41" s="25" t="n"/>
      <c r="AA41" s="24" t="n">
        <v>-0.228571</v>
      </c>
      <c r="AB41" s="24" t="n">
        <v>-0.087786</v>
      </c>
      <c r="AC41" s="24" t="n">
        <v>-0.06</v>
      </c>
      <c r="AD41" s="24" t="n">
        <v>-0.060729</v>
      </c>
      <c r="AE41" s="25" t="n"/>
      <c r="AF41" s="24" t="n">
        <v>-0.057613</v>
      </c>
      <c r="AG41" s="24" t="n">
        <v>-0.058577</v>
      </c>
      <c r="AH41" s="24" t="n">
        <v>-0.055319</v>
      </c>
      <c r="AI41" s="24" t="n">
        <v>-0.056034</v>
      </c>
      <c r="AJ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3">
        <f>IFERROR(subQ!W33/subQ!W5,"")</f>
        <v/>
      </c>
      <c r="X42" s="24" t="n">
        <v>1</v>
      </c>
      <c r="Y42" s="24" t="n">
        <v>1</v>
      </c>
      <c r="Z42" s="25">
        <f>IFERROR(subQ!Z33/subQ!Z5,"")</f>
        <v/>
      </c>
      <c r="AA42" s="24" t="n">
        <v>1</v>
      </c>
      <c r="AB42" s="24" t="n">
        <v>1</v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3">
        <f>IFERROR(subQ!W34/subQ!W33,"")</f>
        <v/>
      </c>
      <c r="X43" s="24" t="n">
        <v>0.089402</v>
      </c>
      <c r="Y43" s="24" t="n">
        <v>0.089376</v>
      </c>
      <c r="Z43" s="25">
        <f>IFERROR(subQ!Z34/subQ!Z33,"")</f>
        <v/>
      </c>
      <c r="AA43" s="24" t="n">
        <v>0.089381</v>
      </c>
      <c r="AB43" s="24" t="n">
        <v>0.089402</v>
      </c>
      <c r="AC43" s="24" t="n">
        <v>0.089402</v>
      </c>
      <c r="AD43" s="24" t="n">
        <v>0.089376</v>
      </c>
      <c r="AE43" s="25">
        <f>IFERROR(subQ!AE34/subQ!AE33,"")</f>
        <v/>
      </c>
      <c r="AF43" s="24" t="n">
        <v>0.089381</v>
      </c>
      <c r="AG43" s="24" t="n">
        <v>0.089402</v>
      </c>
      <c r="AH43" s="24" t="n">
        <v>0.089402</v>
      </c>
      <c r="AI43" s="24" t="n">
        <v>0.089376</v>
      </c>
      <c r="AJ43" s="25">
        <f>IFERROR(subQ!AJ34/subQ!AJ33,"")</f>
        <v/>
      </c>
    </row>
    <row r="44"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11570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0.062</v>
      </c>
      <c r="E54" s="2" t="inlineStr">
        <is>
          <t>판관비율 가정(참고)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4" t="n">
        <v>23158.43</v>
      </c>
      <c r="J5" s="18" t="n">
        <v>27225.45</v>
      </c>
      <c r="K5" s="34" t="n">
        <v>27225.45</v>
      </c>
      <c r="O5" s="18" t="n">
        <v>27316.07</v>
      </c>
      <c r="P5" s="34" t="n">
        <v>27316.07</v>
      </c>
      <c r="R5" s="18" t="n">
        <v>33388.3</v>
      </c>
      <c r="S5" s="18" t="n">
        <v>29688.02</v>
      </c>
      <c r="T5" s="18" t="n">
        <v>42752.44</v>
      </c>
      <c r="U5" s="34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4" t="n">
        <v>1005.99</v>
      </c>
      <c r="J6" s="18" t="n">
        <v>133.06</v>
      </c>
      <c r="K6" s="34" t="n">
        <v>133.06</v>
      </c>
      <c r="O6" s="18" t="n">
        <v>1621.95</v>
      </c>
      <c r="P6" s="34" t="n">
        <v>1621.95</v>
      </c>
      <c r="R6" s="18" t="n">
        <v>3008.14</v>
      </c>
      <c r="S6" s="18" t="n">
        <v>1020.53</v>
      </c>
      <c r="T6" s="18" t="n">
        <v>11601.86</v>
      </c>
      <c r="U6" s="34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4" t="n">
        <v>10854.25</v>
      </c>
      <c r="J7" s="18" t="n">
        <v>12548.61</v>
      </c>
      <c r="K7" s="34" t="n">
        <v>12548.61</v>
      </c>
      <c r="O7" s="18" t="n">
        <v>12175.07</v>
      </c>
      <c r="P7" s="34" t="n">
        <v>12175.07</v>
      </c>
      <c r="R7" s="18" t="n">
        <v>14852.83</v>
      </c>
      <c r="S7" s="18" t="n">
        <v>15820.87</v>
      </c>
      <c r="T7" s="18" t="n">
        <v>19040.47</v>
      </c>
      <c r="U7" s="34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4" t="n">
        <v>25.72</v>
      </c>
      <c r="J8" s="18" t="n">
        <v>21.78</v>
      </c>
      <c r="K8" s="34" t="n">
        <v>21.78</v>
      </c>
      <c r="O8" s="18" t="n">
        <v>120.19</v>
      </c>
      <c r="P8" s="34" t="n">
        <v>120.19</v>
      </c>
      <c r="R8" s="18" t="n">
        <v>8.65</v>
      </c>
      <c r="S8" s="18" t="n">
        <v>108.7</v>
      </c>
      <c r="T8" s="18" t="n">
        <v>54.8</v>
      </c>
      <c r="U8" s="34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4" t="n">
        <v>0.05</v>
      </c>
      <c r="J9" s="18" t="n">
        <v>0.09</v>
      </c>
      <c r="K9" s="34" t="n">
        <v>0.09</v>
      </c>
      <c r="O9" s="18" t="n">
        <v>49.11</v>
      </c>
      <c r="P9" s="34" t="n">
        <v>49.11</v>
      </c>
      <c r="R9" s="18" t="n">
        <v>4.18</v>
      </c>
      <c r="S9" s="18" t="n">
        <v>26.14</v>
      </c>
      <c r="T9" s="18" t="n">
        <v>54.46</v>
      </c>
      <c r="U9" s="34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4" t="n">
        <v>126342.63</v>
      </c>
      <c r="J10" s="18" t="n">
        <v>124960.87</v>
      </c>
      <c r="K10" s="34" t="n">
        <v>124960.87</v>
      </c>
      <c r="O10" s="18" t="n">
        <v>145431.42</v>
      </c>
      <c r="P10" s="34" t="n">
        <v>145431.42</v>
      </c>
      <c r="R10" s="18" t="n">
        <v>146536.67</v>
      </c>
      <c r="S10" s="18" t="n">
        <v>146531.1</v>
      </c>
      <c r="T10" s="18" t="n">
        <v>146022.99</v>
      </c>
      <c r="U10" s="34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4" t="n">
        <v>5.61</v>
      </c>
      <c r="J11" s="18" t="n">
        <v>5.61</v>
      </c>
      <c r="K11" s="34" t="n">
        <v>5.61</v>
      </c>
      <c r="O11" s="18" t="n">
        <v>5.61</v>
      </c>
      <c r="P11" s="34" t="n">
        <v>5.61</v>
      </c>
      <c r="R11" s="18" t="n">
        <v>5.61</v>
      </c>
      <c r="S11" s="18" t="n">
        <v>5.61</v>
      </c>
      <c r="T11" s="18" t="n">
        <v>5.61</v>
      </c>
      <c r="U11" s="34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4" t="n">
        <v>5.61</v>
      </c>
      <c r="J12" s="18" t="n">
        <v>5.61</v>
      </c>
      <c r="K12" s="34" t="n">
        <v>5.61</v>
      </c>
      <c r="O12" s="18" t="n">
        <v>5.61</v>
      </c>
      <c r="P12" s="34" t="n">
        <v>5.61</v>
      </c>
      <c r="R12" s="18" t="n">
        <v>5.61</v>
      </c>
      <c r="S12" s="18" t="n">
        <v>5.61</v>
      </c>
      <c r="T12" s="18" t="n">
        <v>5.61</v>
      </c>
      <c r="U12" s="34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4" t="n">
        <v>7.56</v>
      </c>
      <c r="J13" s="18" t="n">
        <v>7.56</v>
      </c>
      <c r="K13" s="34" t="n">
        <v>7.56</v>
      </c>
      <c r="O13" s="18" t="n">
        <v>7.56</v>
      </c>
      <c r="P13" s="34" t="n">
        <v>7.56</v>
      </c>
      <c r="R13" s="18" t="n">
        <v>7.56</v>
      </c>
      <c r="S13" s="18" t="n">
        <v>7.56</v>
      </c>
      <c r="T13" s="18" t="n">
        <v>7.56</v>
      </c>
      <c r="U13" s="34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4" t="n">
        <v>126227.27</v>
      </c>
      <c r="J14" s="18" t="n">
        <v>124864.03</v>
      </c>
      <c r="K14" s="34" t="n">
        <v>124864.03</v>
      </c>
      <c r="O14" s="18" t="n">
        <v>145244.95</v>
      </c>
      <c r="P14" s="34" t="n">
        <v>145244.95</v>
      </c>
      <c r="R14" s="18" t="n">
        <v>146354.77</v>
      </c>
      <c r="S14" s="18" t="n">
        <v>146351.41</v>
      </c>
      <c r="T14" s="18" t="n">
        <v>145912.32</v>
      </c>
      <c r="U14" s="34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4" t="n">
        <v>149501.06</v>
      </c>
      <c r="J15" s="18" t="n">
        <v>152186.32</v>
      </c>
      <c r="K15" s="34" t="n">
        <v>152186.32</v>
      </c>
      <c r="O15" s="18" t="n">
        <v>172747.49</v>
      </c>
      <c r="P15" s="34" t="n">
        <v>172747.49</v>
      </c>
      <c r="R15" s="18" t="n">
        <v>179924.97</v>
      </c>
      <c r="S15" s="18" t="n">
        <v>176219.12</v>
      </c>
      <c r="T15" s="18" t="n">
        <v>188775.42</v>
      </c>
      <c r="U15" s="34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4" t="n">
        <v>60973.31</v>
      </c>
      <c r="J16" s="18" t="n">
        <v>60338.96</v>
      </c>
      <c r="K16" s="34" t="n">
        <v>60338.96</v>
      </c>
      <c r="O16" s="18" t="n">
        <v>49938.53</v>
      </c>
      <c r="P16" s="34" t="n">
        <v>49938.53</v>
      </c>
      <c r="R16" s="18" t="n">
        <v>58973.52</v>
      </c>
      <c r="S16" s="18" t="n">
        <v>39463.34</v>
      </c>
      <c r="T16" s="18" t="n">
        <v>41944.08</v>
      </c>
      <c r="U16" s="34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4" t="n">
        <v>68.66</v>
      </c>
      <c r="J17" s="18" t="n">
        <v>146.72</v>
      </c>
      <c r="K17" s="34" t="n">
        <v>146.72</v>
      </c>
      <c r="O17" s="18" t="n">
        <v>144.01</v>
      </c>
      <c r="P17" s="34" t="n">
        <v>144.01</v>
      </c>
      <c r="R17" s="18" t="n">
        <v>84</v>
      </c>
      <c r="S17" s="18" t="n">
        <v>131.47</v>
      </c>
      <c r="T17" s="18" t="n">
        <v>155.21</v>
      </c>
      <c r="U17" s="34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4" t="n">
        <v>33.59</v>
      </c>
      <c r="J18" s="18" t="n">
        <v>33.59</v>
      </c>
      <c r="K18" s="34" t="n">
        <v>33.59</v>
      </c>
      <c r="O18" s="18" t="n">
        <v>34.88</v>
      </c>
      <c r="P18" s="34" t="n">
        <v>34.88</v>
      </c>
      <c r="R18" s="18" t="n">
        <v>40.09</v>
      </c>
      <c r="S18" s="18" t="n">
        <v>47.43</v>
      </c>
      <c r="T18" s="18" t="n">
        <v>13.85</v>
      </c>
      <c r="U18" s="34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4" t="n">
        <v>50765.91</v>
      </c>
      <c r="J19" s="18" t="n">
        <v>51493.4</v>
      </c>
      <c r="K19" s="34" t="n">
        <v>51493.4</v>
      </c>
      <c r="P19" s="9" t="n"/>
      <c r="U19" s="9" t="n"/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4" t="n">
        <v>50765.91</v>
      </c>
      <c r="J20" s="18" t="n">
        <v>51493.4</v>
      </c>
      <c r="K20" s="34" t="n">
        <v>51493.4</v>
      </c>
      <c r="P20" s="9" t="n"/>
      <c r="U20" s="9" t="n"/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4" t="n">
        <v>3.43</v>
      </c>
      <c r="J21" s="18" t="n">
        <v>6.55</v>
      </c>
      <c r="K21" s="34" t="n">
        <v>6.55</v>
      </c>
      <c r="O21" s="18" t="n">
        <v>7.29</v>
      </c>
      <c r="P21" s="34" t="n">
        <v>7.29</v>
      </c>
      <c r="R21" s="18" t="n">
        <v>7.69</v>
      </c>
      <c r="S21" s="18" t="n">
        <v>8.24</v>
      </c>
      <c r="T21" s="18" t="n">
        <v>11.26</v>
      </c>
      <c r="U21" s="34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4" t="n">
        <v>3.43</v>
      </c>
      <c r="J22" s="18" t="n">
        <v>6.55</v>
      </c>
      <c r="K22" s="34" t="n">
        <v>6.55</v>
      </c>
      <c r="O22" s="18" t="n">
        <v>7.29</v>
      </c>
      <c r="P22" s="34" t="n">
        <v>7.29</v>
      </c>
      <c r="R22" s="18" t="n">
        <v>7.69</v>
      </c>
      <c r="S22" s="18" t="n">
        <v>8.24</v>
      </c>
      <c r="T22" s="18" t="n">
        <v>11.26</v>
      </c>
      <c r="U22" s="34" t="n">
        <v>11.26</v>
      </c>
      <c r="V22" s="18" t="n">
        <v>9.41</v>
      </c>
      <c r="W22" s="19" t="n">
        <v>7.51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4" t="n">
        <v>3.43</v>
      </c>
      <c r="J23" s="18" t="n">
        <v>6.55</v>
      </c>
      <c r="K23" s="34" t="n">
        <v>6.55</v>
      </c>
      <c r="O23" s="18" t="n">
        <v>7.29</v>
      </c>
      <c r="P23" s="34" t="n">
        <v>7.29</v>
      </c>
      <c r="R23" s="18" t="n">
        <v>7.69</v>
      </c>
      <c r="S23" s="18" t="n">
        <v>8.24</v>
      </c>
      <c r="T23" s="18" t="n">
        <v>11.26</v>
      </c>
      <c r="U23" s="34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4" t="n">
        <v>42.12</v>
      </c>
      <c r="J24" s="18" t="n">
        <v>37.29</v>
      </c>
      <c r="K24" s="34" t="n">
        <v>37.29</v>
      </c>
      <c r="O24" s="18" t="n">
        <v>73.55</v>
      </c>
      <c r="P24" s="34" t="n">
        <v>73.55</v>
      </c>
      <c r="R24" s="18" t="n">
        <v>75.98999999999999</v>
      </c>
      <c r="S24" s="18" t="n">
        <v>73.36</v>
      </c>
      <c r="T24" s="18" t="n">
        <v>57.06</v>
      </c>
      <c r="U24" s="34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4" t="n">
        <v>37874.71</v>
      </c>
      <c r="J25" s="18" t="n">
        <v>34908.28</v>
      </c>
      <c r="K25" s="34" t="n">
        <v>34908.28</v>
      </c>
      <c r="O25" s="18" t="n">
        <v>48988.05</v>
      </c>
      <c r="P25" s="34" t="n">
        <v>48988.05</v>
      </c>
      <c r="R25" s="18" t="n">
        <v>39459.86</v>
      </c>
      <c r="S25" s="18" t="n">
        <v>54023.2</v>
      </c>
      <c r="T25" s="18" t="n">
        <v>54127.6</v>
      </c>
      <c r="U25" s="34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4" t="n">
        <v>643.77</v>
      </c>
      <c r="J26" s="18" t="n">
        <v>829.72</v>
      </c>
      <c r="K26" s="34" t="n">
        <v>829.72</v>
      </c>
      <c r="O26" s="18" t="n">
        <v>1878.66</v>
      </c>
      <c r="P26" s="34" t="n">
        <v>1878.66</v>
      </c>
      <c r="R26" s="18" t="n">
        <v>2391.41</v>
      </c>
      <c r="S26" s="18" t="n">
        <v>943.77</v>
      </c>
      <c r="T26" s="18" t="n">
        <v>255.31</v>
      </c>
      <c r="U26" s="34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이연법인세부채</t>
        </is>
      </c>
      <c r="E27" s="18" t="n">
        <v>20730.94</v>
      </c>
      <c r="F27" s="34" t="n">
        <v>20730.94</v>
      </c>
      <c r="J27" s="18" t="n">
        <v>21264.93</v>
      </c>
      <c r="K27" s="34" t="n">
        <v>21264.93</v>
      </c>
      <c r="O27" s="18" t="n">
        <v>25037.14</v>
      </c>
      <c r="P27" s="34" t="n">
        <v>25037.14</v>
      </c>
      <c r="R27" s="18" t="n">
        <v>25037.14</v>
      </c>
      <c r="S27" s="18" t="n">
        <v>25037.14</v>
      </c>
      <c r="T27" s="18" t="n">
        <v>24447.99</v>
      </c>
      <c r="U27" s="34" t="n">
        <v>24447.99</v>
      </c>
      <c r="V27" s="18" t="n">
        <v>24447.99</v>
      </c>
      <c r="W27" s="19" t="n">
        <v>25992.78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부채총계</t>
        </is>
      </c>
      <c r="E28" s="18" t="n">
        <v>98848.02</v>
      </c>
      <c r="F28" s="34" t="n">
        <v>98848.02</v>
      </c>
      <c r="J28" s="18" t="n">
        <v>95247.24000000001</v>
      </c>
      <c r="K28" s="34" t="n">
        <v>95247.24000000001</v>
      </c>
      <c r="O28" s="18" t="n">
        <v>98926.58</v>
      </c>
      <c r="P28" s="34" t="n">
        <v>98926.58</v>
      </c>
      <c r="R28" s="18" t="n">
        <v>98433.38</v>
      </c>
      <c r="S28" s="18" t="n">
        <v>93486.53999999999</v>
      </c>
      <c r="T28" s="18" t="n">
        <v>96071.67999999999</v>
      </c>
      <c r="U28" s="34" t="n">
        <v>96071.67999999999</v>
      </c>
      <c r="V28" s="18" t="n">
        <v>108595.29</v>
      </c>
      <c r="W28" s="19" t="n">
        <v>128822.21</v>
      </c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자본금</t>
        </is>
      </c>
      <c r="E29" s="18" t="n">
        <v>15799.94</v>
      </c>
      <c r="F29" s="34" t="n">
        <v>15799.94</v>
      </c>
      <c r="J29" s="18" t="n">
        <v>17799.94</v>
      </c>
      <c r="K29" s="34" t="n">
        <v>17799.94</v>
      </c>
      <c r="O29" s="18" t="n">
        <v>17799.94</v>
      </c>
      <c r="P29" s="34" t="n">
        <v>17799.94</v>
      </c>
      <c r="R29" s="18" t="n">
        <v>19766.61</v>
      </c>
      <c r="S29" s="18" t="n">
        <v>19766.61</v>
      </c>
      <c r="T29" s="18" t="n">
        <v>22192.01</v>
      </c>
      <c r="U29" s="34" t="n">
        <v>22192.01</v>
      </c>
      <c r="V29" s="18" t="n">
        <v>22192.01</v>
      </c>
      <c r="W29" s="19" t="n">
        <v>23051.58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자본잉여금</t>
        </is>
      </c>
      <c r="E30" s="18" t="n">
        <v>40735.37</v>
      </c>
      <c r="F30" s="34" t="n">
        <v>40735.37</v>
      </c>
      <c r="J30" s="18" t="n">
        <v>44724.06</v>
      </c>
      <c r="K30" s="34" t="n">
        <v>44724.06</v>
      </c>
      <c r="O30" s="18" t="n">
        <v>44724.06</v>
      </c>
      <c r="P30" s="34" t="n">
        <v>44724.06</v>
      </c>
      <c r="R30" s="18" t="n">
        <v>48644.81</v>
      </c>
      <c r="S30" s="18" t="n">
        <v>48644.81</v>
      </c>
      <c r="T30" s="18" t="n">
        <v>57621.88</v>
      </c>
      <c r="U30" s="34" t="n">
        <v>57621.88</v>
      </c>
      <c r="V30" s="18" t="n">
        <v>57621.88</v>
      </c>
      <c r="W30" s="19" t="n">
        <v>66654.60000000001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기타자본</t>
        </is>
      </c>
      <c r="E31" s="18" t="n">
        <v>-46522.61</v>
      </c>
      <c r="F31" s="34" t="n">
        <v>-46522.61</v>
      </c>
      <c r="J31" s="18" t="n">
        <v>-46522.61</v>
      </c>
      <c r="K31" s="34" t="n">
        <v>-46522.61</v>
      </c>
      <c r="O31" s="18" t="n">
        <v>-46522.61</v>
      </c>
      <c r="P31" s="34" t="n">
        <v>-46522.61</v>
      </c>
      <c r="R31" s="18" t="n">
        <v>-46522.73</v>
      </c>
      <c r="S31" s="18" t="n">
        <v>-46522.73</v>
      </c>
      <c r="T31" s="18" t="n">
        <v>-46542.06</v>
      </c>
      <c r="U31" s="34" t="n">
        <v>-46542.06</v>
      </c>
      <c r="V31" s="18" t="n">
        <v>-46542.06</v>
      </c>
      <c r="W31" s="19" t="n">
        <v>-46542.06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기타포괄이익누계액</t>
        </is>
      </c>
      <c r="E32" s="18" t="n">
        <v>23623.57</v>
      </c>
      <c r="F32" s="34" t="n">
        <v>23623.57</v>
      </c>
      <c r="J32" s="18" t="n">
        <v>23623.57</v>
      </c>
      <c r="K32" s="34" t="n">
        <v>23623.57</v>
      </c>
      <c r="O32" s="18" t="n">
        <v>37370.56</v>
      </c>
      <c r="P32" s="34" t="n">
        <v>37370.56</v>
      </c>
      <c r="R32" s="18" t="n">
        <v>37370.56</v>
      </c>
      <c r="S32" s="18" t="n">
        <v>37370.56</v>
      </c>
      <c r="T32" s="18" t="n">
        <v>36835.57</v>
      </c>
      <c r="U32" s="34" t="n">
        <v>36835.57</v>
      </c>
      <c r="V32" s="18" t="n">
        <v>36835.57</v>
      </c>
      <c r="W32" s="19" t="n">
        <v>36835.57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이익잉여금</t>
        </is>
      </c>
      <c r="E33" s="18" t="n">
        <v>17016.77</v>
      </c>
      <c r="F33" s="34" t="n">
        <v>17016.77</v>
      </c>
      <c r="J33" s="18" t="n">
        <v>17314.12</v>
      </c>
      <c r="K33" s="34" t="n">
        <v>17314.12</v>
      </c>
      <c r="O33" s="18" t="n">
        <v>20448.96</v>
      </c>
      <c r="P33" s="34" t="n">
        <v>20448.96</v>
      </c>
      <c r="R33" s="18" t="n">
        <v>22232.35</v>
      </c>
      <c r="S33" s="18" t="n">
        <v>23473.35</v>
      </c>
      <c r="T33" s="18" t="n">
        <v>22596.33</v>
      </c>
      <c r="U33" s="34" t="n">
        <v>22596.33</v>
      </c>
      <c r="V33" s="18" t="n">
        <v>23961</v>
      </c>
      <c r="W33" s="19" t="n">
        <v>25048.93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자본총계</t>
        </is>
      </c>
      <c r="E34" s="18" t="n">
        <v>50653.04</v>
      </c>
      <c r="F34" s="34" t="n">
        <v>50653.04</v>
      </c>
      <c r="J34" s="18" t="n">
        <v>56939.08</v>
      </c>
      <c r="K34" s="34" t="n">
        <v>56939.08</v>
      </c>
      <c r="O34" s="18" t="n">
        <v>73820.91</v>
      </c>
      <c r="P34" s="34" t="n">
        <v>73820.91</v>
      </c>
      <c r="R34" s="18" t="n">
        <v>81491.59</v>
      </c>
      <c r="S34" s="18" t="n">
        <v>82732.59</v>
      </c>
      <c r="T34" s="18" t="n">
        <v>92703.74000000001</v>
      </c>
      <c r="U34" s="34" t="n">
        <v>92703.74000000001</v>
      </c>
      <c r="V34" s="18" t="n">
        <v>94068.41</v>
      </c>
      <c r="W34" s="19" t="n">
        <v>105048.62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부채와자본총계</t>
        </is>
      </c>
      <c r="E35" s="18" t="n">
        <v>149501.06</v>
      </c>
      <c r="F35" s="34" t="n">
        <v>149501.06</v>
      </c>
      <c r="J35" s="18" t="n">
        <v>152186.32</v>
      </c>
      <c r="K35" s="34" t="n">
        <v>152186.32</v>
      </c>
      <c r="O35" s="18" t="n">
        <v>172747.49</v>
      </c>
      <c r="P35" s="34" t="n">
        <v>172747.49</v>
      </c>
      <c r="R35" s="18" t="n">
        <v>179924.97</v>
      </c>
      <c r="S35" s="18" t="n">
        <v>176219.12</v>
      </c>
      <c r="T35" s="18" t="n">
        <v>188775.42</v>
      </c>
      <c r="U35" s="34" t="n">
        <v>188775.42</v>
      </c>
      <c r="V35" s="18" t="n">
        <v>202663.69</v>
      </c>
      <c r="W35" s="19" t="n">
        <v>233870.84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지배주주지분</t>
        </is>
      </c>
      <c r="E36" s="18" t="n">
        <v>50653.04</v>
      </c>
      <c r="F36" s="34" t="n">
        <v>50653.04</v>
      </c>
      <c r="J36" s="18" t="n">
        <v>56939.08</v>
      </c>
      <c r="K36" s="34" t="n">
        <v>56939.08</v>
      </c>
      <c r="O36" s="18" t="n">
        <v>73820.91</v>
      </c>
      <c r="P36" s="34" t="n">
        <v>73820.91</v>
      </c>
      <c r="R36" s="18" t="n">
        <v>81491.59</v>
      </c>
      <c r="S36" s="18" t="n">
        <v>82732.59</v>
      </c>
      <c r="T36" s="18" t="n">
        <v>92703.74000000001</v>
      </c>
      <c r="U36" s="34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총차입금</t>
        </is>
      </c>
      <c r="E37" s="18" t="n">
        <v>50765.91</v>
      </c>
      <c r="F37" s="34" t="n">
        <v>50765.91</v>
      </c>
      <c r="J37" s="18" t="n">
        <v>64293.4</v>
      </c>
      <c r="K37" s="34" t="n">
        <v>64293.4</v>
      </c>
      <c r="P37" s="9" t="n"/>
      <c r="T37" s="18" t="n">
        <v>1366.27</v>
      </c>
      <c r="U37" s="34" t="n">
        <v>1366.27</v>
      </c>
      <c r="V37" s="18" t="n">
        <v>1392.4</v>
      </c>
      <c r="W37" s="19" t="n">
        <v>86372.02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순차입금</t>
        </is>
      </c>
      <c r="E38" s="18" t="n">
        <v>49759.92</v>
      </c>
      <c r="F38" s="34" t="n">
        <v>49759.92</v>
      </c>
      <c r="J38" s="18" t="n">
        <v>64160.34</v>
      </c>
      <c r="K38" s="34" t="n">
        <v>64160.34</v>
      </c>
      <c r="P38" s="9" t="n"/>
      <c r="T38" s="18" t="n">
        <v>-10235.59</v>
      </c>
      <c r="U38" s="34" t="n">
        <v>-10235.59</v>
      </c>
      <c r="V38" s="18" t="n">
        <v>-14836.64</v>
      </c>
      <c r="W38" s="19" t="n">
        <v>47431.11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이자발생자산</t>
        </is>
      </c>
      <c r="E39" s="18" t="n">
        <v>1011.6</v>
      </c>
      <c r="F39" s="34" t="n">
        <v>1011.6</v>
      </c>
      <c r="J39" s="18" t="n">
        <v>138.67</v>
      </c>
      <c r="K39" s="34" t="n">
        <v>138.67</v>
      </c>
      <c r="O39" s="18" t="n">
        <v>1627.56</v>
      </c>
      <c r="P39" s="34" t="n">
        <v>1627.56</v>
      </c>
      <c r="R39" s="18" t="n">
        <v>3013.75</v>
      </c>
      <c r="S39" s="18" t="n">
        <v>1026.14</v>
      </c>
      <c r="T39" s="18" t="n">
        <v>11607.47</v>
      </c>
      <c r="U39" s="34" t="n">
        <v>11607.47</v>
      </c>
      <c r="V39" s="18" t="n">
        <v>16234.65</v>
      </c>
      <c r="W39" s="19" t="n">
        <v>38946.52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장기차입금</t>
        </is>
      </c>
      <c r="F40" s="9" t="n"/>
      <c r="J40" s="18" t="n">
        <v>12800</v>
      </c>
      <c r="K40" s="34" t="n">
        <v>12800</v>
      </c>
      <c r="P40" s="9" t="n"/>
      <c r="U40" s="9" t="n"/>
      <c r="W40" s="19" t="n">
        <v>37000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무형자산</t>
        </is>
      </c>
      <c r="F41" s="9" t="n"/>
      <c r="K41" s="9" t="n"/>
      <c r="O41" s="18" t="n">
        <v>81.58</v>
      </c>
      <c r="P41" s="34" t="n">
        <v>81.58</v>
      </c>
      <c r="R41" s="18" t="n">
        <v>72.68000000000001</v>
      </c>
      <c r="S41" s="18" t="n">
        <v>68.23</v>
      </c>
      <c r="T41" s="18" t="n">
        <v>63.78</v>
      </c>
      <c r="U41" s="34" t="n">
        <v>63.78</v>
      </c>
      <c r="V41" s="18" t="n">
        <v>59.33</v>
      </c>
      <c r="W41" s="19" t="n">
        <v>66.48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당기법인세부채(미지급법인세)</t>
        </is>
      </c>
      <c r="F42" s="9" t="n"/>
      <c r="K42" s="9" t="n"/>
      <c r="O42" s="18" t="n">
        <v>6.25</v>
      </c>
      <c r="P42" s="34" t="n">
        <v>6.25</v>
      </c>
      <c r="R42" s="18" t="n">
        <v>0</v>
      </c>
      <c r="S42" s="18" t="n">
        <v>0</v>
      </c>
      <c r="T42" s="18" t="n">
        <v>2.12</v>
      </c>
      <c r="U42" s="34" t="n">
        <v>2.12</v>
      </c>
      <c r="V42" s="18" t="n">
        <v>2.12</v>
      </c>
      <c r="W42" s="19" t="n">
        <v>0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O43" s="18" t="n">
        <v>15.91</v>
      </c>
      <c r="P43" s="34" t="n">
        <v>15.91</v>
      </c>
      <c r="R43" s="18" t="n">
        <v>28.92</v>
      </c>
      <c r="S43" s="18" t="n">
        <v>42.29</v>
      </c>
      <c r="T43" s="18" t="n">
        <v>54.54</v>
      </c>
      <c r="U43" s="34" t="n">
        <v>54.54</v>
      </c>
      <c r="V43" s="18" t="n">
        <v>59.8</v>
      </c>
      <c r="W43" s="19" t="n">
        <v>65.33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사채</t>
        </is>
      </c>
      <c r="F44" s="9" t="n"/>
      <c r="K44" s="9" t="n"/>
      <c r="P44" s="9" t="n"/>
      <c r="T44" s="18" t="n">
        <v>1366.27</v>
      </c>
      <c r="U44" s="34" t="n">
        <v>1366.27</v>
      </c>
      <c r="V44" s="18" t="n">
        <v>1392.4</v>
      </c>
      <c r="W44" s="19" t="n">
        <v>18372.02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단기투자자산(공정가치)</t>
        </is>
      </c>
      <c r="F45" s="9" t="n"/>
      <c r="K45" s="9" t="n"/>
      <c r="P45" s="9" t="n"/>
      <c r="U45" s="9" t="n"/>
      <c r="W45" s="19" t="n">
        <v>3272.11</v>
      </c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매출액(수익)</t>
        </is>
      </c>
      <c r="F46" s="9" t="n"/>
      <c r="K46" s="9" t="n"/>
      <c r="O46" s="18" t="n">
        <v>18354.27</v>
      </c>
      <c r="P46" s="9" t="n"/>
      <c r="R46" s="18" t="n">
        <v>22565.99</v>
      </c>
      <c r="S46" s="18" t="n">
        <v>17550.48</v>
      </c>
      <c r="T46" s="18" t="n">
        <v>16010.87</v>
      </c>
      <c r="U46" s="9" t="n"/>
      <c r="V46" s="18" t="n">
        <v>18258.7</v>
      </c>
      <c r="W46" s="19" t="n">
        <v>22258.66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매출원가</t>
        </is>
      </c>
      <c r="F47" s="9" t="n"/>
      <c r="K47" s="9" t="n"/>
      <c r="O47" s="18" t="n">
        <v>17211.41</v>
      </c>
      <c r="P47" s="9" t="n"/>
      <c r="R47" s="18" t="n">
        <v>19126.64</v>
      </c>
      <c r="S47" s="18" t="n">
        <v>15538.94</v>
      </c>
      <c r="T47" s="18" t="n">
        <v>13541.9</v>
      </c>
      <c r="U47" s="9" t="n"/>
      <c r="V47" s="18" t="n">
        <v>15520.56</v>
      </c>
      <c r="W47" s="19" t="n">
        <v>18557.24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매출총이익</t>
        </is>
      </c>
      <c r="F48" s="9" t="n"/>
      <c r="K48" s="9" t="n"/>
      <c r="O48" s="18" t="n">
        <v>1142.86</v>
      </c>
      <c r="P48" s="9" t="n"/>
      <c r="R48" s="18" t="n">
        <v>3439.35</v>
      </c>
      <c r="S48" s="18" t="n">
        <v>2011.54</v>
      </c>
      <c r="T48" s="18" t="n">
        <v>2468.97</v>
      </c>
      <c r="U48" s="9" t="n"/>
      <c r="V48" s="18" t="n">
        <v>2738.14</v>
      </c>
      <c r="W48" s="19" t="n">
        <v>3701.42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판관비</t>
        </is>
      </c>
      <c r="F49" s="9" t="n"/>
      <c r="K49" s="9" t="n"/>
      <c r="O49" s="18" t="n">
        <v>1053.41</v>
      </c>
      <c r="P49" s="9" t="n"/>
      <c r="R49" s="18" t="n">
        <v>995.0700000000001</v>
      </c>
      <c r="S49" s="18" t="n">
        <v>1085.89</v>
      </c>
      <c r="T49" s="18" t="n">
        <v>1011.28</v>
      </c>
      <c r="U49" s="9" t="n"/>
      <c r="V49" s="18" t="n">
        <v>1135.84</v>
      </c>
      <c r="W49" s="19" t="n">
        <v>1094.9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영업이익</t>
        </is>
      </c>
      <c r="F50" s="9" t="n"/>
      <c r="K50" s="9" t="n"/>
      <c r="O50" s="18" t="n">
        <v>89.45</v>
      </c>
      <c r="P50" s="9" t="n"/>
      <c r="R50" s="18" t="n">
        <v>2444.28</v>
      </c>
      <c r="S50" s="18" t="n">
        <v>925.65</v>
      </c>
      <c r="T50" s="18" t="n">
        <v>1457.69</v>
      </c>
      <c r="U50" s="9" t="n"/>
      <c r="V50" s="18" t="n">
        <v>1602.3</v>
      </c>
      <c r="W50" s="19" t="n">
        <v>2606.52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기타영업외손익</t>
        </is>
      </c>
      <c r="F51" s="9" t="n"/>
      <c r="K51" s="9" t="n"/>
      <c r="O51" s="18" t="n">
        <v>-562.9299999999999</v>
      </c>
      <c r="P51" s="9" t="n"/>
      <c r="R51" s="18" t="n">
        <v>-796.16</v>
      </c>
      <c r="S51" s="18" t="n">
        <v>-431.89</v>
      </c>
      <c r="T51" s="18" t="n">
        <v>-3410.3</v>
      </c>
      <c r="U51" s="9" t="n"/>
      <c r="V51" s="18" t="n">
        <v>-380.14</v>
      </c>
      <c r="W51" s="19" t="n">
        <v>-1273.25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금융수익</t>
        </is>
      </c>
      <c r="F52" s="9" t="n"/>
      <c r="K52" s="9" t="n"/>
      <c r="O52" s="18" t="n">
        <v>2.28</v>
      </c>
      <c r="P52" s="9" t="n"/>
      <c r="R52" s="18" t="n">
        <v>15.78</v>
      </c>
      <c r="S52" s="18" t="n">
        <v>4.09</v>
      </c>
      <c r="T52" s="18" t="n">
        <v>10.05</v>
      </c>
      <c r="U52" s="9" t="n"/>
      <c r="V52" s="18" t="n">
        <v>76.04000000000001</v>
      </c>
      <c r="W52" s="19" t="n">
        <v>184.51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금융비용</t>
        </is>
      </c>
      <c r="F53" s="9" t="n"/>
      <c r="K53" s="9" t="n"/>
      <c r="O53" s="18" t="n">
        <v>-804.83</v>
      </c>
      <c r="P53" s="9" t="n"/>
      <c r="R53" s="18" t="n">
        <v>-642.14</v>
      </c>
      <c r="S53" s="18" t="n">
        <v>-580.7</v>
      </c>
      <c r="T53" s="18" t="n">
        <v>-567.59</v>
      </c>
      <c r="U53" s="9" t="n"/>
      <c r="V53" s="18" t="n">
        <v>-673.85</v>
      </c>
      <c r="W53" s="19" t="n">
        <v>-1516.53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O54" s="18" t="n">
        <v>252.2</v>
      </c>
      <c r="P54" s="9" t="n"/>
      <c r="R54" s="18" t="n">
        <v>52.51</v>
      </c>
      <c r="S54" s="18" t="n">
        <v>140</v>
      </c>
      <c r="T54" s="18" t="n">
        <v>169.8</v>
      </c>
      <c r="U54" s="9" t="n"/>
      <c r="V54" s="18" t="n">
        <v>271.8</v>
      </c>
      <c r="W54" s="19" t="n">
        <v>118.73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O55" s="18" t="n">
        <v>-12.57</v>
      </c>
      <c r="P55" s="9" t="n"/>
      <c r="R55" s="18" t="n">
        <v>-222.31</v>
      </c>
      <c r="S55" s="18" t="n">
        <v>4.72</v>
      </c>
      <c r="T55" s="18" t="n">
        <v>-3022.56</v>
      </c>
      <c r="U55" s="9" t="n"/>
      <c r="V55" s="18" t="n">
        <v>-54.13</v>
      </c>
      <c r="W55" s="19" t="n">
        <v>-59.97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법인세비용차감전계속사업이익</t>
        </is>
      </c>
      <c r="F56" s="9" t="n"/>
      <c r="K56" s="9" t="n"/>
      <c r="O56" s="18" t="n">
        <v>-473.49</v>
      </c>
      <c r="P56" s="9" t="n"/>
      <c r="R56" s="18" t="n">
        <v>1648.12</v>
      </c>
      <c r="S56" s="18" t="n">
        <v>493.76</v>
      </c>
      <c r="T56" s="18" t="n">
        <v>-1952.6</v>
      </c>
      <c r="U56" s="9" t="n"/>
      <c r="V56" s="18" t="n">
        <v>1222.16</v>
      </c>
      <c r="W56" s="19" t="n">
        <v>1333.27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법인세비용</t>
        </is>
      </c>
      <c r="F57" s="9" t="n"/>
      <c r="K57" s="9" t="n"/>
      <c r="O57" s="18" t="n">
        <v>-1145.37</v>
      </c>
      <c r="P57" s="9" t="n"/>
      <c r="R57" s="18" t="n">
        <v>25.95</v>
      </c>
      <c r="S57" s="18" t="n">
        <v>-156.17</v>
      </c>
      <c r="T57" s="18" t="n">
        <v>-1083.52</v>
      </c>
      <c r="U57" s="9" t="n"/>
      <c r="V57" s="18" t="n">
        <v>-31.35</v>
      </c>
      <c r="W57" s="19" t="n">
        <v>53.97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당기순이익</t>
        </is>
      </c>
      <c r="F58" s="9" t="n"/>
      <c r="K58" s="9" t="n"/>
      <c r="O58" s="18" t="n">
        <v>671.9</v>
      </c>
      <c r="P58" s="9" t="n"/>
      <c r="R58" s="18" t="n">
        <v>1622.17</v>
      </c>
      <c r="S58" s="18" t="n">
        <v>649.9299999999999</v>
      </c>
      <c r="T58" s="18" t="n">
        <v>-869.08</v>
      </c>
      <c r="U58" s="9" t="n"/>
      <c r="V58" s="18" t="n">
        <v>1253.51</v>
      </c>
      <c r="W58" s="19" t="n">
        <v>1279.3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총포괄손익</t>
        </is>
      </c>
      <c r="F59" s="9" t="n"/>
      <c r="K59" s="9" t="n"/>
      <c r="O59" s="18" t="n">
        <v>14352.11</v>
      </c>
      <c r="P59" s="9" t="n"/>
      <c r="R59" s="18" t="n">
        <v>1523.95</v>
      </c>
      <c r="S59" s="18" t="n">
        <v>1240.99</v>
      </c>
      <c r="T59" s="18" t="n">
        <v>-1412</v>
      </c>
      <c r="U59" s="9" t="n"/>
      <c r="V59" s="18" t="n">
        <v>1364.66</v>
      </c>
      <c r="W59" s="19" t="n">
        <v>1087.94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금융손익</t>
        </is>
      </c>
      <c r="F60" s="9" t="n"/>
      <c r="K60" s="9" t="n"/>
      <c r="O60" s="18" t="n">
        <v>807.11</v>
      </c>
      <c r="P60" s="9" t="n"/>
      <c r="R60" s="18" t="n">
        <v>657.92</v>
      </c>
      <c r="S60" s="18" t="n">
        <v>584.79</v>
      </c>
      <c r="T60" s="18" t="n">
        <v>577.64</v>
      </c>
      <c r="U60" s="9" t="n"/>
      <c r="V60" s="18" t="n">
        <v>749.89</v>
      </c>
      <c r="W60" s="19" t="n">
        <v>1701.04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O61" s="18" t="n">
        <v>671.9</v>
      </c>
      <c r="P61" s="9" t="n"/>
      <c r="R61" s="18" t="n">
        <v>1622.17</v>
      </c>
      <c r="S61" s="18" t="n">
        <v>649.9299999999999</v>
      </c>
      <c r="T61" s="18" t="n">
        <v>-869.08</v>
      </c>
      <c r="U61" s="9" t="n"/>
      <c r="V61" s="18" t="n">
        <v>1253.51</v>
      </c>
      <c r="W61" s="19" t="n">
        <v>1279.3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계속사업이익</t>
        </is>
      </c>
      <c r="F62" s="9" t="n"/>
      <c r="K62" s="9" t="n"/>
      <c r="O62" s="18" t="n">
        <v>671.9</v>
      </c>
      <c r="P62" s="9" t="n"/>
      <c r="R62" s="18" t="n">
        <v>1622.17</v>
      </c>
      <c r="S62" s="18" t="n">
        <v>649.9299999999999</v>
      </c>
      <c r="T62" s="18" t="n">
        <v>-869.08</v>
      </c>
      <c r="U62" s="9" t="n"/>
      <c r="V62" s="18" t="n">
        <v>1253.51</v>
      </c>
      <c r="W62" s="19" t="n">
        <v>1279.3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영업활동으로인한현금흐름</t>
        </is>
      </c>
      <c r="F63" s="9" t="n"/>
      <c r="K63" s="9" t="n"/>
      <c r="O63" s="18" t="n">
        <v>-204.86</v>
      </c>
      <c r="P63" s="9" t="n"/>
      <c r="R63" s="18" t="n">
        <v>-597.6</v>
      </c>
      <c r="S63" s="18" t="n">
        <v>2068.01</v>
      </c>
      <c r="T63" s="18" t="n">
        <v>-1825.78</v>
      </c>
      <c r="U63" s="9" t="n"/>
      <c r="V63" s="18" t="n">
        <v>-3032.25</v>
      </c>
      <c r="W63" s="19" t="n">
        <v>837.84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이자수취(CF)</t>
        </is>
      </c>
      <c r="F64" s="9" t="n"/>
      <c r="K64" s="9" t="n"/>
      <c r="O64" s="18" t="n">
        <v>0.2</v>
      </c>
      <c r="P64" s="9" t="n"/>
      <c r="R64" s="18" t="n">
        <v>3.12</v>
      </c>
      <c r="S64" s="18" t="n">
        <v>1.84</v>
      </c>
      <c r="T64" s="18" t="n">
        <v>0.92</v>
      </c>
      <c r="U64" s="9" t="n"/>
      <c r="V64" s="18" t="n">
        <v>71.98999999999999</v>
      </c>
      <c r="W64" s="19" t="n">
        <v>101.16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법인세납부(CF)</t>
        </is>
      </c>
      <c r="F65" s="9" t="n"/>
      <c r="K65" s="9" t="n"/>
      <c r="O65" s="18" t="n">
        <v>-0.03</v>
      </c>
      <c r="P65" s="9" t="n"/>
      <c r="R65" s="18" t="n">
        <v>39.03</v>
      </c>
      <c r="S65" s="18" t="n">
        <v>-21.96</v>
      </c>
      <c r="T65" s="18" t="n">
        <v>-21.35</v>
      </c>
      <c r="U65" s="9" t="n"/>
      <c r="V65" s="18" t="n">
        <v>-11.09</v>
      </c>
      <c r="W65" s="19" t="n">
        <v>36.77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투자활동으로인한현금흐름</t>
        </is>
      </c>
      <c r="F66" s="9" t="n"/>
      <c r="K66" s="9" t="n"/>
      <c r="O66" s="18" t="n">
        <v>-1438.3</v>
      </c>
      <c r="P66" s="9" t="n"/>
      <c r="R66" s="18" t="n">
        <v>3458.6</v>
      </c>
      <c r="S66" s="18" t="n">
        <v>-1106.32</v>
      </c>
      <c r="T66" s="18" t="n">
        <v>10108.92</v>
      </c>
      <c r="U66" s="9" t="n"/>
      <c r="V66" s="18" t="n">
        <v>-2787.13</v>
      </c>
      <c r="W66" s="19" t="n">
        <v>-3114.01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재무활동으로인한현금흐름</t>
        </is>
      </c>
      <c r="F67" s="9" t="n"/>
      <c r="K67" s="9" t="n"/>
      <c r="O67" s="18" t="n">
        <v>1959.05</v>
      </c>
      <c r="P67" s="9" t="n"/>
      <c r="R67" s="18" t="n">
        <v>-646.48</v>
      </c>
      <c r="S67" s="18" t="n">
        <v>-2950.13</v>
      </c>
      <c r="T67" s="18" t="n">
        <v>2298.3</v>
      </c>
      <c r="U67" s="9" t="n"/>
      <c r="V67" s="18" t="n">
        <v>10446.55</v>
      </c>
      <c r="W67" s="19" t="n">
        <v>24989.1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단기차입금의감소</t>
        </is>
      </c>
      <c r="F68" s="9" t="n"/>
      <c r="K68" s="9" t="n"/>
      <c r="O68" s="18" t="n">
        <v>0</v>
      </c>
      <c r="P68" s="9" t="n"/>
      <c r="R68" s="18" t="n">
        <v>480.02</v>
      </c>
      <c r="S68" s="18" t="n">
        <v>18000</v>
      </c>
      <c r="U68" s="9" t="n"/>
      <c r="V68" s="18" t="n">
        <v>0</v>
      </c>
      <c r="W68" s="19" t="n">
        <v>0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현금및현금성자산의증감</t>
        </is>
      </c>
      <c r="F69" s="9" t="n"/>
      <c r="K69" s="9" t="n"/>
      <c r="O69" s="18" t="n">
        <v>328.1</v>
      </c>
      <c r="P69" s="9" t="n"/>
      <c r="R69" s="18" t="n">
        <v>2214.31</v>
      </c>
      <c r="S69" s="18" t="n">
        <v>-1987.6</v>
      </c>
      <c r="T69" s="18" t="n">
        <v>10581.33</v>
      </c>
      <c r="U69" s="9" t="n"/>
      <c r="V69" s="18" t="n">
        <v>4627.18</v>
      </c>
      <c r="W69" s="19" t="n">
        <v>22711.87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기말현금및현금성자산</t>
        </is>
      </c>
      <c r="F70" s="9" t="n"/>
      <c r="K70" s="9" t="n"/>
      <c r="O70" s="18" t="n">
        <v>328.1</v>
      </c>
      <c r="P70" s="9" t="n"/>
      <c r="R70" s="18" t="n">
        <v>2214.31</v>
      </c>
      <c r="S70" s="18" t="n">
        <v>-1987.61</v>
      </c>
      <c r="T70" s="18" t="n">
        <v>10581.33</v>
      </c>
      <c r="U70" s="9" t="n"/>
      <c r="V70" s="18" t="n">
        <v>16229.04</v>
      </c>
      <c r="W70" s="19" t="n">
        <v>22711.87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단기차입금의증가</t>
        </is>
      </c>
      <c r="F71" s="9" t="n"/>
      <c r="K71" s="9" t="n"/>
      <c r="P71" s="9" t="n"/>
      <c r="R71" s="18" t="n">
        <v>1000</v>
      </c>
      <c r="S71" s="18" t="n">
        <v>0</v>
      </c>
      <c r="T71" s="18" t="n">
        <v>1000</v>
      </c>
      <c r="U71" s="9" t="n"/>
      <c r="V71" s="18" t="n">
        <v>3000</v>
      </c>
      <c r="W71" s="19" t="n">
        <v>0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유형자산의감소</t>
        </is>
      </c>
      <c r="F72" s="9" t="n"/>
      <c r="K72" s="9" t="n"/>
      <c r="P72" s="9" t="n"/>
      <c r="S72" s="18" t="n">
        <v>0.85</v>
      </c>
      <c r="T72" s="18" t="n">
        <v>43.04</v>
      </c>
      <c r="U72" s="9" t="n"/>
      <c r="V72" s="18" t="n">
        <v>62.46</v>
      </c>
      <c r="W72" s="5" t="n"/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자기주식의취득</t>
        </is>
      </c>
      <c r="F73" s="9" t="n"/>
      <c r="K73" s="9" t="n"/>
      <c r="P73" s="9" t="n"/>
      <c r="S73" s="18" t="n">
        <v>0</v>
      </c>
      <c r="T73" s="18" t="n">
        <v>19.32</v>
      </c>
      <c r="U73" s="9" t="n"/>
      <c r="W73" s="5" t="n"/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2849.59</v>
      </c>
      <c r="W74" s="19" t="n">
        <v>3100.79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2849.59</v>
      </c>
      <c r="W75" s="19" t="n">
        <v>3100.79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장기차입금의증가</t>
        </is>
      </c>
      <c r="F76" s="9" t="n"/>
      <c r="K76" s="9" t="n"/>
      <c r="P76" s="9" t="n"/>
      <c r="U76" s="9" t="n"/>
      <c r="V76" s="18" t="n">
        <v>10000</v>
      </c>
      <c r="W76" s="19" t="n">
        <v>0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4" t="n"/>
      <c r="G5" s="18" t="n"/>
      <c r="H5" s="18" t="n"/>
      <c r="I5" s="18" t="n"/>
      <c r="J5" s="18" t="n"/>
      <c r="K5" s="34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4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4" t="n"/>
      <c r="G6" s="18" t="n"/>
      <c r="H6" s="18" t="n"/>
      <c r="I6" s="18" t="n"/>
      <c r="J6" s="18" t="n"/>
      <c r="K6" s="34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4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4" t="n"/>
      <c r="G7" s="18" t="n"/>
      <c r="H7" s="18" t="n"/>
      <c r="I7" s="18" t="n"/>
      <c r="J7" s="18" t="n"/>
      <c r="K7" s="34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4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4" t="n"/>
      <c r="G8" s="18" t="n"/>
      <c r="H8" s="18" t="n"/>
      <c r="I8" s="18" t="n"/>
      <c r="J8" s="18" t="n"/>
      <c r="K8" s="34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4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4" t="n"/>
      <c r="G9" s="18" t="n"/>
      <c r="H9" s="18" t="n"/>
      <c r="I9" s="18" t="n"/>
      <c r="J9" s="18" t="n"/>
      <c r="K9" s="34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4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/>
      <c r="F10" s="34" t="n"/>
      <c r="G10" s="18" t="n"/>
      <c r="H10" s="18" t="n"/>
      <c r="I10" s="18" t="n"/>
      <c r="J10" s="18" t="n"/>
      <c r="K10" s="34">
        <f>SUM(G10:J10)</f>
        <v/>
      </c>
      <c r="L10" s="18" t="n"/>
      <c r="M10" s="18" t="n"/>
      <c r="N10" s="18" t="n"/>
      <c r="O10" s="18" t="n">
        <v>0.0049</v>
      </c>
      <c r="P10" s="34">
        <f>SUM(L10:O10)</f>
        <v/>
      </c>
      <c r="Q10" s="18" t="n"/>
      <c r="R10" s="18" t="n">
        <v>0.1083</v>
      </c>
      <c r="S10" s="18" t="n">
        <v>0.0527</v>
      </c>
      <c r="T10" s="18" t="n">
        <v>0.091</v>
      </c>
      <c r="U10" s="34">
        <f>SUM(Q10:T10)</f>
        <v/>
      </c>
      <c r="V10" s="18" t="n">
        <v>0.0878</v>
      </c>
      <c r="W10" s="19" t="n">
        <v>0.1171</v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4" t="n"/>
      <c r="G11" s="18" t="n"/>
      <c r="H11" s="18" t="n"/>
      <c r="I11" s="18" t="n"/>
      <c r="J11" s="18" t="n"/>
      <c r="K11" s="34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4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4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>
        <f>IFERROR(VLOOKUP($D13,BS별도,MATCH(O$1,BS별도H,0),0)/100,"")</f>
        <v/>
      </c>
      <c r="P13" s="34">
        <f>SUM(L13:O13)</f>
        <v/>
      </c>
      <c r="Q13" s="18" t="n"/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9">
        <f>IFERROR(VLOOKUP($D13,BS별도,MATCH(W$1,BS별도H,0),0)/100,"")</f>
        <v/>
      </c>
      <c r="X13" s="20">
        <f>IFERROR(X9+X11+X12,"")</f>
        <v/>
      </c>
      <c r="Y13" s="20">
        <f>IFERROR(Y9+Y11+Y12,"")</f>
        <v/>
      </c>
      <c r="Z13" s="35">
        <f>SUM(V13:Y13)</f>
        <v/>
      </c>
      <c r="AA13" s="20">
        <f>IFERROR(AA9+AA11+AA12,"")</f>
        <v/>
      </c>
      <c r="AB13" s="20">
        <f>IFERROR(AB9+AB11+AB12,"")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>
        <f>IFERROR(VLOOKUP($D14,BS별도,MATCH(O$1,BS별도H,0),0)/100,"")</f>
        <v/>
      </c>
      <c r="P14" s="34">
        <f>SUM(L14:O14)</f>
        <v/>
      </c>
      <c r="Q14" s="18" t="n"/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9">
        <f>IFERROR(VLOOKUP($D14,BS별도,MATCH(W$1,BS별도H,0),0)/100,"")</f>
        <v/>
      </c>
      <c r="X14" s="20">
        <f>IFERROR(X13*변수!X27,"")</f>
        <v/>
      </c>
      <c r="Y14" s="20">
        <f>IFERROR(Y13*변수!Y27,"")</f>
        <v/>
      </c>
      <c r="Z14" s="35">
        <f>SUM(V14:Y14)</f>
        <v/>
      </c>
      <c r="AA14" s="20">
        <f>IFERROR(AA13*변수!AA27,"")</f>
        <v/>
      </c>
      <c r="AB14" s="20">
        <f>IFERROR(AB13*변수!AB27,"")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4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IFERROR(X13-X14,"")</f>
        <v/>
      </c>
      <c r="Y15" s="20">
        <f>IFERROR(Y13-Y14,"")</f>
        <v/>
      </c>
      <c r="Z15" s="35">
        <f>SUM(V15:Y15)</f>
        <v/>
      </c>
      <c r="AA15" s="20">
        <f>IFERROR(AA13-AA14,"")</f>
        <v/>
      </c>
      <c r="AB15" s="20">
        <f>IFERROR(AB13-AB14,"")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 t="n"/>
      <c r="F16" s="34" t="n"/>
      <c r="G16" s="18" t="n"/>
      <c r="H16" s="18" t="n"/>
      <c r="I16" s="18" t="n"/>
      <c r="J16" s="18" t="n"/>
      <c r="K16" s="34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4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IFERROR(X15*변수!X28,"")</f>
        <v/>
      </c>
      <c r="Y16" s="20">
        <f>IFERROR(Y15*변수!Y28,"")</f>
        <v/>
      </c>
      <c r="Z16" s="35">
        <f>SUM(V16:Y16)</f>
        <v/>
      </c>
      <c r="AA16" s="20">
        <f>IFERROR(AA15*변수!AA28,"")</f>
        <v/>
      </c>
      <c r="AB16" s="20">
        <f>IFERROR(AB15*변수!AB28,"")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34" t="n">
        <v>1495.01</v>
      </c>
      <c r="G17" s="18" t="n"/>
      <c r="H17" s="18" t="n"/>
      <c r="I17" s="18" t="n"/>
      <c r="J17" s="18">
        <f>IFERROR(VLOOKUP($D17,BS별도,MATCH(J$1,BS별도H,0),0)/100,"")</f>
        <v/>
      </c>
      <c r="K17" s="34">
        <f>J17</f>
        <v/>
      </c>
      <c r="L17" s="18" t="n"/>
      <c r="M17" s="18" t="n"/>
      <c r="N17" s="18" t="n"/>
      <c r="O17" s="18">
        <f>IFERROR(VLOOKUP($D17,BS별도,MATCH(O$1,BS별도H,0),0)/100,"")</f>
        <v/>
      </c>
      <c r="P17" s="34">
        <f>O17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T17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IFERROR(X18+X19,"")</f>
        <v/>
      </c>
      <c r="Y17" s="20">
        <f>IFERROR(Y18+Y19,"")</f>
        <v/>
      </c>
      <c r="Z17" s="35">
        <f>Y17</f>
        <v/>
      </c>
      <c r="AA17" s="20">
        <f>IFERROR(AA18+AA19,"")</f>
        <v/>
      </c>
      <c r="AB17" s="20">
        <f>IFERROR(AB18+AB19,"")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34" t="n">
        <v>988.48</v>
      </c>
      <c r="G18" s="18" t="n"/>
      <c r="H18" s="18" t="n"/>
      <c r="I18" s="18" t="n"/>
      <c r="J18" s="18">
        <f>IFERROR(VLOOKUP($D18,BS별도,MATCH(J$1,BS별도H,0),0)/100,"")</f>
        <v/>
      </c>
      <c r="K18" s="34">
        <f>J18</f>
        <v/>
      </c>
      <c r="L18" s="18" t="n"/>
      <c r="M18" s="18" t="n"/>
      <c r="N18" s="18" t="n"/>
      <c r="O18" s="18">
        <f>IFERROR(VLOOKUP($D18,BS별도,MATCH(O$1,BS별도H,0),0)/100,"")</f>
        <v/>
      </c>
      <c r="P18" s="34">
        <f>O18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IFERROR(W18*(1+변수!X29),"")</f>
        <v/>
      </c>
      <c r="Y18" s="20">
        <f>IFERROR(X18*(1+변수!Y29),"")</f>
        <v/>
      </c>
      <c r="Z18" s="35">
        <f>Y18</f>
        <v/>
      </c>
      <c r="AA18" s="20">
        <f>IFERROR(Y18*(1+변수!AA29),"")</f>
        <v/>
      </c>
      <c r="AB18" s="20">
        <f>IFERROR(AA18*(1+변수!AB29),"")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34" t="n">
        <v>506.53</v>
      </c>
      <c r="G19" s="18" t="n"/>
      <c r="H19" s="18" t="n"/>
      <c r="I19" s="18" t="n"/>
      <c r="J19" s="18">
        <f>IFERROR(VLOOKUP($D19,BS별도,MATCH(J$1,BS별도H,0),0)/100,"")</f>
        <v/>
      </c>
      <c r="K19" s="34">
        <f>J19</f>
        <v/>
      </c>
      <c r="L19" s="18" t="n"/>
      <c r="M19" s="18" t="n"/>
      <c r="N19" s="18" t="n"/>
      <c r="O19" s="18">
        <f>IFERROR(VLOOKUP($D19,BS별도,MATCH(O$1,BS별도H,0),0)/100,"")</f>
        <v/>
      </c>
      <c r="P19" s="34">
        <f>O19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IFERROR(W19+X15-변수!X30,"")</f>
        <v/>
      </c>
      <c r="Y19" s="20">
        <f>IFERROR(X19+Y15-변수!Y30,"")</f>
        <v/>
      </c>
      <c r="Z19" s="35">
        <f>Y19</f>
        <v/>
      </c>
      <c r="AA19" s="20">
        <f>IFERROR(Y19+AA15-변수!AA30,"")</f>
        <v/>
      </c>
      <c r="AB19" s="20">
        <f>IFERROR(AA19+AB15-변수!AB30,"")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34" t="n">
        <v>506.53</v>
      </c>
      <c r="G20" s="18" t="n"/>
      <c r="H20" s="18" t="n"/>
      <c r="I20" s="18" t="n"/>
      <c r="J20" s="18">
        <f>IFERROR(VLOOKUP($D20,BS별도,MATCH(J$1,BS별도H,0),0)/100,"")</f>
        <v/>
      </c>
      <c r="K20" s="34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4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IFERROR(W20+X16-변수!X31,"")</f>
        <v/>
      </c>
      <c r="Y20" s="20">
        <f>IFERROR(X20+Y16-변수!Y31,"")</f>
        <v/>
      </c>
      <c r="Z20" s="35">
        <f>Y20</f>
        <v/>
      </c>
      <c r="AA20" s="20">
        <f>IFERROR(Y20+AA16-변수!AA31,"")</f>
        <v/>
      </c>
      <c r="AB20" s="20">
        <f>IFERROR(AA20+AB16-변수!AB31,"")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34" t="n">
        <v>507.66</v>
      </c>
      <c r="G21" s="18" t="n"/>
      <c r="H21" s="18" t="n"/>
      <c r="I21" s="18" t="n"/>
      <c r="J21" s="18">
        <f>IFERROR(VLOOKUP($D21,BS별도,MATCH(J$1,BS별도H,0),0)/100,"")</f>
        <v/>
      </c>
      <c r="K21" s="34">
        <f>J21</f>
        <v/>
      </c>
      <c r="L21" s="18" t="n"/>
      <c r="M21" s="18" t="n"/>
      <c r="N21" s="18" t="n"/>
      <c r="O21" s="18" t="n"/>
      <c r="P21" s="34">
        <f>O21</f>
        <v/>
      </c>
      <c r="Q21" s="18" t="n"/>
      <c r="R21" s="18" t="n"/>
      <c r="S21" s="18" t="n"/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IFERROR(W21*(1+변수!X32),"")</f>
        <v/>
      </c>
      <c r="Y21" s="20">
        <f>IFERROR(X21*(1+변수!Y32),"")</f>
        <v/>
      </c>
      <c r="Z21" s="35">
        <f>Y21</f>
        <v/>
      </c>
      <c r="AA21" s="20">
        <f>IFERROR(Y21*(1+변수!AA32),"")</f>
        <v/>
      </c>
      <c r="AB21" s="20">
        <f>IFERROR(AA21*(1+변수!AB32),"")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34" t="n">
        <v>497.6</v>
      </c>
      <c r="G22" s="18" t="n"/>
      <c r="H22" s="18" t="n"/>
      <c r="I22" s="18" t="n"/>
      <c r="J22" s="18">
        <f>IFERROR(VLOOKUP($D22,BS별도,MATCH(J$1,BS별도H,0),0)/100,"")</f>
        <v/>
      </c>
      <c r="K22" s="34">
        <f>J22</f>
        <v/>
      </c>
      <c r="L22" s="18" t="n"/>
      <c r="M22" s="18" t="n"/>
      <c r="N22" s="18" t="n"/>
      <c r="O22" s="18" t="n"/>
      <c r="P22" s="34">
        <f>O22</f>
        <v/>
      </c>
      <c r="Q22" s="18" t="n"/>
      <c r="R22" s="18" t="n"/>
      <c r="S22" s="18" t="n"/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IFERROR(W22*(1+변수!X33),"")</f>
        <v/>
      </c>
      <c r="Y22" s="20">
        <f>IFERROR(X22*(1+변수!Y33),"")</f>
        <v/>
      </c>
      <c r="Z22" s="35">
        <f>Y22</f>
        <v/>
      </c>
      <c r="AA22" s="20">
        <f>IFERROR(Y22*(1+변수!AA33),"")</f>
        <v/>
      </c>
      <c r="AB22" s="20">
        <f>IFERROR(AA22*(1+변수!AB33),"")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34" t="n">
        <v>10.12</v>
      </c>
      <c r="G23" s="18" t="n"/>
      <c r="H23" s="18" t="n"/>
      <c r="I23" s="18" t="n"/>
      <c r="J23" s="18">
        <f>IFERROR(VLOOKUP($D23,BS별도,MATCH(J$1,BS별도H,0),0)/100,"")</f>
        <v/>
      </c>
      <c r="K23" s="34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4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IFERROR(W23*(1+변수!X34),"")</f>
        <v/>
      </c>
      <c r="Y23" s="20">
        <f>IFERROR(X23*(1+변수!Y34),"")</f>
        <v/>
      </c>
      <c r="Z23" s="35">
        <f>Y23</f>
        <v/>
      </c>
      <c r="AA23" s="20">
        <f>IFERROR(Y23*(1+변수!AA34),"")</f>
        <v/>
      </c>
      <c r="AB23" s="20">
        <f>IFERROR(AA23*(1+변수!AB34),"")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34" t="n">
        <v>10.06</v>
      </c>
      <c r="G24" s="18" t="n"/>
      <c r="H24" s="18" t="n"/>
      <c r="I24" s="18" t="n"/>
      <c r="J24" s="18">
        <f>IFERROR(VLOOKUP($D24,BS별도,MATCH(J$1,BS별도H,0),0)/100,"")</f>
        <v/>
      </c>
      <c r="K24" s="34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4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 t="n"/>
      <c r="Y24" s="20" t="n"/>
      <c r="Z24" s="35">
        <f>Y24</f>
        <v/>
      </c>
      <c r="AA24" s="20" t="n"/>
      <c r="AB24" s="20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 t="n"/>
      <c r="F25" s="34" t="n"/>
      <c r="G25" s="18" t="n"/>
      <c r="H25" s="18" t="n"/>
      <c r="I25" s="18" t="n"/>
      <c r="J25" s="18" t="n"/>
      <c r="K25" s="34">
        <f>SUM(G25:J25)</f>
        <v/>
      </c>
      <c r="L25" s="18" t="n"/>
      <c r="M25" s="18" t="n"/>
      <c r="N25" s="18" t="n"/>
      <c r="O25" s="18" t="n"/>
      <c r="P25" s="34">
        <f>SUM(L25:O25)</f>
        <v/>
      </c>
      <c r="Q25" s="18" t="n"/>
      <c r="R25" s="18" t="n"/>
      <c r="S25" s="18" t="n"/>
      <c r="T25" s="18" t="n"/>
      <c r="U25" s="34">
        <f>SUM(Q25:T25)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 t="n"/>
      <c r="Y25" s="20" t="n"/>
      <c r="Z25" s="35">
        <f>SUM(V25:Y25)</f>
        <v/>
      </c>
      <c r="AA25" s="20" t="n"/>
      <c r="AB25" s="20" t="n"/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/>
      <c r="F26" s="34" t="n"/>
      <c r="G26" s="18" t="n"/>
      <c r="H26" s="18" t="n"/>
      <c r="I26" s="18" t="n"/>
      <c r="J26" s="18" t="n"/>
      <c r="K26" s="34">
        <f>SUM(G26:J26)</f>
        <v/>
      </c>
      <c r="L26" s="18" t="n"/>
      <c r="M26" s="18" t="n"/>
      <c r="N26" s="18" t="n"/>
      <c r="O26" s="18" t="n">
        <v>-2.05</v>
      </c>
      <c r="P26" s="34">
        <f>SUM(L26:O26)</f>
        <v/>
      </c>
      <c r="Q26" s="18" t="n"/>
      <c r="R26" s="18" t="n">
        <v>-5.98</v>
      </c>
      <c r="S26" s="18" t="n">
        <v>20.68</v>
      </c>
      <c r="T26" s="18" t="n">
        <v>-18.26</v>
      </c>
      <c r="U26" s="34">
        <f>SUM(Q26:T26)</f>
        <v/>
      </c>
      <c r="V26" s="18" t="n">
        <v>-30.32</v>
      </c>
      <c r="W26" s="19" t="n">
        <v>8.380000000000001</v>
      </c>
      <c r="X26" s="20" t="n"/>
      <c r="Y26" s="20" t="n"/>
      <c r="Z26" s="35">
        <f>SUM(V26:Y26)</f>
        <v/>
      </c>
      <c r="AA26" s="20" t="n"/>
      <c r="AB26" s="20" t="n"/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31.6</v>
      </c>
      <c r="F27" s="27">
        <f>E27</f>
        <v/>
      </c>
      <c r="G27" s="36" t="n">
        <v>31.6</v>
      </c>
      <c r="H27" s="36" t="n">
        <v>31.6</v>
      </c>
      <c r="I27" s="36" t="n">
        <v>31.6</v>
      </c>
      <c r="J27" s="26" t="n">
        <v>35.6</v>
      </c>
      <c r="K27" s="27">
        <f>J27</f>
        <v/>
      </c>
      <c r="L27" s="36" t="n">
        <v>35.6</v>
      </c>
      <c r="M27" s="36" t="n">
        <v>35.6</v>
      </c>
      <c r="N27" s="36" t="n">
        <v>35.6</v>
      </c>
      <c r="O27" s="26" t="n">
        <v>35.6</v>
      </c>
      <c r="P27" s="27">
        <f>O27</f>
        <v/>
      </c>
      <c r="Q27" s="36" t="n">
        <v>35.6</v>
      </c>
      <c r="R27" s="26" t="n">
        <v>19.767</v>
      </c>
      <c r="S27" s="26" t="n">
        <v>19.767</v>
      </c>
      <c r="T27" s="26" t="n">
        <v>22.19</v>
      </c>
      <c r="U27" s="27">
        <f>T27</f>
        <v/>
      </c>
      <c r="V27" s="26" t="n">
        <v>22.19</v>
      </c>
      <c r="W27" s="28" t="n">
        <v>23.05</v>
      </c>
      <c r="X27" s="36">
        <f>IFERROR(W27*(1+변수!X38),"")</f>
        <v/>
      </c>
      <c r="Y27" s="36">
        <f>IFERROR(X27*(1+변수!Y38),"")</f>
        <v/>
      </c>
      <c r="Z27" s="30">
        <f>Y27</f>
        <v/>
      </c>
      <c r="AA27" s="36">
        <f>IFERROR(Y27*(1+변수!AA38),"")</f>
        <v/>
      </c>
      <c r="AB27" s="36">
        <f>IFERROR(AA27*(1+변수!AB38),"")</f>
        <v/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 t="n"/>
      <c r="F28" s="34" t="n"/>
      <c r="G28" s="18" t="n"/>
      <c r="H28" s="18" t="n"/>
      <c r="I28" s="18" t="n"/>
      <c r="J28" s="18" t="n"/>
      <c r="K28" s="34">
        <f>SUM(G28:J28)</f>
        <v/>
      </c>
      <c r="L28" s="18" t="n"/>
      <c r="M28" s="18" t="n"/>
      <c r="N28" s="18" t="n"/>
      <c r="O28" s="18">
        <f>IFERROR(O16*100/O27,"")</f>
        <v/>
      </c>
      <c r="P28" s="34">
        <f>SUM(L28:O28)</f>
        <v/>
      </c>
      <c r="Q28" s="18" t="n"/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9">
        <f>IFERROR(W16*100/W27,"")</f>
        <v/>
      </c>
      <c r="X28" s="20">
        <f>IFERROR(X16*100/X27,"")</f>
        <v/>
      </c>
      <c r="Y28" s="20">
        <f>IFERROR(Y16*100/Y27,"")</f>
        <v/>
      </c>
      <c r="Z28" s="35">
        <f>SUM(V28:Y28)</f>
        <v/>
      </c>
      <c r="AA28" s="20">
        <f>IFERROR(AA16*100/AA27,"")</f>
        <v/>
      </c>
      <c r="AB28" s="20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 t="n"/>
      <c r="H29" s="18" t="n"/>
      <c r="I29" s="18" t="n"/>
      <c r="J29" s="18">
        <f>IFERROR(J20*100/J27,"")</f>
        <v/>
      </c>
      <c r="K29" s="34">
        <f>J29</f>
        <v/>
      </c>
      <c r="L29" s="18" t="n"/>
      <c r="M29" s="18" t="n"/>
      <c r="N29" s="18" t="n"/>
      <c r="O29" s="18">
        <f>IFERROR(O20*100/O27,"")</f>
        <v/>
      </c>
      <c r="P29" s="34">
        <f>O29</f>
        <v/>
      </c>
      <c r="Q29" s="18" t="n"/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9">
        <f>IFERROR(W20*100/W27,"")</f>
        <v/>
      </c>
      <c r="X29" s="20">
        <f>IFERROR(X20*100/X27,"")</f>
        <v/>
      </c>
      <c r="Y29" s="20">
        <f>IFERROR(Y20*100/Y27,"")</f>
        <v/>
      </c>
      <c r="Z29" s="35">
        <f>Y29</f>
        <v/>
      </c>
      <c r="AA29" s="20">
        <f>IFERROR(AA20*100/AA27,"")</f>
        <v/>
      </c>
      <c r="AB29" s="20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9" t="n"/>
      <c r="X30" s="20" t="n"/>
      <c r="Y30" s="20" t="n">
        <v>0</v>
      </c>
      <c r="Z30" s="35">
        <f>SUM(V30:Y30)</f>
        <v/>
      </c>
      <c r="AA30" s="20" t="n"/>
      <c r="AB30" s="20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/>
      <c r="O31" s="18" t="n"/>
      <c r="P31" s="34">
        <f>SUM(L31:O31)</f>
        <v/>
      </c>
      <c r="Q31" s="18" t="n"/>
      <c r="R31" s="18" t="n"/>
      <c r="S31" s="18" t="n"/>
      <c r="T31" s="18" t="n"/>
      <c r="U31" s="34">
        <f>SUM(Q31:T31)</f>
        <v/>
      </c>
      <c r="V31" s="18" t="n">
        <v>100.85</v>
      </c>
      <c r="W31" s="19" t="n">
        <v>113.15</v>
      </c>
      <c r="X31" s="20" t="n">
        <v>81.70999999999999</v>
      </c>
      <c r="Y31" s="20" t="n">
        <v>47.4</v>
      </c>
      <c r="Z31" s="35">
        <f>SUM(V31:Y31)</f>
        <v/>
      </c>
      <c r="AA31" s="20">
        <f>IFERROR(V31*(1+변수!AA40),"")</f>
        <v/>
      </c>
      <c r="AB31" s="20">
        <f>IFERROR(W31*(1+변수!AB40),"")</f>
        <v/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/>
      <c r="T32" s="18" t="n">
        <v>2.86</v>
      </c>
      <c r="U32" s="34">
        <f>SUM(Q32:T32)</f>
        <v/>
      </c>
      <c r="V32" s="18" t="n">
        <v>3.15</v>
      </c>
      <c r="W32" s="19" t="n">
        <v>2.62</v>
      </c>
      <c r="X32" s="20" t="n">
        <v>2.5</v>
      </c>
      <c r="Y32" s="20">
        <f>IFERROR(T32*(1+변수!Y41),"")</f>
        <v/>
      </c>
      <c r="Z32" s="35">
        <f>SUM(V32:Y32)</f>
        <v/>
      </c>
      <c r="AA32" s="20">
        <f>IFERROR(V32*(1+변수!AA41),"")</f>
        <v/>
      </c>
      <c r="AB32" s="20">
        <f>IFERROR(W32*(1+변수!AB41),"")</f>
        <v/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>
        <v>183.54</v>
      </c>
      <c r="P33" s="34">
        <f>SUM(L33:O33)</f>
        <v/>
      </c>
      <c r="Q33" s="18" t="n"/>
      <c r="R33" s="18" t="n">
        <v>225.66</v>
      </c>
      <c r="S33" s="18" t="n">
        <v>175.5</v>
      </c>
      <c r="T33" s="18" t="n">
        <v>160.11</v>
      </c>
      <c r="U33" s="34">
        <f>SUM(Q33:T33)</f>
        <v/>
      </c>
      <c r="V33" s="18" t="n">
        <v>182.59</v>
      </c>
      <c r="W33" s="19" t="n">
        <v>222.59</v>
      </c>
      <c r="X33" s="20">
        <f>IFERROR(X5*변수!X42,"")</f>
        <v/>
      </c>
      <c r="Y33" s="20">
        <f>IFERROR(Y5*변수!Y42,"")</f>
        <v/>
      </c>
      <c r="Z33" s="35">
        <f>SUM(V33:Y33)</f>
        <v/>
      </c>
      <c r="AA33" s="20">
        <f>IFERROR(AA5*변수!AA42,"")</f>
        <v/>
      </c>
      <c r="AB33" s="20">
        <f>IFERROR(AB5*변수!AB42,"")</f>
        <v/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/>
      <c r="F34" s="34" t="n"/>
      <c r="G34" s="18" t="n"/>
      <c r="H34" s="18" t="n"/>
      <c r="I34" s="18" t="n"/>
      <c r="J34" s="18" t="n"/>
      <c r="K34" s="34">
        <f>SUM(G34:J34)</f>
        <v/>
      </c>
      <c r="L34" s="18" t="n"/>
      <c r="M34" s="18" t="n"/>
      <c r="N34" s="18" t="n"/>
      <c r="O34" s="18" t="n">
        <v>0.89</v>
      </c>
      <c r="P34" s="34">
        <f>SUM(L34:O34)</f>
        <v/>
      </c>
      <c r="Q34" s="18" t="n"/>
      <c r="R34" s="18" t="n">
        <v>24.44</v>
      </c>
      <c r="S34" s="18" t="n">
        <v>9.26</v>
      </c>
      <c r="T34" s="18" t="n">
        <v>14.58</v>
      </c>
      <c r="U34" s="34">
        <f>SUM(Q34:T34)</f>
        <v/>
      </c>
      <c r="V34" s="18" t="n">
        <v>16.02</v>
      </c>
      <c r="W34" s="19" t="n">
        <v>26.07</v>
      </c>
      <c r="X34" s="20">
        <f>IFERROR(X33*변수!X43,"")</f>
        <v/>
      </c>
      <c r="Y34" s="20">
        <f>IFERROR(Y33*변수!Y43,"")</f>
        <v/>
      </c>
      <c r="Z34" s="35">
        <f>SUM(V34:Y34)</f>
        <v/>
      </c>
      <c r="AA34" s="20">
        <f>IFERROR(AA33*변수!AA43,"")</f>
        <v/>
      </c>
      <c r="AB34" s="20">
        <f>IFERROR(AB33*변수!AB43,"")</f>
        <v/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W35" s="5" t="n"/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3">
        <f>IFERROR(W9/W5,"")</f>
        <v/>
      </c>
      <c r="X36" s="31">
        <f>IFERROR(X9/X5,"")</f>
        <v/>
      </c>
      <c r="Y36" s="31">
        <f>IFERROR(Y9/Y5,"")</f>
        <v/>
      </c>
      <c r="Z36" s="25">
        <f>IFERROR(Z9/Z5,"")</f>
        <v/>
      </c>
      <c r="AA36" s="31">
        <f>IFERROR(AA9/AA5,"")</f>
        <v/>
      </c>
      <c r="AB36" s="31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3">
        <f>IFERROR(W16/W5,"")</f>
        <v/>
      </c>
      <c r="X37" s="31">
        <f>IFERROR(X16/X5,"")</f>
        <v/>
      </c>
      <c r="Y37" s="31">
        <f>IFERROR(Y16/Y5,"")</f>
        <v/>
      </c>
      <c r="Z37" s="25">
        <f>IFERROR(Z16/Z5,"")</f>
        <v/>
      </c>
      <c r="AA37" s="31">
        <f>IFERROR(AA16/AA5,"")</f>
        <v/>
      </c>
      <c r="AB37" s="31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3">
        <f>IFERROR(W6/W5,"")</f>
        <v/>
      </c>
      <c r="X38" s="31">
        <f>IFERROR(X6/X5,"")</f>
        <v/>
      </c>
      <c r="Y38" s="31">
        <f>IFERROR(Y6/Y5,"")</f>
        <v/>
      </c>
      <c r="Z38" s="25">
        <f>IFERROR(Z6/Z5,"")</f>
        <v/>
      </c>
      <c r="AA38" s="31">
        <f>IFERROR(AA6/AA5,"")</f>
        <v/>
      </c>
      <c r="AB38" s="31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3">
        <f>IFERROR(W8/W5,"")</f>
        <v/>
      </c>
      <c r="X39" s="31">
        <f>IFERROR(X8/X5,"")</f>
        <v/>
      </c>
      <c r="Y39" s="31">
        <f>IFERROR(Y8/Y5,"")</f>
        <v/>
      </c>
      <c r="Z39" s="25">
        <f>IFERROR(Z8/Z5,"")</f>
        <v/>
      </c>
      <c r="AA39" s="31">
        <f>IFERROR(AA8/AA5,"")</f>
        <v/>
      </c>
      <c r="AB39" s="31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7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S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39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0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1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1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1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1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1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2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1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1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1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1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1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1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1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1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1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1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1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1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1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1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1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1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43">
        <f>IFERROR(VLOOKUP($A27,subQ,MATCH(S$1,SUBQH,0),0),"")</f>
        <v/>
      </c>
      <c r="T27" s="36">
        <f>IFERROR(VLOOKUP($A27,subQ,MATCH(T$1,SUBQH,0),0),"")</f>
        <v/>
      </c>
      <c r="U27" s="36">
        <f>IFERROR(VLOOKUP($A27,subQ,MATCH(U$1,SUBQH,0),0),"")</f>
        <v/>
      </c>
      <c r="V27" s="36">
        <f>IFERROR(VLOOKUP($A27,subQ,MATCH(V$1,SUBQH,0),0),"")</f>
        <v/>
      </c>
      <c r="W27" s="36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1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1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41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1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1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1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1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42">
        <f>IFERROR(VLOOKUP($A35,subQ,MATCH(S$1,SUBQH,0),0),"")</f>
        <v/>
      </c>
      <c r="T35" s="31">
        <f>IFERROR(VLOOKUP($A35,subQ,MATCH(T$1,SUBQH,0),0),"")</f>
        <v/>
      </c>
      <c r="U35" s="31">
        <f>IFERROR(VLOOKUP($A35,subQ,MATCH(U$1,SUBQH,0),0),"")</f>
        <v/>
      </c>
      <c r="V35" s="31">
        <f>IFERROR(VLOOKUP($A35,subQ,MATCH(V$1,SUBQH,0),0),"")</f>
        <v/>
      </c>
      <c r="W35" s="31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42">
        <f>IFERROR(VLOOKUP($A36,subQ,MATCH(S$1,SUBQH,0),0),"")</f>
        <v/>
      </c>
      <c r="T36" s="31">
        <f>IFERROR(VLOOKUP($A36,subQ,MATCH(T$1,SUBQH,0),0),"")</f>
        <v/>
      </c>
      <c r="U36" s="31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42">
        <f>IFERROR(S5/O5-1,"")</f>
        <v/>
      </c>
      <c r="T37" s="31">
        <f>IFERROR(T5/P5-1,"")</f>
        <v/>
      </c>
      <c r="U37" s="31">
        <f>IFERROR(U5/Q5-1,"")</f>
        <v/>
      </c>
      <c r="V37" s="31">
        <f>IFERROR(V5/R5-1,"")</f>
        <v/>
      </c>
      <c r="W37" s="31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42">
        <f>IFERROR(S9/O9-1,"")</f>
        <v/>
      </c>
      <c r="T38" s="31">
        <f>IFERROR(T9/P9-1,"")</f>
        <v/>
      </c>
      <c r="U38" s="31">
        <f>IFERROR(U9/Q9-1,"")</f>
        <v/>
      </c>
      <c r="V38" s="31">
        <f>IFERROR(V9/R9-1,"")</f>
        <v/>
      </c>
      <c r="W38" s="31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42">
        <f>IFERROR(S16/O16-1,"")</f>
        <v/>
      </c>
      <c r="T39" s="31">
        <f>IFERROR(T16/P16-1,"")</f>
        <v/>
      </c>
      <c r="U39" s="31">
        <f>IFERROR(U16/Q16-1,"")</f>
        <v/>
      </c>
      <c r="V39" s="31">
        <f>IFERROR(V16/R16-1,"")</f>
        <v/>
      </c>
      <c r="W39" s="31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37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변수!D46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0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43">
        <f>IFERROR(VLOOKUP($A27,subQ,MATCH(H$1,SUBQH,0),0),"")</f>
        <v/>
      </c>
      <c r="I27" s="36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1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1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1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42">
        <f>IFERROR(VLOOKUP($A35,subQ,MATCH(H$1,SUBQH,0),0),"")</f>
        <v/>
      </c>
      <c r="I35" s="31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42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42">
        <f>IFERROR(H5/G5-1,"")</f>
        <v/>
      </c>
      <c r="I37" s="31">
        <f>IFERROR(I5/H5-1,"")</f>
        <v/>
      </c>
      <c r="J37" s="31">
        <f>IFERROR(J5/I5-1,"")</f>
        <v/>
      </c>
      <c r="K37" s="31">
        <f>IFERROR(K5/J5-1,"")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42">
        <f>IFERROR(H9/G9-1,"")</f>
        <v/>
      </c>
      <c r="I38" s="31">
        <f>IFERROR(I9/H9-1,"")</f>
        <v/>
      </c>
      <c r="J38" s="31">
        <f>IFERROR(J9/I9-1,"")</f>
        <v/>
      </c>
      <c r="K38" s="31">
        <f>IFERROR(K9/J9-1,"")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42">
        <f>IFERROR(H16/G16-1,"")</f>
        <v/>
      </c>
      <c r="I39" s="31">
        <f>IFERROR(I16/H16-1,"")</f>
        <v/>
      </c>
      <c r="J39" s="31">
        <f>IFERROR(J16/I16-1,"")</f>
        <v/>
      </c>
      <c r="K39" s="31">
        <f>IFERROR(K16/J16-1,"")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290.6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39.81</v>
      </c>
    </row>
    <row r="32">
      <c r="C32" s="2" t="inlineStr">
        <is>
          <t>pbr_now</t>
        </is>
      </c>
      <c r="D32" t="n">
        <v>2.54</v>
      </c>
    </row>
    <row r="33">
      <c r="C33" s="2" t="inlineStr">
        <is>
          <t>roe_fwd</t>
        </is>
      </c>
      <c r="D33" t="n">
        <v>0.0638</v>
      </c>
    </row>
    <row r="34">
      <c r="C34" s="2" t="inlineStr">
        <is>
          <t>fair_pbr</t>
        </is>
      </c>
      <c r="D34" t="n">
        <v>0.71</v>
      </c>
    </row>
    <row r="35">
      <c r="C35" s="2" t="inlineStr">
        <is>
          <t>fair_value_pbr</t>
        </is>
      </c>
      <c r="D35" t="n">
        <v>3200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