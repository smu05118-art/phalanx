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BS별도!$C$5:$AJ$86</definedName>
    <definedName name="SUBQH">subQ!$A$1:$AJ$1</definedName>
    <definedName name="subQ">subQ!$A$5:$AJ$41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X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Y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A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B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C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D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F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G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H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I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X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X35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5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X38" authorId="0" shapeId="0">
      <text>
        <t>모델값 역산(implied): v / 전년동기 − 1
= EPS(추정 구간은 일회성 미가정)</t>
      </text>
    </comment>
    <comment ref="Y38" authorId="0" shapeId="0">
      <text>
        <t>모델값 역산(implied): v / 전년동기 − 1
= EPS(추정 구간은 일회성 미가정)</t>
      </text>
    </comment>
    <comment ref="AA38" authorId="0" shapeId="0">
      <text>
        <t>모델값 역산(implied): v / 전년동기 − 1
= EPS(추정 구간은 일회성 미가정)</t>
      </text>
    </comment>
    <comment ref="AB38" authorId="0" shapeId="0">
      <text>
        <t>모델값 역산(implied): v / 전년동기 − 1
= EPS(추정 구간은 일회성 미가정)</t>
      </text>
    </comment>
    <comment ref="AC38" authorId="0" shapeId="0">
      <text>
        <t>모델값 역산(implied): v / 전년동기 − 1
= EPS(추정 구간은 일회성 미가정)</t>
      </text>
    </comment>
    <comment ref="AD38" authorId="0" shapeId="0">
      <text>
        <t>모델값 역산(implied): v / 전년동기 − 1
= EPS(추정 구간은 일회성 미가정)</t>
      </text>
    </comment>
    <comment ref="AF38" authorId="0" shapeId="0">
      <text>
        <t>모델값 역산(implied): v / 전년동기 − 1
= EPS(추정 구간은 일회성 미가정)</t>
      </text>
    </comment>
    <comment ref="AG38" authorId="0" shapeId="0">
      <text>
        <t>모델값 역산(implied): v / 전년동기 − 1
= EPS(추정 구간은 일회성 미가정)</t>
      </text>
    </comment>
    <comment ref="AH38" authorId="0" shapeId="0">
      <text>
        <t>모델값 역산(implied): v / 전년동기 − 1
= EPS(추정 구간은 일회성 미가정)</t>
      </text>
    </comment>
    <comment ref="AI38" authorId="0" shapeId="0">
      <text>
        <t>모델값 역산(implied): v / 전년동기 − 1
= EPS(추정 구간은 일회성 미가정)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396억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402억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410억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420억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427억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433억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441억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458억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396억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402억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410억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420억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427억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433억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441억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458억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X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Y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A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B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C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D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F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G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H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I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F19" authorId="0" shapeId="0">
      <text>
        <t>연간 실측(BS 시트에 2022.12A 없음 — 모델 a 값 직접)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F26" authorId="0" shapeId="0">
      <text>
        <t>연간 실측(BS 시트에 2022.12A 없음 — 모델 a 값 직접)</t>
      </text>
    </comment>
    <comment ref="X27" authorId="0" shapeId="0">
      <text>
        <t>추정: 최근 2분기(2026Q1~2026Q2) CAPEX 중위 유지 — 순차입금 롤에 미반영(감가상각비 없음 → CAPEX≈감가 가정)
[yoy]</t>
      </text>
    </comment>
    <comment ref="Y27" authorId="0" shapeId="0">
      <text>
        <t>추정: 최근 2분기(2026Q1~2026Q2) CAPEX 중위 유지 — 순차입금 롤에 미반영(감가상각비 없음 → CAPEX≈감가 가정)
[yoy]</t>
      </text>
    </comment>
    <comment ref="AA27" authorId="0" shapeId="0">
      <text>
        <t>추정: 최근 2분기(2026Q1~2026Q2) CAPEX 중위 유지 — 순차입금 롤에 미반영(감가상각비 없음 → CAPEX≈감가 가정)
[yoy]</t>
      </text>
    </comment>
    <comment ref="AB27" authorId="0" shapeId="0">
      <text>
        <t>추정: 최근 2분기(2026Q1~2026Q2) CAPEX 중위 유지 — 순차입금 롤에 미반영(감가상각비 없음 → CAPEX≈감가 가정)
[yoy]</t>
      </text>
    </comment>
    <comment ref="AC27" authorId="0" shapeId="0">
      <text>
        <t>추정: 최근 2분기(2026Q1~2026Q2) CAPEX 중위 유지 — 순차입금 롤에 미반영(감가상각비 없음 → CAPEX≈감가 가정)
[yoy]</t>
      </text>
    </comment>
    <comment ref="AD27" authorId="0" shapeId="0">
      <text>
        <t>추정: 최근 2분기(2026Q1~2026Q2) CAPEX 중위 유지 — 순차입금 롤에 미반영(감가상각비 없음 → CAPEX≈감가 가정)
[yoy]</t>
      </text>
    </comment>
    <comment ref="AF27" authorId="0" shapeId="0">
      <text>
        <t>추정: 최근 2분기(2026Q1~2026Q2) CAPEX 중위 유지 — 순차입금 롤에 미반영(감가상각비 없음 → CAPEX≈감가 가정)
[yoy]</t>
      </text>
    </comment>
    <comment ref="AG27" authorId="0" shapeId="0">
      <text>
        <t>추정: 최근 2분기(2026Q1~2026Q2) CAPEX 중위 유지 — 순차입금 롤에 미반영(감가상각비 없음 → CAPEX≈감가 가정)
[yoy]</t>
      </text>
    </comment>
    <comment ref="AH27" authorId="0" shapeId="0">
      <text>
        <t>추정: 최근 2분기(2026Q1~2026Q2) CAPEX 중위 유지 — 순차입금 롤에 미반영(감가상각비 없음 → CAPEX≈감가 가정)
[yoy]</t>
      </text>
    </comment>
    <comment ref="AI27" authorId="0" shapeId="0">
      <text>
        <t>추정: 최근 2분기(2026Q1~2026Q2)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추정(실적 구간 갭필): 주식의 총수 기재 없는 분기 → 2022Q4 값 이월</t>
      </text>
    </comment>
    <comment ref="H29" authorId="0" shapeId="0">
      <text>
        <t>추정(실적 구간 갭필): 주식의 총수 기재 없는 분기 → 2022Q4 값 이월</t>
      </text>
    </comment>
    <comment ref="I29" authorId="0" shapeId="0">
      <text>
        <t>추정(실적 구간 갭필): 주식의 총수 기재 없는 분기 → 2022Q4 값 이월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추정(실적 구간 갭필): 주식의 총수 기재 없는 분기 → 2023Q4 값 이월</t>
      </text>
    </comment>
    <comment ref="M29" authorId="0" shapeId="0">
      <text>
        <t>추정(실적 구간 갭필): 주식의 총수 기재 없는 분기 → 2023Q4 값 이월</t>
      </text>
    </comment>
    <comment ref="N29" authorId="0" shapeId="0">
      <text>
        <t>추정(실적 구간 갭필): 주식의 총수 기재 없는 분기 → 2023Q4 값 이월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추정(실적 구간 갭필): 주식의 총수 기재 없는 분기 → 2024Q4 값 이월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O31" authorId="0" shapeId="0">
      <text>
        <t>실측(계정 매핑 없음(파생·부문·시세 행) — 모델값 직접) — = EPS(일회성 의심 없음)</t>
      </text>
    </comment>
    <comment ref="R31" authorId="0" shapeId="0">
      <text>
        <t>실측(계정 매핑 없음(파생·부문·시세 행) — 모델값 직접) — = EPS(일회성 의심 없음)</t>
      </text>
    </comment>
    <comment ref="S31" authorId="0" shapeId="0">
      <text>
        <t>실측(계정 매핑 없음(파생·부문·시세 행) — 모델값 직접) — = EPS(일회성 의심 없음)</t>
      </text>
    </comment>
    <comment ref="T31" authorId="0" shapeId="0">
      <text>
        <t>추정(실적 구간 갭필): 지배NI -9억 − (비영업손익 -34억 − 12분기 기준선 -6억) × (1 − 22.0%, 모델 세율(분기 유효세율이 0~35% 밖·세전 ≤ 0)) × 지배 비중 1.00(그 분기 지배NI/NI) = 14억 ÷ 유통주식수 — 일회성 여부·세효과는 주석 미확인(모델 추정); 보고 EPS -39.2원</t>
      </text>
    </comment>
    <comment ref="V31" authorId="0" shapeId="0">
      <text>
        <t>실측(계정 매핑 없음(파생·부문·시세 행) — 모델값 직접) — = EPS(일회성 의심 없음)</t>
      </text>
    </comment>
    <comment ref="W31" authorId="0" shapeId="0">
      <text>
        <t>실측(계정 매핑 없음(파생·부문·시세 행) — 모델값 직접) — = EPS(일회성 의심 없음)</t>
      </text>
    </comment>
    <comment ref="X31" authorId="0" shapeId="0">
      <text>
        <t>추정: = EPS(추정 구간은 일회성 미가정)
[yoy]</t>
      </text>
    </comment>
    <comment ref="Y31" authorId="0" shapeId="0">
      <text>
        <t>추정: = EPS(추정 구간은 일회성 미가정)
[yoy]</t>
      </text>
    </comment>
    <comment ref="AA31" authorId="0" shapeId="0">
      <text>
        <t>추정: = EPS(추정 구간은 일회성 미가정)
[yoy]</t>
      </text>
    </comment>
    <comment ref="AB31" authorId="0" shapeId="0">
      <text>
        <t>추정: = EPS(추정 구간은 일회성 미가정)
[yoy]</t>
      </text>
    </comment>
    <comment ref="AC31" authorId="0" shapeId="0">
      <text>
        <t>추정: = EPS(추정 구간은 일회성 미가정)
[yoy]</t>
      </text>
    </comment>
    <comment ref="AD31" authorId="0" shapeId="0">
      <text>
        <t>추정: = EPS(추정 구간은 일회성 미가정)
[yoy]</t>
      </text>
    </comment>
    <comment ref="AF31" authorId="0" shapeId="0">
      <text>
        <t>추정: = EPS(추정 구간은 일회성 미가정)
[yoy]</t>
      </text>
    </comment>
    <comment ref="AG31" authorId="0" shapeId="0">
      <text>
        <t>추정: = EPS(추정 구간은 일회성 미가정)
[yoy]</t>
      </text>
    </comment>
    <comment ref="AH31" authorId="0" shapeId="0">
      <text>
        <t>추정: = EPS(추정 구간은 일회성 미가정)
[yoy]</t>
      </text>
    </comment>
    <comment ref="AI31" authorId="0" shapeId="0">
      <text>
        <t>추정: = EPS(추정 구간은 일회성 미가정)
[yoy]</t>
      </text>
    </comment>
    <comment ref="X32" authorId="0" shapeId="0">
      <text>
        <t>추정: 지배주주지분 ÷ 유통주식수
[per_share]</t>
      </text>
    </comment>
    <comment ref="Y32" authorId="0" shapeId="0">
      <text>
        <t>추정: 지배주주지분 ÷ 유통주식수
[per_share]</t>
      </text>
    </comment>
    <comment ref="AA32" authorId="0" shapeId="0">
      <text>
        <t>추정: 지배주주지분 ÷ 유통주식수
[per_share]</t>
      </text>
    </comment>
    <comment ref="AB32" authorId="0" shapeId="0">
      <text>
        <t>추정: 지배주주지분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추정: 직전 결산 DPS 0원 유지
[abs]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X34" authorId="0" shapeId="0">
      <text>
        <t>추정: 현재 종가 ÷ TTM EPS(추정 포함)
[valuation]</t>
      </text>
    </comment>
    <comment ref="Y34" authorId="0" shapeId="0">
      <text>
        <t>추정: 현재 종가 ÷ TTM EPS(추정 포함)
[valuation]</t>
      </text>
    </comment>
    <comment ref="AA34" authorId="0" shapeId="0">
      <text>
        <t>추정: 현재 종가 ÷ TTM EPS(추정 포함)
[valuation]</t>
      </text>
    </comment>
    <comment ref="AB34" authorId="0" shapeId="0">
      <text>
        <t>추정: 현재 종가 ÷ TTM EPS(추정 포함)
[valuation]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X35" authorId="0" shapeId="0">
      <text>
        <t>추정: 현재 종가 ÷ BPS(추정 포함)
[valuation]</t>
      </text>
    </comment>
    <comment ref="Y35" authorId="0" shapeId="0">
      <text>
        <t>추정: 현재 종가 ÷ BPS(추정 포함)
[valuation]</t>
      </text>
    </comment>
    <comment ref="AA35" authorId="0" shapeId="0">
      <text>
        <t>추정: 현재 종가 ÷ BPS(추정 포함)
[valuation]</t>
      </text>
    </comment>
    <comment ref="AB35" authorId="0" shapeId="0">
      <text>
        <t>추정: 현재 종가 ÷ BPS(추정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O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추정: = 매출액 추정(부문 미분리)
[identity]</t>
      </text>
    </comment>
    <comment ref="Y36" authorId="0" shapeId="0">
      <text>
        <t>추정: = 매출액 추정(부문 미분리)
[identity]</t>
      </text>
    </comment>
    <comment ref="AA36" authorId="0" shapeId="0">
      <text>
        <t>추정: = 매출액 추정(부문 미분리)
[identity]</t>
      </text>
    </comment>
    <comment ref="AB36" authorId="0" shapeId="0">
      <text>
        <t>추정: = 매출액 추정(부문 미분리)
[identity]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O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추정: = 매출액 × OPM(부문 미분리)
[identity]</t>
      </text>
    </comment>
    <comment ref="Y37" authorId="0" shapeId="0">
      <text>
        <t>추정: = 매출액 × OPM(부문 미분리)
[identity]</t>
      </text>
    </comment>
    <comment ref="AA37" authorId="0" shapeId="0">
      <text>
        <t>추정: = 매출액 × OPM(부문 미분리)
[identity]</t>
      </text>
    </comment>
    <comment ref="AB37" authorId="0" shapeId="0">
      <text>
        <t>추정: = 매출액 × OPM(부문 미분리)
[identity]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22.02% — 법인세 = MAX(세전,0) × 세율, 추정 전 분기 연결(Σ법인세/Σmax(세전,0) 역산, 재현 오차 ≤ 0.05억). 모델 가정 22.00% · 근거: 최근 6분기 유효세율 -102.9% 가 5~27% 밖; 세전 &gt; 0 분기 중위 -0.5% 도 5~27% 밖 → 법정세율 근사 22% 가정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1.24%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fin 미수집 분기 7개(no_report 등): 2023Q1, 2023Q2, 2023Q3, 2024Q1, 2024Q2, 2024Q3 / 매출 드라이버 폴백(고객 조선사 연결 없음(suppliers.json)): 전년동기 × (1+g) 추세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60.9원(보고 -39.2원; 초과 비영업손익 -28억 × (1 − 세율 22.0%) × 지배 비중 1.00 = -22억 차감 — 추정, 조정EPS 행)</t>
        </is>
      </c>
    </row>
    <row r="34">
      <c r="A34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1351.18</v>
      </c>
      <c r="Z6" s="17" t="n">
        <v>1459.61</v>
      </c>
      <c r="AA6" s="16" t="n">
        <v>1343.98</v>
      </c>
      <c r="AB6" s="16" t="n">
        <v>1343.98</v>
      </c>
      <c r="AC6" s="16" t="n">
        <v>1343.98</v>
      </c>
      <c r="AD6" s="16" t="n">
        <v>1343.98</v>
      </c>
      <c r="AE6" s="11" t="n"/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1343.98</v>
      </c>
      <c r="Z7" s="17" t="n">
        <v>1343.98</v>
      </c>
      <c r="AA7" s="16" t="n">
        <v>1343.98</v>
      </c>
      <c r="AB7" s="16" t="n">
        <v>1343.98</v>
      </c>
      <c r="AC7" s="16" t="n">
        <v>1343.98</v>
      </c>
      <c r="AD7" s="16" t="n">
        <v>1343.98</v>
      </c>
      <c r="AE7" s="11" t="n"/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855.39</v>
      </c>
      <c r="Z8" s="17" t="n">
        <v>920.6900000000001</v>
      </c>
      <c r="AA8" s="16" t="n">
        <v>849.38</v>
      </c>
      <c r="AB8" s="16" t="n">
        <v>849.38</v>
      </c>
      <c r="AC8" s="16" t="n">
        <v>849.38</v>
      </c>
      <c r="AD8" s="16" t="n">
        <v>849.38</v>
      </c>
      <c r="AE8" s="11" t="n"/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849.38</v>
      </c>
      <c r="Z9" s="17" t="n">
        <v>849.38</v>
      </c>
      <c r="AA9" s="16" t="n">
        <v>849.38</v>
      </c>
      <c r="AB9" s="16" t="n">
        <v>849.38</v>
      </c>
      <c r="AC9" s="16" t="n">
        <v>849.38</v>
      </c>
      <c r="AD9" s="16" t="n">
        <v>849.38</v>
      </c>
      <c r="AE9" s="11" t="n"/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1519.07</v>
      </c>
      <c r="Z10" s="17" t="n">
        <v>1693.81</v>
      </c>
      <c r="AA10" s="16" t="n">
        <v>1505.79</v>
      </c>
      <c r="AB10" s="16" t="n">
        <v>1505.79</v>
      </c>
      <c r="AC10" s="16" t="n">
        <v>1505.79</v>
      </c>
      <c r="AD10" s="16" t="n">
        <v>1505.79</v>
      </c>
      <c r="AE10" s="11" t="n"/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1505.79</v>
      </c>
      <c r="Z11" s="17" t="n">
        <v>1505.79</v>
      </c>
      <c r="AA11" s="16" t="n">
        <v>1505.79</v>
      </c>
      <c r="AB11" s="16" t="n">
        <v>1505.79</v>
      </c>
      <c r="AC11" s="16" t="n">
        <v>1505.79</v>
      </c>
      <c r="AD11" s="16" t="n">
        <v>1505.79</v>
      </c>
      <c r="AE11" s="11" t="n"/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201.53</v>
      </c>
      <c r="Z12" s="17" t="n">
        <v>214.03</v>
      </c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200.46</v>
      </c>
      <c r="Z13" s="17" t="n">
        <v>200.46</v>
      </c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12300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13300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11520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12070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3">
        <f>IFERROR(subQ!W16/subQ!W15,"")</f>
        <v/>
      </c>
      <c r="X26" s="26">
        <f>$D$49</f>
        <v/>
      </c>
      <c r="Y26" s="26">
        <f>$D$49</f>
        <v/>
      </c>
      <c r="Z26" s="25">
        <f>IFERROR(subQ!Z16/subQ!Z15,"")</f>
        <v/>
      </c>
      <c r="AA26" s="26">
        <f>$D$49</f>
        <v/>
      </c>
      <c r="AB26" s="26">
        <f>$D$49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3">
        <f>IFERROR(subQ!W18/subQ!W17,"")</f>
        <v/>
      </c>
      <c r="X27" s="26">
        <f>$D$51</f>
        <v/>
      </c>
      <c r="Y27" s="26">
        <f>$D$51</f>
        <v/>
      </c>
      <c r="Z27" s="25">
        <f>IFERROR(subQ!Z18/subQ!Z17,"")</f>
        <v/>
      </c>
      <c r="AA27" s="26">
        <f>$D$51</f>
        <v/>
      </c>
      <c r="AB27" s="26">
        <f>$D$51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3">
        <f>IFERROR(subQ!W20/subQ!V20-1,"")</f>
        <v/>
      </c>
      <c r="X28" s="24" t="n">
        <v>-1.63e-06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9">
        <f>IFERROR(subQ!V21+subQ!W17-subQ!W21,"")</f>
        <v/>
      </c>
      <c r="X29" s="30" t="n">
        <v>0.001852878</v>
      </c>
      <c r="Y29" s="30" t="n">
        <v>-0.003727333</v>
      </c>
      <c r="Z29" s="31" t="n"/>
      <c r="AA29" s="30" t="n">
        <v>-0.01201699</v>
      </c>
      <c r="AB29" s="30" t="n">
        <v>-0.002112626</v>
      </c>
      <c r="AC29" s="30" t="n">
        <v>-0.000380173</v>
      </c>
      <c r="AD29" s="30" t="n">
        <v>0.000444485</v>
      </c>
      <c r="AE29" s="31" t="n"/>
      <c r="AF29" s="30" t="n">
        <v>-0.007675666</v>
      </c>
      <c r="AG29" s="30" t="n">
        <v>0.002398205</v>
      </c>
      <c r="AH29" s="30" t="n">
        <v>0.004324383</v>
      </c>
      <c r="AI29" s="30" t="n">
        <v>-0.004705667</v>
      </c>
      <c r="AJ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0.001852878</v>
      </c>
      <c r="Y30" s="30" t="n">
        <v>-0.003727333</v>
      </c>
      <c r="Z30" s="31" t="n"/>
      <c r="AA30" s="30" t="n">
        <v>-0.01201699</v>
      </c>
      <c r="AB30" s="30" t="n">
        <v>-0.002112626</v>
      </c>
      <c r="AC30" s="30" t="n">
        <v>-0.000380173</v>
      </c>
      <c r="AD30" s="30" t="n">
        <v>0.000444485</v>
      </c>
      <c r="AE30" s="31" t="n"/>
      <c r="AF30" s="30" t="n">
        <v>-0.007675666</v>
      </c>
      <c r="AG30" s="30" t="n">
        <v>0.002398205</v>
      </c>
      <c r="AH30" s="30" t="n">
        <v>0.004324383</v>
      </c>
      <c r="AI30" s="30" t="n">
        <v>-0.004705667</v>
      </c>
      <c r="AJ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3">
        <f>IFERROR(subQ!W23/subQ!V23-1,"")</f>
        <v/>
      </c>
      <c r="X31" s="24" t="n">
        <v>-2.32e-07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-0.014634066</v>
      </c>
      <c r="Y32" s="24" t="n">
        <v>-0.012581039</v>
      </c>
      <c r="Z32" s="25" t="n"/>
      <c r="AA32" s="24" t="n">
        <v>-0.016165031</v>
      </c>
      <c r="AB32" s="24" t="n">
        <v>-0.022619651</v>
      </c>
      <c r="AC32" s="24" t="n">
        <v>-0.015796827</v>
      </c>
      <c r="AD32" s="24" t="n">
        <v>-0.013623354</v>
      </c>
      <c r="AE32" s="25" t="n"/>
      <c r="AF32" s="24" t="n">
        <v>-0.017502321</v>
      </c>
      <c r="AG32" s="24" t="n">
        <v>-0.024429429</v>
      </c>
      <c r="AH32" s="24" t="n">
        <v>-0.017170396</v>
      </c>
      <c r="AI32" s="24" t="n">
        <v>-0.014858438</v>
      </c>
      <c r="AJ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0.017805955</v>
      </c>
      <c r="Y33" s="24" t="n">
        <v>0.014833502</v>
      </c>
      <c r="Z33" s="25" t="n"/>
      <c r="AA33" s="24" t="n">
        <v>0.018569156</v>
      </c>
      <c r="AB33" s="24" t="n">
        <v>0.025039658</v>
      </c>
      <c r="AC33" s="24" t="n">
        <v>0.016713888</v>
      </c>
      <c r="AD33" s="24" t="n">
        <v>0.013933447</v>
      </c>
      <c r="AE33" s="25" t="n"/>
      <c r="AF33" s="24" t="n">
        <v>0.017414199</v>
      </c>
      <c r="AG33" s="24" t="n">
        <v>0.02347226</v>
      </c>
      <c r="AH33" s="24" t="n">
        <v>0.015703323</v>
      </c>
      <c r="AI33" s="24" t="n">
        <v>0.013167664</v>
      </c>
      <c r="AJ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32" t="n"/>
      <c r="Y34" s="32" t="n"/>
      <c r="Z34" s="25" t="n"/>
      <c r="AA34" s="32" t="n"/>
      <c r="AB34" s="32" t="n"/>
      <c r="AC34" s="32" t="n"/>
      <c r="AD34" s="32" t="n"/>
      <c r="AE34" s="25" t="n"/>
      <c r="AF34" s="32" t="n"/>
      <c r="AG34" s="32" t="n"/>
      <c r="AH34" s="32" t="n"/>
      <c r="AI34" s="32" t="n"/>
      <c r="AJ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3">
        <f>IFERROR(subQ!W27/subQ!R27-1,"")</f>
        <v/>
      </c>
      <c r="X35" s="24" t="n">
        <v>-0.040567081</v>
      </c>
      <c r="Y35" s="24" t="n">
        <v>0</v>
      </c>
      <c r="Z35" s="25" t="n"/>
      <c r="AA35" s="24" t="n">
        <v>0.04400984</v>
      </c>
      <c r="AB35" s="24" t="n">
        <v>-0.040567081</v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32" t="n"/>
      <c r="Y36" s="32" t="n"/>
      <c r="Z36" s="25" t="n"/>
      <c r="AA36" s="32" t="n"/>
      <c r="AB36" s="32" t="n"/>
      <c r="AC36" s="32" t="n"/>
      <c r="AD36" s="32" t="n"/>
      <c r="AE36" s="25" t="n"/>
      <c r="AF36" s="32" t="n"/>
      <c r="AG36" s="32" t="n"/>
      <c r="AH36" s="32" t="n"/>
      <c r="AI36" s="32" t="n"/>
      <c r="AJ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3">
        <f>IFERROR(subQ!W29/subQ!V29-1,"")</f>
        <v/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</row>
    <row r="38">
      <c r="A38" s="12" t="inlineStr">
        <is>
          <t>drv:조정EPS</t>
        </is>
      </c>
      <c r="B38" s="2" t="inlineStr">
        <is>
          <t>yoy</t>
        </is>
      </c>
      <c r="C38" t="inlineStr">
        <is>
          <t>조정EPS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3">
        <f>IFERROR(subQ!W31/subQ!R31-1,"")</f>
        <v/>
      </c>
      <c r="X38" s="24" t="n">
        <v>-0.08510638299999999</v>
      </c>
      <c r="Y38" s="24" t="n">
        <v>-0.581280788</v>
      </c>
      <c r="Z38" s="25" t="n"/>
      <c r="AA38" s="24" t="n">
        <v>-0.426548673</v>
      </c>
      <c r="AB38" s="24" t="n">
        <v>-0.196396396</v>
      </c>
      <c r="AC38" s="24" t="n">
        <v>0.009966777</v>
      </c>
      <c r="AD38" s="24" t="n">
        <v>0.011764706</v>
      </c>
      <c r="AE38" s="25" t="n"/>
      <c r="AF38" s="24" t="n">
        <v>0.009259259000000001</v>
      </c>
      <c r="AG38" s="24" t="n">
        <v>0.006726457</v>
      </c>
      <c r="AH38" s="24" t="n">
        <v>0.009868421</v>
      </c>
      <c r="AI38" s="24" t="n">
        <v>0.015503876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9">
        <f>subQ!W33</f>
        <v/>
      </c>
      <c r="X39" s="33" t="n"/>
      <c r="Y39" s="30" t="n">
        <v>0</v>
      </c>
      <c r="Z39" s="31">
        <f>subQ!Z33</f>
        <v/>
      </c>
      <c r="AA39" s="33" t="n"/>
      <c r="AB39" s="33" t="n"/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12300</v>
      </c>
      <c r="E42" s="2" t="inlineStr">
        <is>
          <t>원 — 네이버 정규장 종가(aik 확정종가 대조 · aik 11,900원)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20261006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0.2201633165829145</v>
      </c>
      <c r="E49" s="2" t="inlineStr">
        <is>
          <t>연결 — 법인세 = MAX(세전,0) × 세율(역산, 재현 오차 ≤ 0.05억 · 모델 assumptions 0.22) · 최근 6분기 유효세율 -102.9% 가 5~27% 밖; 세전 &gt; 0 분기 중위 -0.5% 도 5~27% 밖 → 법정세율 근사 22% 가정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0.01242076227571334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0.0370751489013967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6.55</v>
      </c>
      <c r="K22" s="37" t="n">
        <v>6.55</v>
      </c>
      <c r="O22" s="18" t="n">
        <v>7.29</v>
      </c>
      <c r="P22" s="37" t="n">
        <v>7.29</v>
      </c>
      <c r="R22" s="18" t="n">
        <v>7.69</v>
      </c>
      <c r="S22" s="18" t="n">
        <v>8.24</v>
      </c>
      <c r="T22" s="18" t="n">
        <v>11.26</v>
      </c>
      <c r="U22" s="37" t="n">
        <v>11.26</v>
      </c>
      <c r="V22" s="18" t="n">
        <v>9.41</v>
      </c>
      <c r="W22" s="19" t="n">
        <v>7.51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무형자산</t>
        </is>
      </c>
      <c r="F42" s="9" t="n"/>
      <c r="K42" s="9" t="n"/>
      <c r="O42" s="18" t="n">
        <v>81.58</v>
      </c>
      <c r="P42" s="37" t="n">
        <v>81.58</v>
      </c>
      <c r="R42" s="18" t="n">
        <v>72.68000000000001</v>
      </c>
      <c r="S42" s="18" t="n">
        <v>68.23</v>
      </c>
      <c r="T42" s="18" t="n">
        <v>63.78</v>
      </c>
      <c r="U42" s="37" t="n">
        <v>63.78</v>
      </c>
      <c r="V42" s="18" t="n">
        <v>59.33</v>
      </c>
      <c r="W42" s="19" t="n">
        <v>66.48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기타유동금융부채</t>
        </is>
      </c>
      <c r="F43" s="9" t="n"/>
      <c r="K43" s="9" t="n"/>
      <c r="O43" s="18" t="n">
        <v>70.98999999999999</v>
      </c>
      <c r="P43" s="37" t="n">
        <v>70.98999999999999</v>
      </c>
      <c r="R43" s="18" t="n">
        <v>0</v>
      </c>
      <c r="S43" s="18" t="n">
        <v>0</v>
      </c>
      <c r="T43" s="18" t="n">
        <v>0</v>
      </c>
      <c r="U43" s="37" t="n">
        <v>0</v>
      </c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O44" s="18" t="n">
        <v>6.25</v>
      </c>
      <c r="P44" s="37" t="n">
        <v>6.25</v>
      </c>
      <c r="R44" s="18" t="n">
        <v>0</v>
      </c>
      <c r="S44" s="18" t="n">
        <v>0</v>
      </c>
      <c r="T44" s="18" t="n">
        <v>2.12</v>
      </c>
      <c r="U44" s="37" t="n">
        <v>2.12</v>
      </c>
      <c r="V44" s="18" t="n">
        <v>2.12</v>
      </c>
      <c r="W44" s="19" t="n">
        <v>0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O45" s="18" t="n">
        <v>15.91</v>
      </c>
      <c r="P45" s="37" t="n">
        <v>15.91</v>
      </c>
      <c r="R45" s="18" t="n">
        <v>28.92</v>
      </c>
      <c r="S45" s="18" t="n">
        <v>42.29</v>
      </c>
      <c r="T45" s="18" t="n">
        <v>54.54</v>
      </c>
      <c r="U45" s="37" t="n">
        <v>54.54</v>
      </c>
      <c r="V45" s="18" t="n">
        <v>59.8</v>
      </c>
      <c r="W45" s="19" t="n">
        <v>65.33</v>
      </c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사채</t>
        </is>
      </c>
      <c r="F46" s="9" t="n"/>
      <c r="K46" s="9" t="n"/>
      <c r="P46" s="9" t="n"/>
      <c r="T46" s="18" t="n">
        <v>1366.27</v>
      </c>
      <c r="U46" s="37" t="n">
        <v>1366.27</v>
      </c>
      <c r="V46" s="18" t="n">
        <v>1392.4</v>
      </c>
      <c r="W46" s="19" t="n">
        <v>18372.02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W47" s="19" t="n">
        <v>3272.11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W48" s="19" t="n">
        <v>5603.32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장기금융부채</t>
        </is>
      </c>
      <c r="F49" s="9" t="n"/>
      <c r="K49" s="9" t="n"/>
      <c r="P49" s="9" t="n"/>
      <c r="U49" s="9" t="n"/>
      <c r="W49" s="19" t="n">
        <v>5603.32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매출액(수익)</t>
        </is>
      </c>
      <c r="F50" s="9" t="n"/>
      <c r="K50" s="9" t="n"/>
      <c r="O50" s="18" t="n">
        <v>18354.27</v>
      </c>
      <c r="P50" s="9" t="n"/>
      <c r="R50" s="18" t="n">
        <v>22565.99</v>
      </c>
      <c r="S50" s="18" t="n">
        <v>17550.48</v>
      </c>
      <c r="T50" s="18" t="n">
        <v>16010.87</v>
      </c>
      <c r="U50" s="9" t="n"/>
      <c r="V50" s="18" t="n">
        <v>18258.7</v>
      </c>
      <c r="W50" s="19" t="n">
        <v>22258.66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매출원가</t>
        </is>
      </c>
      <c r="F51" s="9" t="n"/>
      <c r="K51" s="9" t="n"/>
      <c r="O51" s="18" t="n">
        <v>17211.41</v>
      </c>
      <c r="P51" s="9" t="n"/>
      <c r="R51" s="18" t="n">
        <v>19126.64</v>
      </c>
      <c r="S51" s="18" t="n">
        <v>15538.94</v>
      </c>
      <c r="T51" s="18" t="n">
        <v>13541.9</v>
      </c>
      <c r="U51" s="9" t="n"/>
      <c r="V51" s="18" t="n">
        <v>15520.56</v>
      </c>
      <c r="W51" s="19" t="n">
        <v>18557.24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매출총이익</t>
        </is>
      </c>
      <c r="F52" s="9" t="n"/>
      <c r="K52" s="9" t="n"/>
      <c r="O52" s="18" t="n">
        <v>1142.86</v>
      </c>
      <c r="P52" s="9" t="n"/>
      <c r="R52" s="18" t="n">
        <v>3439.35</v>
      </c>
      <c r="S52" s="18" t="n">
        <v>2011.54</v>
      </c>
      <c r="T52" s="18" t="n">
        <v>2468.97</v>
      </c>
      <c r="U52" s="9" t="n"/>
      <c r="V52" s="18" t="n">
        <v>2738.14</v>
      </c>
      <c r="W52" s="19" t="n">
        <v>3701.42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판관비</t>
        </is>
      </c>
      <c r="F53" s="9" t="n"/>
      <c r="K53" s="9" t="n"/>
      <c r="O53" s="18" t="n">
        <v>1053.41</v>
      </c>
      <c r="P53" s="9" t="n"/>
      <c r="R53" s="18" t="n">
        <v>995.0700000000001</v>
      </c>
      <c r="S53" s="18" t="n">
        <v>1085.89</v>
      </c>
      <c r="T53" s="18" t="n">
        <v>1011.28</v>
      </c>
      <c r="U53" s="9" t="n"/>
      <c r="V53" s="18" t="n">
        <v>1135.84</v>
      </c>
      <c r="W53" s="19" t="n">
        <v>1094.9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영업이익</t>
        </is>
      </c>
      <c r="F54" s="9" t="n"/>
      <c r="K54" s="9" t="n"/>
      <c r="O54" s="18" t="n">
        <v>89.45</v>
      </c>
      <c r="P54" s="9" t="n"/>
      <c r="R54" s="18" t="n">
        <v>2444.28</v>
      </c>
      <c r="S54" s="18" t="n">
        <v>925.65</v>
      </c>
      <c r="T54" s="18" t="n">
        <v>1457.69</v>
      </c>
      <c r="U54" s="9" t="n"/>
      <c r="V54" s="18" t="n">
        <v>1602.3</v>
      </c>
      <c r="W54" s="19" t="n">
        <v>2606.52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영업외손익</t>
        </is>
      </c>
      <c r="F55" s="9" t="n"/>
      <c r="K55" s="9" t="n"/>
      <c r="O55" s="18" t="n">
        <v>-562.9299999999999</v>
      </c>
      <c r="P55" s="9" t="n"/>
      <c r="R55" s="18" t="n">
        <v>-796.16</v>
      </c>
      <c r="S55" s="18" t="n">
        <v>-431.89</v>
      </c>
      <c r="T55" s="18" t="n">
        <v>-3410.3</v>
      </c>
      <c r="U55" s="9" t="n"/>
      <c r="V55" s="18" t="n">
        <v>-380.14</v>
      </c>
      <c r="W55" s="19" t="n">
        <v>-1273.25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금융수익</t>
        </is>
      </c>
      <c r="F56" s="9" t="n"/>
      <c r="K56" s="9" t="n"/>
      <c r="O56" s="18" t="n">
        <v>2.28</v>
      </c>
      <c r="P56" s="9" t="n"/>
      <c r="R56" s="18" t="n">
        <v>15.78</v>
      </c>
      <c r="S56" s="18" t="n">
        <v>4.09</v>
      </c>
      <c r="T56" s="18" t="n">
        <v>10.05</v>
      </c>
      <c r="U56" s="9" t="n"/>
      <c r="V56" s="18" t="n">
        <v>76.04000000000001</v>
      </c>
      <c r="W56" s="19" t="n">
        <v>184.51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금융비용</t>
        </is>
      </c>
      <c r="F57" s="9" t="n"/>
      <c r="K57" s="9" t="n"/>
      <c r="O57" s="18" t="n">
        <v>804.83</v>
      </c>
      <c r="P57" s="9" t="n"/>
      <c r="R57" s="18" t="n">
        <v>642.14</v>
      </c>
      <c r="S57" s="18" t="n">
        <v>580.7</v>
      </c>
      <c r="T57" s="18" t="n">
        <v>567.59</v>
      </c>
      <c r="U57" s="9" t="n"/>
      <c r="V57" s="18" t="n">
        <v>673.85</v>
      </c>
      <c r="W57" s="19" t="n">
        <v>1516.53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기타영업외수익</t>
        </is>
      </c>
      <c r="F58" s="9" t="n"/>
      <c r="K58" s="9" t="n"/>
      <c r="O58" s="18" t="n">
        <v>252.2</v>
      </c>
      <c r="P58" s="9" t="n"/>
      <c r="R58" s="18" t="n">
        <v>52.51</v>
      </c>
      <c r="S58" s="18" t="n">
        <v>140</v>
      </c>
      <c r="T58" s="18" t="n">
        <v>169.8</v>
      </c>
      <c r="U58" s="9" t="n"/>
      <c r="V58" s="18" t="n">
        <v>271.8</v>
      </c>
      <c r="W58" s="19" t="n">
        <v>118.73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기타영업외비용</t>
        </is>
      </c>
      <c r="F59" s="9" t="n"/>
      <c r="K59" s="9" t="n"/>
      <c r="O59" s="18" t="n">
        <v>12.57</v>
      </c>
      <c r="P59" s="9" t="n"/>
      <c r="R59" s="18" t="n">
        <v>222.31</v>
      </c>
      <c r="S59" s="18" t="n">
        <v>-4.72</v>
      </c>
      <c r="T59" s="18" t="n">
        <v>3022.56</v>
      </c>
      <c r="U59" s="9" t="n"/>
      <c r="V59" s="18" t="n">
        <v>54.13</v>
      </c>
      <c r="W59" s="19" t="n">
        <v>59.97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O60" s="18" t="n">
        <v>-473.49</v>
      </c>
      <c r="P60" s="9" t="n"/>
      <c r="R60" s="18" t="n">
        <v>1648.12</v>
      </c>
      <c r="S60" s="18" t="n">
        <v>493.76</v>
      </c>
      <c r="T60" s="18" t="n">
        <v>-1952.6</v>
      </c>
      <c r="U60" s="9" t="n"/>
      <c r="V60" s="18" t="n">
        <v>1222.16</v>
      </c>
      <c r="W60" s="19" t="n">
        <v>1333.27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</t>
        </is>
      </c>
      <c r="F61" s="9" t="n"/>
      <c r="K61" s="9" t="n"/>
      <c r="O61" s="18" t="n">
        <v>-1145.37</v>
      </c>
      <c r="P61" s="9" t="n"/>
      <c r="R61" s="18" t="n">
        <v>25.95</v>
      </c>
      <c r="S61" s="18" t="n">
        <v>-156.17</v>
      </c>
      <c r="T61" s="18" t="n">
        <v>-1083.52</v>
      </c>
      <c r="U61" s="9" t="n"/>
      <c r="V61" s="18" t="n">
        <v>-31.35</v>
      </c>
      <c r="W61" s="19" t="n">
        <v>53.97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당기순이익</t>
        </is>
      </c>
      <c r="F62" s="9" t="n"/>
      <c r="K62" s="9" t="n"/>
      <c r="O62" s="18" t="n">
        <v>671.9</v>
      </c>
      <c r="P62" s="9" t="n"/>
      <c r="R62" s="18" t="n">
        <v>1622.17</v>
      </c>
      <c r="S62" s="18" t="n">
        <v>649.9299999999999</v>
      </c>
      <c r="T62" s="18" t="n">
        <v>-869.08</v>
      </c>
      <c r="U62" s="9" t="n"/>
      <c r="V62" s="18" t="n">
        <v>1253.51</v>
      </c>
      <c r="W62" s="19" t="n">
        <v>1279.3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총포괄손익</t>
        </is>
      </c>
      <c r="F63" s="9" t="n"/>
      <c r="K63" s="9" t="n"/>
      <c r="O63" s="18" t="n">
        <v>14352.11</v>
      </c>
      <c r="P63" s="9" t="n"/>
      <c r="R63" s="18" t="n">
        <v>1523.95</v>
      </c>
      <c r="S63" s="18" t="n">
        <v>1240.99</v>
      </c>
      <c r="T63" s="18" t="n">
        <v>-1412</v>
      </c>
      <c r="U63" s="9" t="n"/>
      <c r="V63" s="18" t="n">
        <v>1364.66</v>
      </c>
      <c r="W63" s="19" t="n">
        <v>1087.94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금융손익</t>
        </is>
      </c>
      <c r="F64" s="9" t="n"/>
      <c r="K64" s="9" t="n"/>
      <c r="O64" s="18" t="n">
        <v>-802.55</v>
      </c>
      <c r="P64" s="9" t="n"/>
      <c r="R64" s="18" t="n">
        <v>-626.36</v>
      </c>
      <c r="S64" s="18" t="n">
        <v>-576.61</v>
      </c>
      <c r="T64" s="18" t="n">
        <v>-557.54</v>
      </c>
      <c r="U64" s="9" t="n"/>
      <c r="V64" s="18" t="n">
        <v>-597.8099999999999</v>
      </c>
      <c r="W64" s="19" t="n">
        <v>-1332.02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기타영업외손익</t>
        </is>
      </c>
      <c r="F65" s="9" t="n"/>
      <c r="K65" s="9" t="n"/>
      <c r="O65" s="18" t="n">
        <v>239.63</v>
      </c>
      <c r="P65" s="9" t="n"/>
      <c r="R65" s="18" t="n">
        <v>-169.8</v>
      </c>
      <c r="S65" s="18" t="n">
        <v>144.72</v>
      </c>
      <c r="T65" s="18" t="n">
        <v>-2852.76</v>
      </c>
      <c r="U65" s="9" t="n"/>
      <c r="V65" s="18" t="n">
        <v>217.67</v>
      </c>
      <c r="W65" s="19" t="n">
        <v>58.76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(지배주주지분)당기순이익</t>
        </is>
      </c>
      <c r="F66" s="9" t="n"/>
      <c r="K66" s="9" t="n"/>
      <c r="O66" s="18" t="n">
        <v>671.9</v>
      </c>
      <c r="P66" s="9" t="n"/>
      <c r="R66" s="18" t="n">
        <v>1622.17</v>
      </c>
      <c r="S66" s="18" t="n">
        <v>649.9299999999999</v>
      </c>
      <c r="T66" s="18" t="n">
        <v>-869.08</v>
      </c>
      <c r="U66" s="9" t="n"/>
      <c r="V66" s="18" t="n">
        <v>1253.51</v>
      </c>
      <c r="W66" s="19" t="n">
        <v>1279.3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계속사업이익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이자수익</t>
        </is>
      </c>
      <c r="F68" s="9" t="n"/>
      <c r="K68" s="9" t="n"/>
      <c r="O68" s="18" t="n">
        <v>2.28</v>
      </c>
      <c r="P68" s="9" t="n"/>
      <c r="R68" s="18" t="n">
        <v>2.34</v>
      </c>
      <c r="S68" s="18" t="n">
        <v>4.09</v>
      </c>
      <c r="T68" s="18" t="n">
        <v>10.05</v>
      </c>
      <c r="U68" s="9" t="n"/>
      <c r="V68" s="18" t="n">
        <v>76.04000000000001</v>
      </c>
      <c r="W68" s="19" t="n">
        <v>118.74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이자비용</t>
        </is>
      </c>
      <c r="F69" s="9" t="n"/>
      <c r="K69" s="9" t="n"/>
      <c r="O69" s="18" t="n">
        <v>720.42</v>
      </c>
      <c r="P69" s="9" t="n"/>
      <c r="R69" s="18" t="n">
        <v>641.5599999999999</v>
      </c>
      <c r="S69" s="18" t="n">
        <v>580.45</v>
      </c>
      <c r="T69" s="18" t="n">
        <v>567.21</v>
      </c>
      <c r="U69" s="9" t="n"/>
      <c r="V69" s="18" t="n">
        <v>673.54</v>
      </c>
      <c r="W69" s="19" t="n">
        <v>816.09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파생상품손실</t>
        </is>
      </c>
      <c r="F70" s="9" t="n"/>
      <c r="K70" s="9" t="n"/>
      <c r="O70" s="18" t="n">
        <v>84.02</v>
      </c>
      <c r="P70" s="9" t="n"/>
      <c r="R70" s="18" t="n">
        <v>0.28</v>
      </c>
      <c r="S70" s="18" t="n">
        <v>0</v>
      </c>
      <c r="T70" s="18" t="n">
        <v>0</v>
      </c>
      <c r="U70" s="9" t="n"/>
      <c r="W70" s="19" t="n">
        <v>700.21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이자손익</t>
        </is>
      </c>
      <c r="F71" s="9" t="n"/>
      <c r="K71" s="9" t="n"/>
      <c r="O71" s="18" t="n">
        <v>-718.14</v>
      </c>
      <c r="P71" s="9" t="n"/>
      <c r="R71" s="18" t="n">
        <v>-639.22</v>
      </c>
      <c r="S71" s="18" t="n">
        <v>-576.36</v>
      </c>
      <c r="T71" s="18" t="n">
        <v>-557.16</v>
      </c>
      <c r="U71" s="9" t="n"/>
      <c r="V71" s="18" t="n">
        <v>-597.5</v>
      </c>
      <c r="W71" s="19" t="n">
        <v>-697.35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파생상품이익</t>
        </is>
      </c>
      <c r="F72" s="9" t="n"/>
      <c r="K72" s="9" t="n"/>
      <c r="P72" s="9" t="n"/>
      <c r="U72" s="9" t="n"/>
      <c r="W72" s="19" t="n">
        <v>65.77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O73" s="18" t="n">
        <v>-204.86</v>
      </c>
      <c r="P73" s="9" t="n"/>
      <c r="R73" s="18" t="n">
        <v>-597.6</v>
      </c>
      <c r="S73" s="18" t="n">
        <v>2068.01</v>
      </c>
      <c r="T73" s="18" t="n">
        <v>-1825.78</v>
      </c>
      <c r="U73" s="9" t="n"/>
      <c r="V73" s="18" t="n">
        <v>-3032.25</v>
      </c>
      <c r="W73" s="19" t="n">
        <v>837.84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이자수취(CF)</t>
        </is>
      </c>
      <c r="F74" s="9" t="n"/>
      <c r="K74" s="9" t="n"/>
      <c r="O74" s="18" t="n">
        <v>0.2</v>
      </c>
      <c r="P74" s="9" t="n"/>
      <c r="R74" s="18" t="n">
        <v>3.12</v>
      </c>
      <c r="S74" s="18" t="n">
        <v>1.84</v>
      </c>
      <c r="T74" s="18" t="n">
        <v>0.92</v>
      </c>
      <c r="U74" s="9" t="n"/>
      <c r="V74" s="18" t="n">
        <v>71.98999999999999</v>
      </c>
      <c r="W74" s="19" t="n">
        <v>101.16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법인세납부(CF)</t>
        </is>
      </c>
      <c r="F75" s="9" t="n"/>
      <c r="K75" s="9" t="n"/>
      <c r="O75" s="18" t="n">
        <v>-0.03</v>
      </c>
      <c r="P75" s="9" t="n"/>
      <c r="R75" s="18" t="n">
        <v>39.03</v>
      </c>
      <c r="S75" s="18" t="n">
        <v>-21.96</v>
      </c>
      <c r="T75" s="18" t="n">
        <v>-21.35</v>
      </c>
      <c r="U75" s="9" t="n"/>
      <c r="V75" s="18" t="n">
        <v>-11.09</v>
      </c>
      <c r="W75" s="19" t="n">
        <v>36.77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투자활동으로인한현금흐름</t>
        </is>
      </c>
      <c r="F76" s="9" t="n"/>
      <c r="K76" s="9" t="n"/>
      <c r="O76" s="18" t="n">
        <v>-1438.3</v>
      </c>
      <c r="P76" s="9" t="n"/>
      <c r="R76" s="18" t="n">
        <v>3458.6</v>
      </c>
      <c r="S76" s="18" t="n">
        <v>-1106.32</v>
      </c>
      <c r="T76" s="18" t="n">
        <v>10108.92</v>
      </c>
      <c r="U76" s="9" t="n"/>
      <c r="V76" s="18" t="n">
        <v>-2787.13</v>
      </c>
      <c r="W76" s="19" t="n">
        <v>-3114.01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재무활동으로인한현금흐름</t>
        </is>
      </c>
      <c r="F77" s="9" t="n"/>
      <c r="K77" s="9" t="n"/>
      <c r="O77" s="18" t="n">
        <v>1959.05</v>
      </c>
      <c r="P77" s="9" t="n"/>
      <c r="R77" s="18" t="n">
        <v>-646.48</v>
      </c>
      <c r="S77" s="18" t="n">
        <v>-2950.13</v>
      </c>
      <c r="T77" s="18" t="n">
        <v>2298.3</v>
      </c>
      <c r="U77" s="9" t="n"/>
      <c r="V77" s="18" t="n">
        <v>10446.55</v>
      </c>
      <c r="W77" s="19" t="n">
        <v>24989.1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단기차입금의감소</t>
        </is>
      </c>
      <c r="F78" s="9" t="n"/>
      <c r="K78" s="9" t="n"/>
      <c r="O78" s="18" t="n">
        <v>0</v>
      </c>
      <c r="P78" s="9" t="n"/>
      <c r="R78" s="18" t="n">
        <v>480.02</v>
      </c>
      <c r="S78" s="18" t="n">
        <v>18000</v>
      </c>
      <c r="U78" s="9" t="n"/>
      <c r="V78" s="18" t="n">
        <v>0</v>
      </c>
      <c r="W78" s="19" t="n">
        <v>0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O79" s="18" t="n">
        <v>328.1</v>
      </c>
      <c r="P79" s="9" t="n"/>
      <c r="R79" s="18" t="n">
        <v>2214.31</v>
      </c>
      <c r="S79" s="18" t="n">
        <v>-1987.6</v>
      </c>
      <c r="T79" s="18" t="n">
        <v>10581.33</v>
      </c>
      <c r="U79" s="9" t="n"/>
      <c r="V79" s="18" t="n">
        <v>4627.18</v>
      </c>
      <c r="W79" s="19" t="n">
        <v>22711.87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-1987.61</v>
      </c>
      <c r="T80" s="18" t="n">
        <v>10581.33</v>
      </c>
      <c r="U80" s="9" t="n"/>
      <c r="V80" s="18" t="n">
        <v>16229.04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R81" s="18" t="n">
        <v>1000</v>
      </c>
      <c r="S81" s="18" t="n">
        <v>0</v>
      </c>
      <c r="T81" s="18" t="n">
        <v>1000</v>
      </c>
      <c r="U81" s="9" t="n"/>
      <c r="V81" s="18" t="n">
        <v>3000</v>
      </c>
      <c r="W81" s="19" t="n">
        <v>0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유형자산의감소</t>
        </is>
      </c>
      <c r="F82" s="9" t="n"/>
      <c r="K82" s="9" t="n"/>
      <c r="P82" s="9" t="n"/>
      <c r="S82" s="18" t="n">
        <v>0.85</v>
      </c>
      <c r="T82" s="18" t="n">
        <v>43.04</v>
      </c>
      <c r="U82" s="9" t="n"/>
      <c r="V82" s="18" t="n">
        <v>62.46</v>
      </c>
      <c r="W82" s="5" t="n"/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자기주식의취득</t>
        </is>
      </c>
      <c r="F83" s="9" t="n"/>
      <c r="K83" s="9" t="n"/>
      <c r="P83" s="9" t="n"/>
      <c r="S83" s="18" t="n">
        <v>0</v>
      </c>
      <c r="T83" s="18" t="n">
        <v>19.32</v>
      </c>
      <c r="U83" s="9" t="n"/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유형자산의증가</t>
        </is>
      </c>
      <c r="F84" s="9" t="n"/>
      <c r="K84" s="9" t="n"/>
      <c r="P84" s="9" t="n"/>
      <c r="U84" s="9" t="n"/>
      <c r="V84" s="18" t="n">
        <v>2849.59</v>
      </c>
      <c r="W84" s="19" t="n">
        <v>3100.79</v>
      </c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CAPEX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장기차입금의증가</t>
        </is>
      </c>
      <c r="F86" s="9" t="n"/>
      <c r="K86" s="9" t="n"/>
      <c r="P86" s="9" t="n"/>
      <c r="U86" s="9" t="n"/>
      <c r="V86" s="18" t="n">
        <v>10000</v>
      </c>
      <c r="W86" s="19" t="n">
        <v>0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IFERROR((W25*변수!$D$52-W23*변수!$D$53)/4,"")</f>
        <v/>
      </c>
      <c r="Y12" s="20">
        <f>IFERROR((X25*변수!$D$52-X23*변수!$D$53)/4,"")</f>
        <v/>
      </c>
      <c r="Z12" s="38">
        <f>SUM(V12:Y12)</f>
        <v/>
      </c>
      <c r="AA12" s="20">
        <f>IFERROR((Y25*변수!$D$52-Y23*변수!$D$53)/4,"")</f>
        <v/>
      </c>
      <c r="AB12" s="20">
        <f>IFERROR((AA25*변수!$D$52-AA23*변수!$D$53)/4,"")</f>
        <v/>
      </c>
      <c r="AC12" s="20">
        <f>IFERROR((AB25*변수!$D$52-AB23*변수!$D$53)/4,"")</f>
        <v/>
      </c>
      <c r="AD12" s="20">
        <f>IFERROR((AC25*변수!$D$52-AC23*변수!$D$53)/4,"")</f>
        <v/>
      </c>
      <c r="AE12" s="38">
        <f>SUM(AA12:AD12)</f>
        <v/>
      </c>
      <c r="AF12" s="20">
        <f>IFERROR((AD25*변수!$D$52-AD23*변수!$D$53)/4,"")</f>
        <v/>
      </c>
      <c r="AG12" s="20">
        <f>IFERROR((AF25*변수!$D$52-AF23*변수!$D$53)/4,"")</f>
        <v/>
      </c>
      <c r="AH12" s="20">
        <f>IFERROR((AG25*변수!$D$52-AG23*변수!$D$53)/4,"")</f>
        <v/>
      </c>
      <c r="AI12" s="20">
        <f>IFERROR((AH25*변수!$D$52-AH23*변수!$D$53)/4,"")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>
        <f>IFERROR(VLOOKUP($D14,BS별도,MATCH(O$1,BS별도H,0),0)/100,"")</f>
        <v/>
      </c>
      <c r="P14" s="37">
        <f>SUM(L14:O14)</f>
        <v/>
      </c>
      <c r="Q14" s="18" t="n"/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9">
        <f>IFERROR(VLOOKUP($D14,BS별도,MATCH(W$1,BS별도H,0),0)/100,"")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1495.01</v>
      </c>
      <c r="G19" s="18" t="n"/>
      <c r="H19" s="18" t="n"/>
      <c r="I19" s="18" t="n"/>
      <c r="J19" s="18">
        <f>IFERROR(VLOOKUP($D19,BS별도,MATCH(J$1,BS별도H,0),0)/100,"")</f>
        <v/>
      </c>
      <c r="K19" s="37">
        <f>J19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O19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988.48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506.53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672.66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662.6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10.12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10.06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7" t="n"/>
      <c r="G27" s="18" t="n"/>
      <c r="H27" s="18" t="n"/>
      <c r="I27" s="18" t="n"/>
      <c r="J27" s="18" t="n"/>
      <c r="K27" s="37">
        <f>SUM(G27:J27)</f>
        <v/>
      </c>
      <c r="L27" s="18" t="n"/>
      <c r="M27" s="18" t="n"/>
      <c r="N27" s="18" t="n"/>
      <c r="O27" s="18" t="n"/>
      <c r="P27" s="37">
        <f>SUM(L27:O27)</f>
        <v/>
      </c>
      <c r="Q27" s="18" t="n"/>
      <c r="R27" s="18" t="n"/>
      <c r="S27" s="18" t="n"/>
      <c r="T27" s="18" t="n"/>
      <c r="U27" s="37">
        <f>SUM(Q27:T27)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>
        <f>IFERROR(W27*(1+변수!X35),"")</f>
        <v/>
      </c>
      <c r="Y27" s="20">
        <f>IFERROR(X27*(1+변수!Y35),"")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>
        <f>IFERROR(VLOOKUP($D28,BS별도,MATCH(O$1,BS별도H,0),0)/100,"")</f>
        <v/>
      </c>
      <c r="P28" s="37">
        <f>SUM(L28:O28)</f>
        <v/>
      </c>
      <c r="Q28" s="18" t="n"/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31.6</v>
      </c>
      <c r="F29" s="28">
        <f>E29</f>
        <v/>
      </c>
      <c r="G29" s="33" t="n">
        <v>31.6</v>
      </c>
      <c r="H29" s="33" t="n">
        <v>31.6</v>
      </c>
      <c r="I29" s="33" t="n">
        <v>31.6</v>
      </c>
      <c r="J29" s="27" t="n">
        <v>35.6</v>
      </c>
      <c r="K29" s="28">
        <f>J29</f>
        <v/>
      </c>
      <c r="L29" s="33" t="n">
        <v>35.6</v>
      </c>
      <c r="M29" s="33" t="n">
        <v>35.6</v>
      </c>
      <c r="N29" s="33" t="n">
        <v>35.6</v>
      </c>
      <c r="O29" s="27" t="n">
        <v>35.6</v>
      </c>
      <c r="P29" s="28">
        <f>O29</f>
        <v/>
      </c>
      <c r="Q29" s="33" t="n">
        <v>35.6</v>
      </c>
      <c r="R29" s="27" t="n">
        <v>19.767</v>
      </c>
      <c r="S29" s="27" t="n">
        <v>19.767</v>
      </c>
      <c r="T29" s="27" t="n">
        <v>22.19</v>
      </c>
      <c r="U29" s="28">
        <f>T29</f>
        <v/>
      </c>
      <c r="V29" s="27" t="n">
        <v>22.19</v>
      </c>
      <c r="W29" s="29" t="n">
        <v>23.05</v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>
        <f>IFERROR(O18*100/O29,"")</f>
        <v/>
      </c>
      <c r="P30" s="37">
        <f>SUM(L30:O30)</f>
        <v/>
      </c>
      <c r="Q30" s="18" t="n"/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9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 t="n">
        <v>18.9</v>
      </c>
      <c r="P31" s="37">
        <f>SUM(L31:O31)</f>
        <v/>
      </c>
      <c r="Q31" s="18" t="n"/>
      <c r="R31" s="18" t="n">
        <v>82.09999999999999</v>
      </c>
      <c r="S31" s="18" t="n">
        <v>32.9</v>
      </c>
      <c r="T31" s="20" t="n">
        <v>60.9</v>
      </c>
      <c r="U31" s="37">
        <f>SUM(Q31:T31)</f>
        <v/>
      </c>
      <c r="V31" s="18" t="n">
        <v>56.5</v>
      </c>
      <c r="W31" s="19" t="n">
        <v>55.5</v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 t="n"/>
      <c r="H32" s="18" t="n"/>
      <c r="I32" s="18" t="n"/>
      <c r="J32" s="18">
        <f>IFERROR(J22*100/J29,"")</f>
        <v/>
      </c>
      <c r="K32" s="37">
        <f>J32</f>
        <v/>
      </c>
      <c r="L32" s="18" t="n"/>
      <c r="M32" s="18" t="n"/>
      <c r="N32" s="18" t="n"/>
      <c r="O32" s="18">
        <f>IFERROR(O22*100/O29,"")</f>
        <v/>
      </c>
      <c r="P32" s="37">
        <f>O32</f>
        <v/>
      </c>
      <c r="Q32" s="18" t="n"/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9">
        <f>IFERROR(W22*100/W29,"")</f>
        <v/>
      </c>
      <c r="X32" s="20">
        <f>IFERROR(X22*100/X29,"")</f>
        <v/>
      </c>
      <c r="Y32" s="20">
        <f>IFERROR(Y22*100/Y29,"")</f>
        <v/>
      </c>
      <c r="Z32" s="38">
        <f>Y32</f>
        <v/>
      </c>
      <c r="AA32" s="20">
        <f>IFERROR(AA22*100/AA29,"")</f>
        <v/>
      </c>
      <c r="AB32" s="20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9" t="n"/>
      <c r="X33" s="20" t="n"/>
      <c r="Y33" s="20">
        <f>변수!Y39</f>
        <v/>
      </c>
      <c r="Z33" s="38">
        <f>SUM(V33:Y33)</f>
        <v/>
      </c>
      <c r="AA33" s="20" t="n"/>
      <c r="AB33" s="20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>
        <f>IFERROR(변수!V18/(R30+S30+T30+V30),"")</f>
        <v/>
      </c>
      <c r="W34" s="15">
        <f>IFERROR(변수!W18/(S30+T30+V30+W30),"")</f>
        <v/>
      </c>
      <c r="X34" s="39">
        <f>IFERROR(변수!$D$42/(T30+V30+W30+X30),"")</f>
        <v/>
      </c>
      <c r="Y34" s="39">
        <f>IFERROR(변수!$D$42/(V30+W30+X30+Y30),"")</f>
        <v/>
      </c>
      <c r="Z34" s="40">
        <f>Y34</f>
        <v/>
      </c>
      <c r="AA34" s="39">
        <f>IFERROR(변수!$D$42/(W30+X30+Y30+AA30),"")</f>
        <v/>
      </c>
      <c r="AB34" s="39">
        <f>IFERROR(변수!$D$42/(X30+Y30+AA30+AB30),"")</f>
        <v/>
      </c>
      <c r="AC34" s="39">
        <f>IFERROR(변수!$D$42/(Y30+AA30+AB30+AC30),"")</f>
        <v/>
      </c>
      <c r="AD34" s="39">
        <f>IFERROR(변수!$D$42/(AA30+AB30+AC30+AD30),"")</f>
        <v/>
      </c>
      <c r="AE34" s="40">
        <f>AD34</f>
        <v/>
      </c>
      <c r="AF34" s="39">
        <f>IFERROR(변수!$D$42/(AB30+AC30+AD30+AF30),"")</f>
        <v/>
      </c>
      <c r="AG34" s="39">
        <f>IFERROR(변수!$D$42/(AC30+AD30+AF30+AG30),"")</f>
        <v/>
      </c>
      <c r="AH34" s="39">
        <f>IFERROR(변수!$D$42/(AD30+AF30+AG30+AH30),"")</f>
        <v/>
      </c>
      <c r="AI34" s="39">
        <f>IFERROR(변수!$D$42/(AF30+AG30+AH30+AI30),"")</f>
        <v/>
      </c>
      <c r="AJ34" s="40">
        <f>AI34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IFERROR(변수!J18/J32,"")</f>
        <v/>
      </c>
      <c r="K35" s="14">
        <f>J35</f>
        <v/>
      </c>
      <c r="L35" s="13" t="n"/>
      <c r="M35" s="13" t="n"/>
      <c r="N35" s="13" t="n"/>
      <c r="O35" s="13">
        <f>IFERROR(변수!O18/O32,"")</f>
        <v/>
      </c>
      <c r="P35" s="14">
        <f>O35</f>
        <v/>
      </c>
      <c r="Q35" s="13" t="n"/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5">
        <f>IFERROR(변수!W18/W32,"")</f>
        <v/>
      </c>
      <c r="X35" s="39">
        <f>IFERROR(변수!$D$42/X32,"")</f>
        <v/>
      </c>
      <c r="Y35" s="39">
        <f>IFERROR(변수!$D$42/Y32,"")</f>
        <v/>
      </c>
      <c r="Z35" s="40">
        <f>Y35</f>
        <v/>
      </c>
      <c r="AA35" s="39">
        <f>IFERROR(변수!$D$42/AA32,"")</f>
        <v/>
      </c>
      <c r="AB35" s="39">
        <f>IFERROR(변수!$D$42/AB32,"")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/>
      <c r="F36" s="37" t="n"/>
      <c r="G36" s="18" t="n"/>
      <c r="H36" s="18" t="n"/>
      <c r="I36" s="18" t="n"/>
      <c r="J36" s="18" t="n"/>
      <c r="K36" s="37">
        <f>SUM(G36:J36)</f>
        <v/>
      </c>
      <c r="L36" s="18" t="n"/>
      <c r="M36" s="18" t="n"/>
      <c r="N36" s="18" t="n"/>
      <c r="O36" s="18" t="n">
        <v>183.54</v>
      </c>
      <c r="P36" s="37">
        <f>SUM(L36:O36)</f>
        <v/>
      </c>
      <c r="Q36" s="18" t="n"/>
      <c r="R36" s="18" t="n">
        <v>225.66</v>
      </c>
      <c r="S36" s="18" t="n">
        <v>175.5</v>
      </c>
      <c r="T36" s="18" t="n">
        <v>160.11</v>
      </c>
      <c r="U36" s="37">
        <f>SUM(Q36:T36)</f>
        <v/>
      </c>
      <c r="V36" s="18" t="n">
        <v>182.59</v>
      </c>
      <c r="W36" s="19" t="n">
        <v>222.59</v>
      </c>
      <c r="X36" s="20">
        <f>IFERROR(X5,"")</f>
        <v/>
      </c>
      <c r="Y36" s="20">
        <f>IFERROR(Y5,"")</f>
        <v/>
      </c>
      <c r="Z36" s="38">
        <f>SUM(V36:Y36)</f>
        <v/>
      </c>
      <c r="AA36" s="20">
        <f>IFERROR(AA5,"")</f>
        <v/>
      </c>
      <c r="AB36" s="20">
        <f>IFERROR(AB5,"")</f>
        <v/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0.89</v>
      </c>
      <c r="P37" s="37">
        <f>SUM(L37:O37)</f>
        <v/>
      </c>
      <c r="Q37" s="18" t="n"/>
      <c r="R37" s="18" t="n">
        <v>24.44</v>
      </c>
      <c r="S37" s="18" t="n">
        <v>9.26</v>
      </c>
      <c r="T37" s="18" t="n">
        <v>14.58</v>
      </c>
      <c r="U37" s="37">
        <f>SUM(Q37:T37)</f>
        <v/>
      </c>
      <c r="V37" s="18" t="n">
        <v>16.02</v>
      </c>
      <c r="W37" s="19" t="n">
        <v>26.07</v>
      </c>
      <c r="X37" s="20">
        <f>IFERROR(X9,"")</f>
        <v/>
      </c>
      <c r="Y37" s="20">
        <f>IFERROR(Y9,"")</f>
        <v/>
      </c>
      <c r="Z37" s="38">
        <f>SUM(V37:Y37)</f>
        <v/>
      </c>
      <c r="AA37" s="20">
        <f>IFERROR(AA9,"")</f>
        <v/>
      </c>
      <c r="AB37" s="20">
        <f>IFERROR(AB9,"")</f>
        <v/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W38" s="5" t="n"/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3">
        <f>IFERROR(W18/W5,"")</f>
        <v/>
      </c>
      <c r="X39" s="32">
        <f>IFERROR(X18/X5,"")</f>
        <v/>
      </c>
      <c r="Y39" s="32">
        <f>IFERROR(Y18/Y5,"")</f>
        <v/>
      </c>
      <c r="Z39" s="25">
        <f>IFERROR(Z18/Z5,"")</f>
        <v/>
      </c>
      <c r="AA39" s="32">
        <f>IFERROR(AA18/AA5,"")</f>
        <v/>
      </c>
      <c r="AB39" s="32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3">
        <f>IFERROR(W6/W5,"")</f>
        <v/>
      </c>
      <c r="X40" s="32">
        <f>IFERROR(X6/X5,"")</f>
        <v/>
      </c>
      <c r="Y40" s="32">
        <f>IFERROR(Y6/Y5,"")</f>
        <v/>
      </c>
      <c r="Z40" s="25">
        <f>IFERROR(Z6/Z5,"")</f>
        <v/>
      </c>
      <c r="AA40" s="32">
        <f>IFERROR(AA6/AA5,"")</f>
        <v/>
      </c>
      <c r="AB40" s="32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3">
        <f>IFERROR(W8/W5,"")</f>
        <v/>
      </c>
      <c r="X41" s="32">
        <f>IFERROR(X8/X5,"")</f>
        <v/>
      </c>
      <c r="Y41" s="32">
        <f>IFERROR(Y8/Y5,"")</f>
        <v/>
      </c>
      <c r="Z41" s="25">
        <f>IFERROR(Z8/Z5,"")</f>
        <v/>
      </c>
      <c r="AA41" s="32">
        <f>IFERROR(AA8/AA5,"")</f>
        <v/>
      </c>
      <c r="AB41" s="32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47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45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48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45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46">
        <f>IFERROR(VLOOKUP($A38,subQ,MATCH(S$1,SUBQH,0),0),"")</f>
        <v/>
      </c>
      <c r="T38" s="32">
        <f>IFERROR(VLOOKUP($A38,subQ,MATCH(T$1,SUBQH,0),0),"")</f>
        <v/>
      </c>
      <c r="U38" s="32">
        <f>IFERROR(VLOOKUP($A38,subQ,MATCH(U$1,SUBQH,0),0),"")</f>
        <v/>
      </c>
      <c r="V38" s="32">
        <f>IFERROR(VLOOKUP($A38,subQ,MATCH(V$1,SUBQH,0),0),"")</f>
        <v/>
      </c>
      <c r="W38" s="32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46">
        <f>IFERROR(S5/O5-1,"")</f>
        <v/>
      </c>
      <c r="T39" s="32">
        <f>IFERROR(T5/P5-1,"")</f>
        <v/>
      </c>
      <c r="U39" s="32">
        <f>IFERROR(U5/Q5-1,"")</f>
        <v/>
      </c>
      <c r="V39" s="32">
        <f>IFERROR(V5/R5-1,"")</f>
        <v/>
      </c>
      <c r="W39" s="32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46">
        <f>IFERROR(S9/O9-1,"")</f>
        <v/>
      </c>
      <c r="T40" s="32">
        <f>IFERROR(T9/P9-1,"")</f>
        <v/>
      </c>
      <c r="U40" s="32">
        <f>IFERROR(U9/Q9-1,"")</f>
        <v/>
      </c>
      <c r="V40" s="32">
        <f>IFERROR(V9/R9-1,"")</f>
        <v/>
      </c>
      <c r="W40" s="32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46">
        <f>IFERROR(S18/O18-1,"")</f>
        <v/>
      </c>
      <c r="T41" s="32">
        <f>IFERROR(T18/P18-1,"")</f>
        <v/>
      </c>
      <c r="U41" s="32">
        <f>IFERROR(U18/Q18-1,"")</f>
        <v/>
      </c>
      <c r="V41" s="32">
        <f>IFERROR(V18/R18-1,"")</f>
        <v/>
      </c>
      <c r="W41" s="32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46">
        <f>IFERROR(VLOOKUP($A38,subQ,MATCH(H$1,SUBQH,0),0),"")</f>
        <v/>
      </c>
      <c r="I38" s="32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46">
        <f>IFERROR(H5/G5-1,"")</f>
        <v/>
      </c>
      <c r="I39" s="32">
        <f>IFERROR(I5/H5-1,"")</f>
        <v/>
      </c>
      <c r="J39" s="32">
        <f>IFERROR(J5/I5-1,"")</f>
        <v/>
      </c>
      <c r="K39" s="32">
        <f>IFERROR(K5/J5-1,"")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46">
        <f>IFERROR(H9/G9-1,"")</f>
        <v/>
      </c>
      <c r="I40" s="32">
        <f>IFERROR(I9/H9-1,"")</f>
        <v/>
      </c>
      <c r="J40" s="32">
        <f>IFERROR(J9/I9-1,"")</f>
        <v/>
      </c>
      <c r="K40" s="32">
        <f>IFERROR(K9/J9-1,"")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46">
        <f>IFERROR(H18/G18-1,"")</f>
        <v/>
      </c>
      <c r="I41" s="32">
        <f>IFERROR(I18/H18-1,"")</f>
        <v/>
      </c>
      <c r="J41" s="32">
        <f>IFERROR(J18/I18-1,"")</f>
        <v/>
      </c>
      <c r="K41" s="32">
        <f>IFERROR(K18/J18-1,"")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132.6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92.76000000000001</v>
      </c>
    </row>
    <row r="32">
      <c r="C32" s="2" t="inlineStr">
        <is>
          <t>pbr_now</t>
        </is>
      </c>
      <c r="D32" t="n">
        <v>2.7</v>
      </c>
    </row>
    <row r="33">
      <c r="C33" s="2" t="inlineStr">
        <is>
          <t>roe_fwd</t>
        </is>
      </c>
      <c r="D33" t="n">
        <v>0.0291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