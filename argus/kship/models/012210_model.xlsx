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BS별도!$C$5:$AJ$87</definedName>
    <definedName name="SUBQH">subQ!$A$1:$AJ$1</definedName>
    <definedName name="subQ">subQ!$A$5:$AJ$42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잔차 실측 1분기 &lt; 4 → 0</t>
      </text>
    </comment>
    <comment ref="Y25" authorId="0" shapeId="0">
      <text>
        <t>모델값 역산(implied): 모델 v 그대로
잔차 실측 1분기 &lt; 4 → 0</t>
      </text>
    </comment>
    <comment ref="AA25" authorId="0" shapeId="0">
      <text>
        <t>모델값 역산(implied): 모델 v 그대로
잔차 실측 1분기 &lt; 4 → 0</t>
      </text>
    </comment>
    <comment ref="AB25" authorId="0" shapeId="0">
      <text>
        <t>모델값 역산(implied): 모델 v 그대로
잔차 실측 1분기 &lt; 4 → 0</t>
      </text>
    </comment>
    <comment ref="AC25" authorId="0" shapeId="0">
      <text>
        <t>모델값 역산(implied): 모델 v 그대로
잔차 실측 1분기 &lt; 4 → 0</t>
      </text>
    </comment>
    <comment ref="AD25" authorId="0" shapeId="0">
      <text>
        <t>모델값 역산(implied): 모델 v 그대로
잔차 실측 1분기 &lt; 4 → 0</t>
      </text>
    </comment>
    <comment ref="AF25" authorId="0" shapeId="0">
      <text>
        <t>모델값 역산(implied): 모델 v 그대로
잔차 실측 1분기 &lt; 4 → 0</t>
      </text>
    </comment>
    <comment ref="AG25" authorId="0" shapeId="0">
      <text>
        <t>모델값 역산(implied): 모델 v 그대로
잔차 실측 1분기 &lt; 4 → 0</t>
      </text>
    </comment>
    <comment ref="AH25" authorId="0" shapeId="0">
      <text>
        <t>모델값 역산(implied): 모델 v 그대로
잔차 실측 1분기 &lt; 4 → 0</t>
      </text>
    </comment>
    <comment ref="AI25" authorId="0" shapeId="0">
      <text>
        <t>모델값 역산(implied): 모델 v 그대로
잔차 실측 1분기 &lt; 4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Y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A27" authorId="0" shapeId="0">
      <text>
        <t>모델값 역산(implied): v / 세전이익 · 모델 가정 tax_schedule 0.0275(r4)
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B27" authorId="0" shapeId="0">
      <text>
        <t>모델값 역산(implied): v / 세전이익 · 모델 가정 tax_schedule 0.055(r4)
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C27" authorId="0" shapeId="0">
      <text>
        <t>모델값 역산(implied): v / 세전이익 · 모델 가정 tax_schedule 0.0825(r4)
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0.11(r4)
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0.1375(r4)
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0.165(r4)
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0.1925(r4)
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0.22(r4)
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X28" authorId="0" shapeId="0">
      <text>
        <t>3절 스칼라 '지배주주비중' 참조 — 숫자로 덮어쓰면 이 분기만 바뀐다
당기순이익 × (1 − 비지배 비중 0.0%, 최근 8분기 실측)</t>
      </text>
    </comment>
    <comment ref="Y28" authorId="0" shapeId="0">
      <text>
        <t>3절 스칼라 '지배주주비중' 참조 — 숫자로 덮어쓰면 이 분기만 바뀐다
당기순이익 × (1 − 비지배 비중 0.0%, 최근 8분기 실측)</t>
      </text>
    </comment>
    <comment ref="AA28" authorId="0" shapeId="0">
      <text>
        <t>3절 스칼라 '지배주주비중' 참조 — 숫자로 덮어쓰면 이 분기만 바뀐다
당기순이익 × (1 − 비지배 비중 0.0%, 최근 8분기 실측)</t>
      </text>
    </comment>
    <comment ref="AB28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전분기(시트값) + 당기순이익(시트 수식값) − v
전분기 + 당기순이익 − 배당(Q2 지급 가정)</t>
      </text>
    </comment>
    <comment ref="Y30" authorId="0" shapeId="0">
      <text>
        <t>모델값 역산(implied): 전분기(시트값) + 당기순이익(시트 수식값) − v
전분기 + 당기순이익 − 배당(Q2 지급 가정)</t>
      </text>
    </comment>
    <comment ref="AA30" authorId="0" shapeId="0">
      <text>
        <t>모델값 역산(implied): 전분기(시트값) + 당기순이익(시트 수식값) − v
전분기 + 당기순이익 − 배당(Q2 지급 가정)</t>
      </text>
    </comment>
    <comment ref="AB30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X31" authorId="0" shapeId="0">
      <text>
        <t>모델값 역산(implied): 전분기(시트값) + 지배주주순이익(시트 수식값) − v
전분기 + 지배주주순이익 − 배당</t>
      </text>
    </comment>
    <comment ref="Y31" authorId="0" shapeId="0">
      <text>
        <t>모델값 역산(implied): 전분기(시트값) + 지배주주순이익(시트 수식값) − v
전분기 + 지배주주순이익 − 배당</t>
      </text>
    </comment>
    <comment ref="AA31" authorId="0" shapeId="0">
      <text>
        <t>모델값 역산(implied): 전분기(시트값) + 지배주주순이익(시트 수식값) − v
전분기 + 지배주주순이익 − 배당</t>
      </text>
    </comment>
    <comment ref="AB31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4" authorId="0" shapeId="0">
      <text>
        <t>모델값 역산(implied): v / 전분기 − 1
전분기 + FCF 근사 — 순차입금 롤과 같은 가정</t>
      </text>
    </comment>
    <comment ref="Y34" authorId="0" shapeId="0">
      <text>
        <t>모델값 역산(implied): v / 전분기 − 1
전분기 + FCF 근사 — 순차입금 롤과 같은 가정</t>
      </text>
    </comment>
    <comment ref="AA34" authorId="0" shapeId="0">
      <text>
        <t>모델값 역산(implied): v / 전분기 − 1
전분기 + FCF 근사 — 순차입금 롤과 같은 가정</t>
      </text>
    </comment>
    <comment ref="AB34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파생상품손익 0 + 기타금융손익 +0.00억(잔차 실측 1분기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파생상품손익 0 + 기타금융손익 +0.00억(잔차 실측 1분기 &lt; 4 → 0) (항등식); 이자손익 = 이자발생자산 398억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파생상품손익 0 + 기타금융손익 +0.00억(잔차 실측 1분기 &lt; 4 → 0) (항등식); 이자손익 = 이자발생자산 406억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파생상품손익 0 + 기타금융손익 +0.00억(잔차 실측 1분기 &lt; 4 → 0) (항등식); 이자손익 = 이자발생자산 415억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파생상품손익 0 + 기타금융손익 +0.00억(잔차 실측 1분기 &lt; 4 → 0) (항등식); 이자손익 = 이자발생자산 428억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파생상품손익 0 + 기타금융손익 +0.00억(잔차 실측 1분기 &lt; 4 → 0) (항등식); 이자손익 = 이자발생자산 436억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파생상품손익 0 + 기타금융손익 +0.00억(잔차 실측 1분기 &lt; 4 → 0) (항등식); 이자손익 = 이자발생자산 443억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파생상품손익 0 + 기타금융손익 +0.00억(잔차 실측 1분기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파생상품손익 0 + 기타금융손익 +0.00억(잔차 실측 1분기 &lt; 4 → 0) (항등식); 이자손익 = 이자발생자산 462억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파생상품손익 0 + 기타금융손익 +0.00억(잔차 실측 1분기 &lt; 4 → 0) (항등식); 이자손익 = 이자발생자산 470억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398억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406억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415억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428억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436억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443억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462억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470억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W14" authorId="0" shapeId="0">
      <text>
        <t>실측(계정 매핑 없음(파생·부문·시세 행) — 모델값 직접) — fin.sep.is.금융손익 − 이자손익 − 파생상품손익(잔차) — 외환손익은 기타영업외 주석 → 금융 잔차에서 제외</t>
      </text>
    </comment>
    <comment ref="X14" authorId="0" shapeId="0">
      <text>
        <t>추정: 잔차 실측 1분기 &lt; 4 → 0
[abs]</t>
      </text>
    </comment>
    <comment ref="Y14" authorId="0" shapeId="0">
      <text>
        <t>추정: 잔차 실측 1분기 &lt; 4 → 0
[abs]</t>
      </text>
    </comment>
    <comment ref="AA14" authorId="0" shapeId="0">
      <text>
        <t>추정: 잔차 실측 1분기 &lt; 4 → 0
[abs]</t>
      </text>
    </comment>
    <comment ref="AB14" authorId="0" shapeId="0">
      <text>
        <t>추정: 잔차 실측 1분기 &lt; 4 → 0
[abs]</t>
      </text>
    </comment>
    <comment ref="AC14" authorId="0" shapeId="0">
      <text>
        <t>추정: 잔차 실측 1분기 &lt; 4 → 0
[abs]</t>
      </text>
    </comment>
    <comment ref="AD14" authorId="0" shapeId="0">
      <text>
        <t>추정: 잔차 실측 1분기 &lt; 4 → 0
[abs]</t>
      </text>
    </comment>
    <comment ref="AF14" authorId="0" shapeId="0">
      <text>
        <t>추정: 잔차 실측 1분기 &lt; 4 → 0
[abs]</t>
      </text>
    </comment>
    <comment ref="AG14" authorId="0" shapeId="0">
      <text>
        <t>추정: 잔차 실측 1분기 &lt; 4 → 0
[abs]</t>
      </text>
    </comment>
    <comment ref="AH14" authorId="0" shapeId="0">
      <text>
        <t>추정: 잔차 실측 1분기 &lt; 4 → 0
[abs]</t>
      </text>
    </comment>
    <comment ref="AI14" authorId="0" shapeId="0">
      <text>
        <t>추정: 잔차 실측 1분기 &lt; 4 → 0
[abs]</t>
      </text>
    </comment>
    <comment ref="X15" authorId="0" shapeId="0">
      <text>
        <t>추정: 일회성 미가정 → 0
[abs]</t>
      </text>
    </comment>
    <comment ref="Y15" authorId="0" shapeId="0">
      <text>
        <t>추정: 일회성 미가정 → 0
[abs]</t>
      </text>
    </comment>
    <comment ref="AA15" authorId="0" shapeId="0">
      <text>
        <t>추정: 일회성 미가정 → 0
[abs]</t>
      </text>
    </comment>
    <comment ref="AB15" authorId="0" shapeId="0">
      <text>
        <t>추정: 일회성 미가정 → 0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X16" authorId="0" shapeId="0">
      <text>
        <t>추정: 영업이익 + 금융손익 + 기타영업외 + 지분법 + 환관련(항등식)
[identity]</t>
      </text>
    </comment>
    <comment ref="Y16" authorId="0" shapeId="0">
      <text>
        <t>추정: 영업이익 + 금융손익 + 기타영업외 + 지분법 + 환관련(항등식)
[identity]</t>
      </text>
    </comment>
    <comment ref="AA16" authorId="0" shapeId="0">
      <text>
        <t>추정: 영업이익 + 금융손익 + 기타영업외 + 지분법 + 환관련(항등식)
[identity]</t>
      </text>
    </comment>
    <comment ref="AB16" authorId="0" shapeId="0">
      <text>
        <t>추정: 영업이익 + 금융손익 + 기타영업외 + 지분법 + 환관련(항등식)
[identity]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X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Y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A17" authorId="0" shapeId="0">
      <text>
        <t>추정: 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B17" authorId="0" shapeId="0">
      <text>
        <t>추정: 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C17" authorId="0" shapeId="0">
      <text>
        <t>추정: 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X18" authorId="0" shapeId="0">
      <text>
        <t>추정: 세전이익 − 법인세비용(항등식)
[identity]</t>
      </text>
    </comment>
    <comment ref="Y18" authorId="0" shapeId="0">
      <text>
        <t>추정: 세전이익 − 법인세비용(항등식)
[identity]</t>
      </text>
    </comment>
    <comment ref="AA18" authorId="0" shapeId="0">
      <text>
        <t>추정: 세전이익 − 법인세비용(항등식)
[identity]</t>
      </text>
    </comment>
    <comment ref="AB18" authorId="0" shapeId="0">
      <text>
        <t>추정: 세전이익 − 법인세비용(항등식)
[identity]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X19" authorId="0" shapeId="0">
      <text>
        <t>추정: 당기순이익 × (1 − 비지배 비중 0.0%, 최근 8분기 실측)
[ratio]</t>
      </text>
    </comment>
    <comment ref="Y19" authorId="0" shapeId="0">
      <text>
        <t>추정: 당기순이익 × (1 − 비지배 비중 0.0%, 최근 8분기 실측)
[ratio]</t>
      </text>
    </comment>
    <comment ref="AA19" authorId="0" shapeId="0">
      <text>
        <t>추정: 당기순이익 × (1 − 비지배 비중 0.0%, 최근 8분기 실측)
[ratio]</t>
      </text>
    </comment>
    <comment ref="AB19" authorId="0" shapeId="0">
      <text>
        <t>추정: 당기순이익 × (1 − 비지배 비중 0.0%, 최근 8분기 실측)
[ratio]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부채총계 + 자본총계(항등식)
[identity]</t>
      </text>
    </comment>
    <comment ref="Y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B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당기순이익 − 배당(Q2 지급 가정)
[roll]</t>
      </text>
    </comment>
    <comment ref="Y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B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지배주주순이익 − 배당
[roll]</t>
      </text>
    </comment>
    <comment ref="Y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B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6" authorId="0" shapeId="0">
      <text>
        <t>연간 실측(BS 시트에 2022.12A 없음 — 모델 a 값 직접)</t>
      </text>
    </comment>
    <comment ref="X26" authorId="0" shapeId="0">
      <text>
        <t>추정: 전분기 + FCF 근사 — 순차입금 롤과 같은 가정
[qoq]</t>
      </text>
    </comment>
    <comment ref="Y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B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F27" authorId="0" shapeId="0">
      <text>
        <t>연간 실측(BS 시트에 2022.12A 없음 — 모델 a 값 직접)</t>
      </text>
    </comment>
    <comment ref="X28" authorId="0" shapeId="0">
      <text>
        <t>추정: 최근 2분기(2026Q1~2026Q2) CAPEX 중위 유지 — 순차입금 롤에 미반영(감가상각비 없음 → CAPEX≈감가 가정)
[yoy]</t>
      </text>
    </comment>
    <comment ref="Y28" authorId="0" shapeId="0">
      <text>
        <t>추정: 최근 2분기(2026Q1~2026Q2) CAPEX 중위 유지 — 순차입금 롤에 미반영(감가상각비 없음 → CAPEX≈감가 가정)
[yoy]</t>
      </text>
    </comment>
    <comment ref="AA28" authorId="0" shapeId="0">
      <text>
        <t>추정: 최근 2분기(2026Q1~2026Q2) CAPEX 중위 유지 — 순차입금 롤에 미반영(감가상각비 없음 → CAPEX≈감가 가정)
[yoy]</t>
      </text>
    </comment>
    <comment ref="AB28" authorId="0" shapeId="0">
      <text>
        <t>추정: 최근 2분기(2026Q1~2026Q2) CAPEX 중위 유지 — 순차입금 롤에 미반영(감가상각비 없음 → CAPEX≈감가 가정)
[yoy]</t>
      </text>
    </comment>
    <comment ref="AC28" authorId="0" shapeId="0">
      <text>
        <t>추정: 최근 2분기(2026Q1~2026Q2) CAPEX 중위 유지 — 순차입금 롤에 미반영(감가상각비 없음 → CAPEX≈감가 가정)
[yoy]</t>
      </text>
    </comment>
    <comment ref="AD28" authorId="0" shapeId="0">
      <text>
        <t>추정: 최근 2분기(2026Q1~2026Q2) CAPEX 중위 유지 — 순차입금 롤에 미반영(감가상각비 없음 → CAPEX≈감가 가정)
[yoy]</t>
      </text>
    </comment>
    <comment ref="AF28" authorId="0" shapeId="0">
      <text>
        <t>추정: 최근 2분기(2026Q1~2026Q2) CAPEX 중위 유지 — 순차입금 롤에 미반영(감가상각비 없음 → CAPEX≈감가 가정)
[yoy]</t>
      </text>
    </comment>
    <comment ref="AG28" authorId="0" shapeId="0">
      <text>
        <t>추정: 최근 2분기(2026Q1~2026Q2) CAPEX 중위 유지 — 순차입금 롤에 미반영(감가상각비 없음 → CAPEX≈감가 가정)
[yoy]</t>
      </text>
    </comment>
    <comment ref="AH28" authorId="0" shapeId="0">
      <text>
        <t>추정: 최근 2분기(2026Q1~2026Q2) CAPEX 중위 유지 — 순차입금 롤에 미반영(감가상각비 없음 → CAPEX≈감가 가정)
[yoy]</t>
      </text>
    </comment>
    <comment ref="AI28" authorId="0" shapeId="0">
      <text>
        <t>추정: 최근 2분기(2026Q1~2026Q2)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31,599,885주 × 1/2(환산 — 2025Q2 1/2 수동(복합 사건); IAS 33.64 비교표시·수정주가 이력과 정합)</t>
      </text>
    </comment>
    <comment ref="G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H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I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J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L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M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N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O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Q30" authorId="0" shapeId="0">
      <text>
        <t>추정(실적 구간 갭필): 주식의 총수 기재 없는 분기 → 2024Q4 값 이월 35,599,885주 × 1/2(환산 — 2025Q2 1/2 수동(복합 사건); IAS 33.64 비교표시·수정주가 이력과 정합)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추정: 유통주식수 유지 — fin.shares.common_outstanding(2026Q2)
[qoq]</t>
      </text>
    </comment>
    <comment ref="Y30" authorId="0" shapeId="0">
      <text>
        <t>추정: 유통주식수 유지 — fin.shares.common_outstanding(2026Q2)
[qoq]</t>
      </text>
    </comment>
    <comment ref="AA30" authorId="0" shapeId="0">
      <text>
        <t>추정: 유통주식수 유지 — fin.shares.common_outstanding(2026Q2)
[qoq]</t>
      </text>
    </comment>
    <comment ref="AB30" authorId="0" shapeId="0">
      <text>
        <t>추정: 유통주식수 유지 — fin.shares.common_outstanding(2026Q2)
[qoq]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X31" authorId="0" shapeId="0">
      <text>
        <t>추정: 지배주주순이익 ÷ 유통주식수
[per_share]</t>
      </text>
    </comment>
    <comment ref="Y31" authorId="0" shapeId="0">
      <text>
        <t>추정: 지배주주순이익 ÷ 유통주식수
[per_share]</t>
      </text>
    </comment>
    <comment ref="AA31" authorId="0" shapeId="0">
      <text>
        <t>추정: 지배주주순이익 ÷ 유통주식수
[per_share]</t>
      </text>
    </comment>
    <comment ref="AB31" authorId="0" shapeId="0">
      <text>
        <t>추정: 지배주주순이익 ÷ 유통주식수
[per_share]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T32" authorId="0" shapeId="0">
      <text>
        <t>조정EPS 산식(모델 추정, 일회성 여부·세효과 주석 미확인): 지배NI − 초과 비영업손익 -28억 × (1 − 세율 0.0% [모델 세율(분기 유효세율이 0~35% 밖·세전 ≤ 0)]) × 지배 비중 1.0000 [그 분기 지배NI/NI] = 20억 ÷ 유통주식수 · 초과 = 비영업손익 -34억 − 12분기 기준선 -6억 · 보고 EPS -39원(EPS 행 불변) · 상수 -28.47·1.0 는 모델 one_offs_detected 값(세전·법인세 셀을 바꿔도 재계산되지 않음)</t>
      </text>
    </comment>
    <comment ref="X32" authorId="0" shapeId="0">
      <text>
        <t>추정: = EPS(추정 구간은 일회성 미가정)
[identity]</t>
      </text>
    </comment>
    <comment ref="Y32" authorId="0" shapeId="0">
      <text>
        <t>추정: = EPS(추정 구간은 일회성 미가정)
[identity]</t>
      </text>
    </comment>
    <comment ref="AA32" authorId="0" shapeId="0">
      <text>
        <t>추정: = EPS(추정 구간은 일회성 미가정)
[identity]</t>
      </text>
    </comment>
    <comment ref="AB32" authorId="0" shapeId="0">
      <text>
        <t>추정: = EPS(추정 구간은 일회성 미가정)
[identity]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X33" authorId="0" shapeId="0">
      <text>
        <t>추정: 지배주주지분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0원 유지
[abs]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X35" authorId="0" shapeId="0">
      <text>
        <t>추정: 현재 종가 ÷ TTM EPS(추정 포함)
[valuation]</t>
      </text>
    </comment>
    <comment ref="Y35" authorId="0" shapeId="0">
      <text>
        <t>추정: 현재 종가 ÷ TTM EPS(추정 포함)
[valuation]</t>
      </text>
    </comment>
    <comment ref="AA35" authorId="0" shapeId="0">
      <text>
        <t>추정: 현재 종가 ÷ TTM EPS(추정 포함)
[valuation]</t>
      </text>
    </comment>
    <comment ref="AB35" authorId="0" shapeId="0">
      <text>
        <t>추정: 현재 종가 ÷ TTM EPS(추정 포함)
[valuation]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X36" authorId="0" shapeId="0">
      <text>
        <t>추정: 현재 종가 ÷ BPS(추정 포함)
[valuation]</t>
      </text>
    </comment>
    <comment ref="Y36" authorId="0" shapeId="0">
      <text>
        <t>추정: 현재 종가 ÷ BPS(추정 포함)
[valuation]</t>
      </text>
    </comment>
    <comment ref="AA36" authorId="0" shapeId="0">
      <text>
        <t>추정: 현재 종가 ÷ BPS(추정 포함)
[valuation]</t>
      </text>
    </comment>
    <comment ref="AB36" authorId="0" shapeId="0">
      <text>
        <t>추정: 현재 종가 ÷ BPS(추정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O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추정: = 매출액 추정(부문 미분리)
[identity]</t>
      </text>
    </comment>
    <comment ref="Y37" authorId="0" shapeId="0">
      <text>
        <t>추정: = 매출액 추정(부문 미분리)
[identity]</t>
      </text>
    </comment>
    <comment ref="AA37" authorId="0" shapeId="0">
      <text>
        <t>추정: = 매출액 추정(부문 미분리)
[identity]</t>
      </text>
    </comment>
    <comment ref="AB37" authorId="0" shapeId="0">
      <text>
        <t>추정: = 매출액 추정(부문 미분리)
[identity]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O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추정: = 매출액 × OPM(부문 미분리)
[identity]</t>
      </text>
    </comment>
    <comment ref="Y38" authorId="0" shapeId="0">
      <text>
        <t>추정: = 매출액 × OPM(부문 미분리)
[identity]</t>
      </text>
    </comment>
    <comment ref="AA38" authorId="0" shapeId="0">
      <text>
        <t>추정: = 매출액 × OPM(부문 미분리)
[identity]</t>
      </text>
    </comment>
    <comment ref="AB38" authorId="0" shapeId="0">
      <text>
        <t>추정: = 매출액 × OPM(부문 미분리)
[identity]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1.25%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-39→조정 89원)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fin 미수집 분기 7개(no_report 등): 2023Q1, 2023Q2, 2023Q3, 2024Q1, 2024Q2, 2024Q3 / 외환차손익이 기타영업외 주석에 있음(1분기, 2026Q2~2026Q2) → 외환손익 행 없음, 기타금융손익 = 금융손익 − 이자 − 파생(fx_in_other_nonop) / 매출 드라이버 폴백(고객 조선사 연결 없음(suppliers.json)): 전년동기 × (1+g) 추세 / 주식수 사건 환산: 2025Q2 1/2 수동(복합 사건)(eps_reported 교차검증 confirmed) → 사건 전 실적 3분기의 주식수·EPS·BPS·DPS 를 비율 환산(IAS 33.64; 셀 kind estimate, basis 에 원주식수·비율) / 법인세율 이월결손 경로: 최근 양(+)세전 4분기 유효세율 중위 -0.5%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89.1원(보고 -39.2원; 초과 비영업손익 -28억 × (1 − 세율 0.0%) × 지배 비중 1.00 = -28억 차감 — 추정, 조정EPS 행)</t>
        </is>
      </c>
    </row>
    <row r="35">
      <c r="A35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1337.49</v>
      </c>
      <c r="Z6" s="17" t="n">
        <v>1451.19</v>
      </c>
      <c r="AA6" s="16" t="n">
        <v>1324.45</v>
      </c>
      <c r="AB6" s="16" t="n">
        <v>1324.45</v>
      </c>
      <c r="AC6" s="16" t="n">
        <v>1324.45</v>
      </c>
      <c r="AD6" s="16" t="n">
        <v>1324.45</v>
      </c>
      <c r="AE6" s="11" t="n"/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1324.45</v>
      </c>
      <c r="Z7" s="17" t="n">
        <v>1324.45</v>
      </c>
      <c r="AA7" s="16" t="n">
        <v>1324.45</v>
      </c>
      <c r="AB7" s="16" t="n">
        <v>1324.45</v>
      </c>
      <c r="AC7" s="16" t="n">
        <v>1324.45</v>
      </c>
      <c r="AD7" s="16" t="n">
        <v>1324.45</v>
      </c>
      <c r="AE7" s="11" t="n"/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846.51</v>
      </c>
      <c r="Z8" s="17" t="n">
        <v>915.5700000000001</v>
      </c>
      <c r="AA8" s="16" t="n">
        <v>844.67</v>
      </c>
      <c r="AB8" s="16" t="n">
        <v>844.67</v>
      </c>
      <c r="AC8" s="16" t="n">
        <v>844.67</v>
      </c>
      <c r="AD8" s="16" t="n">
        <v>844.67</v>
      </c>
      <c r="AE8" s="11" t="n"/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844.67</v>
      </c>
      <c r="Z9" s="17" t="n">
        <v>844.67</v>
      </c>
      <c r="AA9" s="16" t="n">
        <v>844.67</v>
      </c>
      <c r="AB9" s="16" t="n">
        <v>844.67</v>
      </c>
      <c r="AC9" s="16" t="n">
        <v>844.67</v>
      </c>
      <c r="AD9" s="16" t="n">
        <v>844.67</v>
      </c>
      <c r="AE9" s="11" t="n"/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1500.06</v>
      </c>
      <c r="Z10" s="17" t="n">
        <v>1680.5</v>
      </c>
      <c r="AA10" s="16" t="n">
        <v>1482.45</v>
      </c>
      <c r="AB10" s="16" t="n">
        <v>1482.45</v>
      </c>
      <c r="AC10" s="16" t="n">
        <v>1482.45</v>
      </c>
      <c r="AD10" s="16" t="n">
        <v>1482.45</v>
      </c>
      <c r="AE10" s="11" t="n"/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1482.45</v>
      </c>
      <c r="Z11" s="17" t="n">
        <v>1482.45</v>
      </c>
      <c r="AA11" s="16" t="n">
        <v>1482.45</v>
      </c>
      <c r="AB11" s="16" t="n">
        <v>1482.45</v>
      </c>
      <c r="AC11" s="16" t="n">
        <v>1482.45</v>
      </c>
      <c r="AD11" s="16" t="n">
        <v>1482.45</v>
      </c>
      <c r="AE11" s="11" t="n"/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199.88</v>
      </c>
      <c r="Z12" s="17" t="n">
        <v>213.06</v>
      </c>
      <c r="AA12" s="16" t="n">
        <v>198.56</v>
      </c>
      <c r="AB12" s="16" t="n">
        <v>198.56</v>
      </c>
      <c r="AC12" s="16" t="n">
        <v>198.56</v>
      </c>
      <c r="AD12" s="16" t="n">
        <v>198.56</v>
      </c>
      <c r="AE12" s="11" t="n"/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198.56</v>
      </c>
      <c r="Z13" s="17" t="n">
        <v>198.56</v>
      </c>
      <c r="AA13" s="16" t="n">
        <v>198.56</v>
      </c>
      <c r="AB13" s="16" t="n">
        <v>198.56</v>
      </c>
      <c r="AC13" s="16" t="n">
        <v>198.56</v>
      </c>
      <c r="AD13" s="16" t="n">
        <v>198.56</v>
      </c>
      <c r="AE13" s="11" t="n"/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8180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8060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10431.9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9">
        <f>subQ!W15</f>
        <v/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3">
        <f>IFERROR(subQ!W17/subQ!W16,"")</f>
        <v/>
      </c>
      <c r="X27" s="24" t="n">
        <v>0</v>
      </c>
      <c r="Y27" s="24" t="n">
        <v>0</v>
      </c>
      <c r="Z27" s="25">
        <f>IFERROR(subQ!Z17/subQ!Z16,"")</f>
        <v/>
      </c>
      <c r="AA27" s="24" t="n">
        <v>0.027139875</v>
      </c>
      <c r="AB27" s="24" t="n">
        <v>0.05538695</v>
      </c>
      <c r="AC27" s="24" t="n">
        <v>0.082130966</v>
      </c>
      <c r="AD27" s="24" t="n">
        <v>0.109660574</v>
      </c>
      <c r="AE27" s="25">
        <f>IFERROR(subQ!AE17/subQ!AE16,"")</f>
        <v/>
      </c>
      <c r="AF27" s="24" t="n">
        <v>0.137254902</v>
      </c>
      <c r="AG27" s="24" t="n">
        <v>0.164785553</v>
      </c>
      <c r="AH27" s="24" t="n">
        <v>0.192982456</v>
      </c>
      <c r="AI27" s="24" t="n">
        <v>0.220360825</v>
      </c>
      <c r="AJ27" s="25">
        <f>IFERROR(subQ!AJ17/subQ!AJ16,"")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3">
        <f>IFERROR(subQ!W19/subQ!W18,"")</f>
        <v/>
      </c>
      <c r="X28" s="26">
        <f>$D$51</f>
        <v/>
      </c>
      <c r="Y28" s="26">
        <f>$D$51</f>
        <v/>
      </c>
      <c r="Z28" s="25">
        <f>IFERROR(subQ!Z19/subQ!Z18,"")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3">
        <f>IFERROR(subQ!W21/subQ!V21-1,"")</f>
        <v/>
      </c>
      <c r="X29" s="24" t="n">
        <v>-1.63e-06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-0.003266798</v>
      </c>
      <c r="Y30" s="30" t="n">
        <v>-0.011594581</v>
      </c>
      <c r="Z30" s="31" t="n"/>
      <c r="AA30" s="30" t="n">
        <v>0.002246888</v>
      </c>
      <c r="AB30" s="30" t="n">
        <v>-0.008834981</v>
      </c>
      <c r="AC30" s="30" t="n">
        <v>0.000251835</v>
      </c>
      <c r="AD30" s="30" t="n">
        <v>0.006605165</v>
      </c>
      <c r="AE30" s="31" t="n"/>
      <c r="AF30" s="30" t="n">
        <v>-0.002135393</v>
      </c>
      <c r="AG30" s="30" t="n">
        <v>0.003106683</v>
      </c>
      <c r="AH30" s="30" t="n">
        <v>-0.011211051</v>
      </c>
      <c r="AI30" s="30" t="n">
        <v>0.001241192</v>
      </c>
      <c r="AJ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9">
        <f>IFERROR(subQ!V23+subQ!W19-subQ!W23,"")</f>
        <v/>
      </c>
      <c r="X31" s="30" t="n">
        <v>-0.003266798</v>
      </c>
      <c r="Y31" s="30" t="n">
        <v>-0.011594581</v>
      </c>
      <c r="Z31" s="31" t="n"/>
      <c r="AA31" s="30" t="n">
        <v>0.002246888</v>
      </c>
      <c r="AB31" s="30" t="n">
        <v>-0.008834981</v>
      </c>
      <c r="AC31" s="30" t="n">
        <v>0.000251835</v>
      </c>
      <c r="AD31" s="30" t="n">
        <v>0.006605165</v>
      </c>
      <c r="AE31" s="31" t="n"/>
      <c r="AF31" s="30" t="n">
        <v>-0.002135393</v>
      </c>
      <c r="AG31" s="30" t="n">
        <v>0.003106683</v>
      </c>
      <c r="AH31" s="30" t="n">
        <v>-0.011211051</v>
      </c>
      <c r="AI31" s="30" t="n">
        <v>0.001241192</v>
      </c>
      <c r="AJ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-2.32e-07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-0.018745292</v>
      </c>
      <c r="Y33" s="24" t="n">
        <v>-0.016221907</v>
      </c>
      <c r="Z33" s="25" t="n"/>
      <c r="AA33" s="24" t="n">
        <v>-0.020333282</v>
      </c>
      <c r="AB33" s="24" t="n">
        <v>-0.027777778</v>
      </c>
      <c r="AC33" s="24" t="n">
        <v>-0.01896354</v>
      </c>
      <c r="AD33" s="24" t="n">
        <v>-0.015940911</v>
      </c>
      <c r="AE33" s="25" t="n"/>
      <c r="AF33" s="24" t="n">
        <v>-0.019857011</v>
      </c>
      <c r="AG33" s="24" t="n">
        <v>-0.026899309</v>
      </c>
      <c r="AH33" s="24" t="n">
        <v>-0.018328975</v>
      </c>
      <c r="AI33" s="24" t="n">
        <v>-0.015373297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24" t="n">
        <v>0.022838498</v>
      </c>
      <c r="Y34" s="24" t="n">
        <v>0.018927603</v>
      </c>
      <c r="Z34" s="25" t="n"/>
      <c r="AA34" s="24" t="n">
        <v>0.022961321</v>
      </c>
      <c r="AB34" s="24" t="n">
        <v>0.030008188</v>
      </c>
      <c r="AC34" s="24" t="n">
        <v>0.019336887</v>
      </c>
      <c r="AD34" s="24" t="n">
        <v>0.015621057</v>
      </c>
      <c r="AE34" s="25" t="n"/>
      <c r="AF34" s="24" t="n">
        <v>0.018881561</v>
      </c>
      <c r="AG34" s="24" t="n">
        <v>0.024605426</v>
      </c>
      <c r="AH34" s="24" t="n">
        <v>0.015944788</v>
      </c>
      <c r="AI34" s="24" t="n">
        <v>0.012883579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3">
        <f>IFERROR(subQ!W27/subQ!V27-1,"")</f>
        <v/>
      </c>
      <c r="X35" s="32" t="n"/>
      <c r="Y35" s="32" t="n"/>
      <c r="Z35" s="25" t="n"/>
      <c r="AA35" s="32" t="n"/>
      <c r="AB35" s="32" t="n"/>
      <c r="AC35" s="32" t="n"/>
      <c r="AD35" s="32" t="n"/>
      <c r="AE35" s="25" t="n"/>
      <c r="AF35" s="32" t="n"/>
      <c r="AG35" s="32" t="n"/>
      <c r="AH35" s="32" t="n"/>
      <c r="AI35" s="32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24" t="n">
        <v>-0.040567081</v>
      </c>
      <c r="Y36" s="24" t="n">
        <v>0</v>
      </c>
      <c r="Z36" s="25" t="n"/>
      <c r="AA36" s="24" t="n">
        <v>0.04400984</v>
      </c>
      <c r="AB36" s="24" t="n">
        <v>-0.040567081</v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3">
        <f>IFERROR(subQ!W29/subQ!R29-1,"")</f>
        <v/>
      </c>
      <c r="X37" s="32" t="n"/>
      <c r="Y37" s="32" t="n"/>
      <c r="Z37" s="25" t="n"/>
      <c r="AA37" s="32" t="n"/>
      <c r="AB37" s="32" t="n"/>
      <c r="AC37" s="32" t="n"/>
      <c r="AD37" s="32" t="n"/>
      <c r="AE37" s="25" t="n"/>
      <c r="AF37" s="32" t="n"/>
      <c r="AG37" s="32" t="n"/>
      <c r="AH37" s="32" t="n"/>
      <c r="AI37" s="32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3">
        <f>IFERROR(subQ!W30/subQ!V30-1,"")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9">
        <f>subQ!W34</f>
        <v/>
      </c>
      <c r="X39" s="33" t="n"/>
      <c r="Y39" s="30" t="n">
        <v>0</v>
      </c>
      <c r="Z39" s="31">
        <f>subQ!Z34</f>
        <v/>
      </c>
      <c r="AA39" s="33" t="n"/>
      <c r="AB39" s="33" t="n"/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8180</v>
      </c>
      <c r="E42" s="2" t="inlineStr">
        <is>
          <t>원 — 네이버 정규장 종가(aik 확정종가 대조 · aik 8,960원)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20261026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0.01253329188932982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0.03714067115983267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20.18</v>
      </c>
      <c r="K22" s="37" t="n">
        <v>20.18</v>
      </c>
      <c r="O22" s="18" t="n">
        <v>13.64</v>
      </c>
      <c r="P22" s="37" t="n">
        <v>13.64</v>
      </c>
      <c r="R22" s="18" t="n">
        <v>10.09</v>
      </c>
      <c r="S22" s="18" t="n">
        <v>8.24</v>
      </c>
      <c r="T22" s="18" t="n">
        <v>14.76</v>
      </c>
      <c r="U22" s="37" t="n">
        <v>14.76</v>
      </c>
      <c r="V22" s="18" t="n">
        <v>11.62</v>
      </c>
      <c r="W22" s="19" t="n">
        <v>8.4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비유동리스부채</t>
        </is>
      </c>
      <c r="F42" s="9" t="n"/>
      <c r="J42" s="18" t="n">
        <v>13.63</v>
      </c>
      <c r="K42" s="37" t="n">
        <v>13.63</v>
      </c>
      <c r="O42" s="18" t="n">
        <v>6.35</v>
      </c>
      <c r="P42" s="37" t="n">
        <v>6.35</v>
      </c>
      <c r="R42" s="18" t="n">
        <v>2.4</v>
      </c>
      <c r="S42" s="18" t="n">
        <v>0</v>
      </c>
      <c r="T42" s="18" t="n">
        <v>3.5</v>
      </c>
      <c r="U42" s="37" t="n">
        <v>3.5</v>
      </c>
      <c r="V42" s="18" t="n">
        <v>2.21</v>
      </c>
      <c r="W42" s="19" t="n">
        <v>0.89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장기금융부채</t>
        </is>
      </c>
      <c r="F43" s="9" t="n"/>
      <c r="J43" s="18" t="n">
        <v>13.63</v>
      </c>
      <c r="K43" s="37" t="n">
        <v>13.63</v>
      </c>
      <c r="O43" s="18" t="n">
        <v>6.35</v>
      </c>
      <c r="P43" s="37" t="n">
        <v>6.35</v>
      </c>
      <c r="R43" s="18" t="n">
        <v>2.4</v>
      </c>
      <c r="S43" s="18" t="n">
        <v>0</v>
      </c>
      <c r="T43" s="18" t="n">
        <v>3.5</v>
      </c>
      <c r="U43" s="37" t="n">
        <v>3.5</v>
      </c>
      <c r="V43" s="18" t="n">
        <v>2.21</v>
      </c>
      <c r="W43" s="19" t="n">
        <v>5604.21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무형자산</t>
        </is>
      </c>
      <c r="F44" s="9" t="n"/>
      <c r="K44" s="9" t="n"/>
      <c r="O44" s="18" t="n">
        <v>81.58</v>
      </c>
      <c r="P44" s="37" t="n">
        <v>81.58</v>
      </c>
      <c r="R44" s="18" t="n">
        <v>72.68000000000001</v>
      </c>
      <c r="S44" s="18" t="n">
        <v>68.23</v>
      </c>
      <c r="T44" s="18" t="n">
        <v>63.78</v>
      </c>
      <c r="U44" s="37" t="n">
        <v>63.78</v>
      </c>
      <c r="V44" s="18" t="n">
        <v>59.33</v>
      </c>
      <c r="W44" s="19" t="n">
        <v>66.48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O45" s="18" t="n">
        <v>70.98999999999999</v>
      </c>
      <c r="P45" s="37" t="n">
        <v>70.98999999999999</v>
      </c>
      <c r="R45" s="18" t="n">
        <v>0</v>
      </c>
      <c r="S45" s="18" t="n">
        <v>0</v>
      </c>
      <c r="T45" s="18" t="n">
        <v>0</v>
      </c>
      <c r="U45" s="37" t="n">
        <v>0</v>
      </c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당기법인세부채(미지급법인세)</t>
        </is>
      </c>
      <c r="F46" s="9" t="n"/>
      <c r="K46" s="9" t="n"/>
      <c r="O46" s="18" t="n">
        <v>6.25</v>
      </c>
      <c r="P46" s="37" t="n">
        <v>6.25</v>
      </c>
      <c r="R46" s="18" t="n">
        <v>0</v>
      </c>
      <c r="S46" s="18" t="n">
        <v>0</v>
      </c>
      <c r="T46" s="18" t="n">
        <v>2.12</v>
      </c>
      <c r="U46" s="37" t="n">
        <v>2.12</v>
      </c>
      <c r="V46" s="18" t="n">
        <v>2.12</v>
      </c>
      <c r="W46" s="19" t="n">
        <v>0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15.91</v>
      </c>
      <c r="P47" s="37" t="n">
        <v>15.91</v>
      </c>
      <c r="R47" s="18" t="n">
        <v>28.92</v>
      </c>
      <c r="S47" s="18" t="n">
        <v>42.29</v>
      </c>
      <c r="T47" s="18" t="n">
        <v>54.54</v>
      </c>
      <c r="U47" s="37" t="n">
        <v>54.54</v>
      </c>
      <c r="V47" s="18" t="n">
        <v>59.8</v>
      </c>
      <c r="W47" s="19" t="n">
        <v>65.33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사채</t>
        </is>
      </c>
      <c r="F48" s="9" t="n"/>
      <c r="K48" s="9" t="n"/>
      <c r="P48" s="9" t="n"/>
      <c r="T48" s="18" t="n">
        <v>1366.27</v>
      </c>
      <c r="U48" s="37" t="n">
        <v>1366.27</v>
      </c>
      <c r="V48" s="18" t="n">
        <v>1392.4</v>
      </c>
      <c r="W48" s="19" t="n">
        <v>18372.02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U49" s="9" t="n"/>
      <c r="W49" s="19" t="n">
        <v>3272.11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P50" s="9" t="n"/>
      <c r="U50" s="9" t="n"/>
      <c r="W50" s="19" t="n">
        <v>5603.32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매출액(수익)</t>
        </is>
      </c>
      <c r="F51" s="9" t="n"/>
      <c r="K51" s="9" t="n"/>
      <c r="O51" s="18" t="n">
        <v>18354.27</v>
      </c>
      <c r="P51" s="9" t="n"/>
      <c r="R51" s="18" t="n">
        <v>22565.99</v>
      </c>
      <c r="S51" s="18" t="n">
        <v>17550.48</v>
      </c>
      <c r="T51" s="18" t="n">
        <v>16010.87</v>
      </c>
      <c r="U51" s="9" t="n"/>
      <c r="V51" s="18" t="n">
        <v>18258.7</v>
      </c>
      <c r="W51" s="19" t="n">
        <v>22258.66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매출원가</t>
        </is>
      </c>
      <c r="F52" s="9" t="n"/>
      <c r="K52" s="9" t="n"/>
      <c r="O52" s="18" t="n">
        <v>17211.41</v>
      </c>
      <c r="P52" s="9" t="n"/>
      <c r="R52" s="18" t="n">
        <v>19126.64</v>
      </c>
      <c r="S52" s="18" t="n">
        <v>15538.94</v>
      </c>
      <c r="T52" s="18" t="n">
        <v>13541.9</v>
      </c>
      <c r="U52" s="9" t="n"/>
      <c r="V52" s="18" t="n">
        <v>15520.56</v>
      </c>
      <c r="W52" s="19" t="n">
        <v>18557.24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매출총이익</t>
        </is>
      </c>
      <c r="F53" s="9" t="n"/>
      <c r="K53" s="9" t="n"/>
      <c r="O53" s="18" t="n">
        <v>1142.86</v>
      </c>
      <c r="P53" s="9" t="n"/>
      <c r="R53" s="18" t="n">
        <v>3439.35</v>
      </c>
      <c r="S53" s="18" t="n">
        <v>2011.54</v>
      </c>
      <c r="T53" s="18" t="n">
        <v>2468.97</v>
      </c>
      <c r="U53" s="9" t="n"/>
      <c r="V53" s="18" t="n">
        <v>2738.14</v>
      </c>
      <c r="W53" s="19" t="n">
        <v>3701.42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판관비</t>
        </is>
      </c>
      <c r="F54" s="9" t="n"/>
      <c r="K54" s="9" t="n"/>
      <c r="O54" s="18" t="n">
        <v>1053.41</v>
      </c>
      <c r="P54" s="9" t="n"/>
      <c r="R54" s="18" t="n">
        <v>995.0700000000001</v>
      </c>
      <c r="S54" s="18" t="n">
        <v>1085.89</v>
      </c>
      <c r="T54" s="18" t="n">
        <v>1011.28</v>
      </c>
      <c r="U54" s="9" t="n"/>
      <c r="V54" s="18" t="n">
        <v>1135.84</v>
      </c>
      <c r="W54" s="19" t="n">
        <v>1094.9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영업이익</t>
        </is>
      </c>
      <c r="F55" s="9" t="n"/>
      <c r="K55" s="9" t="n"/>
      <c r="O55" s="18" t="n">
        <v>89.45</v>
      </c>
      <c r="P55" s="9" t="n"/>
      <c r="R55" s="18" t="n">
        <v>2444.28</v>
      </c>
      <c r="S55" s="18" t="n">
        <v>925.65</v>
      </c>
      <c r="T55" s="18" t="n">
        <v>1457.69</v>
      </c>
      <c r="U55" s="9" t="n"/>
      <c r="V55" s="18" t="n">
        <v>1602.3</v>
      </c>
      <c r="W55" s="19" t="n">
        <v>2606.52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영업외손익</t>
        </is>
      </c>
      <c r="F56" s="9" t="n"/>
      <c r="K56" s="9" t="n"/>
      <c r="O56" s="18" t="n">
        <v>-562.9299999999999</v>
      </c>
      <c r="P56" s="9" t="n"/>
      <c r="R56" s="18" t="n">
        <v>-796.16</v>
      </c>
      <c r="S56" s="18" t="n">
        <v>-431.89</v>
      </c>
      <c r="T56" s="18" t="n">
        <v>-3410.3</v>
      </c>
      <c r="U56" s="9" t="n"/>
      <c r="V56" s="18" t="n">
        <v>-380.14</v>
      </c>
      <c r="W56" s="19" t="n">
        <v>-1273.25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금융수익</t>
        </is>
      </c>
      <c r="F57" s="9" t="n"/>
      <c r="K57" s="9" t="n"/>
      <c r="O57" s="18" t="n">
        <v>2.28</v>
      </c>
      <c r="P57" s="9" t="n"/>
      <c r="R57" s="18" t="n">
        <v>15.78</v>
      </c>
      <c r="S57" s="18" t="n">
        <v>4.09</v>
      </c>
      <c r="T57" s="18" t="n">
        <v>10.05</v>
      </c>
      <c r="U57" s="9" t="n"/>
      <c r="V57" s="18" t="n">
        <v>76.04000000000001</v>
      </c>
      <c r="W57" s="19" t="n">
        <v>184.51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금융비용</t>
        </is>
      </c>
      <c r="F58" s="9" t="n"/>
      <c r="K58" s="9" t="n"/>
      <c r="O58" s="18" t="n">
        <v>804.83</v>
      </c>
      <c r="P58" s="9" t="n"/>
      <c r="R58" s="18" t="n">
        <v>642.14</v>
      </c>
      <c r="S58" s="18" t="n">
        <v>580.7</v>
      </c>
      <c r="T58" s="18" t="n">
        <v>567.59</v>
      </c>
      <c r="U58" s="9" t="n"/>
      <c r="V58" s="18" t="n">
        <v>673.85</v>
      </c>
      <c r="W58" s="19" t="n">
        <v>1516.53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기타영업외수익</t>
        </is>
      </c>
      <c r="F59" s="9" t="n"/>
      <c r="K59" s="9" t="n"/>
      <c r="O59" s="18" t="n">
        <v>252.2</v>
      </c>
      <c r="P59" s="9" t="n"/>
      <c r="R59" s="18" t="n">
        <v>52.51</v>
      </c>
      <c r="S59" s="18" t="n">
        <v>140</v>
      </c>
      <c r="T59" s="18" t="n">
        <v>169.8</v>
      </c>
      <c r="U59" s="9" t="n"/>
      <c r="V59" s="18" t="n">
        <v>271.8</v>
      </c>
      <c r="W59" s="19" t="n">
        <v>118.73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기타영업외비용</t>
        </is>
      </c>
      <c r="F60" s="9" t="n"/>
      <c r="K60" s="9" t="n"/>
      <c r="O60" s="18" t="n">
        <v>12.57</v>
      </c>
      <c r="P60" s="9" t="n"/>
      <c r="R60" s="18" t="n">
        <v>222.31</v>
      </c>
      <c r="S60" s="18" t="n">
        <v>-4.72</v>
      </c>
      <c r="T60" s="18" t="n">
        <v>3022.56</v>
      </c>
      <c r="U60" s="9" t="n"/>
      <c r="V60" s="18" t="n">
        <v>54.13</v>
      </c>
      <c r="W60" s="19" t="n">
        <v>59.97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법인세비용차감전계속사업이익</t>
        </is>
      </c>
      <c r="F61" s="9" t="n"/>
      <c r="K61" s="9" t="n"/>
      <c r="O61" s="18" t="n">
        <v>-473.49</v>
      </c>
      <c r="P61" s="9" t="n"/>
      <c r="R61" s="18" t="n">
        <v>1648.12</v>
      </c>
      <c r="S61" s="18" t="n">
        <v>493.76</v>
      </c>
      <c r="T61" s="18" t="n">
        <v>-1952.6</v>
      </c>
      <c r="U61" s="9" t="n"/>
      <c r="V61" s="18" t="n">
        <v>1222.16</v>
      </c>
      <c r="W61" s="19" t="n">
        <v>1333.27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법인세비용</t>
        </is>
      </c>
      <c r="F62" s="9" t="n"/>
      <c r="K62" s="9" t="n"/>
      <c r="O62" s="18" t="n">
        <v>-1145.37</v>
      </c>
      <c r="P62" s="9" t="n"/>
      <c r="R62" s="18" t="n">
        <v>25.95</v>
      </c>
      <c r="S62" s="18" t="n">
        <v>-156.17</v>
      </c>
      <c r="T62" s="18" t="n">
        <v>-1083.52</v>
      </c>
      <c r="U62" s="9" t="n"/>
      <c r="V62" s="18" t="n">
        <v>-31.35</v>
      </c>
      <c r="W62" s="19" t="n">
        <v>53.97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당기순이익</t>
        </is>
      </c>
      <c r="F63" s="9" t="n"/>
      <c r="K63" s="9" t="n"/>
      <c r="O63" s="18" t="n">
        <v>671.9</v>
      </c>
      <c r="P63" s="9" t="n"/>
      <c r="R63" s="18" t="n">
        <v>1622.17</v>
      </c>
      <c r="S63" s="18" t="n">
        <v>649.9299999999999</v>
      </c>
      <c r="T63" s="18" t="n">
        <v>-869.08</v>
      </c>
      <c r="U63" s="9" t="n"/>
      <c r="V63" s="18" t="n">
        <v>1253.51</v>
      </c>
      <c r="W63" s="19" t="n">
        <v>1279.3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총포괄손익</t>
        </is>
      </c>
      <c r="F64" s="9" t="n"/>
      <c r="K64" s="9" t="n"/>
      <c r="O64" s="18" t="n">
        <v>14352.11</v>
      </c>
      <c r="P64" s="9" t="n"/>
      <c r="R64" s="18" t="n">
        <v>1523.95</v>
      </c>
      <c r="S64" s="18" t="n">
        <v>1240.99</v>
      </c>
      <c r="T64" s="18" t="n">
        <v>-1412</v>
      </c>
      <c r="U64" s="9" t="n"/>
      <c r="V64" s="18" t="n">
        <v>1364.66</v>
      </c>
      <c r="W64" s="19" t="n">
        <v>1087.94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금융손익</t>
        </is>
      </c>
      <c r="F65" s="9" t="n"/>
      <c r="K65" s="9" t="n"/>
      <c r="O65" s="18" t="n">
        <v>-802.55</v>
      </c>
      <c r="P65" s="9" t="n"/>
      <c r="R65" s="18" t="n">
        <v>-626.36</v>
      </c>
      <c r="S65" s="18" t="n">
        <v>-576.61</v>
      </c>
      <c r="T65" s="18" t="n">
        <v>-557.54</v>
      </c>
      <c r="U65" s="9" t="n"/>
      <c r="V65" s="18" t="n">
        <v>-597.8099999999999</v>
      </c>
      <c r="W65" s="19" t="n">
        <v>-1332.02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기타영업외손익</t>
        </is>
      </c>
      <c r="F66" s="9" t="n"/>
      <c r="K66" s="9" t="n"/>
      <c r="O66" s="18" t="n">
        <v>239.63</v>
      </c>
      <c r="P66" s="9" t="n"/>
      <c r="R66" s="18" t="n">
        <v>-169.8</v>
      </c>
      <c r="S66" s="18" t="n">
        <v>144.72</v>
      </c>
      <c r="T66" s="18" t="n">
        <v>-2852.76</v>
      </c>
      <c r="U66" s="9" t="n"/>
      <c r="V66" s="18" t="n">
        <v>217.67</v>
      </c>
      <c r="W66" s="19" t="n">
        <v>58.76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(지배주주지분)당기순이익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계속사업이익</t>
        </is>
      </c>
      <c r="F68" s="9" t="n"/>
      <c r="K68" s="9" t="n"/>
      <c r="O68" s="18" t="n">
        <v>671.9</v>
      </c>
      <c r="P68" s="9" t="n"/>
      <c r="R68" s="18" t="n">
        <v>1622.17</v>
      </c>
      <c r="S68" s="18" t="n">
        <v>649.9299999999999</v>
      </c>
      <c r="T68" s="18" t="n">
        <v>-869.08</v>
      </c>
      <c r="U68" s="9" t="n"/>
      <c r="V68" s="18" t="n">
        <v>1253.51</v>
      </c>
      <c r="W68" s="19" t="n">
        <v>1279.3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이자수익</t>
        </is>
      </c>
      <c r="F69" s="9" t="n"/>
      <c r="K69" s="9" t="n"/>
      <c r="O69" s="18" t="n">
        <v>2.28</v>
      </c>
      <c r="P69" s="9" t="n"/>
      <c r="R69" s="18" t="n">
        <v>2.34</v>
      </c>
      <c r="S69" s="18" t="n">
        <v>4.09</v>
      </c>
      <c r="T69" s="18" t="n">
        <v>10.05</v>
      </c>
      <c r="U69" s="9" t="n"/>
      <c r="V69" s="18" t="n">
        <v>76.04000000000001</v>
      </c>
      <c r="W69" s="19" t="n">
        <v>118.74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이자비용</t>
        </is>
      </c>
      <c r="F70" s="9" t="n"/>
      <c r="K70" s="9" t="n"/>
      <c r="O70" s="18" t="n">
        <v>720.42</v>
      </c>
      <c r="P70" s="9" t="n"/>
      <c r="R70" s="18" t="n">
        <v>641.5599999999999</v>
      </c>
      <c r="S70" s="18" t="n">
        <v>580.45</v>
      </c>
      <c r="T70" s="18" t="n">
        <v>567.21</v>
      </c>
      <c r="U70" s="9" t="n"/>
      <c r="V70" s="18" t="n">
        <v>673.54</v>
      </c>
      <c r="W70" s="19" t="n">
        <v>816.09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파생상품손실</t>
        </is>
      </c>
      <c r="F71" s="9" t="n"/>
      <c r="K71" s="9" t="n"/>
      <c r="O71" s="18" t="n">
        <v>84.02</v>
      </c>
      <c r="P71" s="9" t="n"/>
      <c r="R71" s="18" t="n">
        <v>0.28</v>
      </c>
      <c r="S71" s="18" t="n">
        <v>0</v>
      </c>
      <c r="T71" s="18" t="n">
        <v>0</v>
      </c>
      <c r="U71" s="9" t="n"/>
      <c r="W71" s="19" t="n">
        <v>700.21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이자손익</t>
        </is>
      </c>
      <c r="F72" s="9" t="n"/>
      <c r="K72" s="9" t="n"/>
      <c r="O72" s="18" t="n">
        <v>-718.14</v>
      </c>
      <c r="P72" s="9" t="n"/>
      <c r="R72" s="18" t="n">
        <v>-639.22</v>
      </c>
      <c r="S72" s="18" t="n">
        <v>-576.36</v>
      </c>
      <c r="T72" s="18" t="n">
        <v>-557.16</v>
      </c>
      <c r="U72" s="9" t="n"/>
      <c r="V72" s="18" t="n">
        <v>-597.5</v>
      </c>
      <c r="W72" s="19" t="n">
        <v>-697.35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파생상품이익</t>
        </is>
      </c>
      <c r="F73" s="9" t="n"/>
      <c r="K73" s="9" t="n"/>
      <c r="P73" s="9" t="n"/>
      <c r="U73" s="9" t="n"/>
      <c r="W73" s="19" t="n">
        <v>65.77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영업활동으로인한현금흐름</t>
        </is>
      </c>
      <c r="F74" s="9" t="n"/>
      <c r="K74" s="9" t="n"/>
      <c r="O74" s="18" t="n">
        <v>-204.86</v>
      </c>
      <c r="P74" s="9" t="n"/>
      <c r="R74" s="18" t="n">
        <v>-597.6</v>
      </c>
      <c r="S74" s="18" t="n">
        <v>2068.01</v>
      </c>
      <c r="T74" s="18" t="n">
        <v>-1825.78</v>
      </c>
      <c r="U74" s="9" t="n"/>
      <c r="V74" s="18" t="n">
        <v>-3032.25</v>
      </c>
      <c r="W74" s="19" t="n">
        <v>837.84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이자수취(CF)</t>
        </is>
      </c>
      <c r="F75" s="9" t="n"/>
      <c r="K75" s="9" t="n"/>
      <c r="O75" s="18" t="n">
        <v>0.2</v>
      </c>
      <c r="P75" s="9" t="n"/>
      <c r="R75" s="18" t="n">
        <v>3.12</v>
      </c>
      <c r="S75" s="18" t="n">
        <v>1.84</v>
      </c>
      <c r="T75" s="18" t="n">
        <v>0.92</v>
      </c>
      <c r="U75" s="9" t="n"/>
      <c r="V75" s="18" t="n">
        <v>71.98999999999999</v>
      </c>
      <c r="W75" s="19" t="n">
        <v>101.16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O76" s="18" t="n">
        <v>-0.03</v>
      </c>
      <c r="P76" s="9" t="n"/>
      <c r="R76" s="18" t="n">
        <v>39.03</v>
      </c>
      <c r="S76" s="18" t="n">
        <v>-21.96</v>
      </c>
      <c r="T76" s="18" t="n">
        <v>-21.35</v>
      </c>
      <c r="U76" s="9" t="n"/>
      <c r="V76" s="18" t="n">
        <v>-11.09</v>
      </c>
      <c r="W76" s="19" t="n">
        <v>36.77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O77" s="18" t="n">
        <v>-1438.3</v>
      </c>
      <c r="P77" s="9" t="n"/>
      <c r="R77" s="18" t="n">
        <v>3458.6</v>
      </c>
      <c r="S77" s="18" t="n">
        <v>-1106.32</v>
      </c>
      <c r="T77" s="18" t="n">
        <v>10108.92</v>
      </c>
      <c r="U77" s="9" t="n"/>
      <c r="V77" s="18" t="n">
        <v>-2787.13</v>
      </c>
      <c r="W77" s="19" t="n">
        <v>-3114.01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재무활동으로인한현금흐름</t>
        </is>
      </c>
      <c r="F78" s="9" t="n"/>
      <c r="K78" s="9" t="n"/>
      <c r="O78" s="18" t="n">
        <v>1959.05</v>
      </c>
      <c r="P78" s="9" t="n"/>
      <c r="R78" s="18" t="n">
        <v>-646.48</v>
      </c>
      <c r="S78" s="18" t="n">
        <v>-2950.13</v>
      </c>
      <c r="T78" s="18" t="n">
        <v>2298.3</v>
      </c>
      <c r="U78" s="9" t="n"/>
      <c r="V78" s="18" t="n">
        <v>10446.55</v>
      </c>
      <c r="W78" s="19" t="n">
        <v>24989.1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단기차입금의감소</t>
        </is>
      </c>
      <c r="F79" s="9" t="n"/>
      <c r="K79" s="9" t="n"/>
      <c r="O79" s="18" t="n">
        <v>0</v>
      </c>
      <c r="P79" s="9" t="n"/>
      <c r="R79" s="18" t="n">
        <v>480.02</v>
      </c>
      <c r="S79" s="18" t="n">
        <v>18000</v>
      </c>
      <c r="U79" s="9" t="n"/>
      <c r="V79" s="18" t="n">
        <v>0</v>
      </c>
      <c r="W79" s="19" t="n">
        <v>0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</v>
      </c>
      <c r="T80" s="18" t="n">
        <v>10581.33</v>
      </c>
      <c r="U80" s="9" t="n"/>
      <c r="V80" s="18" t="n">
        <v>4627.18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기말현금및현금성자산</t>
        </is>
      </c>
      <c r="F81" s="9" t="n"/>
      <c r="K81" s="9" t="n"/>
      <c r="O81" s="18" t="n">
        <v>328.1</v>
      </c>
      <c r="P81" s="9" t="n"/>
      <c r="R81" s="18" t="n">
        <v>2214.31</v>
      </c>
      <c r="S81" s="18" t="n">
        <v>-1987.61</v>
      </c>
      <c r="T81" s="18" t="n">
        <v>10581.33</v>
      </c>
      <c r="U81" s="9" t="n"/>
      <c r="V81" s="18" t="n">
        <v>16229.04</v>
      </c>
      <c r="W81" s="19" t="n">
        <v>22711.87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단기차입금의증가</t>
        </is>
      </c>
      <c r="F82" s="9" t="n"/>
      <c r="K82" s="9" t="n"/>
      <c r="P82" s="9" t="n"/>
      <c r="R82" s="18" t="n">
        <v>1000</v>
      </c>
      <c r="S82" s="18" t="n">
        <v>0</v>
      </c>
      <c r="T82" s="18" t="n">
        <v>1000</v>
      </c>
      <c r="U82" s="9" t="n"/>
      <c r="V82" s="18" t="n">
        <v>3000</v>
      </c>
      <c r="W82" s="19" t="n">
        <v>0</v>
      </c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P83" s="9" t="n"/>
      <c r="S83" s="18" t="n">
        <v>0.85</v>
      </c>
      <c r="T83" s="18" t="n">
        <v>43.04</v>
      </c>
      <c r="U83" s="9" t="n"/>
      <c r="V83" s="18" t="n">
        <v>62.46</v>
      </c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S84" s="18" t="n">
        <v>0</v>
      </c>
      <c r="T84" s="18" t="n">
        <v>19.32</v>
      </c>
      <c r="U84" s="9" t="n"/>
      <c r="W84" s="5" t="n"/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유형자산의증가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CAPEX</t>
        </is>
      </c>
      <c r="F86" s="9" t="n"/>
      <c r="K86" s="9" t="n"/>
      <c r="P86" s="9" t="n"/>
      <c r="U86" s="9" t="n"/>
      <c r="V86" s="18" t="n">
        <v>2849.59</v>
      </c>
      <c r="W86" s="19" t="n">
        <v>3100.79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  <row r="87">
      <c r="A87" t="n">
        <v>1</v>
      </c>
      <c r="C87" t="inlineStr">
        <is>
          <t>장기차입금의증가</t>
        </is>
      </c>
      <c r="F87" s="9" t="n"/>
      <c r="K87" s="9" t="n"/>
      <c r="P87" s="9" t="n"/>
      <c r="U87" s="9" t="n"/>
      <c r="V87" s="18" t="n">
        <v>10000</v>
      </c>
      <c r="W87" s="19" t="n">
        <v>0</v>
      </c>
      <c r="X87" s="10" t="n"/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IFERROR(X12+X13+X14,"")</f>
        <v/>
      </c>
      <c r="Y11" s="20">
        <f>IFERROR(Y12+Y13+Y14,"")</f>
        <v/>
      </c>
      <c r="Z11" s="38">
        <f>SUM(V11:Y11)</f>
        <v/>
      </c>
      <c r="AA11" s="20">
        <f>IFERROR(AA12+AA13+AA14,"")</f>
        <v/>
      </c>
      <c r="AB11" s="20">
        <f>IFERROR(AB12+AB13+AB14,"")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IFERROR((W26*변수!$D$52-W24*변수!$D$53)/4,"")</f>
        <v/>
      </c>
      <c r="Y12" s="20">
        <f>IFERROR((X26*변수!$D$52-X24*변수!$D$53)/4,"")</f>
        <v/>
      </c>
      <c r="Z12" s="38">
        <f>SUM(V12:Y12)</f>
        <v/>
      </c>
      <c r="AA12" s="20">
        <f>IFERROR((Y26*변수!$D$52-Y24*변수!$D$53)/4,"")</f>
        <v/>
      </c>
      <c r="AB12" s="20">
        <f>IFERROR((AA26*변수!$D$52-AA24*변수!$D$53)/4,"")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9" t="n">
        <v>-0.01</v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IFERROR(X9+X11+X15,"")</f>
        <v/>
      </c>
      <c r="Y16" s="20">
        <f>IFERROR(Y9+Y11+Y15,"")</f>
        <v/>
      </c>
      <c r="Z16" s="38">
        <f>SUM(V16:Y16)</f>
        <v/>
      </c>
      <c r="AA16" s="20">
        <f>IFERROR(AA9+AA11+AA15,"")</f>
        <v/>
      </c>
      <c r="AB16" s="20">
        <f>IFERROR(AB9+AB11+AB15,"")</f>
        <v/>
      </c>
      <c r="AC16" s="20">
        <f>IFERROR(AC9+AC11+AC15,"")</f>
        <v/>
      </c>
      <c r="AD16" s="20">
        <f>IFERROR(AD9+AD11+AD15,"")</f>
        <v/>
      </c>
      <c r="AE16" s="38">
        <f>SUM(AA16:AD16)</f>
        <v/>
      </c>
      <c r="AF16" s="20">
        <f>IFERROR(AF9+AF11+AF15,"")</f>
        <v/>
      </c>
      <c r="AG16" s="20">
        <f>IFERROR(AG9+AG11+AG15,"")</f>
        <v/>
      </c>
      <c r="AH16" s="20">
        <f>IFERROR(AH9+AH11+AH15,"")</f>
        <v/>
      </c>
      <c r="AI16" s="20">
        <f>IFERROR(AI9+AI11+AI15,"")</f>
        <v/>
      </c>
      <c r="AJ16" s="38">
        <f>SUM(AF16:AI16)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IFERROR(MAX(X16,0)*변수!X27,"")</f>
        <v/>
      </c>
      <c r="Y17" s="20">
        <f>IFERROR(MAX(Y16,0)*변수!Y27,"")</f>
        <v/>
      </c>
      <c r="Z17" s="38">
        <f>SUM(V17:Y17)</f>
        <v/>
      </c>
      <c r="AA17" s="20">
        <f>IFERROR(MAX(AA16,0)*변수!AA27,"")</f>
        <v/>
      </c>
      <c r="AB17" s="20">
        <f>IFERROR(MAX(AB16,0)*변수!AB27,"")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IFERROR(X16-X17,"")</f>
        <v/>
      </c>
      <c r="Y18" s="20">
        <f>IFERROR(Y16-Y17,"")</f>
        <v/>
      </c>
      <c r="Z18" s="38">
        <f>SUM(V18:Y18)</f>
        <v/>
      </c>
      <c r="AA18" s="20">
        <f>IFERROR(AA16-AA17,"")</f>
        <v/>
      </c>
      <c r="AB18" s="20">
        <f>IFERROR(AB16-AB17,"")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SUM(L19:O19)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IFERROR(X18*변수!X28,"")</f>
        <v/>
      </c>
      <c r="Y19" s="20">
        <f>IFERROR(Y18*변수!Y28,"")</f>
        <v/>
      </c>
      <c r="Z19" s="38">
        <f>SUM(V19:Y19)</f>
        <v/>
      </c>
      <c r="AA19" s="20">
        <f>IFERROR(AA18*변수!AA28,"")</f>
        <v/>
      </c>
      <c r="AB19" s="20">
        <f>IFERROR(AB18*변수!AB28,"")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1495.01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IFERROR(X21+X22,"")</f>
        <v/>
      </c>
      <c r="Y20" s="20">
        <f>IFERROR(Y21+Y22,"")</f>
        <v/>
      </c>
      <c r="Z20" s="38">
        <f>Y20</f>
        <v/>
      </c>
      <c r="AA20" s="20">
        <f>IFERROR(AA21+AA22,"")</f>
        <v/>
      </c>
      <c r="AB20" s="20">
        <f>IFERROR(AB21+AB22,"")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988.48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IFERROR(W21*(1+변수!X29),"")</f>
        <v/>
      </c>
      <c r="Y21" s="20">
        <f>IFERROR(X21*(1+변수!Y29),"")</f>
        <v/>
      </c>
      <c r="Z21" s="38">
        <f>Y21</f>
        <v/>
      </c>
      <c r="AA21" s="20">
        <f>IFERROR(Y21*(1+변수!AA29),"")</f>
        <v/>
      </c>
      <c r="AB21" s="20">
        <f>IFERROR(AA21*(1+변수!AB29),"")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506.53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IFERROR(W23+X19-변수!X31,"")</f>
        <v/>
      </c>
      <c r="Y23" s="20">
        <f>IFERROR(X23+Y19-변수!Y31,"")</f>
        <v/>
      </c>
      <c r="Z23" s="38">
        <f>Y23</f>
        <v/>
      </c>
      <c r="AA23" s="20">
        <f>IFERROR(Y23+AA19-변수!AA31,"")</f>
        <v/>
      </c>
      <c r="AB23" s="20">
        <f>IFERROR(AA23+AB19-변수!AB31,"")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672.66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662.6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10.12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>
        <f>IFERROR(W26*(1+변수!X34),"")</f>
        <v/>
      </c>
      <c r="Y26" s="20">
        <f>IFERROR(X26*(1+변수!Y34),"")</f>
        <v/>
      </c>
      <c r="Z26" s="38">
        <f>Y26</f>
        <v/>
      </c>
      <c r="AA26" s="20">
        <f>IFERROR(Y26*(1+변수!AA34),"")</f>
        <v/>
      </c>
      <c r="AB26" s="20">
        <f>IFERROR(AA26*(1+변수!AB34),"")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10.06</v>
      </c>
      <c r="G27" s="18" t="n"/>
      <c r="H27" s="18" t="n"/>
      <c r="I27" s="18" t="n"/>
      <c r="J27" s="18">
        <f>IFERROR(VLOOKUP($D27,BS별도,MATCH(J$1,BS별도H,0),0)/100,"")</f>
        <v/>
      </c>
      <c r="K27" s="37">
        <f>J27</f>
        <v/>
      </c>
      <c r="L27" s="18" t="n"/>
      <c r="M27" s="18" t="n"/>
      <c r="N27" s="18" t="n"/>
      <c r="O27" s="18">
        <f>IFERROR(VLOOKUP($D27,BS별도,MATCH(O$1,BS별도H,0),0)/100,"")</f>
        <v/>
      </c>
      <c r="P27" s="37">
        <f>O27</f>
        <v/>
      </c>
      <c r="Q27" s="18" t="n"/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 t="n"/>
      <c r="Y27" s="20" t="n"/>
      <c r="Z27" s="38">
        <f>Y27</f>
        <v/>
      </c>
      <c r="AA27" s="20" t="n"/>
      <c r="AB27" s="20" t="n"/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 t="n"/>
      <c r="P28" s="37">
        <f>SUM(L28:O28)</f>
        <v/>
      </c>
      <c r="Q28" s="18" t="n"/>
      <c r="R28" s="18" t="n"/>
      <c r="S28" s="18" t="n"/>
      <c r="T28" s="18" t="n"/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>
        <f>IFERROR(W28*(1+변수!X36),"")</f>
        <v/>
      </c>
      <c r="Y28" s="20">
        <f>IFERROR(X28*(1+변수!Y36),"")</f>
        <v/>
      </c>
      <c r="Z28" s="38">
        <f>SUM(V28:Y28)</f>
        <v/>
      </c>
      <c r="AA28" s="20">
        <f>IFERROR(V28*(1+변수!AA36),"")</f>
        <v/>
      </c>
      <c r="AB28" s="20">
        <f>IFERROR(W28*(1+변수!AB36),"")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>
        <f>IFERROR(VLOOKUP($D29,BS별도,MATCH(O$1,BS별도H,0),0)/100,"")</f>
        <v/>
      </c>
      <c r="P29" s="37">
        <f>SUM(L29:O29)</f>
        <v/>
      </c>
      <c r="Q29" s="18" t="n"/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9">
        <f>IFERROR(VLOOKUP($D29,BS별도,MATCH(W$1,BS별도H,0),0)/100,"")</f>
        <v/>
      </c>
      <c r="X29" s="20" t="n"/>
      <c r="Y29" s="20" t="n"/>
      <c r="Z29" s="38">
        <f>SUM(V29:Y29)</f>
        <v/>
      </c>
      <c r="AA29" s="20" t="n"/>
      <c r="AB29" s="20" t="n"/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3" t="n">
        <v>15.7999425</v>
      </c>
      <c r="F30" s="28">
        <f>E30</f>
        <v/>
      </c>
      <c r="G30" s="33" t="n">
        <v>15.7999425</v>
      </c>
      <c r="H30" s="33" t="n">
        <v>15.7999425</v>
      </c>
      <c r="I30" s="33" t="n">
        <v>15.7999425</v>
      </c>
      <c r="J30" s="33" t="n">
        <v>17.7999425</v>
      </c>
      <c r="K30" s="28">
        <f>J30</f>
        <v/>
      </c>
      <c r="L30" s="33" t="n">
        <v>17.7999425</v>
      </c>
      <c r="M30" s="33" t="n">
        <v>17.7999425</v>
      </c>
      <c r="N30" s="33" t="n">
        <v>17.7999425</v>
      </c>
      <c r="O30" s="33" t="n">
        <v>17.7999425</v>
      </c>
      <c r="P30" s="28">
        <f>O30</f>
        <v/>
      </c>
      <c r="Q30" s="33" t="n">
        <v>17.7999425</v>
      </c>
      <c r="R30" s="27" t="n">
        <v>19.767</v>
      </c>
      <c r="S30" s="27" t="n">
        <v>19.767</v>
      </c>
      <c r="T30" s="27" t="n">
        <v>22.19</v>
      </c>
      <c r="U30" s="28">
        <f>T30</f>
        <v/>
      </c>
      <c r="V30" s="27" t="n">
        <v>22.19</v>
      </c>
      <c r="W30" s="29" t="n">
        <v>23.05</v>
      </c>
      <c r="X30" s="33">
        <f>IFERROR(W30*(1+변수!X38),"")</f>
        <v/>
      </c>
      <c r="Y30" s="33">
        <f>IFERROR(X30*(1+변수!Y38),"")</f>
        <v/>
      </c>
      <c r="Z30" s="31">
        <f>Y30</f>
        <v/>
      </c>
      <c r="AA30" s="33">
        <f>IFERROR(Y30*(1+변수!AA38),"")</f>
        <v/>
      </c>
      <c r="AB30" s="33">
        <f>IFERROR(AA30*(1+변수!AB38),"")</f>
        <v/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>
        <f>IFERROR(O19*100/O30,"")</f>
        <v/>
      </c>
      <c r="P31" s="37">
        <f>SUM(L31:O31)</f>
        <v/>
      </c>
      <c r="Q31" s="18" t="n"/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9">
        <f>IFERROR(W19*100/W30,"")</f>
        <v/>
      </c>
      <c r="X31" s="20">
        <f>IFERROR(X19*100/X30,"")</f>
        <v/>
      </c>
      <c r="Y31" s="20">
        <f>IFERROR(Y19*100/Y30,"")</f>
        <v/>
      </c>
      <c r="Z31" s="38">
        <f>SUM(V31:Y31)</f>
        <v/>
      </c>
      <c r="AA31" s="20">
        <f>IFERROR(AA19*100/AA30,"")</f>
        <v/>
      </c>
      <c r="AB31" s="20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/>
      <c r="F32" s="37" t="n"/>
      <c r="G32" s="18" t="n"/>
      <c r="H32" s="18" t="n"/>
      <c r="I32" s="18" t="n"/>
      <c r="J32" s="18" t="n"/>
      <c r="K32" s="37">
        <f>SUM(G32:J32)</f>
        <v/>
      </c>
      <c r="L32" s="18" t="n"/>
      <c r="M32" s="18" t="n"/>
      <c r="N32" s="18" t="n"/>
      <c r="O32" s="18">
        <f>IFERROR(O31,"")</f>
        <v/>
      </c>
      <c r="P32" s="37">
        <f>SUM(L32:O32)</f>
        <v/>
      </c>
      <c r="Q32" s="18" t="n"/>
      <c r="R32" s="18">
        <f>IFERROR(R31,"")</f>
        <v/>
      </c>
      <c r="S32" s="18">
        <f>IFERROR(S31,"")</f>
        <v/>
      </c>
      <c r="T32" s="20">
        <f>IFERROR((T19-(-28.47)*(1.0))*100/T30,"")</f>
        <v/>
      </c>
      <c r="U32" s="37">
        <f>SUM(Q32:T32)</f>
        <v/>
      </c>
      <c r="V32" s="18">
        <f>IFERROR(V31,"")</f>
        <v/>
      </c>
      <c r="W32" s="19">
        <f>IFERROR(W31,"")</f>
        <v/>
      </c>
      <c r="X32" s="20">
        <f>IFERROR(X31,"")</f>
        <v/>
      </c>
      <c r="Y32" s="20">
        <f>IFERROR(Y31,"")</f>
        <v/>
      </c>
      <c r="Z32" s="38">
        <f>SUM(V32:Y32)</f>
        <v/>
      </c>
      <c r="AA32" s="20">
        <f>IFERROR(AA31,"")</f>
        <v/>
      </c>
      <c r="AB32" s="20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 t="n"/>
      <c r="H33" s="18" t="n"/>
      <c r="I33" s="18" t="n"/>
      <c r="J33" s="18">
        <f>IFERROR(J23*100/J30,"")</f>
        <v/>
      </c>
      <c r="K33" s="37">
        <f>J33</f>
        <v/>
      </c>
      <c r="L33" s="18" t="n"/>
      <c r="M33" s="18" t="n"/>
      <c r="N33" s="18" t="n"/>
      <c r="O33" s="18">
        <f>IFERROR(O23*100/O30,"")</f>
        <v/>
      </c>
      <c r="P33" s="37">
        <f>O33</f>
        <v/>
      </c>
      <c r="Q33" s="18" t="n"/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9">
        <f>IFERROR(W23*100/W30,"")</f>
        <v/>
      </c>
      <c r="X33" s="20">
        <f>IFERROR(X23*100/X30,"")</f>
        <v/>
      </c>
      <c r="Y33" s="20">
        <f>IFERROR(Y23*100/Y30,"")</f>
        <v/>
      </c>
      <c r="Z33" s="38">
        <f>Y33</f>
        <v/>
      </c>
      <c r="AA33" s="20">
        <f>IFERROR(AA23*100/AA30,"")</f>
        <v/>
      </c>
      <c r="AB33" s="20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9" t="n"/>
      <c r="X34" s="20" t="n"/>
      <c r="Y34" s="20">
        <f>변수!Y39</f>
        <v/>
      </c>
      <c r="Z34" s="38">
        <f>SUM(V34:Y34)</f>
        <v/>
      </c>
      <c r="AA34" s="20" t="n"/>
      <c r="AB34" s="20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>
        <f>IFERROR(변수!V18/(R31+S31+T31+V31),"")</f>
        <v/>
      </c>
      <c r="W35" s="15">
        <f>IFERROR(변수!W18/(S31+T31+V31+W31),"")</f>
        <v/>
      </c>
      <c r="X35" s="39">
        <f>IFERROR(변수!$D$42/(T31+V31+W31+X31),"")</f>
        <v/>
      </c>
      <c r="Y35" s="39">
        <f>IFERROR(변수!$D$42/(V31+W31+X31+Y31),"")</f>
        <v/>
      </c>
      <c r="Z35" s="40">
        <f>Y35</f>
        <v/>
      </c>
      <c r="AA35" s="39">
        <f>IFERROR(변수!$D$42/(W31+X31+Y31+AA31),"")</f>
        <v/>
      </c>
      <c r="AB35" s="39">
        <f>IFERROR(변수!$D$42/(X31+Y31+AA31+AB31),"")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>
        <f>IFERROR(변수!J18/J33,"")</f>
        <v/>
      </c>
      <c r="K36" s="14">
        <f>J36</f>
        <v/>
      </c>
      <c r="L36" s="13" t="n"/>
      <c r="M36" s="13" t="n"/>
      <c r="N36" s="13" t="n"/>
      <c r="O36" s="13">
        <f>IFERROR(변수!O18/O33,"")</f>
        <v/>
      </c>
      <c r="P36" s="14">
        <f>O36</f>
        <v/>
      </c>
      <c r="Q36" s="13" t="n"/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5">
        <f>IFERROR(변수!W18/W33,"")</f>
        <v/>
      </c>
      <c r="X36" s="39">
        <f>IFERROR(변수!$D$42/X33,"")</f>
        <v/>
      </c>
      <c r="Y36" s="39">
        <f>IFERROR(변수!$D$42/Y33,"")</f>
        <v/>
      </c>
      <c r="Z36" s="40">
        <f>Y36</f>
        <v/>
      </c>
      <c r="AA36" s="39">
        <f>IFERROR(변수!$D$42/AA33,"")</f>
        <v/>
      </c>
      <c r="AB36" s="39">
        <f>IFERROR(변수!$D$42/AB33,"")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183.54</v>
      </c>
      <c r="P37" s="37">
        <f>SUM(L37:O37)</f>
        <v/>
      </c>
      <c r="Q37" s="18" t="n"/>
      <c r="R37" s="18" t="n">
        <v>225.66</v>
      </c>
      <c r="S37" s="18" t="n">
        <v>175.5</v>
      </c>
      <c r="T37" s="18" t="n">
        <v>160.11</v>
      </c>
      <c r="U37" s="37">
        <f>SUM(Q37:T37)</f>
        <v/>
      </c>
      <c r="V37" s="18" t="n">
        <v>182.59</v>
      </c>
      <c r="W37" s="19" t="n">
        <v>222.59</v>
      </c>
      <c r="X37" s="20">
        <f>IFERROR(X5,"")</f>
        <v/>
      </c>
      <c r="Y37" s="20">
        <f>IFERROR(Y5,"")</f>
        <v/>
      </c>
      <c r="Z37" s="38">
        <f>SUM(V37:Y37)</f>
        <v/>
      </c>
      <c r="AA37" s="20">
        <f>IFERROR(AA5,"")</f>
        <v/>
      </c>
      <c r="AB37" s="20">
        <f>IFERROR(AB5,"")</f>
        <v/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>
        <v>0.89</v>
      </c>
      <c r="P38" s="37">
        <f>SUM(L38:O38)</f>
        <v/>
      </c>
      <c r="Q38" s="18" t="n"/>
      <c r="R38" s="18" t="n">
        <v>24.44</v>
      </c>
      <c r="S38" s="18" t="n">
        <v>9.26</v>
      </c>
      <c r="T38" s="18" t="n">
        <v>14.58</v>
      </c>
      <c r="U38" s="37">
        <f>SUM(Q38:T38)</f>
        <v/>
      </c>
      <c r="V38" s="18" t="n">
        <v>16.02</v>
      </c>
      <c r="W38" s="19" t="n">
        <v>26.07</v>
      </c>
      <c r="X38" s="20">
        <f>IFERROR(X9,"")</f>
        <v/>
      </c>
      <c r="Y38" s="20">
        <f>IFERROR(Y9,"")</f>
        <v/>
      </c>
      <c r="Z38" s="38">
        <f>SUM(V38:Y38)</f>
        <v/>
      </c>
      <c r="AA38" s="20">
        <f>IFERROR(AA9,"")</f>
        <v/>
      </c>
      <c r="AB38" s="20">
        <f>IFERROR(AB9,"")</f>
        <v/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W39" s="5" t="n"/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3">
        <f>IFERROR(W19/W5,"")</f>
        <v/>
      </c>
      <c r="X40" s="32">
        <f>IFERROR(X19/X5,"")</f>
        <v/>
      </c>
      <c r="Y40" s="32">
        <f>IFERROR(Y19/Y5,"")</f>
        <v/>
      </c>
      <c r="Z40" s="25">
        <f>IFERROR(Z19/Z5,"")</f>
        <v/>
      </c>
      <c r="AA40" s="32">
        <f>IFERROR(AA19/AA5,"")</f>
        <v/>
      </c>
      <c r="AB40" s="32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3">
        <f>IFERROR(W6/W5,"")</f>
        <v/>
      </c>
      <c r="X41" s="32">
        <f>IFERROR(X6/X5,"")</f>
        <v/>
      </c>
      <c r="Y41" s="32">
        <f>IFERROR(Y6/Y5,"")</f>
        <v/>
      </c>
      <c r="Z41" s="25">
        <f>IFERROR(Z6/Z5,"")</f>
        <v/>
      </c>
      <c r="AA41" s="32">
        <f>IFERROR(AA6/AA5,"")</f>
        <v/>
      </c>
      <c r="AB41" s="32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3">
        <f>IFERROR(W8/W5,"")</f>
        <v/>
      </c>
      <c r="X42" s="32">
        <f>IFERROR(X8/X5,"")</f>
        <v/>
      </c>
      <c r="Y42" s="32">
        <f>IFERROR(Y8/Y5,"")</f>
        <v/>
      </c>
      <c r="Z42" s="25">
        <f>IFERROR(Z8/Z5,"")</f>
        <v/>
      </c>
      <c r="AA42" s="32">
        <f>IFERROR(AA8/AA5,"")</f>
        <v/>
      </c>
      <c r="AB42" s="32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5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47">
        <f>IFERROR(VLOOKUP($A30,subQ,MATCH(S$1,SUBQH,0),0),"")</f>
        <v/>
      </c>
      <c r="T30" s="33">
        <f>IFERROR(VLOOKUP($A30,subQ,MATCH(T$1,SUBQH,0),0),"")</f>
        <v/>
      </c>
      <c r="U30" s="33">
        <f>IFERROR(VLOOKUP($A30,subQ,MATCH(U$1,SUBQH,0),0),"")</f>
        <v/>
      </c>
      <c r="V30" s="33">
        <f>IFERROR(VLOOKUP($A30,subQ,MATCH(V$1,SUBQH,0),0),"")</f>
        <v/>
      </c>
      <c r="W30" s="33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5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48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45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46">
        <f>IFERROR(VLOOKUP($A39,subQ,MATCH(S$1,SUBQH,0),0),"")</f>
        <v/>
      </c>
      <c r="T39" s="32">
        <f>IFERROR(VLOOKUP($A39,subQ,MATCH(T$1,SUBQH,0),0),"")</f>
        <v/>
      </c>
      <c r="U39" s="32">
        <f>IFERROR(VLOOKUP($A39,subQ,MATCH(U$1,SUBQH,0),0),"")</f>
        <v/>
      </c>
      <c r="V39" s="32">
        <f>IFERROR(VLOOKUP($A39,subQ,MATCH(V$1,SUBQH,0),0),"")</f>
        <v/>
      </c>
      <c r="W39" s="32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46">
        <f>IFERROR(S5/O5-1,"")</f>
        <v/>
      </c>
      <c r="T40" s="32">
        <f>IFERROR(T5/P5-1,"")</f>
        <v/>
      </c>
      <c r="U40" s="32">
        <f>IFERROR(U5/Q5-1,"")</f>
        <v/>
      </c>
      <c r="V40" s="32">
        <f>IFERROR(V5/R5-1,"")</f>
        <v/>
      </c>
      <c r="W40" s="32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46">
        <f>IFERROR(S9/O9-1,"")</f>
        <v/>
      </c>
      <c r="T41" s="32">
        <f>IFERROR(T9/P9-1,"")</f>
        <v/>
      </c>
      <c r="U41" s="32">
        <f>IFERROR(U9/Q9-1,"")</f>
        <v/>
      </c>
      <c r="V41" s="32">
        <f>IFERROR(V9/R9-1,"")</f>
        <v/>
      </c>
      <c r="W41" s="32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46">
        <f>IFERROR(S19/O19-1,"")</f>
        <v/>
      </c>
      <c r="T42" s="32">
        <f>IFERROR(T19/P19-1,"")</f>
        <v/>
      </c>
      <c r="U42" s="32">
        <f>IFERROR(U19/Q19-1,"")</f>
        <v/>
      </c>
      <c r="V42" s="32">
        <f>IFERROR(V19/R19-1,"")</f>
        <v/>
      </c>
      <c r="W42" s="32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47">
        <f>IFERROR(VLOOKUP($A30,subQ,MATCH(H$1,SUBQH,0),0),"")</f>
        <v/>
      </c>
      <c r="I30" s="33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46">
        <f>IFERROR(VLOOKUP($A39,subQ,MATCH(H$1,SUBQH,0),0),"")</f>
        <v/>
      </c>
      <c r="I39" s="32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46">
        <f>IFERROR(H5/G5-1,"")</f>
        <v/>
      </c>
      <c r="I40" s="32">
        <f>IFERROR(I5/H5-1,"")</f>
        <v/>
      </c>
      <c r="J40" s="32">
        <f>IFERROR(J5/I5-1,"")</f>
        <v/>
      </c>
      <c r="K40" s="32">
        <f>IFERROR(K5/J5-1,"")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46">
        <f>IFERROR(H9/G9-1,"")</f>
        <v/>
      </c>
      <c r="I41" s="32">
        <f>IFERROR(I9/H9-1,"")</f>
        <v/>
      </c>
      <c r="J41" s="32">
        <f>IFERROR(J9/I9-1,"")</f>
        <v/>
      </c>
      <c r="K41" s="32">
        <f>IFERROR(K9/J9-1,"")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46">
        <f>IFERROR(H19/G19-1,"")</f>
        <v/>
      </c>
      <c r="I42" s="32">
        <f>IFERROR(I19/H19-1,"")</f>
        <v/>
      </c>
      <c r="J42" s="32">
        <f>IFERROR(J19/I19-1,"")</f>
        <v/>
      </c>
      <c r="K42" s="32">
        <f>IFERROR(K19/J19-1,"")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165.7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49.37</v>
      </c>
    </row>
    <row r="32">
      <c r="C32" s="2" t="inlineStr">
        <is>
          <t>pbr_now</t>
        </is>
      </c>
      <c r="D32" t="n">
        <v>1.79</v>
      </c>
    </row>
    <row r="33">
      <c r="C33" s="2" t="inlineStr">
        <is>
          <t>roe_fwd</t>
        </is>
      </c>
      <c r="D33" t="n">
        <v>0.0364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