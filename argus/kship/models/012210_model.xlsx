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변수!$C$1:$AJ$1</definedName>
    <definedName name="환율">변수!$C$6:$AJ$13</definedName>
    <definedName name="BS연결H">BS연결!$C$1:$AJ$1</definedName>
    <definedName name="BS연결">BS연결!$C$5:$AJ$5</definedName>
    <definedName name="BS별도H">BS별도!$C$1:$AJ$1</definedName>
    <definedName name="BS별도">BS별도!$C$5:$AJ$87</definedName>
    <definedName name="SUBQH">subQ!$A$1:$AJ$1</definedName>
    <definedName name="subQ">subQ!$A$5:$AJ$42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X6" authorId="0" shapeId="0">
      <text>
        <t>모델 assumptions.fx — 가정 — 마지막 ECB 관측치를 2028Q4 까지 평평하게 둔다. 선도환율·컨센서스 아님.</t>
      </text>
    </comment>
    <comment ref="Y6" authorId="0" shapeId="0">
      <text>
        <t>모델 assumptions.fx — 가정 — 마지막 ECB 관측치를 2028Q4 까지 평평하게 둔다. 선도환율·컨센서스 아님.</t>
      </text>
    </comment>
    <comment ref="AA6" authorId="0" shapeId="0">
      <text>
        <t>모델 assumptions.fx — 가정 — 마지막 ECB 관측치를 2028Q4 까지 평평하게 둔다. 선도환율·컨센서스 아님.</t>
      </text>
    </comment>
    <comment ref="AB6" authorId="0" shapeId="0">
      <text>
        <t>모델 assumptions.fx — 가정 — 마지막 ECB 관측치를 2028Q4 까지 평평하게 둔다. 선도환율·컨센서스 아님.</t>
      </text>
    </commen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X7" authorId="0" shapeId="0">
      <text>
        <t>모델 assumptions.fx — 가정 — 마지막 ECB 관측치를 2028Q4 까지 평평하게 둔다. 선도환율·컨센서스 아님.</t>
      </text>
    </comment>
    <comment ref="Y7" authorId="0" shapeId="0">
      <text>
        <t>모델 assumptions.fx — 가정 — 마지막 ECB 관측치를 2028Q4 까지 평평하게 둔다. 선도환율·컨센서스 아님.</t>
      </text>
    </comment>
    <comment ref="AA7" authorId="0" shapeId="0">
      <text>
        <t>모델 assumptions.fx — 가정 — 마지막 ECB 관측치를 2028Q4 까지 평평하게 둔다. 선도환율·컨센서스 아님.</t>
      </text>
    </comment>
    <comment ref="AB7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Y8" authorId="0" shapeId="0">
      <text>
        <t>fx.json quarters(partial — 분기 진행 중 실측 평균)</t>
      </text>
    </comment>
    <comment ref="AA8" authorId="0" shapeId="0">
      <text>
        <t>fx.json forward(flat_last_end) — 가정</t>
      </text>
    </comment>
    <comment ref="AB8" authorId="0" shapeId="0">
      <text>
        <t>fx.json forward(flat_last_end) — 가정</t>
      </text>
    </comment>
    <comment ref="AC8" authorId="0" shapeId="0">
      <text>
        <t>fx.json forward(flat_last_end) — 가정</t>
      </text>
    </comment>
    <comment ref="AD8" authorId="0" shapeId="0">
      <text>
        <t>fx.json forward(flat_last_end) — 가정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Y9" authorId="0" shapeId="0">
      <text>
        <t>fx.json quarters(partial — 분기 진행 중 실측 평균)</t>
      </text>
    </comment>
    <comment ref="AA9" authorId="0" shapeId="0">
      <text>
        <t>fx.json forward(flat_last_end) — 가정</t>
      </text>
    </comment>
    <comment ref="AB9" authorId="0" shapeId="0">
      <text>
        <t>fx.json forward(flat_last_end) — 가정</t>
      </text>
    </comment>
    <comment ref="AC9" authorId="0" shapeId="0">
      <text>
        <t>fx.json forward(flat_last_end) — 가정</t>
      </text>
    </comment>
    <comment ref="AD9" authorId="0" shapeId="0">
      <text>
        <t>fx.json forward(flat_last_end) — 가정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Y10" authorId="0" shapeId="0">
      <text>
        <t>fx.json quarters(partial — 분기 진행 중 실측 평균)</t>
      </text>
    </comment>
    <comment ref="AA10" authorId="0" shapeId="0">
      <text>
        <t>fx.json forward(flat_last_end) — 가정</t>
      </text>
    </comment>
    <comment ref="AB10" authorId="0" shapeId="0">
      <text>
        <t>fx.json forward(flat_last_end) — 가정</t>
      </text>
    </comment>
    <comment ref="AC10" authorId="0" shapeId="0">
      <text>
        <t>fx.json forward(flat_last_end) — 가정</t>
      </text>
    </comment>
    <comment ref="AD10" authorId="0" shapeId="0">
      <text>
        <t>fx.json forward(flat_last_end) — 가정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Y11" authorId="0" shapeId="0">
      <text>
        <t>fx.json quarters(partial — 분기 진행 중 실측 평균)</t>
      </text>
    </comment>
    <comment ref="AA11" authorId="0" shapeId="0">
      <text>
        <t>fx.json forward(flat_last_end) — 가정</t>
      </text>
    </comment>
    <comment ref="AB11" authorId="0" shapeId="0">
      <text>
        <t>fx.json forward(flat_last_end) — 가정</t>
      </text>
    </comment>
    <comment ref="AC11" authorId="0" shapeId="0">
      <text>
        <t>fx.json forward(flat_last_end) — 가정</t>
      </text>
    </comment>
    <comment ref="AD11" authorId="0" shapeId="0">
      <text>
        <t>fx.json forward(flat_last_end) — 가정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Y12" authorId="0" shapeId="0">
      <text>
        <t>fx.json quarters(partial — 분기 진행 중 실측 평균)</t>
      </text>
    </comment>
    <comment ref="AA12" authorId="0" shapeId="0">
      <text>
        <t>fx.json forward(flat_last_end) — 가정</t>
      </text>
    </comment>
    <comment ref="AB12" authorId="0" shapeId="0">
      <text>
        <t>fx.json forward(flat_last_end) — 가정</t>
      </text>
    </comment>
    <comment ref="AC12" authorId="0" shapeId="0">
      <text>
        <t>fx.json forward(flat_last_end) — 가정</t>
      </text>
    </comment>
    <comment ref="AD12" authorId="0" shapeId="0">
      <text>
        <t>fx.json forward(flat_last_end) — 가정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Y13" authorId="0" shapeId="0">
      <text>
        <t>fx.json quarters(partial — 분기 진행 중 실측 평균)</t>
      </text>
    </comment>
    <comment ref="AA13" authorId="0" shapeId="0">
      <text>
        <t>fx.json forward(flat_last_end) — 가정</t>
      </text>
    </comment>
    <comment ref="AB13" authorId="0" shapeId="0">
      <text>
        <t>fx.json forward(flat_last_end) — 가정</t>
      </text>
    </comment>
    <comment ref="AC13" authorId="0" shapeId="0">
      <text>
        <t>fx.json forward(flat_last_end) — 가정</t>
      </text>
    </comment>
    <comment ref="AD13" authorId="0" shapeId="0">
      <text>
        <t>fx.json forward(flat_last_end) — 가정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Y15" authorId="0" shapeId="0">
      <text>
        <t>분기 진행 중(partial) — aikstockdata/토스 일봉</t>
      </text>
    </comment>
    <comment ref="Y16" authorId="0" shapeId="0">
      <text>
        <t>분기 진행 중(partial) — aikstockdata/토스 일봉</t>
      </text>
    </comment>
    <comment ref="Y17" authorId="0" shapeId="0">
      <text>
        <t>분기 진행 중(partial) — aikstockdata/토스 일봉</t>
      </text>
    </comment>
    <comment ref="Y18" authorId="0" shapeId="0">
      <text>
        <t>분기 진행 중(partial) — aikstockdata/토스 일봉</t>
      </text>
    </comment>
    <comment ref="X21" authorId="0" shapeId="0">
      <text>
        <t>모델값 역산(implied): v / 전년동기 − 1
전년동기 × (1+0.0%) — g=최근 4분기 합 YoY 0.0% 클립(−30~+50%), 연차별 절반 감쇠(가정)</t>
      </text>
    </comment>
    <comment ref="Y21" authorId="0" shapeId="0">
      <text>
        <t>모델값 역산(implied): v / 전년동기 − 1
전년동기 × (1+0.0%) — g=최근 4분기 합 YoY 0.0% 클립(−30~+50%), 연차별 절반 감쇠(가정)</t>
      </text>
    </comment>
    <comment ref="AA21" authorId="0" shapeId="0">
      <text>
        <t>모델값 역산(implied): v / 전년동기 − 1
전년동기 × (1+0.0%) — g=최근 4분기 합 YoY 0.0% 클립(−30~+50%), 연차별 절반 감쇠(가정)</t>
      </text>
    </comment>
    <comment ref="AB21" authorId="0" shapeId="0">
      <text>
        <t>모델값 역산(implied): v / 전년동기 − 1
전년동기 × (1+0.0%) — g=최근 4분기 합 YoY 0.0% 클립(−30~+50%), 연차별 절반 감쇠(가정)</t>
      </text>
    </comment>
    <comment ref="AC21" authorId="0" shapeId="0">
      <text>
        <t>모델값 역산(implied): v / 전년동기 − 1
전년동기 × (1+0.0%) — g=최근 4분기 합 YoY 0.0% 클립(−30~+50%), 연차별 절반 감쇠(가정)</t>
      </text>
    </comment>
    <comment ref="AD21" authorId="0" shapeId="0">
      <text>
        <t>모델값 역산(implied): v / 전년동기 − 1
전년동기 × (1+0.0%) — g=최근 4분기 합 YoY 0.0% 클립(−30~+50%), 연차별 절반 감쇠(가정)</t>
      </text>
    </comment>
    <comment ref="AF21" authorId="0" shapeId="0">
      <text>
        <t>모델값 역산(implied): v / 전년동기 − 1
전년동기 × (1+0.0%) — g=최근 4분기 합 YoY 0.0% 클립(−30~+50%), 연차별 절반 감쇠(가정)</t>
      </text>
    </comment>
    <comment ref="AG21" authorId="0" shapeId="0">
      <text>
        <t>모델값 역산(implied): v / 전년동기 − 1
전년동기 × (1+0.0%) — g=최근 4분기 합 YoY 0.0% 클립(−30~+50%), 연차별 절반 감쇠(가정)</t>
      </text>
    </comment>
    <comment ref="AH21" authorId="0" shapeId="0">
      <text>
        <t>모델값 역산(implied): v / 전년동기 − 1
전년동기 × (1+0.0%) — g=최근 4분기 합 YoY 0.0% 클립(−30~+50%), 연차별 절반 감쇠(가정)</t>
      </text>
    </comment>
    <comment ref="AI21" authorId="0" shapeId="0">
      <text>
        <t>모델값 역산(implied): v / 전년동기 − 1
전년동기 × (1+0.0%) — g=최근 4분기 합 YoY 0.0% 클립(−30~+50%), 연차별 절반 감쇠(가정)</t>
      </text>
    </comment>
    <comment ref="X22" authorId="0" shapeId="0">
      <text>
        <t>3절 스칼라 '판관비율' 참조 — 숫자로 덮어쓰면 이 분기만 바뀐다
매출액 × 판관비율 6.20%(최근 4분기 중위)</t>
      </text>
    </comment>
    <comment ref="Y22" authorId="0" shapeId="0">
      <text>
        <t>3절 스칼라 '판관비율' 참조 — 숫자로 덮어쓰면 이 분기만 바뀐다
매출액 × 판관비율 6.20%(최근 4분기 중위)</t>
      </text>
    </comment>
    <comment ref="AA22" authorId="0" shapeId="0">
      <text>
        <t>3절 스칼라 '판관비율' 참조 — 숫자로 덮어쓰면 이 분기만 바뀐다
매출액 × 판관비율 6.20%(최근 4분기 중위)</t>
      </text>
    </comment>
    <comment ref="AB22" authorId="0" shapeId="0">
      <text>
        <t>3절 스칼라 '판관비율' 참조 — 숫자로 덮어쓰면 이 분기만 바뀐다
매출액 × 판관비율 6.20%(최근 4분기 중위)</t>
      </text>
    </comment>
    <comment ref="AC22" authorId="0" shapeId="0">
      <text>
        <t>3절 스칼라 '판관비율' 참조 — 숫자로 덮어쓰면 이 분기만 바뀐다
매출액 × 판관비율 6.20%(최근 4분기 중위)</t>
      </text>
    </comment>
    <comment ref="AD22" authorId="0" shapeId="0">
      <text>
        <t>3절 스칼라 '판관비율' 참조 — 숫자로 덮어쓰면 이 분기만 바뀐다
매출액 × 판관비율 6.20%(최근 4분기 중위)</t>
      </text>
    </comment>
    <comment ref="AF22" authorId="0" shapeId="0">
      <text>
        <t>3절 스칼라 '판관비율' 참조 — 숫자로 덮어쓰면 이 분기만 바뀐다
매출액 × 판관비율 6.20%(최근 4분기 중위)</t>
      </text>
    </comment>
    <comment ref="AG22" authorId="0" shapeId="0">
      <text>
        <t>3절 스칼라 '판관비율' 참조 — 숫자로 덮어쓰면 이 분기만 바뀐다
매출액 × 판관비율 6.20%(최근 4분기 중위)</t>
      </text>
    </comment>
    <comment ref="AH22" authorId="0" shapeId="0">
      <text>
        <t>3절 스칼라 '판관비율' 참조 — 숫자로 덮어쓰면 이 분기만 바뀐다
매출액 × 판관비율 6.20%(최근 4분기 중위)</t>
      </text>
    </comment>
    <comment ref="AI22" authorId="0" shapeId="0">
      <text>
        <t>3절 스칼라 '판관비율' 참조 — 숫자로 덮어쓰면 이 분기만 바뀐다
매출액 × 판관비율 6.20%(최근 4분기 중위)</t>
      </text>
    </comment>
    <comment ref="X23" authorId="0" shapeId="0">
      <text>
        <t>모델값 역산(implied): v / 매출액
매출액 × OPM(최근 6분기 OPM 중위 8.9% 유지(클립 −20~40%))</t>
      </text>
    </comment>
    <comment ref="Y23" authorId="0" shapeId="0">
      <text>
        <t>모델값 역산(implied): v / 매출액
매출액 × OPM(최근 6분기 OPM 중위 8.9% 유지(클립 −20~40%))</t>
      </text>
    </comment>
    <comment ref="AA23" authorId="0" shapeId="0">
      <text>
        <t>모델값 역산(implied): v / 매출액
매출액 × OPM(최근 6분기 OPM 중위 8.9% 유지(클립 −20~40%))</t>
      </text>
    </comment>
    <comment ref="AB23" authorId="0" shapeId="0">
      <text>
        <t>모델값 역산(implied): v / 매출액
매출액 × OPM(최근 6분기 OPM 중위 8.9% 유지(클립 −20~40%))</t>
      </text>
    </comment>
    <comment ref="AC23" authorId="0" shapeId="0">
      <text>
        <t>모델값 역산(implied): v / 매출액
매출액 × OPM(최근 6분기 OPM 중위 8.9% 유지(클립 −20~40%))</t>
      </text>
    </comment>
    <comment ref="AD23" authorId="0" shapeId="0">
      <text>
        <t>모델값 역산(implied): v / 매출액
매출액 × OPM(최근 6분기 OPM 중위 8.9% 유지(클립 −20~40%))</t>
      </text>
    </comment>
    <comment ref="AF23" authorId="0" shapeId="0">
      <text>
        <t>모델값 역산(implied): v / 매출액
매출액 × OPM(최근 6분기 OPM 중위 8.9% 유지(클립 −20~40%))</t>
      </text>
    </comment>
    <comment ref="AG23" authorId="0" shapeId="0">
      <text>
        <t>모델값 역산(implied): v / 매출액
매출액 × OPM(최근 6분기 OPM 중위 8.9% 유지(클립 −20~40%))</t>
      </text>
    </comment>
    <comment ref="AH23" authorId="0" shapeId="0">
      <text>
        <t>모델값 역산(implied): v / 매출액
매출액 × OPM(최근 6분기 OPM 중위 8.9% 유지(클립 −20~40%))</t>
      </text>
    </comment>
    <comment ref="AI23" authorId="0" shapeId="0">
      <text>
        <t>모델값 역산(implied): v / 매출액
매출액 × OPM(최근 6분기 OPM 중위 8.9% 유지(클립 −20~40%))</t>
      </text>
    </comment>
    <comment ref="X24" authorId="0" shapeId="0">
      <text>
        <t>모델값 역산(implied): 모델 v 그대로
파생상품 평가·거래손익 0 가정</t>
      </text>
    </comment>
    <comment ref="Y24" authorId="0" shapeId="0">
      <text>
        <t>모델값 역산(implied): 모델 v 그대로
파생상품 평가·거래손익 0 가정</t>
      </text>
    </comment>
    <comment ref="AA24" authorId="0" shapeId="0">
      <text>
        <t>모델값 역산(implied): 모델 v 그대로
파생상품 평가·거래손익 0 가정</t>
      </text>
    </comment>
    <comment ref="AB24" authorId="0" shapeId="0">
      <text>
        <t>모델값 역산(implied): 모델 v 그대로
파생상품 평가·거래손익 0 가정</t>
      </text>
    </comment>
    <comment ref="AC24" authorId="0" shapeId="0">
      <text>
        <t>모델값 역산(implied): 모델 v 그대로
파생상품 평가·거래손익 0 가정</t>
      </text>
    </comment>
    <comment ref="AD24" authorId="0" shapeId="0">
      <text>
        <t>모델값 역산(implied): 모델 v 그대로
파생상품 평가·거래손익 0 가정</t>
      </text>
    </comment>
    <comment ref="AF24" authorId="0" shapeId="0">
      <text>
        <t>모델값 역산(implied): 모델 v 그대로
파생상품 평가·거래손익 0 가정</t>
      </text>
    </comment>
    <comment ref="AG24" authorId="0" shapeId="0">
      <text>
        <t>모델값 역산(implied): 모델 v 그대로
파생상품 평가·거래손익 0 가정</t>
      </text>
    </comment>
    <comment ref="AH24" authorId="0" shapeId="0">
      <text>
        <t>모델값 역산(implied): 모델 v 그대로
파생상품 평가·거래손익 0 가정</t>
      </text>
    </comment>
    <comment ref="AI24" authorId="0" shapeId="0">
      <text>
        <t>모델값 역산(implied): 모델 v 그대로
파생상품 평가·거래손익 0 가정</t>
      </text>
    </comment>
    <comment ref="X25" authorId="0" shapeId="0">
      <text>
        <t>모델값 역산(implied): 모델 v 그대로
잔차 실측 1분기 &lt; 4 → 0</t>
      </text>
    </comment>
    <comment ref="Y25" authorId="0" shapeId="0">
      <text>
        <t>모델값 역산(implied): 모델 v 그대로
잔차 실측 1분기 &lt; 4 → 0</t>
      </text>
    </comment>
    <comment ref="AA25" authorId="0" shapeId="0">
      <text>
        <t>모델값 역산(implied): 모델 v 그대로
잔차 실측 1분기 &lt; 4 → 0</t>
      </text>
    </comment>
    <comment ref="AB25" authorId="0" shapeId="0">
      <text>
        <t>모델값 역산(implied): 모델 v 그대로
잔차 실측 1분기 &lt; 4 → 0</t>
      </text>
    </comment>
    <comment ref="AC25" authorId="0" shapeId="0">
      <text>
        <t>모델값 역산(implied): 모델 v 그대로
잔차 실측 1분기 &lt; 4 → 0</t>
      </text>
    </comment>
    <comment ref="AD25" authorId="0" shapeId="0">
      <text>
        <t>모델값 역산(implied): 모델 v 그대로
잔차 실측 1분기 &lt; 4 → 0</t>
      </text>
    </comment>
    <comment ref="AF25" authorId="0" shapeId="0">
      <text>
        <t>모델값 역산(implied): 모델 v 그대로
잔차 실측 1분기 &lt; 4 → 0</t>
      </text>
    </comment>
    <comment ref="AG25" authorId="0" shapeId="0">
      <text>
        <t>모델값 역산(implied): 모델 v 그대로
잔차 실측 1분기 &lt; 4 → 0</t>
      </text>
    </comment>
    <comment ref="AH25" authorId="0" shapeId="0">
      <text>
        <t>모델값 역산(implied): 모델 v 그대로
잔차 실측 1분기 &lt; 4 → 0</t>
      </text>
    </comment>
    <comment ref="AI25" authorId="0" shapeId="0">
      <text>
        <t>모델값 역산(implied): 모델 v 그대로
잔차 실측 1분기 &lt; 4 → 0</t>
      </text>
    </comment>
    <comment ref="X26" authorId="0" shapeId="0">
      <text>
        <t>모델값 역산(implied): 모델 v 그대로
일회성 미가정 → 0</t>
      </text>
    </comment>
    <comment ref="Y26" authorId="0" shapeId="0">
      <text>
        <t>모델값 역산(implied): 모델 v 그대로
일회성 미가정 → 0</t>
      </text>
    </comment>
    <comment ref="AA26" authorId="0" shapeId="0">
      <text>
        <t>모델값 역산(implied): 모델 v 그대로
일회성 미가정 → 0</t>
      </text>
    </comment>
    <comment ref="AB26" authorId="0" shapeId="0">
      <text>
        <t>모델값 역산(implied): 모델 v 그대로
일회성 미가정 → 0</t>
      </text>
    </comment>
    <comment ref="AC26" authorId="0" shapeId="0">
      <text>
        <t>모델값 역산(implied): 모델 v 그대로
일회성 미가정 → 0</t>
      </text>
    </comment>
    <comment ref="AD26" authorId="0" shapeId="0">
      <text>
        <t>모델값 역산(implied): 모델 v 그대로
일회성 미가정 → 0</t>
      </text>
    </comment>
    <comment ref="AF26" authorId="0" shapeId="0">
      <text>
        <t>모델값 역산(implied): 모델 v 그대로
일회성 미가정 → 0</t>
      </text>
    </comment>
    <comment ref="AG26" authorId="0" shapeId="0">
      <text>
        <t>모델값 역산(implied): 모델 v 그대로
일회성 미가정 → 0</t>
      </text>
    </comment>
    <comment ref="AH26" authorId="0" shapeId="0">
      <text>
        <t>모델값 역산(implied): 모델 v 그대로
일회성 미가정 → 0</t>
      </text>
    </comment>
    <comment ref="AI26" authorId="0" shapeId="0">
      <text>
        <t>모델값 역산(implied): 모델 v 그대로
일회성 미가정 → 0</t>
      </text>
    </comment>
    <comment ref="X27" authorId="0" shapeId="0">
      <text>
        <t>모델값 역산(implied): v / 세전이익 · 모델 가정 tax_schedule 0.0(r4)
max(세전, 0) × 세율 0.0%(이월결손 경로 유지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Y27" authorId="0" shapeId="0">
      <text>
        <t>모델값 역산(implied): v / 세전이익 · 모델 가정 tax_schedule 0.0(r4)
max(세전, 0) × 세율 0.0%(이월결손 경로 유지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A27" authorId="0" shapeId="0">
      <text>
        <t>모델값 역산(implied): v / 세전이익 · 모델 가정 tax_schedule 0.0275(r4)
max(세전, 0) × 세율 2.8%(이월결손 경로 램프 1/8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B27" authorId="0" shapeId="0">
      <text>
        <t>모델값 역산(implied): v / 세전이익 · 모델 가정 tax_schedule 0.055(r4)
max(세전, 0) × 세율 5.5%(이월결손 경로 램프 2/8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C27" authorId="0" shapeId="0">
      <text>
        <t>모델값 역산(implied): v / 세전이익 · 모델 가정 tax_schedule 0.0825(r4)
max(세전, 0) × 세율 8.2%(이월결손 경로 램프 3/8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D27" authorId="0" shapeId="0">
      <text>
        <t>모델값 역산(implied): v / 세전이익 · 모델 가정 tax_schedule 0.11(r4)
max(세전, 0) × 세율 11.0%(이월결손 경로 램프 4/8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F27" authorId="0" shapeId="0">
      <text>
        <t>모델값 역산(implied): v / 세전이익 · 모델 가정 tax_schedule 0.1375(r4)
max(세전, 0) × 세율 13.8%(이월결손 경로 램프 5/8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G27" authorId="0" shapeId="0">
      <text>
        <t>모델값 역산(implied): v / 세전이익 · 모델 가정 tax_schedule 0.165(r4)
max(세전, 0) × 세율 16.5%(이월결손 경로 램프 6/8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H27" authorId="0" shapeId="0">
      <text>
        <t>모델값 역산(implied): v / 세전이익 · 모델 가정 tax_schedule 0.1925(r4)
max(세전, 0) × 세율 19.2%(이월결손 경로 램프 7/8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AI27" authorId="0" shapeId="0">
      <text>
        <t>모델값 역산(implied): v / 세전이익 · 모델 가정 tax_schedule 0.22(r4)
max(세전, 0) × 세율 22.0%(이월결손 경로 램프 8/8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</t>
      </text>
    </comment>
    <comment ref="X28" authorId="0" shapeId="0">
      <text>
        <t>3절 스칼라 '지배주주비중' 참조 — 숫자로 덮어쓰면 이 분기만 바뀐다
당기순이익 × (1 − 비지배 비중 0.0%, 최근 8분기 실측)</t>
      </text>
    </comment>
    <comment ref="Y28" authorId="0" shapeId="0">
      <text>
        <t>3절 스칼라 '지배주주비중' 참조 — 숫자로 덮어쓰면 이 분기만 바뀐다
당기순이익 × (1 − 비지배 비중 0.0%, 최근 8분기 실측)</t>
      </text>
    </comment>
    <comment ref="AA28" authorId="0" shapeId="0">
      <text>
        <t>3절 스칼라 '지배주주비중' 참조 — 숫자로 덮어쓰면 이 분기만 바뀐다
당기순이익 × (1 − 비지배 비중 0.0%, 최근 8분기 실측)</t>
      </text>
    </comment>
    <comment ref="AB28" authorId="0" shapeId="0">
      <text>
        <t>3절 스칼라 '지배주주비중' 참조 — 숫자로 덮어쓰면 이 분기만 바뀐다
당기순이익 × (1 − 비지배 비중 0.0%, 최근 8분기 실측)</t>
      </text>
    </comment>
    <comment ref="AC28" authorId="0" shapeId="0">
      <text>
        <t>3절 스칼라 '지배주주비중' 참조 — 숫자로 덮어쓰면 이 분기만 바뀐다
당기순이익 × (1 − 비지배 비중 0.0%, 최근 8분기 실측)</t>
      </text>
    </comment>
    <comment ref="AD28" authorId="0" shapeId="0">
      <text>
        <t>3절 스칼라 '지배주주비중' 참조 — 숫자로 덮어쓰면 이 분기만 바뀐다
당기순이익 × (1 − 비지배 비중 0.0%, 최근 8분기 실측)</t>
      </text>
    </comment>
    <comment ref="AF28" authorId="0" shapeId="0">
      <text>
        <t>3절 스칼라 '지배주주비중' 참조 — 숫자로 덮어쓰면 이 분기만 바뀐다
당기순이익 × (1 − 비지배 비중 0.0%, 최근 8분기 실측)</t>
      </text>
    </comment>
    <comment ref="AG28" authorId="0" shapeId="0">
      <text>
        <t>3절 스칼라 '지배주주비중' 참조 — 숫자로 덮어쓰면 이 분기만 바뀐다
당기순이익 × (1 − 비지배 비중 0.0%, 최근 8분기 실측)</t>
      </text>
    </comment>
    <comment ref="AH28" authorId="0" shapeId="0">
      <text>
        <t>3절 스칼라 '지배주주비중' 참조 — 숫자로 덮어쓰면 이 분기만 바뀐다
당기순이익 × (1 − 비지배 비중 0.0%, 최근 8분기 실측)</t>
      </text>
    </comment>
    <comment ref="AI28" authorId="0" shapeId="0">
      <text>
        <t>3절 스칼라 '지배주주비중' 참조 — 숫자로 덮어쓰면 이 분기만 바뀐다
당기순이익 × (1 − 비지배 비중 0.0%, 최근 8분기 실측)</t>
      </text>
    </comment>
    <comment ref="X29" authorId="0" shapeId="0">
      <text>
        <t>모델값 역산(implied): v / 전분기 − 1
마지막 실적 유지(가정)</t>
      </text>
    </comment>
    <comment ref="Y29" authorId="0" shapeId="0">
      <text>
        <t>모델값 역산(implied): v / 전분기 − 1
마지막 실적 유지(가정)</t>
      </text>
    </comment>
    <comment ref="AA29" authorId="0" shapeId="0">
      <text>
        <t>모델값 역산(implied): v / 전분기 − 1
마지막 실적 유지(가정)</t>
      </text>
    </comment>
    <comment ref="AB29" authorId="0" shapeId="0">
      <text>
        <t>모델값 역산(implied): v / 전분기 − 1
마지막 실적 유지(가정)</t>
      </text>
    </comment>
    <comment ref="AC29" authorId="0" shapeId="0">
      <text>
        <t>모델값 역산(implied): v / 전분기 − 1
마지막 실적 유지(가정)</t>
      </text>
    </comment>
    <comment ref="AD29" authorId="0" shapeId="0">
      <text>
        <t>모델값 역산(implied): v / 전분기 − 1
마지막 실적 유지(가정)</t>
      </text>
    </comment>
    <comment ref="AF29" authorId="0" shapeId="0">
      <text>
        <t>모델값 역산(implied): v / 전분기 − 1
마지막 실적 유지(가정)</t>
      </text>
    </comment>
    <comment ref="AG29" authorId="0" shapeId="0">
      <text>
        <t>모델값 역산(implied): v / 전분기 − 1
마지막 실적 유지(가정)</t>
      </text>
    </comment>
    <comment ref="AH29" authorId="0" shapeId="0">
      <text>
        <t>모델값 역산(implied): v / 전분기 − 1
마지막 실적 유지(가정)</t>
      </text>
    </comment>
    <comment ref="AI29" authorId="0" shapeId="0">
      <text>
        <t>모델값 역산(implied): v / 전분기 − 1
마지막 실적 유지(가정)</t>
      </text>
    </comment>
    <comment ref="X30" authorId="0" shapeId="0">
      <text>
        <t>모델값 역산(implied): 전분기(시트값) + 당기순이익(시트 수식값) − v
전분기 + 당기순이익 − 배당(Q2 지급 가정)</t>
      </text>
    </comment>
    <comment ref="Y30" authorId="0" shapeId="0">
      <text>
        <t>모델값 역산(implied): 전분기(시트값) + 당기순이익(시트 수식값) − v
전분기 + 당기순이익 − 배당(Q2 지급 가정)</t>
      </text>
    </comment>
    <comment ref="AA30" authorId="0" shapeId="0">
      <text>
        <t>모델값 역산(implied): 전분기(시트값) + 당기순이익(시트 수식값) − v
전분기 + 당기순이익 − 배당(Q2 지급 가정)</t>
      </text>
    </comment>
    <comment ref="AB30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당기순이익(시트 수식값) − v
전분기 + 당기순이익 − 배당(Q2 지급 가정)</t>
      </text>
    </comment>
    <comment ref="AD30" authorId="0" shapeId="0">
      <text>
        <t>모델값 역산(implied): 전분기(시트값) + 당기순이익(시트 수식값) − v
전분기 + 당기순이익 − 배당(Q2 지급 가정)</t>
      </text>
    </comment>
    <comment ref="AF30" authorId="0" shapeId="0">
      <text>
        <t>모델값 역산(implied): 전분기(시트값) + 당기순이익(시트 수식값) − v
전분기 + 당기순이익 − 배당(Q2 지급 가정)</t>
      </text>
    </comment>
    <comment ref="AG30" authorId="0" shapeId="0">
      <text>
        <t>모델값 역산(implied): 전분기(시트값) + 당기순이익(시트 수식값) − v
전분기 + 당기순이익 − 배당(Q2 지급 가정)</t>
      </text>
    </comment>
    <comment ref="AH30" authorId="0" shapeId="0">
      <text>
        <t>모델값 역산(implied): 전분기(시트값) + 당기순이익(시트 수식값) − v
전분기 + 당기순이익 − 배당(Q2 지급 가정)</t>
      </text>
    </comment>
    <comment ref="AI30" authorId="0" shapeId="0">
      <text>
        <t>모델값 역산(implied): 전분기(시트값) + 당기순이익(시트 수식값) − v
전분기 + 당기순이익 − 배당(Q2 지급 가정)</t>
      </text>
    </comment>
    <comment ref="X31" authorId="0" shapeId="0">
      <text>
        <t>모델값 역산(implied): 전분기(시트값) + 지배주주순이익(시트 수식값) − v
전분기 + 지배주주순이익 − 배당</t>
      </text>
    </comment>
    <comment ref="Y31" authorId="0" shapeId="0">
      <text>
        <t>모델값 역산(implied): 전분기(시트값) + 지배주주순이익(시트 수식값) − v
전분기 + 지배주주순이익 − 배당</t>
      </text>
    </comment>
    <comment ref="AA31" authorId="0" shapeId="0">
      <text>
        <t>모델값 역산(implied): 전분기(시트값) + 지배주주순이익(시트 수식값) − v
전분기 + 지배주주순이익 − 배당</t>
      </text>
    </comment>
    <comment ref="AB31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전분기(시트값) + 지배주주순이익(시트 수식값) − v
전분기 + 지배주주순이익 − 배당</t>
      </text>
    </comment>
    <comment ref="AD31" authorId="0" shapeId="0">
      <text>
        <t>모델값 역산(implied): 전분기(시트값) + 지배주주순이익(시트 수식값) − v
전분기 + 지배주주순이익 − 배당</t>
      </text>
    </comment>
    <comment ref="AF31" authorId="0" shapeId="0">
      <text>
        <t>모델값 역산(implied): 전분기(시트값) + 지배주주순이익(시트 수식값) − v
전분기 + 지배주주순이익 − 배당</t>
      </text>
    </comment>
    <comment ref="AG31" authorId="0" shapeId="0">
      <text>
        <t>모델값 역산(implied): 전분기(시트값) + 지배주주순이익(시트 수식값) − v
전분기 + 지배주주순이익 − 배당</t>
      </text>
    </comment>
    <comment ref="AH31" authorId="0" shapeId="0">
      <text>
        <t>모델값 역산(implied): 전분기(시트값) + 지배주주순이익(시트 수식값) − v
전분기 + 지배주주순이익 − 배당</t>
      </text>
    </comment>
    <comment ref="AI31" authorId="0" shapeId="0">
      <text>
        <t>모델값 역산(implied): 전분기(시트값) + 지배주주순이익(시트 수식값) − v
전분기 + 지배주주순이익 − 배당</t>
      </text>
    </comment>
    <comment ref="X32" authorId="0" shapeId="0">
      <text>
        <t>모델값 역산(implied): v / 전분기 − 1
마지막 실적 유지(가정)</t>
      </text>
    </comment>
    <comment ref="Y32" authorId="0" shapeId="0">
      <text>
        <t>모델값 역산(implied): v / 전분기 − 1
마지막 실적 유지(가정)</t>
      </text>
    </comment>
    <comment ref="AA32" authorId="0" shapeId="0">
      <text>
        <t>모델값 역산(implied): v / 전분기 − 1
마지막 실적 유지(가정)</t>
      </text>
    </comment>
    <comment ref="AB32" authorId="0" shapeId="0">
      <text>
        <t>모델값 역산(implied): v / 전분기 − 1
마지막 실적 유지(가정)</t>
      </text>
    </comment>
    <comment ref="AC32" authorId="0" shapeId="0">
      <text>
        <t>모델값 역산(implied): v / 전분기 − 1
마지막 실적 유지(가정)</t>
      </text>
    </comment>
    <comment ref="AD32" authorId="0" shapeId="0">
      <text>
        <t>모델값 역산(implied): v / 전분기 − 1
마지막 실적 유지(가정)</t>
      </text>
    </comment>
    <comment ref="AF32" authorId="0" shapeId="0">
      <text>
        <t>모델값 역산(implied): v / 전분기 − 1
마지막 실적 유지(가정)</t>
      </text>
    </comment>
    <comment ref="AG32" authorId="0" shapeId="0">
      <text>
        <t>모델값 역산(implied): v / 전분기 − 1
마지막 실적 유지(가정)</t>
      </text>
    </comment>
    <comment ref="AH32" authorId="0" shapeId="0">
      <text>
        <t>모델값 역산(implied): v / 전분기 − 1
마지막 실적 유지(가정)</t>
      </text>
    </comment>
    <comment ref="AI32" authorId="0" shapeId="0">
      <text>
        <t>모델값 역산(implied): v / 전분기 − 1
마지막 실적 유지(가정)</t>
      </text>
    </comment>
    <comment ref="X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Y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A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B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C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D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F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G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H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AI33" authorId="0" shapeId="0">
      <text>
        <t>모델값 역산(implied): v / 전분기 − 1
전분기 − FCF 근사[순이익 − 배당(감가상각비 없음 → CAPEX≈감가 가정, CAPEX 중위 30억은 행에만)] (운전자본 불변·총차입금 유지 가정 → 변동은 전부 현금)</t>
      </text>
    </comment>
    <comment ref="X34" authorId="0" shapeId="0">
      <text>
        <t>모델값 역산(implied): v / 전분기 − 1
전분기 + FCF 근사 — 순차입금 롤과 같은 가정</t>
      </text>
    </comment>
    <comment ref="Y34" authorId="0" shapeId="0">
      <text>
        <t>모델값 역산(implied): v / 전분기 − 1
전분기 + FCF 근사 — 순차입금 롤과 같은 가정</t>
      </text>
    </comment>
    <comment ref="AA34" authorId="0" shapeId="0">
      <text>
        <t>모델값 역산(implied): v / 전분기 − 1
전분기 + FCF 근사 — 순차입금 롤과 같은 가정</t>
      </text>
    </comment>
    <comment ref="AB34" authorId="0" shapeId="0">
      <text>
        <t>모델값 역산(implied): v / 전분기 − 1
전분기 + FCF 근사 — 순차입금 롤과 같은 가정</t>
      </text>
    </comment>
    <comment ref="AC34" authorId="0" shapeId="0">
      <text>
        <t>모델값 역산(implied): v / 전분기 − 1
전분기 + FCF 근사 — 순차입금 롤과 같은 가정</t>
      </text>
    </comment>
    <comment ref="AD34" authorId="0" shapeId="0">
      <text>
        <t>모델값 역산(implied): v / 전분기 − 1
전분기 + FCF 근사 — 순차입금 롤과 같은 가정</t>
      </text>
    </comment>
    <comment ref="AF34" authorId="0" shapeId="0">
      <text>
        <t>모델값 역산(implied): v / 전분기 − 1
전분기 + FCF 근사 — 순차입금 롤과 같은 가정</t>
      </text>
    </comment>
    <comment ref="AG34" authorId="0" shapeId="0">
      <text>
        <t>모델값 역산(implied): v / 전분기 − 1
전분기 + FCF 근사 — 순차입금 롤과 같은 가정</t>
      </text>
    </comment>
    <comment ref="AH34" authorId="0" shapeId="0">
      <text>
        <t>모델값 역산(implied): v / 전분기 − 1
전분기 + FCF 근사 — 순차입금 롤과 같은 가정</t>
      </text>
    </comment>
    <comment ref="AI34" authorId="0" shapeId="0">
      <text>
        <t>모델값 역산(implied): v / 전분기 − 1
전분기 + FCF 근사 — 순차입금 롤과 같은 가정</t>
      </text>
    </comment>
    <comment ref="X36" authorId="0" shapeId="0">
      <text>
        <t>모델값 역산(implied): v / 전분기 − 1 (전년동기 없음 → 전분기 대비)
최근 2분기(2026Q1~2026Q2) CAPEX 중위 유지 — 순차입금 롤에 미반영(감가상각비 없음 → CAPEX≈감가 가정)</t>
      </text>
    </comment>
    <comment ref="Y36" authorId="0" shapeId="0">
      <text>
        <t>모델값 역산(implied): v / 전분기 − 1 (전년동기 없음 → 전분기 대비)
최근 2분기(2026Q1~2026Q2) CAPEX 중위 유지 — 순차입금 롤에 미반영(감가상각비 없음 → CAPEX≈감가 가정)</t>
      </text>
    </comment>
    <comment ref="AA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B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C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D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F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G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H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AI36" authorId="0" shapeId="0">
      <text>
        <t>모델값 역산(implied): v / 전년동기 − 1
최근 2분기(2026Q1~2026Q2) CAPEX 중위 유지 — 순차입금 롤에 미반영(감가상각비 없음 → CAPEX≈감가 가정)</t>
      </text>
    </comment>
    <comment ref="X38" authorId="0" shapeId="0">
      <text>
        <t>모델값 역산(implied): v / 전분기 − 1
유통주식수 유지 — fin.shares.common_outstanding(2026Q2)</t>
      </text>
    </comment>
    <comment ref="Y38" authorId="0" shapeId="0">
      <text>
        <t>모델값 역산(implied): v / 전분기 − 1
유통주식수 유지 — fin.shares.common_outstanding(2026Q2)</t>
      </text>
    </comment>
    <comment ref="AA38" authorId="0" shapeId="0">
      <text>
        <t>모델값 역산(implied): v / 전분기 − 1
유통주식수 유지 — fin.shares.common_outstanding(2026Q2)</t>
      </text>
    </comment>
    <comment ref="AB38" authorId="0" shapeId="0">
      <text>
        <t>모델값 역산(implied): v / 전분기 − 1
유통주식수 유지 — fin.shares.common_outstanding(2026Q2)</t>
      </text>
    </comment>
    <comment ref="AC38" authorId="0" shapeId="0">
      <text>
        <t>모델값 역산(implied): v / 전분기 − 1
유통주식수 유지 — fin.shares.common_outstanding(2026Q2)</t>
      </text>
    </comment>
    <comment ref="AD38" authorId="0" shapeId="0">
      <text>
        <t>모델값 역산(implied): v / 전분기 − 1
유통주식수 유지 — fin.shares.common_outstanding(2026Q2)</t>
      </text>
    </comment>
    <comment ref="AF38" authorId="0" shapeId="0">
      <text>
        <t>모델값 역산(implied): v / 전분기 − 1
유통주식수 유지 — fin.shares.common_outstanding(2026Q2)</t>
      </text>
    </comment>
    <comment ref="AG38" authorId="0" shapeId="0">
      <text>
        <t>모델값 역산(implied): v / 전분기 − 1
유통주식수 유지 — fin.shares.common_outstanding(2026Q2)</t>
      </text>
    </comment>
    <comment ref="AH38" authorId="0" shapeId="0">
      <text>
        <t>모델값 역산(implied): v / 전분기 − 1
유통주식수 유지 — fin.shares.common_outstanding(2026Q2)</t>
      </text>
    </comment>
    <comment ref="AI38" authorId="0" shapeId="0">
      <text>
        <t>모델값 역산(implied): v / 전분기 − 1
유통주식수 유지 — fin.shares.common_outstanding(2026Q2)</t>
      </text>
    </comment>
    <comment ref="Y39" authorId="0" shapeId="0">
      <text>
        <t>모델값 역산(implied): 모델 v 그대로
직전 결산 DPS 0원 유지</t>
      </text>
    </comment>
    <comment ref="AD39" authorId="0" shapeId="0">
      <text>
        <t>모델값 역산(implied): 모델 v 그대로
직전 결산 DPS 0원 유지</t>
      </text>
    </comment>
    <comment ref="AI39" authorId="0" shapeId="0">
      <text>
        <t>모델값 역산(implied): 모델 v 그대로
직전 결산 DPS 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X5" authorId="0" shapeId="0">
      <text>
        <t>추정: 전년동기 × (1+0.0%) — g=최근 4분기 합 YoY 0.0% 클립(−30~+50%), 연차별 절반 감쇠(가정)
[yoy]</t>
      </text>
    </comment>
    <comment ref="Y5" authorId="0" shapeId="0">
      <text>
        <t>추정: 전년동기 × (1+0.0%) — g=최근 4분기 합 YoY 0.0% 클립(−30~+50%), 연차별 절반 감쇠(가정)
[yoy]</t>
      </text>
    </comment>
    <comment ref="AA5" authorId="0" shapeId="0">
      <text>
        <t>추정: 전년동기 × (1+0.0%) — g=최근 4분기 합 YoY 0.0% 클립(−30~+50%), 연차별 절반 감쇠(가정)
[yoy]</t>
      </text>
    </comment>
    <comment ref="AB5" authorId="0" shapeId="0">
      <text>
        <t>추정: 전년동기 × (1+0.0%) — g=최근 4분기 합 YoY 0.0% 클립(−30~+50%), 연차별 절반 감쇠(가정)
[yoy]</t>
      </text>
    </comment>
    <comment ref="AC5" authorId="0" shapeId="0">
      <text>
        <t>추정: 전년동기 × (1+0.0%) — g=최근 4분기 합 YoY 0.0% 클립(−30~+50%), 연차별 절반 감쇠(가정)
[yoy]</t>
      </text>
    </comment>
    <comment ref="AD5" authorId="0" shapeId="0">
      <text>
        <t>추정: 전년동기 × (1+0.0%) — g=최근 4분기 합 YoY 0.0% 클립(−30~+50%), 연차별 절반 감쇠(가정)
[yoy]</t>
      </text>
    </comment>
    <comment ref="AF5" authorId="0" shapeId="0">
      <text>
        <t>추정: 전년동기 × (1+0.0%) — g=최근 4분기 합 YoY 0.0% 클립(−30~+50%), 연차별 절반 감쇠(가정)
[yoy]</t>
      </text>
    </comment>
    <comment ref="AG5" authorId="0" shapeId="0">
      <text>
        <t>추정: 전년동기 × (1+0.0%) — g=최근 4분기 합 YoY 0.0% 클립(−30~+50%), 연차별 절반 감쇠(가정)
[yoy]</t>
      </text>
    </comment>
    <comment ref="AH5" authorId="0" shapeId="0">
      <text>
        <t>추정: 전년동기 × (1+0.0%) — g=최근 4분기 합 YoY 0.0% 클립(−30~+50%), 연차별 절반 감쇠(가정)
[yoy]</t>
      </text>
    </comment>
    <comment ref="AI5" authorId="0" shapeId="0">
      <text>
        <t>추정: 전년동기 × (1+0.0%) — g=최근 4분기 합 YoY 0.0% 클립(−30~+50%), 연차별 절반 감쇠(가정)
[yoy]</t>
      </text>
    </comment>
    <comment ref="X6" authorId="0" shapeId="0">
      <text>
        <t>추정: 매출액 − 매출총이익(항등식)
[identity]</t>
      </text>
    </comment>
    <comment ref="Y6" authorId="0" shapeId="0">
      <text>
        <t>추정: 매출액 − 매출총이익(항등식)
[identity]</t>
      </text>
    </comment>
    <comment ref="AA6" authorId="0" shapeId="0">
      <text>
        <t>추정: 매출액 − 매출총이익(항등식)
[identity]</t>
      </text>
    </comment>
    <comment ref="AB6" authorId="0" shapeId="0">
      <text>
        <t>추정: 매출액 − 매출총이익(항등식)
[identity]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X7" authorId="0" shapeId="0">
      <text>
        <t>추정: 영업이익 + 판관비 − 기타영업손익(항등식)
[identity]</t>
      </text>
    </comment>
    <comment ref="Y7" authorId="0" shapeId="0">
      <text>
        <t>추정: 영업이익 + 판관비 − 기타영업손익(항등식)
[identity]</t>
      </text>
    </comment>
    <comment ref="AA7" authorId="0" shapeId="0">
      <text>
        <t>추정: 영업이익 + 판관비 − 기타영업손익(항등식)
[identity]</t>
      </text>
    </comment>
    <comment ref="AB7" authorId="0" shapeId="0">
      <text>
        <t>추정: 영업이익 + 판관비 − 기타영업손익(항등식)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X8" authorId="0" shapeId="0">
      <text>
        <t>추정: 매출액 × 판관비율 6.20%(최근 4분기 중위)
[ratio]</t>
      </text>
    </comment>
    <comment ref="Y8" authorId="0" shapeId="0">
      <text>
        <t>추정: 매출액 × 판관비율 6.20%(최근 4분기 중위)
[ratio]</t>
      </text>
    </comment>
    <comment ref="AA8" authorId="0" shapeId="0">
      <text>
        <t>추정: 매출액 × 판관비율 6.20%(최근 4분기 중위)
[ratio]</t>
      </text>
    </comment>
    <comment ref="AB8" authorId="0" shapeId="0">
      <text>
        <t>추정: 매출액 × 판관비율 6.20%(최근 4분기 중위)
[ratio]</t>
      </text>
    </comment>
    <comment ref="AC8" authorId="0" shapeId="0">
      <text>
        <t>추정: 매출액 × 판관비율 6.20%(최근 4분기 중위)
[ratio]</t>
      </text>
    </comment>
    <comment ref="AD8" authorId="0" shapeId="0">
      <text>
        <t>추정: 매출액 × 판관비율 6.20%(최근 4분기 중위)
[ratio]</t>
      </text>
    </comment>
    <comment ref="AF8" authorId="0" shapeId="0">
      <text>
        <t>추정: 매출액 × 판관비율 6.20%(최근 4분기 중위)
[ratio]</t>
      </text>
    </comment>
    <comment ref="AG8" authorId="0" shapeId="0">
      <text>
        <t>추정: 매출액 × 판관비율 6.20%(최근 4분기 중위)
[ratio]</t>
      </text>
    </comment>
    <comment ref="AH8" authorId="0" shapeId="0">
      <text>
        <t>추정: 매출액 × 판관비율 6.20%(최근 4분기 중위)
[ratio]</t>
      </text>
    </comment>
    <comment ref="AI8" authorId="0" shapeId="0">
      <text>
        <t>추정: 매출액 × 판관비율 6.20%(최근 4분기 중위)
[ratio]</t>
      </text>
    </comment>
    <comment ref="X9" authorId="0" shapeId="0">
      <text>
        <t>추정: 매출액 × OPM(최근 6분기 OPM 중위 8.9% 유지(클립 −20~40%))
[ratio]</t>
      </text>
    </comment>
    <comment ref="Y9" authorId="0" shapeId="0">
      <text>
        <t>추정: 매출액 × OPM(최근 6분기 OPM 중위 8.9% 유지(클립 −20~40%))
[ratio]</t>
      </text>
    </comment>
    <comment ref="AA9" authorId="0" shapeId="0">
      <text>
        <t>추정: 매출액 × OPM(최근 6분기 OPM 중위 8.9% 유지(클립 −20~40%))
[ratio]</t>
      </text>
    </comment>
    <comment ref="AB9" authorId="0" shapeId="0">
      <text>
        <t>추정: 매출액 × OPM(최근 6분기 OPM 중위 8.9% 유지(클립 −20~40%))
[ratio]</t>
      </text>
    </comment>
    <comment ref="AC9" authorId="0" shapeId="0">
      <text>
        <t>추정: 매출액 × OPM(최근 6분기 OPM 중위 8.9% 유지(클립 −20~40%))
[ratio]</t>
      </text>
    </comment>
    <comment ref="AD9" authorId="0" shapeId="0">
      <text>
        <t>추정: 매출액 × OPM(최근 6분기 OPM 중위 8.9% 유지(클립 −20~40%))
[ratio]</t>
      </text>
    </comment>
    <comment ref="AF9" authorId="0" shapeId="0">
      <text>
        <t>추정: 매출액 × OPM(최근 6분기 OPM 중위 8.9% 유지(클립 −20~40%))
[ratio]</t>
      </text>
    </comment>
    <comment ref="AG9" authorId="0" shapeId="0">
      <text>
        <t>추정: 매출액 × OPM(최근 6분기 OPM 중위 8.9% 유지(클립 −20~40%))
[ratio]</t>
      </text>
    </comment>
    <comment ref="AH9" authorId="0" shapeId="0">
      <text>
        <t>추정: 매출액 × OPM(최근 6분기 OPM 중위 8.9% 유지(클립 −20~40%))
[ratio]</t>
      </text>
    </comment>
    <comment ref="AI9" authorId="0" shapeId="0">
      <text>
        <t>추정: 매출액 × OPM(최근 6분기 OPM 중위 8.9% 유지(클립 −20~40%))
[ratio]</t>
      </text>
    </comment>
    <comment ref="X10" authorId="0" shapeId="0">
      <text>
        <t>추정: 최근 6분기 OPM 중위 8.9% 유지(클립 −20~40%)
[divide]</t>
      </text>
    </comment>
    <comment ref="Y10" authorId="0" shapeId="0">
      <text>
        <t>추정: 최근 6분기 OPM 중위 8.9% 유지(클립 −20~40%)
[divide]</t>
      </text>
    </comment>
    <comment ref="AA10" authorId="0" shapeId="0">
      <text>
        <t>추정: 최근 6분기 OPM 중위 8.9% 유지(클립 −20~40%)
[divide]</t>
      </text>
    </comment>
    <comment ref="AB10" authorId="0" shapeId="0">
      <text>
        <t>추정: 최근 6분기 OPM 중위 8.9% 유지(클립 −20~40%)
[divide]</t>
      </text>
    </comment>
    <comment ref="AC10" authorId="0" shapeId="0">
      <text>
        <t>추정: 최근 6분기 OPM 중위 8.9% 유지(클립 −20~40%)
[divide]</t>
      </text>
    </comment>
    <comment ref="AD10" authorId="0" shapeId="0">
      <text>
        <t>추정: 최근 6분기 OPM 중위 8.9% 유지(클립 −20~40%)
[divide]</t>
      </text>
    </comment>
    <comment ref="AF10" authorId="0" shapeId="0">
      <text>
        <t>추정: 최근 6분기 OPM 중위 8.9% 유지(클립 −20~40%)
[divide]</t>
      </text>
    </comment>
    <comment ref="AG10" authorId="0" shapeId="0">
      <text>
        <t>추정: 최근 6분기 OPM 중위 8.9% 유지(클립 −20~40%)
[divide]</t>
      </text>
    </comment>
    <comment ref="AH10" authorId="0" shapeId="0">
      <text>
        <t>추정: 최근 6분기 OPM 중위 8.9% 유지(클립 −20~40%)
[divide]</t>
      </text>
    </comment>
    <comment ref="AI10" authorId="0" shapeId="0">
      <text>
        <t>추정: 최근 6분기 OPM 중위 8.9% 유지(클립 −20~40%)
[divide]</t>
      </text>
    </comment>
    <comment ref="X11" authorId="0" shapeId="0">
      <text>
        <t>추정: 이자손익 + 파생상품손익 0 + 기타금융손익 +0.00억(잔차 실측 1분기 &lt; 4 → 0) (항등식); 이자손익 = 이자발생자산 389억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Y11" authorId="0" shapeId="0">
      <text>
        <t>추정: 이자손익 + 파생상품손익 0 + 기타금융손익 +0.00억(잔차 실측 1분기 &lt; 4 → 0) (항등식); 이자손익 = 이자발생자산 398억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A11" authorId="0" shapeId="0">
      <text>
        <t>추정: 이자손익 + 파생상품손익 0 + 기타금융손익 +0.00억(잔차 실측 1분기 &lt; 4 → 0) (항등식); 이자손익 = 이자발생자산 406억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B11" authorId="0" shapeId="0">
      <text>
        <t>추정: 이자손익 + 파생상품손익 0 + 기타금융손익 +0.00억(잔차 실측 1분기 &lt; 4 → 0) (항등식); 이자손익 = 이자발생자산 415억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C11" authorId="0" shapeId="0">
      <text>
        <t>추정: 이자손익 + 파생상품손익 0 + 기타금융손익 +0.00억(잔차 실측 1분기 &lt; 4 → 0) (항등식); 이자손익 = 이자발생자산 428억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D11" authorId="0" shapeId="0">
      <text>
        <t>추정: 이자손익 + 파생상품손익 0 + 기타금융손익 +0.00억(잔차 실측 1분기 &lt; 4 → 0) (항등식); 이자손익 = 이자발생자산 436억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F11" authorId="0" shapeId="0">
      <text>
        <t>추정: 이자손익 + 파생상품손익 0 + 기타금융손익 +0.00억(잔차 실측 1분기 &lt; 4 → 0) (항등식); 이자손익 = 이자발생자산 443억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G11" authorId="0" shapeId="0">
      <text>
        <t>추정: 이자손익 + 파생상품손익 0 + 기타금융손익 +0.00억(잔차 실측 1분기 &lt; 4 → 0) (항등식); 이자손익 = 이자발생자산 451억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H11" authorId="0" shapeId="0">
      <text>
        <t>추정: 이자손익 + 파생상품손익 0 + 기타금융손익 +0.00억(잔차 실측 1분기 &lt; 4 → 0) (항등식); 이자손익 = 이자발생자산 462억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AI11" authorId="0" shapeId="0">
      <text>
        <t>추정: 이자손익 + 파생상품손익 0 + 기타금융손익 +0.00억(잔차 실측 1분기 &lt; 4 → 0) (항등식); 이자손익 = 이자발생자산 470억 × 1.23%(주석 이자수익 ÷ 평균 이자발생자산(2025Q3~2026Q2)) − 총차입금 864억 × 3.70%(주석 이자비용 ÷ 평균 총차입금(2025Q3~2026Q2)) (연율) ÷ 4; 환율 효과는 환관련손익 행 별도
[identity]</t>
      </text>
    </comment>
    <comment ref="X12" authorId="0" shapeId="0">
      <text>
        <t>추정: 이자발생자산 389억 × 1.23%(주석 이자수익 ÷ 평균 이자발생자산(2025Q3~2026Q2)) − 총차입금 864억 × 3.70%(주석 이자비용 ÷ 평균 총차입금(2025Q3~2026Q2)) (연율) ÷ 4
[interest]</t>
      </text>
    </comment>
    <comment ref="Y12" authorId="0" shapeId="0">
      <text>
        <t>추정: 이자발생자산 398억 × 1.23%(주석 이자수익 ÷ 평균 이자발생자산(2025Q3~2026Q2)) − 총차입금 864억 × 3.70%(주석 이자비용 ÷ 평균 총차입금(2025Q3~2026Q2)) (연율) ÷ 4
[interest]</t>
      </text>
    </comment>
    <comment ref="AA12" authorId="0" shapeId="0">
      <text>
        <t>추정: 이자발생자산 406억 × 1.23%(주석 이자수익 ÷ 평균 이자발생자산(2025Q3~2026Q2)) − 총차입금 864억 × 3.70%(주석 이자비용 ÷ 평균 총차입금(2025Q3~2026Q2)) (연율) ÷ 4
[interest]</t>
      </text>
    </comment>
    <comment ref="AB12" authorId="0" shapeId="0">
      <text>
        <t>추정: 이자발생자산 415억 × 1.23%(주석 이자수익 ÷ 평균 이자발생자산(2025Q3~2026Q2)) − 총차입금 864억 × 3.70%(주석 이자비용 ÷ 평균 총차입금(2025Q3~2026Q2)) (연율) ÷ 4
[interest]</t>
      </text>
    </comment>
    <comment ref="AC12" authorId="0" shapeId="0">
      <text>
        <t>추정: 이자발생자산 428억 × 1.23%(주석 이자수익 ÷ 평균 이자발생자산(2025Q3~2026Q2)) − 총차입금 864억 × 3.70%(주석 이자비용 ÷ 평균 총차입금(2025Q3~2026Q2)) (연율) ÷ 4
[interest]</t>
      </text>
    </comment>
    <comment ref="AD12" authorId="0" shapeId="0">
      <text>
        <t>추정: 이자발생자산 436억 × 1.23%(주석 이자수익 ÷ 평균 이자발생자산(2025Q3~2026Q2)) − 총차입금 864억 × 3.70%(주석 이자비용 ÷ 평균 총차입금(2025Q3~2026Q2)) (연율) ÷ 4
[interest]</t>
      </text>
    </comment>
    <comment ref="AF12" authorId="0" shapeId="0">
      <text>
        <t>추정: 이자발생자산 443억 × 1.23%(주석 이자수익 ÷ 평균 이자발생자산(2025Q3~2026Q2)) − 총차입금 864억 × 3.70%(주석 이자비용 ÷ 평균 총차입금(2025Q3~2026Q2)) (연율) ÷ 4
[interest]</t>
      </text>
    </comment>
    <comment ref="AG12" authorId="0" shapeId="0">
      <text>
        <t>추정: 이자발생자산 451억 × 1.23%(주석 이자수익 ÷ 평균 이자발생자산(2025Q3~2026Q2)) − 총차입금 864억 × 3.70%(주석 이자비용 ÷ 평균 총차입금(2025Q3~2026Q2)) (연율) ÷ 4
[interest]</t>
      </text>
    </comment>
    <comment ref="AH12" authorId="0" shapeId="0">
      <text>
        <t>추정: 이자발생자산 462억 × 1.23%(주석 이자수익 ÷ 평균 이자발생자산(2025Q3~2026Q2)) − 총차입금 864억 × 3.70%(주석 이자비용 ÷ 평균 총차입금(2025Q3~2026Q2)) (연율) ÷ 4
[interest]</t>
      </text>
    </comment>
    <comment ref="AI12" authorId="0" shapeId="0">
      <text>
        <t>추정: 이자발생자산 470억 × 1.23%(주석 이자수익 ÷ 평균 이자발생자산(2025Q3~2026Q2)) − 총차입금 864억 × 3.70%(주석 이자비용 ÷ 평균 총차입금(2025Q3~2026Q2)) (연율) ÷ 4
[interest]</t>
      </text>
    </comment>
    <comment ref="W13" authorId="0" shapeId="0">
      <text>
        <t>BS 계정 합·차: +파생상품이익 -파생상품손실</t>
      </text>
    </comment>
    <comment ref="X13" authorId="0" shapeId="0">
      <text>
        <t>추정: 파생상품 평가·거래손익 0 가정
[abs]</t>
      </text>
    </comment>
    <comment ref="Y13" authorId="0" shapeId="0">
      <text>
        <t>추정: 파생상품 평가·거래손익 0 가정
[abs]</t>
      </text>
    </comment>
    <comment ref="AA13" authorId="0" shapeId="0">
      <text>
        <t>추정: 파생상품 평가·거래손익 0 가정
[abs]</t>
      </text>
    </comment>
    <comment ref="AB13" authorId="0" shapeId="0">
      <text>
        <t>추정: 파생상품 평가·거래손익 0 가정
[abs]</t>
      </text>
    </comment>
    <comment ref="AC13" authorId="0" shapeId="0">
      <text>
        <t>추정: 파생상품 평가·거래손익 0 가정
[abs]</t>
      </text>
    </comment>
    <comment ref="AD13" authorId="0" shapeId="0">
      <text>
        <t>추정: 파생상품 평가·거래손익 0 가정
[abs]</t>
      </text>
    </comment>
    <comment ref="AF13" authorId="0" shapeId="0">
      <text>
        <t>추정: 파생상품 평가·거래손익 0 가정
[abs]</t>
      </text>
    </comment>
    <comment ref="AG13" authorId="0" shapeId="0">
      <text>
        <t>추정: 파생상품 평가·거래손익 0 가정
[abs]</t>
      </text>
    </comment>
    <comment ref="AH13" authorId="0" shapeId="0">
      <text>
        <t>추정: 파생상품 평가·거래손익 0 가정
[abs]</t>
      </text>
    </comment>
    <comment ref="AI13" authorId="0" shapeId="0">
      <text>
        <t>추정: 파생상품 평가·거래손익 0 가정
[abs]</t>
      </text>
    </comment>
    <comment ref="W14" authorId="0" shapeId="0">
      <text>
        <t>실측(계정 매핑 없음(파생·부문·시세 행) — 모델값 직접) — fin.sep.is.금융손익 − 이자손익 − 파생상품손익(잔차) — 외환손익은 기타영업외 주석 → 금융 잔차에서 제외</t>
      </text>
    </comment>
    <comment ref="X14" authorId="0" shapeId="0">
      <text>
        <t>추정: 잔차 실측 1분기 &lt; 4 → 0
[abs]</t>
      </text>
    </comment>
    <comment ref="Y14" authorId="0" shapeId="0">
      <text>
        <t>추정: 잔차 실측 1분기 &lt; 4 → 0
[abs]</t>
      </text>
    </comment>
    <comment ref="AA14" authorId="0" shapeId="0">
      <text>
        <t>추정: 잔차 실측 1분기 &lt; 4 → 0
[abs]</t>
      </text>
    </comment>
    <comment ref="AB14" authorId="0" shapeId="0">
      <text>
        <t>추정: 잔차 실측 1분기 &lt; 4 → 0
[abs]</t>
      </text>
    </comment>
    <comment ref="AC14" authorId="0" shapeId="0">
      <text>
        <t>추정: 잔차 실측 1분기 &lt; 4 → 0
[abs]</t>
      </text>
    </comment>
    <comment ref="AD14" authorId="0" shapeId="0">
      <text>
        <t>추정: 잔차 실측 1분기 &lt; 4 → 0
[abs]</t>
      </text>
    </comment>
    <comment ref="AF14" authorId="0" shapeId="0">
      <text>
        <t>추정: 잔차 실측 1분기 &lt; 4 → 0
[abs]</t>
      </text>
    </comment>
    <comment ref="AG14" authorId="0" shapeId="0">
      <text>
        <t>추정: 잔차 실측 1분기 &lt; 4 → 0
[abs]</t>
      </text>
    </comment>
    <comment ref="AH14" authorId="0" shapeId="0">
      <text>
        <t>추정: 잔차 실측 1분기 &lt; 4 → 0
[abs]</t>
      </text>
    </comment>
    <comment ref="AI14" authorId="0" shapeId="0">
      <text>
        <t>추정: 잔차 실측 1분기 &lt; 4 → 0
[abs]</t>
      </text>
    </comment>
    <comment ref="X15" authorId="0" shapeId="0">
      <text>
        <t>추정: 일회성 미가정 → 0
[abs]</t>
      </text>
    </comment>
    <comment ref="Y15" authorId="0" shapeId="0">
      <text>
        <t>추정: 일회성 미가정 → 0
[abs]</t>
      </text>
    </comment>
    <comment ref="AA15" authorId="0" shapeId="0">
      <text>
        <t>추정: 일회성 미가정 → 0
[abs]</t>
      </text>
    </comment>
    <comment ref="AB15" authorId="0" shapeId="0">
      <text>
        <t>추정: 일회성 미가정 → 0
[abs]</t>
      </text>
    </comment>
    <comment ref="AC15" authorId="0" shapeId="0">
      <text>
        <t>추정: 일회성 미가정 → 0
[abs]</t>
      </text>
    </comment>
    <comment ref="AD15" authorId="0" shapeId="0">
      <text>
        <t>추정: 일회성 미가정 → 0
[abs]</t>
      </text>
    </comment>
    <comment ref="AF15" authorId="0" shapeId="0">
      <text>
        <t>추정: 일회성 미가정 → 0
[abs]</t>
      </text>
    </comment>
    <comment ref="AG15" authorId="0" shapeId="0">
      <text>
        <t>추정: 일회성 미가정 → 0
[abs]</t>
      </text>
    </comment>
    <comment ref="AH15" authorId="0" shapeId="0">
      <text>
        <t>추정: 일회성 미가정 → 0
[abs]</t>
      </text>
    </comment>
    <comment ref="AI15" authorId="0" shapeId="0">
      <text>
        <t>추정: 일회성 미가정 → 0
[abs]</t>
      </text>
    </comment>
    <comment ref="X16" authorId="0" shapeId="0">
      <text>
        <t>추정: 영업이익 + 금융손익 + 기타영업외 + 지분법 + 환관련(항등식)
[identity]</t>
      </text>
    </comment>
    <comment ref="Y16" authorId="0" shapeId="0">
      <text>
        <t>추정: 영업이익 + 금융손익 + 기타영업외 + 지분법 + 환관련(항등식)
[identity]</t>
      </text>
    </comment>
    <comment ref="AA16" authorId="0" shapeId="0">
      <text>
        <t>추정: 영업이익 + 금융손익 + 기타영업외 + 지분법 + 환관련(항등식)
[identity]</t>
      </text>
    </comment>
    <comment ref="AB16" authorId="0" shapeId="0">
      <text>
        <t>추정: 영업이익 + 금융손익 + 기타영업외 + 지분법 + 환관련(항등식)
[identity]</t>
      </text>
    </comment>
    <comment ref="AC16" authorId="0" shapeId="0">
      <text>
        <t>추정: 영업이익 + 금융손익 + 기타영업외 + 지분법 + 환관련(항등식)
[identity]</t>
      </text>
    </comment>
    <comment ref="AD16" authorId="0" shapeId="0">
      <text>
        <t>추정: 영업이익 + 금융손익 + 기타영업외 + 지분법 + 환관련(항등식)
[identity]</t>
      </text>
    </comment>
    <comment ref="AF16" authorId="0" shapeId="0">
      <text>
        <t>추정: 영업이익 + 금융손익 + 기타영업외 + 지분법 + 환관련(항등식)
[identity]</t>
      </text>
    </comment>
    <comment ref="AG16" authorId="0" shapeId="0">
      <text>
        <t>추정: 영업이익 + 금융손익 + 기타영업외 + 지분법 + 환관련(항등식)
[identity]</t>
      </text>
    </comment>
    <comment ref="AH16" authorId="0" shapeId="0">
      <text>
        <t>추정: 영업이익 + 금융손익 + 기타영업외 + 지분법 + 환관련(항등식)
[identity]</t>
      </text>
    </comment>
    <comment ref="AI16" authorId="0" shapeId="0">
      <text>
        <t>추정: 영업이익 + 금융손익 + 기타영업외 + 지분법 + 환관련(항등식)
[identity]</t>
      </text>
    </comment>
    <comment ref="X17" authorId="0" shapeId="0">
      <text>
        <t>추정: max(세전, 0) × 세율 0.0%(이월결손 경로 유지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Y17" authorId="0" shapeId="0">
      <text>
        <t>추정: max(세전, 0) × 세율 0.0%(이월결손 경로 유지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A17" authorId="0" shapeId="0">
      <text>
        <t>추정: max(세전, 0) × 세율 2.8%(이월결손 경로 램프 1/8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B17" authorId="0" shapeId="0">
      <text>
        <t>추정: max(세전, 0) × 세율 5.5%(이월결손 경로 램프 2/8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C17" authorId="0" shapeId="0">
      <text>
        <t>추정: max(세전, 0) × 세율 8.2%(이월결손 경로 램프 3/8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D17" authorId="0" shapeId="0">
      <text>
        <t>추정: max(세전, 0) × 세율 11.0%(이월결손 경로 램프 4/8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F17" authorId="0" shapeId="0">
      <text>
        <t>추정: max(세전, 0) × 세율 13.8%(이월결손 경로 램프 5/8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G17" authorId="0" shapeId="0">
      <text>
        <t>추정: max(세전, 0) × 세율 16.5%(이월결손 경로 램프 6/8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H17" authorId="0" shapeId="0">
      <text>
        <t>추정: max(세전, 0) × 세율 19.2%(이월결손 경로 램프 7/8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AI17" authorId="0" shapeId="0">
      <text>
        <t>추정: max(세전, 0) × 세율 22.0%(이월결손 경로 램프 8/8 — 최근 8분기 중 세전 &gt; 0 인 4분기(2025Q2~2026Q2) 법인세/세전 중위 -0.5%·최근 4분기 중위 -0.5% 가 모두 5% 미만 → 이월결손 공제 중으로 보고 0.0% 를 2026Q4 까지 유지, 2027Q1~2028Q4 선형 램프로 법정세율 근사 22% 수렴)
[tax]</t>
      </text>
    </comment>
    <comment ref="X18" authorId="0" shapeId="0">
      <text>
        <t>추정: 세전이익 − 법인세비용(항등식)
[identity]</t>
      </text>
    </comment>
    <comment ref="Y18" authorId="0" shapeId="0">
      <text>
        <t>추정: 세전이익 − 법인세비용(항등식)
[identity]</t>
      </text>
    </comment>
    <comment ref="AA18" authorId="0" shapeId="0">
      <text>
        <t>추정: 세전이익 − 법인세비용(항등식)
[identity]</t>
      </text>
    </comment>
    <comment ref="AB18" authorId="0" shapeId="0">
      <text>
        <t>추정: 세전이익 − 법인세비용(항등식)
[identity]</t>
      </text>
    </comment>
    <comment ref="AC18" authorId="0" shapeId="0">
      <text>
        <t>추정: 세전이익 − 법인세비용(항등식)
[identity]</t>
      </text>
    </comment>
    <comment ref="AD18" authorId="0" shapeId="0">
      <text>
        <t>추정: 세전이익 − 법인세비용(항등식)
[identity]</t>
      </text>
    </comment>
    <comment ref="AF18" authorId="0" shapeId="0">
      <text>
        <t>추정: 세전이익 − 법인세비용(항등식)
[identity]</t>
      </text>
    </comment>
    <comment ref="AG18" authorId="0" shapeId="0">
      <text>
        <t>추정: 세전이익 − 법인세비용(항등식)
[identity]</t>
      </text>
    </comment>
    <comment ref="AH18" authorId="0" shapeId="0">
      <text>
        <t>추정: 세전이익 − 법인세비용(항등식)
[identity]</t>
      </text>
    </comment>
    <comment ref="AI18" authorId="0" shapeId="0">
      <text>
        <t>추정: 세전이익 − 법인세비용(항등식)
[identity]</t>
      </text>
    </comment>
    <comment ref="X19" authorId="0" shapeId="0">
      <text>
        <t>추정: 당기순이익 × (1 − 비지배 비중 0.0%, 최근 8분기 실측)
[ratio]</t>
      </text>
    </comment>
    <comment ref="Y19" authorId="0" shapeId="0">
      <text>
        <t>추정: 당기순이익 × (1 − 비지배 비중 0.0%, 최근 8분기 실측)
[ratio]</t>
      </text>
    </comment>
    <comment ref="AA19" authorId="0" shapeId="0">
      <text>
        <t>추정: 당기순이익 × (1 − 비지배 비중 0.0%, 최근 8분기 실측)
[ratio]</t>
      </text>
    </comment>
    <comment ref="AB19" authorId="0" shapeId="0">
      <text>
        <t>추정: 당기순이익 × (1 − 비지배 비중 0.0%, 최근 8분기 실측)
[ratio]</t>
      </text>
    </comment>
    <comment ref="AC19" authorId="0" shapeId="0">
      <text>
        <t>추정: 당기순이익 × (1 − 비지배 비중 0.0%, 최근 8분기 실측)
[ratio]</t>
      </text>
    </comment>
    <comment ref="AD19" authorId="0" shapeId="0">
      <text>
        <t>추정: 당기순이익 × (1 − 비지배 비중 0.0%, 최근 8분기 실측)
[ratio]</t>
      </text>
    </comment>
    <comment ref="AF19" authorId="0" shapeId="0">
      <text>
        <t>추정: 당기순이익 × (1 − 비지배 비중 0.0%, 최근 8분기 실측)
[ratio]</t>
      </text>
    </comment>
    <comment ref="AG19" authorId="0" shapeId="0">
      <text>
        <t>추정: 당기순이익 × (1 − 비지배 비중 0.0%, 최근 8분기 실측)
[ratio]</t>
      </text>
    </comment>
    <comment ref="AH19" authorId="0" shapeId="0">
      <text>
        <t>추정: 당기순이익 × (1 − 비지배 비중 0.0%, 최근 8분기 실측)
[ratio]</t>
      </text>
    </comment>
    <comment ref="AI19" authorId="0" shapeId="0">
      <text>
        <t>추정: 당기순이익 × (1 − 비지배 비중 0.0%, 최근 8분기 실측)
[ratio]</t>
      </text>
    </comment>
    <comment ref="F20" authorId="0" shapeId="0">
      <text>
        <t>연간 실측(BS 시트에 2022.12A 없음 — 모델 a 값 직접)</t>
      </text>
    </comment>
    <comment ref="X20" authorId="0" shapeId="0">
      <text>
        <t>추정: 부채총계 + 자본총계(항등식)
[identity]</t>
      </text>
    </comment>
    <comment ref="Y20" authorId="0" shapeId="0">
      <text>
        <t>추정: 부채총계 + 자본총계(항등식)
[identity]</t>
      </text>
    </comment>
    <comment ref="AA20" authorId="0" shapeId="0">
      <text>
        <t>추정: 부채총계 + 자본총계(항등식)
[identity]</t>
      </text>
    </comment>
    <comment ref="AB20" authorId="0" shapeId="0">
      <text>
        <t>추정: 부채총계 + 자본총계(항등식)
[identity]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F21" authorId="0" shapeId="0">
      <text>
        <t>연간 실측(BS 시트에 2022.12A 없음 — 모델 a 값 직접)</t>
      </text>
    </comment>
    <comment ref="X21" authorId="0" shapeId="0">
      <text>
        <t>추정: 마지막 실적 유지(가정)
[qoq]</t>
      </text>
    </comment>
    <comment ref="Y21" authorId="0" shapeId="0">
      <text>
        <t>추정: 마지막 실적 유지(가정)
[qoq]</t>
      </text>
    </comment>
    <comment ref="AA21" authorId="0" shapeId="0">
      <text>
        <t>추정: 마지막 실적 유지(가정)
[qoq]</t>
      </text>
    </comment>
    <comment ref="AB21" authorId="0" shapeId="0">
      <text>
        <t>추정: 마지막 실적 유지(가정)
[qoq]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F22" authorId="0" shapeId="0">
      <text>
        <t>연간 실측(BS 시트에 2022.12A 없음 — 모델 a 값 직접)</t>
      </text>
    </comment>
    <comment ref="X22" authorId="0" shapeId="0">
      <text>
        <t>추정: 전분기 + 당기순이익 − 배당(Q2 지급 가정)
[roll]</t>
      </text>
    </comment>
    <comment ref="Y22" authorId="0" shapeId="0">
      <text>
        <t>추정: 전분기 + 당기순이익 − 배당(Q2 지급 가정)
[roll]</t>
      </text>
    </comment>
    <comment ref="AA22" authorId="0" shapeId="0">
      <text>
        <t>추정: 전분기 + 당기순이익 − 배당(Q2 지급 가정)
[roll]</t>
      </text>
    </comment>
    <comment ref="AB22" authorId="0" shapeId="0">
      <text>
        <t>추정: 전분기 + 당기순이익 − 배당(Q2 지급 가정)
[roll]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F23" authorId="0" shapeId="0">
      <text>
        <t>연간 실측(BS 시트에 2022.12A 없음 — 모델 a 값 직접)</t>
      </text>
    </comment>
    <comment ref="X23" authorId="0" shapeId="0">
      <text>
        <t>추정: 전분기 + 지배주주순이익 − 배당
[roll]</t>
      </text>
    </comment>
    <comment ref="Y23" authorId="0" shapeId="0">
      <text>
        <t>추정: 전분기 + 지배주주순이익 − 배당
[roll]</t>
      </text>
    </comment>
    <comment ref="AA23" authorId="0" shapeId="0">
      <text>
        <t>추정: 전분기 + 지배주주순이익 − 배당
[roll]</t>
      </text>
    </comment>
    <comment ref="AB23" authorId="0" shapeId="0">
      <text>
        <t>추정: 전분기 + 지배주주순이익 − 배당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F24" authorId="0" shapeId="0">
      <text>
        <t>연간 실측(BS 시트에 2022.12A 없음 — 모델 a 값 직접)</t>
      </text>
    </comment>
    <comment ref="X24" authorId="0" shapeId="0">
      <text>
        <t>추정: 마지막 실적 유지(가정)
[qoq]</t>
      </text>
    </comment>
    <comment ref="Y24" authorId="0" shapeId="0">
      <text>
        <t>추정: 마지막 실적 유지(가정)
[qoq]</t>
      </text>
    </comment>
    <comment ref="AA24" authorId="0" shapeId="0">
      <text>
        <t>추정: 마지막 실적 유지(가정)
[qoq]</t>
      </text>
    </comment>
    <comment ref="AB24" authorId="0" shapeId="0">
      <text>
        <t>추정: 마지막 실적 유지(가정)
[qoq]</t>
      </text>
    </comment>
    <comment ref="AC24" authorId="0" shapeId="0">
      <text>
        <t>추정: 마지막 실적 유지(가정)
[qoq]</t>
      </text>
    </comment>
    <comment ref="AD24" authorId="0" shapeId="0">
      <text>
        <t>추정: 마지막 실적 유지(가정)
[qoq]</t>
      </text>
    </comment>
    <comment ref="AF24" authorId="0" shapeId="0">
      <text>
        <t>추정: 마지막 실적 유지(가정)
[qoq]</t>
      </text>
    </comment>
    <comment ref="AG24" authorId="0" shapeId="0">
      <text>
        <t>추정: 마지막 실적 유지(가정)
[qoq]</t>
      </text>
    </comment>
    <comment ref="AH24" authorId="0" shapeId="0">
      <text>
        <t>추정: 마지막 실적 유지(가정)
[qoq]</t>
      </text>
    </comment>
    <comment ref="AI24" authorId="0" shapeId="0">
      <text>
        <t>추정: 마지막 실적 유지(가정)
[qoq]</t>
      </text>
    </comment>
    <comment ref="F25" authorId="0" shapeId="0">
      <text>
        <t>연간 실측(BS 시트에 2022.12A 없음 — 모델 a 값 직접)</t>
      </text>
    </comment>
    <comment ref="X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Y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A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B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C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D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F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G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H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AI25" authorId="0" shapeId="0">
      <text>
        <t>추정: 전분기 − FCF 근사[순이익 − 배당(감가상각비 없음 → CAPEX≈감가 가정, CAPEX 중위 30억은 행에만)] (운전자본 불변·총차입금 유지 가정 → 변동은 전부 현금)
[qoq]</t>
      </text>
    </comment>
    <comment ref="F26" authorId="0" shapeId="0">
      <text>
        <t>연간 실측(BS 시트에 2022.12A 없음 — 모델 a 값 직접)</t>
      </text>
    </comment>
    <comment ref="X26" authorId="0" shapeId="0">
      <text>
        <t>추정: 전분기 + FCF 근사 — 순차입금 롤과 같은 가정
[qoq]</t>
      </text>
    </comment>
    <comment ref="Y26" authorId="0" shapeId="0">
      <text>
        <t>추정: 전분기 + FCF 근사 — 순차입금 롤과 같은 가정
[qoq]</t>
      </text>
    </comment>
    <comment ref="AA26" authorId="0" shapeId="0">
      <text>
        <t>추정: 전분기 + FCF 근사 — 순차입금 롤과 같은 가정
[qoq]</t>
      </text>
    </comment>
    <comment ref="AB26" authorId="0" shapeId="0">
      <text>
        <t>추정: 전분기 + FCF 근사 — 순차입금 롤과 같은 가정
[qoq]</t>
      </text>
    </comment>
    <comment ref="AC26" authorId="0" shapeId="0">
      <text>
        <t>추정: 전분기 + FCF 근사 — 순차입금 롤과 같은 가정
[qoq]</t>
      </text>
    </comment>
    <comment ref="AD26" authorId="0" shapeId="0">
      <text>
        <t>추정: 전분기 + FCF 근사 — 순차입금 롤과 같은 가정
[qoq]</t>
      </text>
    </comment>
    <comment ref="AF26" authorId="0" shapeId="0">
      <text>
        <t>추정: 전분기 + FCF 근사 — 순차입금 롤과 같은 가정
[qoq]</t>
      </text>
    </comment>
    <comment ref="AG26" authorId="0" shapeId="0">
      <text>
        <t>추정: 전분기 + FCF 근사 — 순차입금 롤과 같은 가정
[qoq]</t>
      </text>
    </comment>
    <comment ref="AH26" authorId="0" shapeId="0">
      <text>
        <t>추정: 전분기 + FCF 근사 — 순차입금 롤과 같은 가정
[qoq]</t>
      </text>
    </comment>
    <comment ref="AI26" authorId="0" shapeId="0">
      <text>
        <t>추정: 전분기 + FCF 근사 — 순차입금 롤과 같은 가정
[qoq]</t>
      </text>
    </comment>
    <comment ref="F27" authorId="0" shapeId="0">
      <text>
        <t>연간 실측(BS 시트에 2022.12A 없음 — 모델 a 값 직접)</t>
      </text>
    </comment>
    <comment ref="X28" authorId="0" shapeId="0">
      <text>
        <t>추정: 최근 2분기(2026Q1~2026Q2) CAPEX 중위 유지 — 순차입금 롤에 미반영(감가상각비 없음 → CAPEX≈감가 가정)
[yoy]</t>
      </text>
    </comment>
    <comment ref="Y28" authorId="0" shapeId="0">
      <text>
        <t>추정: 최근 2분기(2026Q1~2026Q2) CAPEX 중위 유지 — 순차입금 롤에 미반영(감가상각비 없음 → CAPEX≈감가 가정)
[yoy]</t>
      </text>
    </comment>
    <comment ref="AA28" authorId="0" shapeId="0">
      <text>
        <t>추정: 최근 2분기(2026Q1~2026Q2) CAPEX 중위 유지 — 순차입금 롤에 미반영(감가상각비 없음 → CAPEX≈감가 가정)
[yoy]</t>
      </text>
    </comment>
    <comment ref="AB28" authorId="0" shapeId="0">
      <text>
        <t>추정: 최근 2분기(2026Q1~2026Q2) CAPEX 중위 유지 — 순차입금 롤에 미반영(감가상각비 없음 → CAPEX≈감가 가정)
[yoy]</t>
      </text>
    </comment>
    <comment ref="AC28" authorId="0" shapeId="0">
      <text>
        <t>추정: 최근 2분기(2026Q1~2026Q2) CAPEX 중위 유지 — 순차입금 롤에 미반영(감가상각비 없음 → CAPEX≈감가 가정)
[yoy]</t>
      </text>
    </comment>
    <comment ref="AD28" authorId="0" shapeId="0">
      <text>
        <t>추정: 최근 2분기(2026Q1~2026Q2) CAPEX 중위 유지 — 순차입금 롤에 미반영(감가상각비 없음 → CAPEX≈감가 가정)
[yoy]</t>
      </text>
    </comment>
    <comment ref="AF28" authorId="0" shapeId="0">
      <text>
        <t>추정: 최근 2분기(2026Q1~2026Q2) CAPEX 중위 유지 — 순차입금 롤에 미반영(감가상각비 없음 → CAPEX≈감가 가정)
[yoy]</t>
      </text>
    </comment>
    <comment ref="AG28" authorId="0" shapeId="0">
      <text>
        <t>추정: 최근 2분기(2026Q1~2026Q2) CAPEX 중위 유지 — 순차입금 롤에 미반영(감가상각비 없음 → CAPEX≈감가 가정)
[yoy]</t>
      </text>
    </comment>
    <comment ref="AH28" authorId="0" shapeId="0">
      <text>
        <t>추정: 최근 2분기(2026Q1~2026Q2) CAPEX 중위 유지 — 순차입금 롤에 미반영(감가상각비 없음 → CAPEX≈감가 가정)
[yoy]</t>
      </text>
    </comment>
    <comment ref="AI28" authorId="0" shapeId="0">
      <text>
        <t>추정: 최근 2분기(2026Q1~2026Q2) CAPEX 중위 유지 — 순차입금 롤에 미반영(감가상각비 없음 → CAPEX≈감가 가정)
[yoy]</t>
      </text>
    </comment>
    <comment ref="E30" authorId="0" shapeId="0">
      <text>
        <t>추정(실적 구간 갭필): fin.shares.common_outstanding 31,599,885주 × 1/2(환산 — 2025Q2 1/2 수동(복합 사건); IAS 33.64 비교표시·수정주가 이력과 정합)</t>
      </text>
    </comment>
    <comment ref="G30" authorId="0" shapeId="0">
      <text>
        <t>추정(실적 구간 갭필): 주식의 총수 기재 없는 분기 → 2022Q4 값 이월 31,599,885주 × 1/2(환산 — 2025Q2 1/2 수동(복합 사건); IAS 33.64 비교표시·수정주가 이력과 정합)</t>
      </text>
    </comment>
    <comment ref="H30" authorId="0" shapeId="0">
      <text>
        <t>추정(실적 구간 갭필): 주식의 총수 기재 없는 분기 → 2022Q4 값 이월 31,599,885주 × 1/2(환산 — 2025Q2 1/2 수동(복합 사건); IAS 33.64 비교표시·수정주가 이력과 정합)</t>
      </text>
    </comment>
    <comment ref="I30" authorId="0" shapeId="0">
      <text>
        <t>추정(실적 구간 갭필): 주식의 총수 기재 없는 분기 → 2022Q4 값 이월 31,599,885주 × 1/2(환산 — 2025Q2 1/2 수동(복합 사건); IAS 33.64 비교표시·수정주가 이력과 정합)</t>
      </text>
    </comment>
    <comment ref="J30" authorId="0" shapeId="0">
      <text>
        <t>추정(실적 구간 갭필): fin.shares.common_outstanding 35,599,885주 × 1/2(환산 — 2025Q2 1/2 수동(복합 사건); IAS 33.64 비교표시·수정주가 이력과 정합)</t>
      </text>
    </comment>
    <comment ref="L30" authorId="0" shapeId="0">
      <text>
        <t>추정(실적 구간 갭필): 주식의 총수 기재 없는 분기 → 2023Q4 값 이월 35,599,885주 × 1/2(환산 — 2025Q2 1/2 수동(복합 사건); IAS 33.64 비교표시·수정주가 이력과 정합)</t>
      </text>
    </comment>
    <comment ref="M30" authorId="0" shapeId="0">
      <text>
        <t>추정(실적 구간 갭필): 주식의 총수 기재 없는 분기 → 2023Q4 값 이월 35,599,885주 × 1/2(환산 — 2025Q2 1/2 수동(복합 사건); IAS 33.64 비교표시·수정주가 이력과 정합)</t>
      </text>
    </comment>
    <comment ref="N30" authorId="0" shapeId="0">
      <text>
        <t>추정(실적 구간 갭필): 주식의 총수 기재 없는 분기 → 2023Q4 값 이월 35,599,885주 × 1/2(환산 — 2025Q2 1/2 수동(복합 사건); IAS 33.64 비교표시·수정주가 이력과 정합)</t>
      </text>
    </comment>
    <comment ref="O30" authorId="0" shapeId="0">
      <text>
        <t>추정(실적 구간 갭필): fin.shares.common_outstanding 35,599,885주 × 1/2(환산 — 2025Q2 1/2 수동(복합 사건); IAS 33.64 비교표시·수정주가 이력과 정합)</t>
      </text>
    </comment>
    <comment ref="Q30" authorId="0" shapeId="0">
      <text>
        <t>추정(실적 구간 갭필): 주식의 총수 기재 없는 분기 → 2024Q4 값 이월 35,599,885주 × 1/2(환산 — 2025Q2 1/2 수동(복합 사건); IAS 33.64 비교표시·수정주가 이력과 정합)</t>
      </text>
    </comment>
    <comment ref="R30" authorId="0" shapeId="0">
      <text>
        <t>실측(계정 매핑 없음(파생·부문·시세 행) — 모델값 직접) — fin.shares.common_outstanding</t>
      </text>
    </comment>
    <comment ref="S30" authorId="0" shapeId="0">
      <text>
        <t>실측(계정 매핑 없음(파생·부문·시세 행) — 모델값 직접) — fin.shares.common_outstanding</t>
      </text>
    </comment>
    <comment ref="T30" authorId="0" shapeId="0">
      <text>
        <t>실측(계정 매핑 없음(파생·부문·시세 행) — 모델값 직접) — fin.shares.common_outstanding</t>
      </text>
    </comment>
    <comment ref="V30" authorId="0" shapeId="0">
      <text>
        <t>실측(계정 매핑 없음(파생·부문·시세 행) — 모델값 직접) — fin.shares.common_outstanding</t>
      </text>
    </comment>
    <comment ref="W30" authorId="0" shapeId="0">
      <text>
        <t>실측(계정 매핑 없음(파생·부문·시세 행) — 모델값 직접) — fin.shares.common_outstanding</t>
      </text>
    </comment>
    <comment ref="X30" authorId="0" shapeId="0">
      <text>
        <t>추정: 유통주식수 유지 — fin.shares.common_outstanding(2026Q2)
[qoq]</t>
      </text>
    </comment>
    <comment ref="Y30" authorId="0" shapeId="0">
      <text>
        <t>추정: 유통주식수 유지 — fin.shares.common_outstanding(2026Q2)
[qoq]</t>
      </text>
    </comment>
    <comment ref="AA30" authorId="0" shapeId="0">
      <text>
        <t>추정: 유통주식수 유지 — fin.shares.common_outstanding(2026Q2)
[qoq]</t>
      </text>
    </comment>
    <comment ref="AB30" authorId="0" shapeId="0">
      <text>
        <t>추정: 유통주식수 유지 — fin.shares.common_outstanding(2026Q2)
[qoq]</t>
      </text>
    </comment>
    <comment ref="AC30" authorId="0" shapeId="0">
      <text>
        <t>추정: 유통주식수 유지 — fin.shares.common_outstanding(2026Q2)
[qoq]</t>
      </text>
    </comment>
    <comment ref="AD30" authorId="0" shapeId="0">
      <text>
        <t>추정: 유통주식수 유지 — fin.shares.common_outstanding(2026Q2)
[qoq]</t>
      </text>
    </comment>
    <comment ref="AF30" authorId="0" shapeId="0">
      <text>
        <t>추정: 유통주식수 유지 — fin.shares.common_outstanding(2026Q2)
[qoq]</t>
      </text>
    </comment>
    <comment ref="AG30" authorId="0" shapeId="0">
      <text>
        <t>추정: 유통주식수 유지 — fin.shares.common_outstanding(2026Q2)
[qoq]</t>
      </text>
    </comment>
    <comment ref="AH30" authorId="0" shapeId="0">
      <text>
        <t>추정: 유통주식수 유지 — fin.shares.common_outstanding(2026Q2)
[qoq]</t>
      </text>
    </comment>
    <comment ref="AI30" authorId="0" shapeId="0">
      <text>
        <t>추정: 유통주식수 유지 — fin.shares.common_outstanding(2026Q2)
[qoq]</t>
      </text>
    </comment>
    <comment ref="X31" authorId="0" shapeId="0">
      <text>
        <t>추정: 지배주주순이익 ÷ 유통주식수
[per_share]</t>
      </text>
    </comment>
    <comment ref="Y31" authorId="0" shapeId="0">
      <text>
        <t>추정: 지배주주순이익 ÷ 유통주식수
[per_share]</t>
      </text>
    </comment>
    <comment ref="AA31" authorId="0" shapeId="0">
      <text>
        <t>추정: 지배주주순이익 ÷ 유통주식수
[per_share]</t>
      </text>
    </comment>
    <comment ref="AB31" authorId="0" shapeId="0">
      <text>
        <t>추정: 지배주주순이익 ÷ 유통주식수
[per_share]</t>
      </text>
    </comment>
    <comment ref="AC31" authorId="0" shapeId="0">
      <text>
        <t>추정: 지배주주순이익 ÷ 유통주식수
[per_share]</t>
      </text>
    </comment>
    <comment ref="AD31" authorId="0" shapeId="0">
      <text>
        <t>추정: 지배주주순이익 ÷ 유통주식수
[per_share]</t>
      </text>
    </comment>
    <comment ref="AF31" authorId="0" shapeId="0">
      <text>
        <t>추정: 지배주주순이익 ÷ 유통주식수
[per_share]</t>
      </text>
    </comment>
    <comment ref="AG31" authorId="0" shapeId="0">
      <text>
        <t>추정: 지배주주순이익 ÷ 유통주식수
[per_share]</t>
      </text>
    </comment>
    <comment ref="AH31" authorId="0" shapeId="0">
      <text>
        <t>추정: 지배주주순이익 ÷ 유통주식수
[per_share]</t>
      </text>
    </comment>
    <comment ref="AI31" authorId="0" shapeId="0">
      <text>
        <t>추정: 지배주주순이익 ÷ 유통주식수
[per_share]</t>
      </text>
    </comment>
    <comment ref="T32" authorId="0" shapeId="0">
      <text>
        <t>조정EPS 산식(모델 추정, 일회성 여부·세효과 주석 미확인): 지배NI − 초과 비영업손익 -28억 × (1 − 세율 0.0% [모델 세율(분기 유효세율이 0~35% 밖·세전 ≤ 0)]) × 지배 비중 1.0000 [그 분기 지배NI/NI] = 20억 ÷ 유통주식수 · 초과 = 비영업손익 -34억 − 12분기 기준선 -6억 · 보고 EPS -39원(EPS 행 불변) · 상수 -28.47·1.0 는 모델 one_offs_detected 값(세전·법인세 셀을 바꿔도 재계산되지 않음)</t>
      </text>
    </comment>
    <comment ref="X32" authorId="0" shapeId="0">
      <text>
        <t>추정: = EPS(추정 구간은 일회성 미가정)
[identity]</t>
      </text>
    </comment>
    <comment ref="Y32" authorId="0" shapeId="0">
      <text>
        <t>추정: = EPS(추정 구간은 일회성 미가정)
[identity]</t>
      </text>
    </comment>
    <comment ref="AA32" authorId="0" shapeId="0">
      <text>
        <t>추정: = EPS(추정 구간은 일회성 미가정)
[identity]</t>
      </text>
    </comment>
    <comment ref="AB32" authorId="0" shapeId="0">
      <text>
        <t>추정: = EPS(추정 구간은 일회성 미가정)
[identity]</t>
      </text>
    </comment>
    <comment ref="AC32" authorId="0" shapeId="0">
      <text>
        <t>추정: = EPS(추정 구간은 일회성 미가정)
[identity]</t>
      </text>
    </comment>
    <comment ref="AD32" authorId="0" shapeId="0">
      <text>
        <t>추정: = EPS(추정 구간은 일회성 미가정)
[identity]</t>
      </text>
    </comment>
    <comment ref="AF32" authorId="0" shapeId="0">
      <text>
        <t>추정: = EPS(추정 구간은 일회성 미가정)
[identity]</t>
      </text>
    </comment>
    <comment ref="AG32" authorId="0" shapeId="0">
      <text>
        <t>추정: = EPS(추정 구간은 일회성 미가정)
[identity]</t>
      </text>
    </comment>
    <comment ref="AH32" authorId="0" shapeId="0">
      <text>
        <t>추정: = EPS(추정 구간은 일회성 미가정)
[identity]</t>
      </text>
    </comment>
    <comment ref="AI32" authorId="0" shapeId="0">
      <text>
        <t>추정: = EPS(추정 구간은 일회성 미가정)
[identity]</t>
      </text>
    </comment>
    <comment ref="X33" authorId="0" shapeId="0">
      <text>
        <t>추정: 지배주주지분 ÷ 유통주식수
[per_share]</t>
      </text>
    </comment>
    <comment ref="Y33" authorId="0" shapeId="0">
      <text>
        <t>추정: 지배주주지분 ÷ 유통주식수
[per_share]</t>
      </text>
    </comment>
    <comment ref="AA33" authorId="0" shapeId="0">
      <text>
        <t>추정: 지배주주지분 ÷ 유통주식수
[per_share]</t>
      </text>
    </comment>
    <comment ref="AB33" authorId="0" shapeId="0">
      <text>
        <t>추정: 지배주주지분 ÷ 유통주식수
[per_share]</t>
      </text>
    </comment>
    <comment ref="AC33" authorId="0" shapeId="0">
      <text>
        <t>추정: 지배주주지분 ÷ 유통주식수
[per_share]</t>
      </text>
    </comment>
    <comment ref="AD33" authorId="0" shapeId="0">
      <text>
        <t>추정: 지배주주지분 ÷ 유통주식수
[per_share]</t>
      </text>
    </comment>
    <comment ref="AF33" authorId="0" shapeId="0">
      <text>
        <t>추정: 지배주주지분 ÷ 유통주식수
[per_share]</t>
      </text>
    </comment>
    <comment ref="AG33" authorId="0" shapeId="0">
      <text>
        <t>추정: 지배주주지분 ÷ 유통주식수
[per_share]</t>
      </text>
    </comment>
    <comment ref="AH33" authorId="0" shapeId="0">
      <text>
        <t>추정: 지배주주지분 ÷ 유통주식수
[per_share]</t>
      </text>
    </comment>
    <comment ref="AI33" authorId="0" shapeId="0">
      <text>
        <t>추정: 지배주주지분 ÷ 유통주식수
[per_share]</t>
      </text>
    </comment>
    <comment ref="E34" authorId="0" shapeId="0">
      <text>
        <t>실측(계정 매핑 없음(파생·부문·시세 행) — 모델값 직접) — fin.dividend.dps_common(연간, Q4 에 표기)</t>
      </text>
    </comment>
    <comment ref="F34" authorId="0" shapeId="0">
      <text>
        <t>연간(actual) — 분기 미완 연도, 모델 a 값 직접</t>
      </text>
    </comment>
    <comment ref="J34" authorId="0" shapeId="0">
      <text>
        <t>실측(계정 매핑 없음(파생·부문·시세 행) — 모델값 직접) — fin.dividend.dps_common(연간, Q4 에 표기)</t>
      </text>
    </comment>
    <comment ref="O34" authorId="0" shapeId="0">
      <text>
        <t>실측(계정 매핑 없음(파생·부문·시세 행) — 모델값 직접) — fin.dividend.dps_common(연간, Q4 에 표기)</t>
      </text>
    </comment>
    <comment ref="T34" authorId="0" shapeId="0">
      <text>
        <t>실측(계정 매핑 없음(파생·부문·시세 행) — 모델값 직접) — fin.dividend.dps_common(연간, Q4 에 표기)</t>
      </text>
    </comment>
    <comment ref="Y34" authorId="0" shapeId="0">
      <text>
        <t>추정: 직전 결산 DPS 0원 유지
[abs]</t>
      </text>
    </comment>
    <comment ref="AD34" authorId="0" shapeId="0">
      <text>
        <t>추정: 직전 결산 DPS 0원 유지
[abs]</t>
      </text>
    </comment>
    <comment ref="AI34" authorId="0" shapeId="0">
      <text>
        <t>추정: 직전 결산 DPS 0원 유지
[abs]</t>
      </text>
    </comment>
    <comment ref="X35" authorId="0" shapeId="0">
      <text>
        <t>추정: 현재 종가 ÷ TTM EPS(추정 포함)
[valuation]</t>
      </text>
    </comment>
    <comment ref="Y35" authorId="0" shapeId="0">
      <text>
        <t>추정: 현재 종가 ÷ TTM EPS(추정 포함)
[valuation]</t>
      </text>
    </comment>
    <comment ref="AA35" authorId="0" shapeId="0">
      <text>
        <t>추정: 현재 종가 ÷ TTM EPS(추정 포함)
[valuation]</t>
      </text>
    </comment>
    <comment ref="AB35" authorId="0" shapeId="0">
      <text>
        <t>추정: 현재 종가 ÷ TTM EPS(추정 포함)
[valuation]</t>
      </text>
    </comment>
    <comment ref="AC35" authorId="0" shapeId="0">
      <text>
        <t>추정: 현재 종가 ÷ TTM EPS(추정 포함)
[valuation]</t>
      </text>
    </comment>
    <comment ref="AD35" authorId="0" shapeId="0">
      <text>
        <t>추정: 현재 종가 ÷ TTM EPS(추정 포함)
[valuation]</t>
      </text>
    </comment>
    <comment ref="AF35" authorId="0" shapeId="0">
      <text>
        <t>추정: 현재 종가 ÷ TTM EPS(추정 포함)
[valuation]</t>
      </text>
    </comment>
    <comment ref="AG35" authorId="0" shapeId="0">
      <text>
        <t>추정: 현재 종가 ÷ TTM EPS(추정 포함)
[valuation]</t>
      </text>
    </comment>
    <comment ref="AH35" authorId="0" shapeId="0">
      <text>
        <t>추정: 현재 종가 ÷ TTM EPS(추정 포함)
[valuation]</t>
      </text>
    </comment>
    <comment ref="AI35" authorId="0" shapeId="0">
      <text>
        <t>추정: 현재 종가 ÷ TTM EPS(추정 포함)
[valuation]</t>
      </text>
    </comment>
    <comment ref="X36" authorId="0" shapeId="0">
      <text>
        <t>추정: 현재 종가 ÷ BPS(추정 포함)
[valuation]</t>
      </text>
    </comment>
    <comment ref="Y36" authorId="0" shapeId="0">
      <text>
        <t>추정: 현재 종가 ÷ BPS(추정 포함)
[valuation]</t>
      </text>
    </comment>
    <comment ref="AA36" authorId="0" shapeId="0">
      <text>
        <t>추정: 현재 종가 ÷ BPS(추정 포함)
[valuation]</t>
      </text>
    </comment>
    <comment ref="AB36" authorId="0" shapeId="0">
      <text>
        <t>추정: 현재 종가 ÷ BPS(추정 포함)
[valuation]</t>
      </text>
    </comment>
    <comment ref="AC36" authorId="0" shapeId="0">
      <text>
        <t>추정: 현재 종가 ÷ BPS(추정 포함)
[valuation]</t>
      </text>
    </comment>
    <comment ref="AD36" authorId="0" shapeId="0">
      <text>
        <t>추정: 현재 종가 ÷ BPS(추정 포함)
[valuation]</t>
      </text>
    </comment>
    <comment ref="AF36" authorId="0" shapeId="0">
      <text>
        <t>추정: 현재 종가 ÷ BPS(추정 포함)
[valuation]</t>
      </text>
    </comment>
    <comment ref="AG36" authorId="0" shapeId="0">
      <text>
        <t>추정: 현재 종가 ÷ BPS(추정 포함)
[valuation]</t>
      </text>
    </comment>
    <comment ref="AH36" authorId="0" shapeId="0">
      <text>
        <t>추정: 현재 종가 ÷ BPS(추정 포함)
[valuation]</t>
      </text>
    </comment>
    <comment ref="AI36" authorId="0" shapeId="0">
      <text>
        <t>추정: 현재 종가 ÷ BPS(추정 포함)
[valuation]</t>
      </text>
    </comment>
    <comment ref="O37" authorId="0" shapeId="0">
      <text>
        <t>실측(계정 매핑 없음(파생·부문·시세 행) — 모델값 직접) — = 매출액(부문 미분리)</t>
      </text>
    </comment>
    <comment ref="R37" authorId="0" shapeId="0">
      <text>
        <t>실측(계정 매핑 없음(파생·부문·시세 행) — 모델값 직접) — = 매출액(부문 미분리)</t>
      </text>
    </comment>
    <comment ref="S37" authorId="0" shapeId="0">
      <text>
        <t>실측(계정 매핑 없음(파생·부문·시세 행) — 모델값 직접) — = 매출액(부문 미분리)</t>
      </text>
    </comment>
    <comment ref="T37" authorId="0" shapeId="0">
      <text>
        <t>실측(계정 매핑 없음(파생·부문·시세 행) — 모델값 직접) — = 매출액(부문 미분리)</t>
      </text>
    </comment>
    <comment ref="V37" authorId="0" shapeId="0">
      <text>
        <t>실측(계정 매핑 없음(파생·부문·시세 행) — 모델값 직접) — = 매출액(부문 미분리)</t>
      </text>
    </comment>
    <comment ref="W37" authorId="0" shapeId="0">
      <text>
        <t>실측(계정 매핑 없음(파생·부문·시세 행) — 모델값 직접) — = 매출액(부문 미분리)</t>
      </text>
    </comment>
    <comment ref="X37" authorId="0" shapeId="0">
      <text>
        <t>추정: = 매출액 추정(부문 미분리)
[identity]</t>
      </text>
    </comment>
    <comment ref="Y37" authorId="0" shapeId="0">
      <text>
        <t>추정: = 매출액 추정(부문 미분리)
[identity]</t>
      </text>
    </comment>
    <comment ref="AA37" authorId="0" shapeId="0">
      <text>
        <t>추정: = 매출액 추정(부문 미분리)
[identity]</t>
      </text>
    </comment>
    <comment ref="AB37" authorId="0" shapeId="0">
      <text>
        <t>추정: = 매출액 추정(부문 미분리)
[identity]</t>
      </text>
    </comment>
    <comment ref="AC37" authorId="0" shapeId="0">
      <text>
        <t>추정: = 매출액 추정(부문 미분리)
[identity]</t>
      </text>
    </comment>
    <comment ref="AD37" authorId="0" shapeId="0">
      <text>
        <t>추정: = 매출액 추정(부문 미분리)
[identity]</t>
      </text>
    </comment>
    <comment ref="AF37" authorId="0" shapeId="0">
      <text>
        <t>추정: = 매출액 추정(부문 미분리)
[identity]</t>
      </text>
    </comment>
    <comment ref="AG37" authorId="0" shapeId="0">
      <text>
        <t>추정: = 매출액 추정(부문 미분리)
[identity]</t>
      </text>
    </comment>
    <comment ref="AH37" authorId="0" shapeId="0">
      <text>
        <t>추정: = 매출액 추정(부문 미분리)
[identity]</t>
      </text>
    </comment>
    <comment ref="AI37" authorId="0" shapeId="0">
      <text>
        <t>추정: = 매출액 추정(부문 미분리)
[identity]</t>
      </text>
    </comment>
    <comment ref="O38" authorId="0" shapeId="0">
      <text>
        <t>실측(계정 매핑 없음(파생·부문·시세 행) — 모델값 직접) — = 영업이익(부문 미분리)</t>
      </text>
    </comment>
    <comment ref="R38" authorId="0" shapeId="0">
      <text>
        <t>실측(계정 매핑 없음(파생·부문·시세 행) — 모델값 직접) — = 영업이익(부문 미분리)</t>
      </text>
    </comment>
    <comment ref="S38" authorId="0" shapeId="0">
      <text>
        <t>실측(계정 매핑 없음(파생·부문·시세 행) — 모델값 직접) — = 영업이익(부문 미분리)</t>
      </text>
    </comment>
    <comment ref="T38" authorId="0" shapeId="0">
      <text>
        <t>실측(계정 매핑 없음(파생·부문·시세 행) — 모델값 직접) — = 영업이익(부문 미분리)</t>
      </text>
    </comment>
    <comment ref="V38" authorId="0" shapeId="0">
      <text>
        <t>실측(계정 매핑 없음(파생·부문·시세 행) — 모델값 직접) — = 영업이익(부문 미분리)</t>
      </text>
    </comment>
    <comment ref="W38" authorId="0" shapeId="0">
      <text>
        <t>실측(계정 매핑 없음(파생·부문·시세 행) — 모델값 직접) — = 영업이익(부문 미분리)</t>
      </text>
    </comment>
    <comment ref="X38" authorId="0" shapeId="0">
      <text>
        <t>추정: = 매출액 × OPM(부문 미분리)
[identity]</t>
      </text>
    </comment>
    <comment ref="Y38" authorId="0" shapeId="0">
      <text>
        <t>추정: = 매출액 × OPM(부문 미분리)
[identity]</t>
      </text>
    </comment>
    <comment ref="AA38" authorId="0" shapeId="0">
      <text>
        <t>추정: = 매출액 × OPM(부문 미분리)
[identity]</t>
      </text>
    </comment>
    <comment ref="AB38" authorId="0" shapeId="0">
      <text>
        <t>추정: = 매출액 × OPM(부문 미분리)
[identity]</t>
      </text>
    </comment>
    <comment ref="AC38" authorId="0" shapeId="0">
      <text>
        <t>추정: = 매출액 × OPM(부문 미분리)
[identity]</t>
      </text>
    </comment>
    <comment ref="AD38" authorId="0" shapeId="0">
      <text>
        <t>추정: = 매출액 × OPM(부문 미분리)
[identity]</t>
      </text>
    </comment>
    <comment ref="AF38" authorId="0" shapeId="0">
      <text>
        <t>추정: = 매출액 × OPM(부문 미분리)
[identity]</t>
      </text>
    </comment>
    <comment ref="AG38" authorId="0" shapeId="0">
      <text>
        <t>추정: = 매출액 × OPM(부문 미분리)
[identity]</t>
      </text>
    </comment>
    <comment ref="AH38" authorId="0" shapeId="0">
      <text>
        <t>추정: = 매출액 × OPM(부문 미분리)
[identity]</t>
      </text>
    </comment>
    <comment ref="AI38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삼미금속(012210) 실적 모델 — ARGUS 한국조선</t>
        </is>
      </c>
    </row>
    <row r="2">
      <c r="A2" t="inlineStr">
        <is>
          <t>기준 분기 2026Q2 · 마지막 실적 2026Q2 · 생성 2026-10-13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수식, 조정EPS 는 EPS 참조(일회성 의심 분기만 산식 셀)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0% → 22%(terminal, 2026Q4 까지 유지 → 2027Q1~2028Q4 선형 램프) — 이월결손 램프(assumptions.tax_schedule): 변수 drv:법인세비용 추정 분기 셀이 분기별 세율(3절 '세율' 스칼라 연결 안 됨 — 그 값은 시작 세율) · 근거: 최근 8분기 중 세전 &gt; 0 인 4분기(2025Q2~2026Q2) 법인세/세전 중위 -0.5%·최근 4분기 중위 -0.5% 가 모두 5% 미만 → 이월결손 공제 중으로 보고 0.0% 를 2026Q4 까지 유지, 2027Q1~2028Q4 선형 램프로 법정세율 근사 22% 수렴</t>
        </is>
      </c>
    </row>
    <row r="23">
      <c r="A23" t="inlineStr">
        <is>
          <t>· 판관비율 6.20%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1.25% / 부채 3.71% — 이자손익 = (전분기 이자발생자산 × 자산이자율 − 전분기 총차입금 × 부채이자율)/4, 최소자승 역산(모델 assumptions [0.0123, 0.037] 는 4자리 반올림이라 그대로 쓰면 ±1억 어긋남) · 출처: {"asset": "주석 이자수익 ÷ 평균 이자발생자산(2025Q3~2026Q2)", "debt": "주석 이자비용 ÷ 평균 총차입금(2025Q3~2026Q2)"}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조정EPS(일회성 의심 1분기: 2025Q4 보고 -39→조정 89원) — 의심 분기 = 지배NI − (비영업손익 − 12분기 기준선) × (1 − 세율) × 지배 비중 ÷ 유통주식수(subQ 수식+메모, 세후 초과·지배 비중은 모델 상수), 다른 분기 = EPS. 보고 EPS 행·TP 12M fwd EPS(추정 분기만) 는 불변. 일회성 여부·세효과는 주석 미확인(모델 추정)</t>
        </is>
      </c>
    </row>
    <row r="28">
      <c r="A28" t="inlineStr">
        <is>
          <t>· 연결된 가정: 판관비율, 지배주주비중, 이자율 · 연결 안 된 가정(모델값·분기별 역산 그대로): 세율(이월결손 램프(assumptions.tax_schedule, 0%→22%) — 분기별 세율 드라이버 행 사용)</t>
        </is>
      </c>
    </row>
    <row r="29">
      <c r="A29" t="inlineStr">
        <is>
          <t>· 밸류에이션 — PER 밴드 10.0/15.0/20.0배(sector_default(레퍼런스 TP_PE PB 예시 10/15/20배; 과거 양(+)EPS 분기 2개 &lt; 4)) · COE 9.0% · 12M fwd EPS 가중 0.5(가정). 모델 산출값 구간이며 추천이 아니다</t>
        </is>
      </c>
    </row>
    <row r="30">
      <c r="A30" t="inlineStr"/>
    </row>
    <row r="31">
      <c r="A31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2">
      <c r="A32" t="inlineStr">
        <is>
          <t>재현: cd argus/kship/tools &amp;&amp; python3 kship_model_xlsx.py --model assets/models/012210.json --verify   (모델 json 부터: kship_model.py --build --all --xlsx · xlsx 58사 일괄: kship_model_xlsx.py --all --verify)</t>
        </is>
      </c>
    </row>
    <row r="33">
      <c r="A33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4">
      <c r="A34" t="inlineStr">
        <is>
          <t>한계: 모델 quality.warnings — fin 미수집 분기 7개(no_report 등): 2023Q1, 2023Q2, 2023Q3, 2024Q1, 2024Q2, 2024Q3 / 외환차손익이 기타영업외 주석에 있음(1분기, 2026Q2~2026Q2) → 외환손익 행 없음, 기타금융손익 = 금융손익 − 이자 − 파생(fx_in_other_nonop) / 매출 드라이버 폴백(고객 조선사 연결 없음(suppliers.json)): 전년동기 × (1+g) 추세 / 주식수 사건 환산: 2025Q2 1/2 수동(복합 사건)(eps_reported 교차검증 confirmed) → 사건 전 실적 3분기의 주식수·EPS·BPS·DPS 를 비율 환산(IAS 33.64; 셀 kind estimate, basis 에 원주식수·비율) / 법인세율 이월결손 경로: 최근 양(+)세전 4분기 유효세율 중위 -0.5% → 0.0% 를 2026Q4 까지 유지, 2027Q1~2028Q4 선형 램프로 법정세율 근사 22% 수렴 — 결손 잔액·만기는 주석 미파싱(추정) / 감가상각비가 face·CF 에 없음(주석 미파싱) → EBITDA·EV/EBITDA 미산출 / 일회성 의심 2025Q4: 비영업손익 -34억(영업이익 15억의 2배, 12분기 중위 6억·기준선 -6억) → 지배NI -9억·보고 EPS·FY2025 합계·TTM PER 에 그대로 포함 — 처분이익 등 일회성 여부는 주석 확인 전까지 미확정(12M fwd EPS 에는 미포함) · 조정EPS 89.1원(보고 -39.2원; 초과 비영업손익 -28억 × (1 − 세율 0.0%) × 지배 비중 1.00 = -28억 차감 — 추정, 조정EPS 행)</t>
        </is>
      </c>
    </row>
    <row r="35">
      <c r="A35" t="inlineStr">
        <is>
          <t>백테스트: {"freeze": "2025Q2", "horizon": 4, "revenue_wape_pct": 10.5, "op_wape_pct": 36.8,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204.6, "rev_act": 175.5, "op_pred": 11.58, "op_act": 9.26}, {"q": "2025Q4", "rev_pred": 183.54, "rev_act": 160.11, "op_pred": 10.39, "op_act": 14.58}, {"q": "2026Q1", "rev_pred": 204.6, "rev_act": 182.59, "op_pred": 11.58, "op_act": 16.02}, {"q": "2026Q2", "rev_pred": 225.66, "rev_act": 222.59, "op_pred": 12.77, "op_act": 26.07}]}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C1" s="2" t="inlineStr">
        <is>
          <t>이름: 변수H</t>
        </is>
      </c>
      <c r="E1" s="3" t="inlineStr">
        <is>
          <t>4Q22</t>
        </is>
      </c>
      <c r="F1" s="3" t="n">
        <v>2022</v>
      </c>
      <c r="G1" s="3" t="inlineStr">
        <is>
          <t>1Q23</t>
        </is>
      </c>
      <c r="H1" s="3" t="inlineStr">
        <is>
          <t>2Q23</t>
        </is>
      </c>
      <c r="I1" s="3" t="inlineStr">
        <is>
          <t>3Q23</t>
        </is>
      </c>
      <c r="J1" s="3" t="inlineStr">
        <is>
          <t>4Q23</t>
        </is>
      </c>
      <c r="K1" s="3" t="n">
        <v>2023</v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n">
        <v>2024</v>
      </c>
      <c r="Q1" s="3" t="inlineStr">
        <is>
          <t>1Q25</t>
        </is>
      </c>
      <c r="R1" s="3" t="inlineStr">
        <is>
          <t>2Q25</t>
        </is>
      </c>
      <c r="S1" s="3" t="inlineStr">
        <is>
          <t>3Q25</t>
        </is>
      </c>
      <c r="T1" s="3" t="inlineStr">
        <is>
          <t>4Q25</t>
        </is>
      </c>
      <c r="U1" s="3" t="n">
        <v>2025</v>
      </c>
      <c r="V1" s="3" t="inlineStr">
        <is>
          <t>1Q26</t>
        </is>
      </c>
      <c r="W1" s="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n">
        <v>2026</v>
      </c>
      <c r="AA1" s="3" t="inlineStr">
        <is>
          <t>1Q27</t>
        </is>
      </c>
      <c r="AB1" s="3" t="inlineStr">
        <is>
          <t>2Q27</t>
        </is>
      </c>
      <c r="AC1" s="3" t="inlineStr">
        <is>
          <t>3Q27</t>
        </is>
      </c>
      <c r="AD1" s="3" t="inlineStr">
        <is>
          <t>4Q27</t>
        </is>
      </c>
      <c r="AE1" s="3" t="n">
        <v>2027</v>
      </c>
      <c r="AF1" s="3" t="inlineStr">
        <is>
          <t>1Q28</t>
        </is>
      </c>
      <c r="AG1" s="3" t="inlineStr">
        <is>
          <t>2Q28</t>
        </is>
      </c>
      <c r="AH1" s="3" t="inlineStr">
        <is>
          <t>3Q28</t>
        </is>
      </c>
      <c r="AI1" s="3" t="inlineStr">
        <is>
          <t>4Q28</t>
        </is>
      </c>
      <c r="AJ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W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</row>
    <row r="4">
      <c r="E4" s="7" t="inlineStr">
        <is>
          <t>2022.12</t>
        </is>
      </c>
      <c r="F4" s="7" t="inlineStr">
        <is>
          <t>2022.12A</t>
        </is>
      </c>
      <c r="G4" s="7" t="inlineStr">
        <is>
          <t>2023.03</t>
        </is>
      </c>
      <c r="H4" s="7" t="inlineStr">
        <is>
          <t>2023.06</t>
        </is>
      </c>
      <c r="I4" s="7" t="inlineStr">
        <is>
          <t>2023.09</t>
        </is>
      </c>
      <c r="J4" s="7" t="inlineStr">
        <is>
          <t>2023.12</t>
        </is>
      </c>
      <c r="K4" s="7" t="inlineStr">
        <is>
          <t>2023.12A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2024.12A</t>
        </is>
      </c>
      <c r="Q4" s="7" t="inlineStr">
        <is>
          <t>2025.03</t>
        </is>
      </c>
      <c r="R4" s="7" t="inlineStr">
        <is>
          <t>2025.06</t>
        </is>
      </c>
      <c r="S4" s="7" t="inlineStr">
        <is>
          <t>2025.09</t>
        </is>
      </c>
      <c r="T4" s="7" t="inlineStr">
        <is>
          <t>2025.12</t>
        </is>
      </c>
      <c r="U4" s="7" t="inlineStr">
        <is>
          <t>2025.12A</t>
        </is>
      </c>
      <c r="V4" s="7" t="inlineStr">
        <is>
          <t>2026.03</t>
        </is>
      </c>
      <c r="W4" s="8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2026.12A</t>
        </is>
      </c>
      <c r="AA4" s="7" t="inlineStr">
        <is>
          <t>2027.03</t>
        </is>
      </c>
      <c r="AB4" s="7" t="inlineStr">
        <is>
          <t>2027.06</t>
        </is>
      </c>
      <c r="AC4" s="7" t="inlineStr">
        <is>
          <t>2027.09</t>
        </is>
      </c>
      <c r="AD4" s="7" t="inlineStr">
        <is>
          <t>2027.12</t>
        </is>
      </c>
      <c r="AE4" s="7" t="inlineStr">
        <is>
          <t>2027.12A</t>
        </is>
      </c>
      <c r="AF4" s="7" t="inlineStr">
        <is>
          <t>2028.03</t>
        </is>
      </c>
      <c r="AG4" s="7" t="inlineStr">
        <is>
          <t>2028.06</t>
        </is>
      </c>
      <c r="AH4" s="7" t="inlineStr">
        <is>
          <t>2028.09</t>
        </is>
      </c>
      <c r="AI4" s="7" t="inlineStr">
        <is>
          <t>2028.12</t>
        </is>
      </c>
      <c r="AJ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W5" s="5" t="n"/>
      <c r="X5" s="10" t="n"/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1360.12</v>
      </c>
      <c r="F6" s="14" t="n">
        <v>1292.98</v>
      </c>
      <c r="G6" s="13" t="n">
        <v>1276.95</v>
      </c>
      <c r="H6" s="13" t="n">
        <v>1315.69</v>
      </c>
      <c r="I6" s="13" t="n">
        <v>1313.62</v>
      </c>
      <c r="J6" s="13" t="n">
        <v>1322.01</v>
      </c>
      <c r="K6" s="14" t="n">
        <v>1306.85</v>
      </c>
      <c r="L6" s="13" t="n">
        <v>1330.14</v>
      </c>
      <c r="M6" s="13" t="n">
        <v>1371.28</v>
      </c>
      <c r="N6" s="13" t="n">
        <v>1356.22</v>
      </c>
      <c r="O6" s="13" t="n">
        <v>1396.3</v>
      </c>
      <c r="P6" s="14" t="n">
        <v>1363.53</v>
      </c>
      <c r="Q6" s="13" t="n">
        <v>1452.28</v>
      </c>
      <c r="R6" s="13" t="n">
        <v>1398.52</v>
      </c>
      <c r="S6" s="13" t="n">
        <v>1386.95</v>
      </c>
      <c r="T6" s="13" t="n">
        <v>1449.19</v>
      </c>
      <c r="U6" s="14" t="n">
        <v>1421.52</v>
      </c>
      <c r="V6" s="13" t="n">
        <v>1466.12</v>
      </c>
      <c r="W6" s="15" t="n">
        <v>1501.75</v>
      </c>
      <c r="X6" s="16" t="n">
        <v>1418.75</v>
      </c>
      <c r="Y6" s="16" t="n">
        <v>1343.63</v>
      </c>
      <c r="Z6" s="17" t="n">
        <v>1456.58</v>
      </c>
      <c r="AA6" s="16" t="n">
        <v>1333.09</v>
      </c>
      <c r="AB6" s="16" t="n">
        <v>1333.09</v>
      </c>
      <c r="AC6" s="16" t="n">
        <v>1333.09</v>
      </c>
      <c r="AD6" s="16" t="n">
        <v>1333.09</v>
      </c>
      <c r="AE6" s="11" t="n"/>
      <c r="AF6" s="16" t="n">
        <v>1333.09</v>
      </c>
      <c r="AG6" s="16" t="n">
        <v>1333.09</v>
      </c>
      <c r="AH6" s="16" t="n">
        <v>1333.09</v>
      </c>
      <c r="AI6" s="16" t="n">
        <v>1333.09</v>
      </c>
      <c r="AJ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1260.16</v>
      </c>
      <c r="F7" s="14" t="n">
        <v>1260.16</v>
      </c>
      <c r="G7" s="13" t="n">
        <v>1305.99</v>
      </c>
      <c r="H7" s="13" t="n">
        <v>1321.44</v>
      </c>
      <c r="I7" s="13" t="n">
        <v>1345.35</v>
      </c>
      <c r="J7" s="13" t="n">
        <v>1297.43</v>
      </c>
      <c r="K7" s="14" t="n">
        <v>1297.43</v>
      </c>
      <c r="L7" s="13" t="n">
        <v>1349.25</v>
      </c>
      <c r="M7" s="13" t="n">
        <v>1377.73</v>
      </c>
      <c r="N7" s="13" t="n">
        <v>1312.17</v>
      </c>
      <c r="O7" s="13" t="n">
        <v>1474.78</v>
      </c>
      <c r="P7" s="14" t="n">
        <v>1474.78</v>
      </c>
      <c r="Q7" s="13" t="n">
        <v>1474.54</v>
      </c>
      <c r="R7" s="13" t="n">
        <v>1355.13</v>
      </c>
      <c r="S7" s="13" t="n">
        <v>1403.67</v>
      </c>
      <c r="T7" s="13" t="n">
        <v>1444.2</v>
      </c>
      <c r="U7" s="14" t="n">
        <v>1444.2</v>
      </c>
      <c r="V7" s="13" t="n">
        <v>1524.8</v>
      </c>
      <c r="W7" s="15" t="n">
        <v>1550.89</v>
      </c>
      <c r="X7" s="16" t="n">
        <v>1355.4</v>
      </c>
      <c r="Y7" s="16" t="n">
        <v>1333.09</v>
      </c>
      <c r="Z7" s="17" t="n">
        <v>1333.09</v>
      </c>
      <c r="AA7" s="16" t="n">
        <v>1333.09</v>
      </c>
      <c r="AB7" s="16" t="n">
        <v>1333.09</v>
      </c>
      <c r="AC7" s="16" t="n">
        <v>1333.09</v>
      </c>
      <c r="AD7" s="16" t="n">
        <v>1333.09</v>
      </c>
      <c r="AE7" s="11" t="n"/>
      <c r="AF7" s="16" t="n">
        <v>1333.09</v>
      </c>
      <c r="AG7" s="16" t="n">
        <v>1333.09</v>
      </c>
      <c r="AH7" s="16" t="n">
        <v>1333.09</v>
      </c>
      <c r="AI7" s="16" t="n">
        <v>1333.09</v>
      </c>
      <c r="AJ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961.03</v>
      </c>
      <c r="F8" s="14" t="n">
        <v>985.1</v>
      </c>
      <c r="G8" s="13" t="n">
        <v>964.89</v>
      </c>
      <c r="H8" s="13" t="n">
        <v>957.36</v>
      </c>
      <c r="I8" s="13" t="n">
        <v>909</v>
      </c>
      <c r="J8" s="13" t="n">
        <v>893.22</v>
      </c>
      <c r="K8" s="14" t="n">
        <v>931.11</v>
      </c>
      <c r="L8" s="13" t="n">
        <v>896.29</v>
      </c>
      <c r="M8" s="13" t="n">
        <v>880.14</v>
      </c>
      <c r="N8" s="13" t="n">
        <v>909.35</v>
      </c>
      <c r="O8" s="13" t="n">
        <v>917.25</v>
      </c>
      <c r="P8" s="14" t="n">
        <v>900.92</v>
      </c>
      <c r="Q8" s="13" t="n">
        <v>952.59</v>
      </c>
      <c r="R8" s="13" t="n">
        <v>967.92</v>
      </c>
      <c r="S8" s="13" t="n">
        <v>940.3200000000001</v>
      </c>
      <c r="T8" s="13" t="n">
        <v>940.77</v>
      </c>
      <c r="U8" s="14" t="n">
        <v>950.17</v>
      </c>
      <c r="V8" s="13" t="n">
        <v>934.39</v>
      </c>
      <c r="W8" s="15" t="n">
        <v>942.16</v>
      </c>
      <c r="X8" s="16" t="n">
        <v>890.41</v>
      </c>
      <c r="Y8" s="16" t="n">
        <v>849.51</v>
      </c>
      <c r="Z8" s="17" t="n">
        <v>918.8099999999999</v>
      </c>
      <c r="AA8" s="16" t="n">
        <v>840.54</v>
      </c>
      <c r="AB8" s="16" t="n">
        <v>840.54</v>
      </c>
      <c r="AC8" s="16" t="n">
        <v>840.54</v>
      </c>
      <c r="AD8" s="16" t="n">
        <v>840.54</v>
      </c>
      <c r="AE8" s="11" t="n"/>
      <c r="AF8" s="16" t="n">
        <v>840.54</v>
      </c>
      <c r="AG8" s="16" t="n">
        <v>840.54</v>
      </c>
      <c r="AH8" s="16" t="n">
        <v>840.54</v>
      </c>
      <c r="AI8" s="16" t="n">
        <v>840.54</v>
      </c>
      <c r="AJ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955.54</v>
      </c>
      <c r="F9" s="14" t="n">
        <v>955.54</v>
      </c>
      <c r="G9" s="13" t="n">
        <v>980.62</v>
      </c>
      <c r="H9" s="13" t="n">
        <v>913.67</v>
      </c>
      <c r="I9" s="13" t="n">
        <v>901.47</v>
      </c>
      <c r="J9" s="13" t="n">
        <v>917.04</v>
      </c>
      <c r="K9" s="14" t="n">
        <v>917.04</v>
      </c>
      <c r="L9" s="13" t="n">
        <v>892.42</v>
      </c>
      <c r="M9" s="13" t="n">
        <v>857.76</v>
      </c>
      <c r="N9" s="13" t="n">
        <v>919.21</v>
      </c>
      <c r="O9" s="13" t="n">
        <v>939.65</v>
      </c>
      <c r="P9" s="14" t="n">
        <v>939.65</v>
      </c>
      <c r="Q9" s="13" t="n">
        <v>986.84</v>
      </c>
      <c r="R9" s="13" t="n">
        <v>938.85</v>
      </c>
      <c r="S9" s="13" t="n">
        <v>948.49</v>
      </c>
      <c r="T9" s="13" t="n">
        <v>921.8099999999999</v>
      </c>
      <c r="U9" s="14" t="n">
        <v>921.8099999999999</v>
      </c>
      <c r="V9" s="13" t="n">
        <v>955.99</v>
      </c>
      <c r="W9" s="15" t="n">
        <v>954.75</v>
      </c>
      <c r="X9" s="16" t="n">
        <v>863.3099999999999</v>
      </c>
      <c r="Y9" s="16" t="n">
        <v>840.54</v>
      </c>
      <c r="Z9" s="17" t="n">
        <v>840.54</v>
      </c>
      <c r="AA9" s="16" t="n">
        <v>840.54</v>
      </c>
      <c r="AB9" s="16" t="n">
        <v>840.54</v>
      </c>
      <c r="AC9" s="16" t="n">
        <v>840.54</v>
      </c>
      <c r="AD9" s="16" t="n">
        <v>840.54</v>
      </c>
      <c r="AE9" s="11" t="n"/>
      <c r="AF9" s="16" t="n">
        <v>840.54</v>
      </c>
      <c r="AG9" s="16" t="n">
        <v>840.54</v>
      </c>
      <c r="AH9" s="16" t="n">
        <v>840.54</v>
      </c>
      <c r="AI9" s="16" t="n">
        <v>840.54</v>
      </c>
      <c r="AJ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1386.07</v>
      </c>
      <c r="F10" s="14" t="n">
        <v>1358.07</v>
      </c>
      <c r="G10" s="13" t="n">
        <v>1369.93</v>
      </c>
      <c r="H10" s="13" t="n">
        <v>1432.41</v>
      </c>
      <c r="I10" s="13" t="n">
        <v>1429.41</v>
      </c>
      <c r="J10" s="13" t="n">
        <v>1420.91</v>
      </c>
      <c r="K10" s="14" t="n">
        <v>1412.88</v>
      </c>
      <c r="L10" s="13" t="n">
        <v>1444.21</v>
      </c>
      <c r="M10" s="13" t="n">
        <v>1476.42</v>
      </c>
      <c r="N10" s="13" t="n">
        <v>1489.3</v>
      </c>
      <c r="O10" s="13" t="n">
        <v>1490.78</v>
      </c>
      <c r="P10" s="14" t="n">
        <v>1475.4</v>
      </c>
      <c r="Q10" s="13" t="n">
        <v>1528.33</v>
      </c>
      <c r="R10" s="13" t="n">
        <v>1585.13</v>
      </c>
      <c r="S10" s="13" t="n">
        <v>1620.04</v>
      </c>
      <c r="T10" s="13" t="n">
        <v>1686.02</v>
      </c>
      <c r="U10" s="14" t="n">
        <v>1605.45</v>
      </c>
      <c r="V10" s="13" t="n">
        <v>1715.47</v>
      </c>
      <c r="W10" s="15" t="n">
        <v>1746.09</v>
      </c>
      <c r="X10" s="16" t="n">
        <v>1631.97</v>
      </c>
      <c r="Y10" s="16" t="n">
        <v>1507.34</v>
      </c>
      <c r="Z10" s="17" t="n">
        <v>1688.95</v>
      </c>
      <c r="AA10" s="16" t="n">
        <v>1490.54</v>
      </c>
      <c r="AB10" s="16" t="n">
        <v>1490.54</v>
      </c>
      <c r="AC10" s="16" t="n">
        <v>1490.54</v>
      </c>
      <c r="AD10" s="16" t="n">
        <v>1490.54</v>
      </c>
      <c r="AE10" s="11" t="n"/>
      <c r="AF10" s="16" t="n">
        <v>1490.54</v>
      </c>
      <c r="AG10" s="16" t="n">
        <v>1490.54</v>
      </c>
      <c r="AH10" s="16" t="n">
        <v>1490.54</v>
      </c>
      <c r="AI10" s="16" t="n">
        <v>1490.54</v>
      </c>
      <c r="AJ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1344.08</v>
      </c>
      <c r="F11" s="14" t="n">
        <v>1344.08</v>
      </c>
      <c r="G11" s="13" t="n">
        <v>1420.26</v>
      </c>
      <c r="H11" s="13" t="n">
        <v>1435.88</v>
      </c>
      <c r="I11" s="13" t="n">
        <v>1425.26</v>
      </c>
      <c r="J11" s="13" t="n">
        <v>1433.66</v>
      </c>
      <c r="K11" s="14" t="n">
        <v>1433.66</v>
      </c>
      <c r="L11" s="13" t="n">
        <v>1458.68</v>
      </c>
      <c r="M11" s="13" t="n">
        <v>1474.86</v>
      </c>
      <c r="N11" s="13" t="n">
        <v>1469.1</v>
      </c>
      <c r="O11" s="13" t="n">
        <v>1532.14</v>
      </c>
      <c r="P11" s="14" t="n">
        <v>1532.14</v>
      </c>
      <c r="Q11" s="13" t="n">
        <v>1594.72</v>
      </c>
      <c r="R11" s="13" t="n">
        <v>1588.22</v>
      </c>
      <c r="S11" s="13" t="n">
        <v>1648.04</v>
      </c>
      <c r="T11" s="13" t="n">
        <v>1696.94</v>
      </c>
      <c r="U11" s="14" t="n">
        <v>1696.94</v>
      </c>
      <c r="V11" s="13" t="n">
        <v>1753.21</v>
      </c>
      <c r="W11" s="15" t="n">
        <v>1767.09</v>
      </c>
      <c r="X11" s="16" t="n">
        <v>1539.06</v>
      </c>
      <c r="Y11" s="16" t="n">
        <v>1490.54</v>
      </c>
      <c r="Z11" s="17" t="n">
        <v>1490.54</v>
      </c>
      <c r="AA11" s="16" t="n">
        <v>1490.54</v>
      </c>
      <c r="AB11" s="16" t="n">
        <v>1490.54</v>
      </c>
      <c r="AC11" s="16" t="n">
        <v>1490.54</v>
      </c>
      <c r="AD11" s="16" t="n">
        <v>1490.54</v>
      </c>
      <c r="AE11" s="11" t="n"/>
      <c r="AF11" s="16" t="n">
        <v>1490.54</v>
      </c>
      <c r="AG11" s="16" t="n">
        <v>1490.54</v>
      </c>
      <c r="AH11" s="16" t="n">
        <v>1490.54</v>
      </c>
      <c r="AI11" s="16" t="n">
        <v>1490.54</v>
      </c>
      <c r="AJ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191.09</v>
      </c>
      <c r="F12" s="14" t="n">
        <v>191.93</v>
      </c>
      <c r="G12" s="13" t="n">
        <v>186.59</v>
      </c>
      <c r="H12" s="13" t="n">
        <v>187.45</v>
      </c>
      <c r="I12" s="13" t="n">
        <v>181.28</v>
      </c>
      <c r="J12" s="13" t="n">
        <v>182.86</v>
      </c>
      <c r="K12" s="14" t="n">
        <v>184.52</v>
      </c>
      <c r="L12" s="13" t="n">
        <v>185.04</v>
      </c>
      <c r="M12" s="13" t="n">
        <v>189.35</v>
      </c>
      <c r="N12" s="13" t="n">
        <v>189.24</v>
      </c>
      <c r="O12" s="13" t="n">
        <v>194.24</v>
      </c>
      <c r="P12" s="14" t="n">
        <v>189.49</v>
      </c>
      <c r="Q12" s="13" t="n">
        <v>199.63</v>
      </c>
      <c r="R12" s="13" t="n">
        <v>193.41</v>
      </c>
      <c r="S12" s="13" t="n">
        <v>193.79</v>
      </c>
      <c r="T12" s="13" t="n">
        <v>204.38</v>
      </c>
      <c r="U12" s="14" t="n">
        <v>197.8</v>
      </c>
      <c r="V12" s="13" t="n">
        <v>211.75</v>
      </c>
      <c r="W12" s="15" t="n">
        <v>220.8</v>
      </c>
      <c r="X12" s="16" t="n">
        <v>210.43</v>
      </c>
      <c r="Y12" s="16" t="n">
        <v>200.5</v>
      </c>
      <c r="Z12" s="17" t="n">
        <v>213.68</v>
      </c>
      <c r="AA12" s="16" t="n">
        <v>199.18</v>
      </c>
      <c r="AB12" s="16" t="n">
        <v>199.18</v>
      </c>
      <c r="AC12" s="16" t="n">
        <v>199.18</v>
      </c>
      <c r="AD12" s="16" t="n">
        <v>199.18</v>
      </c>
      <c r="AE12" s="11" t="n"/>
      <c r="AF12" s="16" t="n">
        <v>199.18</v>
      </c>
      <c r="AG12" s="16" t="n">
        <v>199.18</v>
      </c>
      <c r="AH12" s="16" t="n">
        <v>199.18</v>
      </c>
      <c r="AI12" s="16" t="n">
        <v>199.18</v>
      </c>
      <c r="AJ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182.67</v>
      </c>
      <c r="F13" s="14" t="n">
        <v>182.67</v>
      </c>
      <c r="G13" s="13" t="n">
        <v>189.97</v>
      </c>
      <c r="H13" s="13" t="n">
        <v>181.8</v>
      </c>
      <c r="I13" s="13" t="n">
        <v>184.26</v>
      </c>
      <c r="J13" s="13" t="n">
        <v>182.61</v>
      </c>
      <c r="K13" s="14" t="n">
        <v>182.61</v>
      </c>
      <c r="L13" s="13" t="n">
        <v>186.66</v>
      </c>
      <c r="M13" s="13" t="n">
        <v>189.7</v>
      </c>
      <c r="N13" s="13" t="n">
        <v>187.12</v>
      </c>
      <c r="O13" s="13" t="n">
        <v>202.04</v>
      </c>
      <c r="P13" s="14" t="n">
        <v>202.04</v>
      </c>
      <c r="Q13" s="13" t="n">
        <v>203.3</v>
      </c>
      <c r="R13" s="13" t="n">
        <v>189.14</v>
      </c>
      <c r="S13" s="13" t="n">
        <v>197.16</v>
      </c>
      <c r="T13" s="13" t="n">
        <v>206.28</v>
      </c>
      <c r="U13" s="14" t="n">
        <v>206.28</v>
      </c>
      <c r="V13" s="13" t="n">
        <v>220.97</v>
      </c>
      <c r="W13" s="15" t="n">
        <v>228.56</v>
      </c>
      <c r="X13" s="16" t="n">
        <v>202.16</v>
      </c>
      <c r="Y13" s="16" t="n">
        <v>199.18</v>
      </c>
      <c r="Z13" s="17" t="n">
        <v>199.18</v>
      </c>
      <c r="AA13" s="16" t="n">
        <v>199.18</v>
      </c>
      <c r="AB13" s="16" t="n">
        <v>199.18</v>
      </c>
      <c r="AC13" s="16" t="n">
        <v>199.18</v>
      </c>
      <c r="AD13" s="16" t="n">
        <v>199.18</v>
      </c>
      <c r="AE13" s="11" t="n"/>
      <c r="AF13" s="16" t="n">
        <v>199.18</v>
      </c>
      <c r="AG13" s="16" t="n">
        <v>199.18</v>
      </c>
      <c r="AH13" s="16" t="n">
        <v>199.18</v>
      </c>
      <c r="AI13" s="16" t="n">
        <v>199.18</v>
      </c>
      <c r="AJ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W14" s="5" t="n"/>
      <c r="X14" s="10" t="n"/>
      <c r="Y14" s="10" t="n"/>
      <c r="Z14" s="11" t="n"/>
      <c r="AA14" s="10" t="n"/>
      <c r="AB14" s="10" t="n"/>
      <c r="AC14" s="10" t="n"/>
      <c r="AD14" s="10" t="n"/>
      <c r="AE14" s="11" t="n"/>
      <c r="AF14" s="10" t="n"/>
      <c r="AG14" s="10" t="n"/>
      <c r="AH14" s="10" t="n"/>
      <c r="AI14" s="10" t="n"/>
      <c r="AJ14" s="11" t="n"/>
    </row>
    <row r="15">
      <c r="A15" s="12" t="inlineStr">
        <is>
          <t>price_close_end</t>
        </is>
      </c>
      <c r="C15" t="inlineStr">
        <is>
          <t>종가(기말)</t>
        </is>
      </c>
      <c r="F15" s="9" t="n"/>
      <c r="H15" s="18" t="n">
        <v>1679</v>
      </c>
      <c r="I15" s="18" t="n">
        <v>1360</v>
      </c>
      <c r="J15" s="18" t="n">
        <v>990</v>
      </c>
      <c r="K15" s="9" t="n"/>
      <c r="L15" s="18" t="n">
        <v>1549</v>
      </c>
      <c r="M15" s="18" t="n">
        <v>2280</v>
      </c>
      <c r="N15" s="18" t="n">
        <v>2300</v>
      </c>
      <c r="O15" s="18" t="n">
        <v>1995</v>
      </c>
      <c r="P15" s="9" t="n"/>
      <c r="Q15" s="18" t="n">
        <v>2005</v>
      </c>
      <c r="R15" s="18" t="n">
        <v>4110</v>
      </c>
      <c r="S15" s="18" t="n">
        <v>5050</v>
      </c>
      <c r="T15" s="18" t="n">
        <v>10630</v>
      </c>
      <c r="U15" s="9" t="n"/>
      <c r="V15" s="18" t="n">
        <v>13140</v>
      </c>
      <c r="W15" s="19" t="n">
        <v>7510</v>
      </c>
      <c r="X15" s="20" t="n">
        <v>12270</v>
      </c>
      <c r="Y15" s="20" t="n">
        <v>10110</v>
      </c>
      <c r="Z15" s="11" t="n"/>
      <c r="AA15" s="10" t="n"/>
      <c r="AB15" s="10" t="n"/>
      <c r="AC15" s="10" t="n"/>
      <c r="AD15" s="10" t="n"/>
      <c r="AE15" s="11" t="n"/>
      <c r="AF15" s="10" t="n"/>
      <c r="AG15" s="10" t="n"/>
      <c r="AH15" s="10" t="n"/>
      <c r="AI15" s="10" t="n"/>
      <c r="AJ15" s="11" t="n"/>
    </row>
    <row r="16">
      <c r="A16" s="12" t="inlineStr">
        <is>
          <t>price_high</t>
        </is>
      </c>
      <c r="C16" t="inlineStr">
        <is>
          <t>종가(최고)</t>
        </is>
      </c>
      <c r="F16" s="9" t="n"/>
      <c r="H16" s="18" t="n">
        <v>2500</v>
      </c>
      <c r="I16" s="18" t="n">
        <v>1943</v>
      </c>
      <c r="J16" s="18" t="n">
        <v>1300</v>
      </c>
      <c r="K16" s="9" t="n"/>
      <c r="L16" s="18" t="n">
        <v>1588</v>
      </c>
      <c r="M16" s="18" t="n">
        <v>2440</v>
      </c>
      <c r="N16" s="18" t="n">
        <v>3780</v>
      </c>
      <c r="O16" s="18" t="n">
        <v>3300</v>
      </c>
      <c r="P16" s="9" t="n"/>
      <c r="Q16" s="18" t="n">
        <v>2780</v>
      </c>
      <c r="R16" s="18" t="n">
        <v>5000</v>
      </c>
      <c r="S16" s="18" t="n">
        <v>5430</v>
      </c>
      <c r="T16" s="18" t="n">
        <v>15980</v>
      </c>
      <c r="U16" s="9" t="n"/>
      <c r="V16" s="18" t="n">
        <v>20850</v>
      </c>
      <c r="W16" s="19" t="n">
        <v>16190</v>
      </c>
      <c r="X16" s="20" t="n">
        <v>14140</v>
      </c>
      <c r="Y16" s="20" t="n">
        <v>14260</v>
      </c>
      <c r="Z16" s="11" t="n"/>
      <c r="AA16" s="10" t="n"/>
      <c r="AB16" s="10" t="n"/>
      <c r="AC16" s="10" t="n"/>
      <c r="AD16" s="10" t="n"/>
      <c r="AE16" s="11" t="n"/>
      <c r="AF16" s="10" t="n"/>
      <c r="AG16" s="10" t="n"/>
      <c r="AH16" s="10" t="n"/>
      <c r="AI16" s="10" t="n"/>
      <c r="AJ16" s="11" t="n"/>
    </row>
    <row r="17">
      <c r="A17" s="12" t="inlineStr">
        <is>
          <t>price_low</t>
        </is>
      </c>
      <c r="C17" t="inlineStr">
        <is>
          <t>종가(최저)</t>
        </is>
      </c>
      <c r="F17" s="9" t="n"/>
      <c r="H17" s="18" t="n">
        <v>1095</v>
      </c>
      <c r="I17" s="18" t="n">
        <v>1148</v>
      </c>
      <c r="J17" s="18" t="n">
        <v>816</v>
      </c>
      <c r="K17" s="9" t="n"/>
      <c r="L17" s="18" t="n">
        <v>865</v>
      </c>
      <c r="M17" s="18" t="n">
        <v>1261</v>
      </c>
      <c r="N17" s="18" t="n">
        <v>1900</v>
      </c>
      <c r="O17" s="18" t="n">
        <v>1517</v>
      </c>
      <c r="P17" s="9" t="n"/>
      <c r="Q17" s="18" t="n">
        <v>1721</v>
      </c>
      <c r="R17" s="18" t="n">
        <v>1900</v>
      </c>
      <c r="S17" s="18" t="n">
        <v>4110</v>
      </c>
      <c r="T17" s="18" t="n">
        <v>5000</v>
      </c>
      <c r="U17" s="9" t="n"/>
      <c r="V17" s="18" t="n">
        <v>7350</v>
      </c>
      <c r="W17" s="19" t="n">
        <v>6390</v>
      </c>
      <c r="X17" s="20" t="n">
        <v>4020</v>
      </c>
      <c r="Y17" s="20" t="n">
        <v>9480</v>
      </c>
      <c r="Z17" s="11" t="n"/>
      <c r="AA17" s="10" t="n"/>
      <c r="AB17" s="10" t="n"/>
      <c r="AC17" s="10" t="n"/>
      <c r="AD17" s="10" t="n"/>
      <c r="AE17" s="11" t="n"/>
      <c r="AF17" s="10" t="n"/>
      <c r="AG17" s="10" t="n"/>
      <c r="AH17" s="10" t="n"/>
      <c r="AI17" s="10" t="n"/>
      <c r="AJ17" s="11" t="n"/>
    </row>
    <row r="18">
      <c r="A18" s="12" t="inlineStr">
        <is>
          <t>price_avg</t>
        </is>
      </c>
      <c r="C18" t="inlineStr">
        <is>
          <t>종가(평균)</t>
        </is>
      </c>
      <c r="F18" s="9" t="n"/>
      <c r="H18" s="18" t="n">
        <v>1654.2</v>
      </c>
      <c r="I18" s="18" t="n">
        <v>1561.5</v>
      </c>
      <c r="J18" s="18" t="n">
        <v>1022.7</v>
      </c>
      <c r="K18" s="9" t="n"/>
      <c r="L18" s="18" t="n">
        <v>1259.2</v>
      </c>
      <c r="M18" s="18" t="n">
        <v>1926.5</v>
      </c>
      <c r="N18" s="18" t="n">
        <v>2493.9</v>
      </c>
      <c r="O18" s="18" t="n">
        <v>2125.4</v>
      </c>
      <c r="P18" s="9" t="n"/>
      <c r="Q18" s="18" t="n">
        <v>2200.1</v>
      </c>
      <c r="R18" s="18" t="n">
        <v>3827.5</v>
      </c>
      <c r="S18" s="18" t="n">
        <v>4851.7</v>
      </c>
      <c r="T18" s="18" t="n">
        <v>10098.6</v>
      </c>
      <c r="U18" s="9" t="n"/>
      <c r="V18" s="18" t="n">
        <v>13342.4</v>
      </c>
      <c r="W18" s="19" t="n">
        <v>11960.3</v>
      </c>
      <c r="X18" s="20" t="n">
        <v>8267.299999999999</v>
      </c>
      <c r="Y18" s="20" t="n">
        <v>11780</v>
      </c>
      <c r="Z18" s="11" t="n"/>
      <c r="AA18" s="10" t="n"/>
      <c r="AB18" s="10" t="n"/>
      <c r="AC18" s="10" t="n"/>
      <c r="AD18" s="10" t="n"/>
      <c r="AE18" s="11" t="n"/>
      <c r="AF18" s="10" t="n"/>
      <c r="AG18" s="10" t="n"/>
      <c r="AH18" s="10" t="n"/>
      <c r="AI18" s="10" t="n"/>
      <c r="AJ18" s="11" t="n"/>
    </row>
    <row r="19">
      <c r="F19" s="9" t="n"/>
      <c r="K19" s="9" t="n"/>
      <c r="P19" s="9" t="n"/>
      <c r="U19" s="9" t="n"/>
      <c r="W19" s="5" t="n"/>
      <c r="X19" s="10" t="n"/>
      <c r="Y19" s="10" t="n"/>
      <c r="Z19" s="11" t="n"/>
      <c r="AA19" s="10" t="n"/>
      <c r="AB19" s="10" t="n"/>
      <c r="AC19" s="10" t="n"/>
      <c r="AD19" s="10" t="n"/>
      <c r="AE19" s="11" t="n"/>
      <c r="AF19" s="10" t="n"/>
      <c r="AG19" s="10" t="n"/>
      <c r="AH19" s="10" t="n"/>
      <c r="AI19" s="10" t="n"/>
      <c r="AJ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W20" s="5" t="n"/>
      <c r="X20" s="10" t="n"/>
      <c r="Y20" s="10" t="n"/>
      <c r="Z20" s="11" t="n"/>
      <c r="AA20" s="10" t="n"/>
      <c r="AB20" s="10" t="n"/>
      <c r="AC20" s="10" t="n"/>
      <c r="AD20" s="10" t="n"/>
      <c r="AE20" s="11" t="n"/>
      <c r="AF20" s="10" t="n"/>
      <c r="AG20" s="10" t="n"/>
      <c r="AH20" s="10" t="n"/>
      <c r="AI20" s="10" t="n"/>
      <c r="AJ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3">
        <f>IFERROR(subQ!W5/subQ!R5-1,"")</f>
        <v/>
      </c>
      <c r="X21" s="24" t="n">
        <v>-2.735e-05</v>
      </c>
      <c r="Y21" s="24" t="n">
        <v>8.119e-06</v>
      </c>
      <c r="Z21" s="25" t="n"/>
      <c r="AA21" s="24" t="n">
        <v>1.6431e-05</v>
      </c>
      <c r="AB21" s="24" t="n">
        <v>1.5275e-05</v>
      </c>
      <c r="AC21" s="24" t="n">
        <v>0</v>
      </c>
      <c r="AD21" s="24" t="n">
        <v>0</v>
      </c>
      <c r="AE21" s="25" t="n"/>
      <c r="AF21" s="24" t="n">
        <v>0</v>
      </c>
      <c r="AG21" s="24" t="n">
        <v>0</v>
      </c>
      <c r="AH21" s="24" t="n">
        <v>0</v>
      </c>
      <c r="AI21" s="24" t="n">
        <v>0</v>
      </c>
      <c r="AJ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3">
        <f>IFERROR(subQ!W8/subQ!W5,"")</f>
        <v/>
      </c>
      <c r="X22" s="26">
        <f>$D$50</f>
        <v/>
      </c>
      <c r="Y22" s="26">
        <f>$D$50</f>
        <v/>
      </c>
      <c r="Z22" s="25">
        <f>IFERROR(subQ!Z8/subQ!Z5,"")</f>
        <v/>
      </c>
      <c r="AA22" s="26">
        <f>$D$50</f>
        <v/>
      </c>
      <c r="AB22" s="26">
        <f>$D$50</f>
        <v/>
      </c>
      <c r="AC22" s="26">
        <f>$D$50</f>
        <v/>
      </c>
      <c r="AD22" s="26">
        <f>$D$50</f>
        <v/>
      </c>
      <c r="AE22" s="25">
        <f>IFERROR(subQ!AE8/subQ!AE5,"")</f>
        <v/>
      </c>
      <c r="AF22" s="26">
        <f>$D$50</f>
        <v/>
      </c>
      <c r="AG22" s="26">
        <f>$D$50</f>
        <v/>
      </c>
      <c r="AH22" s="26">
        <f>$D$50</f>
        <v/>
      </c>
      <c r="AI22" s="26">
        <f>$D$50</f>
        <v/>
      </c>
      <c r="AJ22" s="25">
        <f>IFERROR(subQ!AJ8/subQ!AJ5,"")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3">
        <f>IFERROR(subQ!W9/subQ!W5,"")</f>
        <v/>
      </c>
      <c r="X23" s="24" t="n">
        <v>0.089401709</v>
      </c>
      <c r="Y23" s="24" t="n">
        <v>0.089376054</v>
      </c>
      <c r="Z23" s="25">
        <f>IFERROR(subQ!Z9/subQ!Z5,"")</f>
        <v/>
      </c>
      <c r="AA23" s="24" t="n">
        <v>0.089380579</v>
      </c>
      <c r="AB23" s="24" t="n">
        <v>0.08940204</v>
      </c>
      <c r="AC23" s="24" t="n">
        <v>0.089401709</v>
      </c>
      <c r="AD23" s="24" t="n">
        <v>0.089376054</v>
      </c>
      <c r="AE23" s="25">
        <f>IFERROR(subQ!AE9/subQ!AE5,"")</f>
        <v/>
      </c>
      <c r="AF23" s="24" t="n">
        <v>0.089380579</v>
      </c>
      <c r="AG23" s="24" t="n">
        <v>0.08940204</v>
      </c>
      <c r="AH23" s="24" t="n">
        <v>0.089401709</v>
      </c>
      <c r="AI23" s="24" t="n">
        <v>0.089376054</v>
      </c>
      <c r="AJ23" s="25">
        <f>IFERROR(subQ!AJ9/subQ!AJ5,"")</f>
        <v/>
      </c>
    </row>
    <row r="24">
      <c r="A24" s="12" t="inlineStr">
        <is>
          <t>drv:파생상품손익</t>
        </is>
      </c>
      <c r="B24" s="2" t="inlineStr">
        <is>
          <t>abs</t>
        </is>
      </c>
      <c r="C24" t="inlineStr">
        <is>
          <t>파생상품손익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9">
        <f>subQ!W13</f>
        <v/>
      </c>
      <c r="X24" s="30" t="n">
        <v>0</v>
      </c>
      <c r="Y24" s="30" t="n">
        <v>0</v>
      </c>
      <c r="Z24" s="31">
        <f>subQ!Z13</f>
        <v/>
      </c>
      <c r="AA24" s="30" t="n">
        <v>0</v>
      </c>
      <c r="AB24" s="30" t="n">
        <v>0</v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</row>
    <row r="25">
      <c r="A25" s="12" t="inlineStr">
        <is>
          <t>drv:기타금융손익</t>
        </is>
      </c>
      <c r="B25" s="2" t="inlineStr">
        <is>
          <t>abs</t>
        </is>
      </c>
      <c r="C25" t="inlineStr">
        <is>
          <t>기타금융손익 (가정, 억원)</t>
        </is>
      </c>
      <c r="E25" s="27">
        <f>subQ!E14</f>
        <v/>
      </c>
      <c r="F25" s="28">
        <f>subQ!F14</f>
        <v/>
      </c>
      <c r="G25" s="27">
        <f>subQ!G14</f>
        <v/>
      </c>
      <c r="H25" s="27">
        <f>subQ!H14</f>
        <v/>
      </c>
      <c r="I25" s="27">
        <f>subQ!I14</f>
        <v/>
      </c>
      <c r="J25" s="27">
        <f>subQ!J14</f>
        <v/>
      </c>
      <c r="K25" s="28">
        <f>subQ!K14</f>
        <v/>
      </c>
      <c r="L25" s="27">
        <f>subQ!L14</f>
        <v/>
      </c>
      <c r="M25" s="27">
        <f>subQ!M14</f>
        <v/>
      </c>
      <c r="N25" s="27">
        <f>subQ!N14</f>
        <v/>
      </c>
      <c r="O25" s="27">
        <f>subQ!O14</f>
        <v/>
      </c>
      <c r="P25" s="28">
        <f>subQ!P14</f>
        <v/>
      </c>
      <c r="Q25" s="27">
        <f>subQ!Q14</f>
        <v/>
      </c>
      <c r="R25" s="27">
        <f>subQ!R14</f>
        <v/>
      </c>
      <c r="S25" s="27">
        <f>subQ!S14</f>
        <v/>
      </c>
      <c r="T25" s="27">
        <f>subQ!T14</f>
        <v/>
      </c>
      <c r="U25" s="28">
        <f>subQ!U14</f>
        <v/>
      </c>
      <c r="V25" s="27">
        <f>subQ!V14</f>
        <v/>
      </c>
      <c r="W25" s="29">
        <f>subQ!W14</f>
        <v/>
      </c>
      <c r="X25" s="30" t="n">
        <v>0</v>
      </c>
      <c r="Y25" s="30" t="n">
        <v>0</v>
      </c>
      <c r="Z25" s="31">
        <f>subQ!Z14</f>
        <v/>
      </c>
      <c r="AA25" s="30" t="n">
        <v>0</v>
      </c>
      <c r="AB25" s="30" t="n">
        <v>0</v>
      </c>
      <c r="AC25" s="30" t="n">
        <v>0</v>
      </c>
      <c r="AD25" s="30" t="n">
        <v>0</v>
      </c>
      <c r="AE25" s="31">
        <f>subQ!AE14</f>
        <v/>
      </c>
      <c r="AF25" s="30" t="n">
        <v>0</v>
      </c>
      <c r="AG25" s="30" t="n">
        <v>0</v>
      </c>
      <c r="AH25" s="30" t="n">
        <v>0</v>
      </c>
      <c r="AI25" s="30" t="n">
        <v>0</v>
      </c>
      <c r="AJ25" s="31">
        <f>subQ!AJ14</f>
        <v/>
      </c>
    </row>
    <row r="26">
      <c r="A26" s="12" t="inlineStr">
        <is>
          <t>drv:기타영업외손익</t>
        </is>
      </c>
      <c r="B26" s="2" t="inlineStr">
        <is>
          <t>abs</t>
        </is>
      </c>
      <c r="C26" t="inlineStr">
        <is>
          <t>기타영업외손익 (가정, 억원)</t>
        </is>
      </c>
      <c r="E26" s="27">
        <f>subQ!E15</f>
        <v/>
      </c>
      <c r="F26" s="28">
        <f>subQ!F15</f>
        <v/>
      </c>
      <c r="G26" s="27">
        <f>subQ!G15</f>
        <v/>
      </c>
      <c r="H26" s="27">
        <f>subQ!H15</f>
        <v/>
      </c>
      <c r="I26" s="27">
        <f>subQ!I15</f>
        <v/>
      </c>
      <c r="J26" s="27">
        <f>subQ!J15</f>
        <v/>
      </c>
      <c r="K26" s="28">
        <f>subQ!K15</f>
        <v/>
      </c>
      <c r="L26" s="27">
        <f>subQ!L15</f>
        <v/>
      </c>
      <c r="M26" s="27">
        <f>subQ!M15</f>
        <v/>
      </c>
      <c r="N26" s="27">
        <f>subQ!N15</f>
        <v/>
      </c>
      <c r="O26" s="27">
        <f>subQ!O15</f>
        <v/>
      </c>
      <c r="P26" s="28">
        <f>subQ!P15</f>
        <v/>
      </c>
      <c r="Q26" s="27">
        <f>subQ!Q15</f>
        <v/>
      </c>
      <c r="R26" s="27">
        <f>subQ!R15</f>
        <v/>
      </c>
      <c r="S26" s="27">
        <f>subQ!S15</f>
        <v/>
      </c>
      <c r="T26" s="27">
        <f>subQ!T15</f>
        <v/>
      </c>
      <c r="U26" s="28">
        <f>subQ!U15</f>
        <v/>
      </c>
      <c r="V26" s="27">
        <f>subQ!V15</f>
        <v/>
      </c>
      <c r="W26" s="29">
        <f>subQ!W15</f>
        <v/>
      </c>
      <c r="X26" s="30" t="n">
        <v>0</v>
      </c>
      <c r="Y26" s="30" t="n">
        <v>0</v>
      </c>
      <c r="Z26" s="31">
        <f>subQ!Z15</f>
        <v/>
      </c>
      <c r="AA26" s="30" t="n">
        <v>0</v>
      </c>
      <c r="AB26" s="30" t="n">
        <v>0</v>
      </c>
      <c r="AC26" s="30" t="n">
        <v>0</v>
      </c>
      <c r="AD26" s="30" t="n">
        <v>0</v>
      </c>
      <c r="AE26" s="31">
        <f>subQ!AE15</f>
        <v/>
      </c>
      <c r="AF26" s="30" t="n">
        <v>0</v>
      </c>
      <c r="AG26" s="30" t="n">
        <v>0</v>
      </c>
      <c r="AH26" s="30" t="n">
        <v>0</v>
      </c>
      <c r="AI26" s="30" t="n">
        <v>0</v>
      </c>
      <c r="AJ26" s="31">
        <f>subQ!AJ15</f>
        <v/>
      </c>
    </row>
    <row r="27">
      <c r="A27" s="12" t="inlineStr">
        <is>
          <t>drv:법인세비용</t>
        </is>
      </c>
      <c r="B27" s="2" t="inlineStr">
        <is>
          <t>tax</t>
        </is>
      </c>
      <c r="C27" t="inlineStr">
        <is>
          <t>법인세율(/세전) — 법인세 = MAX(세전,0) × 분기별 세율(이월결손 램프, assumptions.tax_schedule)</t>
        </is>
      </c>
      <c r="E27" s="21">
        <f>IFERROR(subQ!E17/subQ!E16,"")</f>
        <v/>
      </c>
      <c r="F27" s="22">
        <f>IFERROR(subQ!F17/subQ!F16,"")</f>
        <v/>
      </c>
      <c r="G27" s="21">
        <f>IFERROR(subQ!G17/subQ!G16,"")</f>
        <v/>
      </c>
      <c r="H27" s="21">
        <f>IFERROR(subQ!H17/subQ!H16,"")</f>
        <v/>
      </c>
      <c r="I27" s="21">
        <f>IFERROR(subQ!I17/subQ!I16,"")</f>
        <v/>
      </c>
      <c r="J27" s="21">
        <f>IFERROR(subQ!J17/subQ!J16,"")</f>
        <v/>
      </c>
      <c r="K27" s="22">
        <f>IFERROR(subQ!K17/subQ!K16,"")</f>
        <v/>
      </c>
      <c r="L27" s="21">
        <f>IFERROR(subQ!L17/subQ!L16,"")</f>
        <v/>
      </c>
      <c r="M27" s="21">
        <f>IFERROR(subQ!M17/subQ!M16,"")</f>
        <v/>
      </c>
      <c r="N27" s="21">
        <f>IFERROR(subQ!N17/subQ!N16,"")</f>
        <v/>
      </c>
      <c r="O27" s="21">
        <f>IFERROR(subQ!O17/subQ!O16,"")</f>
        <v/>
      </c>
      <c r="P27" s="22">
        <f>IFERROR(subQ!P17/subQ!P16,"")</f>
        <v/>
      </c>
      <c r="Q27" s="21">
        <f>IFERROR(subQ!Q17/subQ!Q16,"")</f>
        <v/>
      </c>
      <c r="R27" s="21">
        <f>IFERROR(subQ!R17/subQ!R16,"")</f>
        <v/>
      </c>
      <c r="S27" s="21">
        <f>IFERROR(subQ!S17/subQ!S16,"")</f>
        <v/>
      </c>
      <c r="T27" s="21">
        <f>IFERROR(subQ!T17/subQ!T16,"")</f>
        <v/>
      </c>
      <c r="U27" s="22">
        <f>IFERROR(subQ!U17/subQ!U16,"")</f>
        <v/>
      </c>
      <c r="V27" s="21">
        <f>IFERROR(subQ!V17/subQ!V16,"")</f>
        <v/>
      </c>
      <c r="W27" s="23">
        <f>IFERROR(subQ!W17/subQ!W16,"")</f>
        <v/>
      </c>
      <c r="X27" s="24" t="n">
        <v>0</v>
      </c>
      <c r="Y27" s="24" t="n">
        <v>0</v>
      </c>
      <c r="Z27" s="25">
        <f>IFERROR(subQ!Z17/subQ!Z16,"")</f>
        <v/>
      </c>
      <c r="AA27" s="24" t="n">
        <v>0.027139875</v>
      </c>
      <c r="AB27" s="24" t="n">
        <v>0.05538695</v>
      </c>
      <c r="AC27" s="24" t="n">
        <v>0.082130966</v>
      </c>
      <c r="AD27" s="24" t="n">
        <v>0.109660574</v>
      </c>
      <c r="AE27" s="25">
        <f>IFERROR(subQ!AE17/subQ!AE16,"")</f>
        <v/>
      </c>
      <c r="AF27" s="24" t="n">
        <v>0.137254902</v>
      </c>
      <c r="AG27" s="24" t="n">
        <v>0.164785553</v>
      </c>
      <c r="AH27" s="24" t="n">
        <v>0.192982456</v>
      </c>
      <c r="AI27" s="24" t="n">
        <v>0.220360825</v>
      </c>
      <c r="AJ27" s="25">
        <f>IFERROR(subQ!AJ17/subQ!AJ16,"")</f>
        <v/>
      </c>
    </row>
    <row r="28">
      <c r="A28" s="12" t="inlineStr">
        <is>
          <t>drv:지배주주순이익</t>
        </is>
      </c>
      <c r="B28" s="2" t="inlineStr">
        <is>
          <t>ratio</t>
        </is>
      </c>
      <c r="C28" t="inlineStr">
        <is>
          <t>지배주주 비중(/당기순이익)</t>
        </is>
      </c>
      <c r="E28" s="21">
        <f>IFERROR(subQ!E19/subQ!E18,"")</f>
        <v/>
      </c>
      <c r="F28" s="22">
        <f>IFERROR(subQ!F19/subQ!F18,"")</f>
        <v/>
      </c>
      <c r="G28" s="21">
        <f>IFERROR(subQ!G19/subQ!G18,"")</f>
        <v/>
      </c>
      <c r="H28" s="21">
        <f>IFERROR(subQ!H19/subQ!H18,"")</f>
        <v/>
      </c>
      <c r="I28" s="21">
        <f>IFERROR(subQ!I19/subQ!I18,"")</f>
        <v/>
      </c>
      <c r="J28" s="21">
        <f>IFERROR(subQ!J19/subQ!J18,"")</f>
        <v/>
      </c>
      <c r="K28" s="22">
        <f>IFERROR(subQ!K19/subQ!K18,"")</f>
        <v/>
      </c>
      <c r="L28" s="21">
        <f>IFERROR(subQ!L19/subQ!L18,"")</f>
        <v/>
      </c>
      <c r="M28" s="21">
        <f>IFERROR(subQ!M19/subQ!M18,"")</f>
        <v/>
      </c>
      <c r="N28" s="21">
        <f>IFERROR(subQ!N19/subQ!N18,"")</f>
        <v/>
      </c>
      <c r="O28" s="21">
        <f>IFERROR(subQ!O19/subQ!O18,"")</f>
        <v/>
      </c>
      <c r="P28" s="22">
        <f>IFERROR(subQ!P19/subQ!P18,"")</f>
        <v/>
      </c>
      <c r="Q28" s="21">
        <f>IFERROR(subQ!Q19/subQ!Q18,"")</f>
        <v/>
      </c>
      <c r="R28" s="21">
        <f>IFERROR(subQ!R19/subQ!R18,"")</f>
        <v/>
      </c>
      <c r="S28" s="21">
        <f>IFERROR(subQ!S19/subQ!S18,"")</f>
        <v/>
      </c>
      <c r="T28" s="21">
        <f>IFERROR(subQ!T19/subQ!T18,"")</f>
        <v/>
      </c>
      <c r="U28" s="22">
        <f>IFERROR(subQ!U19/subQ!U18,"")</f>
        <v/>
      </c>
      <c r="V28" s="21">
        <f>IFERROR(subQ!V19/subQ!V18,"")</f>
        <v/>
      </c>
      <c r="W28" s="23">
        <f>IFERROR(subQ!W19/subQ!W18,"")</f>
        <v/>
      </c>
      <c r="X28" s="26">
        <f>$D$51</f>
        <v/>
      </c>
      <c r="Y28" s="26">
        <f>$D$51</f>
        <v/>
      </c>
      <c r="Z28" s="25">
        <f>IFERROR(subQ!Z19/subQ!Z18,"")</f>
        <v/>
      </c>
      <c r="AA28" s="26">
        <f>$D$51</f>
        <v/>
      </c>
      <c r="AB28" s="26">
        <f>$D$51</f>
        <v/>
      </c>
      <c r="AC28" s="26">
        <f>$D$51</f>
        <v/>
      </c>
      <c r="AD28" s="26">
        <f>$D$51</f>
        <v/>
      </c>
      <c r="AE28" s="25">
        <f>IFERROR(subQ!AE19/subQ!AE18,"")</f>
        <v/>
      </c>
      <c r="AF28" s="26">
        <f>$D$51</f>
        <v/>
      </c>
      <c r="AG28" s="26">
        <f>$D$51</f>
        <v/>
      </c>
      <c r="AH28" s="26">
        <f>$D$51</f>
        <v/>
      </c>
      <c r="AI28" s="26">
        <f>$D$51</f>
        <v/>
      </c>
      <c r="AJ28" s="25">
        <f>IFERROR(subQ!AJ19/subQ!AJ18,"")</f>
        <v/>
      </c>
    </row>
    <row r="29">
      <c r="A29" s="12" t="inlineStr">
        <is>
          <t>drv:부채총계</t>
        </is>
      </c>
      <c r="B29" s="2" t="inlineStr">
        <is>
          <t>qoq</t>
        </is>
      </c>
      <c r="C29" t="inlineStr">
        <is>
          <t>부채총계 QoQ</t>
        </is>
      </c>
      <c r="E29" s="21" t="n"/>
      <c r="F29" s="22" t="n"/>
      <c r="G29" s="21">
        <f>IFERROR(subQ!G21/subQ!E21-1,"")</f>
        <v/>
      </c>
      <c r="H29" s="21">
        <f>IFERROR(subQ!H21/subQ!G21-1,"")</f>
        <v/>
      </c>
      <c r="I29" s="21">
        <f>IFERROR(subQ!I21/subQ!H21-1,"")</f>
        <v/>
      </c>
      <c r="J29" s="21">
        <f>IFERROR(subQ!J21/subQ!I21-1,"")</f>
        <v/>
      </c>
      <c r="K29" s="22" t="n"/>
      <c r="L29" s="21">
        <f>IFERROR(subQ!L21/subQ!J21-1,"")</f>
        <v/>
      </c>
      <c r="M29" s="21">
        <f>IFERROR(subQ!M21/subQ!L21-1,"")</f>
        <v/>
      </c>
      <c r="N29" s="21">
        <f>IFERROR(subQ!N21/subQ!M21-1,"")</f>
        <v/>
      </c>
      <c r="O29" s="21">
        <f>IFERROR(subQ!O21/subQ!N21-1,"")</f>
        <v/>
      </c>
      <c r="P29" s="22" t="n"/>
      <c r="Q29" s="21">
        <f>IFERROR(subQ!Q21/subQ!O21-1,"")</f>
        <v/>
      </c>
      <c r="R29" s="21">
        <f>IFERROR(subQ!R21/subQ!Q21-1,"")</f>
        <v/>
      </c>
      <c r="S29" s="21">
        <f>IFERROR(subQ!S21/subQ!R21-1,"")</f>
        <v/>
      </c>
      <c r="T29" s="21">
        <f>IFERROR(subQ!T21/subQ!S21-1,"")</f>
        <v/>
      </c>
      <c r="U29" s="22" t="n"/>
      <c r="V29" s="21">
        <f>IFERROR(subQ!V21/subQ!T21-1,"")</f>
        <v/>
      </c>
      <c r="W29" s="23">
        <f>IFERROR(subQ!W21/subQ!V21-1,"")</f>
        <v/>
      </c>
      <c r="X29" s="24" t="n">
        <v>-1.63e-06</v>
      </c>
      <c r="Y29" s="24" t="n">
        <v>0</v>
      </c>
      <c r="Z29" s="25" t="n"/>
      <c r="AA29" s="24" t="n">
        <v>0</v>
      </c>
      <c r="AB29" s="24" t="n">
        <v>0</v>
      </c>
      <c r="AC29" s="24" t="n">
        <v>0</v>
      </c>
      <c r="AD29" s="24" t="n">
        <v>0</v>
      </c>
      <c r="AE29" s="25" t="n"/>
      <c r="AF29" s="24" t="n">
        <v>0</v>
      </c>
      <c r="AG29" s="24" t="n">
        <v>0</v>
      </c>
      <c r="AH29" s="24" t="n">
        <v>0</v>
      </c>
      <c r="AI29" s="24" t="n">
        <v>0</v>
      </c>
      <c r="AJ29" s="25" t="n"/>
    </row>
    <row r="30">
      <c r="A30" s="12" t="inlineStr">
        <is>
          <t>drv:자본총계</t>
        </is>
      </c>
      <c r="B30" s="2" t="inlineStr">
        <is>
          <t>roll</t>
        </is>
      </c>
      <c r="C30" t="inlineStr">
        <is>
          <t>자본총계 기타변동(배당 등, 억원)</t>
        </is>
      </c>
      <c r="E30" s="27" t="n"/>
      <c r="F30" s="28" t="n"/>
      <c r="G30" s="27">
        <f>IFERROR(subQ!E22+subQ!G18-subQ!G22,"")</f>
        <v/>
      </c>
      <c r="H30" s="27">
        <f>IFERROR(subQ!G22+subQ!H18-subQ!H22,"")</f>
        <v/>
      </c>
      <c r="I30" s="27">
        <f>IFERROR(subQ!H22+subQ!I18-subQ!I22,"")</f>
        <v/>
      </c>
      <c r="J30" s="27">
        <f>IFERROR(subQ!I22+subQ!J18-subQ!J22,"")</f>
        <v/>
      </c>
      <c r="K30" s="28" t="n"/>
      <c r="L30" s="27">
        <f>IFERROR(subQ!J22+subQ!L18-subQ!L22,"")</f>
        <v/>
      </c>
      <c r="M30" s="27">
        <f>IFERROR(subQ!L22+subQ!M18-subQ!M22,"")</f>
        <v/>
      </c>
      <c r="N30" s="27">
        <f>IFERROR(subQ!M22+subQ!N18-subQ!N22,"")</f>
        <v/>
      </c>
      <c r="O30" s="27">
        <f>IFERROR(subQ!N22+subQ!O18-subQ!O22,"")</f>
        <v/>
      </c>
      <c r="P30" s="28" t="n"/>
      <c r="Q30" s="27">
        <f>IFERROR(subQ!O22+subQ!Q18-subQ!Q22,"")</f>
        <v/>
      </c>
      <c r="R30" s="27">
        <f>IFERROR(subQ!Q22+subQ!R18-subQ!R22,"")</f>
        <v/>
      </c>
      <c r="S30" s="27">
        <f>IFERROR(subQ!R22+subQ!S18-subQ!S22,"")</f>
        <v/>
      </c>
      <c r="T30" s="27">
        <f>IFERROR(subQ!S22+subQ!T18-subQ!T22,"")</f>
        <v/>
      </c>
      <c r="U30" s="28" t="n"/>
      <c r="V30" s="27">
        <f>IFERROR(subQ!T22+subQ!V18-subQ!V22,"")</f>
        <v/>
      </c>
      <c r="W30" s="29">
        <f>IFERROR(subQ!V22+subQ!W18-subQ!W22,"")</f>
        <v/>
      </c>
      <c r="X30" s="30" t="n">
        <v>-0.003266798</v>
      </c>
      <c r="Y30" s="30" t="n">
        <v>-0.011594581</v>
      </c>
      <c r="Z30" s="31" t="n"/>
      <c r="AA30" s="30" t="n">
        <v>0.002246888</v>
      </c>
      <c r="AB30" s="30" t="n">
        <v>-0.008834981</v>
      </c>
      <c r="AC30" s="30" t="n">
        <v>0.000251835</v>
      </c>
      <c r="AD30" s="30" t="n">
        <v>0.006605165</v>
      </c>
      <c r="AE30" s="31" t="n"/>
      <c r="AF30" s="30" t="n">
        <v>-0.002135393</v>
      </c>
      <c r="AG30" s="30" t="n">
        <v>0.003106683</v>
      </c>
      <c r="AH30" s="30" t="n">
        <v>-0.011211051</v>
      </c>
      <c r="AI30" s="30" t="n">
        <v>0.001241192</v>
      </c>
      <c r="AJ30" s="31" t="n"/>
    </row>
    <row r="31">
      <c r="A31" s="12" t="inlineStr">
        <is>
          <t>drv:지배주주지분</t>
        </is>
      </c>
      <c r="B31" s="2" t="inlineStr">
        <is>
          <t>roll</t>
        </is>
      </c>
      <c r="C31" t="inlineStr">
        <is>
          <t>지배주주지분 기타변동(배당 등, 억원)</t>
        </is>
      </c>
      <c r="E31" s="27" t="n"/>
      <c r="F31" s="28" t="n"/>
      <c r="G31" s="27">
        <f>IFERROR(subQ!E23+subQ!G19-subQ!G23,"")</f>
        <v/>
      </c>
      <c r="H31" s="27">
        <f>IFERROR(subQ!G23+subQ!H19-subQ!H23,"")</f>
        <v/>
      </c>
      <c r="I31" s="27">
        <f>IFERROR(subQ!H23+subQ!I19-subQ!I23,"")</f>
        <v/>
      </c>
      <c r="J31" s="27">
        <f>IFERROR(subQ!I23+subQ!J19-subQ!J23,"")</f>
        <v/>
      </c>
      <c r="K31" s="28" t="n"/>
      <c r="L31" s="27">
        <f>IFERROR(subQ!J23+subQ!L19-subQ!L23,"")</f>
        <v/>
      </c>
      <c r="M31" s="27">
        <f>IFERROR(subQ!L23+subQ!M19-subQ!M23,"")</f>
        <v/>
      </c>
      <c r="N31" s="27">
        <f>IFERROR(subQ!M23+subQ!N19-subQ!N23,"")</f>
        <v/>
      </c>
      <c r="O31" s="27">
        <f>IFERROR(subQ!N23+subQ!O19-subQ!O23,"")</f>
        <v/>
      </c>
      <c r="P31" s="28" t="n"/>
      <c r="Q31" s="27">
        <f>IFERROR(subQ!O23+subQ!Q19-subQ!Q23,"")</f>
        <v/>
      </c>
      <c r="R31" s="27">
        <f>IFERROR(subQ!Q23+subQ!R19-subQ!R23,"")</f>
        <v/>
      </c>
      <c r="S31" s="27">
        <f>IFERROR(subQ!R23+subQ!S19-subQ!S23,"")</f>
        <v/>
      </c>
      <c r="T31" s="27">
        <f>IFERROR(subQ!S23+subQ!T19-subQ!T23,"")</f>
        <v/>
      </c>
      <c r="U31" s="28" t="n"/>
      <c r="V31" s="27">
        <f>IFERROR(subQ!T23+subQ!V19-subQ!V23,"")</f>
        <v/>
      </c>
      <c r="W31" s="29">
        <f>IFERROR(subQ!V23+subQ!W19-subQ!W23,"")</f>
        <v/>
      </c>
      <c r="X31" s="30" t="n">
        <v>-0.003266798</v>
      </c>
      <c r="Y31" s="30" t="n">
        <v>-0.011594581</v>
      </c>
      <c r="Z31" s="31" t="n"/>
      <c r="AA31" s="30" t="n">
        <v>0.002246888</v>
      </c>
      <c r="AB31" s="30" t="n">
        <v>-0.008834981</v>
      </c>
      <c r="AC31" s="30" t="n">
        <v>0.000251835</v>
      </c>
      <c r="AD31" s="30" t="n">
        <v>0.006605165</v>
      </c>
      <c r="AE31" s="31" t="n"/>
      <c r="AF31" s="30" t="n">
        <v>-0.002135393</v>
      </c>
      <c r="AG31" s="30" t="n">
        <v>0.003106683</v>
      </c>
      <c r="AH31" s="30" t="n">
        <v>-0.011211051</v>
      </c>
      <c r="AI31" s="30" t="n">
        <v>0.001241192</v>
      </c>
      <c r="AJ31" s="31" t="n"/>
    </row>
    <row r="32">
      <c r="A32" s="12" t="inlineStr">
        <is>
          <t>drv:총차입금</t>
        </is>
      </c>
      <c r="B32" s="2" t="inlineStr">
        <is>
          <t>qoq</t>
        </is>
      </c>
      <c r="C32" t="inlineStr">
        <is>
          <t>총차입금 QoQ</t>
        </is>
      </c>
      <c r="E32" s="21" t="n"/>
      <c r="F32" s="22" t="n"/>
      <c r="G32" s="21">
        <f>IFERROR(subQ!G24/subQ!E24-1,"")</f>
        <v/>
      </c>
      <c r="H32" s="21">
        <f>IFERROR(subQ!H24/subQ!G24-1,"")</f>
        <v/>
      </c>
      <c r="I32" s="21">
        <f>IFERROR(subQ!I24/subQ!H24-1,"")</f>
        <v/>
      </c>
      <c r="J32" s="21">
        <f>IFERROR(subQ!J24/subQ!I24-1,"")</f>
        <v/>
      </c>
      <c r="K32" s="22" t="n"/>
      <c r="L32" s="21">
        <f>IFERROR(subQ!L24/subQ!J24-1,"")</f>
        <v/>
      </c>
      <c r="M32" s="21">
        <f>IFERROR(subQ!M24/subQ!L24-1,"")</f>
        <v/>
      </c>
      <c r="N32" s="21">
        <f>IFERROR(subQ!N24/subQ!M24-1,"")</f>
        <v/>
      </c>
      <c r="O32" s="21">
        <f>IFERROR(subQ!O24/subQ!N24-1,"")</f>
        <v/>
      </c>
      <c r="P32" s="22" t="n"/>
      <c r="Q32" s="21">
        <f>IFERROR(subQ!Q24/subQ!O24-1,"")</f>
        <v/>
      </c>
      <c r="R32" s="21">
        <f>IFERROR(subQ!R24/subQ!Q24-1,"")</f>
        <v/>
      </c>
      <c r="S32" s="21">
        <f>IFERROR(subQ!S24/subQ!R24-1,"")</f>
        <v/>
      </c>
      <c r="T32" s="21">
        <f>IFERROR(subQ!T24/subQ!S24-1,"")</f>
        <v/>
      </c>
      <c r="U32" s="22" t="n"/>
      <c r="V32" s="21">
        <f>IFERROR(subQ!V24/subQ!T24-1,"")</f>
        <v/>
      </c>
      <c r="W32" s="23">
        <f>IFERROR(subQ!W24/subQ!V24-1,"")</f>
        <v/>
      </c>
      <c r="X32" s="24" t="n">
        <v>-2.32e-07</v>
      </c>
      <c r="Y32" s="24" t="n">
        <v>0</v>
      </c>
      <c r="Z32" s="25" t="n"/>
      <c r="AA32" s="24" t="n">
        <v>0</v>
      </c>
      <c r="AB32" s="24" t="n">
        <v>0</v>
      </c>
      <c r="AC32" s="24" t="n">
        <v>0</v>
      </c>
      <c r="AD32" s="24" t="n">
        <v>0</v>
      </c>
      <c r="AE32" s="25" t="n"/>
      <c r="AF32" s="24" t="n">
        <v>0</v>
      </c>
      <c r="AG32" s="24" t="n">
        <v>0</v>
      </c>
      <c r="AH32" s="24" t="n">
        <v>0</v>
      </c>
      <c r="AI32" s="24" t="n">
        <v>0</v>
      </c>
      <c r="AJ32" s="25" t="n"/>
    </row>
    <row r="33">
      <c r="A33" s="12" t="inlineStr">
        <is>
          <t>drv:순차입금</t>
        </is>
      </c>
      <c r="B33" s="2" t="inlineStr">
        <is>
          <t>qoq</t>
        </is>
      </c>
      <c r="C33" t="inlineStr">
        <is>
          <t>순차입금 QoQ</t>
        </is>
      </c>
      <c r="E33" s="21" t="n"/>
      <c r="F33" s="22" t="n"/>
      <c r="G33" s="21">
        <f>IFERROR(subQ!G25/subQ!E25-1,"")</f>
        <v/>
      </c>
      <c r="H33" s="21">
        <f>IFERROR(subQ!H25/subQ!G25-1,"")</f>
        <v/>
      </c>
      <c r="I33" s="21">
        <f>IFERROR(subQ!I25/subQ!H25-1,"")</f>
        <v/>
      </c>
      <c r="J33" s="21">
        <f>IFERROR(subQ!J25/subQ!I25-1,"")</f>
        <v/>
      </c>
      <c r="K33" s="22" t="n"/>
      <c r="L33" s="21">
        <f>IFERROR(subQ!L25/subQ!J25-1,"")</f>
        <v/>
      </c>
      <c r="M33" s="21">
        <f>IFERROR(subQ!M25/subQ!L25-1,"")</f>
        <v/>
      </c>
      <c r="N33" s="21">
        <f>IFERROR(subQ!N25/subQ!M25-1,"")</f>
        <v/>
      </c>
      <c r="O33" s="21">
        <f>IFERROR(subQ!O25/subQ!N25-1,"")</f>
        <v/>
      </c>
      <c r="P33" s="22" t="n"/>
      <c r="Q33" s="21">
        <f>IFERROR(subQ!Q25/subQ!O25-1,"")</f>
        <v/>
      </c>
      <c r="R33" s="21">
        <f>IFERROR(subQ!R25/subQ!Q25-1,"")</f>
        <v/>
      </c>
      <c r="S33" s="21">
        <f>IFERROR(subQ!S25/subQ!R25-1,"")</f>
        <v/>
      </c>
      <c r="T33" s="21">
        <f>IFERROR(subQ!T25/subQ!S25-1,"")</f>
        <v/>
      </c>
      <c r="U33" s="22" t="n"/>
      <c r="V33" s="21">
        <f>IFERROR(subQ!V25/subQ!T25-1,"")</f>
        <v/>
      </c>
      <c r="W33" s="23">
        <f>IFERROR(subQ!W25/subQ!V25-1,"")</f>
        <v/>
      </c>
      <c r="X33" s="24" t="n">
        <v>-0.018745292</v>
      </c>
      <c r="Y33" s="24" t="n">
        <v>-0.016221907</v>
      </c>
      <c r="Z33" s="25" t="n"/>
      <c r="AA33" s="24" t="n">
        <v>-0.020333282</v>
      </c>
      <c r="AB33" s="24" t="n">
        <v>-0.027777778</v>
      </c>
      <c r="AC33" s="24" t="n">
        <v>-0.01896354</v>
      </c>
      <c r="AD33" s="24" t="n">
        <v>-0.015940911</v>
      </c>
      <c r="AE33" s="25" t="n"/>
      <c r="AF33" s="24" t="n">
        <v>-0.019857011</v>
      </c>
      <c r="AG33" s="24" t="n">
        <v>-0.026899309</v>
      </c>
      <c r="AH33" s="24" t="n">
        <v>-0.018328975</v>
      </c>
      <c r="AI33" s="24" t="n">
        <v>-0.015373297</v>
      </c>
      <c r="AJ33" s="25" t="n"/>
    </row>
    <row r="34">
      <c r="A34" s="12" t="inlineStr">
        <is>
          <t>drv:이자발생자산</t>
        </is>
      </c>
      <c r="B34" s="2" t="inlineStr">
        <is>
          <t>qoq</t>
        </is>
      </c>
      <c r="C34" t="inlineStr">
        <is>
          <t>이자발생자산 QoQ</t>
        </is>
      </c>
      <c r="E34" s="21" t="n"/>
      <c r="F34" s="22" t="n"/>
      <c r="G34" s="21">
        <f>IFERROR(subQ!G26/subQ!E26-1,"")</f>
        <v/>
      </c>
      <c r="H34" s="21">
        <f>IFERROR(subQ!H26/subQ!G26-1,"")</f>
        <v/>
      </c>
      <c r="I34" s="21">
        <f>IFERROR(subQ!I26/subQ!H26-1,"")</f>
        <v/>
      </c>
      <c r="J34" s="21">
        <f>IFERROR(subQ!J26/subQ!I26-1,"")</f>
        <v/>
      </c>
      <c r="K34" s="22" t="n"/>
      <c r="L34" s="21">
        <f>IFERROR(subQ!L26/subQ!J26-1,"")</f>
        <v/>
      </c>
      <c r="M34" s="21">
        <f>IFERROR(subQ!M26/subQ!L26-1,"")</f>
        <v/>
      </c>
      <c r="N34" s="21">
        <f>IFERROR(subQ!N26/subQ!M26-1,"")</f>
        <v/>
      </c>
      <c r="O34" s="21">
        <f>IFERROR(subQ!O26/subQ!N26-1,"")</f>
        <v/>
      </c>
      <c r="P34" s="22" t="n"/>
      <c r="Q34" s="21">
        <f>IFERROR(subQ!Q26/subQ!O26-1,"")</f>
        <v/>
      </c>
      <c r="R34" s="21">
        <f>IFERROR(subQ!R26/subQ!Q26-1,"")</f>
        <v/>
      </c>
      <c r="S34" s="21">
        <f>IFERROR(subQ!S26/subQ!R26-1,"")</f>
        <v/>
      </c>
      <c r="T34" s="21">
        <f>IFERROR(subQ!T26/subQ!S26-1,"")</f>
        <v/>
      </c>
      <c r="U34" s="22" t="n"/>
      <c r="V34" s="21">
        <f>IFERROR(subQ!V26/subQ!T26-1,"")</f>
        <v/>
      </c>
      <c r="W34" s="23">
        <f>IFERROR(subQ!W26/subQ!V26-1,"")</f>
        <v/>
      </c>
      <c r="X34" s="24" t="n">
        <v>0.022838498</v>
      </c>
      <c r="Y34" s="24" t="n">
        <v>0.018927603</v>
      </c>
      <c r="Z34" s="25" t="n"/>
      <c r="AA34" s="24" t="n">
        <v>0.022961321</v>
      </c>
      <c r="AB34" s="24" t="n">
        <v>0.030008188</v>
      </c>
      <c r="AC34" s="24" t="n">
        <v>0.019336887</v>
      </c>
      <c r="AD34" s="24" t="n">
        <v>0.015621057</v>
      </c>
      <c r="AE34" s="25" t="n"/>
      <c r="AF34" s="24" t="n">
        <v>0.018881561</v>
      </c>
      <c r="AG34" s="24" t="n">
        <v>0.024605426</v>
      </c>
      <c r="AH34" s="24" t="n">
        <v>0.015944788</v>
      </c>
      <c r="AI34" s="24" t="n">
        <v>0.012883579</v>
      </c>
      <c r="AJ34" s="25" t="n"/>
    </row>
    <row r="35">
      <c r="A35" s="12" t="inlineStr">
        <is>
          <t>drv:현금및현금성자산</t>
        </is>
      </c>
      <c r="B35" s="2" t="inlineStr">
        <is>
          <t>qoq</t>
        </is>
      </c>
      <c r="C35" t="inlineStr">
        <is>
          <t>현금및현금성자산 QoQ</t>
        </is>
      </c>
      <c r="E35" s="21" t="n"/>
      <c r="F35" s="22" t="n"/>
      <c r="G35" s="21">
        <f>IFERROR(subQ!G27/subQ!E27-1,"")</f>
        <v/>
      </c>
      <c r="H35" s="21">
        <f>IFERROR(subQ!H27/subQ!G27-1,"")</f>
        <v/>
      </c>
      <c r="I35" s="21">
        <f>IFERROR(subQ!I27/subQ!H27-1,"")</f>
        <v/>
      </c>
      <c r="J35" s="21">
        <f>IFERROR(subQ!J27/subQ!I27-1,"")</f>
        <v/>
      </c>
      <c r="K35" s="22" t="n"/>
      <c r="L35" s="21">
        <f>IFERROR(subQ!L27/subQ!J27-1,"")</f>
        <v/>
      </c>
      <c r="M35" s="21">
        <f>IFERROR(subQ!M27/subQ!L27-1,"")</f>
        <v/>
      </c>
      <c r="N35" s="21">
        <f>IFERROR(subQ!N27/subQ!M27-1,"")</f>
        <v/>
      </c>
      <c r="O35" s="21">
        <f>IFERROR(subQ!O27/subQ!N27-1,"")</f>
        <v/>
      </c>
      <c r="P35" s="22" t="n"/>
      <c r="Q35" s="21">
        <f>IFERROR(subQ!Q27/subQ!O27-1,"")</f>
        <v/>
      </c>
      <c r="R35" s="21">
        <f>IFERROR(subQ!R27/subQ!Q27-1,"")</f>
        <v/>
      </c>
      <c r="S35" s="21">
        <f>IFERROR(subQ!S27/subQ!R27-1,"")</f>
        <v/>
      </c>
      <c r="T35" s="21">
        <f>IFERROR(subQ!T27/subQ!S27-1,"")</f>
        <v/>
      </c>
      <c r="U35" s="22" t="n"/>
      <c r="V35" s="21">
        <f>IFERROR(subQ!V27/subQ!T27-1,"")</f>
        <v/>
      </c>
      <c r="W35" s="23">
        <f>IFERROR(subQ!W27/subQ!V27-1,"")</f>
        <v/>
      </c>
      <c r="X35" s="32" t="n"/>
      <c r="Y35" s="32" t="n"/>
      <c r="Z35" s="25" t="n"/>
      <c r="AA35" s="32" t="n"/>
      <c r="AB35" s="32" t="n"/>
      <c r="AC35" s="32" t="n"/>
      <c r="AD35" s="32" t="n"/>
      <c r="AE35" s="25" t="n"/>
      <c r="AF35" s="32" t="n"/>
      <c r="AG35" s="32" t="n"/>
      <c r="AH35" s="32" t="n"/>
      <c r="AI35" s="32" t="n"/>
      <c r="AJ35" s="25" t="n"/>
    </row>
    <row r="36">
      <c r="A36" s="12" t="inlineStr">
        <is>
          <t>drv:CAPEX</t>
        </is>
      </c>
      <c r="B36" s="2" t="inlineStr">
        <is>
          <t>yoy</t>
        </is>
      </c>
      <c r="C36" t="inlineStr">
        <is>
          <t>CAPEX YoY</t>
        </is>
      </c>
      <c r="E36" s="21" t="n"/>
      <c r="F36" s="22" t="n"/>
      <c r="G36" s="21" t="n"/>
      <c r="H36" s="21" t="n"/>
      <c r="I36" s="21" t="n"/>
      <c r="J36" s="21">
        <f>IFERROR(subQ!J28/subQ!E28-1,"")</f>
        <v/>
      </c>
      <c r="K36" s="22" t="n"/>
      <c r="L36" s="21">
        <f>IFERROR(subQ!L28/subQ!G28-1,"")</f>
        <v/>
      </c>
      <c r="M36" s="21">
        <f>IFERROR(subQ!M28/subQ!H28-1,"")</f>
        <v/>
      </c>
      <c r="N36" s="21">
        <f>IFERROR(subQ!N28/subQ!I28-1,"")</f>
        <v/>
      </c>
      <c r="O36" s="21">
        <f>IFERROR(subQ!O28/subQ!J28-1,"")</f>
        <v/>
      </c>
      <c r="P36" s="22" t="n"/>
      <c r="Q36" s="21">
        <f>IFERROR(subQ!Q28/subQ!L28-1,"")</f>
        <v/>
      </c>
      <c r="R36" s="21">
        <f>IFERROR(subQ!R28/subQ!M28-1,"")</f>
        <v/>
      </c>
      <c r="S36" s="21">
        <f>IFERROR(subQ!S28/subQ!N28-1,"")</f>
        <v/>
      </c>
      <c r="T36" s="21">
        <f>IFERROR(subQ!T28/subQ!O28-1,"")</f>
        <v/>
      </c>
      <c r="U36" s="22" t="n"/>
      <c r="V36" s="21">
        <f>IFERROR(subQ!V28/subQ!Q28-1,"")</f>
        <v/>
      </c>
      <c r="W36" s="23">
        <f>IFERROR(subQ!W28/subQ!R28-1,"")</f>
        <v/>
      </c>
      <c r="X36" s="24" t="n">
        <v>-0.040567081</v>
      </c>
      <c r="Y36" s="24" t="n">
        <v>0</v>
      </c>
      <c r="Z36" s="25" t="n"/>
      <c r="AA36" s="24" t="n">
        <v>0.04400984</v>
      </c>
      <c r="AB36" s="24" t="n">
        <v>-0.040567081</v>
      </c>
      <c r="AC36" s="24" t="n">
        <v>0</v>
      </c>
      <c r="AD36" s="24" t="n">
        <v>0</v>
      </c>
      <c r="AE36" s="25" t="n"/>
      <c r="AF36" s="24" t="n">
        <v>0</v>
      </c>
      <c r="AG36" s="24" t="n">
        <v>0</v>
      </c>
      <c r="AH36" s="24" t="n">
        <v>0</v>
      </c>
      <c r="AI36" s="24" t="n">
        <v>0</v>
      </c>
      <c r="AJ36" s="25" t="n"/>
    </row>
    <row r="37">
      <c r="A37" s="12" t="inlineStr">
        <is>
          <t>drv:영업활동현금흐름</t>
        </is>
      </c>
      <c r="B37" s="2" t="inlineStr">
        <is>
          <t>yoy</t>
        </is>
      </c>
      <c r="C37" t="inlineStr">
        <is>
          <t>영업활동현금흐름 YoY</t>
        </is>
      </c>
      <c r="E37" s="21" t="n"/>
      <c r="F37" s="22" t="n"/>
      <c r="G37" s="21" t="n"/>
      <c r="H37" s="21" t="n"/>
      <c r="I37" s="21" t="n"/>
      <c r="J37" s="21">
        <f>IFERROR(subQ!J29/subQ!E29-1,"")</f>
        <v/>
      </c>
      <c r="K37" s="22" t="n"/>
      <c r="L37" s="21">
        <f>IFERROR(subQ!L29/subQ!G29-1,"")</f>
        <v/>
      </c>
      <c r="M37" s="21">
        <f>IFERROR(subQ!M29/subQ!H29-1,"")</f>
        <v/>
      </c>
      <c r="N37" s="21">
        <f>IFERROR(subQ!N29/subQ!I29-1,"")</f>
        <v/>
      </c>
      <c r="O37" s="21">
        <f>IFERROR(subQ!O29/subQ!J29-1,"")</f>
        <v/>
      </c>
      <c r="P37" s="22" t="n"/>
      <c r="Q37" s="21">
        <f>IFERROR(subQ!Q29/subQ!L29-1,"")</f>
        <v/>
      </c>
      <c r="R37" s="21">
        <f>IFERROR(subQ!R29/subQ!M29-1,"")</f>
        <v/>
      </c>
      <c r="S37" s="21">
        <f>IFERROR(subQ!S29/subQ!N29-1,"")</f>
        <v/>
      </c>
      <c r="T37" s="21">
        <f>IFERROR(subQ!T29/subQ!O29-1,"")</f>
        <v/>
      </c>
      <c r="U37" s="22" t="n"/>
      <c r="V37" s="21">
        <f>IFERROR(subQ!V29/subQ!Q29-1,"")</f>
        <v/>
      </c>
      <c r="W37" s="23">
        <f>IFERROR(subQ!W29/subQ!R29-1,"")</f>
        <v/>
      </c>
      <c r="X37" s="32" t="n"/>
      <c r="Y37" s="32" t="n"/>
      <c r="Z37" s="25" t="n"/>
      <c r="AA37" s="32" t="n"/>
      <c r="AB37" s="32" t="n"/>
      <c r="AC37" s="32" t="n"/>
      <c r="AD37" s="32" t="n"/>
      <c r="AE37" s="25" t="n"/>
      <c r="AF37" s="32" t="n"/>
      <c r="AG37" s="32" t="n"/>
      <c r="AH37" s="32" t="n"/>
      <c r="AI37" s="32" t="n"/>
      <c r="AJ37" s="25" t="n"/>
    </row>
    <row r="38">
      <c r="A38" s="12" t="inlineStr">
        <is>
          <t>drv:주식수</t>
        </is>
      </c>
      <c r="B38" s="2" t="inlineStr">
        <is>
          <t>qoq</t>
        </is>
      </c>
      <c r="C38" t="inlineStr">
        <is>
          <t>주식수 QoQ</t>
        </is>
      </c>
      <c r="E38" s="21" t="n"/>
      <c r="F38" s="22" t="n"/>
      <c r="G38" s="21">
        <f>IFERROR(subQ!G30/subQ!E30-1,"")</f>
        <v/>
      </c>
      <c r="H38" s="21">
        <f>IFERROR(subQ!H30/subQ!G30-1,"")</f>
        <v/>
      </c>
      <c r="I38" s="21">
        <f>IFERROR(subQ!I30/subQ!H30-1,"")</f>
        <v/>
      </c>
      <c r="J38" s="21">
        <f>IFERROR(subQ!J30/subQ!I30-1,"")</f>
        <v/>
      </c>
      <c r="K38" s="22" t="n"/>
      <c r="L38" s="21">
        <f>IFERROR(subQ!L30/subQ!J30-1,"")</f>
        <v/>
      </c>
      <c r="M38" s="21">
        <f>IFERROR(subQ!M30/subQ!L30-1,"")</f>
        <v/>
      </c>
      <c r="N38" s="21">
        <f>IFERROR(subQ!N30/subQ!M30-1,"")</f>
        <v/>
      </c>
      <c r="O38" s="21">
        <f>IFERROR(subQ!O30/subQ!N30-1,"")</f>
        <v/>
      </c>
      <c r="P38" s="22" t="n"/>
      <c r="Q38" s="21">
        <f>IFERROR(subQ!Q30/subQ!O30-1,"")</f>
        <v/>
      </c>
      <c r="R38" s="21">
        <f>IFERROR(subQ!R30/subQ!Q30-1,"")</f>
        <v/>
      </c>
      <c r="S38" s="21">
        <f>IFERROR(subQ!S30/subQ!R30-1,"")</f>
        <v/>
      </c>
      <c r="T38" s="21">
        <f>IFERROR(subQ!T30/subQ!S30-1,"")</f>
        <v/>
      </c>
      <c r="U38" s="22" t="n"/>
      <c r="V38" s="21">
        <f>IFERROR(subQ!V30/subQ!T30-1,"")</f>
        <v/>
      </c>
      <c r="W38" s="23">
        <f>IFERROR(subQ!W30/subQ!V30-1,"")</f>
        <v/>
      </c>
      <c r="X38" s="24" t="n">
        <v>0</v>
      </c>
      <c r="Y38" s="24" t="n">
        <v>0</v>
      </c>
      <c r="Z38" s="25" t="n"/>
      <c r="AA38" s="24" t="n">
        <v>0</v>
      </c>
      <c r="AB38" s="24" t="n">
        <v>0</v>
      </c>
      <c r="AC38" s="24" t="n">
        <v>0</v>
      </c>
      <c r="AD38" s="24" t="n">
        <v>0</v>
      </c>
      <c r="AE38" s="25" t="n"/>
      <c r="AF38" s="24" t="n">
        <v>0</v>
      </c>
      <c r="AG38" s="24" t="n">
        <v>0</v>
      </c>
      <c r="AH38" s="24" t="n">
        <v>0</v>
      </c>
      <c r="AI38" s="24" t="n">
        <v>0</v>
      </c>
      <c r="AJ38" s="25" t="n"/>
    </row>
    <row r="39">
      <c r="A39" s="12" t="inlineStr">
        <is>
          <t>drv:DPS</t>
        </is>
      </c>
      <c r="B39" s="2" t="inlineStr">
        <is>
          <t>abs</t>
        </is>
      </c>
      <c r="C39" t="inlineStr">
        <is>
          <t>DPS (가정, 원)</t>
        </is>
      </c>
      <c r="E39" s="27">
        <f>subQ!E34</f>
        <v/>
      </c>
      <c r="F39" s="28">
        <f>subQ!F34</f>
        <v/>
      </c>
      <c r="G39" s="27">
        <f>subQ!G34</f>
        <v/>
      </c>
      <c r="H39" s="27">
        <f>subQ!H34</f>
        <v/>
      </c>
      <c r="I39" s="27">
        <f>subQ!I34</f>
        <v/>
      </c>
      <c r="J39" s="27">
        <f>subQ!J34</f>
        <v/>
      </c>
      <c r="K39" s="28">
        <f>subQ!K34</f>
        <v/>
      </c>
      <c r="L39" s="27">
        <f>subQ!L34</f>
        <v/>
      </c>
      <c r="M39" s="27">
        <f>subQ!M34</f>
        <v/>
      </c>
      <c r="N39" s="27">
        <f>subQ!N34</f>
        <v/>
      </c>
      <c r="O39" s="27">
        <f>subQ!O34</f>
        <v/>
      </c>
      <c r="P39" s="28">
        <f>subQ!P34</f>
        <v/>
      </c>
      <c r="Q39" s="27">
        <f>subQ!Q34</f>
        <v/>
      </c>
      <c r="R39" s="27">
        <f>subQ!R34</f>
        <v/>
      </c>
      <c r="S39" s="27">
        <f>subQ!S34</f>
        <v/>
      </c>
      <c r="T39" s="27">
        <f>subQ!T34</f>
        <v/>
      </c>
      <c r="U39" s="28">
        <f>subQ!U34</f>
        <v/>
      </c>
      <c r="V39" s="27">
        <f>subQ!V34</f>
        <v/>
      </c>
      <c r="W39" s="29">
        <f>subQ!W34</f>
        <v/>
      </c>
      <c r="X39" s="33" t="n"/>
      <c r="Y39" s="30" t="n">
        <v>0</v>
      </c>
      <c r="Z39" s="31">
        <f>subQ!Z34</f>
        <v/>
      </c>
      <c r="AA39" s="33" t="n"/>
      <c r="AB39" s="33" t="n"/>
      <c r="AC39" s="33" t="n"/>
      <c r="AD39" s="30" t="n">
        <v>0</v>
      </c>
      <c r="AE39" s="31">
        <f>subQ!AE34</f>
        <v/>
      </c>
      <c r="AF39" s="33" t="n"/>
      <c r="AG39" s="33" t="n"/>
      <c r="AH39" s="33" t="n"/>
      <c r="AI39" s="30" t="n">
        <v>0</v>
      </c>
      <c r="AJ39" s="31">
        <f>subQ!AJ34</f>
        <v/>
      </c>
    </row>
    <row r="40">
      <c r="F40" s="9" t="n"/>
      <c r="K40" s="9" t="n"/>
      <c r="P40" s="9" t="n"/>
      <c r="U40" s="9" t="n"/>
      <c r="W40" s="5" t="n"/>
      <c r="X40" s="10" t="n"/>
      <c r="Y40" s="10" t="n"/>
      <c r="Z40" s="11" t="n"/>
      <c r="AA40" s="10" t="n"/>
      <c r="AB40" s="10" t="n"/>
      <c r="AC40" s="10" t="n"/>
      <c r="AD40" s="10" t="n"/>
      <c r="AE40" s="11" t="n"/>
      <c r="AF40" s="10" t="n"/>
      <c r="AG40" s="10" t="n"/>
      <c r="AH40" s="10" t="n"/>
      <c r="AI40" s="10" t="n"/>
      <c r="AJ40" s="11" t="n"/>
    </row>
    <row r="41">
      <c r="B41" s="1" t="inlineStr">
        <is>
          <t>3. 밸류에이션·스칼라</t>
        </is>
      </c>
      <c r="C41" s="2" t="inlineStr">
        <is>
          <t>노란 셀 = 가정. '연결' 표시는 추정 전 분기 수식이 이 셀을 참조한다는 뜻</t>
        </is>
      </c>
      <c r="F41" s="9" t="n"/>
      <c r="K41" s="9" t="n"/>
      <c r="P41" s="9" t="n"/>
      <c r="U41" s="9" t="n"/>
      <c r="W41" s="5" t="n"/>
      <c r="X41" s="10" t="n"/>
      <c r="Y41" s="10" t="n"/>
      <c r="Z41" s="11" t="n"/>
      <c r="AA41" s="10" t="n"/>
      <c r="AB41" s="10" t="n"/>
      <c r="AC41" s="10" t="n"/>
      <c r="AD41" s="10" t="n"/>
      <c r="AE41" s="11" t="n"/>
      <c r="AF41" s="10" t="n"/>
      <c r="AG41" s="10" t="n"/>
      <c r="AH41" s="10" t="n"/>
      <c r="AI41" s="10" t="n"/>
      <c r="AJ41" s="11" t="n"/>
    </row>
    <row r="42">
      <c r="A42" s="12" t="inlineStr">
        <is>
          <t>sc:종가</t>
        </is>
      </c>
      <c r="C42" t="inlineStr">
        <is>
          <t>종가</t>
        </is>
      </c>
      <c r="D42" s="34" t="n">
        <v>10110</v>
      </c>
      <c r="E42" s="2" t="inlineStr">
        <is>
          <t>원 — 네이버 정규장 종가(aik 확정종가 대조 · aik 12,170원)</t>
        </is>
      </c>
      <c r="F42" s="9" t="n"/>
      <c r="K42" s="9" t="n"/>
      <c r="P42" s="9" t="n"/>
      <c r="U42" s="9" t="n"/>
      <c r="W42" s="5" t="n"/>
      <c r="X42" s="10" t="n"/>
      <c r="Y42" s="10" t="n"/>
      <c r="Z42" s="11" t="n"/>
      <c r="AA42" s="10" t="n"/>
      <c r="AB42" s="10" t="n"/>
      <c r="AC42" s="10" t="n"/>
      <c r="AD42" s="10" t="n"/>
      <c r="AE42" s="11" t="n"/>
      <c r="AF42" s="10" t="n"/>
      <c r="AG42" s="10" t="n"/>
      <c r="AH42" s="10" t="n"/>
      <c r="AI42" s="10" t="n"/>
      <c r="AJ42" s="11" t="n"/>
    </row>
    <row r="43">
      <c r="A43" s="12" t="inlineStr">
        <is>
          <t>sc:기준일</t>
        </is>
      </c>
      <c r="C43" t="inlineStr">
        <is>
          <t>기준일</t>
        </is>
      </c>
      <c r="D43" s="35" t="inlineStr">
        <is>
          <t>20261013</t>
        </is>
      </c>
      <c r="E43" s="2" t="inlineStr">
        <is>
          <t>종가 기준일</t>
        </is>
      </c>
      <c r="F43" s="9" t="n"/>
      <c r="K43" s="9" t="n"/>
      <c r="P43" s="9" t="n"/>
      <c r="U43" s="9" t="n"/>
      <c r="W43" s="5" t="n"/>
      <c r="X43" s="10" t="n"/>
      <c r="Y43" s="10" t="n"/>
      <c r="Z43" s="11" t="n"/>
      <c r="AA43" s="10" t="n"/>
      <c r="AB43" s="10" t="n"/>
      <c r="AC43" s="10" t="n"/>
      <c r="AD43" s="10" t="n"/>
      <c r="AE43" s="11" t="n"/>
      <c r="AF43" s="10" t="n"/>
      <c r="AG43" s="10" t="n"/>
      <c r="AH43" s="10" t="n"/>
      <c r="AI43" s="10" t="n"/>
      <c r="AJ43" s="11" t="n"/>
    </row>
    <row r="44">
      <c r="A44" s="12" t="inlineStr">
        <is>
          <t>sc:COE</t>
        </is>
      </c>
      <c r="C44" t="inlineStr">
        <is>
          <t>COE</t>
        </is>
      </c>
      <c r="D44" s="24" t="n">
        <v>0.09</v>
      </c>
      <c r="E44" s="2" t="inlineStr">
        <is>
          <t>자기자본비용(가정) — TP 적정 PBR = ROE/COE</t>
        </is>
      </c>
      <c r="F44" s="9" t="n"/>
      <c r="K44" s="9" t="n"/>
      <c r="P44" s="9" t="n"/>
      <c r="U44" s="9" t="n"/>
      <c r="W44" s="5" t="n"/>
      <c r="X44" s="10" t="n"/>
      <c r="Y44" s="10" t="n"/>
      <c r="Z44" s="11" t="n"/>
      <c r="AA44" s="10" t="n"/>
      <c r="AB44" s="10" t="n"/>
      <c r="AC44" s="10" t="n"/>
      <c r="AD44" s="10" t="n"/>
      <c r="AE44" s="11" t="n"/>
      <c r="AF44" s="10" t="n"/>
      <c r="AG44" s="10" t="n"/>
      <c r="AH44" s="10" t="n"/>
      <c r="AI44" s="10" t="n"/>
      <c r="AJ44" s="11" t="n"/>
    </row>
    <row r="45">
      <c r="A45" s="12" t="inlineStr">
        <is>
          <t>sc:PER_lo</t>
        </is>
      </c>
      <c r="C45" t="inlineStr">
        <is>
          <t>PER_lo</t>
        </is>
      </c>
      <c r="D45" s="30" t="n">
        <v>10</v>
      </c>
      <c r="E45" s="2" t="inlineStr">
        <is>
          <t>PER 밴드 하단(배) — sector_default(레퍼런스 TP_PE PB 예시 10/15/20배; 과거 양(+)EPS 분기 2개 &lt; 4)</t>
        </is>
      </c>
      <c r="F45" s="9" t="n"/>
      <c r="K45" s="9" t="n"/>
      <c r="P45" s="9" t="n"/>
      <c r="U45" s="9" t="n"/>
      <c r="W45" s="5" t="n"/>
      <c r="X45" s="10" t="n"/>
      <c r="Y45" s="10" t="n"/>
      <c r="Z45" s="11" t="n"/>
      <c r="AA45" s="10" t="n"/>
      <c r="AB45" s="10" t="n"/>
      <c r="AC45" s="10" t="n"/>
      <c r="AD45" s="10" t="n"/>
      <c r="AE45" s="11" t="n"/>
      <c r="AF45" s="10" t="n"/>
      <c r="AG45" s="10" t="n"/>
      <c r="AH45" s="10" t="n"/>
      <c r="AI45" s="10" t="n"/>
      <c r="AJ45" s="11" t="n"/>
    </row>
    <row r="46">
      <c r="A46" s="12" t="inlineStr">
        <is>
          <t>sc:PER_mid</t>
        </is>
      </c>
      <c r="C46" t="inlineStr">
        <is>
          <t>PER_mid</t>
        </is>
      </c>
      <c r="D46" s="30" t="n">
        <v>15</v>
      </c>
      <c r="E46" s="2" t="inlineStr">
        <is>
          <t>PER 밴드 중단(배)</t>
        </is>
      </c>
      <c r="F46" s="9" t="n"/>
      <c r="K46" s="9" t="n"/>
      <c r="P46" s="9" t="n"/>
      <c r="U46" s="9" t="n"/>
      <c r="W46" s="5" t="n"/>
      <c r="X46" s="10" t="n"/>
      <c r="Y46" s="10" t="n"/>
      <c r="Z46" s="11" t="n"/>
      <c r="AA46" s="10" t="n"/>
      <c r="AB46" s="10" t="n"/>
      <c r="AC46" s="10" t="n"/>
      <c r="AD46" s="10" t="n"/>
      <c r="AE46" s="11" t="n"/>
      <c r="AF46" s="10" t="n"/>
      <c r="AG46" s="10" t="n"/>
      <c r="AH46" s="10" t="n"/>
      <c r="AI46" s="10" t="n"/>
      <c r="AJ46" s="11" t="n"/>
    </row>
    <row r="47">
      <c r="A47" s="12" t="inlineStr">
        <is>
          <t>sc:PER_hi</t>
        </is>
      </c>
      <c r="C47" t="inlineStr">
        <is>
          <t>PER_hi</t>
        </is>
      </c>
      <c r="D47" s="30" t="n">
        <v>20</v>
      </c>
      <c r="E47" s="2" t="inlineStr">
        <is>
          <t>PER 밴드 상단(배)</t>
        </is>
      </c>
      <c r="F47" s="9" t="n"/>
      <c r="K47" s="9" t="n"/>
      <c r="P47" s="9" t="n"/>
      <c r="U47" s="9" t="n"/>
      <c r="W47" s="5" t="n"/>
      <c r="X47" s="10" t="n"/>
      <c r="Y47" s="10" t="n"/>
      <c r="Z47" s="11" t="n"/>
      <c r="AA47" s="10" t="n"/>
      <c r="AB47" s="10" t="n"/>
      <c r="AC47" s="10" t="n"/>
      <c r="AD47" s="10" t="n"/>
      <c r="AE47" s="11" t="n"/>
      <c r="AF47" s="10" t="n"/>
      <c r="AG47" s="10" t="n"/>
      <c r="AH47" s="10" t="n"/>
      <c r="AI47" s="10" t="n"/>
      <c r="AJ47" s="11" t="n"/>
    </row>
    <row r="48">
      <c r="A48" s="12" t="inlineStr">
        <is>
          <t>sc:EPS_Y1가중</t>
        </is>
      </c>
      <c r="C48" t="inlineStr">
        <is>
          <t>EPS_Y1가중</t>
        </is>
      </c>
      <c r="D48" s="24" t="n">
        <v>0.5</v>
      </c>
      <c r="E48" s="2" t="inlineStr">
        <is>
          <t>12M fwd EPS = FY(last_actual연도)E × w + FY+1E × (1−w) — 기준 분기 2Q 이면 0.5(가정)</t>
        </is>
      </c>
      <c r="F48" s="9" t="n"/>
      <c r="K48" s="9" t="n"/>
      <c r="P48" s="9" t="n"/>
      <c r="U48" s="9" t="n"/>
      <c r="W48" s="5" t="n"/>
      <c r="X48" s="10" t="n"/>
      <c r="Y48" s="10" t="n"/>
      <c r="Z48" s="11" t="n"/>
      <c r="AA48" s="10" t="n"/>
      <c r="AB48" s="10" t="n"/>
      <c r="AC48" s="10" t="n"/>
      <c r="AD48" s="10" t="n"/>
      <c r="AE48" s="11" t="n"/>
      <c r="AF48" s="10" t="n"/>
      <c r="AG48" s="10" t="n"/>
      <c r="AH48" s="10" t="n"/>
      <c r="AI48" s="10" t="n"/>
      <c r="AJ48" s="11" t="n"/>
    </row>
    <row r="49">
      <c r="A49" s="12" t="inlineStr">
        <is>
          <t>sc:세율</t>
        </is>
      </c>
      <c r="C49" t="inlineStr">
        <is>
          <t>세율</t>
        </is>
      </c>
      <c r="D49" s="36" t="n">
        <v>0</v>
      </c>
      <c r="E49" s="2" t="inlineStr">
        <is>
          <t>참고(연결 안 됨: 이월결손 램프(assumptions.tax_schedule, 0%→22%) — 분기별 세율 드라이버 행 사용) — 모델 assumptions 값(시작 0% → terminal 22%, 2026Q4 까지 유지 → 2027Q1~2028Q4 선형 램프 — 분기별 값은 2절 drv:법인세비용 행) · 최근 8분기 중 세전 &gt; 0 인 4분기(2025Q2~2026Q2) 법인세/세전 중위 -0.5%·최근 4분기 중위 -0.5% 가 모두 5% 미만 → 이월결손 공제 중으로 보고 0.0% 를 2026Q4 까지 유지, 2027Q1~2028Q4 선형 램프로 법정세율 근사 22% 수렴</t>
        </is>
      </c>
      <c r="F49" s="9" t="n"/>
      <c r="K49" s="9" t="n"/>
      <c r="P49" s="9" t="n"/>
      <c r="U49" s="9" t="n"/>
      <c r="W49" s="5" t="n"/>
      <c r="X49" s="10" t="n"/>
      <c r="Y49" s="10" t="n"/>
      <c r="Z49" s="11" t="n"/>
      <c r="AA49" s="10" t="n"/>
      <c r="AB49" s="10" t="n"/>
      <c r="AC49" s="10" t="n"/>
      <c r="AD49" s="10" t="n"/>
      <c r="AE49" s="11" t="n"/>
      <c r="AF49" s="10" t="n"/>
      <c r="AG49" s="10" t="n"/>
      <c r="AH49" s="10" t="n"/>
      <c r="AI49" s="10" t="n"/>
      <c r="AJ49" s="11" t="n"/>
    </row>
    <row r="50">
      <c r="A50" s="12" t="inlineStr">
        <is>
          <t>sc:판관비율</t>
        </is>
      </c>
      <c r="C50" t="inlineStr">
        <is>
          <t>판관비율</t>
        </is>
      </c>
      <c r="D50" s="36" t="n">
        <v>0.06204084328000925</v>
      </c>
      <c r="E50" s="2" t="inlineStr">
        <is>
          <t>연결 — 판관비 = 매출액 × 판관비율(역산, 재현 오차 ≤ 0.05억 · 모델 assumptions 0.062)</t>
        </is>
      </c>
      <c r="F50" s="9" t="n"/>
      <c r="K50" s="9" t="n"/>
      <c r="P50" s="9" t="n"/>
      <c r="U50" s="9" t="n"/>
      <c r="W50" s="5" t="n"/>
      <c r="X50" s="10" t="n"/>
      <c r="Y50" s="10" t="n"/>
      <c r="Z50" s="11" t="n"/>
      <c r="AA50" s="10" t="n"/>
      <c r="AB50" s="10" t="n"/>
      <c r="AC50" s="10" t="n"/>
      <c r="AD50" s="10" t="n"/>
      <c r="AE50" s="11" t="n"/>
      <c r="AF50" s="10" t="n"/>
      <c r="AG50" s="10" t="n"/>
      <c r="AH50" s="10" t="n"/>
      <c r="AI50" s="10" t="n"/>
      <c r="AJ50" s="11" t="n"/>
    </row>
    <row r="51">
      <c r="A51" s="12" t="inlineStr">
        <is>
          <t>sc:지배주주비중</t>
        </is>
      </c>
      <c r="C51" t="inlineStr">
        <is>
          <t>지배주주비중</t>
        </is>
      </c>
      <c r="D51" s="36" t="n">
        <v>1</v>
      </c>
      <c r="E51" s="2" t="inlineStr">
        <is>
          <t>연결 — 지배주주순이익 = 당기순이익 × 비중(역산, 재현 오차 ≤ 0.05억)</t>
        </is>
      </c>
      <c r="F51" s="9" t="n"/>
      <c r="K51" s="9" t="n"/>
      <c r="P51" s="9" t="n"/>
      <c r="U51" s="9" t="n"/>
      <c r="W51" s="5" t="n"/>
      <c r="X51" s="10" t="n"/>
      <c r="Y51" s="10" t="n"/>
      <c r="Z51" s="11" t="n"/>
      <c r="AA51" s="10" t="n"/>
      <c r="AB51" s="10" t="n"/>
      <c r="AC51" s="10" t="n"/>
      <c r="AD51" s="10" t="n"/>
      <c r="AE51" s="11" t="n"/>
      <c r="AF51" s="10" t="n"/>
      <c r="AG51" s="10" t="n"/>
      <c r="AH51" s="10" t="n"/>
      <c r="AI51" s="10" t="n"/>
      <c r="AJ51" s="11" t="n"/>
    </row>
    <row r="52">
      <c r="A52" s="12" t="inlineStr">
        <is>
          <t>sc:이자율_자산</t>
        </is>
      </c>
      <c r="C52" t="inlineStr">
        <is>
          <t>이자율_자산</t>
        </is>
      </c>
      <c r="D52" s="36" t="n">
        <v>0.01253329188932982</v>
      </c>
      <c r="E52" s="2" t="inlineStr">
        <is>
          <t>연결 — 이자손익 = (전분기 이자발생자산 × 자산이자율 − 전분기 총차입금 × 부채이자율)/4(역산, 재현 오차 ≤ 0.05억 · 모델 assumptions 0.0123)</t>
        </is>
      </c>
      <c r="F52" s="9" t="n"/>
      <c r="K52" s="9" t="n"/>
      <c r="P52" s="9" t="n"/>
      <c r="U52" s="9" t="n"/>
      <c r="W52" s="5" t="n"/>
      <c r="X52" s="10" t="n"/>
      <c r="Y52" s="10" t="n"/>
      <c r="Z52" s="11" t="n"/>
      <c r="AA52" s="10" t="n"/>
      <c r="AB52" s="10" t="n"/>
      <c r="AC52" s="10" t="n"/>
      <c r="AD52" s="10" t="n"/>
      <c r="AE52" s="11" t="n"/>
      <c r="AF52" s="10" t="n"/>
      <c r="AG52" s="10" t="n"/>
      <c r="AH52" s="10" t="n"/>
      <c r="AI52" s="10" t="n"/>
      <c r="AJ52" s="11" t="n"/>
    </row>
    <row r="53">
      <c r="A53" s="12" t="inlineStr">
        <is>
          <t>sc:이자율_부채</t>
        </is>
      </c>
      <c r="C53" t="inlineStr">
        <is>
          <t>이자율_부채</t>
        </is>
      </c>
      <c r="D53" s="36" t="n">
        <v>0.03714067115983267</v>
      </c>
      <c r="E53" s="2" t="inlineStr">
        <is>
          <t>연결 — 같은 수식의 부채 쪽(총차입금 행이 없으면 0)(역산, 재현 오차 ≤ 0.05억 · 모델 assumptions 0.037)</t>
        </is>
      </c>
      <c r="F53" s="9" t="n"/>
      <c r="K53" s="9" t="n"/>
      <c r="P53" s="9" t="n"/>
      <c r="U53" s="9" t="n"/>
      <c r="W53" s="5" t="n"/>
      <c r="X53" s="10" t="n"/>
      <c r="Y53" s="10" t="n"/>
      <c r="Z53" s="11" t="n"/>
      <c r="AA53" s="10" t="n"/>
      <c r="AB53" s="10" t="n"/>
      <c r="AC53" s="10" t="n"/>
      <c r="AD53" s="10" t="n"/>
      <c r="AE53" s="11" t="n"/>
      <c r="AF53" s="10" t="n"/>
      <c r="AG53" s="10" t="n"/>
      <c r="AH53" s="10" t="n"/>
      <c r="AI53" s="10" t="n"/>
      <c r="AJ53" s="11" t="n"/>
    </row>
    <row r="54">
      <c r="A54" s="12" t="inlineStr">
        <is>
          <t>sc:배당성향</t>
        </is>
      </c>
      <c r="C54" t="inlineStr">
        <is>
          <t>배당성향</t>
        </is>
      </c>
      <c r="D54" s="24" t="n">
        <v>0</v>
      </c>
      <c r="E54" s="2" t="inlineStr">
        <is>
          <t>배당성향(참고 — 모델은 직전 DPS 유지·Q2 지급 가정)</t>
        </is>
      </c>
      <c r="F54" s="9" t="n"/>
      <c r="K54" s="9" t="n"/>
      <c r="P54" s="9" t="n"/>
      <c r="U54" s="9" t="n"/>
      <c r="W54" s="5" t="n"/>
      <c r="X54" s="10" t="n"/>
      <c r="Y54" s="10" t="n"/>
      <c r="Z54" s="11" t="n"/>
      <c r="AA54" s="10" t="n"/>
      <c r="AB54" s="10" t="n"/>
      <c r="AC54" s="10" t="n"/>
      <c r="AD54" s="10" t="n"/>
      <c r="AE54" s="11" t="n"/>
      <c r="AF54" s="10" t="n"/>
      <c r="AG54" s="10" t="n"/>
      <c r="AH54" s="10" t="n"/>
      <c r="AI54" s="10" t="n"/>
      <c r="AJ54" s="11" t="n"/>
    </row>
    <row r="55">
      <c r="A55" s="12" t="inlineStr">
        <is>
          <t>sc:외화순노출_백만$</t>
        </is>
      </c>
      <c r="C55" t="inlineStr">
        <is>
          <t>외화순노출_백만$</t>
        </is>
      </c>
      <c r="D55" s="30" t="n"/>
      <c r="E55" s="2" t="inlineStr">
        <is>
          <t>외화 순노출 × Δ기말환율 (외화 시트 방식) — 외화 순노출 미공시(face) → 0 + 표기</t>
        </is>
      </c>
      <c r="F55" s="9" t="n"/>
      <c r="K55" s="9" t="n"/>
      <c r="P55" s="9" t="n"/>
      <c r="U55" s="9" t="n"/>
      <c r="W55" s="5" t="n"/>
      <c r="X55" s="10" t="n"/>
      <c r="Y55" s="10" t="n"/>
      <c r="Z55" s="11" t="n"/>
      <c r="AA55" s="10" t="n"/>
      <c r="AB55" s="10" t="n"/>
      <c r="AC55" s="10" t="n"/>
      <c r="AD55" s="10" t="n"/>
      <c r="AE55" s="11" t="n"/>
      <c r="AF55" s="10" t="n"/>
      <c r="AG55" s="10" t="n"/>
      <c r="AH55" s="10" t="n"/>
      <c r="AI55" s="10" t="n"/>
      <c r="AJ55" s="11" t="n"/>
    </row>
    <row r="56">
      <c r="A56" s="12" t="inlineStr">
        <is>
          <t>sc:헤지비율</t>
        </is>
      </c>
      <c r="C56" t="inlineStr">
        <is>
          <t>헤지비율</t>
        </is>
      </c>
      <c r="D56" s="24" t="n"/>
      <c r="E56" s="2" t="inlineStr">
        <is>
          <t>sls 없음</t>
        </is>
      </c>
      <c r="F56" s="9" t="n"/>
      <c r="K56" s="9" t="n"/>
      <c r="P56" s="9" t="n"/>
      <c r="U56" s="9" t="n"/>
      <c r="W56" s="5" t="n"/>
      <c r="X56" s="10" t="n"/>
      <c r="Y56" s="10" t="n"/>
      <c r="Z56" s="11" t="n"/>
      <c r="AA56" s="10" t="n"/>
      <c r="AB56" s="10" t="n"/>
      <c r="AC56" s="10" t="n"/>
      <c r="AD56" s="10" t="n"/>
      <c r="AE56" s="11" t="n"/>
      <c r="AF56" s="10" t="n"/>
      <c r="AG56" s="10" t="n"/>
      <c r="AH56" s="10" t="n"/>
      <c r="AI56" s="10" t="n"/>
      <c r="AJ56" s="11" t="n"/>
    </row>
    <row r="57">
      <c r="A57" s="12" t="inlineStr">
        <is>
          <t>sc:헤지환율_약정</t>
        </is>
      </c>
      <c r="C57" t="inlineStr">
        <is>
          <t>헤지환율_약정</t>
        </is>
      </c>
      <c r="D57" s="16" t="n"/>
      <c r="E57" s="2" t="inlineStr">
        <is>
          <t>sls 없음</t>
        </is>
      </c>
      <c r="F57" s="9" t="n"/>
      <c r="K57" s="9" t="n"/>
      <c r="P57" s="9" t="n"/>
      <c r="U57" s="9" t="n"/>
      <c r="W57" s="5" t="n"/>
      <c r="X57" s="10" t="n"/>
      <c r="Y57" s="10" t="n"/>
      <c r="Z57" s="11" t="n"/>
      <c r="AA57" s="10" t="n"/>
      <c r="AB57" s="10" t="n"/>
      <c r="AC57" s="10" t="n"/>
      <c r="AD57" s="10" t="n"/>
      <c r="AE57" s="11" t="n"/>
      <c r="AF57" s="10" t="n"/>
      <c r="AG57" s="10" t="n"/>
      <c r="AH57" s="10" t="n"/>
      <c r="AI57" s="10" t="n"/>
      <c r="AJ57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J5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4Q22</t>
        </is>
      </c>
      <c r="F1" s="3" t="n">
        <v>2022</v>
      </c>
      <c r="G1" s="3" t="inlineStr">
        <is>
          <t>1Q23</t>
        </is>
      </c>
      <c r="H1" s="3" t="inlineStr">
        <is>
          <t>2Q23</t>
        </is>
      </c>
      <c r="I1" s="3" t="inlineStr">
        <is>
          <t>3Q23</t>
        </is>
      </c>
      <c r="J1" s="3" t="inlineStr">
        <is>
          <t>4Q23</t>
        </is>
      </c>
      <c r="K1" s="3" t="n">
        <v>2023</v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n">
        <v>2024</v>
      </c>
      <c r="Q1" s="3" t="inlineStr">
        <is>
          <t>1Q25</t>
        </is>
      </c>
      <c r="R1" s="3" t="inlineStr">
        <is>
          <t>2Q25</t>
        </is>
      </c>
      <c r="S1" s="3" t="inlineStr">
        <is>
          <t>3Q25</t>
        </is>
      </c>
      <c r="T1" s="3" t="inlineStr">
        <is>
          <t>4Q25</t>
        </is>
      </c>
      <c r="U1" s="3" t="n">
        <v>2025</v>
      </c>
      <c r="V1" s="3" t="inlineStr">
        <is>
          <t>1Q26</t>
        </is>
      </c>
      <c r="W1" s="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n">
        <v>2026</v>
      </c>
      <c r="AA1" s="3" t="inlineStr">
        <is>
          <t>1Q27</t>
        </is>
      </c>
      <c r="AB1" s="3" t="inlineStr">
        <is>
          <t>2Q27</t>
        </is>
      </c>
      <c r="AC1" s="3" t="inlineStr">
        <is>
          <t>3Q27</t>
        </is>
      </c>
      <c r="AD1" s="3" t="inlineStr">
        <is>
          <t>4Q27</t>
        </is>
      </c>
      <c r="AE1" s="3" t="n">
        <v>2027</v>
      </c>
      <c r="AF1" s="3" t="inlineStr">
        <is>
          <t>1Q28</t>
        </is>
      </c>
      <c r="AG1" s="3" t="inlineStr">
        <is>
          <t>2Q28</t>
        </is>
      </c>
      <c r="AH1" s="3" t="inlineStr">
        <is>
          <t>3Q28</t>
        </is>
      </c>
      <c r="AI1" s="3" t="inlineStr">
        <is>
          <t>4Q28</t>
        </is>
      </c>
      <c r="AJ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W2" s="5" t="n"/>
    </row>
    <row r="3">
      <c r="B3" t="inlineStr">
        <is>
          <t>삼미금속(연)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2022.12</t>
        </is>
      </c>
      <c r="F4" s="7" t="inlineStr">
        <is>
          <t>2022.12A</t>
        </is>
      </c>
      <c r="G4" s="7" t="inlineStr">
        <is>
          <t>2023.03</t>
        </is>
      </c>
      <c r="H4" s="7" t="inlineStr">
        <is>
          <t>2023.06</t>
        </is>
      </c>
      <c r="I4" s="7" t="inlineStr">
        <is>
          <t>2023.09</t>
        </is>
      </c>
      <c r="J4" s="7" t="inlineStr">
        <is>
          <t>2023.12</t>
        </is>
      </c>
      <c r="K4" s="7" t="inlineStr">
        <is>
          <t>2023.12A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2024.12A</t>
        </is>
      </c>
      <c r="Q4" s="7" t="inlineStr">
        <is>
          <t>2025.03</t>
        </is>
      </c>
      <c r="R4" s="7" t="inlineStr">
        <is>
          <t>2025.06</t>
        </is>
      </c>
      <c r="S4" s="7" t="inlineStr">
        <is>
          <t>2025.09</t>
        </is>
      </c>
      <c r="T4" s="7" t="inlineStr">
        <is>
          <t>2025.12</t>
        </is>
      </c>
      <c r="U4" s="7" t="inlineStr">
        <is>
          <t>2025.12A</t>
        </is>
      </c>
      <c r="V4" s="7" t="inlineStr">
        <is>
          <t>2026.03</t>
        </is>
      </c>
      <c r="W4" s="8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2026.12A</t>
        </is>
      </c>
      <c r="AA4" s="7" t="inlineStr">
        <is>
          <t>2027.03</t>
        </is>
      </c>
      <c r="AB4" s="7" t="inlineStr">
        <is>
          <t>2027.06</t>
        </is>
      </c>
      <c r="AC4" s="7" t="inlineStr">
        <is>
          <t>2027.09</t>
        </is>
      </c>
      <c r="AD4" s="7" t="inlineStr">
        <is>
          <t>2027.12</t>
        </is>
      </c>
      <c r="AE4" s="7" t="inlineStr">
        <is>
          <t>2027.12A</t>
        </is>
      </c>
      <c r="AF4" s="7" t="inlineStr">
        <is>
          <t>2028.03</t>
        </is>
      </c>
      <c r="AG4" s="7" t="inlineStr">
        <is>
          <t>2028.06</t>
        </is>
      </c>
      <c r="AH4" s="7" t="inlineStr">
        <is>
          <t>2028.09</t>
        </is>
      </c>
      <c r="AI4" s="7" t="inlineStr">
        <is>
          <t>2028.12</t>
        </is>
      </c>
      <c r="AJ4" s="7" t="inlineStr">
        <is>
          <t>2028.12A</t>
        </is>
      </c>
    </row>
    <row r="5">
      <c r="F5" s="9" t="n"/>
      <c r="K5" s="9" t="n"/>
      <c r="P5" s="9" t="n"/>
      <c r="U5" s="9" t="n"/>
      <c r="W5" s="5" t="n"/>
      <c r="X5" s="10" t="n"/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87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4Q22</t>
        </is>
      </c>
      <c r="F1" s="3" t="n">
        <v>2022</v>
      </c>
      <c r="G1" s="3" t="inlineStr">
        <is>
          <t>1Q23</t>
        </is>
      </c>
      <c r="H1" s="3" t="inlineStr">
        <is>
          <t>2Q23</t>
        </is>
      </c>
      <c r="I1" s="3" t="inlineStr">
        <is>
          <t>3Q23</t>
        </is>
      </c>
      <c r="J1" s="3" t="inlineStr">
        <is>
          <t>4Q23</t>
        </is>
      </c>
      <c r="K1" s="3" t="n">
        <v>2023</v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n">
        <v>2024</v>
      </c>
      <c r="Q1" s="3" t="inlineStr">
        <is>
          <t>1Q25</t>
        </is>
      </c>
      <c r="R1" s="3" t="inlineStr">
        <is>
          <t>2Q25</t>
        </is>
      </c>
      <c r="S1" s="3" t="inlineStr">
        <is>
          <t>3Q25</t>
        </is>
      </c>
      <c r="T1" s="3" t="inlineStr">
        <is>
          <t>4Q25</t>
        </is>
      </c>
      <c r="U1" s="3" t="n">
        <v>2025</v>
      </c>
      <c r="V1" s="3" t="inlineStr">
        <is>
          <t>1Q26</t>
        </is>
      </c>
      <c r="W1" s="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n">
        <v>2026</v>
      </c>
      <c r="AA1" s="3" t="inlineStr">
        <is>
          <t>1Q27</t>
        </is>
      </c>
      <c r="AB1" s="3" t="inlineStr">
        <is>
          <t>2Q27</t>
        </is>
      </c>
      <c r="AC1" s="3" t="inlineStr">
        <is>
          <t>3Q27</t>
        </is>
      </c>
      <c r="AD1" s="3" t="inlineStr">
        <is>
          <t>4Q27</t>
        </is>
      </c>
      <c r="AE1" s="3" t="n">
        <v>2027</v>
      </c>
      <c r="AF1" s="3" t="inlineStr">
        <is>
          <t>1Q28</t>
        </is>
      </c>
      <c r="AG1" s="3" t="inlineStr">
        <is>
          <t>2Q28</t>
        </is>
      </c>
      <c r="AH1" s="3" t="inlineStr">
        <is>
          <t>3Q28</t>
        </is>
      </c>
      <c r="AI1" s="3" t="inlineStr">
        <is>
          <t>4Q28</t>
        </is>
      </c>
      <c r="AJ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W2" s="5" t="n"/>
    </row>
    <row r="3">
      <c r="B3" t="inlineStr">
        <is>
          <t>삼미금속(별)</t>
        </is>
      </c>
      <c r="C3" s="2" t="inlineStr">
        <is>
          <t>UPDATE: 26-10-13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2022.12</t>
        </is>
      </c>
      <c r="F4" s="7" t="inlineStr">
        <is>
          <t>2022.12A</t>
        </is>
      </c>
      <c r="G4" s="7" t="inlineStr">
        <is>
          <t>2023.03</t>
        </is>
      </c>
      <c r="H4" s="7" t="inlineStr">
        <is>
          <t>2023.06</t>
        </is>
      </c>
      <c r="I4" s="7" t="inlineStr">
        <is>
          <t>2023.09</t>
        </is>
      </c>
      <c r="J4" s="7" t="inlineStr">
        <is>
          <t>2023.12</t>
        </is>
      </c>
      <c r="K4" s="7" t="inlineStr">
        <is>
          <t>2023.12A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2024.12A</t>
        </is>
      </c>
      <c r="Q4" s="7" t="inlineStr">
        <is>
          <t>2025.03</t>
        </is>
      </c>
      <c r="R4" s="7" t="inlineStr">
        <is>
          <t>2025.06</t>
        </is>
      </c>
      <c r="S4" s="7" t="inlineStr">
        <is>
          <t>2025.09</t>
        </is>
      </c>
      <c r="T4" s="7" t="inlineStr">
        <is>
          <t>2025.12</t>
        </is>
      </c>
      <c r="U4" s="7" t="inlineStr">
        <is>
          <t>2025.12A</t>
        </is>
      </c>
      <c r="V4" s="7" t="inlineStr">
        <is>
          <t>2026.03</t>
        </is>
      </c>
      <c r="W4" s="8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2026.12A</t>
        </is>
      </c>
      <c r="AA4" s="7" t="inlineStr">
        <is>
          <t>2027.03</t>
        </is>
      </c>
      <c r="AB4" s="7" t="inlineStr">
        <is>
          <t>2027.06</t>
        </is>
      </c>
      <c r="AC4" s="7" t="inlineStr">
        <is>
          <t>2027.09</t>
        </is>
      </c>
      <c r="AD4" s="7" t="inlineStr">
        <is>
          <t>2027.12</t>
        </is>
      </c>
      <c r="AE4" s="7" t="inlineStr">
        <is>
          <t>2027.12A</t>
        </is>
      </c>
      <c r="AF4" s="7" t="inlineStr">
        <is>
          <t>2028.03</t>
        </is>
      </c>
      <c r="AG4" s="7" t="inlineStr">
        <is>
          <t>2028.06</t>
        </is>
      </c>
      <c r="AH4" s="7" t="inlineStr">
        <is>
          <t>2028.09</t>
        </is>
      </c>
      <c r="AI4" s="7" t="inlineStr">
        <is>
          <t>2028.12</t>
        </is>
      </c>
      <c r="AJ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23158.43</v>
      </c>
      <c r="F5" s="37" t="n">
        <v>23158.43</v>
      </c>
      <c r="J5" s="18" t="n">
        <v>27225.45</v>
      </c>
      <c r="K5" s="37" t="n">
        <v>27225.45</v>
      </c>
      <c r="O5" s="18" t="n">
        <v>27316.07</v>
      </c>
      <c r="P5" s="37" t="n">
        <v>27316.07</v>
      </c>
      <c r="R5" s="18" t="n">
        <v>33388.3</v>
      </c>
      <c r="S5" s="18" t="n">
        <v>29688.02</v>
      </c>
      <c r="T5" s="18" t="n">
        <v>42752.44</v>
      </c>
      <c r="U5" s="37" t="n">
        <v>42752.44</v>
      </c>
      <c r="V5" s="18" t="n">
        <v>53597.74</v>
      </c>
      <c r="W5" s="19" t="n">
        <v>82354.72</v>
      </c>
      <c r="X5" s="10" t="n"/>
      <c r="Y5" s="10" t="n"/>
      <c r="Z5" s="11" t="n"/>
      <c r="AA5" s="10" t="n"/>
      <c r="AB5" s="10" t="n"/>
      <c r="AC5" s="10" t="n"/>
      <c r="AD5" s="10" t="n"/>
      <c r="AE5" s="11" t="n"/>
      <c r="AF5" s="10" t="n"/>
      <c r="AG5" s="10" t="n"/>
      <c r="AH5" s="10" t="n"/>
      <c r="AI5" s="10" t="n"/>
      <c r="AJ5" s="11" t="n"/>
    </row>
    <row r="6">
      <c r="A6" t="n">
        <v>1</v>
      </c>
      <c r="C6" t="inlineStr">
        <is>
          <t>현금및현금성자산</t>
        </is>
      </c>
      <c r="E6" s="18" t="n">
        <v>1005.99</v>
      </c>
      <c r="F6" s="37" t="n">
        <v>1005.99</v>
      </c>
      <c r="J6" s="18" t="n">
        <v>133.06</v>
      </c>
      <c r="K6" s="37" t="n">
        <v>133.06</v>
      </c>
      <c r="O6" s="18" t="n">
        <v>1621.95</v>
      </c>
      <c r="P6" s="37" t="n">
        <v>1621.95</v>
      </c>
      <c r="R6" s="18" t="n">
        <v>3008.14</v>
      </c>
      <c r="S6" s="18" t="n">
        <v>1020.53</v>
      </c>
      <c r="T6" s="18" t="n">
        <v>11601.86</v>
      </c>
      <c r="U6" s="37" t="n">
        <v>11601.86</v>
      </c>
      <c r="V6" s="18" t="n">
        <v>16229.04</v>
      </c>
      <c r="W6" s="19" t="n">
        <v>38940.91</v>
      </c>
      <c r="X6" s="10" t="n"/>
      <c r="Y6" s="10" t="n"/>
      <c r="Z6" s="11" t="n"/>
      <c r="AA6" s="10" t="n"/>
      <c r="AB6" s="10" t="n"/>
      <c r="AC6" s="10" t="n"/>
      <c r="AD6" s="10" t="n"/>
      <c r="AE6" s="11" t="n"/>
      <c r="AF6" s="10" t="n"/>
      <c r="AG6" s="10" t="n"/>
      <c r="AH6" s="10" t="n"/>
      <c r="AI6" s="10" t="n"/>
      <c r="AJ6" s="11" t="n"/>
    </row>
    <row r="7">
      <c r="A7" t="n">
        <v>1</v>
      </c>
      <c r="C7" t="inlineStr">
        <is>
          <t>재고자산</t>
        </is>
      </c>
      <c r="E7" s="18" t="n">
        <v>10854.25</v>
      </c>
      <c r="F7" s="37" t="n">
        <v>10854.25</v>
      </c>
      <c r="J7" s="18" t="n">
        <v>12548.61</v>
      </c>
      <c r="K7" s="37" t="n">
        <v>12548.61</v>
      </c>
      <c r="O7" s="18" t="n">
        <v>12175.07</v>
      </c>
      <c r="P7" s="37" t="n">
        <v>12175.07</v>
      </c>
      <c r="R7" s="18" t="n">
        <v>14852.83</v>
      </c>
      <c r="S7" s="18" t="n">
        <v>15820.87</v>
      </c>
      <c r="T7" s="18" t="n">
        <v>19040.47</v>
      </c>
      <c r="U7" s="37" t="n">
        <v>19040.47</v>
      </c>
      <c r="V7" s="18" t="n">
        <v>21250.02</v>
      </c>
      <c r="W7" s="19" t="n">
        <v>21390.1</v>
      </c>
      <c r="X7" s="10" t="n"/>
      <c r="Y7" s="10" t="n"/>
      <c r="Z7" s="11" t="n"/>
      <c r="AA7" s="10" t="n"/>
      <c r="AB7" s="10" t="n"/>
      <c r="AC7" s="10" t="n"/>
      <c r="AD7" s="10" t="n"/>
      <c r="AE7" s="11" t="n"/>
      <c r="AF7" s="10" t="n"/>
      <c r="AG7" s="10" t="n"/>
      <c r="AH7" s="10" t="n"/>
      <c r="AI7" s="10" t="n"/>
      <c r="AJ7" s="11" t="n"/>
    </row>
    <row r="8">
      <c r="A8" t="n">
        <v>1</v>
      </c>
      <c r="C8" t="inlineStr">
        <is>
          <t>기타유동자산</t>
        </is>
      </c>
      <c r="E8" s="18" t="n">
        <v>25.72</v>
      </c>
      <c r="F8" s="37" t="n">
        <v>25.72</v>
      </c>
      <c r="J8" s="18" t="n">
        <v>21.78</v>
      </c>
      <c r="K8" s="37" t="n">
        <v>21.78</v>
      </c>
      <c r="O8" s="18" t="n">
        <v>120.19</v>
      </c>
      <c r="P8" s="37" t="n">
        <v>120.19</v>
      </c>
      <c r="R8" s="18" t="n">
        <v>8.65</v>
      </c>
      <c r="S8" s="18" t="n">
        <v>108.7</v>
      </c>
      <c r="T8" s="18" t="n">
        <v>54.8</v>
      </c>
      <c r="U8" s="37" t="n">
        <v>54.8</v>
      </c>
      <c r="V8" s="18" t="n">
        <v>49.8</v>
      </c>
      <c r="W8" s="19" t="n">
        <v>116.26</v>
      </c>
      <c r="X8" s="10" t="n"/>
      <c r="Y8" s="10" t="n"/>
      <c r="Z8" s="11" t="n"/>
      <c r="AA8" s="10" t="n"/>
      <c r="AB8" s="10" t="n"/>
      <c r="AC8" s="10" t="n"/>
      <c r="AD8" s="10" t="n"/>
      <c r="AE8" s="11" t="n"/>
      <c r="AF8" s="10" t="n"/>
      <c r="AG8" s="10" t="n"/>
      <c r="AH8" s="10" t="n"/>
      <c r="AI8" s="10" t="n"/>
      <c r="AJ8" s="11" t="n"/>
    </row>
    <row r="9">
      <c r="A9" t="n">
        <v>1</v>
      </c>
      <c r="C9" t="inlineStr">
        <is>
          <t>당기법인세자산(선급법인세)</t>
        </is>
      </c>
      <c r="E9" s="18" t="n">
        <v>0.05</v>
      </c>
      <c r="F9" s="37" t="n">
        <v>0.05</v>
      </c>
      <c r="J9" s="18" t="n">
        <v>0.09</v>
      </c>
      <c r="K9" s="37" t="n">
        <v>0.09</v>
      </c>
      <c r="O9" s="18" t="n">
        <v>49.11</v>
      </c>
      <c r="P9" s="37" t="n">
        <v>49.11</v>
      </c>
      <c r="R9" s="18" t="n">
        <v>4.18</v>
      </c>
      <c r="S9" s="18" t="n">
        <v>26.14</v>
      </c>
      <c r="T9" s="18" t="n">
        <v>54.46</v>
      </c>
      <c r="U9" s="37" t="n">
        <v>54.46</v>
      </c>
      <c r="V9" s="18" t="n">
        <v>65.55</v>
      </c>
      <c r="W9" s="19" t="n">
        <v>26.66</v>
      </c>
      <c r="X9" s="10" t="n"/>
      <c r="Y9" s="10" t="n"/>
      <c r="Z9" s="11" t="n"/>
      <c r="AA9" s="10" t="n"/>
      <c r="AB9" s="10" t="n"/>
      <c r="AC9" s="10" t="n"/>
      <c r="AD9" s="10" t="n"/>
      <c r="AE9" s="11" t="n"/>
      <c r="AF9" s="10" t="n"/>
      <c r="AG9" s="10" t="n"/>
      <c r="AH9" s="10" t="n"/>
      <c r="AI9" s="10" t="n"/>
      <c r="AJ9" s="11" t="n"/>
    </row>
    <row r="10">
      <c r="A10" t="n">
        <v>1</v>
      </c>
      <c r="C10" t="inlineStr">
        <is>
          <t>비유동자산</t>
        </is>
      </c>
      <c r="E10" s="18" t="n">
        <v>126342.63</v>
      </c>
      <c r="F10" s="37" t="n">
        <v>126342.63</v>
      </c>
      <c r="J10" s="18" t="n">
        <v>124960.87</v>
      </c>
      <c r="K10" s="37" t="n">
        <v>124960.87</v>
      </c>
      <c r="O10" s="18" t="n">
        <v>145431.42</v>
      </c>
      <c r="P10" s="37" t="n">
        <v>145431.42</v>
      </c>
      <c r="R10" s="18" t="n">
        <v>146536.67</v>
      </c>
      <c r="S10" s="18" t="n">
        <v>146531.1</v>
      </c>
      <c r="T10" s="18" t="n">
        <v>146022.99</v>
      </c>
      <c r="U10" s="37" t="n">
        <v>146022.99</v>
      </c>
      <c r="V10" s="18" t="n">
        <v>149065.95</v>
      </c>
      <c r="W10" s="19" t="n">
        <v>151516.12</v>
      </c>
      <c r="X10" s="10" t="n"/>
      <c r="Y10" s="10" t="n"/>
      <c r="Z10" s="11" t="n"/>
      <c r="AA10" s="10" t="n"/>
      <c r="AB10" s="10" t="n"/>
      <c r="AC10" s="10" t="n"/>
      <c r="AD10" s="10" t="n"/>
      <c r="AE10" s="11" t="n"/>
      <c r="AF10" s="10" t="n"/>
      <c r="AG10" s="10" t="n"/>
      <c r="AH10" s="10" t="n"/>
      <c r="AI10" s="10" t="n"/>
      <c r="AJ10" s="11" t="n"/>
    </row>
    <row r="11">
      <c r="A11" t="n">
        <v>1</v>
      </c>
      <c r="C11" t="inlineStr">
        <is>
          <t>장기금융자산</t>
        </is>
      </c>
      <c r="E11" s="18" t="n">
        <v>5.61</v>
      </c>
      <c r="F11" s="37" t="n">
        <v>5.61</v>
      </c>
      <c r="J11" s="18" t="n">
        <v>5.61</v>
      </c>
      <c r="K11" s="37" t="n">
        <v>5.61</v>
      </c>
      <c r="O11" s="18" t="n">
        <v>5.61</v>
      </c>
      <c r="P11" s="37" t="n">
        <v>5.61</v>
      </c>
      <c r="R11" s="18" t="n">
        <v>5.61</v>
      </c>
      <c r="S11" s="18" t="n">
        <v>5.61</v>
      </c>
      <c r="T11" s="18" t="n">
        <v>5.61</v>
      </c>
      <c r="U11" s="37" t="n">
        <v>5.61</v>
      </c>
      <c r="V11" s="18" t="n">
        <v>5.61</v>
      </c>
      <c r="W11" s="19" t="n">
        <v>5.61</v>
      </c>
      <c r="X11" s="10" t="n"/>
      <c r="Y11" s="10" t="n"/>
      <c r="Z11" s="11" t="n"/>
      <c r="AA11" s="10" t="n"/>
      <c r="AB11" s="10" t="n"/>
      <c r="AC11" s="10" t="n"/>
      <c r="AD11" s="10" t="n"/>
      <c r="AE11" s="11" t="n"/>
      <c r="AF11" s="10" t="n"/>
      <c r="AG11" s="10" t="n"/>
      <c r="AH11" s="10" t="n"/>
      <c r="AI11" s="10" t="n"/>
      <c r="AJ11" s="11" t="n"/>
    </row>
    <row r="12">
      <c r="A12" t="n">
        <v>1</v>
      </c>
      <c r="C12" t="inlineStr">
        <is>
          <t>투자자산</t>
        </is>
      </c>
      <c r="E12" s="18" t="n">
        <v>5.61</v>
      </c>
      <c r="F12" s="37" t="n">
        <v>5.61</v>
      </c>
      <c r="J12" s="18" t="n">
        <v>5.61</v>
      </c>
      <c r="K12" s="37" t="n">
        <v>5.61</v>
      </c>
      <c r="O12" s="18" t="n">
        <v>5.61</v>
      </c>
      <c r="P12" s="37" t="n">
        <v>5.61</v>
      </c>
      <c r="R12" s="18" t="n">
        <v>5.61</v>
      </c>
      <c r="S12" s="18" t="n">
        <v>5.61</v>
      </c>
      <c r="T12" s="18" t="n">
        <v>5.61</v>
      </c>
      <c r="U12" s="37" t="n">
        <v>5.61</v>
      </c>
      <c r="V12" s="18" t="n">
        <v>5.61</v>
      </c>
      <c r="W12" s="19" t="n">
        <v>5.61</v>
      </c>
      <c r="X12" s="10" t="n"/>
      <c r="Y12" s="10" t="n"/>
      <c r="Z12" s="11" t="n"/>
      <c r="AA12" s="10" t="n"/>
      <c r="AB12" s="10" t="n"/>
      <c r="AC12" s="10" t="n"/>
      <c r="AD12" s="10" t="n"/>
      <c r="AE12" s="11" t="n"/>
      <c r="AF12" s="10" t="n"/>
      <c r="AG12" s="10" t="n"/>
      <c r="AH12" s="10" t="n"/>
      <c r="AI12" s="10" t="n"/>
      <c r="AJ12" s="11" t="n"/>
    </row>
    <row r="13">
      <c r="A13" t="n">
        <v>1</v>
      </c>
      <c r="C13" t="inlineStr">
        <is>
          <t>투자부동산</t>
        </is>
      </c>
      <c r="E13" s="18" t="n">
        <v>7.56</v>
      </c>
      <c r="F13" s="37" t="n">
        <v>7.56</v>
      </c>
      <c r="J13" s="18" t="n">
        <v>7.56</v>
      </c>
      <c r="K13" s="37" t="n">
        <v>7.56</v>
      </c>
      <c r="O13" s="18" t="n">
        <v>7.56</v>
      </c>
      <c r="P13" s="37" t="n">
        <v>7.56</v>
      </c>
      <c r="R13" s="18" t="n">
        <v>7.56</v>
      </c>
      <c r="S13" s="18" t="n">
        <v>7.56</v>
      </c>
      <c r="T13" s="18" t="n">
        <v>7.56</v>
      </c>
      <c r="U13" s="37" t="n">
        <v>7.56</v>
      </c>
      <c r="V13" s="18" t="n">
        <v>7.56</v>
      </c>
      <c r="W13" s="19" t="n">
        <v>7.56</v>
      </c>
      <c r="X13" s="10" t="n"/>
      <c r="Y13" s="10" t="n"/>
      <c r="Z13" s="11" t="n"/>
      <c r="AA13" s="10" t="n"/>
      <c r="AB13" s="10" t="n"/>
      <c r="AC13" s="10" t="n"/>
      <c r="AD13" s="10" t="n"/>
      <c r="AE13" s="11" t="n"/>
      <c r="AF13" s="10" t="n"/>
      <c r="AG13" s="10" t="n"/>
      <c r="AH13" s="10" t="n"/>
      <c r="AI13" s="10" t="n"/>
      <c r="AJ13" s="11" t="n"/>
    </row>
    <row r="14">
      <c r="A14" t="n">
        <v>1</v>
      </c>
      <c r="C14" t="inlineStr">
        <is>
          <t>유형자산</t>
        </is>
      </c>
      <c r="E14" s="18" t="n">
        <v>126227.27</v>
      </c>
      <c r="F14" s="37" t="n">
        <v>126227.27</v>
      </c>
      <c r="J14" s="18" t="n">
        <v>124864.03</v>
      </c>
      <c r="K14" s="37" t="n">
        <v>124864.03</v>
      </c>
      <c r="O14" s="18" t="n">
        <v>145244.95</v>
      </c>
      <c r="P14" s="37" t="n">
        <v>145244.95</v>
      </c>
      <c r="R14" s="18" t="n">
        <v>146354.77</v>
      </c>
      <c r="S14" s="18" t="n">
        <v>146351.41</v>
      </c>
      <c r="T14" s="18" t="n">
        <v>145912.32</v>
      </c>
      <c r="U14" s="37" t="n">
        <v>145912.32</v>
      </c>
      <c r="V14" s="18" t="n">
        <v>148959.07</v>
      </c>
      <c r="W14" s="19" t="n">
        <v>151401.41</v>
      </c>
      <c r="X14" s="10" t="n"/>
      <c r="Y14" s="10" t="n"/>
      <c r="Z14" s="11" t="n"/>
      <c r="AA14" s="10" t="n"/>
      <c r="AB14" s="10" t="n"/>
      <c r="AC14" s="10" t="n"/>
      <c r="AD14" s="10" t="n"/>
      <c r="AE14" s="11" t="n"/>
      <c r="AF14" s="10" t="n"/>
      <c r="AG14" s="10" t="n"/>
      <c r="AH14" s="10" t="n"/>
      <c r="AI14" s="10" t="n"/>
      <c r="AJ14" s="11" t="n"/>
    </row>
    <row r="15">
      <c r="A15" t="n">
        <v>1</v>
      </c>
      <c r="C15" t="inlineStr">
        <is>
          <t>자산총계</t>
        </is>
      </c>
      <c r="E15" s="18" t="n">
        <v>149501.06</v>
      </c>
      <c r="F15" s="37" t="n">
        <v>149501.06</v>
      </c>
      <c r="J15" s="18" t="n">
        <v>152186.32</v>
      </c>
      <c r="K15" s="37" t="n">
        <v>152186.32</v>
      </c>
      <c r="O15" s="18" t="n">
        <v>172747.49</v>
      </c>
      <c r="P15" s="37" t="n">
        <v>172747.49</v>
      </c>
      <c r="R15" s="18" t="n">
        <v>179924.97</v>
      </c>
      <c r="S15" s="18" t="n">
        <v>176219.12</v>
      </c>
      <c r="T15" s="18" t="n">
        <v>188775.42</v>
      </c>
      <c r="U15" s="37" t="n">
        <v>188775.42</v>
      </c>
      <c r="V15" s="18" t="n">
        <v>202663.69</v>
      </c>
      <c r="W15" s="19" t="n">
        <v>233870.84</v>
      </c>
      <c r="X15" s="10" t="n"/>
      <c r="Y15" s="10" t="n"/>
      <c r="Z15" s="11" t="n"/>
      <c r="AA15" s="10" t="n"/>
      <c r="AB15" s="10" t="n"/>
      <c r="AC15" s="10" t="n"/>
      <c r="AD15" s="10" t="n"/>
      <c r="AE15" s="11" t="n"/>
      <c r="AF15" s="10" t="n"/>
      <c r="AG15" s="10" t="n"/>
      <c r="AH15" s="10" t="n"/>
      <c r="AI15" s="10" t="n"/>
      <c r="AJ15" s="11" t="n"/>
    </row>
    <row r="16">
      <c r="A16" t="n">
        <v>1</v>
      </c>
      <c r="C16" t="inlineStr">
        <is>
          <t>유동부채</t>
        </is>
      </c>
      <c r="E16" s="18" t="n">
        <v>60973.31</v>
      </c>
      <c r="F16" s="37" t="n">
        <v>60973.31</v>
      </c>
      <c r="J16" s="18" t="n">
        <v>60338.96</v>
      </c>
      <c r="K16" s="37" t="n">
        <v>60338.96</v>
      </c>
      <c r="O16" s="18" t="n">
        <v>49938.53</v>
      </c>
      <c r="P16" s="37" t="n">
        <v>49938.53</v>
      </c>
      <c r="R16" s="18" t="n">
        <v>58973.52</v>
      </c>
      <c r="S16" s="18" t="n">
        <v>39463.34</v>
      </c>
      <c r="T16" s="18" t="n">
        <v>41944.08</v>
      </c>
      <c r="U16" s="37" t="n">
        <v>41944.08</v>
      </c>
      <c r="V16" s="18" t="n">
        <v>44245.4</v>
      </c>
      <c r="W16" s="19" t="n">
        <v>41400.05</v>
      </c>
      <c r="X16" s="10" t="n"/>
      <c r="Y16" s="10" t="n"/>
      <c r="Z16" s="11" t="n"/>
      <c r="AA16" s="10" t="n"/>
      <c r="AB16" s="10" t="n"/>
      <c r="AC16" s="10" t="n"/>
      <c r="AD16" s="10" t="n"/>
      <c r="AE16" s="11" t="n"/>
      <c r="AF16" s="10" t="n"/>
      <c r="AG16" s="10" t="n"/>
      <c r="AH16" s="10" t="n"/>
      <c r="AI16" s="10" t="n"/>
      <c r="AJ16" s="11" t="n"/>
    </row>
    <row r="17">
      <c r="A17" t="n">
        <v>1</v>
      </c>
      <c r="C17" t="inlineStr">
        <is>
          <t>기타유동부채</t>
        </is>
      </c>
      <c r="E17" s="18" t="n">
        <v>68.66</v>
      </c>
      <c r="F17" s="37" t="n">
        <v>68.66</v>
      </c>
      <c r="J17" s="18" t="n">
        <v>146.72</v>
      </c>
      <c r="K17" s="37" t="n">
        <v>146.72</v>
      </c>
      <c r="O17" s="18" t="n">
        <v>144.01</v>
      </c>
      <c r="P17" s="37" t="n">
        <v>144.01</v>
      </c>
      <c r="R17" s="18" t="n">
        <v>84</v>
      </c>
      <c r="S17" s="18" t="n">
        <v>131.47</v>
      </c>
      <c r="T17" s="18" t="n">
        <v>155.21</v>
      </c>
      <c r="U17" s="37" t="n">
        <v>155.21</v>
      </c>
      <c r="V17" s="18" t="n">
        <v>121.78</v>
      </c>
      <c r="W17" s="19" t="n">
        <v>151.94</v>
      </c>
      <c r="X17" s="10" t="n"/>
      <c r="Y17" s="10" t="n"/>
      <c r="Z17" s="11" t="n"/>
      <c r="AA17" s="10" t="n"/>
      <c r="AB17" s="10" t="n"/>
      <c r="AC17" s="10" t="n"/>
      <c r="AD17" s="10" t="n"/>
      <c r="AE17" s="11" t="n"/>
      <c r="AF17" s="10" t="n"/>
      <c r="AG17" s="10" t="n"/>
      <c r="AH17" s="10" t="n"/>
      <c r="AI17" s="10" t="n"/>
      <c r="AJ17" s="11" t="n"/>
    </row>
    <row r="18">
      <c r="A18" t="n">
        <v>1</v>
      </c>
      <c r="C18" t="inlineStr">
        <is>
          <t>계약부채</t>
        </is>
      </c>
      <c r="E18" s="18" t="n">
        <v>33.59</v>
      </c>
      <c r="F18" s="37" t="n">
        <v>33.59</v>
      </c>
      <c r="J18" s="18" t="n">
        <v>33.59</v>
      </c>
      <c r="K18" s="37" t="n">
        <v>33.59</v>
      </c>
      <c r="O18" s="18" t="n">
        <v>34.88</v>
      </c>
      <c r="P18" s="37" t="n">
        <v>34.88</v>
      </c>
      <c r="R18" s="18" t="n">
        <v>40.09</v>
      </c>
      <c r="S18" s="18" t="n">
        <v>47.43</v>
      </c>
      <c r="T18" s="18" t="n">
        <v>13.85</v>
      </c>
      <c r="U18" s="37" t="n">
        <v>13.85</v>
      </c>
      <c r="V18" s="18" t="n">
        <v>13.85</v>
      </c>
      <c r="W18" s="19" t="n">
        <v>13.85</v>
      </c>
      <c r="X18" s="10" t="n"/>
      <c r="Y18" s="10" t="n"/>
      <c r="Z18" s="11" t="n"/>
      <c r="AA18" s="10" t="n"/>
      <c r="AB18" s="10" t="n"/>
      <c r="AC18" s="10" t="n"/>
      <c r="AD18" s="10" t="n"/>
      <c r="AE18" s="11" t="n"/>
      <c r="AF18" s="10" t="n"/>
      <c r="AG18" s="10" t="n"/>
      <c r="AH18" s="10" t="n"/>
      <c r="AI18" s="10" t="n"/>
      <c r="AJ18" s="11" t="n"/>
    </row>
    <row r="19">
      <c r="A19" t="n">
        <v>1</v>
      </c>
      <c r="C19" t="inlineStr">
        <is>
          <t>단기차입금</t>
        </is>
      </c>
      <c r="E19" s="18" t="n">
        <v>50765.91</v>
      </c>
      <c r="F19" s="37" t="n">
        <v>50765.91</v>
      </c>
      <c r="J19" s="18" t="n">
        <v>51493.4</v>
      </c>
      <c r="K19" s="37" t="n">
        <v>51493.4</v>
      </c>
      <c r="O19" s="18" t="n">
        <v>41838.26</v>
      </c>
      <c r="P19" s="37" t="n">
        <v>41838.26</v>
      </c>
      <c r="R19" s="18" t="n">
        <v>51156.35</v>
      </c>
      <c r="S19" s="18" t="n">
        <v>32208.32</v>
      </c>
      <c r="T19" s="18" t="n">
        <v>34550</v>
      </c>
      <c r="U19" s="37" t="n">
        <v>34550</v>
      </c>
      <c r="V19" s="18" t="n">
        <v>35000</v>
      </c>
      <c r="W19" s="19" t="n">
        <v>31000</v>
      </c>
      <c r="X19" s="10" t="n"/>
      <c r="Y19" s="10" t="n"/>
      <c r="Z19" s="11" t="n"/>
      <c r="AA19" s="10" t="n"/>
      <c r="AB19" s="10" t="n"/>
      <c r="AC19" s="10" t="n"/>
      <c r="AD19" s="10" t="n"/>
      <c r="AE19" s="11" t="n"/>
      <c r="AF19" s="10" t="n"/>
      <c r="AG19" s="10" t="n"/>
      <c r="AH19" s="10" t="n"/>
      <c r="AI19" s="10" t="n"/>
      <c r="AJ19" s="11" t="n"/>
    </row>
    <row r="20">
      <c r="A20" t="n">
        <v>1</v>
      </c>
      <c r="C20" t="inlineStr">
        <is>
          <t>단기금융부채(face)</t>
        </is>
      </c>
      <c r="E20" s="18" t="n">
        <v>50765.91</v>
      </c>
      <c r="F20" s="37" t="n">
        <v>50765.91</v>
      </c>
      <c r="J20" s="18" t="n">
        <v>51493.4</v>
      </c>
      <c r="K20" s="37" t="n">
        <v>51493.4</v>
      </c>
      <c r="O20" s="18" t="n">
        <v>41838.26</v>
      </c>
      <c r="P20" s="37" t="n">
        <v>41838.26</v>
      </c>
      <c r="R20" s="18" t="n">
        <v>51156.35</v>
      </c>
      <c r="S20" s="18" t="n">
        <v>32208.32</v>
      </c>
      <c r="T20" s="18" t="n">
        <v>34550</v>
      </c>
      <c r="U20" s="37" t="n">
        <v>34550</v>
      </c>
      <c r="V20" s="18" t="n">
        <v>35000</v>
      </c>
      <c r="W20" s="19" t="n">
        <v>31000</v>
      </c>
      <c r="X20" s="10" t="n"/>
      <c r="Y20" s="10" t="n"/>
      <c r="Z20" s="11" t="n"/>
      <c r="AA20" s="10" t="n"/>
      <c r="AB20" s="10" t="n"/>
      <c r="AC20" s="10" t="n"/>
      <c r="AD20" s="10" t="n"/>
      <c r="AE20" s="11" t="n"/>
      <c r="AF20" s="10" t="n"/>
      <c r="AG20" s="10" t="n"/>
      <c r="AH20" s="10" t="n"/>
      <c r="AI20" s="10" t="n"/>
      <c r="AJ20" s="11" t="n"/>
    </row>
    <row r="21">
      <c r="A21" t="n">
        <v>1</v>
      </c>
      <c r="C21" t="inlineStr">
        <is>
          <t>유동리스부채</t>
        </is>
      </c>
      <c r="E21" s="18" t="n">
        <v>3.43</v>
      </c>
      <c r="F21" s="37" t="n">
        <v>3.43</v>
      </c>
      <c r="J21" s="18" t="n">
        <v>6.55</v>
      </c>
      <c r="K21" s="37" t="n">
        <v>6.55</v>
      </c>
      <c r="O21" s="18" t="n">
        <v>7.29</v>
      </c>
      <c r="P21" s="37" t="n">
        <v>7.29</v>
      </c>
      <c r="R21" s="18" t="n">
        <v>7.69</v>
      </c>
      <c r="S21" s="18" t="n">
        <v>8.24</v>
      </c>
      <c r="T21" s="18" t="n">
        <v>11.26</v>
      </c>
      <c r="U21" s="37" t="n">
        <v>11.26</v>
      </c>
      <c r="V21" s="18" t="n">
        <v>9.41</v>
      </c>
      <c r="W21" s="19" t="n">
        <v>7.51</v>
      </c>
      <c r="X21" s="10" t="n"/>
      <c r="Y21" s="10" t="n"/>
      <c r="Z21" s="11" t="n"/>
      <c r="AA21" s="10" t="n"/>
      <c r="AB21" s="10" t="n"/>
      <c r="AC21" s="10" t="n"/>
      <c r="AD21" s="10" t="n"/>
      <c r="AE21" s="11" t="n"/>
      <c r="AF21" s="10" t="n"/>
      <c r="AG21" s="10" t="n"/>
      <c r="AH21" s="10" t="n"/>
      <c r="AI21" s="10" t="n"/>
      <c r="AJ21" s="11" t="n"/>
    </row>
    <row r="22">
      <c r="A22" t="n">
        <v>1</v>
      </c>
      <c r="C22" t="inlineStr">
        <is>
          <t>리스부채</t>
        </is>
      </c>
      <c r="E22" s="18" t="n">
        <v>3.43</v>
      </c>
      <c r="F22" s="37" t="n">
        <v>3.43</v>
      </c>
      <c r="J22" s="18" t="n">
        <v>20.18</v>
      </c>
      <c r="K22" s="37" t="n">
        <v>20.18</v>
      </c>
      <c r="O22" s="18" t="n">
        <v>13.64</v>
      </c>
      <c r="P22" s="37" t="n">
        <v>13.64</v>
      </c>
      <c r="R22" s="18" t="n">
        <v>10.09</v>
      </c>
      <c r="S22" s="18" t="n">
        <v>8.24</v>
      </c>
      <c r="T22" s="18" t="n">
        <v>14.76</v>
      </c>
      <c r="U22" s="37" t="n">
        <v>14.76</v>
      </c>
      <c r="V22" s="18" t="n">
        <v>11.62</v>
      </c>
      <c r="W22" s="19" t="n">
        <v>8.4</v>
      </c>
      <c r="X22" s="10" t="n"/>
      <c r="Y22" s="10" t="n"/>
      <c r="Z22" s="11" t="n"/>
      <c r="AA22" s="10" t="n"/>
      <c r="AB22" s="10" t="n"/>
      <c r="AC22" s="10" t="n"/>
      <c r="AD22" s="10" t="n"/>
      <c r="AE22" s="11" t="n"/>
      <c r="AF22" s="10" t="n"/>
      <c r="AG22" s="10" t="n"/>
      <c r="AH22" s="10" t="n"/>
      <c r="AI22" s="10" t="n"/>
      <c r="AJ22" s="11" t="n"/>
    </row>
    <row r="23">
      <c r="A23" t="n">
        <v>1</v>
      </c>
      <c r="C23" t="inlineStr">
        <is>
          <t>단기금융부채</t>
        </is>
      </c>
      <c r="E23" s="18" t="n">
        <v>3.43</v>
      </c>
      <c r="F23" s="37" t="n">
        <v>3.43</v>
      </c>
      <c r="J23" s="18" t="n">
        <v>6.55</v>
      </c>
      <c r="K23" s="37" t="n">
        <v>6.55</v>
      </c>
      <c r="O23" s="18" t="n">
        <v>78.28</v>
      </c>
      <c r="P23" s="37" t="n">
        <v>78.28</v>
      </c>
      <c r="R23" s="18" t="n">
        <v>7.69</v>
      </c>
      <c r="S23" s="18" t="n">
        <v>8.24</v>
      </c>
      <c r="T23" s="18" t="n">
        <v>11.26</v>
      </c>
      <c r="U23" s="37" t="n">
        <v>11.26</v>
      </c>
      <c r="V23" s="18" t="n">
        <v>9.41</v>
      </c>
      <c r="W23" s="19" t="n">
        <v>7.51</v>
      </c>
      <c r="X23" s="10" t="n"/>
      <c r="Y23" s="10" t="n"/>
      <c r="Z23" s="11" t="n"/>
      <c r="AA23" s="10" t="n"/>
      <c r="AB23" s="10" t="n"/>
      <c r="AC23" s="10" t="n"/>
      <c r="AD23" s="10" t="n"/>
      <c r="AE23" s="11" t="n"/>
      <c r="AF23" s="10" t="n"/>
      <c r="AG23" s="10" t="n"/>
      <c r="AH23" s="10" t="n"/>
      <c r="AI23" s="10" t="n"/>
      <c r="AJ23" s="11" t="n"/>
    </row>
    <row r="24">
      <c r="A24" t="n">
        <v>1</v>
      </c>
      <c r="C24" t="inlineStr">
        <is>
          <t>단기충당부채</t>
        </is>
      </c>
      <c r="E24" s="18" t="n">
        <v>42.12</v>
      </c>
      <c r="F24" s="37" t="n">
        <v>42.12</v>
      </c>
      <c r="J24" s="18" t="n">
        <v>37.29</v>
      </c>
      <c r="K24" s="37" t="n">
        <v>37.29</v>
      </c>
      <c r="O24" s="18" t="n">
        <v>73.55</v>
      </c>
      <c r="P24" s="37" t="n">
        <v>73.55</v>
      </c>
      <c r="R24" s="18" t="n">
        <v>75.98999999999999</v>
      </c>
      <c r="S24" s="18" t="n">
        <v>73.36</v>
      </c>
      <c r="T24" s="18" t="n">
        <v>57.06</v>
      </c>
      <c r="U24" s="37" t="n">
        <v>57.06</v>
      </c>
      <c r="V24" s="18" t="n">
        <v>57.44</v>
      </c>
      <c r="W24" s="19" t="n">
        <v>57.21</v>
      </c>
      <c r="X24" s="10" t="n"/>
      <c r="Y24" s="10" t="n"/>
      <c r="Z24" s="11" t="n"/>
      <c r="AA24" s="10" t="n"/>
      <c r="AB24" s="10" t="n"/>
      <c r="AC24" s="10" t="n"/>
      <c r="AD24" s="10" t="n"/>
      <c r="AE24" s="11" t="n"/>
      <c r="AF24" s="10" t="n"/>
      <c r="AG24" s="10" t="n"/>
      <c r="AH24" s="10" t="n"/>
      <c r="AI24" s="10" t="n"/>
      <c r="AJ24" s="11" t="n"/>
    </row>
    <row r="25">
      <c r="A25" t="n">
        <v>1</v>
      </c>
      <c r="C25" t="inlineStr">
        <is>
          <t>비유동부채</t>
        </is>
      </c>
      <c r="E25" s="18" t="n">
        <v>37874.71</v>
      </c>
      <c r="F25" s="37" t="n">
        <v>37874.71</v>
      </c>
      <c r="J25" s="18" t="n">
        <v>34908.28</v>
      </c>
      <c r="K25" s="37" t="n">
        <v>34908.28</v>
      </c>
      <c r="O25" s="18" t="n">
        <v>48988.05</v>
      </c>
      <c r="P25" s="37" t="n">
        <v>48988.05</v>
      </c>
      <c r="R25" s="18" t="n">
        <v>39459.86</v>
      </c>
      <c r="S25" s="18" t="n">
        <v>54023.2</v>
      </c>
      <c r="T25" s="18" t="n">
        <v>54127.6</v>
      </c>
      <c r="U25" s="37" t="n">
        <v>54127.6</v>
      </c>
      <c r="V25" s="18" t="n">
        <v>64349.88</v>
      </c>
      <c r="W25" s="19" t="n">
        <v>87422.17</v>
      </c>
      <c r="X25" s="10" t="n"/>
      <c r="Y25" s="10" t="n"/>
      <c r="Z25" s="11" t="n"/>
      <c r="AA25" s="10" t="n"/>
      <c r="AB25" s="10" t="n"/>
      <c r="AC25" s="10" t="n"/>
      <c r="AD25" s="10" t="n"/>
      <c r="AE25" s="11" t="n"/>
      <c r="AF25" s="10" t="n"/>
      <c r="AG25" s="10" t="n"/>
      <c r="AH25" s="10" t="n"/>
      <c r="AI25" s="10" t="n"/>
      <c r="AJ25" s="11" t="n"/>
    </row>
    <row r="26">
      <c r="A26" t="n">
        <v>1</v>
      </c>
      <c r="C26" t="inlineStr">
        <is>
          <t>확정급여부채</t>
        </is>
      </c>
      <c r="E26" s="18" t="n">
        <v>643.77</v>
      </c>
      <c r="F26" s="37" t="n">
        <v>643.77</v>
      </c>
      <c r="J26" s="18" t="n">
        <v>829.72</v>
      </c>
      <c r="K26" s="37" t="n">
        <v>829.72</v>
      </c>
      <c r="O26" s="18" t="n">
        <v>1878.66</v>
      </c>
      <c r="P26" s="37" t="n">
        <v>1878.66</v>
      </c>
      <c r="R26" s="18" t="n">
        <v>2391.41</v>
      </c>
      <c r="S26" s="18" t="n">
        <v>943.77</v>
      </c>
      <c r="T26" s="18" t="n">
        <v>255.31</v>
      </c>
      <c r="U26" s="37" t="n">
        <v>255.31</v>
      </c>
      <c r="V26" s="18" t="n">
        <v>447.49</v>
      </c>
      <c r="W26" s="19" t="n">
        <v>387.82</v>
      </c>
      <c r="X26" s="10" t="n"/>
      <c r="Y26" s="10" t="n"/>
      <c r="Z26" s="11" t="n"/>
      <c r="AA26" s="10" t="n"/>
      <c r="AB26" s="10" t="n"/>
      <c r="AC26" s="10" t="n"/>
      <c r="AD26" s="10" t="n"/>
      <c r="AE26" s="11" t="n"/>
      <c r="AF26" s="10" t="n"/>
      <c r="AG26" s="10" t="n"/>
      <c r="AH26" s="10" t="n"/>
      <c r="AI26" s="10" t="n"/>
      <c r="AJ26" s="11" t="n"/>
    </row>
    <row r="27">
      <c r="A27" t="n">
        <v>1</v>
      </c>
      <c r="C27" t="inlineStr">
        <is>
          <t>장기차입금</t>
        </is>
      </c>
      <c r="E27" s="18" t="n">
        <v>16500</v>
      </c>
      <c r="F27" s="37" t="n">
        <v>16500</v>
      </c>
      <c r="J27" s="18" t="n">
        <v>12800</v>
      </c>
      <c r="K27" s="37" t="n">
        <v>12800</v>
      </c>
      <c r="O27" s="18" t="n">
        <v>22050</v>
      </c>
      <c r="P27" s="37" t="n">
        <v>22050</v>
      </c>
      <c r="R27" s="18" t="n">
        <v>12000</v>
      </c>
      <c r="S27" s="18" t="n">
        <v>28000</v>
      </c>
      <c r="T27" s="18" t="n">
        <v>28000</v>
      </c>
      <c r="U27" s="37" t="n">
        <v>28000</v>
      </c>
      <c r="V27" s="18" t="n">
        <v>38000</v>
      </c>
      <c r="W27" s="19" t="n">
        <v>37000</v>
      </c>
      <c r="X27" s="10" t="n"/>
      <c r="Y27" s="10" t="n"/>
      <c r="Z27" s="11" t="n"/>
      <c r="AA27" s="10" t="n"/>
      <c r="AB27" s="10" t="n"/>
      <c r="AC27" s="10" t="n"/>
      <c r="AD27" s="10" t="n"/>
      <c r="AE27" s="11" t="n"/>
      <c r="AF27" s="10" t="n"/>
      <c r="AG27" s="10" t="n"/>
      <c r="AH27" s="10" t="n"/>
      <c r="AI27" s="10" t="n"/>
      <c r="AJ27" s="11" t="n"/>
    </row>
    <row r="28">
      <c r="A28" t="n">
        <v>1</v>
      </c>
      <c r="C28" t="inlineStr">
        <is>
          <t>장기금융부채(face)</t>
        </is>
      </c>
      <c r="E28" s="18" t="n">
        <v>16500</v>
      </c>
      <c r="F28" s="37" t="n">
        <v>16500</v>
      </c>
      <c r="K28" s="9" t="n"/>
      <c r="O28" s="18" t="n">
        <v>22050</v>
      </c>
      <c r="P28" s="37" t="n">
        <v>22050</v>
      </c>
      <c r="R28" s="18" t="n">
        <v>12000</v>
      </c>
      <c r="S28" s="18" t="n">
        <v>28000</v>
      </c>
      <c r="T28" s="18" t="n">
        <v>28000</v>
      </c>
      <c r="U28" s="37" t="n">
        <v>28000</v>
      </c>
      <c r="V28" s="18" t="n">
        <v>38000</v>
      </c>
      <c r="W28" s="5" t="n"/>
      <c r="X28" s="10" t="n"/>
      <c r="Y28" s="10" t="n"/>
      <c r="Z28" s="11" t="n"/>
      <c r="AA28" s="10" t="n"/>
      <c r="AB28" s="10" t="n"/>
      <c r="AC28" s="10" t="n"/>
      <c r="AD28" s="10" t="n"/>
      <c r="AE28" s="11" t="n"/>
      <c r="AF28" s="10" t="n"/>
      <c r="AG28" s="10" t="n"/>
      <c r="AH28" s="10" t="n"/>
      <c r="AI28" s="10" t="n"/>
      <c r="AJ28" s="11" t="n"/>
    </row>
    <row r="29">
      <c r="A29" t="n">
        <v>1</v>
      </c>
      <c r="C29" t="inlineStr">
        <is>
          <t>이연법인세부채</t>
        </is>
      </c>
      <c r="E29" s="18" t="n">
        <v>20730.94</v>
      </c>
      <c r="F29" s="37" t="n">
        <v>20730.94</v>
      </c>
      <c r="J29" s="18" t="n">
        <v>21264.93</v>
      </c>
      <c r="K29" s="37" t="n">
        <v>21264.93</v>
      </c>
      <c r="O29" s="18" t="n">
        <v>25037.14</v>
      </c>
      <c r="P29" s="37" t="n">
        <v>25037.14</v>
      </c>
      <c r="R29" s="18" t="n">
        <v>25037.14</v>
      </c>
      <c r="S29" s="18" t="n">
        <v>25037.14</v>
      </c>
      <c r="T29" s="18" t="n">
        <v>24447.99</v>
      </c>
      <c r="U29" s="37" t="n">
        <v>24447.99</v>
      </c>
      <c r="V29" s="18" t="n">
        <v>24447.99</v>
      </c>
      <c r="W29" s="19" t="n">
        <v>25992.78</v>
      </c>
      <c r="X29" s="10" t="n"/>
      <c r="Y29" s="10" t="n"/>
      <c r="Z29" s="11" t="n"/>
      <c r="AA29" s="10" t="n"/>
      <c r="AB29" s="10" t="n"/>
      <c r="AC29" s="10" t="n"/>
      <c r="AD29" s="10" t="n"/>
      <c r="AE29" s="11" t="n"/>
      <c r="AF29" s="10" t="n"/>
      <c r="AG29" s="10" t="n"/>
      <c r="AH29" s="10" t="n"/>
      <c r="AI29" s="10" t="n"/>
      <c r="AJ29" s="11" t="n"/>
    </row>
    <row r="30">
      <c r="A30" t="n">
        <v>1</v>
      </c>
      <c r="C30" t="inlineStr">
        <is>
          <t>부채총계</t>
        </is>
      </c>
      <c r="E30" s="18" t="n">
        <v>98848.02</v>
      </c>
      <c r="F30" s="37" t="n">
        <v>98848.02</v>
      </c>
      <c r="J30" s="18" t="n">
        <v>95247.24000000001</v>
      </c>
      <c r="K30" s="37" t="n">
        <v>95247.24000000001</v>
      </c>
      <c r="O30" s="18" t="n">
        <v>98926.58</v>
      </c>
      <c r="P30" s="37" t="n">
        <v>98926.58</v>
      </c>
      <c r="R30" s="18" t="n">
        <v>98433.38</v>
      </c>
      <c r="S30" s="18" t="n">
        <v>93486.53999999999</v>
      </c>
      <c r="T30" s="18" t="n">
        <v>96071.67999999999</v>
      </c>
      <c r="U30" s="37" t="n">
        <v>96071.67999999999</v>
      </c>
      <c r="V30" s="18" t="n">
        <v>108595.29</v>
      </c>
      <c r="W30" s="19" t="n">
        <v>128822.21</v>
      </c>
      <c r="X30" s="10" t="n"/>
      <c r="Y30" s="10" t="n"/>
      <c r="Z30" s="11" t="n"/>
      <c r="AA30" s="10" t="n"/>
      <c r="AB30" s="10" t="n"/>
      <c r="AC30" s="10" t="n"/>
      <c r="AD30" s="10" t="n"/>
      <c r="AE30" s="11" t="n"/>
      <c r="AF30" s="10" t="n"/>
      <c r="AG30" s="10" t="n"/>
      <c r="AH30" s="10" t="n"/>
      <c r="AI30" s="10" t="n"/>
      <c r="AJ30" s="11" t="n"/>
    </row>
    <row r="31">
      <c r="A31" t="n">
        <v>1</v>
      </c>
      <c r="C31" t="inlineStr">
        <is>
          <t>자본금</t>
        </is>
      </c>
      <c r="E31" s="18" t="n">
        <v>15799.94</v>
      </c>
      <c r="F31" s="37" t="n">
        <v>15799.94</v>
      </c>
      <c r="J31" s="18" t="n">
        <v>17799.94</v>
      </c>
      <c r="K31" s="37" t="n">
        <v>17799.94</v>
      </c>
      <c r="O31" s="18" t="n">
        <v>17799.94</v>
      </c>
      <c r="P31" s="37" t="n">
        <v>17799.94</v>
      </c>
      <c r="R31" s="18" t="n">
        <v>19766.61</v>
      </c>
      <c r="S31" s="18" t="n">
        <v>19766.61</v>
      </c>
      <c r="T31" s="18" t="n">
        <v>22192.01</v>
      </c>
      <c r="U31" s="37" t="n">
        <v>22192.01</v>
      </c>
      <c r="V31" s="18" t="n">
        <v>22192.01</v>
      </c>
      <c r="W31" s="19" t="n">
        <v>23051.58</v>
      </c>
      <c r="X31" s="10" t="n"/>
      <c r="Y31" s="10" t="n"/>
      <c r="Z31" s="11" t="n"/>
      <c r="AA31" s="10" t="n"/>
      <c r="AB31" s="10" t="n"/>
      <c r="AC31" s="10" t="n"/>
      <c r="AD31" s="10" t="n"/>
      <c r="AE31" s="11" t="n"/>
      <c r="AF31" s="10" t="n"/>
      <c r="AG31" s="10" t="n"/>
      <c r="AH31" s="10" t="n"/>
      <c r="AI31" s="10" t="n"/>
      <c r="AJ31" s="11" t="n"/>
    </row>
    <row r="32">
      <c r="A32" t="n">
        <v>1</v>
      </c>
      <c r="C32" t="inlineStr">
        <is>
          <t>자본잉여금</t>
        </is>
      </c>
      <c r="E32" s="18" t="n">
        <v>40735.37</v>
      </c>
      <c r="F32" s="37" t="n">
        <v>40735.37</v>
      </c>
      <c r="J32" s="18" t="n">
        <v>44724.06</v>
      </c>
      <c r="K32" s="37" t="n">
        <v>44724.06</v>
      </c>
      <c r="O32" s="18" t="n">
        <v>44724.06</v>
      </c>
      <c r="P32" s="37" t="n">
        <v>44724.06</v>
      </c>
      <c r="R32" s="18" t="n">
        <v>48644.81</v>
      </c>
      <c r="S32" s="18" t="n">
        <v>48644.81</v>
      </c>
      <c r="T32" s="18" t="n">
        <v>57621.88</v>
      </c>
      <c r="U32" s="37" t="n">
        <v>57621.88</v>
      </c>
      <c r="V32" s="18" t="n">
        <v>57621.88</v>
      </c>
      <c r="W32" s="19" t="n">
        <v>66654.60000000001</v>
      </c>
      <c r="X32" s="10" t="n"/>
      <c r="Y32" s="10" t="n"/>
      <c r="Z32" s="11" t="n"/>
      <c r="AA32" s="10" t="n"/>
      <c r="AB32" s="10" t="n"/>
      <c r="AC32" s="10" t="n"/>
      <c r="AD32" s="10" t="n"/>
      <c r="AE32" s="11" t="n"/>
      <c r="AF32" s="10" t="n"/>
      <c r="AG32" s="10" t="n"/>
      <c r="AH32" s="10" t="n"/>
      <c r="AI32" s="10" t="n"/>
      <c r="AJ32" s="11" t="n"/>
    </row>
    <row r="33">
      <c r="A33" t="n">
        <v>1</v>
      </c>
      <c r="C33" t="inlineStr">
        <is>
          <t>기타자본</t>
        </is>
      </c>
      <c r="E33" s="18" t="n">
        <v>-46522.61</v>
      </c>
      <c r="F33" s="37" t="n">
        <v>-46522.61</v>
      </c>
      <c r="J33" s="18" t="n">
        <v>-46522.61</v>
      </c>
      <c r="K33" s="37" t="n">
        <v>-46522.61</v>
      </c>
      <c r="O33" s="18" t="n">
        <v>-46522.61</v>
      </c>
      <c r="P33" s="37" t="n">
        <v>-46522.61</v>
      </c>
      <c r="R33" s="18" t="n">
        <v>-46522.73</v>
      </c>
      <c r="S33" s="18" t="n">
        <v>-46522.73</v>
      </c>
      <c r="T33" s="18" t="n">
        <v>-46542.06</v>
      </c>
      <c r="U33" s="37" t="n">
        <v>-46542.06</v>
      </c>
      <c r="V33" s="18" t="n">
        <v>-46542.06</v>
      </c>
      <c r="W33" s="19" t="n">
        <v>-46542.06</v>
      </c>
      <c r="X33" s="10" t="n"/>
      <c r="Y33" s="10" t="n"/>
      <c r="Z33" s="11" t="n"/>
      <c r="AA33" s="10" t="n"/>
      <c r="AB33" s="10" t="n"/>
      <c r="AC33" s="10" t="n"/>
      <c r="AD33" s="10" t="n"/>
      <c r="AE33" s="11" t="n"/>
      <c r="AF33" s="10" t="n"/>
      <c r="AG33" s="10" t="n"/>
      <c r="AH33" s="10" t="n"/>
      <c r="AI33" s="10" t="n"/>
      <c r="AJ33" s="11" t="n"/>
    </row>
    <row r="34">
      <c r="A34" t="n">
        <v>1</v>
      </c>
      <c r="C34" t="inlineStr">
        <is>
          <t>기타포괄이익누계액</t>
        </is>
      </c>
      <c r="E34" s="18" t="n">
        <v>23623.57</v>
      </c>
      <c r="F34" s="37" t="n">
        <v>23623.57</v>
      </c>
      <c r="J34" s="18" t="n">
        <v>23623.57</v>
      </c>
      <c r="K34" s="37" t="n">
        <v>23623.57</v>
      </c>
      <c r="O34" s="18" t="n">
        <v>37370.56</v>
      </c>
      <c r="P34" s="37" t="n">
        <v>37370.56</v>
      </c>
      <c r="R34" s="18" t="n">
        <v>37370.56</v>
      </c>
      <c r="S34" s="18" t="n">
        <v>37370.56</v>
      </c>
      <c r="T34" s="18" t="n">
        <v>36835.57</v>
      </c>
      <c r="U34" s="37" t="n">
        <v>36835.57</v>
      </c>
      <c r="V34" s="18" t="n">
        <v>36835.57</v>
      </c>
      <c r="W34" s="19" t="n">
        <v>36835.57</v>
      </c>
      <c r="X34" s="10" t="n"/>
      <c r="Y34" s="10" t="n"/>
      <c r="Z34" s="11" t="n"/>
      <c r="AA34" s="10" t="n"/>
      <c r="AB34" s="10" t="n"/>
      <c r="AC34" s="10" t="n"/>
      <c r="AD34" s="10" t="n"/>
      <c r="AE34" s="11" t="n"/>
      <c r="AF34" s="10" t="n"/>
      <c r="AG34" s="10" t="n"/>
      <c r="AH34" s="10" t="n"/>
      <c r="AI34" s="10" t="n"/>
      <c r="AJ34" s="11" t="n"/>
    </row>
    <row r="35">
      <c r="A35" t="n">
        <v>1</v>
      </c>
      <c r="C35" t="inlineStr">
        <is>
          <t>이익잉여금</t>
        </is>
      </c>
      <c r="E35" s="18" t="n">
        <v>17016.77</v>
      </c>
      <c r="F35" s="37" t="n">
        <v>17016.77</v>
      </c>
      <c r="J35" s="18" t="n">
        <v>17314.12</v>
      </c>
      <c r="K35" s="37" t="n">
        <v>17314.12</v>
      </c>
      <c r="O35" s="18" t="n">
        <v>20448.96</v>
      </c>
      <c r="P35" s="37" t="n">
        <v>20448.96</v>
      </c>
      <c r="R35" s="18" t="n">
        <v>22232.35</v>
      </c>
      <c r="S35" s="18" t="n">
        <v>23473.35</v>
      </c>
      <c r="T35" s="18" t="n">
        <v>22596.33</v>
      </c>
      <c r="U35" s="37" t="n">
        <v>22596.33</v>
      </c>
      <c r="V35" s="18" t="n">
        <v>23961</v>
      </c>
      <c r="W35" s="19" t="n">
        <v>25048.93</v>
      </c>
      <c r="X35" s="10" t="n"/>
      <c r="Y35" s="10" t="n"/>
      <c r="Z35" s="11" t="n"/>
      <c r="AA35" s="10" t="n"/>
      <c r="AB35" s="10" t="n"/>
      <c r="AC35" s="10" t="n"/>
      <c r="AD35" s="10" t="n"/>
      <c r="AE35" s="11" t="n"/>
      <c r="AF35" s="10" t="n"/>
      <c r="AG35" s="10" t="n"/>
      <c r="AH35" s="10" t="n"/>
      <c r="AI35" s="10" t="n"/>
      <c r="AJ35" s="11" t="n"/>
    </row>
    <row r="36">
      <c r="A36" t="n">
        <v>1</v>
      </c>
      <c r="C36" t="inlineStr">
        <is>
          <t>자본총계</t>
        </is>
      </c>
      <c r="E36" s="18" t="n">
        <v>50653.04</v>
      </c>
      <c r="F36" s="37" t="n">
        <v>50653.04</v>
      </c>
      <c r="J36" s="18" t="n">
        <v>56939.08</v>
      </c>
      <c r="K36" s="37" t="n">
        <v>56939.08</v>
      </c>
      <c r="O36" s="18" t="n">
        <v>73820.91</v>
      </c>
      <c r="P36" s="37" t="n">
        <v>73820.91</v>
      </c>
      <c r="R36" s="18" t="n">
        <v>81491.59</v>
      </c>
      <c r="S36" s="18" t="n">
        <v>82732.59</v>
      </c>
      <c r="T36" s="18" t="n">
        <v>92703.74000000001</v>
      </c>
      <c r="U36" s="37" t="n">
        <v>92703.74000000001</v>
      </c>
      <c r="V36" s="18" t="n">
        <v>94068.41</v>
      </c>
      <c r="W36" s="19" t="n">
        <v>105048.62</v>
      </c>
      <c r="X36" s="10" t="n"/>
      <c r="Y36" s="10" t="n"/>
      <c r="Z36" s="11" t="n"/>
      <c r="AA36" s="10" t="n"/>
      <c r="AB36" s="10" t="n"/>
      <c r="AC36" s="10" t="n"/>
      <c r="AD36" s="10" t="n"/>
      <c r="AE36" s="11" t="n"/>
      <c r="AF36" s="10" t="n"/>
      <c r="AG36" s="10" t="n"/>
      <c r="AH36" s="10" t="n"/>
      <c r="AI36" s="10" t="n"/>
      <c r="AJ36" s="11" t="n"/>
    </row>
    <row r="37">
      <c r="A37" t="n">
        <v>1</v>
      </c>
      <c r="C37" t="inlineStr">
        <is>
          <t>부채와자본총계</t>
        </is>
      </c>
      <c r="E37" s="18" t="n">
        <v>149501.06</v>
      </c>
      <c r="F37" s="37" t="n">
        <v>149501.06</v>
      </c>
      <c r="J37" s="18" t="n">
        <v>152186.32</v>
      </c>
      <c r="K37" s="37" t="n">
        <v>152186.32</v>
      </c>
      <c r="O37" s="18" t="n">
        <v>172747.49</v>
      </c>
      <c r="P37" s="37" t="n">
        <v>172747.49</v>
      </c>
      <c r="R37" s="18" t="n">
        <v>179924.97</v>
      </c>
      <c r="S37" s="18" t="n">
        <v>176219.12</v>
      </c>
      <c r="T37" s="18" t="n">
        <v>188775.42</v>
      </c>
      <c r="U37" s="37" t="n">
        <v>188775.42</v>
      </c>
      <c r="V37" s="18" t="n">
        <v>202663.69</v>
      </c>
      <c r="W37" s="19" t="n">
        <v>233870.84</v>
      </c>
      <c r="X37" s="10" t="n"/>
      <c r="Y37" s="10" t="n"/>
      <c r="Z37" s="11" t="n"/>
      <c r="AA37" s="10" t="n"/>
      <c r="AB37" s="10" t="n"/>
      <c r="AC37" s="10" t="n"/>
      <c r="AD37" s="10" t="n"/>
      <c r="AE37" s="11" t="n"/>
      <c r="AF37" s="10" t="n"/>
      <c r="AG37" s="10" t="n"/>
      <c r="AH37" s="10" t="n"/>
      <c r="AI37" s="10" t="n"/>
      <c r="AJ37" s="11" t="n"/>
    </row>
    <row r="38">
      <c r="A38" t="n">
        <v>1</v>
      </c>
      <c r="C38" t="inlineStr">
        <is>
          <t>지배주주지분</t>
        </is>
      </c>
      <c r="E38" s="18" t="n">
        <v>50653.04</v>
      </c>
      <c r="F38" s="37" t="n">
        <v>50653.04</v>
      </c>
      <c r="J38" s="18" t="n">
        <v>56939.08</v>
      </c>
      <c r="K38" s="37" t="n">
        <v>56939.08</v>
      </c>
      <c r="O38" s="18" t="n">
        <v>73820.91</v>
      </c>
      <c r="P38" s="37" t="n">
        <v>73820.91</v>
      </c>
      <c r="R38" s="18" t="n">
        <v>81491.59</v>
      </c>
      <c r="S38" s="18" t="n">
        <v>82732.59</v>
      </c>
      <c r="T38" s="18" t="n">
        <v>92703.74000000001</v>
      </c>
      <c r="U38" s="37" t="n">
        <v>92703.74000000001</v>
      </c>
      <c r="V38" s="18" t="n">
        <v>94068.41</v>
      </c>
      <c r="W38" s="19" t="n">
        <v>105048.62</v>
      </c>
      <c r="X38" s="10" t="n"/>
      <c r="Y38" s="10" t="n"/>
      <c r="Z38" s="11" t="n"/>
      <c r="AA38" s="10" t="n"/>
      <c r="AB38" s="10" t="n"/>
      <c r="AC38" s="10" t="n"/>
      <c r="AD38" s="10" t="n"/>
      <c r="AE38" s="11" t="n"/>
      <c r="AF38" s="10" t="n"/>
      <c r="AG38" s="10" t="n"/>
      <c r="AH38" s="10" t="n"/>
      <c r="AI38" s="10" t="n"/>
      <c r="AJ38" s="11" t="n"/>
    </row>
    <row r="39">
      <c r="A39" t="n">
        <v>1</v>
      </c>
      <c r="C39" t="inlineStr">
        <is>
          <t>총차입금</t>
        </is>
      </c>
      <c r="E39" s="18" t="n">
        <v>67265.91</v>
      </c>
      <c r="F39" s="37" t="n">
        <v>67265.91</v>
      </c>
      <c r="J39" s="18" t="n">
        <v>64293.4</v>
      </c>
      <c r="K39" s="37" t="n">
        <v>64293.4</v>
      </c>
      <c r="O39" s="18" t="n">
        <v>63888.26</v>
      </c>
      <c r="P39" s="37" t="n">
        <v>63888.26</v>
      </c>
      <c r="R39" s="18" t="n">
        <v>63156.35</v>
      </c>
      <c r="S39" s="18" t="n">
        <v>60208.32</v>
      </c>
      <c r="T39" s="18" t="n">
        <v>63916.27</v>
      </c>
      <c r="U39" s="37" t="n">
        <v>63916.27</v>
      </c>
      <c r="V39" s="18" t="n">
        <v>74392.39999999999</v>
      </c>
      <c r="W39" s="19" t="n">
        <v>86372.02</v>
      </c>
      <c r="X39" s="10" t="n"/>
      <c r="Y39" s="10" t="n"/>
      <c r="Z39" s="11" t="n"/>
      <c r="AA39" s="10" t="n"/>
      <c r="AB39" s="10" t="n"/>
      <c r="AC39" s="10" t="n"/>
      <c r="AD39" s="10" t="n"/>
      <c r="AE39" s="11" t="n"/>
      <c r="AF39" s="10" t="n"/>
      <c r="AG39" s="10" t="n"/>
      <c r="AH39" s="10" t="n"/>
      <c r="AI39" s="10" t="n"/>
      <c r="AJ39" s="11" t="n"/>
    </row>
    <row r="40">
      <c r="A40" t="n">
        <v>1</v>
      </c>
      <c r="C40" t="inlineStr">
        <is>
          <t>순차입금</t>
        </is>
      </c>
      <c r="E40" s="18" t="n">
        <v>66259.92</v>
      </c>
      <c r="F40" s="37" t="n">
        <v>66259.92</v>
      </c>
      <c r="J40" s="18" t="n">
        <v>64160.34</v>
      </c>
      <c r="K40" s="37" t="n">
        <v>64160.34</v>
      </c>
      <c r="O40" s="18" t="n">
        <v>62266.31</v>
      </c>
      <c r="P40" s="37" t="n">
        <v>62266.31</v>
      </c>
      <c r="R40" s="18" t="n">
        <v>60148.21</v>
      </c>
      <c r="S40" s="18" t="n">
        <v>59187.79</v>
      </c>
      <c r="T40" s="18" t="n">
        <v>52314.41</v>
      </c>
      <c r="U40" s="37" t="n">
        <v>52314.41</v>
      </c>
      <c r="V40" s="18" t="n">
        <v>58163.36</v>
      </c>
      <c r="W40" s="19" t="n">
        <v>47431.11</v>
      </c>
      <c r="X40" s="10" t="n"/>
      <c r="Y40" s="10" t="n"/>
      <c r="Z40" s="11" t="n"/>
      <c r="AA40" s="10" t="n"/>
      <c r="AB40" s="10" t="n"/>
      <c r="AC40" s="10" t="n"/>
      <c r="AD40" s="10" t="n"/>
      <c r="AE40" s="11" t="n"/>
      <c r="AF40" s="10" t="n"/>
      <c r="AG40" s="10" t="n"/>
      <c r="AH40" s="10" t="n"/>
      <c r="AI40" s="10" t="n"/>
      <c r="AJ40" s="11" t="n"/>
    </row>
    <row r="41">
      <c r="A41" t="n">
        <v>1</v>
      </c>
      <c r="C41" t="inlineStr">
        <is>
          <t>이자발생자산</t>
        </is>
      </c>
      <c r="E41" s="18" t="n">
        <v>1011.6</v>
      </c>
      <c r="F41" s="37" t="n">
        <v>1011.6</v>
      </c>
      <c r="J41" s="18" t="n">
        <v>138.67</v>
      </c>
      <c r="K41" s="37" t="n">
        <v>138.67</v>
      </c>
      <c r="O41" s="18" t="n">
        <v>1627.56</v>
      </c>
      <c r="P41" s="37" t="n">
        <v>1627.56</v>
      </c>
      <c r="R41" s="18" t="n">
        <v>3013.75</v>
      </c>
      <c r="S41" s="18" t="n">
        <v>1026.14</v>
      </c>
      <c r="T41" s="18" t="n">
        <v>11607.47</v>
      </c>
      <c r="U41" s="37" t="n">
        <v>11607.47</v>
      </c>
      <c r="V41" s="18" t="n">
        <v>16234.65</v>
      </c>
      <c r="W41" s="19" t="n">
        <v>38946.52</v>
      </c>
      <c r="X41" s="10" t="n"/>
      <c r="Y41" s="10" t="n"/>
      <c r="Z41" s="11" t="n"/>
      <c r="AA41" s="10" t="n"/>
      <c r="AB41" s="10" t="n"/>
      <c r="AC41" s="10" t="n"/>
      <c r="AD41" s="10" t="n"/>
      <c r="AE41" s="11" t="n"/>
      <c r="AF41" s="10" t="n"/>
      <c r="AG41" s="10" t="n"/>
      <c r="AH41" s="10" t="n"/>
      <c r="AI41" s="10" t="n"/>
      <c r="AJ41" s="11" t="n"/>
    </row>
    <row r="42">
      <c r="A42" t="n">
        <v>1</v>
      </c>
      <c r="C42" t="inlineStr">
        <is>
          <t>비유동리스부채</t>
        </is>
      </c>
      <c r="F42" s="9" t="n"/>
      <c r="J42" s="18" t="n">
        <v>13.63</v>
      </c>
      <c r="K42" s="37" t="n">
        <v>13.63</v>
      </c>
      <c r="O42" s="18" t="n">
        <v>6.35</v>
      </c>
      <c r="P42" s="37" t="n">
        <v>6.35</v>
      </c>
      <c r="R42" s="18" t="n">
        <v>2.4</v>
      </c>
      <c r="S42" s="18" t="n">
        <v>0</v>
      </c>
      <c r="T42" s="18" t="n">
        <v>3.5</v>
      </c>
      <c r="U42" s="37" t="n">
        <v>3.5</v>
      </c>
      <c r="V42" s="18" t="n">
        <v>2.21</v>
      </c>
      <c r="W42" s="19" t="n">
        <v>0.89</v>
      </c>
      <c r="X42" s="10" t="n"/>
      <c r="Y42" s="10" t="n"/>
      <c r="Z42" s="11" t="n"/>
      <c r="AA42" s="10" t="n"/>
      <c r="AB42" s="10" t="n"/>
      <c r="AC42" s="10" t="n"/>
      <c r="AD42" s="10" t="n"/>
      <c r="AE42" s="11" t="n"/>
      <c r="AF42" s="10" t="n"/>
      <c r="AG42" s="10" t="n"/>
      <c r="AH42" s="10" t="n"/>
      <c r="AI42" s="10" t="n"/>
      <c r="AJ42" s="11" t="n"/>
    </row>
    <row r="43">
      <c r="A43" t="n">
        <v>1</v>
      </c>
      <c r="C43" t="inlineStr">
        <is>
          <t>장기금융부채</t>
        </is>
      </c>
      <c r="F43" s="9" t="n"/>
      <c r="J43" s="18" t="n">
        <v>13.63</v>
      </c>
      <c r="K43" s="37" t="n">
        <v>13.63</v>
      </c>
      <c r="O43" s="18" t="n">
        <v>6.35</v>
      </c>
      <c r="P43" s="37" t="n">
        <v>6.35</v>
      </c>
      <c r="R43" s="18" t="n">
        <v>2.4</v>
      </c>
      <c r="S43" s="18" t="n">
        <v>0</v>
      </c>
      <c r="T43" s="18" t="n">
        <v>3.5</v>
      </c>
      <c r="U43" s="37" t="n">
        <v>3.5</v>
      </c>
      <c r="V43" s="18" t="n">
        <v>2.21</v>
      </c>
      <c r="W43" s="19" t="n">
        <v>5604.21</v>
      </c>
      <c r="X43" s="10" t="n"/>
      <c r="Y43" s="10" t="n"/>
      <c r="Z43" s="11" t="n"/>
      <c r="AA43" s="10" t="n"/>
      <c r="AB43" s="10" t="n"/>
      <c r="AC43" s="10" t="n"/>
      <c r="AD43" s="10" t="n"/>
      <c r="AE43" s="11" t="n"/>
      <c r="AF43" s="10" t="n"/>
      <c r="AG43" s="10" t="n"/>
      <c r="AH43" s="10" t="n"/>
      <c r="AI43" s="10" t="n"/>
      <c r="AJ43" s="11" t="n"/>
    </row>
    <row r="44">
      <c r="A44" t="n">
        <v>1</v>
      </c>
      <c r="C44" t="inlineStr">
        <is>
          <t>무형자산</t>
        </is>
      </c>
      <c r="F44" s="9" t="n"/>
      <c r="K44" s="9" t="n"/>
      <c r="O44" s="18" t="n">
        <v>81.58</v>
      </c>
      <c r="P44" s="37" t="n">
        <v>81.58</v>
      </c>
      <c r="R44" s="18" t="n">
        <v>72.68000000000001</v>
      </c>
      <c r="S44" s="18" t="n">
        <v>68.23</v>
      </c>
      <c r="T44" s="18" t="n">
        <v>63.78</v>
      </c>
      <c r="U44" s="37" t="n">
        <v>63.78</v>
      </c>
      <c r="V44" s="18" t="n">
        <v>59.33</v>
      </c>
      <c r="W44" s="19" t="n">
        <v>66.48</v>
      </c>
      <c r="X44" s="10" t="n"/>
      <c r="Y44" s="10" t="n"/>
      <c r="Z44" s="11" t="n"/>
      <c r="AA44" s="10" t="n"/>
      <c r="AB44" s="10" t="n"/>
      <c r="AC44" s="10" t="n"/>
      <c r="AD44" s="10" t="n"/>
      <c r="AE44" s="11" t="n"/>
      <c r="AF44" s="10" t="n"/>
      <c r="AG44" s="10" t="n"/>
      <c r="AH44" s="10" t="n"/>
      <c r="AI44" s="10" t="n"/>
      <c r="AJ44" s="11" t="n"/>
    </row>
    <row r="45">
      <c r="A45" t="n">
        <v>1</v>
      </c>
      <c r="C45" t="inlineStr">
        <is>
          <t>기타유동금융부채</t>
        </is>
      </c>
      <c r="F45" s="9" t="n"/>
      <c r="K45" s="9" t="n"/>
      <c r="O45" s="18" t="n">
        <v>70.98999999999999</v>
      </c>
      <c r="P45" s="37" t="n">
        <v>70.98999999999999</v>
      </c>
      <c r="R45" s="18" t="n">
        <v>0</v>
      </c>
      <c r="S45" s="18" t="n">
        <v>0</v>
      </c>
      <c r="T45" s="18" t="n">
        <v>0</v>
      </c>
      <c r="U45" s="37" t="n">
        <v>0</v>
      </c>
      <c r="W45" s="5" t="n"/>
      <c r="X45" s="10" t="n"/>
      <c r="Y45" s="10" t="n"/>
      <c r="Z45" s="11" t="n"/>
      <c r="AA45" s="10" t="n"/>
      <c r="AB45" s="10" t="n"/>
      <c r="AC45" s="10" t="n"/>
      <c r="AD45" s="10" t="n"/>
      <c r="AE45" s="11" t="n"/>
      <c r="AF45" s="10" t="n"/>
      <c r="AG45" s="10" t="n"/>
      <c r="AH45" s="10" t="n"/>
      <c r="AI45" s="10" t="n"/>
      <c r="AJ45" s="11" t="n"/>
    </row>
    <row r="46">
      <c r="A46" t="n">
        <v>1</v>
      </c>
      <c r="C46" t="inlineStr">
        <is>
          <t>당기법인세부채(미지급법인세)</t>
        </is>
      </c>
      <c r="F46" s="9" t="n"/>
      <c r="K46" s="9" t="n"/>
      <c r="O46" s="18" t="n">
        <v>6.25</v>
      </c>
      <c r="P46" s="37" t="n">
        <v>6.25</v>
      </c>
      <c r="R46" s="18" t="n">
        <v>0</v>
      </c>
      <c r="S46" s="18" t="n">
        <v>0</v>
      </c>
      <c r="T46" s="18" t="n">
        <v>2.12</v>
      </c>
      <c r="U46" s="37" t="n">
        <v>2.12</v>
      </c>
      <c r="V46" s="18" t="n">
        <v>2.12</v>
      </c>
      <c r="W46" s="19" t="n">
        <v>0</v>
      </c>
      <c r="X46" s="10" t="n"/>
      <c r="Y46" s="10" t="n"/>
      <c r="Z46" s="11" t="n"/>
      <c r="AA46" s="10" t="n"/>
      <c r="AB46" s="10" t="n"/>
      <c r="AC46" s="10" t="n"/>
      <c r="AD46" s="10" t="n"/>
      <c r="AE46" s="11" t="n"/>
      <c r="AF46" s="10" t="n"/>
      <c r="AG46" s="10" t="n"/>
      <c r="AH46" s="10" t="n"/>
      <c r="AI46" s="10" t="n"/>
      <c r="AJ46" s="11" t="n"/>
    </row>
    <row r="47">
      <c r="A47" t="n">
        <v>1</v>
      </c>
      <c r="C47" t="inlineStr">
        <is>
          <t>기타비유동부채</t>
        </is>
      </c>
      <c r="F47" s="9" t="n"/>
      <c r="K47" s="9" t="n"/>
      <c r="O47" s="18" t="n">
        <v>15.91</v>
      </c>
      <c r="P47" s="37" t="n">
        <v>15.91</v>
      </c>
      <c r="R47" s="18" t="n">
        <v>28.92</v>
      </c>
      <c r="S47" s="18" t="n">
        <v>42.29</v>
      </c>
      <c r="T47" s="18" t="n">
        <v>54.54</v>
      </c>
      <c r="U47" s="37" t="n">
        <v>54.54</v>
      </c>
      <c r="V47" s="18" t="n">
        <v>59.8</v>
      </c>
      <c r="W47" s="19" t="n">
        <v>65.33</v>
      </c>
      <c r="X47" s="10" t="n"/>
      <c r="Y47" s="10" t="n"/>
      <c r="Z47" s="11" t="n"/>
      <c r="AA47" s="10" t="n"/>
      <c r="AB47" s="10" t="n"/>
      <c r="AC47" s="10" t="n"/>
      <c r="AD47" s="10" t="n"/>
      <c r="AE47" s="11" t="n"/>
      <c r="AF47" s="10" t="n"/>
      <c r="AG47" s="10" t="n"/>
      <c r="AH47" s="10" t="n"/>
      <c r="AI47" s="10" t="n"/>
      <c r="AJ47" s="11" t="n"/>
    </row>
    <row r="48">
      <c r="A48" t="n">
        <v>1</v>
      </c>
      <c r="C48" t="inlineStr">
        <is>
          <t>사채</t>
        </is>
      </c>
      <c r="F48" s="9" t="n"/>
      <c r="K48" s="9" t="n"/>
      <c r="P48" s="9" t="n"/>
      <c r="T48" s="18" t="n">
        <v>1366.27</v>
      </c>
      <c r="U48" s="37" t="n">
        <v>1366.27</v>
      </c>
      <c r="V48" s="18" t="n">
        <v>1392.4</v>
      </c>
      <c r="W48" s="19" t="n">
        <v>18372.02</v>
      </c>
      <c r="X48" s="10" t="n"/>
      <c r="Y48" s="10" t="n"/>
      <c r="Z48" s="11" t="n"/>
      <c r="AA48" s="10" t="n"/>
      <c r="AB48" s="10" t="n"/>
      <c r="AC48" s="10" t="n"/>
      <c r="AD48" s="10" t="n"/>
      <c r="AE48" s="11" t="n"/>
      <c r="AF48" s="10" t="n"/>
      <c r="AG48" s="10" t="n"/>
      <c r="AH48" s="10" t="n"/>
      <c r="AI48" s="10" t="n"/>
      <c r="AJ48" s="11" t="n"/>
    </row>
    <row r="49">
      <c r="A49" t="n">
        <v>1</v>
      </c>
      <c r="C49" t="inlineStr">
        <is>
          <t>단기투자자산(공정가치)</t>
        </is>
      </c>
      <c r="F49" s="9" t="n"/>
      <c r="K49" s="9" t="n"/>
      <c r="P49" s="9" t="n"/>
      <c r="U49" s="9" t="n"/>
      <c r="W49" s="19" t="n">
        <v>3272.11</v>
      </c>
      <c r="X49" s="10" t="n"/>
      <c r="Y49" s="10" t="n"/>
      <c r="Z49" s="11" t="n"/>
      <c r="AA49" s="10" t="n"/>
      <c r="AB49" s="10" t="n"/>
      <c r="AC49" s="10" t="n"/>
      <c r="AD49" s="10" t="n"/>
      <c r="AE49" s="11" t="n"/>
      <c r="AF49" s="10" t="n"/>
      <c r="AG49" s="10" t="n"/>
      <c r="AH49" s="10" t="n"/>
      <c r="AI49" s="10" t="n"/>
      <c r="AJ49" s="11" t="n"/>
    </row>
    <row r="50">
      <c r="A50" t="n">
        <v>1</v>
      </c>
      <c r="C50" t="inlineStr">
        <is>
          <t>기타비유동금융부채</t>
        </is>
      </c>
      <c r="F50" s="9" t="n"/>
      <c r="K50" s="9" t="n"/>
      <c r="P50" s="9" t="n"/>
      <c r="U50" s="9" t="n"/>
      <c r="W50" s="19" t="n">
        <v>5603.32</v>
      </c>
      <c r="X50" s="10" t="n"/>
      <c r="Y50" s="10" t="n"/>
      <c r="Z50" s="11" t="n"/>
      <c r="AA50" s="10" t="n"/>
      <c r="AB50" s="10" t="n"/>
      <c r="AC50" s="10" t="n"/>
      <c r="AD50" s="10" t="n"/>
      <c r="AE50" s="11" t="n"/>
      <c r="AF50" s="10" t="n"/>
      <c r="AG50" s="10" t="n"/>
      <c r="AH50" s="10" t="n"/>
      <c r="AI50" s="10" t="n"/>
      <c r="AJ50" s="11" t="n"/>
    </row>
    <row r="51">
      <c r="A51" t="n">
        <v>1</v>
      </c>
      <c r="C51" t="inlineStr">
        <is>
          <t>매출액(수익)</t>
        </is>
      </c>
      <c r="F51" s="9" t="n"/>
      <c r="K51" s="9" t="n"/>
      <c r="O51" s="18" t="n">
        <v>18354.27</v>
      </c>
      <c r="P51" s="9" t="n"/>
      <c r="R51" s="18" t="n">
        <v>22565.99</v>
      </c>
      <c r="S51" s="18" t="n">
        <v>17550.48</v>
      </c>
      <c r="T51" s="18" t="n">
        <v>16010.87</v>
      </c>
      <c r="U51" s="9" t="n"/>
      <c r="V51" s="18" t="n">
        <v>18258.7</v>
      </c>
      <c r="W51" s="19" t="n">
        <v>22258.66</v>
      </c>
      <c r="X51" s="10" t="n"/>
      <c r="Y51" s="10" t="n"/>
      <c r="Z51" s="11" t="n"/>
      <c r="AA51" s="10" t="n"/>
      <c r="AB51" s="10" t="n"/>
      <c r="AC51" s="10" t="n"/>
      <c r="AD51" s="10" t="n"/>
      <c r="AE51" s="11" t="n"/>
      <c r="AF51" s="10" t="n"/>
      <c r="AG51" s="10" t="n"/>
      <c r="AH51" s="10" t="n"/>
      <c r="AI51" s="10" t="n"/>
      <c r="AJ51" s="11" t="n"/>
    </row>
    <row r="52">
      <c r="A52" t="n">
        <v>1</v>
      </c>
      <c r="C52" t="inlineStr">
        <is>
          <t>매출원가</t>
        </is>
      </c>
      <c r="F52" s="9" t="n"/>
      <c r="K52" s="9" t="n"/>
      <c r="O52" s="18" t="n">
        <v>17211.41</v>
      </c>
      <c r="P52" s="9" t="n"/>
      <c r="R52" s="18" t="n">
        <v>19126.64</v>
      </c>
      <c r="S52" s="18" t="n">
        <v>15538.94</v>
      </c>
      <c r="T52" s="18" t="n">
        <v>13541.9</v>
      </c>
      <c r="U52" s="9" t="n"/>
      <c r="V52" s="18" t="n">
        <v>15520.56</v>
      </c>
      <c r="W52" s="19" t="n">
        <v>18557.24</v>
      </c>
      <c r="X52" s="10" t="n"/>
      <c r="Y52" s="10" t="n"/>
      <c r="Z52" s="11" t="n"/>
      <c r="AA52" s="10" t="n"/>
      <c r="AB52" s="10" t="n"/>
      <c r="AC52" s="10" t="n"/>
      <c r="AD52" s="10" t="n"/>
      <c r="AE52" s="11" t="n"/>
      <c r="AF52" s="10" t="n"/>
      <c r="AG52" s="10" t="n"/>
      <c r="AH52" s="10" t="n"/>
      <c r="AI52" s="10" t="n"/>
      <c r="AJ52" s="11" t="n"/>
    </row>
    <row r="53">
      <c r="A53" t="n">
        <v>1</v>
      </c>
      <c r="C53" t="inlineStr">
        <is>
          <t>매출총이익</t>
        </is>
      </c>
      <c r="F53" s="9" t="n"/>
      <c r="K53" s="9" t="n"/>
      <c r="O53" s="18" t="n">
        <v>1142.86</v>
      </c>
      <c r="P53" s="9" t="n"/>
      <c r="R53" s="18" t="n">
        <v>3439.35</v>
      </c>
      <c r="S53" s="18" t="n">
        <v>2011.54</v>
      </c>
      <c r="T53" s="18" t="n">
        <v>2468.97</v>
      </c>
      <c r="U53" s="9" t="n"/>
      <c r="V53" s="18" t="n">
        <v>2738.14</v>
      </c>
      <c r="W53" s="19" t="n">
        <v>3701.42</v>
      </c>
      <c r="X53" s="10" t="n"/>
      <c r="Y53" s="10" t="n"/>
      <c r="Z53" s="11" t="n"/>
      <c r="AA53" s="10" t="n"/>
      <c r="AB53" s="10" t="n"/>
      <c r="AC53" s="10" t="n"/>
      <c r="AD53" s="10" t="n"/>
      <c r="AE53" s="11" t="n"/>
      <c r="AF53" s="10" t="n"/>
      <c r="AG53" s="10" t="n"/>
      <c r="AH53" s="10" t="n"/>
      <c r="AI53" s="10" t="n"/>
      <c r="AJ53" s="11" t="n"/>
    </row>
    <row r="54">
      <c r="A54" t="n">
        <v>1</v>
      </c>
      <c r="C54" t="inlineStr">
        <is>
          <t>판관비</t>
        </is>
      </c>
      <c r="F54" s="9" t="n"/>
      <c r="K54" s="9" t="n"/>
      <c r="O54" s="18" t="n">
        <v>1053.41</v>
      </c>
      <c r="P54" s="9" t="n"/>
      <c r="R54" s="18" t="n">
        <v>995.0700000000001</v>
      </c>
      <c r="S54" s="18" t="n">
        <v>1085.89</v>
      </c>
      <c r="T54" s="18" t="n">
        <v>1011.28</v>
      </c>
      <c r="U54" s="9" t="n"/>
      <c r="V54" s="18" t="n">
        <v>1135.84</v>
      </c>
      <c r="W54" s="19" t="n">
        <v>1094.9</v>
      </c>
      <c r="X54" s="10" t="n"/>
      <c r="Y54" s="10" t="n"/>
      <c r="Z54" s="11" t="n"/>
      <c r="AA54" s="10" t="n"/>
      <c r="AB54" s="10" t="n"/>
      <c r="AC54" s="10" t="n"/>
      <c r="AD54" s="10" t="n"/>
      <c r="AE54" s="11" t="n"/>
      <c r="AF54" s="10" t="n"/>
      <c r="AG54" s="10" t="n"/>
      <c r="AH54" s="10" t="n"/>
      <c r="AI54" s="10" t="n"/>
      <c r="AJ54" s="11" t="n"/>
    </row>
    <row r="55">
      <c r="A55" t="n">
        <v>1</v>
      </c>
      <c r="C55" t="inlineStr">
        <is>
          <t>영업이익</t>
        </is>
      </c>
      <c r="F55" s="9" t="n"/>
      <c r="K55" s="9" t="n"/>
      <c r="O55" s="18" t="n">
        <v>89.45</v>
      </c>
      <c r="P55" s="9" t="n"/>
      <c r="R55" s="18" t="n">
        <v>2444.28</v>
      </c>
      <c r="S55" s="18" t="n">
        <v>925.65</v>
      </c>
      <c r="T55" s="18" t="n">
        <v>1457.69</v>
      </c>
      <c r="U55" s="9" t="n"/>
      <c r="V55" s="18" t="n">
        <v>1602.3</v>
      </c>
      <c r="W55" s="19" t="n">
        <v>2606.52</v>
      </c>
      <c r="X55" s="10" t="n"/>
      <c r="Y55" s="10" t="n"/>
      <c r="Z55" s="11" t="n"/>
      <c r="AA55" s="10" t="n"/>
      <c r="AB55" s="10" t="n"/>
      <c r="AC55" s="10" t="n"/>
      <c r="AD55" s="10" t="n"/>
      <c r="AE55" s="11" t="n"/>
      <c r="AF55" s="10" t="n"/>
      <c r="AG55" s="10" t="n"/>
      <c r="AH55" s="10" t="n"/>
      <c r="AI55" s="10" t="n"/>
      <c r="AJ55" s="11" t="n"/>
    </row>
    <row r="56">
      <c r="A56" t="n">
        <v>1</v>
      </c>
      <c r="C56" t="inlineStr">
        <is>
          <t>영업외손익</t>
        </is>
      </c>
      <c r="F56" s="9" t="n"/>
      <c r="K56" s="9" t="n"/>
      <c r="O56" s="18" t="n">
        <v>-562.9299999999999</v>
      </c>
      <c r="P56" s="9" t="n"/>
      <c r="R56" s="18" t="n">
        <v>-796.16</v>
      </c>
      <c r="S56" s="18" t="n">
        <v>-431.89</v>
      </c>
      <c r="T56" s="18" t="n">
        <v>-3410.3</v>
      </c>
      <c r="U56" s="9" t="n"/>
      <c r="V56" s="18" t="n">
        <v>-380.14</v>
      </c>
      <c r="W56" s="19" t="n">
        <v>-1273.25</v>
      </c>
      <c r="X56" s="10" t="n"/>
      <c r="Y56" s="10" t="n"/>
      <c r="Z56" s="11" t="n"/>
      <c r="AA56" s="10" t="n"/>
      <c r="AB56" s="10" t="n"/>
      <c r="AC56" s="10" t="n"/>
      <c r="AD56" s="10" t="n"/>
      <c r="AE56" s="11" t="n"/>
      <c r="AF56" s="10" t="n"/>
      <c r="AG56" s="10" t="n"/>
      <c r="AH56" s="10" t="n"/>
      <c r="AI56" s="10" t="n"/>
      <c r="AJ56" s="11" t="n"/>
    </row>
    <row r="57">
      <c r="A57" t="n">
        <v>1</v>
      </c>
      <c r="C57" t="inlineStr">
        <is>
          <t>금융수익</t>
        </is>
      </c>
      <c r="F57" s="9" t="n"/>
      <c r="K57" s="9" t="n"/>
      <c r="O57" s="18" t="n">
        <v>2.28</v>
      </c>
      <c r="P57" s="9" t="n"/>
      <c r="R57" s="18" t="n">
        <v>15.78</v>
      </c>
      <c r="S57" s="18" t="n">
        <v>4.09</v>
      </c>
      <c r="T57" s="18" t="n">
        <v>10.05</v>
      </c>
      <c r="U57" s="9" t="n"/>
      <c r="V57" s="18" t="n">
        <v>76.04000000000001</v>
      </c>
      <c r="W57" s="19" t="n">
        <v>184.51</v>
      </c>
      <c r="X57" s="10" t="n"/>
      <c r="Y57" s="10" t="n"/>
      <c r="Z57" s="11" t="n"/>
      <c r="AA57" s="10" t="n"/>
      <c r="AB57" s="10" t="n"/>
      <c r="AC57" s="10" t="n"/>
      <c r="AD57" s="10" t="n"/>
      <c r="AE57" s="11" t="n"/>
      <c r="AF57" s="10" t="n"/>
      <c r="AG57" s="10" t="n"/>
      <c r="AH57" s="10" t="n"/>
      <c r="AI57" s="10" t="n"/>
      <c r="AJ57" s="11" t="n"/>
    </row>
    <row r="58">
      <c r="A58" t="n">
        <v>1</v>
      </c>
      <c r="C58" t="inlineStr">
        <is>
          <t>금융비용</t>
        </is>
      </c>
      <c r="F58" s="9" t="n"/>
      <c r="K58" s="9" t="n"/>
      <c r="O58" s="18" t="n">
        <v>804.83</v>
      </c>
      <c r="P58" s="9" t="n"/>
      <c r="R58" s="18" t="n">
        <v>642.14</v>
      </c>
      <c r="S58" s="18" t="n">
        <v>580.7</v>
      </c>
      <c r="T58" s="18" t="n">
        <v>567.59</v>
      </c>
      <c r="U58" s="9" t="n"/>
      <c r="V58" s="18" t="n">
        <v>673.85</v>
      </c>
      <c r="W58" s="19" t="n">
        <v>1516.53</v>
      </c>
      <c r="X58" s="10" t="n"/>
      <c r="Y58" s="10" t="n"/>
      <c r="Z58" s="11" t="n"/>
      <c r="AA58" s="10" t="n"/>
      <c r="AB58" s="10" t="n"/>
      <c r="AC58" s="10" t="n"/>
      <c r="AD58" s="10" t="n"/>
      <c r="AE58" s="11" t="n"/>
      <c r="AF58" s="10" t="n"/>
      <c r="AG58" s="10" t="n"/>
      <c r="AH58" s="10" t="n"/>
      <c r="AI58" s="10" t="n"/>
      <c r="AJ58" s="11" t="n"/>
    </row>
    <row r="59">
      <c r="A59" t="n">
        <v>1</v>
      </c>
      <c r="C59" t="inlineStr">
        <is>
          <t>기타영업외수익</t>
        </is>
      </c>
      <c r="F59" s="9" t="n"/>
      <c r="K59" s="9" t="n"/>
      <c r="O59" s="18" t="n">
        <v>252.2</v>
      </c>
      <c r="P59" s="9" t="n"/>
      <c r="R59" s="18" t="n">
        <v>52.51</v>
      </c>
      <c r="S59" s="18" t="n">
        <v>140</v>
      </c>
      <c r="T59" s="18" t="n">
        <v>169.8</v>
      </c>
      <c r="U59" s="9" t="n"/>
      <c r="V59" s="18" t="n">
        <v>271.8</v>
      </c>
      <c r="W59" s="19" t="n">
        <v>118.73</v>
      </c>
      <c r="X59" s="10" t="n"/>
      <c r="Y59" s="10" t="n"/>
      <c r="Z59" s="11" t="n"/>
      <c r="AA59" s="10" t="n"/>
      <c r="AB59" s="10" t="n"/>
      <c r="AC59" s="10" t="n"/>
      <c r="AD59" s="10" t="n"/>
      <c r="AE59" s="11" t="n"/>
      <c r="AF59" s="10" t="n"/>
      <c r="AG59" s="10" t="n"/>
      <c r="AH59" s="10" t="n"/>
      <c r="AI59" s="10" t="n"/>
      <c r="AJ59" s="11" t="n"/>
    </row>
    <row r="60">
      <c r="A60" t="n">
        <v>1</v>
      </c>
      <c r="C60" t="inlineStr">
        <is>
          <t>기타영업외비용</t>
        </is>
      </c>
      <c r="F60" s="9" t="n"/>
      <c r="K60" s="9" t="n"/>
      <c r="O60" s="18" t="n">
        <v>12.57</v>
      </c>
      <c r="P60" s="9" t="n"/>
      <c r="R60" s="18" t="n">
        <v>222.31</v>
      </c>
      <c r="S60" s="18" t="n">
        <v>-4.72</v>
      </c>
      <c r="T60" s="18" t="n">
        <v>3022.56</v>
      </c>
      <c r="U60" s="9" t="n"/>
      <c r="V60" s="18" t="n">
        <v>54.13</v>
      </c>
      <c r="W60" s="19" t="n">
        <v>59.97</v>
      </c>
      <c r="X60" s="10" t="n"/>
      <c r="Y60" s="10" t="n"/>
      <c r="Z60" s="11" t="n"/>
      <c r="AA60" s="10" t="n"/>
      <c r="AB60" s="10" t="n"/>
      <c r="AC60" s="10" t="n"/>
      <c r="AD60" s="10" t="n"/>
      <c r="AE60" s="11" t="n"/>
      <c r="AF60" s="10" t="n"/>
      <c r="AG60" s="10" t="n"/>
      <c r="AH60" s="10" t="n"/>
      <c r="AI60" s="10" t="n"/>
      <c r="AJ60" s="11" t="n"/>
    </row>
    <row r="61">
      <c r="A61" t="n">
        <v>1</v>
      </c>
      <c r="C61" t="inlineStr">
        <is>
          <t>법인세비용차감전계속사업이익</t>
        </is>
      </c>
      <c r="F61" s="9" t="n"/>
      <c r="K61" s="9" t="n"/>
      <c r="O61" s="18" t="n">
        <v>-473.49</v>
      </c>
      <c r="P61" s="9" t="n"/>
      <c r="R61" s="18" t="n">
        <v>1648.12</v>
      </c>
      <c r="S61" s="18" t="n">
        <v>493.76</v>
      </c>
      <c r="T61" s="18" t="n">
        <v>-1952.6</v>
      </c>
      <c r="U61" s="9" t="n"/>
      <c r="V61" s="18" t="n">
        <v>1222.16</v>
      </c>
      <c r="W61" s="19" t="n">
        <v>1333.27</v>
      </c>
      <c r="X61" s="10" t="n"/>
      <c r="Y61" s="10" t="n"/>
      <c r="Z61" s="11" t="n"/>
      <c r="AA61" s="10" t="n"/>
      <c r="AB61" s="10" t="n"/>
      <c r="AC61" s="10" t="n"/>
      <c r="AD61" s="10" t="n"/>
      <c r="AE61" s="11" t="n"/>
      <c r="AF61" s="10" t="n"/>
      <c r="AG61" s="10" t="n"/>
      <c r="AH61" s="10" t="n"/>
      <c r="AI61" s="10" t="n"/>
      <c r="AJ61" s="11" t="n"/>
    </row>
    <row r="62">
      <c r="A62" t="n">
        <v>1</v>
      </c>
      <c r="C62" t="inlineStr">
        <is>
          <t>법인세비용</t>
        </is>
      </c>
      <c r="F62" s="9" t="n"/>
      <c r="K62" s="9" t="n"/>
      <c r="O62" s="18" t="n">
        <v>-1145.37</v>
      </c>
      <c r="P62" s="9" t="n"/>
      <c r="R62" s="18" t="n">
        <v>25.95</v>
      </c>
      <c r="S62" s="18" t="n">
        <v>-156.17</v>
      </c>
      <c r="T62" s="18" t="n">
        <v>-1083.52</v>
      </c>
      <c r="U62" s="9" t="n"/>
      <c r="V62" s="18" t="n">
        <v>-31.35</v>
      </c>
      <c r="W62" s="19" t="n">
        <v>53.97</v>
      </c>
      <c r="X62" s="10" t="n"/>
      <c r="Y62" s="10" t="n"/>
      <c r="Z62" s="11" t="n"/>
      <c r="AA62" s="10" t="n"/>
      <c r="AB62" s="10" t="n"/>
      <c r="AC62" s="10" t="n"/>
      <c r="AD62" s="10" t="n"/>
      <c r="AE62" s="11" t="n"/>
      <c r="AF62" s="10" t="n"/>
      <c r="AG62" s="10" t="n"/>
      <c r="AH62" s="10" t="n"/>
      <c r="AI62" s="10" t="n"/>
      <c r="AJ62" s="11" t="n"/>
    </row>
    <row r="63">
      <c r="A63" t="n">
        <v>1</v>
      </c>
      <c r="C63" t="inlineStr">
        <is>
          <t>당기순이익</t>
        </is>
      </c>
      <c r="F63" s="9" t="n"/>
      <c r="K63" s="9" t="n"/>
      <c r="O63" s="18" t="n">
        <v>671.9</v>
      </c>
      <c r="P63" s="9" t="n"/>
      <c r="R63" s="18" t="n">
        <v>1622.17</v>
      </c>
      <c r="S63" s="18" t="n">
        <v>649.9299999999999</v>
      </c>
      <c r="T63" s="18" t="n">
        <v>-869.08</v>
      </c>
      <c r="U63" s="9" t="n"/>
      <c r="V63" s="18" t="n">
        <v>1253.51</v>
      </c>
      <c r="W63" s="19" t="n">
        <v>1279.3</v>
      </c>
      <c r="X63" s="10" t="n"/>
      <c r="Y63" s="10" t="n"/>
      <c r="Z63" s="11" t="n"/>
      <c r="AA63" s="10" t="n"/>
      <c r="AB63" s="10" t="n"/>
      <c r="AC63" s="10" t="n"/>
      <c r="AD63" s="10" t="n"/>
      <c r="AE63" s="11" t="n"/>
      <c r="AF63" s="10" t="n"/>
      <c r="AG63" s="10" t="n"/>
      <c r="AH63" s="10" t="n"/>
      <c r="AI63" s="10" t="n"/>
      <c r="AJ63" s="11" t="n"/>
    </row>
    <row r="64">
      <c r="A64" t="n">
        <v>1</v>
      </c>
      <c r="C64" t="inlineStr">
        <is>
          <t>총포괄손익</t>
        </is>
      </c>
      <c r="F64" s="9" t="n"/>
      <c r="K64" s="9" t="n"/>
      <c r="O64" s="18" t="n">
        <v>14352.11</v>
      </c>
      <c r="P64" s="9" t="n"/>
      <c r="R64" s="18" t="n">
        <v>1523.95</v>
      </c>
      <c r="S64" s="18" t="n">
        <v>1240.99</v>
      </c>
      <c r="T64" s="18" t="n">
        <v>-1412</v>
      </c>
      <c r="U64" s="9" t="n"/>
      <c r="V64" s="18" t="n">
        <v>1364.66</v>
      </c>
      <c r="W64" s="19" t="n">
        <v>1087.94</v>
      </c>
      <c r="X64" s="10" t="n"/>
      <c r="Y64" s="10" t="n"/>
      <c r="Z64" s="11" t="n"/>
      <c r="AA64" s="10" t="n"/>
      <c r="AB64" s="10" t="n"/>
      <c r="AC64" s="10" t="n"/>
      <c r="AD64" s="10" t="n"/>
      <c r="AE64" s="11" t="n"/>
      <c r="AF64" s="10" t="n"/>
      <c r="AG64" s="10" t="n"/>
      <c r="AH64" s="10" t="n"/>
      <c r="AI64" s="10" t="n"/>
      <c r="AJ64" s="11" t="n"/>
    </row>
    <row r="65">
      <c r="A65" t="n">
        <v>1</v>
      </c>
      <c r="C65" t="inlineStr">
        <is>
          <t>금융손익</t>
        </is>
      </c>
      <c r="F65" s="9" t="n"/>
      <c r="K65" s="9" t="n"/>
      <c r="O65" s="18" t="n">
        <v>-802.55</v>
      </c>
      <c r="P65" s="9" t="n"/>
      <c r="R65" s="18" t="n">
        <v>-626.36</v>
      </c>
      <c r="S65" s="18" t="n">
        <v>-576.61</v>
      </c>
      <c r="T65" s="18" t="n">
        <v>-557.54</v>
      </c>
      <c r="U65" s="9" t="n"/>
      <c r="V65" s="18" t="n">
        <v>-597.8099999999999</v>
      </c>
      <c r="W65" s="19" t="n">
        <v>-1332.02</v>
      </c>
      <c r="X65" s="10" t="n"/>
      <c r="Y65" s="10" t="n"/>
      <c r="Z65" s="11" t="n"/>
      <c r="AA65" s="10" t="n"/>
      <c r="AB65" s="10" t="n"/>
      <c r="AC65" s="10" t="n"/>
      <c r="AD65" s="10" t="n"/>
      <c r="AE65" s="11" t="n"/>
      <c r="AF65" s="10" t="n"/>
      <c r="AG65" s="10" t="n"/>
      <c r="AH65" s="10" t="n"/>
      <c r="AI65" s="10" t="n"/>
      <c r="AJ65" s="11" t="n"/>
    </row>
    <row r="66">
      <c r="A66" t="n">
        <v>1</v>
      </c>
      <c r="C66" t="inlineStr">
        <is>
          <t>기타영업외손익</t>
        </is>
      </c>
      <c r="F66" s="9" t="n"/>
      <c r="K66" s="9" t="n"/>
      <c r="O66" s="18" t="n">
        <v>239.63</v>
      </c>
      <c r="P66" s="9" t="n"/>
      <c r="R66" s="18" t="n">
        <v>-169.8</v>
      </c>
      <c r="S66" s="18" t="n">
        <v>144.72</v>
      </c>
      <c r="T66" s="18" t="n">
        <v>-2852.76</v>
      </c>
      <c r="U66" s="9" t="n"/>
      <c r="V66" s="18" t="n">
        <v>217.67</v>
      </c>
      <c r="W66" s="19" t="n">
        <v>58.76</v>
      </c>
      <c r="X66" s="10" t="n"/>
      <c r="Y66" s="10" t="n"/>
      <c r="Z66" s="11" t="n"/>
      <c r="AA66" s="10" t="n"/>
      <c r="AB66" s="10" t="n"/>
      <c r="AC66" s="10" t="n"/>
      <c r="AD66" s="10" t="n"/>
      <c r="AE66" s="11" t="n"/>
      <c r="AF66" s="10" t="n"/>
      <c r="AG66" s="10" t="n"/>
      <c r="AH66" s="10" t="n"/>
      <c r="AI66" s="10" t="n"/>
      <c r="AJ66" s="11" t="n"/>
    </row>
    <row r="67">
      <c r="A67" t="n">
        <v>1</v>
      </c>
      <c r="C67" t="inlineStr">
        <is>
          <t>(지배주주지분)당기순이익</t>
        </is>
      </c>
      <c r="F67" s="9" t="n"/>
      <c r="K67" s="9" t="n"/>
      <c r="O67" s="18" t="n">
        <v>671.9</v>
      </c>
      <c r="P67" s="9" t="n"/>
      <c r="R67" s="18" t="n">
        <v>1622.17</v>
      </c>
      <c r="S67" s="18" t="n">
        <v>649.9299999999999</v>
      </c>
      <c r="T67" s="18" t="n">
        <v>-869.08</v>
      </c>
      <c r="U67" s="9" t="n"/>
      <c r="V67" s="18" t="n">
        <v>1253.51</v>
      </c>
      <c r="W67" s="19" t="n">
        <v>1279.3</v>
      </c>
      <c r="X67" s="10" t="n"/>
      <c r="Y67" s="10" t="n"/>
      <c r="Z67" s="11" t="n"/>
      <c r="AA67" s="10" t="n"/>
      <c r="AB67" s="10" t="n"/>
      <c r="AC67" s="10" t="n"/>
      <c r="AD67" s="10" t="n"/>
      <c r="AE67" s="11" t="n"/>
      <c r="AF67" s="10" t="n"/>
      <c r="AG67" s="10" t="n"/>
      <c r="AH67" s="10" t="n"/>
      <c r="AI67" s="10" t="n"/>
      <c r="AJ67" s="11" t="n"/>
    </row>
    <row r="68">
      <c r="A68" t="n">
        <v>1</v>
      </c>
      <c r="C68" t="inlineStr">
        <is>
          <t>계속사업이익</t>
        </is>
      </c>
      <c r="F68" s="9" t="n"/>
      <c r="K68" s="9" t="n"/>
      <c r="O68" s="18" t="n">
        <v>671.9</v>
      </c>
      <c r="P68" s="9" t="n"/>
      <c r="R68" s="18" t="n">
        <v>1622.17</v>
      </c>
      <c r="S68" s="18" t="n">
        <v>649.9299999999999</v>
      </c>
      <c r="T68" s="18" t="n">
        <v>-869.08</v>
      </c>
      <c r="U68" s="9" t="n"/>
      <c r="V68" s="18" t="n">
        <v>1253.51</v>
      </c>
      <c r="W68" s="19" t="n">
        <v>1279.3</v>
      </c>
      <c r="X68" s="10" t="n"/>
      <c r="Y68" s="10" t="n"/>
      <c r="Z68" s="11" t="n"/>
      <c r="AA68" s="10" t="n"/>
      <c r="AB68" s="10" t="n"/>
      <c r="AC68" s="10" t="n"/>
      <c r="AD68" s="10" t="n"/>
      <c r="AE68" s="11" t="n"/>
      <c r="AF68" s="10" t="n"/>
      <c r="AG68" s="10" t="n"/>
      <c r="AH68" s="10" t="n"/>
      <c r="AI68" s="10" t="n"/>
      <c r="AJ68" s="11" t="n"/>
    </row>
    <row r="69">
      <c r="A69" t="n">
        <v>1</v>
      </c>
      <c r="C69" t="inlineStr">
        <is>
          <t>이자수익</t>
        </is>
      </c>
      <c r="F69" s="9" t="n"/>
      <c r="K69" s="9" t="n"/>
      <c r="O69" s="18" t="n">
        <v>2.28</v>
      </c>
      <c r="P69" s="9" t="n"/>
      <c r="R69" s="18" t="n">
        <v>2.34</v>
      </c>
      <c r="S69" s="18" t="n">
        <v>4.09</v>
      </c>
      <c r="T69" s="18" t="n">
        <v>10.05</v>
      </c>
      <c r="U69" s="9" t="n"/>
      <c r="V69" s="18" t="n">
        <v>76.04000000000001</v>
      </c>
      <c r="W69" s="19" t="n">
        <v>118.74</v>
      </c>
      <c r="X69" s="10" t="n"/>
      <c r="Y69" s="10" t="n"/>
      <c r="Z69" s="11" t="n"/>
      <c r="AA69" s="10" t="n"/>
      <c r="AB69" s="10" t="n"/>
      <c r="AC69" s="10" t="n"/>
      <c r="AD69" s="10" t="n"/>
      <c r="AE69" s="11" t="n"/>
      <c r="AF69" s="10" t="n"/>
      <c r="AG69" s="10" t="n"/>
      <c r="AH69" s="10" t="n"/>
      <c r="AI69" s="10" t="n"/>
      <c r="AJ69" s="11" t="n"/>
    </row>
    <row r="70">
      <c r="A70" t="n">
        <v>1</v>
      </c>
      <c r="C70" t="inlineStr">
        <is>
          <t>이자비용</t>
        </is>
      </c>
      <c r="F70" s="9" t="n"/>
      <c r="K70" s="9" t="n"/>
      <c r="O70" s="18" t="n">
        <v>720.42</v>
      </c>
      <c r="P70" s="9" t="n"/>
      <c r="R70" s="18" t="n">
        <v>641.5599999999999</v>
      </c>
      <c r="S70" s="18" t="n">
        <v>580.45</v>
      </c>
      <c r="T70" s="18" t="n">
        <v>567.21</v>
      </c>
      <c r="U70" s="9" t="n"/>
      <c r="V70" s="18" t="n">
        <v>673.54</v>
      </c>
      <c r="W70" s="19" t="n">
        <v>816.09</v>
      </c>
      <c r="X70" s="10" t="n"/>
      <c r="Y70" s="10" t="n"/>
      <c r="Z70" s="11" t="n"/>
      <c r="AA70" s="10" t="n"/>
      <c r="AB70" s="10" t="n"/>
      <c r="AC70" s="10" t="n"/>
      <c r="AD70" s="10" t="n"/>
      <c r="AE70" s="11" t="n"/>
      <c r="AF70" s="10" t="n"/>
      <c r="AG70" s="10" t="n"/>
      <c r="AH70" s="10" t="n"/>
      <c r="AI70" s="10" t="n"/>
      <c r="AJ70" s="11" t="n"/>
    </row>
    <row r="71">
      <c r="A71" t="n">
        <v>1</v>
      </c>
      <c r="C71" t="inlineStr">
        <is>
          <t>파생상품손실</t>
        </is>
      </c>
      <c r="F71" s="9" t="n"/>
      <c r="K71" s="9" t="n"/>
      <c r="O71" s="18" t="n">
        <v>84.02</v>
      </c>
      <c r="P71" s="9" t="n"/>
      <c r="R71" s="18" t="n">
        <v>0.28</v>
      </c>
      <c r="S71" s="18" t="n">
        <v>0</v>
      </c>
      <c r="T71" s="18" t="n">
        <v>0</v>
      </c>
      <c r="U71" s="9" t="n"/>
      <c r="W71" s="19" t="n">
        <v>700.21</v>
      </c>
      <c r="X71" s="10" t="n"/>
      <c r="Y71" s="10" t="n"/>
      <c r="Z71" s="11" t="n"/>
      <c r="AA71" s="10" t="n"/>
      <c r="AB71" s="10" t="n"/>
      <c r="AC71" s="10" t="n"/>
      <c r="AD71" s="10" t="n"/>
      <c r="AE71" s="11" t="n"/>
      <c r="AF71" s="10" t="n"/>
      <c r="AG71" s="10" t="n"/>
      <c r="AH71" s="10" t="n"/>
      <c r="AI71" s="10" t="n"/>
      <c r="AJ71" s="11" t="n"/>
    </row>
    <row r="72">
      <c r="A72" t="n">
        <v>1</v>
      </c>
      <c r="C72" t="inlineStr">
        <is>
          <t>이자손익</t>
        </is>
      </c>
      <c r="F72" s="9" t="n"/>
      <c r="K72" s="9" t="n"/>
      <c r="O72" s="18" t="n">
        <v>-718.14</v>
      </c>
      <c r="P72" s="9" t="n"/>
      <c r="R72" s="18" t="n">
        <v>-639.22</v>
      </c>
      <c r="S72" s="18" t="n">
        <v>-576.36</v>
      </c>
      <c r="T72" s="18" t="n">
        <v>-557.16</v>
      </c>
      <c r="U72" s="9" t="n"/>
      <c r="V72" s="18" t="n">
        <v>-597.5</v>
      </c>
      <c r="W72" s="19" t="n">
        <v>-697.35</v>
      </c>
      <c r="X72" s="10" t="n"/>
      <c r="Y72" s="10" t="n"/>
      <c r="Z72" s="11" t="n"/>
      <c r="AA72" s="10" t="n"/>
      <c r="AB72" s="10" t="n"/>
      <c r="AC72" s="10" t="n"/>
      <c r="AD72" s="10" t="n"/>
      <c r="AE72" s="11" t="n"/>
      <c r="AF72" s="10" t="n"/>
      <c r="AG72" s="10" t="n"/>
      <c r="AH72" s="10" t="n"/>
      <c r="AI72" s="10" t="n"/>
      <c r="AJ72" s="11" t="n"/>
    </row>
    <row r="73">
      <c r="A73" t="n">
        <v>1</v>
      </c>
      <c r="C73" t="inlineStr">
        <is>
          <t>파생상품이익</t>
        </is>
      </c>
      <c r="F73" s="9" t="n"/>
      <c r="K73" s="9" t="n"/>
      <c r="P73" s="9" t="n"/>
      <c r="U73" s="9" t="n"/>
      <c r="W73" s="19" t="n">
        <v>65.77</v>
      </c>
      <c r="X73" s="10" t="n"/>
      <c r="Y73" s="10" t="n"/>
      <c r="Z73" s="11" t="n"/>
      <c r="AA73" s="10" t="n"/>
      <c r="AB73" s="10" t="n"/>
      <c r="AC73" s="10" t="n"/>
      <c r="AD73" s="10" t="n"/>
      <c r="AE73" s="11" t="n"/>
      <c r="AF73" s="10" t="n"/>
      <c r="AG73" s="10" t="n"/>
      <c r="AH73" s="10" t="n"/>
      <c r="AI73" s="10" t="n"/>
      <c r="AJ73" s="11" t="n"/>
    </row>
    <row r="74">
      <c r="A74" t="n">
        <v>1</v>
      </c>
      <c r="C74" t="inlineStr">
        <is>
          <t>영업활동으로인한현금흐름</t>
        </is>
      </c>
      <c r="F74" s="9" t="n"/>
      <c r="K74" s="9" t="n"/>
      <c r="O74" s="18" t="n">
        <v>-204.86</v>
      </c>
      <c r="P74" s="9" t="n"/>
      <c r="R74" s="18" t="n">
        <v>-597.6</v>
      </c>
      <c r="S74" s="18" t="n">
        <v>2068.01</v>
      </c>
      <c r="T74" s="18" t="n">
        <v>-1825.78</v>
      </c>
      <c r="U74" s="9" t="n"/>
      <c r="V74" s="18" t="n">
        <v>-3032.25</v>
      </c>
      <c r="W74" s="19" t="n">
        <v>837.84</v>
      </c>
      <c r="X74" s="10" t="n"/>
      <c r="Y74" s="10" t="n"/>
      <c r="Z74" s="11" t="n"/>
      <c r="AA74" s="10" t="n"/>
      <c r="AB74" s="10" t="n"/>
      <c r="AC74" s="10" t="n"/>
      <c r="AD74" s="10" t="n"/>
      <c r="AE74" s="11" t="n"/>
      <c r="AF74" s="10" t="n"/>
      <c r="AG74" s="10" t="n"/>
      <c r="AH74" s="10" t="n"/>
      <c r="AI74" s="10" t="n"/>
      <c r="AJ74" s="11" t="n"/>
    </row>
    <row r="75">
      <c r="A75" t="n">
        <v>1</v>
      </c>
      <c r="C75" t="inlineStr">
        <is>
          <t>이자수취(CF)</t>
        </is>
      </c>
      <c r="F75" s="9" t="n"/>
      <c r="K75" s="9" t="n"/>
      <c r="O75" s="18" t="n">
        <v>0.2</v>
      </c>
      <c r="P75" s="9" t="n"/>
      <c r="R75" s="18" t="n">
        <v>3.12</v>
      </c>
      <c r="S75" s="18" t="n">
        <v>1.84</v>
      </c>
      <c r="T75" s="18" t="n">
        <v>0.92</v>
      </c>
      <c r="U75" s="9" t="n"/>
      <c r="V75" s="18" t="n">
        <v>71.98999999999999</v>
      </c>
      <c r="W75" s="19" t="n">
        <v>101.16</v>
      </c>
      <c r="X75" s="10" t="n"/>
      <c r="Y75" s="10" t="n"/>
      <c r="Z75" s="11" t="n"/>
      <c r="AA75" s="10" t="n"/>
      <c r="AB75" s="10" t="n"/>
      <c r="AC75" s="10" t="n"/>
      <c r="AD75" s="10" t="n"/>
      <c r="AE75" s="11" t="n"/>
      <c r="AF75" s="10" t="n"/>
      <c r="AG75" s="10" t="n"/>
      <c r="AH75" s="10" t="n"/>
      <c r="AI75" s="10" t="n"/>
      <c r="AJ75" s="11" t="n"/>
    </row>
    <row r="76">
      <c r="A76" t="n">
        <v>1</v>
      </c>
      <c r="C76" t="inlineStr">
        <is>
          <t>법인세납부(CF)</t>
        </is>
      </c>
      <c r="F76" s="9" t="n"/>
      <c r="K76" s="9" t="n"/>
      <c r="O76" s="18" t="n">
        <v>-0.03</v>
      </c>
      <c r="P76" s="9" t="n"/>
      <c r="R76" s="18" t="n">
        <v>39.03</v>
      </c>
      <c r="S76" s="18" t="n">
        <v>-21.96</v>
      </c>
      <c r="T76" s="18" t="n">
        <v>-21.35</v>
      </c>
      <c r="U76" s="9" t="n"/>
      <c r="V76" s="18" t="n">
        <v>-11.09</v>
      </c>
      <c r="W76" s="19" t="n">
        <v>36.77</v>
      </c>
      <c r="X76" s="10" t="n"/>
      <c r="Y76" s="10" t="n"/>
      <c r="Z76" s="11" t="n"/>
      <c r="AA76" s="10" t="n"/>
      <c r="AB76" s="10" t="n"/>
      <c r="AC76" s="10" t="n"/>
      <c r="AD76" s="10" t="n"/>
      <c r="AE76" s="11" t="n"/>
      <c r="AF76" s="10" t="n"/>
      <c r="AG76" s="10" t="n"/>
      <c r="AH76" s="10" t="n"/>
      <c r="AI76" s="10" t="n"/>
      <c r="AJ76" s="11" t="n"/>
    </row>
    <row r="77">
      <c r="A77" t="n">
        <v>1</v>
      </c>
      <c r="C77" t="inlineStr">
        <is>
          <t>투자활동으로인한현금흐름</t>
        </is>
      </c>
      <c r="F77" s="9" t="n"/>
      <c r="K77" s="9" t="n"/>
      <c r="O77" s="18" t="n">
        <v>-1438.3</v>
      </c>
      <c r="P77" s="9" t="n"/>
      <c r="R77" s="18" t="n">
        <v>3458.6</v>
      </c>
      <c r="S77" s="18" t="n">
        <v>-1106.32</v>
      </c>
      <c r="T77" s="18" t="n">
        <v>10108.92</v>
      </c>
      <c r="U77" s="9" t="n"/>
      <c r="V77" s="18" t="n">
        <v>-2787.13</v>
      </c>
      <c r="W77" s="19" t="n">
        <v>-3114.01</v>
      </c>
      <c r="X77" s="10" t="n"/>
      <c r="Y77" s="10" t="n"/>
      <c r="Z77" s="11" t="n"/>
      <c r="AA77" s="10" t="n"/>
      <c r="AB77" s="10" t="n"/>
      <c r="AC77" s="10" t="n"/>
      <c r="AD77" s="10" t="n"/>
      <c r="AE77" s="11" t="n"/>
      <c r="AF77" s="10" t="n"/>
      <c r="AG77" s="10" t="n"/>
      <c r="AH77" s="10" t="n"/>
      <c r="AI77" s="10" t="n"/>
      <c r="AJ77" s="11" t="n"/>
    </row>
    <row r="78">
      <c r="A78" t="n">
        <v>1</v>
      </c>
      <c r="C78" t="inlineStr">
        <is>
          <t>재무활동으로인한현금흐름</t>
        </is>
      </c>
      <c r="F78" s="9" t="n"/>
      <c r="K78" s="9" t="n"/>
      <c r="O78" s="18" t="n">
        <v>1959.05</v>
      </c>
      <c r="P78" s="9" t="n"/>
      <c r="R78" s="18" t="n">
        <v>-646.48</v>
      </c>
      <c r="S78" s="18" t="n">
        <v>-2950.13</v>
      </c>
      <c r="T78" s="18" t="n">
        <v>2298.3</v>
      </c>
      <c r="U78" s="9" t="n"/>
      <c r="V78" s="18" t="n">
        <v>10446.55</v>
      </c>
      <c r="W78" s="19" t="n">
        <v>24989.1</v>
      </c>
      <c r="X78" s="10" t="n"/>
      <c r="Y78" s="10" t="n"/>
      <c r="Z78" s="11" t="n"/>
      <c r="AA78" s="10" t="n"/>
      <c r="AB78" s="10" t="n"/>
      <c r="AC78" s="10" t="n"/>
      <c r="AD78" s="10" t="n"/>
      <c r="AE78" s="11" t="n"/>
      <c r="AF78" s="10" t="n"/>
      <c r="AG78" s="10" t="n"/>
      <c r="AH78" s="10" t="n"/>
      <c r="AI78" s="10" t="n"/>
      <c r="AJ78" s="11" t="n"/>
    </row>
    <row r="79">
      <c r="A79" t="n">
        <v>1</v>
      </c>
      <c r="C79" t="inlineStr">
        <is>
          <t>단기차입금의감소</t>
        </is>
      </c>
      <c r="F79" s="9" t="n"/>
      <c r="K79" s="9" t="n"/>
      <c r="O79" s="18" t="n">
        <v>0</v>
      </c>
      <c r="P79" s="9" t="n"/>
      <c r="R79" s="18" t="n">
        <v>480.02</v>
      </c>
      <c r="S79" s="18" t="n">
        <v>18000</v>
      </c>
      <c r="U79" s="9" t="n"/>
      <c r="V79" s="18" t="n">
        <v>0</v>
      </c>
      <c r="W79" s="19" t="n">
        <v>0</v>
      </c>
      <c r="X79" s="10" t="n"/>
      <c r="Y79" s="10" t="n"/>
      <c r="Z79" s="11" t="n"/>
      <c r="AA79" s="10" t="n"/>
      <c r="AB79" s="10" t="n"/>
      <c r="AC79" s="10" t="n"/>
      <c r="AD79" s="10" t="n"/>
      <c r="AE79" s="11" t="n"/>
      <c r="AF79" s="10" t="n"/>
      <c r="AG79" s="10" t="n"/>
      <c r="AH79" s="10" t="n"/>
      <c r="AI79" s="10" t="n"/>
      <c r="AJ79" s="11" t="n"/>
    </row>
    <row r="80">
      <c r="A80" t="n">
        <v>1</v>
      </c>
      <c r="C80" t="inlineStr">
        <is>
          <t>현금및현금성자산의증감</t>
        </is>
      </c>
      <c r="F80" s="9" t="n"/>
      <c r="K80" s="9" t="n"/>
      <c r="O80" s="18" t="n">
        <v>328.1</v>
      </c>
      <c r="P80" s="9" t="n"/>
      <c r="R80" s="18" t="n">
        <v>2214.31</v>
      </c>
      <c r="S80" s="18" t="n">
        <v>-1987.6</v>
      </c>
      <c r="T80" s="18" t="n">
        <v>10581.33</v>
      </c>
      <c r="U80" s="9" t="n"/>
      <c r="V80" s="18" t="n">
        <v>4627.18</v>
      </c>
      <c r="W80" s="19" t="n">
        <v>22711.87</v>
      </c>
      <c r="X80" s="10" t="n"/>
      <c r="Y80" s="10" t="n"/>
      <c r="Z80" s="11" t="n"/>
      <c r="AA80" s="10" t="n"/>
      <c r="AB80" s="10" t="n"/>
      <c r="AC80" s="10" t="n"/>
      <c r="AD80" s="10" t="n"/>
      <c r="AE80" s="11" t="n"/>
      <c r="AF80" s="10" t="n"/>
      <c r="AG80" s="10" t="n"/>
      <c r="AH80" s="10" t="n"/>
      <c r="AI80" s="10" t="n"/>
      <c r="AJ80" s="11" t="n"/>
    </row>
    <row r="81">
      <c r="A81" t="n">
        <v>1</v>
      </c>
      <c r="C81" t="inlineStr">
        <is>
          <t>기말현금및현금성자산</t>
        </is>
      </c>
      <c r="F81" s="9" t="n"/>
      <c r="K81" s="9" t="n"/>
      <c r="O81" s="18" t="n">
        <v>328.1</v>
      </c>
      <c r="P81" s="9" t="n"/>
      <c r="R81" s="18" t="n">
        <v>2214.31</v>
      </c>
      <c r="S81" s="18" t="n">
        <v>-1987.61</v>
      </c>
      <c r="T81" s="18" t="n">
        <v>10581.33</v>
      </c>
      <c r="U81" s="9" t="n"/>
      <c r="V81" s="18" t="n">
        <v>16229.04</v>
      </c>
      <c r="W81" s="19" t="n">
        <v>22711.87</v>
      </c>
      <c r="X81" s="10" t="n"/>
      <c r="Y81" s="10" t="n"/>
      <c r="Z81" s="11" t="n"/>
      <c r="AA81" s="10" t="n"/>
      <c r="AB81" s="10" t="n"/>
      <c r="AC81" s="10" t="n"/>
      <c r="AD81" s="10" t="n"/>
      <c r="AE81" s="11" t="n"/>
      <c r="AF81" s="10" t="n"/>
      <c r="AG81" s="10" t="n"/>
      <c r="AH81" s="10" t="n"/>
      <c r="AI81" s="10" t="n"/>
      <c r="AJ81" s="11" t="n"/>
    </row>
    <row r="82">
      <c r="A82" t="n">
        <v>1</v>
      </c>
      <c r="C82" t="inlineStr">
        <is>
          <t>단기차입금의증가</t>
        </is>
      </c>
      <c r="F82" s="9" t="n"/>
      <c r="K82" s="9" t="n"/>
      <c r="P82" s="9" t="n"/>
      <c r="R82" s="18" t="n">
        <v>1000</v>
      </c>
      <c r="S82" s="18" t="n">
        <v>0</v>
      </c>
      <c r="T82" s="18" t="n">
        <v>1000</v>
      </c>
      <c r="U82" s="9" t="n"/>
      <c r="V82" s="18" t="n">
        <v>3000</v>
      </c>
      <c r="W82" s="19" t="n">
        <v>0</v>
      </c>
      <c r="X82" s="10" t="n"/>
      <c r="Y82" s="10" t="n"/>
      <c r="Z82" s="11" t="n"/>
      <c r="AA82" s="10" t="n"/>
      <c r="AB82" s="10" t="n"/>
      <c r="AC82" s="10" t="n"/>
      <c r="AD82" s="10" t="n"/>
      <c r="AE82" s="11" t="n"/>
      <c r="AF82" s="10" t="n"/>
      <c r="AG82" s="10" t="n"/>
      <c r="AH82" s="10" t="n"/>
      <c r="AI82" s="10" t="n"/>
      <c r="AJ82" s="11" t="n"/>
    </row>
    <row r="83">
      <c r="A83" t="n">
        <v>1</v>
      </c>
      <c r="C83" t="inlineStr">
        <is>
          <t>유형자산의감소</t>
        </is>
      </c>
      <c r="F83" s="9" t="n"/>
      <c r="K83" s="9" t="n"/>
      <c r="P83" s="9" t="n"/>
      <c r="S83" s="18" t="n">
        <v>0.85</v>
      </c>
      <c r="T83" s="18" t="n">
        <v>43.04</v>
      </c>
      <c r="U83" s="9" t="n"/>
      <c r="V83" s="18" t="n">
        <v>62.46</v>
      </c>
      <c r="W83" s="5" t="n"/>
      <c r="X83" s="10" t="n"/>
      <c r="Y83" s="10" t="n"/>
      <c r="Z83" s="11" t="n"/>
      <c r="AA83" s="10" t="n"/>
      <c r="AB83" s="10" t="n"/>
      <c r="AC83" s="10" t="n"/>
      <c r="AD83" s="10" t="n"/>
      <c r="AE83" s="11" t="n"/>
      <c r="AF83" s="10" t="n"/>
      <c r="AG83" s="10" t="n"/>
      <c r="AH83" s="10" t="n"/>
      <c r="AI83" s="10" t="n"/>
      <c r="AJ83" s="11" t="n"/>
    </row>
    <row r="84">
      <c r="A84" t="n">
        <v>1</v>
      </c>
      <c r="C84" t="inlineStr">
        <is>
          <t>자기주식의취득</t>
        </is>
      </c>
      <c r="F84" s="9" t="n"/>
      <c r="K84" s="9" t="n"/>
      <c r="P84" s="9" t="n"/>
      <c r="S84" s="18" t="n">
        <v>0</v>
      </c>
      <c r="T84" s="18" t="n">
        <v>19.32</v>
      </c>
      <c r="U84" s="9" t="n"/>
      <c r="W84" s="5" t="n"/>
      <c r="X84" s="10" t="n"/>
      <c r="Y84" s="10" t="n"/>
      <c r="Z84" s="11" t="n"/>
      <c r="AA84" s="10" t="n"/>
      <c r="AB84" s="10" t="n"/>
      <c r="AC84" s="10" t="n"/>
      <c r="AD84" s="10" t="n"/>
      <c r="AE84" s="11" t="n"/>
      <c r="AF84" s="10" t="n"/>
      <c r="AG84" s="10" t="n"/>
      <c r="AH84" s="10" t="n"/>
      <c r="AI84" s="10" t="n"/>
      <c r="AJ84" s="11" t="n"/>
    </row>
    <row r="85">
      <c r="A85" t="n">
        <v>1</v>
      </c>
      <c r="C85" t="inlineStr">
        <is>
          <t>유형자산의증가</t>
        </is>
      </c>
      <c r="F85" s="9" t="n"/>
      <c r="K85" s="9" t="n"/>
      <c r="P85" s="9" t="n"/>
      <c r="U85" s="9" t="n"/>
      <c r="V85" s="18" t="n">
        <v>2849.59</v>
      </c>
      <c r="W85" s="19" t="n">
        <v>3100.79</v>
      </c>
      <c r="X85" s="10" t="n"/>
      <c r="Y85" s="10" t="n"/>
      <c r="Z85" s="11" t="n"/>
      <c r="AA85" s="10" t="n"/>
      <c r="AB85" s="10" t="n"/>
      <c r="AC85" s="10" t="n"/>
      <c r="AD85" s="10" t="n"/>
      <c r="AE85" s="11" t="n"/>
      <c r="AF85" s="10" t="n"/>
      <c r="AG85" s="10" t="n"/>
      <c r="AH85" s="10" t="n"/>
      <c r="AI85" s="10" t="n"/>
      <c r="AJ85" s="11" t="n"/>
    </row>
    <row r="86">
      <c r="A86" t="n">
        <v>1</v>
      </c>
      <c r="C86" t="inlineStr">
        <is>
          <t>CAPEX</t>
        </is>
      </c>
      <c r="F86" s="9" t="n"/>
      <c r="K86" s="9" t="n"/>
      <c r="P86" s="9" t="n"/>
      <c r="U86" s="9" t="n"/>
      <c r="V86" s="18" t="n">
        <v>2849.59</v>
      </c>
      <c r="W86" s="19" t="n">
        <v>3100.79</v>
      </c>
      <c r="X86" s="10" t="n"/>
      <c r="Y86" s="10" t="n"/>
      <c r="Z86" s="11" t="n"/>
      <c r="AA86" s="10" t="n"/>
      <c r="AB86" s="10" t="n"/>
      <c r="AC86" s="10" t="n"/>
      <c r="AD86" s="10" t="n"/>
      <c r="AE86" s="11" t="n"/>
      <c r="AF86" s="10" t="n"/>
      <c r="AG86" s="10" t="n"/>
      <c r="AH86" s="10" t="n"/>
      <c r="AI86" s="10" t="n"/>
      <c r="AJ86" s="11" t="n"/>
    </row>
    <row r="87">
      <c r="A87" t="n">
        <v>1</v>
      </c>
      <c r="C87" t="inlineStr">
        <is>
          <t>장기차입금의증가</t>
        </is>
      </c>
      <c r="F87" s="9" t="n"/>
      <c r="K87" s="9" t="n"/>
      <c r="P87" s="9" t="n"/>
      <c r="U87" s="9" t="n"/>
      <c r="V87" s="18" t="n">
        <v>10000</v>
      </c>
      <c r="W87" s="19" t="n">
        <v>0</v>
      </c>
      <c r="X87" s="10" t="n"/>
      <c r="Y87" s="10" t="n"/>
      <c r="Z87" s="11" t="n"/>
      <c r="AA87" s="10" t="n"/>
      <c r="AB87" s="10" t="n"/>
      <c r="AC87" s="10" t="n"/>
      <c r="AD87" s="10" t="n"/>
      <c r="AE87" s="11" t="n"/>
      <c r="AF87" s="10" t="n"/>
      <c r="AG87" s="10" t="n"/>
      <c r="AH87" s="10" t="n"/>
      <c r="AI87" s="10" t="n"/>
      <c r="AJ87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4Q22</t>
        </is>
      </c>
      <c r="F1" s="3" t="n">
        <v>2022</v>
      </c>
      <c r="G1" s="3" t="inlineStr">
        <is>
          <t>1Q23</t>
        </is>
      </c>
      <c r="H1" s="3" t="inlineStr">
        <is>
          <t>2Q23</t>
        </is>
      </c>
      <c r="I1" s="3" t="inlineStr">
        <is>
          <t>3Q23</t>
        </is>
      </c>
      <c r="J1" s="3" t="inlineStr">
        <is>
          <t>4Q23</t>
        </is>
      </c>
      <c r="K1" s="3" t="n">
        <v>2023</v>
      </c>
      <c r="L1" s="3" t="inlineStr">
        <is>
          <t>1Q24</t>
        </is>
      </c>
      <c r="M1" s="3" t="inlineStr">
        <is>
          <t>2Q24</t>
        </is>
      </c>
      <c r="N1" s="3" t="inlineStr">
        <is>
          <t>3Q24</t>
        </is>
      </c>
      <c r="O1" s="3" t="inlineStr">
        <is>
          <t>4Q24</t>
        </is>
      </c>
      <c r="P1" s="3" t="n">
        <v>2024</v>
      </c>
      <c r="Q1" s="3" t="inlineStr">
        <is>
          <t>1Q25</t>
        </is>
      </c>
      <c r="R1" s="3" t="inlineStr">
        <is>
          <t>2Q25</t>
        </is>
      </c>
      <c r="S1" s="3" t="inlineStr">
        <is>
          <t>3Q25</t>
        </is>
      </c>
      <c r="T1" s="3" t="inlineStr">
        <is>
          <t>4Q25</t>
        </is>
      </c>
      <c r="U1" s="3" t="n">
        <v>2025</v>
      </c>
      <c r="V1" s="3" t="inlineStr">
        <is>
          <t>1Q26</t>
        </is>
      </c>
      <c r="W1" s="4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n">
        <v>2026</v>
      </c>
      <c r="AA1" s="3" t="inlineStr">
        <is>
          <t>1Q27</t>
        </is>
      </c>
      <c r="AB1" s="3" t="inlineStr">
        <is>
          <t>2Q27</t>
        </is>
      </c>
      <c r="AC1" s="3" t="inlineStr">
        <is>
          <t>3Q27</t>
        </is>
      </c>
      <c r="AD1" s="3" t="inlineStr">
        <is>
          <t>4Q27</t>
        </is>
      </c>
      <c r="AE1" s="3" t="n">
        <v>2027</v>
      </c>
      <c r="AF1" s="3" t="inlineStr">
        <is>
          <t>1Q28</t>
        </is>
      </c>
      <c r="AG1" s="3" t="inlineStr">
        <is>
          <t>2Q28</t>
        </is>
      </c>
      <c r="AH1" s="3" t="inlineStr">
        <is>
          <t>3Q28</t>
        </is>
      </c>
      <c r="AI1" s="3" t="inlineStr">
        <is>
          <t>4Q28</t>
        </is>
      </c>
      <c r="AJ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W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6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</row>
    <row r="4">
      <c r="E4" s="7" t="inlineStr">
        <is>
          <t>2022.12</t>
        </is>
      </c>
      <c r="F4" s="7" t="inlineStr">
        <is>
          <t>2022.12A</t>
        </is>
      </c>
      <c r="G4" s="7" t="inlineStr">
        <is>
          <t>2023.03</t>
        </is>
      </c>
      <c r="H4" s="7" t="inlineStr">
        <is>
          <t>2023.06</t>
        </is>
      </c>
      <c r="I4" s="7" t="inlineStr">
        <is>
          <t>2023.09</t>
        </is>
      </c>
      <c r="J4" s="7" t="inlineStr">
        <is>
          <t>2023.12</t>
        </is>
      </c>
      <c r="K4" s="7" t="inlineStr">
        <is>
          <t>2023.12A</t>
        </is>
      </c>
      <c r="L4" s="7" t="inlineStr">
        <is>
          <t>2024.03</t>
        </is>
      </c>
      <c r="M4" s="7" t="inlineStr">
        <is>
          <t>2024.06</t>
        </is>
      </c>
      <c r="N4" s="7" t="inlineStr">
        <is>
          <t>2024.09</t>
        </is>
      </c>
      <c r="O4" s="7" t="inlineStr">
        <is>
          <t>2024.12</t>
        </is>
      </c>
      <c r="P4" s="7" t="inlineStr">
        <is>
          <t>2024.12A</t>
        </is>
      </c>
      <c r="Q4" s="7" t="inlineStr">
        <is>
          <t>2025.03</t>
        </is>
      </c>
      <c r="R4" s="7" t="inlineStr">
        <is>
          <t>2025.06</t>
        </is>
      </c>
      <c r="S4" s="7" t="inlineStr">
        <is>
          <t>2025.09</t>
        </is>
      </c>
      <c r="T4" s="7" t="inlineStr">
        <is>
          <t>2025.12</t>
        </is>
      </c>
      <c r="U4" s="7" t="inlineStr">
        <is>
          <t>2025.12A</t>
        </is>
      </c>
      <c r="V4" s="7" t="inlineStr">
        <is>
          <t>2026.03</t>
        </is>
      </c>
      <c r="W4" s="8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2026.12A</t>
        </is>
      </c>
      <c r="AA4" s="7" t="inlineStr">
        <is>
          <t>2027.03</t>
        </is>
      </c>
      <c r="AB4" s="7" t="inlineStr">
        <is>
          <t>2027.06</t>
        </is>
      </c>
      <c r="AC4" s="7" t="inlineStr">
        <is>
          <t>2027.09</t>
        </is>
      </c>
      <c r="AD4" s="7" t="inlineStr">
        <is>
          <t>2027.12</t>
        </is>
      </c>
      <c r="AE4" s="7" t="inlineStr">
        <is>
          <t>2027.12A</t>
        </is>
      </c>
      <c r="AF4" s="7" t="inlineStr">
        <is>
          <t>2028.03</t>
        </is>
      </c>
      <c r="AG4" s="7" t="inlineStr">
        <is>
          <t>2028.06</t>
        </is>
      </c>
      <c r="AH4" s="7" t="inlineStr">
        <is>
          <t>2028.09</t>
        </is>
      </c>
      <c r="AI4" s="7" t="inlineStr">
        <is>
          <t>2028.12</t>
        </is>
      </c>
      <c r="AJ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 t="n"/>
      <c r="F5" s="37" t="n"/>
      <c r="G5" s="18" t="n"/>
      <c r="H5" s="18" t="n"/>
      <c r="I5" s="18" t="n"/>
      <c r="J5" s="18" t="n"/>
      <c r="K5" s="37">
        <f>SUM(G5:J5)</f>
        <v/>
      </c>
      <c r="L5" s="18" t="n"/>
      <c r="M5" s="18" t="n"/>
      <c r="N5" s="18" t="n"/>
      <c r="O5" s="18">
        <f>IFERROR(VLOOKUP($D5,BS별도,MATCH(O$1,BS별도H,0),0)/100,"")</f>
        <v/>
      </c>
      <c r="P5" s="37">
        <f>SUM(L5:O5)</f>
        <v/>
      </c>
      <c r="Q5" s="18" t="n"/>
      <c r="R5" s="18">
        <f>IFERROR(VLOOKUP($D5,BS별도,MATCH(R$1,BS별도H,0),0)/100,"")</f>
        <v/>
      </c>
      <c r="S5" s="18">
        <f>IFERROR(VLOOKUP($D5,BS별도,MATCH(S$1,BS별도H,0),0)/100,"")</f>
        <v/>
      </c>
      <c r="T5" s="18">
        <f>IFERROR(VLOOKUP($D5,BS별도,MATCH(T$1,BS별도H,0),0)/100,"")</f>
        <v/>
      </c>
      <c r="U5" s="37">
        <f>SUM(Q5:T5)</f>
        <v/>
      </c>
      <c r="V5" s="18">
        <f>IFERROR(VLOOKUP($D5,BS별도,MATCH(V$1,BS별도H,0),0)/100,"")</f>
        <v/>
      </c>
      <c r="W5" s="19">
        <f>IFERROR(VLOOKUP($D5,BS별도,MATCH(W$1,BS별도H,0),0)/100,"")</f>
        <v/>
      </c>
      <c r="X5" s="20">
        <f>IFERROR(S5*(1+변수!X21),"")</f>
        <v/>
      </c>
      <c r="Y5" s="20">
        <f>IFERROR(T5*(1+변수!Y21),"")</f>
        <v/>
      </c>
      <c r="Z5" s="38">
        <f>SUM(V5:Y5)</f>
        <v/>
      </c>
      <c r="AA5" s="20">
        <f>IFERROR(V5*(1+변수!AA21),"")</f>
        <v/>
      </c>
      <c r="AB5" s="20">
        <f>IFERROR(W5*(1+변수!AB21),"")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 t="n"/>
      <c r="F6" s="37" t="n"/>
      <c r="G6" s="18" t="n"/>
      <c r="H6" s="18" t="n"/>
      <c r="I6" s="18" t="n"/>
      <c r="J6" s="18" t="n"/>
      <c r="K6" s="37">
        <f>SUM(G6:J6)</f>
        <v/>
      </c>
      <c r="L6" s="18" t="n"/>
      <c r="M6" s="18" t="n"/>
      <c r="N6" s="18" t="n"/>
      <c r="O6" s="18">
        <f>IFERROR(VLOOKUP($D6,BS별도,MATCH(O$1,BS별도H,0),0)/100,"")</f>
        <v/>
      </c>
      <c r="P6" s="37">
        <f>SUM(L6:O6)</f>
        <v/>
      </c>
      <c r="Q6" s="18" t="n"/>
      <c r="R6" s="18">
        <f>IFERROR(VLOOKUP($D6,BS별도,MATCH(R$1,BS별도H,0),0)/100,"")</f>
        <v/>
      </c>
      <c r="S6" s="18">
        <f>IFERROR(VLOOKUP($D6,BS별도,MATCH(S$1,BS별도H,0),0)/100,"")</f>
        <v/>
      </c>
      <c r="T6" s="18">
        <f>IFERROR(VLOOKUP($D6,BS별도,MATCH(T$1,BS별도H,0),0)/100,"")</f>
        <v/>
      </c>
      <c r="U6" s="37">
        <f>SUM(Q6:T6)</f>
        <v/>
      </c>
      <c r="V6" s="18">
        <f>IFERROR(VLOOKUP($D6,BS별도,MATCH(V$1,BS별도H,0),0)/100,"")</f>
        <v/>
      </c>
      <c r="W6" s="19">
        <f>IFERROR(VLOOKUP($D6,BS별도,MATCH(W$1,BS별도H,0),0)/100,"")</f>
        <v/>
      </c>
      <c r="X6" s="20">
        <f>IFERROR(X5-X7,"")</f>
        <v/>
      </c>
      <c r="Y6" s="20">
        <f>IFERROR(Y5-Y7,"")</f>
        <v/>
      </c>
      <c r="Z6" s="38">
        <f>SUM(V6:Y6)</f>
        <v/>
      </c>
      <c r="AA6" s="20">
        <f>IFERROR(AA5-AA7,"")</f>
        <v/>
      </c>
      <c r="AB6" s="20">
        <f>IFERROR(AB5-AB7,"")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 t="n"/>
      <c r="F7" s="37" t="n"/>
      <c r="G7" s="18" t="n"/>
      <c r="H7" s="18" t="n"/>
      <c r="I7" s="18" t="n"/>
      <c r="J7" s="18" t="n"/>
      <c r="K7" s="37">
        <f>SUM(G7:J7)</f>
        <v/>
      </c>
      <c r="L7" s="18" t="n"/>
      <c r="M7" s="18" t="n"/>
      <c r="N7" s="18" t="n"/>
      <c r="O7" s="18">
        <f>IFERROR(VLOOKUP($D7,BS별도,MATCH(O$1,BS별도H,0),0)/100,"")</f>
        <v/>
      </c>
      <c r="P7" s="37">
        <f>SUM(L7:O7)</f>
        <v/>
      </c>
      <c r="Q7" s="18" t="n"/>
      <c r="R7" s="18">
        <f>IFERROR(VLOOKUP($D7,BS별도,MATCH(R$1,BS별도H,0),0)/100,"")</f>
        <v/>
      </c>
      <c r="S7" s="18">
        <f>IFERROR(VLOOKUP($D7,BS별도,MATCH(S$1,BS별도H,0),0)/100,"")</f>
        <v/>
      </c>
      <c r="T7" s="18">
        <f>IFERROR(VLOOKUP($D7,BS별도,MATCH(T$1,BS별도H,0),0)/100,"")</f>
        <v/>
      </c>
      <c r="U7" s="37">
        <f>SUM(Q7:T7)</f>
        <v/>
      </c>
      <c r="V7" s="18">
        <f>IFERROR(VLOOKUP($D7,BS별도,MATCH(V$1,BS별도H,0),0)/100,"")</f>
        <v/>
      </c>
      <c r="W7" s="19">
        <f>IFERROR(VLOOKUP($D7,BS별도,MATCH(W$1,BS별도H,0),0)/100,"")</f>
        <v/>
      </c>
      <c r="X7" s="20">
        <f>IFERROR(X9+X8,"")</f>
        <v/>
      </c>
      <c r="Y7" s="20">
        <f>IFERROR(Y9+Y8,"")</f>
        <v/>
      </c>
      <c r="Z7" s="38">
        <f>SUM(V7:Y7)</f>
        <v/>
      </c>
      <c r="AA7" s="20">
        <f>IFERROR(AA9+AA8,"")</f>
        <v/>
      </c>
      <c r="AB7" s="20">
        <f>IFERROR(AB9+AB8,"")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 t="n"/>
      <c r="F8" s="37" t="n"/>
      <c r="G8" s="18" t="n"/>
      <c r="H8" s="18" t="n"/>
      <c r="I8" s="18" t="n"/>
      <c r="J8" s="18" t="n"/>
      <c r="K8" s="37">
        <f>SUM(G8:J8)</f>
        <v/>
      </c>
      <c r="L8" s="18" t="n"/>
      <c r="M8" s="18" t="n"/>
      <c r="N8" s="18" t="n"/>
      <c r="O8" s="18">
        <f>IFERROR(VLOOKUP($D8,BS별도,MATCH(O$1,BS별도H,0),0)/100,"")</f>
        <v/>
      </c>
      <c r="P8" s="37">
        <f>SUM(L8:O8)</f>
        <v/>
      </c>
      <c r="Q8" s="18" t="n"/>
      <c r="R8" s="18">
        <f>IFERROR(VLOOKUP($D8,BS별도,MATCH(R$1,BS별도H,0),0)/100,"")</f>
        <v/>
      </c>
      <c r="S8" s="18">
        <f>IFERROR(VLOOKUP($D8,BS별도,MATCH(S$1,BS별도H,0),0)/100,"")</f>
        <v/>
      </c>
      <c r="T8" s="18">
        <f>IFERROR(VLOOKUP($D8,BS별도,MATCH(T$1,BS별도H,0),0)/100,"")</f>
        <v/>
      </c>
      <c r="U8" s="37">
        <f>SUM(Q8:T8)</f>
        <v/>
      </c>
      <c r="V8" s="18">
        <f>IFERROR(VLOOKUP($D8,BS별도,MATCH(V$1,BS별도H,0),0)/100,"")</f>
        <v/>
      </c>
      <c r="W8" s="19">
        <f>IFERROR(VLOOKUP($D8,BS별도,MATCH(W$1,BS별도H,0),0)/100,"")</f>
        <v/>
      </c>
      <c r="X8" s="20">
        <f>IFERROR(X5*변수!X22,"")</f>
        <v/>
      </c>
      <c r="Y8" s="20">
        <f>IFERROR(Y5*변수!Y22,"")</f>
        <v/>
      </c>
      <c r="Z8" s="38">
        <f>SUM(V8:Y8)</f>
        <v/>
      </c>
      <c r="AA8" s="20">
        <f>IFERROR(AA5*변수!AA22,"")</f>
        <v/>
      </c>
      <c r="AB8" s="20">
        <f>IFERROR(AB5*변수!AB22,"")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 t="n"/>
      <c r="F9" s="37" t="n"/>
      <c r="G9" s="18" t="n"/>
      <c r="H9" s="18" t="n"/>
      <c r="I9" s="18" t="n"/>
      <c r="J9" s="18" t="n"/>
      <c r="K9" s="37">
        <f>SUM(G9:J9)</f>
        <v/>
      </c>
      <c r="L9" s="18" t="n"/>
      <c r="M9" s="18" t="n"/>
      <c r="N9" s="18" t="n"/>
      <c r="O9" s="18">
        <f>IFERROR(VLOOKUP($D9,BS별도,MATCH(O$1,BS별도H,0),0)/100,"")</f>
        <v/>
      </c>
      <c r="P9" s="37">
        <f>SUM(L9:O9)</f>
        <v/>
      </c>
      <c r="Q9" s="18" t="n"/>
      <c r="R9" s="18">
        <f>IFERROR(VLOOKUP($D9,BS별도,MATCH(R$1,BS별도H,0),0)/100,"")</f>
        <v/>
      </c>
      <c r="S9" s="18">
        <f>IFERROR(VLOOKUP($D9,BS별도,MATCH(S$1,BS별도H,0),0)/100,"")</f>
        <v/>
      </c>
      <c r="T9" s="18">
        <f>IFERROR(VLOOKUP($D9,BS별도,MATCH(T$1,BS별도H,0),0)/100,"")</f>
        <v/>
      </c>
      <c r="U9" s="37">
        <f>SUM(Q9:T9)</f>
        <v/>
      </c>
      <c r="V9" s="18">
        <f>IFERROR(VLOOKUP($D9,BS별도,MATCH(V$1,BS별도H,0),0)/100,"")</f>
        <v/>
      </c>
      <c r="W9" s="19">
        <f>IFERROR(VLOOKUP($D9,BS별도,MATCH(W$1,BS별도H,0),0)/100,"")</f>
        <v/>
      </c>
      <c r="X9" s="20">
        <f>IFERROR(X5*변수!X23,"")</f>
        <v/>
      </c>
      <c r="Y9" s="20">
        <f>IFERROR(Y5*변수!Y23,"")</f>
        <v/>
      </c>
      <c r="Z9" s="38">
        <f>SUM(V9:Y9)</f>
        <v/>
      </c>
      <c r="AA9" s="20">
        <f>IFERROR(AA5*변수!AA23,"")</f>
        <v/>
      </c>
      <c r="AB9" s="20">
        <f>IFERROR(AB5*변수!AB23,"")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 t="n"/>
      <c r="F10" s="22" t="n"/>
      <c r="G10" s="21" t="n"/>
      <c r="H10" s="21" t="n"/>
      <c r="I10" s="21" t="n"/>
      <c r="J10" s="21" t="n"/>
      <c r="K10" s="22">
        <f>IFERROR(K9/K5,"")</f>
        <v/>
      </c>
      <c r="L10" s="21" t="n"/>
      <c r="M10" s="21" t="n"/>
      <c r="N10" s="21" t="n"/>
      <c r="O10" s="21">
        <f>IFERROR(O9/O5,"")</f>
        <v/>
      </c>
      <c r="P10" s="22">
        <f>IFERROR(P9/P5,"")</f>
        <v/>
      </c>
      <c r="Q10" s="21" t="n"/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3">
        <f>IFERROR(W9/W5,"")</f>
        <v/>
      </c>
      <c r="X10" s="32">
        <f>IFERROR(X9/X5,"")</f>
        <v/>
      </c>
      <c r="Y10" s="32">
        <f>IFERROR(Y9/Y5,"")</f>
        <v/>
      </c>
      <c r="Z10" s="25">
        <f>IFERROR(Z9/Z5,"")</f>
        <v/>
      </c>
      <c r="AA10" s="32">
        <f>IFERROR(AA9/AA5,"")</f>
        <v/>
      </c>
      <c r="AB10" s="32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 t="n"/>
      <c r="F11" s="37" t="n"/>
      <c r="G11" s="18" t="n"/>
      <c r="H11" s="18" t="n"/>
      <c r="I11" s="18" t="n"/>
      <c r="J11" s="18" t="n"/>
      <c r="K11" s="37">
        <f>SUM(G11:J11)</f>
        <v/>
      </c>
      <c r="L11" s="18" t="n"/>
      <c r="M11" s="18" t="n"/>
      <c r="N11" s="18" t="n"/>
      <c r="O11" s="18">
        <f>IFERROR(VLOOKUP($D11,BS별도,MATCH(O$1,BS별도H,0),0)/100,"")</f>
        <v/>
      </c>
      <c r="P11" s="37">
        <f>SUM(L11:O11)</f>
        <v/>
      </c>
      <c r="Q11" s="18" t="n"/>
      <c r="R11" s="18">
        <f>IFERROR(VLOOKUP($D11,BS별도,MATCH(R$1,BS별도H,0),0)/100,"")</f>
        <v/>
      </c>
      <c r="S11" s="18">
        <f>IFERROR(VLOOKUP($D11,BS별도,MATCH(S$1,BS별도H,0),0)/100,"")</f>
        <v/>
      </c>
      <c r="T11" s="18">
        <f>IFERROR(VLOOKUP($D11,BS별도,MATCH(T$1,BS별도H,0),0)/100,"")</f>
        <v/>
      </c>
      <c r="U11" s="37">
        <f>SUM(Q11:T11)</f>
        <v/>
      </c>
      <c r="V11" s="18">
        <f>IFERROR(VLOOKUP($D11,BS별도,MATCH(V$1,BS별도H,0),0)/100,"")</f>
        <v/>
      </c>
      <c r="W11" s="19">
        <f>IFERROR(VLOOKUP($D11,BS별도,MATCH(W$1,BS별도H,0),0)/100,"")</f>
        <v/>
      </c>
      <c r="X11" s="20">
        <f>IFERROR(X12+X13+X14,"")</f>
        <v/>
      </c>
      <c r="Y11" s="20">
        <f>IFERROR(Y12+Y13+Y14,"")</f>
        <v/>
      </c>
      <c r="Z11" s="38">
        <f>SUM(V11:Y11)</f>
        <v/>
      </c>
      <c r="AA11" s="20">
        <f>IFERROR(AA12+AA13+AA14,"")</f>
        <v/>
      </c>
      <c r="AB11" s="20">
        <f>IFERROR(AB12+AB13+AB14,"")</f>
        <v/>
      </c>
      <c r="AC11" s="20">
        <f>IFERROR(AC12+AC13+AC14,"")</f>
        <v/>
      </c>
      <c r="AD11" s="20">
        <f>IFERROR(AD12+AD13+AD14,"")</f>
        <v/>
      </c>
      <c r="AE11" s="38">
        <f>SUM(AA11:AD11)</f>
        <v/>
      </c>
      <c r="AF11" s="20">
        <f>IFERROR(AF12+AF13+AF14,"")</f>
        <v/>
      </c>
      <c r="AG11" s="20">
        <f>IFERROR(AG12+AG13+AG14,"")</f>
        <v/>
      </c>
      <c r="AH11" s="20">
        <f>IFERROR(AH12+AH13+AH14,"")</f>
        <v/>
      </c>
      <c r="AI11" s="20">
        <f>IFERROR(AI12+AI13+AI14,"")</f>
        <v/>
      </c>
      <c r="AJ11" s="38">
        <f>SUM(AF11:AI11)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 t="n"/>
      <c r="H12" s="18" t="n"/>
      <c r="I12" s="18" t="n"/>
      <c r="J12" s="18" t="n"/>
      <c r="K12" s="37">
        <f>SUM(G12:J12)</f>
        <v/>
      </c>
      <c r="L12" s="18" t="n"/>
      <c r="M12" s="18" t="n"/>
      <c r="N12" s="18" t="n"/>
      <c r="O12" s="18">
        <f>IFERROR(VLOOKUP($D12,BS별도,MATCH(O$1,BS별도H,0),0)/100,"")</f>
        <v/>
      </c>
      <c r="P12" s="37">
        <f>SUM(L12:O12)</f>
        <v/>
      </c>
      <c r="Q12" s="18" t="n"/>
      <c r="R12" s="18">
        <f>IFERROR(VLOOKUP($D12,BS별도,MATCH(R$1,BS별도H,0),0)/100,"")</f>
        <v/>
      </c>
      <c r="S12" s="18">
        <f>IFERROR(VLOOKUP($D12,BS별도,MATCH(S$1,BS별도H,0),0)/100,"")</f>
        <v/>
      </c>
      <c r="T12" s="18">
        <f>IFERROR(VLOOKUP($D12,BS별도,MATCH(T$1,BS별도H,0),0)/100,"")</f>
        <v/>
      </c>
      <c r="U12" s="37">
        <f>SUM(Q12:T12)</f>
        <v/>
      </c>
      <c r="V12" s="18">
        <f>IFERROR(VLOOKUP($D12,BS별도,MATCH(V$1,BS별도H,0),0)/100,"")</f>
        <v/>
      </c>
      <c r="W12" s="19">
        <f>IFERROR(VLOOKUP($D12,BS별도,MATCH(W$1,BS별도H,0),0)/100,"")</f>
        <v/>
      </c>
      <c r="X12" s="20">
        <f>IFERROR((W26*변수!$D$52-W24*변수!$D$53)/4,"")</f>
        <v/>
      </c>
      <c r="Y12" s="20">
        <f>IFERROR((X26*변수!$D$52-X24*변수!$D$53)/4,"")</f>
        <v/>
      </c>
      <c r="Z12" s="38">
        <f>SUM(V12:Y12)</f>
        <v/>
      </c>
      <c r="AA12" s="20">
        <f>IFERROR((Y26*변수!$D$52-Y24*변수!$D$53)/4,"")</f>
        <v/>
      </c>
      <c r="AB12" s="20">
        <f>IFERROR((AA26*변수!$D$52-AA24*변수!$D$53)/4,"")</f>
        <v/>
      </c>
      <c r="AC12" s="20">
        <f>IFERROR((AB26*변수!$D$52-AB24*변수!$D$53)/4,"")</f>
        <v/>
      </c>
      <c r="AD12" s="20">
        <f>IFERROR((AC26*변수!$D$52-AC24*변수!$D$53)/4,"")</f>
        <v/>
      </c>
      <c r="AE12" s="38">
        <f>SUM(AA12:AD12)</f>
        <v/>
      </c>
      <c r="AF12" s="20">
        <f>IFERROR((AD26*변수!$D$52-AD24*변수!$D$53)/4,"")</f>
        <v/>
      </c>
      <c r="AG12" s="20">
        <f>IFERROR((AF26*변수!$D$52-AF24*변수!$D$53)/4,"")</f>
        <v/>
      </c>
      <c r="AH12" s="20">
        <f>IFERROR((AG26*변수!$D$52-AG24*변수!$D$53)/4,"")</f>
        <v/>
      </c>
      <c r="AI12" s="20">
        <f>IFERROR((AH26*변수!$D$52-AH24*변수!$D$53)/4,"")</f>
        <v/>
      </c>
      <c r="AJ12" s="38">
        <f>SUM(AF12:AI12)</f>
        <v/>
      </c>
    </row>
    <row r="13">
      <c r="A13" s="12" t="inlineStr">
        <is>
          <t>파생상품손익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파생상품손익</t>
        </is>
      </c>
      <c r="E13" s="18" t="n"/>
      <c r="F13" s="37" t="n"/>
      <c r="G13" s="18" t="n"/>
      <c r="H13" s="18" t="n"/>
      <c r="I13" s="18" t="n"/>
      <c r="J13" s="18" t="n"/>
      <c r="K13" s="37">
        <f>SUM(G13:J13)</f>
        <v/>
      </c>
      <c r="L13" s="18" t="n"/>
      <c r="M13" s="18" t="n"/>
      <c r="N13" s="18" t="n"/>
      <c r="O13" s="18" t="n"/>
      <c r="P13" s="37">
        <f>SUM(L13:O13)</f>
        <v/>
      </c>
      <c r="Q13" s="18" t="n"/>
      <c r="R13" s="18" t="n"/>
      <c r="S13" s="18" t="n"/>
      <c r="T13" s="18" t="n"/>
      <c r="U13" s="37">
        <f>SUM(Q13:T13)</f>
        <v/>
      </c>
      <c r="V13" s="18" t="n"/>
      <c r="W13" s="19">
        <f>IFERROR((VLOOKUP("파생상품이익",BS별도,MATCH(W$1,BS별도H,0),0)-VLOOKUP("파생상품손실",BS별도,MATCH(W$1,BS별도H,0),0))/100,"")</f>
        <v/>
      </c>
      <c r="X13" s="20">
        <f>변수!X24</f>
        <v/>
      </c>
      <c r="Y13" s="20">
        <f>변수!Y24</f>
        <v/>
      </c>
      <c r="Z13" s="38">
        <f>SUM(V13:Y13)</f>
        <v/>
      </c>
      <c r="AA13" s="20">
        <f>변수!AA24</f>
        <v/>
      </c>
      <c r="AB13" s="20">
        <f>변수!AB24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</row>
    <row r="14">
      <c r="A14" s="12" t="inlineStr">
        <is>
          <t>기타금융손익</t>
        </is>
      </c>
      <c r="B14" t="inlineStr">
        <is>
          <t>손익</t>
        </is>
      </c>
      <c r="C14" t="inlineStr">
        <is>
          <t>억원</t>
        </is>
      </c>
      <c r="D14" t="inlineStr">
        <is>
          <t>기타금융손익(금융손익 잔차)</t>
        </is>
      </c>
      <c r="E14" s="18" t="n"/>
      <c r="F14" s="37" t="n"/>
      <c r="G14" s="18" t="n"/>
      <c r="H14" s="18" t="n"/>
      <c r="I14" s="18" t="n"/>
      <c r="J14" s="18" t="n"/>
      <c r="K14" s="37">
        <f>SUM(G14:J14)</f>
        <v/>
      </c>
      <c r="L14" s="18" t="n"/>
      <c r="M14" s="18" t="n"/>
      <c r="N14" s="18" t="n"/>
      <c r="O14" s="18" t="n"/>
      <c r="P14" s="37">
        <f>SUM(L14:O14)</f>
        <v/>
      </c>
      <c r="Q14" s="18" t="n"/>
      <c r="R14" s="18" t="n"/>
      <c r="S14" s="18" t="n"/>
      <c r="T14" s="18" t="n"/>
      <c r="U14" s="37">
        <f>SUM(Q14:T14)</f>
        <v/>
      </c>
      <c r="V14" s="18" t="n"/>
      <c r="W14" s="19" t="n">
        <v>-0.01</v>
      </c>
      <c r="X14" s="20">
        <f>변수!X25</f>
        <v/>
      </c>
      <c r="Y14" s="20">
        <f>변수!Y25</f>
        <v/>
      </c>
      <c r="Z14" s="38">
        <f>SUM(V14:Y14)</f>
        <v/>
      </c>
      <c r="AA14" s="20">
        <f>변수!AA25</f>
        <v/>
      </c>
      <c r="AB14" s="20">
        <f>변수!AB25</f>
        <v/>
      </c>
      <c r="AC14" s="20">
        <f>변수!AC25</f>
        <v/>
      </c>
      <c r="AD14" s="20">
        <f>변수!AD25</f>
        <v/>
      </c>
      <c r="AE14" s="38">
        <f>SUM(AA14:AD14)</f>
        <v/>
      </c>
      <c r="AF14" s="20">
        <f>변수!AF25</f>
        <v/>
      </c>
      <c r="AG14" s="20">
        <f>변수!AG25</f>
        <v/>
      </c>
      <c r="AH14" s="20">
        <f>변수!AH25</f>
        <v/>
      </c>
      <c r="AI14" s="20">
        <f>변수!AI25</f>
        <v/>
      </c>
      <c r="AJ14" s="38">
        <f>SUM(AF14:AI14)</f>
        <v/>
      </c>
    </row>
    <row r="15">
      <c r="A15" s="12" t="inlineStr">
        <is>
          <t>기타영업외손익</t>
        </is>
      </c>
      <c r="B15" t="inlineStr">
        <is>
          <t>손익</t>
        </is>
      </c>
      <c r="C15" t="inlineStr">
        <is>
          <t>억원</t>
        </is>
      </c>
      <c r="D15" t="inlineStr">
        <is>
          <t>기타영업외손익</t>
        </is>
      </c>
      <c r="E15" s="18" t="n"/>
      <c r="F15" s="37" t="n"/>
      <c r="G15" s="18" t="n"/>
      <c r="H15" s="18" t="n"/>
      <c r="I15" s="18" t="n"/>
      <c r="J15" s="18" t="n"/>
      <c r="K15" s="37">
        <f>SUM(G15:J15)</f>
        <v/>
      </c>
      <c r="L15" s="18" t="n"/>
      <c r="M15" s="18" t="n"/>
      <c r="N15" s="18" t="n"/>
      <c r="O15" s="18">
        <f>IFERROR(VLOOKUP($D15,BS별도,MATCH(O$1,BS별도H,0),0)/100,"")</f>
        <v/>
      </c>
      <c r="P15" s="37">
        <f>SUM(L15:O15)</f>
        <v/>
      </c>
      <c r="Q15" s="18" t="n"/>
      <c r="R15" s="18">
        <f>IFERROR(VLOOKUP($D15,BS별도,MATCH(R$1,BS별도H,0),0)/100,"")</f>
        <v/>
      </c>
      <c r="S15" s="18">
        <f>IFERROR(VLOOKUP($D15,BS별도,MATCH(S$1,BS별도H,0),0)/100,"")</f>
        <v/>
      </c>
      <c r="T15" s="18">
        <f>IFERROR(VLOOKUP($D15,BS별도,MATCH(T$1,BS별도H,0),0)/100,"")</f>
        <v/>
      </c>
      <c r="U15" s="37">
        <f>SUM(Q15:T15)</f>
        <v/>
      </c>
      <c r="V15" s="18">
        <f>IFERROR(VLOOKUP($D15,BS별도,MATCH(V$1,BS별도H,0),0)/100,"")</f>
        <v/>
      </c>
      <c r="W15" s="19">
        <f>IFERROR(VLOOKUP($D15,BS별도,MATCH(W$1,BS별도H,0),0)/100,"")</f>
        <v/>
      </c>
      <c r="X15" s="20">
        <f>변수!X26</f>
        <v/>
      </c>
      <c r="Y15" s="20">
        <f>변수!Y26</f>
        <v/>
      </c>
      <c r="Z15" s="38">
        <f>SUM(V15:Y15)</f>
        <v/>
      </c>
      <c r="AA15" s="20">
        <f>변수!AA26</f>
        <v/>
      </c>
      <c r="AB15" s="20">
        <f>변수!AB26</f>
        <v/>
      </c>
      <c r="AC15" s="20">
        <f>변수!AC26</f>
        <v/>
      </c>
      <c r="AD15" s="20">
        <f>변수!AD26</f>
        <v/>
      </c>
      <c r="AE15" s="38">
        <f>SUM(AA15:AD15)</f>
        <v/>
      </c>
      <c r="AF15" s="20">
        <f>변수!AF26</f>
        <v/>
      </c>
      <c r="AG15" s="20">
        <f>변수!AG26</f>
        <v/>
      </c>
      <c r="AH15" s="20">
        <f>변수!AH26</f>
        <v/>
      </c>
      <c r="AI15" s="20">
        <f>변수!AI26</f>
        <v/>
      </c>
      <c r="AJ15" s="38">
        <f>SUM(AF15:AI15)</f>
        <v/>
      </c>
    </row>
    <row r="16">
      <c r="A16" s="12" t="inlineStr">
        <is>
          <t>세전이익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법인세비용차감전계속사업이익</t>
        </is>
      </c>
      <c r="E16" s="18" t="n"/>
      <c r="F16" s="37" t="n"/>
      <c r="G16" s="18" t="n"/>
      <c r="H16" s="18" t="n"/>
      <c r="I16" s="18" t="n"/>
      <c r="J16" s="18" t="n"/>
      <c r="K16" s="37">
        <f>SUM(G16:J16)</f>
        <v/>
      </c>
      <c r="L16" s="18" t="n"/>
      <c r="M16" s="18" t="n"/>
      <c r="N16" s="18" t="n"/>
      <c r="O16" s="18">
        <f>IFERROR(VLOOKUP($D16,BS별도,MATCH(O$1,BS별도H,0),0)/100,"")</f>
        <v/>
      </c>
      <c r="P16" s="37">
        <f>SUM(L16:O16)</f>
        <v/>
      </c>
      <c r="Q16" s="18" t="n"/>
      <c r="R16" s="18">
        <f>IFERROR(VLOOKUP($D16,BS별도,MATCH(R$1,BS별도H,0),0)/100,"")</f>
        <v/>
      </c>
      <c r="S16" s="18">
        <f>IFERROR(VLOOKUP($D16,BS별도,MATCH(S$1,BS별도H,0),0)/100,"")</f>
        <v/>
      </c>
      <c r="T16" s="18">
        <f>IFERROR(VLOOKUP($D16,BS별도,MATCH(T$1,BS별도H,0),0)/100,"")</f>
        <v/>
      </c>
      <c r="U16" s="37">
        <f>SUM(Q16:T16)</f>
        <v/>
      </c>
      <c r="V16" s="18">
        <f>IFERROR(VLOOKUP($D16,BS별도,MATCH(V$1,BS별도H,0),0)/100,"")</f>
        <v/>
      </c>
      <c r="W16" s="19">
        <f>IFERROR(VLOOKUP($D16,BS별도,MATCH(W$1,BS별도H,0),0)/100,"")</f>
        <v/>
      </c>
      <c r="X16" s="20">
        <f>IFERROR(X9+X11+X15,"")</f>
        <v/>
      </c>
      <c r="Y16" s="20">
        <f>IFERROR(Y9+Y11+Y15,"")</f>
        <v/>
      </c>
      <c r="Z16" s="38">
        <f>SUM(V16:Y16)</f>
        <v/>
      </c>
      <c r="AA16" s="20">
        <f>IFERROR(AA9+AA11+AA15,"")</f>
        <v/>
      </c>
      <c r="AB16" s="20">
        <f>IFERROR(AB9+AB11+AB15,"")</f>
        <v/>
      </c>
      <c r="AC16" s="20">
        <f>IFERROR(AC9+AC11+AC15,"")</f>
        <v/>
      </c>
      <c r="AD16" s="20">
        <f>IFERROR(AD9+AD11+AD15,"")</f>
        <v/>
      </c>
      <c r="AE16" s="38">
        <f>SUM(AA16:AD16)</f>
        <v/>
      </c>
      <c r="AF16" s="20">
        <f>IFERROR(AF9+AF11+AF15,"")</f>
        <v/>
      </c>
      <c r="AG16" s="20">
        <f>IFERROR(AG9+AG11+AG15,"")</f>
        <v/>
      </c>
      <c r="AH16" s="20">
        <f>IFERROR(AH9+AH11+AH15,"")</f>
        <v/>
      </c>
      <c r="AI16" s="20">
        <f>IFERROR(AI9+AI11+AI15,"")</f>
        <v/>
      </c>
      <c r="AJ16" s="38">
        <f>SUM(AF16:AI16)</f>
        <v/>
      </c>
    </row>
    <row r="17">
      <c r="A17" s="12" t="inlineStr">
        <is>
          <t>법인세비용</t>
        </is>
      </c>
      <c r="B17" t="inlineStr">
        <is>
          <t>손익</t>
        </is>
      </c>
      <c r="C17" t="inlineStr">
        <is>
          <t>억원</t>
        </is>
      </c>
      <c r="D17" t="inlineStr">
        <is>
          <t>법인세비용</t>
        </is>
      </c>
      <c r="E17" s="18" t="n"/>
      <c r="F17" s="37" t="n"/>
      <c r="G17" s="18" t="n"/>
      <c r="H17" s="18" t="n"/>
      <c r="I17" s="18" t="n"/>
      <c r="J17" s="18" t="n"/>
      <c r="K17" s="37">
        <f>SUM(G17:J17)</f>
        <v/>
      </c>
      <c r="L17" s="18" t="n"/>
      <c r="M17" s="18" t="n"/>
      <c r="N17" s="18" t="n"/>
      <c r="O17" s="18">
        <f>IFERROR(VLOOKUP($D17,BS별도,MATCH(O$1,BS별도H,0),0)/100,"")</f>
        <v/>
      </c>
      <c r="P17" s="37">
        <f>SUM(L17:O17)</f>
        <v/>
      </c>
      <c r="Q17" s="18" t="n"/>
      <c r="R17" s="18">
        <f>IFERROR(VLOOKUP($D17,BS별도,MATCH(R$1,BS별도H,0),0)/100,"")</f>
        <v/>
      </c>
      <c r="S17" s="18">
        <f>IFERROR(VLOOKUP($D17,BS별도,MATCH(S$1,BS별도H,0),0)/100,"")</f>
        <v/>
      </c>
      <c r="T17" s="18">
        <f>IFERROR(VLOOKUP($D17,BS별도,MATCH(T$1,BS별도H,0),0)/100,"")</f>
        <v/>
      </c>
      <c r="U17" s="37">
        <f>SUM(Q17:T17)</f>
        <v/>
      </c>
      <c r="V17" s="18">
        <f>IFERROR(VLOOKUP($D17,BS별도,MATCH(V$1,BS별도H,0),0)/100,"")</f>
        <v/>
      </c>
      <c r="W17" s="19">
        <f>IFERROR(VLOOKUP($D17,BS별도,MATCH(W$1,BS별도H,0),0)/100,"")</f>
        <v/>
      </c>
      <c r="X17" s="20">
        <f>IFERROR(MAX(X16,0)*변수!X27,"")</f>
        <v/>
      </c>
      <c r="Y17" s="20">
        <f>IFERROR(MAX(Y16,0)*변수!Y27,"")</f>
        <v/>
      </c>
      <c r="Z17" s="38">
        <f>SUM(V17:Y17)</f>
        <v/>
      </c>
      <c r="AA17" s="20">
        <f>IFERROR(MAX(AA16,0)*변수!AA27,"")</f>
        <v/>
      </c>
      <c r="AB17" s="20">
        <f>IFERROR(MAX(AB16,0)*변수!AB27,"")</f>
        <v/>
      </c>
      <c r="AC17" s="20">
        <f>IFERROR(MAX(AC16,0)*변수!AC27,"")</f>
        <v/>
      </c>
      <c r="AD17" s="20">
        <f>IFERROR(MAX(AD16,0)*변수!AD27,"")</f>
        <v/>
      </c>
      <c r="AE17" s="38">
        <f>SUM(AA17:AD17)</f>
        <v/>
      </c>
      <c r="AF17" s="20">
        <f>IFERROR(MAX(AF16,0)*변수!AF27,"")</f>
        <v/>
      </c>
      <c r="AG17" s="20">
        <f>IFERROR(MAX(AG16,0)*변수!AG27,"")</f>
        <v/>
      </c>
      <c r="AH17" s="20">
        <f>IFERROR(MAX(AH16,0)*변수!AH27,"")</f>
        <v/>
      </c>
      <c r="AI17" s="20">
        <f>IFERROR(MAX(AI16,0)*변수!AI27,"")</f>
        <v/>
      </c>
      <c r="AJ17" s="38">
        <f>SUM(AF17:AI17)</f>
        <v/>
      </c>
    </row>
    <row r="18">
      <c r="A18" s="12" t="inlineStr">
        <is>
          <t>당기순이익</t>
        </is>
      </c>
      <c r="B18" t="inlineStr">
        <is>
          <t>손익</t>
        </is>
      </c>
      <c r="C18" t="inlineStr">
        <is>
          <t>억원</t>
        </is>
      </c>
      <c r="D18" t="inlineStr">
        <is>
          <t>당기순이익</t>
        </is>
      </c>
      <c r="E18" s="18" t="n"/>
      <c r="F18" s="37" t="n"/>
      <c r="G18" s="18" t="n"/>
      <c r="H18" s="18" t="n"/>
      <c r="I18" s="18" t="n"/>
      <c r="J18" s="18" t="n"/>
      <c r="K18" s="37">
        <f>SUM(G18:J18)</f>
        <v/>
      </c>
      <c r="L18" s="18" t="n"/>
      <c r="M18" s="18" t="n"/>
      <c r="N18" s="18" t="n"/>
      <c r="O18" s="18">
        <f>IFERROR(VLOOKUP($D18,BS별도,MATCH(O$1,BS별도H,0),0)/100,"")</f>
        <v/>
      </c>
      <c r="P18" s="37">
        <f>SUM(L18:O18)</f>
        <v/>
      </c>
      <c r="Q18" s="18" t="n"/>
      <c r="R18" s="18">
        <f>IFERROR(VLOOKUP($D18,BS별도,MATCH(R$1,BS별도H,0),0)/100,"")</f>
        <v/>
      </c>
      <c r="S18" s="18">
        <f>IFERROR(VLOOKUP($D18,BS별도,MATCH(S$1,BS별도H,0),0)/100,"")</f>
        <v/>
      </c>
      <c r="T18" s="18">
        <f>IFERROR(VLOOKUP($D18,BS별도,MATCH(T$1,BS별도H,0),0)/100,"")</f>
        <v/>
      </c>
      <c r="U18" s="37">
        <f>SUM(Q18:T18)</f>
        <v/>
      </c>
      <c r="V18" s="18">
        <f>IFERROR(VLOOKUP($D18,BS별도,MATCH(V$1,BS별도H,0),0)/100,"")</f>
        <v/>
      </c>
      <c r="W18" s="19">
        <f>IFERROR(VLOOKUP($D18,BS별도,MATCH(W$1,BS별도H,0),0)/100,"")</f>
        <v/>
      </c>
      <c r="X18" s="20">
        <f>IFERROR(X16-X17,"")</f>
        <v/>
      </c>
      <c r="Y18" s="20">
        <f>IFERROR(Y16-Y17,"")</f>
        <v/>
      </c>
      <c r="Z18" s="38">
        <f>SUM(V18:Y18)</f>
        <v/>
      </c>
      <c r="AA18" s="20">
        <f>IFERROR(AA16-AA17,"")</f>
        <v/>
      </c>
      <c r="AB18" s="20">
        <f>IFERROR(AB16-AB17,"")</f>
        <v/>
      </c>
      <c r="AC18" s="20">
        <f>IFERROR(AC16-AC17,"")</f>
        <v/>
      </c>
      <c r="AD18" s="20">
        <f>IFERROR(AD16-AD17,"")</f>
        <v/>
      </c>
      <c r="AE18" s="38">
        <f>SUM(AA18:AD18)</f>
        <v/>
      </c>
      <c r="AF18" s="20">
        <f>IFERROR(AF16-AF17,"")</f>
        <v/>
      </c>
      <c r="AG18" s="20">
        <f>IFERROR(AG16-AG17,"")</f>
        <v/>
      </c>
      <c r="AH18" s="20">
        <f>IFERROR(AH16-AH17,"")</f>
        <v/>
      </c>
      <c r="AI18" s="20">
        <f>IFERROR(AI16-AI17,"")</f>
        <v/>
      </c>
      <c r="AJ18" s="38">
        <f>SUM(AF18:AI18)</f>
        <v/>
      </c>
    </row>
    <row r="19">
      <c r="A19" s="12" t="inlineStr">
        <is>
          <t>지배주주순이익</t>
        </is>
      </c>
      <c r="B19" t="inlineStr">
        <is>
          <t>손익</t>
        </is>
      </c>
      <c r="C19" t="inlineStr">
        <is>
          <t>억원</t>
        </is>
      </c>
      <c r="D19" t="inlineStr">
        <is>
          <t>(지배주주지분)당기순이익</t>
        </is>
      </c>
      <c r="E19" s="18" t="n"/>
      <c r="F19" s="37" t="n"/>
      <c r="G19" s="18" t="n"/>
      <c r="H19" s="18" t="n"/>
      <c r="I19" s="18" t="n"/>
      <c r="J19" s="18" t="n"/>
      <c r="K19" s="37">
        <f>SUM(G19:J19)</f>
        <v/>
      </c>
      <c r="L19" s="18" t="n"/>
      <c r="M19" s="18" t="n"/>
      <c r="N19" s="18" t="n"/>
      <c r="O19" s="18">
        <f>IFERROR(VLOOKUP($D19,BS별도,MATCH(O$1,BS별도H,0),0)/100,"")</f>
        <v/>
      </c>
      <c r="P19" s="37">
        <f>SUM(L19:O19)</f>
        <v/>
      </c>
      <c r="Q19" s="18" t="n"/>
      <c r="R19" s="18">
        <f>IFERROR(VLOOKUP($D19,BS별도,MATCH(R$1,BS별도H,0),0)/100,"")</f>
        <v/>
      </c>
      <c r="S19" s="18">
        <f>IFERROR(VLOOKUP($D19,BS별도,MATCH(S$1,BS별도H,0),0)/100,"")</f>
        <v/>
      </c>
      <c r="T19" s="18">
        <f>IFERROR(VLOOKUP($D19,BS별도,MATCH(T$1,BS별도H,0),0)/100,"")</f>
        <v/>
      </c>
      <c r="U19" s="37">
        <f>SUM(Q19:T19)</f>
        <v/>
      </c>
      <c r="V19" s="18">
        <f>IFERROR(VLOOKUP($D19,BS별도,MATCH(V$1,BS별도H,0),0)/100,"")</f>
        <v/>
      </c>
      <c r="W19" s="19">
        <f>IFERROR(VLOOKUP($D19,BS별도,MATCH(W$1,BS별도H,0),0)/100,"")</f>
        <v/>
      </c>
      <c r="X19" s="20">
        <f>IFERROR(X18*변수!X28,"")</f>
        <v/>
      </c>
      <c r="Y19" s="20">
        <f>IFERROR(Y18*변수!Y28,"")</f>
        <v/>
      </c>
      <c r="Z19" s="38">
        <f>SUM(V19:Y19)</f>
        <v/>
      </c>
      <c r="AA19" s="20">
        <f>IFERROR(AA18*변수!AA28,"")</f>
        <v/>
      </c>
      <c r="AB19" s="20">
        <f>IFERROR(AB18*변수!AB28,"")</f>
        <v/>
      </c>
      <c r="AC19" s="20">
        <f>IFERROR(AC18*변수!AC28,"")</f>
        <v/>
      </c>
      <c r="AD19" s="20">
        <f>IFERROR(AD18*변수!AD28,"")</f>
        <v/>
      </c>
      <c r="AE19" s="38">
        <f>SUM(AA19:AD19)</f>
        <v/>
      </c>
      <c r="AF19" s="20">
        <f>IFERROR(AF18*변수!AF28,"")</f>
        <v/>
      </c>
      <c r="AG19" s="20">
        <f>IFERROR(AG18*변수!AG28,"")</f>
        <v/>
      </c>
      <c r="AH19" s="20">
        <f>IFERROR(AH18*변수!AH28,"")</f>
        <v/>
      </c>
      <c r="AI19" s="20">
        <f>IFERROR(AI18*변수!AI28,"")</f>
        <v/>
      </c>
      <c r="AJ19" s="38">
        <f>SUM(AF19:AI19)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IFERROR(VLOOKUP($D20,BS별도,MATCH(E$1,BS별도H,0),0)/100,"")</f>
        <v/>
      </c>
      <c r="F20" s="37" t="n">
        <v>1495.01</v>
      </c>
      <c r="G20" s="18" t="n"/>
      <c r="H20" s="18" t="n"/>
      <c r="I20" s="18" t="n"/>
      <c r="J20" s="18">
        <f>IFERROR(VLOOKUP($D20,BS별도,MATCH(J$1,BS별도H,0),0)/100,"")</f>
        <v/>
      </c>
      <c r="K20" s="37">
        <f>J20</f>
        <v/>
      </c>
      <c r="L20" s="18" t="n"/>
      <c r="M20" s="18" t="n"/>
      <c r="N20" s="18" t="n"/>
      <c r="O20" s="18">
        <f>IFERROR(VLOOKUP($D20,BS별도,MATCH(O$1,BS별도H,0),0)/100,"")</f>
        <v/>
      </c>
      <c r="P20" s="37">
        <f>O20</f>
        <v/>
      </c>
      <c r="Q20" s="18" t="n"/>
      <c r="R20" s="18">
        <f>IFERROR(VLOOKUP($D20,BS별도,MATCH(R$1,BS별도H,0),0)/100,"")</f>
        <v/>
      </c>
      <c r="S20" s="18">
        <f>IFERROR(VLOOKUP($D20,BS별도,MATCH(S$1,BS별도H,0),0)/100,"")</f>
        <v/>
      </c>
      <c r="T20" s="18">
        <f>IFERROR(VLOOKUP($D20,BS별도,MATCH(T$1,BS별도H,0),0)/100,"")</f>
        <v/>
      </c>
      <c r="U20" s="37">
        <f>T20</f>
        <v/>
      </c>
      <c r="V20" s="18">
        <f>IFERROR(VLOOKUP($D20,BS별도,MATCH(V$1,BS별도H,0),0)/100,"")</f>
        <v/>
      </c>
      <c r="W20" s="19">
        <f>IFERROR(VLOOKUP($D20,BS별도,MATCH(W$1,BS별도H,0),0)/100,"")</f>
        <v/>
      </c>
      <c r="X20" s="20">
        <f>IFERROR(X21+X22,"")</f>
        <v/>
      </c>
      <c r="Y20" s="20">
        <f>IFERROR(Y21+Y22,"")</f>
        <v/>
      </c>
      <c r="Z20" s="38">
        <f>Y20</f>
        <v/>
      </c>
      <c r="AA20" s="20">
        <f>IFERROR(AA21+AA22,"")</f>
        <v/>
      </c>
      <c r="AB20" s="20">
        <f>IFERROR(AB21+AB22,"")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IFERROR(VLOOKUP($D21,BS별도,MATCH(E$1,BS별도H,0),0)/100,"")</f>
        <v/>
      </c>
      <c r="F21" s="37" t="n">
        <v>988.48</v>
      </c>
      <c r="G21" s="18" t="n"/>
      <c r="H21" s="18" t="n"/>
      <c r="I21" s="18" t="n"/>
      <c r="J21" s="18">
        <f>IFERROR(VLOOKUP($D21,BS별도,MATCH(J$1,BS별도H,0),0)/100,"")</f>
        <v/>
      </c>
      <c r="K21" s="37">
        <f>J21</f>
        <v/>
      </c>
      <c r="L21" s="18" t="n"/>
      <c r="M21" s="18" t="n"/>
      <c r="N21" s="18" t="n"/>
      <c r="O21" s="18">
        <f>IFERROR(VLOOKUP($D21,BS별도,MATCH(O$1,BS별도H,0),0)/100,"")</f>
        <v/>
      </c>
      <c r="P21" s="37">
        <f>O21</f>
        <v/>
      </c>
      <c r="Q21" s="18" t="n"/>
      <c r="R21" s="18">
        <f>IFERROR(VLOOKUP($D21,BS별도,MATCH(R$1,BS별도H,0),0)/100,"")</f>
        <v/>
      </c>
      <c r="S21" s="18">
        <f>IFERROR(VLOOKUP($D21,BS별도,MATCH(S$1,BS별도H,0),0)/100,"")</f>
        <v/>
      </c>
      <c r="T21" s="18">
        <f>IFERROR(VLOOKUP($D21,BS별도,MATCH(T$1,BS별도H,0),0)/100,"")</f>
        <v/>
      </c>
      <c r="U21" s="37">
        <f>T21</f>
        <v/>
      </c>
      <c r="V21" s="18">
        <f>IFERROR(VLOOKUP($D21,BS별도,MATCH(V$1,BS별도H,0),0)/100,"")</f>
        <v/>
      </c>
      <c r="W21" s="19">
        <f>IFERROR(VLOOKUP($D21,BS별도,MATCH(W$1,BS별도H,0),0)/100,"")</f>
        <v/>
      </c>
      <c r="X21" s="20">
        <f>IFERROR(W21*(1+변수!X29),"")</f>
        <v/>
      </c>
      <c r="Y21" s="20">
        <f>IFERROR(X21*(1+변수!Y29),"")</f>
        <v/>
      </c>
      <c r="Z21" s="38">
        <f>Y21</f>
        <v/>
      </c>
      <c r="AA21" s="20">
        <f>IFERROR(Y21*(1+변수!AA29),"")</f>
        <v/>
      </c>
      <c r="AB21" s="20">
        <f>IFERROR(AA21*(1+변수!AB29),"")</f>
        <v/>
      </c>
      <c r="AC21" s="20">
        <f>IFERROR(AB21*(1+변수!AC29),"")</f>
        <v/>
      </c>
      <c r="AD21" s="20">
        <f>IFERROR(AC21*(1+변수!AD29),"")</f>
        <v/>
      </c>
      <c r="AE21" s="38">
        <f>AD21</f>
        <v/>
      </c>
      <c r="AF21" s="20">
        <f>IFERROR(AD21*(1+변수!AF29),"")</f>
        <v/>
      </c>
      <c r="AG21" s="20">
        <f>IFERROR(AF21*(1+변수!AG29),"")</f>
        <v/>
      </c>
      <c r="AH21" s="20">
        <f>IFERROR(AG21*(1+변수!AH29),"")</f>
        <v/>
      </c>
      <c r="AI21" s="20">
        <f>IFERROR(AH21*(1+변수!AI29),"")</f>
        <v/>
      </c>
      <c r="AJ21" s="38">
        <f>AI21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IFERROR(VLOOKUP($D22,BS별도,MATCH(E$1,BS별도H,0),0)/100,"")</f>
        <v/>
      </c>
      <c r="F22" s="37" t="n">
        <v>506.53</v>
      </c>
      <c r="G22" s="18" t="n"/>
      <c r="H22" s="18" t="n"/>
      <c r="I22" s="18" t="n"/>
      <c r="J22" s="18">
        <f>IFERROR(VLOOKUP($D22,BS별도,MATCH(J$1,BS별도H,0),0)/100,"")</f>
        <v/>
      </c>
      <c r="K22" s="37">
        <f>J22</f>
        <v/>
      </c>
      <c r="L22" s="18" t="n"/>
      <c r="M22" s="18" t="n"/>
      <c r="N22" s="18" t="n"/>
      <c r="O22" s="18">
        <f>IFERROR(VLOOKUP($D22,BS별도,MATCH(O$1,BS별도H,0),0)/100,"")</f>
        <v/>
      </c>
      <c r="P22" s="37">
        <f>O22</f>
        <v/>
      </c>
      <c r="Q22" s="18" t="n"/>
      <c r="R22" s="18">
        <f>IFERROR(VLOOKUP($D22,BS별도,MATCH(R$1,BS별도H,0),0)/100,"")</f>
        <v/>
      </c>
      <c r="S22" s="18">
        <f>IFERROR(VLOOKUP($D22,BS별도,MATCH(S$1,BS별도H,0),0)/100,"")</f>
        <v/>
      </c>
      <c r="T22" s="18">
        <f>IFERROR(VLOOKUP($D22,BS별도,MATCH(T$1,BS별도H,0),0)/100,"")</f>
        <v/>
      </c>
      <c r="U22" s="37">
        <f>T22</f>
        <v/>
      </c>
      <c r="V22" s="18">
        <f>IFERROR(VLOOKUP($D22,BS별도,MATCH(V$1,BS별도H,0),0)/100,"")</f>
        <v/>
      </c>
      <c r="W22" s="19">
        <f>IFERROR(VLOOKUP($D22,BS별도,MATCH(W$1,BS별도H,0),0)/100,"")</f>
        <v/>
      </c>
      <c r="X22" s="20">
        <f>IFERROR(W22+X18-변수!X30,"")</f>
        <v/>
      </c>
      <c r="Y22" s="20">
        <f>IFERROR(X22+Y18-변수!Y30,"")</f>
        <v/>
      </c>
      <c r="Z22" s="38">
        <f>Y22</f>
        <v/>
      </c>
      <c r="AA22" s="20">
        <f>IFERROR(Y22+AA18-변수!AA30,"")</f>
        <v/>
      </c>
      <c r="AB22" s="20">
        <f>IFERROR(AA22+AB18-변수!AB30,"")</f>
        <v/>
      </c>
      <c r="AC22" s="20">
        <f>IFERROR(AB22+AC18-변수!AC30,"")</f>
        <v/>
      </c>
      <c r="AD22" s="20">
        <f>IFERROR(AC22+AD18-변수!AD30,"")</f>
        <v/>
      </c>
      <c r="AE22" s="38">
        <f>AD22</f>
        <v/>
      </c>
      <c r="AF22" s="20">
        <f>IFERROR(AD22+AF18-변수!AF30,"")</f>
        <v/>
      </c>
      <c r="AG22" s="20">
        <f>IFERROR(AF22+AG18-변수!AG30,"")</f>
        <v/>
      </c>
      <c r="AH22" s="20">
        <f>IFERROR(AG22+AH18-변수!AH30,"")</f>
        <v/>
      </c>
      <c r="AI22" s="20">
        <f>IFERROR(AH22+AI18-변수!AI30,"")</f>
        <v/>
      </c>
      <c r="AJ22" s="38">
        <f>AI22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IFERROR(VLOOKUP($D23,BS별도,MATCH(E$1,BS별도H,0),0)/100,"")</f>
        <v/>
      </c>
      <c r="F23" s="37" t="n">
        <v>506.53</v>
      </c>
      <c r="G23" s="18" t="n"/>
      <c r="H23" s="18" t="n"/>
      <c r="I23" s="18" t="n"/>
      <c r="J23" s="18">
        <f>IFERROR(VLOOKUP($D23,BS별도,MATCH(J$1,BS별도H,0),0)/100,"")</f>
        <v/>
      </c>
      <c r="K23" s="37">
        <f>J23</f>
        <v/>
      </c>
      <c r="L23" s="18" t="n"/>
      <c r="M23" s="18" t="n"/>
      <c r="N23" s="18" t="n"/>
      <c r="O23" s="18">
        <f>IFERROR(VLOOKUP($D23,BS별도,MATCH(O$1,BS별도H,0),0)/100,"")</f>
        <v/>
      </c>
      <c r="P23" s="37">
        <f>O23</f>
        <v/>
      </c>
      <c r="Q23" s="18" t="n"/>
      <c r="R23" s="18">
        <f>IFERROR(VLOOKUP($D23,BS별도,MATCH(R$1,BS별도H,0),0)/100,"")</f>
        <v/>
      </c>
      <c r="S23" s="18">
        <f>IFERROR(VLOOKUP($D23,BS별도,MATCH(S$1,BS별도H,0),0)/100,"")</f>
        <v/>
      </c>
      <c r="T23" s="18">
        <f>IFERROR(VLOOKUP($D23,BS별도,MATCH(T$1,BS별도H,0),0)/100,"")</f>
        <v/>
      </c>
      <c r="U23" s="37">
        <f>T23</f>
        <v/>
      </c>
      <c r="V23" s="18">
        <f>IFERROR(VLOOKUP($D23,BS별도,MATCH(V$1,BS별도H,0),0)/100,"")</f>
        <v/>
      </c>
      <c r="W23" s="19">
        <f>IFERROR(VLOOKUP($D23,BS별도,MATCH(W$1,BS별도H,0),0)/100,"")</f>
        <v/>
      </c>
      <c r="X23" s="20">
        <f>IFERROR(W23+X19-변수!X31,"")</f>
        <v/>
      </c>
      <c r="Y23" s="20">
        <f>IFERROR(X23+Y19-변수!Y31,"")</f>
        <v/>
      </c>
      <c r="Z23" s="38">
        <f>Y23</f>
        <v/>
      </c>
      <c r="AA23" s="20">
        <f>IFERROR(Y23+AA19-변수!AA31,"")</f>
        <v/>
      </c>
      <c r="AB23" s="20">
        <f>IFERROR(AA23+AB19-변수!AB31,"")</f>
        <v/>
      </c>
      <c r="AC23" s="20">
        <f>IFERROR(AB23+AC19-변수!AC31,"")</f>
        <v/>
      </c>
      <c r="AD23" s="20">
        <f>IFERROR(AC23+AD19-변수!AD31,"")</f>
        <v/>
      </c>
      <c r="AE23" s="38">
        <f>AD23</f>
        <v/>
      </c>
      <c r="AF23" s="20">
        <f>IFERROR(AD23+AF19-변수!AF31,"")</f>
        <v/>
      </c>
      <c r="AG23" s="20">
        <f>IFERROR(AF23+AG19-변수!AG31,"")</f>
        <v/>
      </c>
      <c r="AH23" s="20">
        <f>IFERROR(AG23+AH19-변수!AH31,"")</f>
        <v/>
      </c>
      <c r="AI23" s="20">
        <f>IFERROR(AH23+AI19-변수!AI31,"")</f>
        <v/>
      </c>
      <c r="AJ23" s="38">
        <f>AI23</f>
        <v/>
      </c>
    </row>
    <row r="24">
      <c r="A24" s="12" t="inlineStr">
        <is>
          <t>총차입금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총차입금</t>
        </is>
      </c>
      <c r="E24" s="18">
        <f>IFERROR(VLOOKUP($D24,BS별도,MATCH(E$1,BS별도H,0),0)/100,"")</f>
        <v/>
      </c>
      <c r="F24" s="37" t="n">
        <v>672.66</v>
      </c>
      <c r="G24" s="18" t="n"/>
      <c r="H24" s="18" t="n"/>
      <c r="I24" s="18" t="n"/>
      <c r="J24" s="18">
        <f>IFERROR(VLOOKUP($D24,BS별도,MATCH(J$1,BS별도H,0),0)/100,"")</f>
        <v/>
      </c>
      <c r="K24" s="37">
        <f>J24</f>
        <v/>
      </c>
      <c r="L24" s="18" t="n"/>
      <c r="M24" s="18" t="n"/>
      <c r="N24" s="18" t="n"/>
      <c r="O24" s="18">
        <f>IFERROR(VLOOKUP($D24,BS별도,MATCH(O$1,BS별도H,0),0)/100,"")</f>
        <v/>
      </c>
      <c r="P24" s="37">
        <f>O24</f>
        <v/>
      </c>
      <c r="Q24" s="18" t="n"/>
      <c r="R24" s="18">
        <f>IFERROR(VLOOKUP($D24,BS별도,MATCH(R$1,BS별도H,0),0)/100,"")</f>
        <v/>
      </c>
      <c r="S24" s="18">
        <f>IFERROR(VLOOKUP($D24,BS별도,MATCH(S$1,BS별도H,0),0)/100,"")</f>
        <v/>
      </c>
      <c r="T24" s="18">
        <f>IFERROR(VLOOKUP($D24,BS별도,MATCH(T$1,BS별도H,0),0)/100,"")</f>
        <v/>
      </c>
      <c r="U24" s="37">
        <f>T24</f>
        <v/>
      </c>
      <c r="V24" s="18">
        <f>IFERROR(VLOOKUP($D24,BS별도,MATCH(V$1,BS별도H,0),0)/100,"")</f>
        <v/>
      </c>
      <c r="W24" s="19">
        <f>IFERROR(VLOOKUP($D24,BS별도,MATCH(W$1,BS별도H,0),0)/100,"")</f>
        <v/>
      </c>
      <c r="X24" s="20">
        <f>IFERROR(W24*(1+변수!X32),"")</f>
        <v/>
      </c>
      <c r="Y24" s="20">
        <f>IFERROR(X24*(1+변수!Y32),"")</f>
        <v/>
      </c>
      <c r="Z24" s="38">
        <f>Y24</f>
        <v/>
      </c>
      <c r="AA24" s="20">
        <f>IFERROR(Y24*(1+변수!AA32),"")</f>
        <v/>
      </c>
      <c r="AB24" s="20">
        <f>IFERROR(AA24*(1+변수!AB32),"")</f>
        <v/>
      </c>
      <c r="AC24" s="20">
        <f>IFERROR(AB24*(1+변수!AC32),"")</f>
        <v/>
      </c>
      <c r="AD24" s="20">
        <f>IFERROR(AC24*(1+변수!AD32),"")</f>
        <v/>
      </c>
      <c r="AE24" s="38">
        <f>AD24</f>
        <v/>
      </c>
      <c r="AF24" s="20">
        <f>IFERROR(AD24*(1+변수!AF32),"")</f>
        <v/>
      </c>
      <c r="AG24" s="20">
        <f>IFERROR(AF24*(1+변수!AG32),"")</f>
        <v/>
      </c>
      <c r="AH24" s="20">
        <f>IFERROR(AG24*(1+변수!AH32),"")</f>
        <v/>
      </c>
      <c r="AI24" s="20">
        <f>IFERROR(AH24*(1+변수!AI32),"")</f>
        <v/>
      </c>
      <c r="AJ24" s="38">
        <f>AI24</f>
        <v/>
      </c>
    </row>
    <row r="25">
      <c r="A25" s="12" t="inlineStr">
        <is>
          <t>순차입금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순차입금</t>
        </is>
      </c>
      <c r="E25" s="18">
        <f>IFERROR(VLOOKUP($D25,BS별도,MATCH(E$1,BS별도H,0),0)/100,"")</f>
        <v/>
      </c>
      <c r="F25" s="37" t="n">
        <v>662.6</v>
      </c>
      <c r="G25" s="18" t="n"/>
      <c r="H25" s="18" t="n"/>
      <c r="I25" s="18" t="n"/>
      <c r="J25" s="18">
        <f>IFERROR(VLOOKUP($D25,BS별도,MATCH(J$1,BS별도H,0),0)/100,"")</f>
        <v/>
      </c>
      <c r="K25" s="37">
        <f>J25</f>
        <v/>
      </c>
      <c r="L25" s="18" t="n"/>
      <c r="M25" s="18" t="n"/>
      <c r="N25" s="18" t="n"/>
      <c r="O25" s="18">
        <f>IFERROR(VLOOKUP($D25,BS별도,MATCH(O$1,BS별도H,0),0)/100,"")</f>
        <v/>
      </c>
      <c r="P25" s="37">
        <f>O25</f>
        <v/>
      </c>
      <c r="Q25" s="18" t="n"/>
      <c r="R25" s="18">
        <f>IFERROR(VLOOKUP($D25,BS별도,MATCH(R$1,BS별도H,0),0)/100,"")</f>
        <v/>
      </c>
      <c r="S25" s="18">
        <f>IFERROR(VLOOKUP($D25,BS별도,MATCH(S$1,BS별도H,0),0)/100,"")</f>
        <v/>
      </c>
      <c r="T25" s="18">
        <f>IFERROR(VLOOKUP($D25,BS별도,MATCH(T$1,BS별도H,0),0)/100,"")</f>
        <v/>
      </c>
      <c r="U25" s="37">
        <f>T25</f>
        <v/>
      </c>
      <c r="V25" s="18">
        <f>IFERROR(VLOOKUP($D25,BS별도,MATCH(V$1,BS별도H,0),0)/100,"")</f>
        <v/>
      </c>
      <c r="W25" s="19">
        <f>IFERROR(VLOOKUP($D25,BS별도,MATCH(W$1,BS별도H,0),0)/100,"")</f>
        <v/>
      </c>
      <c r="X25" s="20">
        <f>IFERROR(W25*(1+변수!X33),"")</f>
        <v/>
      </c>
      <c r="Y25" s="20">
        <f>IFERROR(X25*(1+변수!Y33),"")</f>
        <v/>
      </c>
      <c r="Z25" s="38">
        <f>Y25</f>
        <v/>
      </c>
      <c r="AA25" s="20">
        <f>IFERROR(Y25*(1+변수!AA33),"")</f>
        <v/>
      </c>
      <c r="AB25" s="20">
        <f>IFERROR(AA25*(1+변수!AB33),"")</f>
        <v/>
      </c>
      <c r="AC25" s="20">
        <f>IFERROR(AB25*(1+변수!AC33),"")</f>
        <v/>
      </c>
      <c r="AD25" s="20">
        <f>IFERROR(AC25*(1+변수!AD33),"")</f>
        <v/>
      </c>
      <c r="AE25" s="38">
        <f>AD25</f>
        <v/>
      </c>
      <c r="AF25" s="20">
        <f>IFERROR(AD25*(1+변수!AF33),"")</f>
        <v/>
      </c>
      <c r="AG25" s="20">
        <f>IFERROR(AF25*(1+변수!AG33),"")</f>
        <v/>
      </c>
      <c r="AH25" s="20">
        <f>IFERROR(AG25*(1+변수!AH33),"")</f>
        <v/>
      </c>
      <c r="AI25" s="20">
        <f>IFERROR(AH25*(1+변수!AI33),"")</f>
        <v/>
      </c>
      <c r="AJ25" s="38">
        <f>AI25</f>
        <v/>
      </c>
    </row>
    <row r="26">
      <c r="A26" s="12" t="inlineStr">
        <is>
          <t>이자발생자산</t>
        </is>
      </c>
      <c r="B26" t="inlineStr">
        <is>
          <t>재무상태</t>
        </is>
      </c>
      <c r="C26" t="inlineStr">
        <is>
          <t>억원</t>
        </is>
      </c>
      <c r="D26" t="inlineStr">
        <is>
          <t>이자발생자산</t>
        </is>
      </c>
      <c r="E26" s="18">
        <f>IFERROR(VLOOKUP($D26,BS별도,MATCH(E$1,BS별도H,0),0)/100,"")</f>
        <v/>
      </c>
      <c r="F26" s="37" t="n">
        <v>10.12</v>
      </c>
      <c r="G26" s="18" t="n"/>
      <c r="H26" s="18" t="n"/>
      <c r="I26" s="18" t="n"/>
      <c r="J26" s="18">
        <f>IFERROR(VLOOKUP($D26,BS별도,MATCH(J$1,BS별도H,0),0)/100,"")</f>
        <v/>
      </c>
      <c r="K26" s="37">
        <f>J26</f>
        <v/>
      </c>
      <c r="L26" s="18" t="n"/>
      <c r="M26" s="18" t="n"/>
      <c r="N26" s="18" t="n"/>
      <c r="O26" s="18">
        <f>IFERROR(VLOOKUP($D26,BS별도,MATCH(O$1,BS별도H,0),0)/100,"")</f>
        <v/>
      </c>
      <c r="P26" s="37">
        <f>O26</f>
        <v/>
      </c>
      <c r="Q26" s="18" t="n"/>
      <c r="R26" s="18">
        <f>IFERROR(VLOOKUP($D26,BS별도,MATCH(R$1,BS별도H,0),0)/100,"")</f>
        <v/>
      </c>
      <c r="S26" s="18">
        <f>IFERROR(VLOOKUP($D26,BS별도,MATCH(S$1,BS별도H,0),0)/100,"")</f>
        <v/>
      </c>
      <c r="T26" s="18">
        <f>IFERROR(VLOOKUP($D26,BS별도,MATCH(T$1,BS별도H,0),0)/100,"")</f>
        <v/>
      </c>
      <c r="U26" s="37">
        <f>T26</f>
        <v/>
      </c>
      <c r="V26" s="18">
        <f>IFERROR(VLOOKUP($D26,BS별도,MATCH(V$1,BS별도H,0),0)/100,"")</f>
        <v/>
      </c>
      <c r="W26" s="19">
        <f>IFERROR(VLOOKUP($D26,BS별도,MATCH(W$1,BS별도H,0),0)/100,"")</f>
        <v/>
      </c>
      <c r="X26" s="20">
        <f>IFERROR(W26*(1+변수!X34),"")</f>
        <v/>
      </c>
      <c r="Y26" s="20">
        <f>IFERROR(X26*(1+변수!Y34),"")</f>
        <v/>
      </c>
      <c r="Z26" s="38">
        <f>Y26</f>
        <v/>
      </c>
      <c r="AA26" s="20">
        <f>IFERROR(Y26*(1+변수!AA34),"")</f>
        <v/>
      </c>
      <c r="AB26" s="20">
        <f>IFERROR(AA26*(1+변수!AB34),"")</f>
        <v/>
      </c>
      <c r="AC26" s="20">
        <f>IFERROR(AB26*(1+변수!AC34),"")</f>
        <v/>
      </c>
      <c r="AD26" s="20">
        <f>IFERROR(AC26*(1+변수!AD34),"")</f>
        <v/>
      </c>
      <c r="AE26" s="38">
        <f>AD26</f>
        <v/>
      </c>
      <c r="AF26" s="20">
        <f>IFERROR(AD26*(1+변수!AF34),"")</f>
        <v/>
      </c>
      <c r="AG26" s="20">
        <f>IFERROR(AF26*(1+변수!AG34),"")</f>
        <v/>
      </c>
      <c r="AH26" s="20">
        <f>IFERROR(AG26*(1+변수!AH34),"")</f>
        <v/>
      </c>
      <c r="AI26" s="20">
        <f>IFERROR(AH26*(1+변수!AI34),"")</f>
        <v/>
      </c>
      <c r="AJ26" s="38">
        <f>AI26</f>
        <v/>
      </c>
    </row>
    <row r="27">
      <c r="A27" s="12" t="inlineStr">
        <is>
          <t>현금및현금성자산</t>
        </is>
      </c>
      <c r="B27" t="inlineStr">
        <is>
          <t>재무상태</t>
        </is>
      </c>
      <c r="C27" t="inlineStr">
        <is>
          <t>억원</t>
        </is>
      </c>
      <c r="D27" t="inlineStr">
        <is>
          <t>현금및현금성자산</t>
        </is>
      </c>
      <c r="E27" s="18">
        <f>IFERROR(VLOOKUP($D27,BS별도,MATCH(E$1,BS별도H,0),0)/100,"")</f>
        <v/>
      </c>
      <c r="F27" s="37" t="n">
        <v>10.06</v>
      </c>
      <c r="G27" s="18" t="n"/>
      <c r="H27" s="18" t="n"/>
      <c r="I27" s="18" t="n"/>
      <c r="J27" s="18">
        <f>IFERROR(VLOOKUP($D27,BS별도,MATCH(J$1,BS별도H,0),0)/100,"")</f>
        <v/>
      </c>
      <c r="K27" s="37">
        <f>J27</f>
        <v/>
      </c>
      <c r="L27" s="18" t="n"/>
      <c r="M27" s="18" t="n"/>
      <c r="N27" s="18" t="n"/>
      <c r="O27" s="18">
        <f>IFERROR(VLOOKUP($D27,BS별도,MATCH(O$1,BS별도H,0),0)/100,"")</f>
        <v/>
      </c>
      <c r="P27" s="37">
        <f>O27</f>
        <v/>
      </c>
      <c r="Q27" s="18" t="n"/>
      <c r="R27" s="18">
        <f>IFERROR(VLOOKUP($D27,BS별도,MATCH(R$1,BS별도H,0),0)/100,"")</f>
        <v/>
      </c>
      <c r="S27" s="18">
        <f>IFERROR(VLOOKUP($D27,BS별도,MATCH(S$1,BS별도H,0),0)/100,"")</f>
        <v/>
      </c>
      <c r="T27" s="18">
        <f>IFERROR(VLOOKUP($D27,BS별도,MATCH(T$1,BS별도H,0),0)/100,"")</f>
        <v/>
      </c>
      <c r="U27" s="37">
        <f>T27</f>
        <v/>
      </c>
      <c r="V27" s="18">
        <f>IFERROR(VLOOKUP($D27,BS별도,MATCH(V$1,BS별도H,0),0)/100,"")</f>
        <v/>
      </c>
      <c r="W27" s="19">
        <f>IFERROR(VLOOKUP($D27,BS별도,MATCH(W$1,BS별도H,0),0)/100,"")</f>
        <v/>
      </c>
      <c r="X27" s="20" t="n"/>
      <c r="Y27" s="20" t="n"/>
      <c r="Z27" s="38">
        <f>Y27</f>
        <v/>
      </c>
      <c r="AA27" s="20" t="n"/>
      <c r="AB27" s="20" t="n"/>
      <c r="AC27" s="20" t="n"/>
      <c r="AD27" s="20" t="n"/>
      <c r="AE27" s="38">
        <f>AD27</f>
        <v/>
      </c>
      <c r="AF27" s="20" t="n"/>
      <c r="AG27" s="20" t="n"/>
      <c r="AH27" s="20" t="n"/>
      <c r="AI27" s="20" t="n"/>
      <c r="AJ27" s="38">
        <f>AI27</f>
        <v/>
      </c>
    </row>
    <row r="28">
      <c r="A28" s="12" t="inlineStr">
        <is>
          <t>CAPEX</t>
        </is>
      </c>
      <c r="B28" t="inlineStr">
        <is>
          <t>현금흐름</t>
        </is>
      </c>
      <c r="C28" t="inlineStr">
        <is>
          <t>억원</t>
        </is>
      </c>
      <c r="D28" t="inlineStr">
        <is>
          <t>CAPEX</t>
        </is>
      </c>
      <c r="E28" s="18" t="n"/>
      <c r="F28" s="37" t="n"/>
      <c r="G28" s="18" t="n"/>
      <c r="H28" s="18" t="n"/>
      <c r="I28" s="18" t="n"/>
      <c r="J28" s="18" t="n"/>
      <c r="K28" s="37">
        <f>SUM(G28:J28)</f>
        <v/>
      </c>
      <c r="L28" s="18" t="n"/>
      <c r="M28" s="18" t="n"/>
      <c r="N28" s="18" t="n"/>
      <c r="O28" s="18" t="n"/>
      <c r="P28" s="37">
        <f>SUM(L28:O28)</f>
        <v/>
      </c>
      <c r="Q28" s="18" t="n"/>
      <c r="R28" s="18" t="n"/>
      <c r="S28" s="18" t="n"/>
      <c r="T28" s="18" t="n"/>
      <c r="U28" s="37">
        <f>SUM(Q28:T28)</f>
        <v/>
      </c>
      <c r="V28" s="18">
        <f>IFERROR(VLOOKUP($D28,BS별도,MATCH(V$1,BS별도H,0),0)/100,"")</f>
        <v/>
      </c>
      <c r="W28" s="19">
        <f>IFERROR(VLOOKUP($D28,BS별도,MATCH(W$1,BS별도H,0),0)/100,"")</f>
        <v/>
      </c>
      <c r="X28" s="20">
        <f>IFERROR(W28*(1+변수!X36),"")</f>
        <v/>
      </c>
      <c r="Y28" s="20">
        <f>IFERROR(X28*(1+변수!Y36),"")</f>
        <v/>
      </c>
      <c r="Z28" s="38">
        <f>SUM(V28:Y28)</f>
        <v/>
      </c>
      <c r="AA28" s="20">
        <f>IFERROR(V28*(1+변수!AA36),"")</f>
        <v/>
      </c>
      <c r="AB28" s="20">
        <f>IFERROR(W28*(1+변수!AB36),"")</f>
        <v/>
      </c>
      <c r="AC28" s="20">
        <f>IFERROR(X28*(1+변수!AC36),"")</f>
        <v/>
      </c>
      <c r="AD28" s="20">
        <f>IFERROR(Y28*(1+변수!AD36),"")</f>
        <v/>
      </c>
      <c r="AE28" s="38">
        <f>SUM(AA28:AD28)</f>
        <v/>
      </c>
      <c r="AF28" s="20">
        <f>IFERROR(AA28*(1+변수!AF36),"")</f>
        <v/>
      </c>
      <c r="AG28" s="20">
        <f>IFERROR(AB28*(1+변수!AG36),"")</f>
        <v/>
      </c>
      <c r="AH28" s="20">
        <f>IFERROR(AC28*(1+변수!AH36),"")</f>
        <v/>
      </c>
      <c r="AI28" s="20">
        <f>IFERROR(AD28*(1+변수!AI36),"")</f>
        <v/>
      </c>
      <c r="AJ28" s="38">
        <f>SUM(AF28:AI28)</f>
        <v/>
      </c>
    </row>
    <row r="29">
      <c r="A29" s="12" t="inlineStr">
        <is>
          <t>영업활동현금흐름</t>
        </is>
      </c>
      <c r="B29" t="inlineStr">
        <is>
          <t>현금흐름</t>
        </is>
      </c>
      <c r="C29" t="inlineStr">
        <is>
          <t>억원</t>
        </is>
      </c>
      <c r="D29" t="inlineStr">
        <is>
          <t>영업활동으로인한현금흐름</t>
        </is>
      </c>
      <c r="E29" s="18" t="n"/>
      <c r="F29" s="37" t="n"/>
      <c r="G29" s="18" t="n"/>
      <c r="H29" s="18" t="n"/>
      <c r="I29" s="18" t="n"/>
      <c r="J29" s="18" t="n"/>
      <c r="K29" s="37">
        <f>SUM(G29:J29)</f>
        <v/>
      </c>
      <c r="L29" s="18" t="n"/>
      <c r="M29" s="18" t="n"/>
      <c r="N29" s="18" t="n"/>
      <c r="O29" s="18">
        <f>IFERROR(VLOOKUP($D29,BS별도,MATCH(O$1,BS별도H,0),0)/100,"")</f>
        <v/>
      </c>
      <c r="P29" s="37">
        <f>SUM(L29:O29)</f>
        <v/>
      </c>
      <c r="Q29" s="18" t="n"/>
      <c r="R29" s="18">
        <f>IFERROR(VLOOKUP($D29,BS별도,MATCH(R$1,BS별도H,0),0)/100,"")</f>
        <v/>
      </c>
      <c r="S29" s="18">
        <f>IFERROR(VLOOKUP($D29,BS별도,MATCH(S$1,BS별도H,0),0)/100,"")</f>
        <v/>
      </c>
      <c r="T29" s="18">
        <f>IFERROR(VLOOKUP($D29,BS별도,MATCH(T$1,BS별도H,0),0)/100,"")</f>
        <v/>
      </c>
      <c r="U29" s="37">
        <f>SUM(Q29:T29)</f>
        <v/>
      </c>
      <c r="V29" s="18">
        <f>IFERROR(VLOOKUP($D29,BS별도,MATCH(V$1,BS별도H,0),0)/100,"")</f>
        <v/>
      </c>
      <c r="W29" s="19">
        <f>IFERROR(VLOOKUP($D29,BS별도,MATCH(W$1,BS별도H,0),0)/100,"")</f>
        <v/>
      </c>
      <c r="X29" s="20" t="n"/>
      <c r="Y29" s="20" t="n"/>
      <c r="Z29" s="38">
        <f>SUM(V29:Y29)</f>
        <v/>
      </c>
      <c r="AA29" s="20" t="n"/>
      <c r="AB29" s="20" t="n"/>
      <c r="AC29" s="20" t="n"/>
      <c r="AD29" s="20" t="n"/>
      <c r="AE29" s="38">
        <f>SUM(AA29:AD29)</f>
        <v/>
      </c>
      <c r="AF29" s="20" t="n"/>
      <c r="AG29" s="20" t="n"/>
      <c r="AH29" s="20" t="n"/>
      <c r="AI29" s="20" t="n"/>
      <c r="AJ29" s="38">
        <f>SUM(AF29:AI29)</f>
        <v/>
      </c>
    </row>
    <row r="30">
      <c r="A30" s="12" t="inlineStr">
        <is>
          <t>주식수</t>
        </is>
      </c>
      <c r="B30" t="inlineStr">
        <is>
          <t>주당</t>
        </is>
      </c>
      <c r="C30" t="inlineStr">
        <is>
          <t>백만주</t>
        </is>
      </c>
      <c r="D30" t="inlineStr">
        <is>
          <t>유통주식수</t>
        </is>
      </c>
      <c r="E30" s="33" t="n">
        <v>15.7999425</v>
      </c>
      <c r="F30" s="28">
        <f>E30</f>
        <v/>
      </c>
      <c r="G30" s="33" t="n">
        <v>15.7999425</v>
      </c>
      <c r="H30" s="33" t="n">
        <v>15.7999425</v>
      </c>
      <c r="I30" s="33" t="n">
        <v>15.7999425</v>
      </c>
      <c r="J30" s="33" t="n">
        <v>17.7999425</v>
      </c>
      <c r="K30" s="28">
        <f>J30</f>
        <v/>
      </c>
      <c r="L30" s="33" t="n">
        <v>17.7999425</v>
      </c>
      <c r="M30" s="33" t="n">
        <v>17.7999425</v>
      </c>
      <c r="N30" s="33" t="n">
        <v>17.7999425</v>
      </c>
      <c r="O30" s="33" t="n">
        <v>17.7999425</v>
      </c>
      <c r="P30" s="28">
        <f>O30</f>
        <v/>
      </c>
      <c r="Q30" s="33" t="n">
        <v>17.7999425</v>
      </c>
      <c r="R30" s="27" t="n">
        <v>19.767</v>
      </c>
      <c r="S30" s="27" t="n">
        <v>19.767</v>
      </c>
      <c r="T30" s="27" t="n">
        <v>22.19</v>
      </c>
      <c r="U30" s="28">
        <f>T30</f>
        <v/>
      </c>
      <c r="V30" s="27" t="n">
        <v>22.19</v>
      </c>
      <c r="W30" s="29" t="n">
        <v>23.05</v>
      </c>
      <c r="X30" s="33">
        <f>IFERROR(W30*(1+변수!X38),"")</f>
        <v/>
      </c>
      <c r="Y30" s="33">
        <f>IFERROR(X30*(1+변수!Y38),"")</f>
        <v/>
      </c>
      <c r="Z30" s="31">
        <f>Y30</f>
        <v/>
      </c>
      <c r="AA30" s="33">
        <f>IFERROR(Y30*(1+변수!AA38),"")</f>
        <v/>
      </c>
      <c r="AB30" s="33">
        <f>IFERROR(AA30*(1+변수!AB38),"")</f>
        <v/>
      </c>
      <c r="AC30" s="33">
        <f>IFERROR(AB30*(1+변수!AC38),"")</f>
        <v/>
      </c>
      <c r="AD30" s="33">
        <f>IFERROR(AC30*(1+변수!AD38),"")</f>
        <v/>
      </c>
      <c r="AE30" s="31">
        <f>AD30</f>
        <v/>
      </c>
      <c r="AF30" s="33">
        <f>IFERROR(AD30*(1+변수!AF38),"")</f>
        <v/>
      </c>
      <c r="AG30" s="33">
        <f>IFERROR(AF30*(1+변수!AG38),"")</f>
        <v/>
      </c>
      <c r="AH30" s="33">
        <f>IFERROR(AG30*(1+변수!AH38),"")</f>
        <v/>
      </c>
      <c r="AI30" s="33">
        <f>IFERROR(AH30*(1+변수!AI38),"")</f>
        <v/>
      </c>
      <c r="AJ30" s="31">
        <f>AI30</f>
        <v/>
      </c>
    </row>
    <row r="31">
      <c r="A31" s="12" t="inlineStr">
        <is>
          <t>EPS</t>
        </is>
      </c>
      <c r="B31" t="inlineStr">
        <is>
          <t>주당</t>
        </is>
      </c>
      <c r="C31" t="inlineStr">
        <is>
          <t>원</t>
        </is>
      </c>
      <c r="D31" t="inlineStr">
        <is>
          <t>EPS</t>
        </is>
      </c>
      <c r="E31" s="18" t="n"/>
      <c r="F31" s="37" t="n"/>
      <c r="G31" s="18" t="n"/>
      <c r="H31" s="18" t="n"/>
      <c r="I31" s="18" t="n"/>
      <c r="J31" s="18" t="n"/>
      <c r="K31" s="37">
        <f>SUM(G31:J31)</f>
        <v/>
      </c>
      <c r="L31" s="18" t="n"/>
      <c r="M31" s="18" t="n"/>
      <c r="N31" s="18" t="n"/>
      <c r="O31" s="18">
        <f>IFERROR(O19*100/O30,"")</f>
        <v/>
      </c>
      <c r="P31" s="37">
        <f>SUM(L31:O31)</f>
        <v/>
      </c>
      <c r="Q31" s="18" t="n"/>
      <c r="R31" s="18">
        <f>IFERROR(R19*100/R30,"")</f>
        <v/>
      </c>
      <c r="S31" s="18">
        <f>IFERROR(S19*100/S30,"")</f>
        <v/>
      </c>
      <c r="T31" s="18">
        <f>IFERROR(T19*100/T30,"")</f>
        <v/>
      </c>
      <c r="U31" s="37">
        <f>SUM(Q31:T31)</f>
        <v/>
      </c>
      <c r="V31" s="18">
        <f>IFERROR(V19*100/V30,"")</f>
        <v/>
      </c>
      <c r="W31" s="19">
        <f>IFERROR(W19*100/W30,"")</f>
        <v/>
      </c>
      <c r="X31" s="20">
        <f>IFERROR(X19*100/X30,"")</f>
        <v/>
      </c>
      <c r="Y31" s="20">
        <f>IFERROR(Y19*100/Y30,"")</f>
        <v/>
      </c>
      <c r="Z31" s="38">
        <f>SUM(V31:Y31)</f>
        <v/>
      </c>
      <c r="AA31" s="20">
        <f>IFERROR(AA19*100/AA30,"")</f>
        <v/>
      </c>
      <c r="AB31" s="20">
        <f>IFERROR(AB19*100/AB30,"")</f>
        <v/>
      </c>
      <c r="AC31" s="20">
        <f>IFERROR(AC19*100/AC30,"")</f>
        <v/>
      </c>
      <c r="AD31" s="20">
        <f>IFERROR(AD19*100/AD30,"")</f>
        <v/>
      </c>
      <c r="AE31" s="38">
        <f>SUM(AA31:AD31)</f>
        <v/>
      </c>
      <c r="AF31" s="20">
        <f>IFERROR(AF19*100/AF30,"")</f>
        <v/>
      </c>
      <c r="AG31" s="20">
        <f>IFERROR(AG19*100/AG30,"")</f>
        <v/>
      </c>
      <c r="AH31" s="20">
        <f>IFERROR(AH19*100/AH30,"")</f>
        <v/>
      </c>
      <c r="AI31" s="20">
        <f>IFERROR(AI19*100/AI30,"")</f>
        <v/>
      </c>
      <c r="AJ31" s="38">
        <f>SUM(AF31:AI31)</f>
        <v/>
      </c>
    </row>
    <row r="32">
      <c r="A32" s="12" t="inlineStr">
        <is>
          <t>조정EPS</t>
        </is>
      </c>
      <c r="B32" t="inlineStr">
        <is>
          <t>주당</t>
        </is>
      </c>
      <c r="C32" t="inlineStr">
        <is>
          <t>원</t>
        </is>
      </c>
      <c r="D32" t="inlineStr">
        <is>
          <t>조정 EPS(일회성 의심 분기의 초과 비영업손익 세후 차감 — 모델 추정)</t>
        </is>
      </c>
      <c r="E32" s="18" t="n"/>
      <c r="F32" s="37" t="n"/>
      <c r="G32" s="18" t="n"/>
      <c r="H32" s="18" t="n"/>
      <c r="I32" s="18" t="n"/>
      <c r="J32" s="18" t="n"/>
      <c r="K32" s="37">
        <f>SUM(G32:J32)</f>
        <v/>
      </c>
      <c r="L32" s="18" t="n"/>
      <c r="M32" s="18" t="n"/>
      <c r="N32" s="18" t="n"/>
      <c r="O32" s="18">
        <f>IFERROR(O31,"")</f>
        <v/>
      </c>
      <c r="P32" s="37">
        <f>SUM(L32:O32)</f>
        <v/>
      </c>
      <c r="Q32" s="18" t="n"/>
      <c r="R32" s="18">
        <f>IFERROR(R31,"")</f>
        <v/>
      </c>
      <c r="S32" s="18">
        <f>IFERROR(S31,"")</f>
        <v/>
      </c>
      <c r="T32" s="20">
        <f>IFERROR((T19-(-28.47)*(1.0))*100/T30,"")</f>
        <v/>
      </c>
      <c r="U32" s="37">
        <f>SUM(Q32:T32)</f>
        <v/>
      </c>
      <c r="V32" s="18">
        <f>IFERROR(V31,"")</f>
        <v/>
      </c>
      <c r="W32" s="19">
        <f>IFERROR(W31,"")</f>
        <v/>
      </c>
      <c r="X32" s="20">
        <f>IFERROR(X31,"")</f>
        <v/>
      </c>
      <c r="Y32" s="20">
        <f>IFERROR(Y31,"")</f>
        <v/>
      </c>
      <c r="Z32" s="38">
        <f>SUM(V32:Y32)</f>
        <v/>
      </c>
      <c r="AA32" s="20">
        <f>IFERROR(AA31,"")</f>
        <v/>
      </c>
      <c r="AB32" s="20">
        <f>IFERROR(AB31,"")</f>
        <v/>
      </c>
      <c r="AC32" s="20">
        <f>IFERROR(AC31,"")</f>
        <v/>
      </c>
      <c r="AD32" s="20">
        <f>IFERROR(AD31,"")</f>
        <v/>
      </c>
      <c r="AE32" s="38">
        <f>SUM(AA32:AD32)</f>
        <v/>
      </c>
      <c r="AF32" s="20">
        <f>IFERROR(AF31,"")</f>
        <v/>
      </c>
      <c r="AG32" s="20">
        <f>IFERROR(AG31,"")</f>
        <v/>
      </c>
      <c r="AH32" s="20">
        <f>IFERROR(AH31,"")</f>
        <v/>
      </c>
      <c r="AI32" s="20">
        <f>IFERROR(AI31,"")</f>
        <v/>
      </c>
      <c r="AJ32" s="38">
        <f>SUM(AF32:AI32)</f>
        <v/>
      </c>
    </row>
    <row r="33">
      <c r="A33" s="12" t="inlineStr">
        <is>
          <t>BPS</t>
        </is>
      </c>
      <c r="B33" t="inlineStr">
        <is>
          <t>주당</t>
        </is>
      </c>
      <c r="C33" t="inlineStr">
        <is>
          <t>원</t>
        </is>
      </c>
      <c r="D33" t="inlineStr">
        <is>
          <t>BPS</t>
        </is>
      </c>
      <c r="E33" s="18">
        <f>IFERROR(E23*100/E30,"")</f>
        <v/>
      </c>
      <c r="F33" s="37">
        <f>E33</f>
        <v/>
      </c>
      <c r="G33" s="18" t="n"/>
      <c r="H33" s="18" t="n"/>
      <c r="I33" s="18" t="n"/>
      <c r="J33" s="18">
        <f>IFERROR(J23*100/J30,"")</f>
        <v/>
      </c>
      <c r="K33" s="37">
        <f>J33</f>
        <v/>
      </c>
      <c r="L33" s="18" t="n"/>
      <c r="M33" s="18" t="n"/>
      <c r="N33" s="18" t="n"/>
      <c r="O33" s="18">
        <f>IFERROR(O23*100/O30,"")</f>
        <v/>
      </c>
      <c r="P33" s="37">
        <f>O33</f>
        <v/>
      </c>
      <c r="Q33" s="18" t="n"/>
      <c r="R33" s="18">
        <f>IFERROR(R23*100/R30,"")</f>
        <v/>
      </c>
      <c r="S33" s="18">
        <f>IFERROR(S23*100/S30,"")</f>
        <v/>
      </c>
      <c r="T33" s="18">
        <f>IFERROR(T23*100/T30,"")</f>
        <v/>
      </c>
      <c r="U33" s="37">
        <f>T33</f>
        <v/>
      </c>
      <c r="V33" s="18">
        <f>IFERROR(V23*100/V30,"")</f>
        <v/>
      </c>
      <c r="W33" s="19">
        <f>IFERROR(W23*100/W30,"")</f>
        <v/>
      </c>
      <c r="X33" s="20">
        <f>IFERROR(X23*100/X30,"")</f>
        <v/>
      </c>
      <c r="Y33" s="20">
        <f>IFERROR(Y23*100/Y30,"")</f>
        <v/>
      </c>
      <c r="Z33" s="38">
        <f>Y33</f>
        <v/>
      </c>
      <c r="AA33" s="20">
        <f>IFERROR(AA23*100/AA30,"")</f>
        <v/>
      </c>
      <c r="AB33" s="20">
        <f>IFERROR(AB23*100/AB30,"")</f>
        <v/>
      </c>
      <c r="AC33" s="20">
        <f>IFERROR(AC23*100/AC30,"")</f>
        <v/>
      </c>
      <c r="AD33" s="20">
        <f>IFERROR(AD23*100/AD30,"")</f>
        <v/>
      </c>
      <c r="AE33" s="38">
        <f>AD33</f>
        <v/>
      </c>
      <c r="AF33" s="20">
        <f>IFERROR(AF23*100/AF30,"")</f>
        <v/>
      </c>
      <c r="AG33" s="20">
        <f>IFERROR(AG23*100/AG30,"")</f>
        <v/>
      </c>
      <c r="AH33" s="20">
        <f>IFERROR(AH23*100/AH30,"")</f>
        <v/>
      </c>
      <c r="AI33" s="20">
        <f>IFERROR(AI23*100/AI30,"")</f>
        <v/>
      </c>
      <c r="AJ33" s="38">
        <f>AI33</f>
        <v/>
      </c>
    </row>
    <row r="34">
      <c r="A34" s="12" t="inlineStr">
        <is>
          <t>DPS</t>
        </is>
      </c>
      <c r="B34" t="inlineStr">
        <is>
          <t>주당</t>
        </is>
      </c>
      <c r="C34" t="inlineStr">
        <is>
          <t>원</t>
        </is>
      </c>
      <c r="D34" t="inlineStr">
        <is>
          <t>DPS(보통주)</t>
        </is>
      </c>
      <c r="E34" s="18" t="n">
        <v>0</v>
      </c>
      <c r="F34" s="37" t="n">
        <v>0</v>
      </c>
      <c r="G34" s="18" t="n"/>
      <c r="H34" s="18" t="n"/>
      <c r="I34" s="18" t="n"/>
      <c r="J34" s="18" t="n">
        <v>0</v>
      </c>
      <c r="K34" s="37">
        <f>SUM(G34:J34)</f>
        <v/>
      </c>
      <c r="L34" s="18" t="n"/>
      <c r="M34" s="18" t="n"/>
      <c r="N34" s="18" t="n"/>
      <c r="O34" s="18" t="n">
        <v>0</v>
      </c>
      <c r="P34" s="37">
        <f>SUM(L34:O34)</f>
        <v/>
      </c>
      <c r="Q34" s="18" t="n"/>
      <c r="R34" s="18" t="n"/>
      <c r="S34" s="18" t="n"/>
      <c r="T34" s="18" t="n">
        <v>0</v>
      </c>
      <c r="U34" s="37">
        <f>SUM(Q34:T34)</f>
        <v/>
      </c>
      <c r="V34" s="18" t="n"/>
      <c r="W34" s="19" t="n"/>
      <c r="X34" s="20" t="n"/>
      <c r="Y34" s="20">
        <f>변수!Y39</f>
        <v/>
      </c>
      <c r="Z34" s="38">
        <f>SUM(V34:Y34)</f>
        <v/>
      </c>
      <c r="AA34" s="20" t="n"/>
      <c r="AB34" s="20" t="n"/>
      <c r="AC34" s="20" t="n"/>
      <c r="AD34" s="20">
        <f>변수!AD39</f>
        <v/>
      </c>
      <c r="AE34" s="38">
        <f>SUM(AA34:AD34)</f>
        <v/>
      </c>
      <c r="AF34" s="20" t="n"/>
      <c r="AG34" s="20" t="n"/>
      <c r="AH34" s="20" t="n"/>
      <c r="AI34" s="20">
        <f>변수!AI39</f>
        <v/>
      </c>
      <c r="AJ34" s="38">
        <f>SUM(AF34:AI34)</f>
        <v/>
      </c>
    </row>
    <row r="35">
      <c r="A35" s="12" t="inlineStr">
        <is>
          <t>PER</t>
        </is>
      </c>
      <c r="B35" t="inlineStr">
        <is>
          <t>주당</t>
        </is>
      </c>
      <c r="C35" t="inlineStr">
        <is>
          <t>배</t>
        </is>
      </c>
      <c r="D35" t="inlineStr">
        <is>
          <t>PER</t>
        </is>
      </c>
      <c r="E35" s="13" t="n"/>
      <c r="F35" s="14">
        <f>E35</f>
        <v/>
      </c>
      <c r="G35" s="13" t="n"/>
      <c r="H35" s="13" t="n"/>
      <c r="I35" s="13" t="n"/>
      <c r="J35" s="13" t="n"/>
      <c r="K35" s="14">
        <f>J35</f>
        <v/>
      </c>
      <c r="L35" s="13" t="n"/>
      <c r="M35" s="13" t="n"/>
      <c r="N35" s="13" t="n"/>
      <c r="O35" s="13" t="n"/>
      <c r="P35" s="14">
        <f>O35</f>
        <v/>
      </c>
      <c r="Q35" s="13" t="n"/>
      <c r="R35" s="13" t="n"/>
      <c r="S35" s="13" t="n"/>
      <c r="T35" s="13" t="n"/>
      <c r="U35" s="14">
        <f>T35</f>
        <v/>
      </c>
      <c r="V35" s="13">
        <f>IFERROR(변수!V18/(R31+S31+T31+V31),"")</f>
        <v/>
      </c>
      <c r="W35" s="15">
        <f>IFERROR(변수!W18/(S31+T31+V31+W31),"")</f>
        <v/>
      </c>
      <c r="X35" s="39">
        <f>IFERROR(변수!$D$42/(T31+V31+W31+X31),"")</f>
        <v/>
      </c>
      <c r="Y35" s="39">
        <f>IFERROR(변수!$D$42/(V31+W31+X31+Y31),"")</f>
        <v/>
      </c>
      <c r="Z35" s="40">
        <f>Y35</f>
        <v/>
      </c>
      <c r="AA35" s="39">
        <f>IFERROR(변수!$D$42/(W31+X31+Y31+AA31),"")</f>
        <v/>
      </c>
      <c r="AB35" s="39">
        <f>IFERROR(변수!$D$42/(X31+Y31+AA31+AB31),"")</f>
        <v/>
      </c>
      <c r="AC35" s="39">
        <f>IFERROR(변수!$D$42/(Y31+AA31+AB31+AC31),"")</f>
        <v/>
      </c>
      <c r="AD35" s="39">
        <f>IFERROR(변수!$D$42/(AA31+AB31+AC31+AD31),"")</f>
        <v/>
      </c>
      <c r="AE35" s="40">
        <f>AD35</f>
        <v/>
      </c>
      <c r="AF35" s="39">
        <f>IFERROR(변수!$D$42/(AB31+AC31+AD31+AF31),"")</f>
        <v/>
      </c>
      <c r="AG35" s="39">
        <f>IFERROR(변수!$D$42/(AC31+AD31+AF31+AG31),"")</f>
        <v/>
      </c>
      <c r="AH35" s="39">
        <f>IFERROR(변수!$D$42/(AD31+AF31+AG31+AH31),"")</f>
        <v/>
      </c>
      <c r="AI35" s="39">
        <f>IFERROR(변수!$D$42/(AF31+AG31+AH31+AI31),"")</f>
        <v/>
      </c>
      <c r="AJ35" s="40">
        <f>AI35</f>
        <v/>
      </c>
    </row>
    <row r="36">
      <c r="A36" s="12" t="inlineStr">
        <is>
          <t>PBR</t>
        </is>
      </c>
      <c r="B36" t="inlineStr">
        <is>
          <t>주당</t>
        </is>
      </c>
      <c r="C36" t="inlineStr">
        <is>
          <t>배</t>
        </is>
      </c>
      <c r="D36" t="inlineStr">
        <is>
          <t>PBR</t>
        </is>
      </c>
      <c r="E36" s="13" t="n"/>
      <c r="F36" s="14">
        <f>E36</f>
        <v/>
      </c>
      <c r="G36" s="13" t="n"/>
      <c r="H36" s="13" t="n"/>
      <c r="I36" s="13" t="n"/>
      <c r="J36" s="13">
        <f>IFERROR(변수!J18/J33,"")</f>
        <v/>
      </c>
      <c r="K36" s="14">
        <f>J36</f>
        <v/>
      </c>
      <c r="L36" s="13" t="n"/>
      <c r="M36" s="13" t="n"/>
      <c r="N36" s="13" t="n"/>
      <c r="O36" s="13">
        <f>IFERROR(변수!O18/O33,"")</f>
        <v/>
      </c>
      <c r="P36" s="14">
        <f>O36</f>
        <v/>
      </c>
      <c r="Q36" s="13" t="n"/>
      <c r="R36" s="13">
        <f>IFERROR(변수!R18/R33,"")</f>
        <v/>
      </c>
      <c r="S36" s="13">
        <f>IFERROR(변수!S18/S33,"")</f>
        <v/>
      </c>
      <c r="T36" s="13">
        <f>IFERROR(변수!T18/T33,"")</f>
        <v/>
      </c>
      <c r="U36" s="14">
        <f>T36</f>
        <v/>
      </c>
      <c r="V36" s="13">
        <f>IFERROR(변수!V18/V33,"")</f>
        <v/>
      </c>
      <c r="W36" s="15">
        <f>IFERROR(변수!W18/W33,"")</f>
        <v/>
      </c>
      <c r="X36" s="39">
        <f>IFERROR(변수!$D$42/X33,"")</f>
        <v/>
      </c>
      <c r="Y36" s="39">
        <f>IFERROR(변수!$D$42/Y33,"")</f>
        <v/>
      </c>
      <c r="Z36" s="40">
        <f>Y36</f>
        <v/>
      </c>
      <c r="AA36" s="39">
        <f>IFERROR(변수!$D$42/AA33,"")</f>
        <v/>
      </c>
      <c r="AB36" s="39">
        <f>IFERROR(변수!$D$42/AB33,"")</f>
        <v/>
      </c>
      <c r="AC36" s="39">
        <f>IFERROR(변수!$D$42/AC33,"")</f>
        <v/>
      </c>
      <c r="AD36" s="39">
        <f>IFERROR(변수!$D$42/AD33,"")</f>
        <v/>
      </c>
      <c r="AE36" s="40">
        <f>AD36</f>
        <v/>
      </c>
      <c r="AF36" s="39">
        <f>IFERROR(변수!$D$42/AF33,"")</f>
        <v/>
      </c>
      <c r="AG36" s="39">
        <f>IFERROR(변수!$D$42/AG33,"")</f>
        <v/>
      </c>
      <c r="AH36" s="39">
        <f>IFERROR(변수!$D$42/AH33,"")</f>
        <v/>
      </c>
      <c r="AI36" s="39">
        <f>IFERROR(변수!$D$42/AI33,"")</f>
        <v/>
      </c>
      <c r="AJ36" s="40">
        <f>AI36</f>
        <v/>
      </c>
    </row>
    <row r="37">
      <c r="A37" s="12" t="inlineStr">
        <is>
          <t>매출전사</t>
        </is>
      </c>
      <c r="B37" t="inlineStr">
        <is>
          <t>사업부</t>
        </is>
      </c>
      <c r="C37" t="inlineStr">
        <is>
          <t>억원</t>
        </is>
      </c>
      <c r="D37" t="inlineStr">
        <is>
          <t>매출 전사(부문 미분리)</t>
        </is>
      </c>
      <c r="E37" s="18" t="n"/>
      <c r="F37" s="37" t="n"/>
      <c r="G37" s="18" t="n"/>
      <c r="H37" s="18" t="n"/>
      <c r="I37" s="18" t="n"/>
      <c r="J37" s="18" t="n"/>
      <c r="K37" s="37">
        <f>SUM(G37:J37)</f>
        <v/>
      </c>
      <c r="L37" s="18" t="n"/>
      <c r="M37" s="18" t="n"/>
      <c r="N37" s="18" t="n"/>
      <c r="O37" s="18" t="n">
        <v>183.54</v>
      </c>
      <c r="P37" s="37">
        <f>SUM(L37:O37)</f>
        <v/>
      </c>
      <c r="Q37" s="18" t="n"/>
      <c r="R37" s="18" t="n">
        <v>225.66</v>
      </c>
      <c r="S37" s="18" t="n">
        <v>175.5</v>
      </c>
      <c r="T37" s="18" t="n">
        <v>160.11</v>
      </c>
      <c r="U37" s="37">
        <f>SUM(Q37:T37)</f>
        <v/>
      </c>
      <c r="V37" s="18" t="n">
        <v>182.59</v>
      </c>
      <c r="W37" s="19" t="n">
        <v>222.59</v>
      </c>
      <c r="X37" s="20">
        <f>IFERROR(X5,"")</f>
        <v/>
      </c>
      <c r="Y37" s="20">
        <f>IFERROR(Y5,"")</f>
        <v/>
      </c>
      <c r="Z37" s="38">
        <f>SUM(V37:Y37)</f>
        <v/>
      </c>
      <c r="AA37" s="20">
        <f>IFERROR(AA5,"")</f>
        <v/>
      </c>
      <c r="AB37" s="20">
        <f>IFERROR(AB5,"")</f>
        <v/>
      </c>
      <c r="AC37" s="20">
        <f>IFERROR(AC5,"")</f>
        <v/>
      </c>
      <c r="AD37" s="20">
        <f>IFERROR(AD5,"")</f>
        <v/>
      </c>
      <c r="AE37" s="38">
        <f>SUM(AA37:AD37)</f>
        <v/>
      </c>
      <c r="AF37" s="20">
        <f>IFERROR(AF5,"")</f>
        <v/>
      </c>
      <c r="AG37" s="20">
        <f>IFERROR(AG5,"")</f>
        <v/>
      </c>
      <c r="AH37" s="20">
        <f>IFERROR(AH5,"")</f>
        <v/>
      </c>
      <c r="AI37" s="20">
        <f>IFERROR(AI5,"")</f>
        <v/>
      </c>
      <c r="AJ37" s="38">
        <f>SUM(AF37:AI37)</f>
        <v/>
      </c>
    </row>
    <row r="38">
      <c r="A38" s="12" t="inlineStr">
        <is>
          <t>OP전사</t>
        </is>
      </c>
      <c r="B38" t="inlineStr">
        <is>
          <t>사업부</t>
        </is>
      </c>
      <c r="C38" t="inlineStr">
        <is>
          <t>억원</t>
        </is>
      </c>
      <c r="D38" t="inlineStr">
        <is>
          <t>OP 전사(부문 미분리)</t>
        </is>
      </c>
      <c r="E38" s="18" t="n"/>
      <c r="F38" s="37" t="n"/>
      <c r="G38" s="18" t="n"/>
      <c r="H38" s="18" t="n"/>
      <c r="I38" s="18" t="n"/>
      <c r="J38" s="18" t="n"/>
      <c r="K38" s="37">
        <f>SUM(G38:J38)</f>
        <v/>
      </c>
      <c r="L38" s="18" t="n"/>
      <c r="M38" s="18" t="n"/>
      <c r="N38" s="18" t="n"/>
      <c r="O38" s="18" t="n">
        <v>0.89</v>
      </c>
      <c r="P38" s="37">
        <f>SUM(L38:O38)</f>
        <v/>
      </c>
      <c r="Q38" s="18" t="n"/>
      <c r="R38" s="18" t="n">
        <v>24.44</v>
      </c>
      <c r="S38" s="18" t="n">
        <v>9.26</v>
      </c>
      <c r="T38" s="18" t="n">
        <v>14.58</v>
      </c>
      <c r="U38" s="37">
        <f>SUM(Q38:T38)</f>
        <v/>
      </c>
      <c r="V38" s="18" t="n">
        <v>16.02</v>
      </c>
      <c r="W38" s="19" t="n">
        <v>26.07</v>
      </c>
      <c r="X38" s="20">
        <f>IFERROR(X9,"")</f>
        <v/>
      </c>
      <c r="Y38" s="20">
        <f>IFERROR(Y9,"")</f>
        <v/>
      </c>
      <c r="Z38" s="38">
        <f>SUM(V38:Y38)</f>
        <v/>
      </c>
      <c r="AA38" s="20">
        <f>IFERROR(AA9,"")</f>
        <v/>
      </c>
      <c r="AB38" s="20">
        <f>IFERROR(AB9,"")</f>
        <v/>
      </c>
      <c r="AC38" s="20">
        <f>IFERROR(AC9,"")</f>
        <v/>
      </c>
      <c r="AD38" s="20">
        <f>IFERROR(AD9,"")</f>
        <v/>
      </c>
      <c r="AE38" s="38">
        <f>SUM(AA38:AD38)</f>
        <v/>
      </c>
      <c r="AF38" s="20">
        <f>IFERROR(AF9,"")</f>
        <v/>
      </c>
      <c r="AG38" s="20">
        <f>IFERROR(AG9,"")</f>
        <v/>
      </c>
      <c r="AH38" s="20">
        <f>IFERROR(AH9,"")</f>
        <v/>
      </c>
      <c r="AI38" s="20">
        <f>IFERROR(AI9,"")</f>
        <v/>
      </c>
      <c r="AJ38" s="38">
        <f>SUM(AF38:AI38)</f>
        <v/>
      </c>
    </row>
    <row r="39">
      <c r="B39" s="2" t="inlineStr">
        <is>
          <t>비율(참고)</t>
        </is>
      </c>
      <c r="F39" s="9" t="n"/>
      <c r="K39" s="9" t="n"/>
      <c r="P39" s="9" t="n"/>
      <c r="U39" s="9" t="n"/>
      <c r="W39" s="5" t="n"/>
      <c r="X39" s="10" t="n"/>
      <c r="Y39" s="10" t="n"/>
      <c r="Z39" s="11" t="n"/>
      <c r="AA39" s="10" t="n"/>
      <c r="AB39" s="10" t="n"/>
      <c r="AC39" s="10" t="n"/>
      <c r="AD39" s="10" t="n"/>
      <c r="AE39" s="11" t="n"/>
      <c r="AF39" s="10" t="n"/>
      <c r="AG39" s="10" t="n"/>
      <c r="AH39" s="10" t="n"/>
      <c r="AI39" s="10" t="n"/>
      <c r="AJ39" s="11" t="n"/>
    </row>
    <row r="40">
      <c r="A40" s="12" t="inlineStr">
        <is>
          <t>NPM</t>
        </is>
      </c>
      <c r="C40" t="inlineStr">
        <is>
          <t>%</t>
        </is>
      </c>
      <c r="D40" t="inlineStr">
        <is>
          <t>지배주주순이익 / 매출액</t>
        </is>
      </c>
      <c r="E40" s="21">
        <f>IFERROR(E19/E5,"")</f>
        <v/>
      </c>
      <c r="F40" s="22">
        <f>IFERROR(F19/F5,"")</f>
        <v/>
      </c>
      <c r="G40" s="21">
        <f>IFERROR(G19/G5,"")</f>
        <v/>
      </c>
      <c r="H40" s="21">
        <f>IFERROR(H19/H5,"")</f>
        <v/>
      </c>
      <c r="I40" s="21">
        <f>IFERROR(I19/I5,"")</f>
        <v/>
      </c>
      <c r="J40" s="21">
        <f>IFERROR(J19/J5,"")</f>
        <v/>
      </c>
      <c r="K40" s="22">
        <f>IFERROR(K19/K5,"")</f>
        <v/>
      </c>
      <c r="L40" s="21">
        <f>IFERROR(L19/L5,"")</f>
        <v/>
      </c>
      <c r="M40" s="21">
        <f>IFERROR(M19/M5,"")</f>
        <v/>
      </c>
      <c r="N40" s="21">
        <f>IFERROR(N19/N5,"")</f>
        <v/>
      </c>
      <c r="O40" s="21">
        <f>IFERROR(O19/O5,"")</f>
        <v/>
      </c>
      <c r="P40" s="22">
        <f>IFERROR(P19/P5,"")</f>
        <v/>
      </c>
      <c r="Q40" s="21">
        <f>IFERROR(Q19/Q5,"")</f>
        <v/>
      </c>
      <c r="R40" s="21">
        <f>IFERROR(R19/R5,"")</f>
        <v/>
      </c>
      <c r="S40" s="21">
        <f>IFERROR(S19/S5,"")</f>
        <v/>
      </c>
      <c r="T40" s="21">
        <f>IFERROR(T19/T5,"")</f>
        <v/>
      </c>
      <c r="U40" s="22">
        <f>IFERROR(U19/U5,"")</f>
        <v/>
      </c>
      <c r="V40" s="21">
        <f>IFERROR(V19/V5,"")</f>
        <v/>
      </c>
      <c r="W40" s="23">
        <f>IFERROR(W19/W5,"")</f>
        <v/>
      </c>
      <c r="X40" s="32">
        <f>IFERROR(X19/X5,"")</f>
        <v/>
      </c>
      <c r="Y40" s="32">
        <f>IFERROR(Y19/Y5,"")</f>
        <v/>
      </c>
      <c r="Z40" s="25">
        <f>IFERROR(Z19/Z5,"")</f>
        <v/>
      </c>
      <c r="AA40" s="32">
        <f>IFERROR(AA19/AA5,"")</f>
        <v/>
      </c>
      <c r="AB40" s="32">
        <f>IFERROR(AB19/AB5,"")</f>
        <v/>
      </c>
      <c r="AC40" s="32">
        <f>IFERROR(AC19/AC5,"")</f>
        <v/>
      </c>
      <c r="AD40" s="32">
        <f>IFERROR(AD19/AD5,"")</f>
        <v/>
      </c>
      <c r="AE40" s="25">
        <f>IFERROR(AE19/AE5,"")</f>
        <v/>
      </c>
      <c r="AF40" s="32">
        <f>IFERROR(AF19/AF5,"")</f>
        <v/>
      </c>
      <c r="AG40" s="32">
        <f>IFERROR(AG19/AG5,"")</f>
        <v/>
      </c>
      <c r="AH40" s="32">
        <f>IFERROR(AH19/AH5,"")</f>
        <v/>
      </c>
      <c r="AI40" s="32">
        <f>IFERROR(AI19/AI5,"")</f>
        <v/>
      </c>
      <c r="AJ40" s="25">
        <f>IFERROR(AJ19/AJ5,"")</f>
        <v/>
      </c>
    </row>
    <row r="41">
      <c r="A41" s="12" t="inlineStr">
        <is>
          <t>매출원가율</t>
        </is>
      </c>
      <c r="C41" t="inlineStr">
        <is>
          <t>%</t>
        </is>
      </c>
      <c r="D41" t="inlineStr">
        <is>
          <t>매출원가 / 매출액</t>
        </is>
      </c>
      <c r="E41" s="21">
        <f>IFERROR(E6/E5,"")</f>
        <v/>
      </c>
      <c r="F41" s="22">
        <f>IFERROR(F6/F5,"")</f>
        <v/>
      </c>
      <c r="G41" s="21">
        <f>IFERROR(G6/G5,"")</f>
        <v/>
      </c>
      <c r="H41" s="21">
        <f>IFERROR(H6/H5,"")</f>
        <v/>
      </c>
      <c r="I41" s="21">
        <f>IFERROR(I6/I5,"")</f>
        <v/>
      </c>
      <c r="J41" s="21">
        <f>IFERROR(J6/J5,"")</f>
        <v/>
      </c>
      <c r="K41" s="22">
        <f>IFERROR(K6/K5,"")</f>
        <v/>
      </c>
      <c r="L41" s="21">
        <f>IFERROR(L6/L5,"")</f>
        <v/>
      </c>
      <c r="M41" s="21">
        <f>IFERROR(M6/M5,"")</f>
        <v/>
      </c>
      <c r="N41" s="21">
        <f>IFERROR(N6/N5,"")</f>
        <v/>
      </c>
      <c r="O41" s="21">
        <f>IFERROR(O6/O5,"")</f>
        <v/>
      </c>
      <c r="P41" s="22">
        <f>IFERROR(P6/P5,"")</f>
        <v/>
      </c>
      <c r="Q41" s="21">
        <f>IFERROR(Q6/Q5,"")</f>
        <v/>
      </c>
      <c r="R41" s="21">
        <f>IFERROR(R6/R5,"")</f>
        <v/>
      </c>
      <c r="S41" s="21">
        <f>IFERROR(S6/S5,"")</f>
        <v/>
      </c>
      <c r="T41" s="21">
        <f>IFERROR(T6/T5,"")</f>
        <v/>
      </c>
      <c r="U41" s="22">
        <f>IFERROR(U6/U5,"")</f>
        <v/>
      </c>
      <c r="V41" s="21">
        <f>IFERROR(V6/V5,"")</f>
        <v/>
      </c>
      <c r="W41" s="23">
        <f>IFERROR(W6/W5,"")</f>
        <v/>
      </c>
      <c r="X41" s="32">
        <f>IFERROR(X6/X5,"")</f>
        <v/>
      </c>
      <c r="Y41" s="32">
        <f>IFERROR(Y6/Y5,"")</f>
        <v/>
      </c>
      <c r="Z41" s="25">
        <f>IFERROR(Z6/Z5,"")</f>
        <v/>
      </c>
      <c r="AA41" s="32">
        <f>IFERROR(AA6/AA5,"")</f>
        <v/>
      </c>
      <c r="AB41" s="32">
        <f>IFERROR(AB6/AB5,"")</f>
        <v/>
      </c>
      <c r="AC41" s="32">
        <f>IFERROR(AC6/AC5,"")</f>
        <v/>
      </c>
      <c r="AD41" s="32">
        <f>IFERROR(AD6/AD5,"")</f>
        <v/>
      </c>
      <c r="AE41" s="25">
        <f>IFERROR(AE6/AE5,"")</f>
        <v/>
      </c>
      <c r="AF41" s="32">
        <f>IFERROR(AF6/AF5,"")</f>
        <v/>
      </c>
      <c r="AG41" s="32">
        <f>IFERROR(AG6/AG5,"")</f>
        <v/>
      </c>
      <c r="AH41" s="32">
        <f>IFERROR(AH6/AH5,"")</f>
        <v/>
      </c>
      <c r="AI41" s="32">
        <f>IFERROR(AI6/AI5,"")</f>
        <v/>
      </c>
      <c r="AJ41" s="25">
        <f>IFERROR(AJ6/AJ5,"")</f>
        <v/>
      </c>
    </row>
    <row r="42">
      <c r="A42" s="12" t="inlineStr">
        <is>
          <t>판관비율</t>
        </is>
      </c>
      <c r="C42" t="inlineStr">
        <is>
          <t>%</t>
        </is>
      </c>
      <c r="D42" t="inlineStr">
        <is>
          <t>판관비 / 매출액</t>
        </is>
      </c>
      <c r="E42" s="21">
        <f>IFERROR(E8/E5,"")</f>
        <v/>
      </c>
      <c r="F42" s="22">
        <f>IFERROR(F8/F5,"")</f>
        <v/>
      </c>
      <c r="G42" s="21">
        <f>IFERROR(G8/G5,"")</f>
        <v/>
      </c>
      <c r="H42" s="21">
        <f>IFERROR(H8/H5,"")</f>
        <v/>
      </c>
      <c r="I42" s="21">
        <f>IFERROR(I8/I5,"")</f>
        <v/>
      </c>
      <c r="J42" s="21">
        <f>IFERROR(J8/J5,"")</f>
        <v/>
      </c>
      <c r="K42" s="22">
        <f>IFERROR(K8/K5,"")</f>
        <v/>
      </c>
      <c r="L42" s="21">
        <f>IFERROR(L8/L5,"")</f>
        <v/>
      </c>
      <c r="M42" s="21">
        <f>IFERROR(M8/M5,"")</f>
        <v/>
      </c>
      <c r="N42" s="21">
        <f>IFERROR(N8/N5,"")</f>
        <v/>
      </c>
      <c r="O42" s="21">
        <f>IFERROR(O8/O5,"")</f>
        <v/>
      </c>
      <c r="P42" s="22">
        <f>IFERROR(P8/P5,"")</f>
        <v/>
      </c>
      <c r="Q42" s="21">
        <f>IFERROR(Q8/Q5,"")</f>
        <v/>
      </c>
      <c r="R42" s="21">
        <f>IFERROR(R8/R5,"")</f>
        <v/>
      </c>
      <c r="S42" s="21">
        <f>IFERROR(S8/S5,"")</f>
        <v/>
      </c>
      <c r="T42" s="21">
        <f>IFERROR(T8/T5,"")</f>
        <v/>
      </c>
      <c r="U42" s="22">
        <f>IFERROR(U8/U5,"")</f>
        <v/>
      </c>
      <c r="V42" s="21">
        <f>IFERROR(V8/V5,"")</f>
        <v/>
      </c>
      <c r="W42" s="23">
        <f>IFERROR(W8/W5,"")</f>
        <v/>
      </c>
      <c r="X42" s="32">
        <f>IFERROR(X8/X5,"")</f>
        <v/>
      </c>
      <c r="Y42" s="32">
        <f>IFERROR(Y8/Y5,"")</f>
        <v/>
      </c>
      <c r="Z42" s="25">
        <f>IFERROR(Z8/Z5,"")</f>
        <v/>
      </c>
      <c r="AA42" s="32">
        <f>IFERROR(AA8/AA5,"")</f>
        <v/>
      </c>
      <c r="AB42" s="32">
        <f>IFERROR(AB8/AB5,"")</f>
        <v/>
      </c>
      <c r="AC42" s="32">
        <f>IFERROR(AC8/AC5,"")</f>
        <v/>
      </c>
      <c r="AD42" s="32">
        <f>IFERROR(AD8/AD5,"")</f>
        <v/>
      </c>
      <c r="AE42" s="25">
        <f>IFERROR(AE8/AE5,"")</f>
        <v/>
      </c>
      <c r="AF42" s="32">
        <f>IFERROR(AF8/AF5,"")</f>
        <v/>
      </c>
      <c r="AG42" s="32">
        <f>IFERROR(AG8/AG5,"")</f>
        <v/>
      </c>
      <c r="AH42" s="32">
        <f>IFERROR(AH8/AH5,"")</f>
        <v/>
      </c>
      <c r="AI42" s="32">
        <f>IFERROR(AI8/AI5,"")</f>
        <v/>
      </c>
      <c r="AJ42" s="25">
        <f>IFERROR(AJ8/AJ5,"")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C1" s="2" t="inlineStr">
        <is>
          <t>이름: 분기H — subQ 를 이름으로 VLOOKUP(억원)</t>
        </is>
      </c>
      <c r="E1" s="3" t="inlineStr">
        <is>
          <t>4Q22</t>
        </is>
      </c>
      <c r="F1" s="3" t="inlineStr">
        <is>
          <t>1Q23</t>
        </is>
      </c>
      <c r="G1" s="3" t="inlineStr">
        <is>
          <t>2Q23</t>
        </is>
      </c>
      <c r="H1" s="3" t="inlineStr">
        <is>
          <t>3Q23</t>
        </is>
      </c>
      <c r="I1" s="3" t="inlineStr">
        <is>
          <t>4Q23</t>
        </is>
      </c>
      <c r="J1" s="3" t="inlineStr">
        <is>
          <t>1Q24</t>
        </is>
      </c>
      <c r="K1" s="3" t="inlineStr">
        <is>
          <t>2Q24</t>
        </is>
      </c>
      <c r="L1" s="3" t="inlineStr">
        <is>
          <t>3Q24</t>
        </is>
      </c>
      <c r="M1" s="3" t="inlineStr">
        <is>
          <t>4Q24</t>
        </is>
      </c>
      <c r="N1" s="3" t="inlineStr">
        <is>
          <t>1Q25</t>
        </is>
      </c>
      <c r="O1" s="3" t="inlineStr">
        <is>
          <t>2Q25</t>
        </is>
      </c>
      <c r="P1" s="3" t="inlineStr">
        <is>
          <t>3Q25</t>
        </is>
      </c>
      <c r="Q1" s="3" t="inlineStr">
        <is>
          <t>4Q25</t>
        </is>
      </c>
      <c r="R1" s="3" t="inlineStr">
        <is>
          <t>1Q26</t>
        </is>
      </c>
      <c r="S1" s="41" t="inlineStr">
        <is>
          <t>2Q26</t>
        </is>
      </c>
      <c r="T1" s="3" t="inlineStr">
        <is>
          <t>3Q26</t>
        </is>
      </c>
      <c r="U1" s="3" t="inlineStr">
        <is>
          <t>4Q26</t>
        </is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inlineStr">
        <is>
          <t>1Q28</t>
        </is>
      </c>
      <c r="AA1" s="3" t="inlineStr">
        <is>
          <t>2Q28</t>
        </is>
      </c>
      <c r="AB1" s="3" t="inlineStr">
        <is>
          <t>3Q28</t>
        </is>
      </c>
      <c r="AC1" s="3" t="inlineStr">
        <is>
          <t>4Q28</t>
        </is>
      </c>
    </row>
    <row r="2">
      <c r="C2" t="inlineStr">
        <is>
          <t>종가:</t>
        </is>
      </c>
      <c r="D2" s="18">
        <f>변수!D42</f>
        <v/>
      </c>
      <c r="S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43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</row>
    <row r="4">
      <c r="E4" s="7" t="inlineStr">
        <is>
          <t>2022.12</t>
        </is>
      </c>
      <c r="F4" s="7" t="inlineStr">
        <is>
          <t>2023.03</t>
        </is>
      </c>
      <c r="G4" s="7" t="inlineStr">
        <is>
          <t>2023.06</t>
        </is>
      </c>
      <c r="H4" s="7" t="inlineStr">
        <is>
          <t>2023.09</t>
        </is>
      </c>
      <c r="I4" s="7" t="inlineStr">
        <is>
          <t>2023.12</t>
        </is>
      </c>
      <c r="J4" s="7" t="inlineStr">
        <is>
          <t>2024.03</t>
        </is>
      </c>
      <c r="K4" s="7" t="inlineStr">
        <is>
          <t>2024.06</t>
        </is>
      </c>
      <c r="L4" s="7" t="inlineStr">
        <is>
          <t>2024.09</t>
        </is>
      </c>
      <c r="M4" s="7" t="inlineStr">
        <is>
          <t>2024.12</t>
        </is>
      </c>
      <c r="N4" s="7" t="inlineStr">
        <is>
          <t>2025.03</t>
        </is>
      </c>
      <c r="O4" s="7" t="inlineStr">
        <is>
          <t>2025.06</t>
        </is>
      </c>
      <c r="P4" s="7" t="inlineStr">
        <is>
          <t>2025.09</t>
        </is>
      </c>
      <c r="Q4" s="7" t="inlineStr">
        <is>
          <t>2025.12</t>
        </is>
      </c>
      <c r="R4" s="7" t="inlineStr">
        <is>
          <t>2026.03</t>
        </is>
      </c>
      <c r="S4" s="44" t="inlineStr">
        <is>
          <t>2026.06</t>
        </is>
      </c>
      <c r="T4" s="7" t="inlineStr">
        <is>
          <t>2026.09</t>
        </is>
      </c>
      <c r="U4" s="7" t="inlineStr">
        <is>
          <t>2026.12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2028.03</t>
        </is>
      </c>
      <c r="AA4" s="7" t="inlineStr">
        <is>
          <t>2028.06</t>
        </is>
      </c>
      <c r="AB4" s="7" t="inlineStr">
        <is>
          <t>2028.09</t>
        </is>
      </c>
      <c r="AC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45">
        <f>IFERROR(VLOOKUP($A5,subQ,MATCH(S$1,SUBQH,0),0),"")</f>
        <v/>
      </c>
      <c r="T5" s="20">
        <f>IFERROR(VLOOKUP($A5,subQ,MATCH(T$1,SUBQH,0),0),"")</f>
        <v/>
      </c>
      <c r="U5" s="20">
        <f>IFERROR(VLOOKUP($A5,subQ,MATCH(U$1,SUBQH,0),0),"")</f>
        <v/>
      </c>
      <c r="V5" s="20">
        <f>IFERROR(VLOOKUP($A5,subQ,MATCH(V$1,SUBQH,0),0),"")</f>
        <v/>
      </c>
      <c r="W5" s="20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45">
        <f>IFERROR(VLOOKUP($A6,subQ,MATCH(S$1,SUBQH,0),0),"")</f>
        <v/>
      </c>
      <c r="T6" s="20">
        <f>IFERROR(VLOOKUP($A6,subQ,MATCH(T$1,SUBQH,0),0),"")</f>
        <v/>
      </c>
      <c r="U6" s="20">
        <f>IFERROR(VLOOKUP($A6,subQ,MATCH(U$1,SUBQH,0),0),"")</f>
        <v/>
      </c>
      <c r="V6" s="20">
        <f>IFERROR(VLOOKUP($A6,subQ,MATCH(V$1,SUBQH,0),0),"")</f>
        <v/>
      </c>
      <c r="W6" s="20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45">
        <f>IFERROR(VLOOKUP($A7,subQ,MATCH(S$1,SUBQH,0),0),"")</f>
        <v/>
      </c>
      <c r="T7" s="20">
        <f>IFERROR(VLOOKUP($A7,subQ,MATCH(T$1,SUBQH,0),0),"")</f>
        <v/>
      </c>
      <c r="U7" s="20">
        <f>IFERROR(VLOOKUP($A7,subQ,MATCH(U$1,SUBQH,0),0),"")</f>
        <v/>
      </c>
      <c r="V7" s="20">
        <f>IFERROR(VLOOKUP($A7,subQ,MATCH(V$1,SUBQH,0),0),"")</f>
        <v/>
      </c>
      <c r="W7" s="20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45">
        <f>IFERROR(VLOOKUP($A8,subQ,MATCH(S$1,SUBQH,0),0),"")</f>
        <v/>
      </c>
      <c r="T8" s="20">
        <f>IFERROR(VLOOKUP($A8,subQ,MATCH(T$1,SUBQH,0),0),"")</f>
        <v/>
      </c>
      <c r="U8" s="20">
        <f>IFERROR(VLOOKUP($A8,subQ,MATCH(U$1,SUBQH,0),0),"")</f>
        <v/>
      </c>
      <c r="V8" s="20">
        <f>IFERROR(VLOOKUP($A8,subQ,MATCH(V$1,SUBQH,0),0),"")</f>
        <v/>
      </c>
      <c r="W8" s="20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45">
        <f>IFERROR(VLOOKUP($A9,subQ,MATCH(S$1,SUBQH,0),0),"")</f>
        <v/>
      </c>
      <c r="T9" s="20">
        <f>IFERROR(VLOOKUP($A9,subQ,MATCH(T$1,SUBQH,0),0),"")</f>
        <v/>
      </c>
      <c r="U9" s="20">
        <f>IFERROR(VLOOKUP($A9,subQ,MATCH(U$1,SUBQH,0),0),"")</f>
        <v/>
      </c>
      <c r="V9" s="20">
        <f>IFERROR(VLOOKUP($A9,subQ,MATCH(V$1,SUBQH,0),0),"")</f>
        <v/>
      </c>
      <c r="W9" s="20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46">
        <f>IFERROR(VLOOKUP($A10,subQ,MATCH(S$1,SUBQH,0),0),"")</f>
        <v/>
      </c>
      <c r="T10" s="32">
        <f>IFERROR(VLOOKUP($A10,subQ,MATCH(T$1,SUBQH,0),0),"")</f>
        <v/>
      </c>
      <c r="U10" s="32">
        <f>IFERROR(VLOOKUP($A10,subQ,MATCH(U$1,SUBQH,0),0),"")</f>
        <v/>
      </c>
      <c r="V10" s="32">
        <f>IFERROR(VLOOKUP($A10,subQ,MATCH(V$1,SUBQH,0),0),"")</f>
        <v/>
      </c>
      <c r="W10" s="32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45">
        <f>IFERROR(VLOOKUP($A11,subQ,MATCH(S$1,SUBQH,0),0),"")</f>
        <v/>
      </c>
      <c r="T11" s="20">
        <f>IFERROR(VLOOKUP($A11,subQ,MATCH(T$1,SUBQH,0),0),"")</f>
        <v/>
      </c>
      <c r="U11" s="20">
        <f>IFERROR(VLOOKUP($A11,subQ,MATCH(U$1,SUBQH,0),0),"")</f>
        <v/>
      </c>
      <c r="V11" s="20">
        <f>IFERROR(VLOOKUP($A11,subQ,MATCH(V$1,SUBQH,0),0),"")</f>
        <v/>
      </c>
      <c r="W11" s="20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45">
        <f>IFERROR(VLOOKUP($A12,subQ,MATCH(S$1,SUBQH,0),0),"")</f>
        <v/>
      </c>
      <c r="T12" s="20">
        <f>IFERROR(VLOOKUP($A12,subQ,MATCH(T$1,SUBQH,0),0),"")</f>
        <v/>
      </c>
      <c r="U12" s="20">
        <f>IFERROR(VLOOKUP($A12,subQ,MATCH(U$1,SUBQH,0),0),"")</f>
        <v/>
      </c>
      <c r="V12" s="20">
        <f>IFERROR(VLOOKUP($A12,subQ,MATCH(V$1,SUBQH,0),0),"")</f>
        <v/>
      </c>
      <c r="W12" s="20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45">
        <f>IFERROR(VLOOKUP($A13,subQ,MATCH(S$1,SUBQH,0),0),"")</f>
        <v/>
      </c>
      <c r="T13" s="20">
        <f>IFERROR(VLOOKUP($A13,subQ,MATCH(T$1,SUBQH,0),0),"")</f>
        <v/>
      </c>
      <c r="U13" s="20">
        <f>IFERROR(VLOOKUP($A13,subQ,MATCH(U$1,SUBQH,0),0),"")</f>
        <v/>
      </c>
      <c r="V13" s="20">
        <f>IFERROR(VLOOKUP($A13,subQ,MATCH(V$1,SUBQH,0),0),"")</f>
        <v/>
      </c>
      <c r="W13" s="20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45">
        <f>IFERROR(VLOOKUP($A14,subQ,MATCH(S$1,SUBQH,0),0),"")</f>
        <v/>
      </c>
      <c r="T14" s="20">
        <f>IFERROR(VLOOKUP($A14,subQ,MATCH(T$1,SUBQH,0),0),"")</f>
        <v/>
      </c>
      <c r="U14" s="20">
        <f>IFERROR(VLOOKUP($A14,subQ,MATCH(U$1,SUBQH,0),0),"")</f>
        <v/>
      </c>
      <c r="V14" s="20">
        <f>IFERROR(VLOOKUP($A14,subQ,MATCH(V$1,SUBQH,0),0),"")</f>
        <v/>
      </c>
      <c r="W14" s="20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45">
        <f>IFERROR(VLOOKUP($A15,subQ,MATCH(S$1,SUBQH,0),0),"")</f>
        <v/>
      </c>
      <c r="T15" s="20">
        <f>IFERROR(VLOOKUP($A15,subQ,MATCH(T$1,SUBQH,0),0),"")</f>
        <v/>
      </c>
      <c r="U15" s="20">
        <f>IFERROR(VLOOKUP($A15,subQ,MATCH(U$1,SUBQH,0),0),"")</f>
        <v/>
      </c>
      <c r="V15" s="20">
        <f>IFERROR(VLOOKUP($A15,subQ,MATCH(V$1,SUBQH,0),0),"")</f>
        <v/>
      </c>
      <c r="W15" s="20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45">
        <f>IFERROR(VLOOKUP($A16,subQ,MATCH(S$1,SUBQH,0),0),"")</f>
        <v/>
      </c>
      <c r="T16" s="20">
        <f>IFERROR(VLOOKUP($A16,subQ,MATCH(T$1,SUBQH,0),0),"")</f>
        <v/>
      </c>
      <c r="U16" s="20">
        <f>IFERROR(VLOOKUP($A16,subQ,MATCH(U$1,SUBQH,0),0),"")</f>
        <v/>
      </c>
      <c r="V16" s="20">
        <f>IFERROR(VLOOKUP($A16,subQ,MATCH(V$1,SUBQH,0),0),"")</f>
        <v/>
      </c>
      <c r="W16" s="20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45">
        <f>IFERROR(VLOOKUP($A17,subQ,MATCH(S$1,SUBQH,0),0),"")</f>
        <v/>
      </c>
      <c r="T17" s="20">
        <f>IFERROR(VLOOKUP($A17,subQ,MATCH(T$1,SUBQH,0),0),"")</f>
        <v/>
      </c>
      <c r="U17" s="20">
        <f>IFERROR(VLOOKUP($A17,subQ,MATCH(U$1,SUBQH,0),0),"")</f>
        <v/>
      </c>
      <c r="V17" s="20">
        <f>IFERROR(VLOOKUP($A17,subQ,MATCH(V$1,SUBQH,0),0),"")</f>
        <v/>
      </c>
      <c r="W17" s="20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45">
        <f>IFERROR(VLOOKUP($A18,subQ,MATCH(S$1,SUBQH,0),0),"")</f>
        <v/>
      </c>
      <c r="T18" s="20">
        <f>IFERROR(VLOOKUP($A18,subQ,MATCH(T$1,SUBQH,0),0),"")</f>
        <v/>
      </c>
      <c r="U18" s="20">
        <f>IFERROR(VLOOKUP($A18,subQ,MATCH(U$1,SUBQH,0),0),"")</f>
        <v/>
      </c>
      <c r="V18" s="20">
        <f>IFERROR(VLOOKUP($A18,subQ,MATCH(V$1,SUBQH,0),0),"")</f>
        <v/>
      </c>
      <c r="W18" s="20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45">
        <f>IFERROR(VLOOKUP($A19,subQ,MATCH(S$1,SUBQH,0),0),"")</f>
        <v/>
      </c>
      <c r="T19" s="20">
        <f>IFERROR(VLOOKUP($A19,subQ,MATCH(T$1,SUBQH,0),0),"")</f>
        <v/>
      </c>
      <c r="U19" s="20">
        <f>IFERROR(VLOOKUP($A19,subQ,MATCH(U$1,SUBQH,0),0),"")</f>
        <v/>
      </c>
      <c r="V19" s="20">
        <f>IFERROR(VLOOKUP($A19,subQ,MATCH(V$1,SUBQH,0),0),"")</f>
        <v/>
      </c>
      <c r="W19" s="20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45">
        <f>IFERROR(VLOOKUP($A20,subQ,MATCH(S$1,SUBQH,0),0),"")</f>
        <v/>
      </c>
      <c r="T20" s="20">
        <f>IFERROR(VLOOKUP($A20,subQ,MATCH(T$1,SUBQH,0),0),"")</f>
        <v/>
      </c>
      <c r="U20" s="20">
        <f>IFERROR(VLOOKUP($A20,subQ,MATCH(U$1,SUBQH,0),0),"")</f>
        <v/>
      </c>
      <c r="V20" s="20">
        <f>IFERROR(VLOOKUP($A20,subQ,MATCH(V$1,SUBQH,0),0),"")</f>
        <v/>
      </c>
      <c r="W20" s="20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45">
        <f>IFERROR(VLOOKUP($A21,subQ,MATCH(S$1,SUBQH,0),0),"")</f>
        <v/>
      </c>
      <c r="T21" s="20">
        <f>IFERROR(VLOOKUP($A21,subQ,MATCH(T$1,SUBQH,0),0),"")</f>
        <v/>
      </c>
      <c r="U21" s="20">
        <f>IFERROR(VLOOKUP($A21,subQ,MATCH(U$1,SUBQH,0),0),"")</f>
        <v/>
      </c>
      <c r="V21" s="20">
        <f>IFERROR(VLOOKUP($A21,subQ,MATCH(V$1,SUBQH,0),0),"")</f>
        <v/>
      </c>
      <c r="W21" s="20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45">
        <f>IFERROR(VLOOKUP($A22,subQ,MATCH(S$1,SUBQH,0),0),"")</f>
        <v/>
      </c>
      <c r="T22" s="20">
        <f>IFERROR(VLOOKUP($A22,subQ,MATCH(T$1,SUBQH,0),0),"")</f>
        <v/>
      </c>
      <c r="U22" s="20">
        <f>IFERROR(VLOOKUP($A22,subQ,MATCH(U$1,SUBQH,0),0),"")</f>
        <v/>
      </c>
      <c r="V22" s="20">
        <f>IFERROR(VLOOKUP($A22,subQ,MATCH(V$1,SUBQH,0),0),"")</f>
        <v/>
      </c>
      <c r="W22" s="20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45">
        <f>IFERROR(VLOOKUP($A23,subQ,MATCH(S$1,SUBQH,0),0),"")</f>
        <v/>
      </c>
      <c r="T23" s="20">
        <f>IFERROR(VLOOKUP($A23,subQ,MATCH(T$1,SUBQH,0),0),"")</f>
        <v/>
      </c>
      <c r="U23" s="20">
        <f>IFERROR(VLOOKUP($A23,subQ,MATCH(U$1,SUBQH,0),0),"")</f>
        <v/>
      </c>
      <c r="V23" s="20">
        <f>IFERROR(VLOOKUP($A23,subQ,MATCH(V$1,SUBQH,0),0),"")</f>
        <v/>
      </c>
      <c r="W23" s="20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45">
        <f>IFERROR(VLOOKUP($A24,subQ,MATCH(S$1,SUBQH,0),0),"")</f>
        <v/>
      </c>
      <c r="T24" s="20">
        <f>IFERROR(VLOOKUP($A24,subQ,MATCH(T$1,SUBQH,0),0),"")</f>
        <v/>
      </c>
      <c r="U24" s="20">
        <f>IFERROR(VLOOKUP($A24,subQ,MATCH(U$1,SUBQH,0),0),"")</f>
        <v/>
      </c>
      <c r="V24" s="20">
        <f>IFERROR(VLOOKUP($A24,subQ,MATCH(V$1,SUBQH,0),0),"")</f>
        <v/>
      </c>
      <c r="W24" s="20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45">
        <f>IFERROR(VLOOKUP($A25,subQ,MATCH(S$1,SUBQH,0),0),"")</f>
        <v/>
      </c>
      <c r="T25" s="20">
        <f>IFERROR(VLOOKUP($A25,subQ,MATCH(T$1,SUBQH,0),0),"")</f>
        <v/>
      </c>
      <c r="U25" s="20">
        <f>IFERROR(VLOOKUP($A25,subQ,MATCH(U$1,SUBQH,0),0),"")</f>
        <v/>
      </c>
      <c r="V25" s="20">
        <f>IFERROR(VLOOKUP($A25,subQ,MATCH(V$1,SUBQH,0),0),"")</f>
        <v/>
      </c>
      <c r="W25" s="20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45">
        <f>IFERROR(VLOOKUP($A26,subQ,MATCH(S$1,SUBQH,0),0),"")</f>
        <v/>
      </c>
      <c r="T26" s="20">
        <f>IFERROR(VLOOKUP($A26,subQ,MATCH(T$1,SUBQH,0),0),"")</f>
        <v/>
      </c>
      <c r="U26" s="20">
        <f>IFERROR(VLOOKUP($A26,subQ,MATCH(U$1,SUBQH,0),0),"")</f>
        <v/>
      </c>
      <c r="V26" s="20">
        <f>IFERROR(VLOOKUP($A26,subQ,MATCH(V$1,SUBQH,0),0),"")</f>
        <v/>
      </c>
      <c r="W26" s="20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45">
        <f>IFERROR(VLOOKUP($A27,subQ,MATCH(S$1,SUBQH,0),0),"")</f>
        <v/>
      </c>
      <c r="T27" s="20">
        <f>IFERROR(VLOOKUP($A27,subQ,MATCH(T$1,SUBQH,0),0),"")</f>
        <v/>
      </c>
      <c r="U27" s="20">
        <f>IFERROR(VLOOKUP($A27,subQ,MATCH(U$1,SUBQH,0),0),"")</f>
        <v/>
      </c>
      <c r="V27" s="20">
        <f>IFERROR(VLOOKUP($A27,subQ,MATCH(V$1,SUBQH,0),0),"")</f>
        <v/>
      </c>
      <c r="W27" s="20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18">
        <f>IFERROR(VLOOKUP($A28,subQ,MATCH(H$1,SUBQH,0),0),"")</f>
        <v/>
      </c>
      <c r="I28" s="18">
        <f>IFERROR(VLOOKUP($A28,subQ,MATCH(I$1,SUBQH,0),0),"")</f>
        <v/>
      </c>
      <c r="J28" s="18">
        <f>IFERROR(VLOOKUP($A28,subQ,MATCH(J$1,SUBQH,0),0),"")</f>
        <v/>
      </c>
      <c r="K28" s="18">
        <f>IFERROR(VLOOKUP($A28,subQ,MATCH(K$1,SUBQH,0),0),"")</f>
        <v/>
      </c>
      <c r="L28" s="18">
        <f>IFERROR(VLOOKUP($A28,subQ,MATCH(L$1,SUBQH,0),0),"")</f>
        <v/>
      </c>
      <c r="M28" s="18">
        <f>IFERROR(VLOOKUP($A28,subQ,MATCH(M$1,SUBQH,0),0),"")</f>
        <v/>
      </c>
      <c r="N28" s="18">
        <f>IFERROR(VLOOKUP($A28,subQ,MATCH(N$1,SUBQH,0),0),"")</f>
        <v/>
      </c>
      <c r="O28" s="18">
        <f>IFERROR(VLOOKUP($A28,subQ,MATCH(O$1,SUBQH,0),0),"")</f>
        <v/>
      </c>
      <c r="P28" s="18">
        <f>IFERROR(VLOOKUP($A28,subQ,MATCH(P$1,SUBQH,0),0),"")</f>
        <v/>
      </c>
      <c r="Q28" s="18">
        <f>IFERROR(VLOOKUP($A28,subQ,MATCH(Q$1,SUBQH,0),0),"")</f>
        <v/>
      </c>
      <c r="R28" s="18">
        <f>IFERROR(VLOOKUP($A28,subQ,MATCH(R$1,SUBQH,0),0),"")</f>
        <v/>
      </c>
      <c r="S28" s="45">
        <f>IFERROR(VLOOKUP($A28,subQ,MATCH(S$1,SUBQH,0),0),"")</f>
        <v/>
      </c>
      <c r="T28" s="20">
        <f>IFERROR(VLOOKUP($A28,subQ,MATCH(T$1,SUBQH,0),0),"")</f>
        <v/>
      </c>
      <c r="U28" s="20">
        <f>IFERROR(VLOOKUP($A28,subQ,MATCH(U$1,SUBQH,0),0),"")</f>
        <v/>
      </c>
      <c r="V28" s="20">
        <f>IFERROR(VLOOKUP($A28,subQ,MATCH(V$1,SUBQH,0),0),"")</f>
        <v/>
      </c>
      <c r="W28" s="20">
        <f>IFERROR(VLOOKUP($A28,subQ,MATCH(W$1,SUBQH,0),0),"")</f>
        <v/>
      </c>
      <c r="X28" s="20">
        <f>IFERROR(VLOOKUP($A28,subQ,MATCH(X$1,SUBQH,0),0),"")</f>
        <v/>
      </c>
      <c r="Y28" s="20">
        <f>IFERROR(VLOOKUP($A28,subQ,MATCH(Y$1,SUBQH,0),0),"")</f>
        <v/>
      </c>
      <c r="Z28" s="20">
        <f>IFERROR(VLOOKUP($A28,subQ,MATCH(Z$1,SUBQH,0),0),"")</f>
        <v/>
      </c>
      <c r="AA28" s="20">
        <f>IFERROR(VLOOKUP($A28,subQ,MATCH(AA$1,SUBQH,0),0),"")</f>
        <v/>
      </c>
      <c r="AB28" s="20">
        <f>IFERROR(VLOOKUP($A28,subQ,MATCH(AB$1,SUBQH,0),0),"")</f>
        <v/>
      </c>
      <c r="AC28" s="20">
        <f>IFERROR(VLOOKUP($A28,subQ,MATCH(AC$1,SUBQH,0),0),"")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45">
        <f>IFERROR(VLOOKUP($A29,subQ,MATCH(S$1,SUBQH,0),0),"")</f>
        <v/>
      </c>
      <c r="T29" s="20">
        <f>IFERROR(VLOOKUP($A29,subQ,MATCH(T$1,SUBQH,0),0),"")</f>
        <v/>
      </c>
      <c r="U29" s="20">
        <f>IFERROR(VLOOKUP($A29,subQ,MATCH(U$1,SUBQH,0),0),"")</f>
        <v/>
      </c>
      <c r="V29" s="20">
        <f>IFERROR(VLOOKUP($A29,subQ,MATCH(V$1,SUBQH,0),0),"")</f>
        <v/>
      </c>
      <c r="W29" s="20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27">
        <f>IFERROR(VLOOKUP($A30,subQ,MATCH(H$1,SUBQH,0),0),"")</f>
        <v/>
      </c>
      <c r="I30" s="27">
        <f>IFERROR(VLOOKUP($A30,subQ,MATCH(I$1,SUBQH,0),0),"")</f>
        <v/>
      </c>
      <c r="J30" s="27">
        <f>IFERROR(VLOOKUP($A30,subQ,MATCH(J$1,SUBQH,0),0),"")</f>
        <v/>
      </c>
      <c r="K30" s="27">
        <f>IFERROR(VLOOKUP($A30,subQ,MATCH(K$1,SUBQH,0),0),"")</f>
        <v/>
      </c>
      <c r="L30" s="27">
        <f>IFERROR(VLOOKUP($A30,subQ,MATCH(L$1,SUBQH,0),0),"")</f>
        <v/>
      </c>
      <c r="M30" s="27">
        <f>IFERROR(VLOOKUP($A30,subQ,MATCH(M$1,SUBQH,0),0),"")</f>
        <v/>
      </c>
      <c r="N30" s="27">
        <f>IFERROR(VLOOKUP($A30,subQ,MATCH(N$1,SUBQH,0),0),"")</f>
        <v/>
      </c>
      <c r="O30" s="27">
        <f>IFERROR(VLOOKUP($A30,subQ,MATCH(O$1,SUBQH,0),0),"")</f>
        <v/>
      </c>
      <c r="P30" s="27">
        <f>IFERROR(VLOOKUP($A30,subQ,MATCH(P$1,SUBQH,0),0),"")</f>
        <v/>
      </c>
      <c r="Q30" s="27">
        <f>IFERROR(VLOOKUP($A30,subQ,MATCH(Q$1,SUBQH,0),0),"")</f>
        <v/>
      </c>
      <c r="R30" s="27">
        <f>IFERROR(VLOOKUP($A30,subQ,MATCH(R$1,SUBQH,0),0),"")</f>
        <v/>
      </c>
      <c r="S30" s="47">
        <f>IFERROR(VLOOKUP($A30,subQ,MATCH(S$1,SUBQH,0),0),"")</f>
        <v/>
      </c>
      <c r="T30" s="33">
        <f>IFERROR(VLOOKUP($A30,subQ,MATCH(T$1,SUBQH,0),0),"")</f>
        <v/>
      </c>
      <c r="U30" s="33">
        <f>IFERROR(VLOOKUP($A30,subQ,MATCH(U$1,SUBQH,0),0),"")</f>
        <v/>
      </c>
      <c r="V30" s="33">
        <f>IFERROR(VLOOKUP($A30,subQ,MATCH(V$1,SUBQH,0),0),"")</f>
        <v/>
      </c>
      <c r="W30" s="33">
        <f>IFERROR(VLOOKUP($A30,subQ,MATCH(W$1,SUBQH,0),0),"")</f>
        <v/>
      </c>
      <c r="X30" s="33">
        <f>IFERROR(VLOOKUP($A30,subQ,MATCH(X$1,SUBQH,0),0),"")</f>
        <v/>
      </c>
      <c r="Y30" s="33">
        <f>IFERROR(VLOOKUP($A30,subQ,MATCH(Y$1,SUBQH,0),0),"")</f>
        <v/>
      </c>
      <c r="Z30" s="33">
        <f>IFERROR(VLOOKUP($A30,subQ,MATCH(Z$1,SUBQH,0),0),"")</f>
        <v/>
      </c>
      <c r="AA30" s="33">
        <f>IFERROR(VLOOKUP($A30,subQ,MATCH(AA$1,SUBQH,0),0),"")</f>
        <v/>
      </c>
      <c r="AB30" s="33">
        <f>IFERROR(VLOOKUP($A30,subQ,MATCH(AB$1,SUBQH,0),0),"")</f>
        <v/>
      </c>
      <c r="AC30" s="33">
        <f>IFERROR(VLOOKUP($A30,subQ,MATCH(AC$1,SUBQH,0),0),"")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45">
        <f>IFERROR(VLOOKUP($A31,subQ,MATCH(S$1,SUBQH,0),0),"")</f>
        <v/>
      </c>
      <c r="T31" s="20">
        <f>IFERROR(VLOOKUP($A31,subQ,MATCH(T$1,SUBQH,0),0),"")</f>
        <v/>
      </c>
      <c r="U31" s="20">
        <f>IFERROR(VLOOKUP($A31,subQ,MATCH(U$1,SUBQH,0),0),"")</f>
        <v/>
      </c>
      <c r="V31" s="20">
        <f>IFERROR(VLOOKUP($A31,subQ,MATCH(V$1,SUBQH,0),0),"")</f>
        <v/>
      </c>
      <c r="W31" s="20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</row>
    <row r="32">
      <c r="A32" s="12" t="inlineStr">
        <is>
          <t>조정EPS</t>
        </is>
      </c>
      <c r="D32" t="inlineStr">
        <is>
          <t>조정 EPS(일회성 의심 분기의 초과 비영업손익 세후 차감 — 모델 추정)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18">
        <f>IFERROR(VLOOKUP($A32,subQ,MATCH(H$1,SUBQH,0),0),"")</f>
        <v/>
      </c>
      <c r="I32" s="18">
        <f>IFERROR(VLOOKUP($A32,subQ,MATCH(I$1,SUBQH,0),0),"")</f>
        <v/>
      </c>
      <c r="J32" s="18">
        <f>IFERROR(VLOOKUP($A32,subQ,MATCH(J$1,SUBQH,0),0),"")</f>
        <v/>
      </c>
      <c r="K32" s="18">
        <f>IFERROR(VLOOKUP($A32,subQ,MATCH(K$1,SUBQH,0),0),"")</f>
        <v/>
      </c>
      <c r="L32" s="18">
        <f>IFERROR(VLOOKUP($A32,subQ,MATCH(L$1,SUBQH,0),0),"")</f>
        <v/>
      </c>
      <c r="M32" s="18">
        <f>IFERROR(VLOOKUP($A32,subQ,MATCH(M$1,SUBQH,0),0),"")</f>
        <v/>
      </c>
      <c r="N32" s="18">
        <f>IFERROR(VLOOKUP($A32,subQ,MATCH(N$1,SUBQH,0),0),"")</f>
        <v/>
      </c>
      <c r="O32" s="18">
        <f>IFERROR(VLOOKUP($A32,subQ,MATCH(O$1,SUBQH,0),0),"")</f>
        <v/>
      </c>
      <c r="P32" s="18">
        <f>IFERROR(VLOOKUP($A32,subQ,MATCH(P$1,SUBQH,0),0),"")</f>
        <v/>
      </c>
      <c r="Q32" s="18">
        <f>IFERROR(VLOOKUP($A32,subQ,MATCH(Q$1,SUBQH,0),0),"")</f>
        <v/>
      </c>
      <c r="R32" s="18">
        <f>IFERROR(VLOOKUP($A32,subQ,MATCH(R$1,SUBQH,0),0),"")</f>
        <v/>
      </c>
      <c r="S32" s="45">
        <f>IFERROR(VLOOKUP($A32,subQ,MATCH(S$1,SUBQH,0),0),"")</f>
        <v/>
      </c>
      <c r="T32" s="20">
        <f>IFERROR(VLOOKUP($A32,subQ,MATCH(T$1,SUBQH,0),0),"")</f>
        <v/>
      </c>
      <c r="U32" s="20">
        <f>IFERROR(VLOOKUP($A32,subQ,MATCH(U$1,SUBQH,0),0),"")</f>
        <v/>
      </c>
      <c r="V32" s="20">
        <f>IFERROR(VLOOKUP($A32,subQ,MATCH(V$1,SUBQH,0),0),"")</f>
        <v/>
      </c>
      <c r="W32" s="20">
        <f>IFERROR(VLOOKUP($A32,subQ,MATCH(W$1,SUBQH,0),0),"")</f>
        <v/>
      </c>
      <c r="X32" s="20">
        <f>IFERROR(VLOOKUP($A32,subQ,MATCH(X$1,SUBQH,0),0),"")</f>
        <v/>
      </c>
      <c r="Y32" s="20">
        <f>IFERROR(VLOOKUP($A32,subQ,MATCH(Y$1,SUBQH,0),0),"")</f>
        <v/>
      </c>
      <c r="Z32" s="20">
        <f>IFERROR(VLOOKUP($A32,subQ,MATCH(Z$1,SUBQH,0),0),"")</f>
        <v/>
      </c>
      <c r="AA32" s="20">
        <f>IFERROR(VLOOKUP($A32,subQ,MATCH(AA$1,SUBQH,0),0),"")</f>
        <v/>
      </c>
      <c r="AB32" s="20">
        <f>IFERROR(VLOOKUP($A32,subQ,MATCH(AB$1,SUBQH,0),0),"")</f>
        <v/>
      </c>
      <c r="AC32" s="20">
        <f>IFERROR(VLOOKUP($A32,subQ,MATCH(AC$1,SUBQH,0),0),"")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18">
        <f>IFERROR(VLOOKUP($A33,subQ,MATCH(H$1,SUBQH,0),0),"")</f>
        <v/>
      </c>
      <c r="I33" s="18">
        <f>IFERROR(VLOOKUP($A33,subQ,MATCH(I$1,SUBQH,0),0),"")</f>
        <v/>
      </c>
      <c r="J33" s="18">
        <f>IFERROR(VLOOKUP($A33,subQ,MATCH(J$1,SUBQH,0),0),"")</f>
        <v/>
      </c>
      <c r="K33" s="18">
        <f>IFERROR(VLOOKUP($A33,subQ,MATCH(K$1,SUBQH,0),0),"")</f>
        <v/>
      </c>
      <c r="L33" s="18">
        <f>IFERROR(VLOOKUP($A33,subQ,MATCH(L$1,SUBQH,0),0),"")</f>
        <v/>
      </c>
      <c r="M33" s="18">
        <f>IFERROR(VLOOKUP($A33,subQ,MATCH(M$1,SUBQH,0),0),"")</f>
        <v/>
      </c>
      <c r="N33" s="18">
        <f>IFERROR(VLOOKUP($A33,subQ,MATCH(N$1,SUBQH,0),0),"")</f>
        <v/>
      </c>
      <c r="O33" s="18">
        <f>IFERROR(VLOOKUP($A33,subQ,MATCH(O$1,SUBQH,0),0),"")</f>
        <v/>
      </c>
      <c r="P33" s="18">
        <f>IFERROR(VLOOKUP($A33,subQ,MATCH(P$1,SUBQH,0),0),"")</f>
        <v/>
      </c>
      <c r="Q33" s="18">
        <f>IFERROR(VLOOKUP($A33,subQ,MATCH(Q$1,SUBQH,0),0),"")</f>
        <v/>
      </c>
      <c r="R33" s="18">
        <f>IFERROR(VLOOKUP($A33,subQ,MATCH(R$1,SUBQH,0),0),"")</f>
        <v/>
      </c>
      <c r="S33" s="45">
        <f>IFERROR(VLOOKUP($A33,subQ,MATCH(S$1,SUBQH,0),0),"")</f>
        <v/>
      </c>
      <c r="T33" s="20">
        <f>IFERROR(VLOOKUP($A33,subQ,MATCH(T$1,SUBQH,0),0),"")</f>
        <v/>
      </c>
      <c r="U33" s="20">
        <f>IFERROR(VLOOKUP($A33,subQ,MATCH(U$1,SUBQH,0),0),"")</f>
        <v/>
      </c>
      <c r="V33" s="20">
        <f>IFERROR(VLOOKUP($A33,subQ,MATCH(V$1,SUBQH,0),0),"")</f>
        <v/>
      </c>
      <c r="W33" s="20">
        <f>IFERROR(VLOOKUP($A33,subQ,MATCH(W$1,SUBQH,0),0),"")</f>
        <v/>
      </c>
      <c r="X33" s="20">
        <f>IFERROR(VLOOKUP($A33,subQ,MATCH(X$1,SUBQH,0),0),"")</f>
        <v/>
      </c>
      <c r="Y33" s="20">
        <f>IFERROR(VLOOKUP($A33,subQ,MATCH(Y$1,SUBQH,0),0),"")</f>
        <v/>
      </c>
      <c r="Z33" s="20">
        <f>IFERROR(VLOOKUP($A33,subQ,MATCH(Z$1,SUBQH,0),0),"")</f>
        <v/>
      </c>
      <c r="AA33" s="20">
        <f>IFERROR(VLOOKUP($A33,subQ,MATCH(AA$1,SUBQH,0),0),"")</f>
        <v/>
      </c>
      <c r="AB33" s="20">
        <f>IFERROR(VLOOKUP($A33,subQ,MATCH(AB$1,SUBQH,0),0),"")</f>
        <v/>
      </c>
      <c r="AC33" s="20">
        <f>IFERROR(VLOOKUP($A33,subQ,MATCH(AC$1,SUBQH,0),0),"")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45">
        <f>IFERROR(VLOOKUP($A34,subQ,MATCH(S$1,SUBQH,0),0),"")</f>
        <v/>
      </c>
      <c r="T34" s="20">
        <f>IFERROR(VLOOKUP($A34,subQ,MATCH(T$1,SUBQH,0),0),"")</f>
        <v/>
      </c>
      <c r="U34" s="20">
        <f>IFERROR(VLOOKUP($A34,subQ,MATCH(U$1,SUBQH,0),0),"")</f>
        <v/>
      </c>
      <c r="V34" s="20">
        <f>IFERROR(VLOOKUP($A34,subQ,MATCH(V$1,SUBQH,0),0),"")</f>
        <v/>
      </c>
      <c r="W34" s="20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13">
        <f>IFERROR(VLOOKUP($A35,subQ,MATCH(H$1,SUBQH,0),0),"")</f>
        <v/>
      </c>
      <c r="I35" s="13">
        <f>IFERROR(VLOOKUP($A35,subQ,MATCH(I$1,SUBQH,0),0),"")</f>
        <v/>
      </c>
      <c r="J35" s="13">
        <f>IFERROR(VLOOKUP($A35,subQ,MATCH(J$1,SUBQH,0),0),"")</f>
        <v/>
      </c>
      <c r="K35" s="13">
        <f>IFERROR(VLOOKUP($A35,subQ,MATCH(K$1,SUBQH,0),0),"")</f>
        <v/>
      </c>
      <c r="L35" s="13">
        <f>IFERROR(VLOOKUP($A35,subQ,MATCH(L$1,SUBQH,0),0),"")</f>
        <v/>
      </c>
      <c r="M35" s="13">
        <f>IFERROR(VLOOKUP($A35,subQ,MATCH(M$1,SUBQH,0),0),"")</f>
        <v/>
      </c>
      <c r="N35" s="13">
        <f>IFERROR(VLOOKUP($A35,subQ,MATCH(N$1,SUBQH,0),0),"")</f>
        <v/>
      </c>
      <c r="O35" s="13">
        <f>IFERROR(VLOOKUP($A35,subQ,MATCH(O$1,SUBQH,0),0),"")</f>
        <v/>
      </c>
      <c r="P35" s="13">
        <f>IFERROR(VLOOKUP($A35,subQ,MATCH(P$1,SUBQH,0),0),"")</f>
        <v/>
      </c>
      <c r="Q35" s="13">
        <f>IFERROR(VLOOKUP($A35,subQ,MATCH(Q$1,SUBQH,0),0),"")</f>
        <v/>
      </c>
      <c r="R35" s="13">
        <f>IFERROR(VLOOKUP($A35,subQ,MATCH(R$1,SUBQH,0),0),"")</f>
        <v/>
      </c>
      <c r="S35" s="48">
        <f>IFERROR(VLOOKUP($A35,subQ,MATCH(S$1,SUBQH,0),0),"")</f>
        <v/>
      </c>
      <c r="T35" s="39">
        <f>IFERROR(VLOOKUP($A35,subQ,MATCH(T$1,SUBQH,0),0),"")</f>
        <v/>
      </c>
      <c r="U35" s="39">
        <f>IFERROR(VLOOKUP($A35,subQ,MATCH(U$1,SUBQH,0),0),"")</f>
        <v/>
      </c>
      <c r="V35" s="39">
        <f>IFERROR(VLOOKUP($A35,subQ,MATCH(V$1,SUBQH,0),0),"")</f>
        <v/>
      </c>
      <c r="W35" s="39">
        <f>IFERROR(VLOOKUP($A35,subQ,MATCH(W$1,SUBQH,0),0),"")</f>
        <v/>
      </c>
      <c r="X35" s="39">
        <f>IFERROR(VLOOKUP($A35,subQ,MATCH(X$1,SUBQH,0),0),"")</f>
        <v/>
      </c>
      <c r="Y35" s="39">
        <f>IFERROR(VLOOKUP($A35,subQ,MATCH(Y$1,SUBQH,0),0),"")</f>
        <v/>
      </c>
      <c r="Z35" s="39">
        <f>IFERROR(VLOOKUP($A35,subQ,MATCH(Z$1,SUBQH,0),0),"")</f>
        <v/>
      </c>
      <c r="AA35" s="39">
        <f>IFERROR(VLOOKUP($A35,subQ,MATCH(AA$1,SUBQH,0),0),"")</f>
        <v/>
      </c>
      <c r="AB35" s="39">
        <f>IFERROR(VLOOKUP($A35,subQ,MATCH(AB$1,SUBQH,0),0),"")</f>
        <v/>
      </c>
      <c r="AC35" s="39">
        <f>IFERROR(VLOOKUP($A35,subQ,MATCH(AC$1,SUBQH,0),0),"")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13">
        <f>IFERROR(VLOOKUP($A36,subQ,MATCH(H$1,SUBQH,0),0),"")</f>
        <v/>
      </c>
      <c r="I36" s="13">
        <f>IFERROR(VLOOKUP($A36,subQ,MATCH(I$1,SUBQH,0),0),"")</f>
        <v/>
      </c>
      <c r="J36" s="13">
        <f>IFERROR(VLOOKUP($A36,subQ,MATCH(J$1,SUBQH,0),0),"")</f>
        <v/>
      </c>
      <c r="K36" s="13">
        <f>IFERROR(VLOOKUP($A36,subQ,MATCH(K$1,SUBQH,0),0),"")</f>
        <v/>
      </c>
      <c r="L36" s="13">
        <f>IFERROR(VLOOKUP($A36,subQ,MATCH(L$1,SUBQH,0),0),"")</f>
        <v/>
      </c>
      <c r="M36" s="13">
        <f>IFERROR(VLOOKUP($A36,subQ,MATCH(M$1,SUBQH,0),0),"")</f>
        <v/>
      </c>
      <c r="N36" s="13">
        <f>IFERROR(VLOOKUP($A36,subQ,MATCH(N$1,SUBQH,0),0),"")</f>
        <v/>
      </c>
      <c r="O36" s="13">
        <f>IFERROR(VLOOKUP($A36,subQ,MATCH(O$1,SUBQH,0),0),"")</f>
        <v/>
      </c>
      <c r="P36" s="13">
        <f>IFERROR(VLOOKUP($A36,subQ,MATCH(P$1,SUBQH,0),0),"")</f>
        <v/>
      </c>
      <c r="Q36" s="13">
        <f>IFERROR(VLOOKUP($A36,subQ,MATCH(Q$1,SUBQH,0),0),"")</f>
        <v/>
      </c>
      <c r="R36" s="13">
        <f>IFERROR(VLOOKUP($A36,subQ,MATCH(R$1,SUBQH,0),0),"")</f>
        <v/>
      </c>
      <c r="S36" s="48">
        <f>IFERROR(VLOOKUP($A36,subQ,MATCH(S$1,SUBQH,0),0),"")</f>
        <v/>
      </c>
      <c r="T36" s="39">
        <f>IFERROR(VLOOKUP($A36,subQ,MATCH(T$1,SUBQH,0),0),"")</f>
        <v/>
      </c>
      <c r="U36" s="39">
        <f>IFERROR(VLOOKUP($A36,subQ,MATCH(U$1,SUBQH,0),0),"")</f>
        <v/>
      </c>
      <c r="V36" s="39">
        <f>IFERROR(VLOOKUP($A36,subQ,MATCH(V$1,SUBQH,0),0),"")</f>
        <v/>
      </c>
      <c r="W36" s="39">
        <f>IFERROR(VLOOKUP($A36,subQ,MATCH(W$1,SUBQH,0),0),"")</f>
        <v/>
      </c>
      <c r="X36" s="39">
        <f>IFERROR(VLOOKUP($A36,subQ,MATCH(X$1,SUBQH,0),0),"")</f>
        <v/>
      </c>
      <c r="Y36" s="39">
        <f>IFERROR(VLOOKUP($A36,subQ,MATCH(Y$1,SUBQH,0),0),"")</f>
        <v/>
      </c>
      <c r="Z36" s="39">
        <f>IFERROR(VLOOKUP($A36,subQ,MATCH(Z$1,SUBQH,0),0),"")</f>
        <v/>
      </c>
      <c r="AA36" s="39">
        <f>IFERROR(VLOOKUP($A36,subQ,MATCH(AA$1,SUBQH,0),0),"")</f>
        <v/>
      </c>
      <c r="AB36" s="39">
        <f>IFERROR(VLOOKUP($A36,subQ,MATCH(AB$1,SUBQH,0),0),"")</f>
        <v/>
      </c>
      <c r="AC36" s="39">
        <f>IFERROR(VLOOKUP($A36,subQ,MATCH(AC$1,SUBQH,0),0),"")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18">
        <f>IFERROR(VLOOKUP($A37,subQ,MATCH(H$1,SUBQH,0),0),"")</f>
        <v/>
      </c>
      <c r="I37" s="18">
        <f>IFERROR(VLOOKUP($A37,subQ,MATCH(I$1,SUBQH,0),0),"")</f>
        <v/>
      </c>
      <c r="J37" s="18">
        <f>IFERROR(VLOOKUP($A37,subQ,MATCH(J$1,SUBQH,0),0),"")</f>
        <v/>
      </c>
      <c r="K37" s="18">
        <f>IFERROR(VLOOKUP($A37,subQ,MATCH(K$1,SUBQH,0),0),"")</f>
        <v/>
      </c>
      <c r="L37" s="18">
        <f>IFERROR(VLOOKUP($A37,subQ,MATCH(L$1,SUBQH,0),0),"")</f>
        <v/>
      </c>
      <c r="M37" s="18">
        <f>IFERROR(VLOOKUP($A37,subQ,MATCH(M$1,SUBQH,0),0),"")</f>
        <v/>
      </c>
      <c r="N37" s="18">
        <f>IFERROR(VLOOKUP($A37,subQ,MATCH(N$1,SUBQH,0),0),"")</f>
        <v/>
      </c>
      <c r="O37" s="18">
        <f>IFERROR(VLOOKUP($A37,subQ,MATCH(O$1,SUBQH,0),0),"")</f>
        <v/>
      </c>
      <c r="P37" s="18">
        <f>IFERROR(VLOOKUP($A37,subQ,MATCH(P$1,SUBQH,0),0),"")</f>
        <v/>
      </c>
      <c r="Q37" s="18">
        <f>IFERROR(VLOOKUP($A37,subQ,MATCH(Q$1,SUBQH,0),0),"")</f>
        <v/>
      </c>
      <c r="R37" s="18">
        <f>IFERROR(VLOOKUP($A37,subQ,MATCH(R$1,SUBQH,0),0),"")</f>
        <v/>
      </c>
      <c r="S37" s="45">
        <f>IFERROR(VLOOKUP($A37,subQ,MATCH(S$1,SUBQH,0),0),"")</f>
        <v/>
      </c>
      <c r="T37" s="20">
        <f>IFERROR(VLOOKUP($A37,subQ,MATCH(T$1,SUBQH,0),0),"")</f>
        <v/>
      </c>
      <c r="U37" s="20">
        <f>IFERROR(VLOOKUP($A37,subQ,MATCH(U$1,SUBQH,0),0),"")</f>
        <v/>
      </c>
      <c r="V37" s="20">
        <f>IFERROR(VLOOKUP($A37,subQ,MATCH(V$1,SUBQH,0),0),"")</f>
        <v/>
      </c>
      <c r="W37" s="20">
        <f>IFERROR(VLOOKUP($A37,subQ,MATCH(W$1,SUBQH,0),0),"")</f>
        <v/>
      </c>
      <c r="X37" s="20">
        <f>IFERROR(VLOOKUP($A37,subQ,MATCH(X$1,SUBQH,0),0),"")</f>
        <v/>
      </c>
      <c r="Y37" s="20">
        <f>IFERROR(VLOOKUP($A37,subQ,MATCH(Y$1,SUBQH,0),0),"")</f>
        <v/>
      </c>
      <c r="Z37" s="20">
        <f>IFERROR(VLOOKUP($A37,subQ,MATCH(Z$1,SUBQH,0),0),"")</f>
        <v/>
      </c>
      <c r="AA37" s="20">
        <f>IFERROR(VLOOKUP($A37,subQ,MATCH(AA$1,SUBQH,0),0),"")</f>
        <v/>
      </c>
      <c r="AB37" s="20">
        <f>IFERROR(VLOOKUP($A37,subQ,MATCH(AB$1,SUBQH,0),0),"")</f>
        <v/>
      </c>
      <c r="AC37" s="20">
        <f>IFERROR(VLOOKUP($A37,subQ,MATCH(AC$1,SUBQH,0),0),"")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18">
        <f>IFERROR(VLOOKUP($A38,subQ,MATCH(H$1,SUBQH,0),0),"")</f>
        <v/>
      </c>
      <c r="I38" s="18">
        <f>IFERROR(VLOOKUP($A38,subQ,MATCH(I$1,SUBQH,0),0),"")</f>
        <v/>
      </c>
      <c r="J38" s="18">
        <f>IFERROR(VLOOKUP($A38,subQ,MATCH(J$1,SUBQH,0),0),"")</f>
        <v/>
      </c>
      <c r="K38" s="18">
        <f>IFERROR(VLOOKUP($A38,subQ,MATCH(K$1,SUBQH,0),0),"")</f>
        <v/>
      </c>
      <c r="L38" s="18">
        <f>IFERROR(VLOOKUP($A38,subQ,MATCH(L$1,SUBQH,0),0),"")</f>
        <v/>
      </c>
      <c r="M38" s="18">
        <f>IFERROR(VLOOKUP($A38,subQ,MATCH(M$1,SUBQH,0),0),"")</f>
        <v/>
      </c>
      <c r="N38" s="18">
        <f>IFERROR(VLOOKUP($A38,subQ,MATCH(N$1,SUBQH,0),0),"")</f>
        <v/>
      </c>
      <c r="O38" s="18">
        <f>IFERROR(VLOOKUP($A38,subQ,MATCH(O$1,SUBQH,0),0),"")</f>
        <v/>
      </c>
      <c r="P38" s="18">
        <f>IFERROR(VLOOKUP($A38,subQ,MATCH(P$1,SUBQH,0),0),"")</f>
        <v/>
      </c>
      <c r="Q38" s="18">
        <f>IFERROR(VLOOKUP($A38,subQ,MATCH(Q$1,SUBQH,0),0),"")</f>
        <v/>
      </c>
      <c r="R38" s="18">
        <f>IFERROR(VLOOKUP($A38,subQ,MATCH(R$1,SUBQH,0),0),"")</f>
        <v/>
      </c>
      <c r="S38" s="45">
        <f>IFERROR(VLOOKUP($A38,subQ,MATCH(S$1,SUBQH,0),0),"")</f>
        <v/>
      </c>
      <c r="T38" s="20">
        <f>IFERROR(VLOOKUP($A38,subQ,MATCH(T$1,SUBQH,0),0),"")</f>
        <v/>
      </c>
      <c r="U38" s="20">
        <f>IFERROR(VLOOKUP($A38,subQ,MATCH(U$1,SUBQH,0),0),"")</f>
        <v/>
      </c>
      <c r="V38" s="20">
        <f>IFERROR(VLOOKUP($A38,subQ,MATCH(V$1,SUBQH,0),0),"")</f>
        <v/>
      </c>
      <c r="W38" s="20">
        <f>IFERROR(VLOOKUP($A38,subQ,MATCH(W$1,SUBQH,0),0),"")</f>
        <v/>
      </c>
      <c r="X38" s="20">
        <f>IFERROR(VLOOKUP($A38,subQ,MATCH(X$1,SUBQH,0),0),"")</f>
        <v/>
      </c>
      <c r="Y38" s="20">
        <f>IFERROR(VLOOKUP($A38,subQ,MATCH(Y$1,SUBQH,0),0),"")</f>
        <v/>
      </c>
      <c r="Z38" s="20">
        <f>IFERROR(VLOOKUP($A38,subQ,MATCH(Z$1,SUBQH,0),0),"")</f>
        <v/>
      </c>
      <c r="AA38" s="20">
        <f>IFERROR(VLOOKUP($A38,subQ,MATCH(AA$1,SUBQH,0),0),"")</f>
        <v/>
      </c>
      <c r="AB38" s="20">
        <f>IFERROR(VLOOKUP($A38,subQ,MATCH(AB$1,SUBQH,0),0),"")</f>
        <v/>
      </c>
      <c r="AC38" s="20">
        <f>IFERROR(VLOOKUP($A38,subQ,MATCH(AC$1,SUBQH,0),0),"")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21">
        <f>IFERROR(VLOOKUP($A39,subQ,MATCH(H$1,SUBQH,0),0),"")</f>
        <v/>
      </c>
      <c r="I39" s="21">
        <f>IFERROR(VLOOKUP($A39,subQ,MATCH(I$1,SUBQH,0),0),"")</f>
        <v/>
      </c>
      <c r="J39" s="21">
        <f>IFERROR(VLOOKUP($A39,subQ,MATCH(J$1,SUBQH,0),0),"")</f>
        <v/>
      </c>
      <c r="K39" s="21">
        <f>IFERROR(VLOOKUP($A39,subQ,MATCH(K$1,SUBQH,0),0),"")</f>
        <v/>
      </c>
      <c r="L39" s="21">
        <f>IFERROR(VLOOKUP($A39,subQ,MATCH(L$1,SUBQH,0),0),"")</f>
        <v/>
      </c>
      <c r="M39" s="21">
        <f>IFERROR(VLOOKUP($A39,subQ,MATCH(M$1,SUBQH,0),0),"")</f>
        <v/>
      </c>
      <c r="N39" s="21">
        <f>IFERROR(VLOOKUP($A39,subQ,MATCH(N$1,SUBQH,0),0),"")</f>
        <v/>
      </c>
      <c r="O39" s="21">
        <f>IFERROR(VLOOKUP($A39,subQ,MATCH(O$1,SUBQH,0),0),"")</f>
        <v/>
      </c>
      <c r="P39" s="21">
        <f>IFERROR(VLOOKUP($A39,subQ,MATCH(P$1,SUBQH,0),0),"")</f>
        <v/>
      </c>
      <c r="Q39" s="21">
        <f>IFERROR(VLOOKUP($A39,subQ,MATCH(Q$1,SUBQH,0),0),"")</f>
        <v/>
      </c>
      <c r="R39" s="21">
        <f>IFERROR(VLOOKUP($A39,subQ,MATCH(R$1,SUBQH,0),0),"")</f>
        <v/>
      </c>
      <c r="S39" s="46">
        <f>IFERROR(VLOOKUP($A39,subQ,MATCH(S$1,SUBQH,0),0),"")</f>
        <v/>
      </c>
      <c r="T39" s="32">
        <f>IFERROR(VLOOKUP($A39,subQ,MATCH(T$1,SUBQH,0),0),"")</f>
        <v/>
      </c>
      <c r="U39" s="32">
        <f>IFERROR(VLOOKUP($A39,subQ,MATCH(U$1,SUBQH,0),0),"")</f>
        <v/>
      </c>
      <c r="V39" s="32">
        <f>IFERROR(VLOOKUP($A39,subQ,MATCH(V$1,SUBQH,0),0),"")</f>
        <v/>
      </c>
      <c r="W39" s="32">
        <f>IFERROR(VLOOKUP($A39,subQ,MATCH(W$1,SUBQH,0),0),"")</f>
        <v/>
      </c>
      <c r="X39" s="32">
        <f>IFERROR(VLOOKUP($A39,subQ,MATCH(X$1,SUBQH,0),0),"")</f>
        <v/>
      </c>
      <c r="Y39" s="32">
        <f>IFERROR(VLOOKUP($A39,subQ,MATCH(Y$1,SUBQH,0),0),"")</f>
        <v/>
      </c>
      <c r="Z39" s="32">
        <f>IFERROR(VLOOKUP($A39,subQ,MATCH(Z$1,SUBQH,0),0),"")</f>
        <v/>
      </c>
      <c r="AA39" s="32">
        <f>IFERROR(VLOOKUP($A39,subQ,MATCH(AA$1,SUBQH,0),0),"")</f>
        <v/>
      </c>
      <c r="AB39" s="32">
        <f>IFERROR(VLOOKUP($A39,subQ,MATCH(AB$1,SUBQH,0),0),"")</f>
        <v/>
      </c>
      <c r="AC39" s="32">
        <f>IFERROR(VLOOKUP($A39,subQ,MATCH(AC$1,SUBQH,0),0),"")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I40" s="21">
        <f>IFERROR(I5/E5-1,"")</f>
        <v/>
      </c>
      <c r="J40" s="21">
        <f>IFERROR(J5/F5-1,"")</f>
        <v/>
      </c>
      <c r="K40" s="21">
        <f>IFERROR(K5/G5-1,"")</f>
        <v/>
      </c>
      <c r="L40" s="21">
        <f>IFERROR(L5/H5-1,"")</f>
        <v/>
      </c>
      <c r="M40" s="21">
        <f>IFERROR(M5/I5-1,"")</f>
        <v/>
      </c>
      <c r="N40" s="21">
        <f>IFERROR(N5/J5-1,"")</f>
        <v/>
      </c>
      <c r="O40" s="21">
        <f>IFERROR(O5/K5-1,"")</f>
        <v/>
      </c>
      <c r="P40" s="21">
        <f>IFERROR(P5/L5-1,"")</f>
        <v/>
      </c>
      <c r="Q40" s="21">
        <f>IFERROR(Q5/M5-1,"")</f>
        <v/>
      </c>
      <c r="R40" s="21">
        <f>IFERROR(R5/N5-1,"")</f>
        <v/>
      </c>
      <c r="S40" s="46">
        <f>IFERROR(S5/O5-1,"")</f>
        <v/>
      </c>
      <c r="T40" s="32">
        <f>IFERROR(T5/P5-1,"")</f>
        <v/>
      </c>
      <c r="U40" s="32">
        <f>IFERROR(U5/Q5-1,"")</f>
        <v/>
      </c>
      <c r="V40" s="32">
        <f>IFERROR(V5/R5-1,"")</f>
        <v/>
      </c>
      <c r="W40" s="32">
        <f>IFERROR(W5/S5-1,"")</f>
        <v/>
      </c>
      <c r="X40" s="32">
        <f>IFERROR(X5/T5-1,"")</f>
        <v/>
      </c>
      <c r="Y40" s="32">
        <f>IFERROR(Y5/U5-1,"")</f>
        <v/>
      </c>
      <c r="Z40" s="32">
        <f>IFERROR(Z5/V5-1,"")</f>
        <v/>
      </c>
      <c r="AA40" s="32">
        <f>IFERROR(AA5/W5-1,"")</f>
        <v/>
      </c>
      <c r="AB40" s="32">
        <f>IFERROR(AB5/X5-1,"")</f>
        <v/>
      </c>
      <c r="AC40" s="32">
        <f>IFERROR(AC5/Y5-1,"")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I41" s="21">
        <f>IFERROR(I9/E9-1,"")</f>
        <v/>
      </c>
      <c r="J41" s="21">
        <f>IFERROR(J9/F9-1,"")</f>
        <v/>
      </c>
      <c r="K41" s="21">
        <f>IFERROR(K9/G9-1,"")</f>
        <v/>
      </c>
      <c r="L41" s="21">
        <f>IFERROR(L9/H9-1,"")</f>
        <v/>
      </c>
      <c r="M41" s="21">
        <f>IFERROR(M9/I9-1,"")</f>
        <v/>
      </c>
      <c r="N41" s="21">
        <f>IFERROR(N9/J9-1,"")</f>
        <v/>
      </c>
      <c r="O41" s="21">
        <f>IFERROR(O9/K9-1,"")</f>
        <v/>
      </c>
      <c r="P41" s="21">
        <f>IFERROR(P9/L9-1,"")</f>
        <v/>
      </c>
      <c r="Q41" s="21">
        <f>IFERROR(Q9/M9-1,"")</f>
        <v/>
      </c>
      <c r="R41" s="21">
        <f>IFERROR(R9/N9-1,"")</f>
        <v/>
      </c>
      <c r="S41" s="46">
        <f>IFERROR(S9/O9-1,"")</f>
        <v/>
      </c>
      <c r="T41" s="32">
        <f>IFERROR(T9/P9-1,"")</f>
        <v/>
      </c>
      <c r="U41" s="32">
        <f>IFERROR(U9/Q9-1,"")</f>
        <v/>
      </c>
      <c r="V41" s="32">
        <f>IFERROR(V9/R9-1,"")</f>
        <v/>
      </c>
      <c r="W41" s="32">
        <f>IFERROR(W9/S9-1,"")</f>
        <v/>
      </c>
      <c r="X41" s="32">
        <f>IFERROR(X9/T9-1,"")</f>
        <v/>
      </c>
      <c r="Y41" s="32">
        <f>IFERROR(Y9/U9-1,"")</f>
        <v/>
      </c>
      <c r="Z41" s="32">
        <f>IFERROR(Z9/V9-1,"")</f>
        <v/>
      </c>
      <c r="AA41" s="32">
        <f>IFERROR(AA9/W9-1,"")</f>
        <v/>
      </c>
      <c r="AB41" s="32">
        <f>IFERROR(AB9/X9-1,"")</f>
        <v/>
      </c>
      <c r="AC41" s="32">
        <f>IFERROR(AC9/Y9-1,"")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I42" s="21">
        <f>IFERROR(I19/E19-1,"")</f>
        <v/>
      </c>
      <c r="J42" s="21">
        <f>IFERROR(J19/F19-1,"")</f>
        <v/>
      </c>
      <c r="K42" s="21">
        <f>IFERROR(K19/G19-1,"")</f>
        <v/>
      </c>
      <c r="L42" s="21">
        <f>IFERROR(L19/H19-1,"")</f>
        <v/>
      </c>
      <c r="M42" s="21">
        <f>IFERROR(M19/I19-1,"")</f>
        <v/>
      </c>
      <c r="N42" s="21">
        <f>IFERROR(N19/J19-1,"")</f>
        <v/>
      </c>
      <c r="O42" s="21">
        <f>IFERROR(O19/K19-1,"")</f>
        <v/>
      </c>
      <c r="P42" s="21">
        <f>IFERROR(P19/L19-1,"")</f>
        <v/>
      </c>
      <c r="Q42" s="21">
        <f>IFERROR(Q19/M19-1,"")</f>
        <v/>
      </c>
      <c r="R42" s="21">
        <f>IFERROR(R19/N19-1,"")</f>
        <v/>
      </c>
      <c r="S42" s="46">
        <f>IFERROR(S19/O19-1,"")</f>
        <v/>
      </c>
      <c r="T42" s="32">
        <f>IFERROR(T19/P19-1,"")</f>
        <v/>
      </c>
      <c r="U42" s="32">
        <f>IFERROR(U19/Q19-1,"")</f>
        <v/>
      </c>
      <c r="V42" s="32">
        <f>IFERROR(V19/R19-1,"")</f>
        <v/>
      </c>
      <c r="W42" s="32">
        <f>IFERROR(W19/S19-1,"")</f>
        <v/>
      </c>
      <c r="X42" s="32">
        <f>IFERROR(X19/T19-1,"")</f>
        <v/>
      </c>
      <c r="Y42" s="32">
        <f>IFERROR(Y19/U19-1,"")</f>
        <v/>
      </c>
      <c r="Z42" s="32">
        <f>IFERROR(Z19/V19-1,"")</f>
        <v/>
      </c>
      <c r="AA42" s="32">
        <f>IFERROR(AA19/W19-1,"")</f>
        <v/>
      </c>
      <c r="AB42" s="32">
        <f>IFERROR(AB19/X19-1,"")</f>
        <v/>
      </c>
      <c r="AC42" s="32">
        <f>IFERROR(AC19/Y19-1,"")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C1" s="2" t="inlineStr">
        <is>
          <t>이름: 연간예상H — subQ 를 이름으로 VLOOKUP(억원)</t>
        </is>
      </c>
      <c r="E1" s="3" t="n">
        <v>2022</v>
      </c>
      <c r="F1" s="3" t="n">
        <v>2023</v>
      </c>
      <c r="G1" s="3" t="n">
        <v>2024</v>
      </c>
      <c r="H1" s="41" t="n">
        <v>2025</v>
      </c>
      <c r="I1" s="3" t="n">
        <v>2026</v>
      </c>
      <c r="J1" s="3" t="n">
        <v>2027</v>
      </c>
      <c r="K1" s="3" t="n">
        <v>2028</v>
      </c>
    </row>
    <row r="2">
      <c r="C2" t="inlineStr">
        <is>
          <t>종가:</t>
        </is>
      </c>
      <c r="D2" s="18">
        <f>변수!D42</f>
        <v/>
      </c>
      <c r="H2" s="42" t="n"/>
    </row>
    <row r="3">
      <c r="C3" t="inlineStr">
        <is>
          <t>기준일:</t>
        </is>
      </c>
      <c r="D3" t="inlineStr">
        <is>
          <t>20261013</t>
        </is>
      </c>
      <c r="E3" s="2" t="n">
        <v>1</v>
      </c>
      <c r="F3" s="2" t="n">
        <v>2</v>
      </c>
      <c r="G3" s="2" t="n">
        <v>3</v>
      </c>
      <c r="H3" s="43" t="n">
        <v>4</v>
      </c>
      <c r="I3" s="2" t="n">
        <v>5</v>
      </c>
      <c r="J3" s="2" t="n">
        <v>6</v>
      </c>
      <c r="K3" s="2" t="n">
        <v>7</v>
      </c>
    </row>
    <row r="4">
      <c r="E4" s="7" t="inlineStr">
        <is>
          <t>2022.12A</t>
        </is>
      </c>
      <c r="F4" s="7" t="inlineStr">
        <is>
          <t>2023.12A</t>
        </is>
      </c>
      <c r="G4" s="7" t="inlineStr">
        <is>
          <t>2024.12A</t>
        </is>
      </c>
      <c r="H4" s="44" t="inlineStr">
        <is>
          <t>2025.12A</t>
        </is>
      </c>
      <c r="I4" s="7" t="inlineStr">
        <is>
          <t>2026.12A</t>
        </is>
      </c>
      <c r="J4" s="7" t="inlineStr">
        <is>
          <t>2027.12A</t>
        </is>
      </c>
      <c r="K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45">
        <f>IFERROR(VLOOKUP($A5,subQ,MATCH(H$1,SUBQH,0),0),"")</f>
        <v/>
      </c>
      <c r="I5" s="20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45">
        <f>IFERROR(VLOOKUP($A6,subQ,MATCH(H$1,SUBQH,0),0),"")</f>
        <v/>
      </c>
      <c r="I6" s="20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45">
        <f>IFERROR(VLOOKUP($A7,subQ,MATCH(H$1,SUBQH,0),0),"")</f>
        <v/>
      </c>
      <c r="I7" s="20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45">
        <f>IFERROR(VLOOKUP($A8,subQ,MATCH(H$1,SUBQH,0),0),"")</f>
        <v/>
      </c>
      <c r="I8" s="20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45">
        <f>IFERROR(VLOOKUP($A9,subQ,MATCH(H$1,SUBQH,0),0),"")</f>
        <v/>
      </c>
      <c r="I9" s="20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46">
        <f>IFERROR(VLOOKUP($A10,subQ,MATCH(H$1,SUBQH,0),0),"")</f>
        <v/>
      </c>
      <c r="I10" s="32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45">
        <f>IFERROR(VLOOKUP($A11,subQ,MATCH(H$1,SUBQH,0),0),"")</f>
        <v/>
      </c>
      <c r="I11" s="20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45">
        <f>IFERROR(VLOOKUP($A12,subQ,MATCH(H$1,SUBQH,0),0),"")</f>
        <v/>
      </c>
      <c r="I12" s="20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</row>
    <row r="13">
      <c r="A13" s="12" t="inlineStr">
        <is>
          <t>파생상품손익</t>
        </is>
      </c>
      <c r="D13" t="inlineStr">
        <is>
          <t>파생상품손익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45">
        <f>IFERROR(VLOOKUP($A13,subQ,MATCH(H$1,SUBQH,0),0),"")</f>
        <v/>
      </c>
      <c r="I13" s="20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</row>
    <row r="14">
      <c r="A14" s="12" t="inlineStr">
        <is>
          <t>기타금융손익</t>
        </is>
      </c>
      <c r="D14" t="inlineStr">
        <is>
          <t>기타금융손익(금융손익 잔차)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45">
        <f>IFERROR(VLOOKUP($A14,subQ,MATCH(H$1,SUBQH,0),0),"")</f>
        <v/>
      </c>
      <c r="I14" s="20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</row>
    <row r="15">
      <c r="A15" s="12" t="inlineStr">
        <is>
          <t>기타영업외손익</t>
        </is>
      </c>
      <c r="D15" t="inlineStr">
        <is>
          <t>기타영업외손익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45">
        <f>IFERROR(VLOOKUP($A15,subQ,MATCH(H$1,SUBQH,0),0),"")</f>
        <v/>
      </c>
      <c r="I15" s="20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</row>
    <row r="16">
      <c r="A16" s="12" t="inlineStr">
        <is>
          <t>세전이익</t>
        </is>
      </c>
      <c r="D16" t="inlineStr">
        <is>
          <t>법인세비용차감전이익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45">
        <f>IFERROR(VLOOKUP($A16,subQ,MATCH(H$1,SUBQH,0),0),"")</f>
        <v/>
      </c>
      <c r="I16" s="20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</row>
    <row r="17">
      <c r="A17" s="12" t="inlineStr">
        <is>
          <t>법인세비용</t>
        </is>
      </c>
      <c r="D17" t="inlineStr">
        <is>
          <t>법인세비용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45">
        <f>IFERROR(VLOOKUP($A17,subQ,MATCH(H$1,SUBQH,0),0),"")</f>
        <v/>
      </c>
      <c r="I17" s="20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</row>
    <row r="18">
      <c r="A18" s="12" t="inlineStr">
        <is>
          <t>당기순이익</t>
        </is>
      </c>
      <c r="D18" t="inlineStr">
        <is>
          <t>당기순이익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45">
        <f>IFERROR(VLOOKUP($A18,subQ,MATCH(H$1,SUBQH,0),0),"")</f>
        <v/>
      </c>
      <c r="I18" s="20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</row>
    <row r="19">
      <c r="A19" s="12" t="inlineStr">
        <is>
          <t>지배주주순이익</t>
        </is>
      </c>
      <c r="D19" t="inlineStr">
        <is>
          <t>지배주주순이익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45">
        <f>IFERROR(VLOOKUP($A19,subQ,MATCH(H$1,SUBQH,0),0),"")</f>
        <v/>
      </c>
      <c r="I19" s="20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45">
        <f>IFERROR(VLOOKUP($A20,subQ,MATCH(H$1,SUBQH,0),0),"")</f>
        <v/>
      </c>
      <c r="I20" s="20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45">
        <f>IFERROR(VLOOKUP($A21,subQ,MATCH(H$1,SUBQH,0),0),"")</f>
        <v/>
      </c>
      <c r="I21" s="20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45">
        <f>IFERROR(VLOOKUP($A22,subQ,MATCH(H$1,SUBQH,0),0),"")</f>
        <v/>
      </c>
      <c r="I22" s="20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45">
        <f>IFERROR(VLOOKUP($A23,subQ,MATCH(H$1,SUBQH,0),0),"")</f>
        <v/>
      </c>
      <c r="I23" s="20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</row>
    <row r="24">
      <c r="A24" s="12" t="inlineStr">
        <is>
          <t>총차입금</t>
        </is>
      </c>
      <c r="D24" t="inlineStr">
        <is>
          <t>총차입금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45">
        <f>IFERROR(VLOOKUP($A24,subQ,MATCH(H$1,SUBQH,0),0),"")</f>
        <v/>
      </c>
      <c r="I24" s="20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</row>
    <row r="25">
      <c r="A25" s="12" t="inlineStr">
        <is>
          <t>순차입금</t>
        </is>
      </c>
      <c r="D25" t="inlineStr">
        <is>
          <t>순차입금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45">
        <f>IFERROR(VLOOKUP($A25,subQ,MATCH(H$1,SUBQH,0),0),"")</f>
        <v/>
      </c>
      <c r="I25" s="20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</row>
    <row r="26">
      <c r="A26" s="12" t="inlineStr">
        <is>
          <t>이자발생자산</t>
        </is>
      </c>
      <c r="D26" t="inlineStr">
        <is>
          <t>이자발생자산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45">
        <f>IFERROR(VLOOKUP($A26,subQ,MATCH(H$1,SUBQH,0),0),"")</f>
        <v/>
      </c>
      <c r="I26" s="20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</row>
    <row r="27">
      <c r="A27" s="12" t="inlineStr">
        <is>
          <t>현금및현금성자산</t>
        </is>
      </c>
      <c r="D27" t="inlineStr">
        <is>
          <t>현금및현금성자산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45">
        <f>IFERROR(VLOOKUP($A27,subQ,MATCH(H$1,SUBQH,0),0),"")</f>
        <v/>
      </c>
      <c r="I27" s="20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</row>
    <row r="28">
      <c r="A28" s="12" t="inlineStr">
        <is>
          <t>CAPEX</t>
        </is>
      </c>
      <c r="D28" t="inlineStr">
        <is>
          <t>CAPEX</t>
        </is>
      </c>
      <c r="E28" s="18">
        <f>IFERROR(VLOOKUP($A28,subQ,MATCH(E$1,SUBQH,0),0),"")</f>
        <v/>
      </c>
      <c r="F28" s="18">
        <f>IFERROR(VLOOKUP($A28,subQ,MATCH(F$1,SUBQH,0),0),"")</f>
        <v/>
      </c>
      <c r="G28" s="18">
        <f>IFERROR(VLOOKUP($A28,subQ,MATCH(G$1,SUBQH,0),0),"")</f>
        <v/>
      </c>
      <c r="H28" s="45">
        <f>IFERROR(VLOOKUP($A28,subQ,MATCH(H$1,SUBQH,0),0),"")</f>
        <v/>
      </c>
      <c r="I28" s="20">
        <f>IFERROR(VLOOKUP($A28,subQ,MATCH(I$1,SUBQH,0),0),"")</f>
        <v/>
      </c>
      <c r="J28" s="20">
        <f>IFERROR(VLOOKUP($A28,subQ,MATCH(J$1,SUBQH,0),0),"")</f>
        <v/>
      </c>
      <c r="K28" s="20">
        <f>IFERROR(VLOOKUP($A28,subQ,MATCH(K$1,SUBQH,0),0),"")</f>
        <v/>
      </c>
    </row>
    <row r="29">
      <c r="A29" s="12" t="inlineStr">
        <is>
          <t>영업활동현금흐름</t>
        </is>
      </c>
      <c r="D29" t="inlineStr">
        <is>
          <t>영업활동현금흐름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45">
        <f>IFERROR(VLOOKUP($A29,subQ,MATCH(H$1,SUBQH,0),0),"")</f>
        <v/>
      </c>
      <c r="I29" s="20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</row>
    <row r="30">
      <c r="A30" s="12" t="inlineStr">
        <is>
          <t>주식수</t>
        </is>
      </c>
      <c r="D30" t="inlineStr">
        <is>
          <t>유통주식수</t>
        </is>
      </c>
      <c r="E30" s="27">
        <f>IFERROR(VLOOKUP($A30,subQ,MATCH(E$1,SUBQH,0),0),"")</f>
        <v/>
      </c>
      <c r="F30" s="27">
        <f>IFERROR(VLOOKUP($A30,subQ,MATCH(F$1,SUBQH,0),0),"")</f>
        <v/>
      </c>
      <c r="G30" s="27">
        <f>IFERROR(VLOOKUP($A30,subQ,MATCH(G$1,SUBQH,0),0),"")</f>
        <v/>
      </c>
      <c r="H30" s="47">
        <f>IFERROR(VLOOKUP($A30,subQ,MATCH(H$1,SUBQH,0),0),"")</f>
        <v/>
      </c>
      <c r="I30" s="33">
        <f>IFERROR(VLOOKUP($A30,subQ,MATCH(I$1,SUBQH,0),0),"")</f>
        <v/>
      </c>
      <c r="J30" s="33">
        <f>IFERROR(VLOOKUP($A30,subQ,MATCH(J$1,SUBQH,0),0),"")</f>
        <v/>
      </c>
      <c r="K30" s="33">
        <f>IFERROR(VLOOKUP($A30,subQ,MATCH(K$1,SUBQH,0),0),"")</f>
        <v/>
      </c>
    </row>
    <row r="31">
      <c r="A31" s="12" t="inlineStr">
        <is>
          <t>EPS</t>
        </is>
      </c>
      <c r="D31" t="inlineStr">
        <is>
          <t>EPS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45">
        <f>IFERROR(VLOOKUP($A31,subQ,MATCH(H$1,SUBQH,0),0),"")</f>
        <v/>
      </c>
      <c r="I31" s="20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</row>
    <row r="32">
      <c r="A32" s="12" t="inlineStr">
        <is>
          <t>조정EPS</t>
        </is>
      </c>
      <c r="D32" t="inlineStr">
        <is>
          <t>조정 EPS(일회성 의심 분기의 초과 비영업손익 세후 차감 — 모델 추정)</t>
        </is>
      </c>
      <c r="E32" s="18">
        <f>IFERROR(VLOOKUP($A32,subQ,MATCH(E$1,SUBQH,0),0),"")</f>
        <v/>
      </c>
      <c r="F32" s="18">
        <f>IFERROR(VLOOKUP($A32,subQ,MATCH(F$1,SUBQH,0),0),"")</f>
        <v/>
      </c>
      <c r="G32" s="18">
        <f>IFERROR(VLOOKUP($A32,subQ,MATCH(G$1,SUBQH,0),0),"")</f>
        <v/>
      </c>
      <c r="H32" s="45">
        <f>IFERROR(VLOOKUP($A32,subQ,MATCH(H$1,SUBQH,0),0),"")</f>
        <v/>
      </c>
      <c r="I32" s="20">
        <f>IFERROR(VLOOKUP($A32,subQ,MATCH(I$1,SUBQH,0),0),"")</f>
        <v/>
      </c>
      <c r="J32" s="20">
        <f>IFERROR(VLOOKUP($A32,subQ,MATCH(J$1,SUBQH,0),0),"")</f>
        <v/>
      </c>
      <c r="K32" s="20">
        <f>IFERROR(VLOOKUP($A32,subQ,MATCH(K$1,SUBQH,0),0),"")</f>
        <v/>
      </c>
    </row>
    <row r="33">
      <c r="A33" s="12" t="inlineStr">
        <is>
          <t>BPS</t>
        </is>
      </c>
      <c r="D33" t="inlineStr">
        <is>
          <t>BPS</t>
        </is>
      </c>
      <c r="E33" s="18">
        <f>IFERROR(VLOOKUP($A33,subQ,MATCH(E$1,SUBQH,0),0),"")</f>
        <v/>
      </c>
      <c r="F33" s="18">
        <f>IFERROR(VLOOKUP($A33,subQ,MATCH(F$1,SUBQH,0),0),"")</f>
        <v/>
      </c>
      <c r="G33" s="18">
        <f>IFERROR(VLOOKUP($A33,subQ,MATCH(G$1,SUBQH,0),0),"")</f>
        <v/>
      </c>
      <c r="H33" s="45">
        <f>IFERROR(VLOOKUP($A33,subQ,MATCH(H$1,SUBQH,0),0),"")</f>
        <v/>
      </c>
      <c r="I33" s="20">
        <f>IFERROR(VLOOKUP($A33,subQ,MATCH(I$1,SUBQH,0),0),"")</f>
        <v/>
      </c>
      <c r="J33" s="20">
        <f>IFERROR(VLOOKUP($A33,subQ,MATCH(J$1,SUBQH,0),0),"")</f>
        <v/>
      </c>
      <c r="K33" s="20">
        <f>IFERROR(VLOOKUP($A33,subQ,MATCH(K$1,SUBQH,0),0),"")</f>
        <v/>
      </c>
    </row>
    <row r="34">
      <c r="A34" s="12" t="inlineStr">
        <is>
          <t>DPS</t>
        </is>
      </c>
      <c r="D34" t="inlineStr">
        <is>
          <t>DPS(보통주)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45">
        <f>IFERROR(VLOOKUP($A34,subQ,MATCH(H$1,SUBQH,0),0),"")</f>
        <v/>
      </c>
      <c r="I34" s="20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</row>
    <row r="35">
      <c r="A35" s="12" t="inlineStr">
        <is>
          <t>PER</t>
        </is>
      </c>
      <c r="D35" t="inlineStr">
        <is>
          <t>PER</t>
        </is>
      </c>
      <c r="E35" s="13">
        <f>IFERROR(VLOOKUP($A35,subQ,MATCH(E$1,SUBQH,0),0),"")</f>
        <v/>
      </c>
      <c r="F35" s="13">
        <f>IFERROR(VLOOKUP($A35,subQ,MATCH(F$1,SUBQH,0),0),"")</f>
        <v/>
      </c>
      <c r="G35" s="13">
        <f>IFERROR(VLOOKUP($A35,subQ,MATCH(G$1,SUBQH,0),0),"")</f>
        <v/>
      </c>
      <c r="H35" s="48">
        <f>IFERROR(VLOOKUP($A35,subQ,MATCH(H$1,SUBQH,0),0),"")</f>
        <v/>
      </c>
      <c r="I35" s="39">
        <f>IFERROR(VLOOKUP($A35,subQ,MATCH(I$1,SUBQH,0),0),"")</f>
        <v/>
      </c>
      <c r="J35" s="39">
        <f>IFERROR(VLOOKUP($A35,subQ,MATCH(J$1,SUBQH,0),0),"")</f>
        <v/>
      </c>
      <c r="K35" s="39">
        <f>IFERROR(VLOOKUP($A35,subQ,MATCH(K$1,SUBQH,0),0),"")</f>
        <v/>
      </c>
    </row>
    <row r="36">
      <c r="A36" s="12" t="inlineStr">
        <is>
          <t>PBR</t>
        </is>
      </c>
      <c r="D36" t="inlineStr">
        <is>
          <t>PBR</t>
        </is>
      </c>
      <c r="E36" s="13">
        <f>IFERROR(VLOOKUP($A36,subQ,MATCH(E$1,SUBQH,0),0),"")</f>
        <v/>
      </c>
      <c r="F36" s="13">
        <f>IFERROR(VLOOKUP($A36,subQ,MATCH(F$1,SUBQH,0),0),"")</f>
        <v/>
      </c>
      <c r="G36" s="13">
        <f>IFERROR(VLOOKUP($A36,subQ,MATCH(G$1,SUBQH,0),0),"")</f>
        <v/>
      </c>
      <c r="H36" s="48">
        <f>IFERROR(VLOOKUP($A36,subQ,MATCH(H$1,SUBQH,0),0),"")</f>
        <v/>
      </c>
      <c r="I36" s="39">
        <f>IFERROR(VLOOKUP($A36,subQ,MATCH(I$1,SUBQH,0),0),"")</f>
        <v/>
      </c>
      <c r="J36" s="39">
        <f>IFERROR(VLOOKUP($A36,subQ,MATCH(J$1,SUBQH,0),0),"")</f>
        <v/>
      </c>
      <c r="K36" s="39">
        <f>IFERROR(VLOOKUP($A36,subQ,MATCH(K$1,SUBQH,0),0),"")</f>
        <v/>
      </c>
    </row>
    <row r="37">
      <c r="A37" s="12" t="inlineStr">
        <is>
          <t>매출전사</t>
        </is>
      </c>
      <c r="D37" t="inlineStr">
        <is>
          <t>매출 전사(부문 미분리)</t>
        </is>
      </c>
      <c r="E37" s="18">
        <f>IFERROR(VLOOKUP($A37,subQ,MATCH(E$1,SUBQH,0),0),"")</f>
        <v/>
      </c>
      <c r="F37" s="18">
        <f>IFERROR(VLOOKUP($A37,subQ,MATCH(F$1,SUBQH,0),0),"")</f>
        <v/>
      </c>
      <c r="G37" s="18">
        <f>IFERROR(VLOOKUP($A37,subQ,MATCH(G$1,SUBQH,0),0),"")</f>
        <v/>
      </c>
      <c r="H37" s="45">
        <f>IFERROR(VLOOKUP($A37,subQ,MATCH(H$1,SUBQH,0),0),"")</f>
        <v/>
      </c>
      <c r="I37" s="20">
        <f>IFERROR(VLOOKUP($A37,subQ,MATCH(I$1,SUBQH,0),0),"")</f>
        <v/>
      </c>
      <c r="J37" s="20">
        <f>IFERROR(VLOOKUP($A37,subQ,MATCH(J$1,SUBQH,0),0),"")</f>
        <v/>
      </c>
      <c r="K37" s="20">
        <f>IFERROR(VLOOKUP($A37,subQ,MATCH(K$1,SUBQH,0),0),"")</f>
        <v/>
      </c>
    </row>
    <row r="38">
      <c r="A38" s="12" t="inlineStr">
        <is>
          <t>OP전사</t>
        </is>
      </c>
      <c r="D38" t="inlineStr">
        <is>
          <t>OP 전사(부문 미분리)</t>
        </is>
      </c>
      <c r="E38" s="18">
        <f>IFERROR(VLOOKUP($A38,subQ,MATCH(E$1,SUBQH,0),0),"")</f>
        <v/>
      </c>
      <c r="F38" s="18">
        <f>IFERROR(VLOOKUP($A38,subQ,MATCH(F$1,SUBQH,0),0),"")</f>
        <v/>
      </c>
      <c r="G38" s="18">
        <f>IFERROR(VLOOKUP($A38,subQ,MATCH(G$1,SUBQH,0),0),"")</f>
        <v/>
      </c>
      <c r="H38" s="45">
        <f>IFERROR(VLOOKUP($A38,subQ,MATCH(H$1,SUBQH,0),0),"")</f>
        <v/>
      </c>
      <c r="I38" s="20">
        <f>IFERROR(VLOOKUP($A38,subQ,MATCH(I$1,SUBQH,0),0),"")</f>
        <v/>
      </c>
      <c r="J38" s="20">
        <f>IFERROR(VLOOKUP($A38,subQ,MATCH(J$1,SUBQH,0),0),"")</f>
        <v/>
      </c>
      <c r="K38" s="20">
        <f>IFERROR(VLOOKUP($A38,subQ,MATCH(K$1,SUBQH,0),0),"")</f>
        <v/>
      </c>
    </row>
    <row r="39">
      <c r="A39" s="12" t="inlineStr">
        <is>
          <t>NPM</t>
        </is>
      </c>
      <c r="D39" t="inlineStr">
        <is>
          <t>NPM</t>
        </is>
      </c>
      <c r="E39" s="21">
        <f>IFERROR(VLOOKUP($A39,subQ,MATCH(E$1,SUBQH,0),0),"")</f>
        <v/>
      </c>
      <c r="F39" s="21">
        <f>IFERROR(VLOOKUP($A39,subQ,MATCH(F$1,SUBQH,0),0),"")</f>
        <v/>
      </c>
      <c r="G39" s="21">
        <f>IFERROR(VLOOKUP($A39,subQ,MATCH(G$1,SUBQH,0),0),"")</f>
        <v/>
      </c>
      <c r="H39" s="46">
        <f>IFERROR(VLOOKUP($A39,subQ,MATCH(H$1,SUBQH,0),0),"")</f>
        <v/>
      </c>
      <c r="I39" s="32">
        <f>IFERROR(VLOOKUP($A39,subQ,MATCH(I$1,SUBQH,0),0),"")</f>
        <v/>
      </c>
      <c r="J39" s="32">
        <f>IFERROR(VLOOKUP($A39,subQ,MATCH(J$1,SUBQH,0),0),"")</f>
        <v/>
      </c>
      <c r="K39" s="32">
        <f>IFERROR(VLOOKUP($A39,subQ,MATCH(K$1,SUBQH,0),0),"")</f>
        <v/>
      </c>
    </row>
    <row r="40">
      <c r="A40" s="12" t="inlineStr">
        <is>
          <t>매출액 YoY</t>
        </is>
      </c>
      <c r="D40" t="inlineStr">
        <is>
          <t>매출액 YoY</t>
        </is>
      </c>
      <c r="F40" s="21">
        <f>IFERROR(F5/E5-1,"")</f>
        <v/>
      </c>
      <c r="G40" s="21">
        <f>IFERROR(G5/F5-1,"")</f>
        <v/>
      </c>
      <c r="H40" s="46">
        <f>IFERROR(H5/G5-1,"")</f>
        <v/>
      </c>
      <c r="I40" s="32">
        <f>IFERROR(I5/H5-1,"")</f>
        <v/>
      </c>
      <c r="J40" s="32">
        <f>IFERROR(J5/I5-1,"")</f>
        <v/>
      </c>
      <c r="K40" s="32">
        <f>IFERROR(K5/J5-1,"")</f>
        <v/>
      </c>
    </row>
    <row r="41">
      <c r="A41" s="12" t="inlineStr">
        <is>
          <t>영업이익 YoY</t>
        </is>
      </c>
      <c r="D41" t="inlineStr">
        <is>
          <t>영업이익 YoY</t>
        </is>
      </c>
      <c r="F41" s="21">
        <f>IFERROR(F9/E9-1,"")</f>
        <v/>
      </c>
      <c r="G41" s="21">
        <f>IFERROR(G9/F9-1,"")</f>
        <v/>
      </c>
      <c r="H41" s="46">
        <f>IFERROR(H9/G9-1,"")</f>
        <v/>
      </c>
      <c r="I41" s="32">
        <f>IFERROR(I9/H9-1,"")</f>
        <v/>
      </c>
      <c r="J41" s="32">
        <f>IFERROR(J9/I9-1,"")</f>
        <v/>
      </c>
      <c r="K41" s="32">
        <f>IFERROR(K9/J9-1,"")</f>
        <v/>
      </c>
    </row>
    <row r="42">
      <c r="A42" s="12" t="inlineStr">
        <is>
          <t>지배주주순이익 YoY</t>
        </is>
      </c>
      <c r="D42" t="inlineStr">
        <is>
          <t>지배주주순이익 YoY</t>
        </is>
      </c>
      <c r="F42" s="21">
        <f>IFERROR(F19/E19-1,"")</f>
        <v/>
      </c>
      <c r="G42" s="21">
        <f>IFERROR(G19/F19-1,"")</f>
        <v/>
      </c>
      <c r="H42" s="46">
        <f>IFERROR(H19/G19-1,"")</f>
        <v/>
      </c>
      <c r="I42" s="32">
        <f>IFERROR(I19/H19-1,"")</f>
        <v/>
      </c>
      <c r="J42" s="32">
        <f>IFERROR(J19/I19-1,"")</f>
        <v/>
      </c>
      <c r="K42" s="32">
        <f>IFERROR(K19/J19-1,"")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변수!D42</f>
        <v/>
      </c>
    </row>
    <row r="2">
      <c r="B2" s="1" t="inlineStr">
        <is>
          <t>기준일</t>
        </is>
      </c>
      <c r="C2">
        <f>변수!D43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IFERROR(E7*변수!D48+F7*(1-변수!D48),"")</f>
        <v/>
      </c>
    </row>
    <row r="15">
      <c r="C15" t="inlineStr">
        <is>
          <t>적정가치 @PER_lo</t>
        </is>
      </c>
      <c r="D15" s="27">
        <f>변수!D45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변수!D46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변수!D47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변수!D44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165.7</v>
      </c>
    </row>
    <row r="30">
      <c r="C30" s="2" t="inlineStr">
        <is>
          <t>bps_latest</t>
        </is>
      </c>
      <c r="D30" t="n">
        <v>4557.4</v>
      </c>
    </row>
    <row r="31">
      <c r="C31" s="2" t="inlineStr">
        <is>
          <t>per_now</t>
        </is>
      </c>
      <c r="D31" t="n">
        <v>61.01</v>
      </c>
    </row>
    <row r="32">
      <c r="C32" s="2" t="inlineStr">
        <is>
          <t>pbr_now</t>
        </is>
      </c>
      <c r="D32" t="n">
        <v>2.22</v>
      </c>
    </row>
    <row r="33">
      <c r="C33" s="2" t="inlineStr">
        <is>
          <t>roe_fwd</t>
        </is>
      </c>
      <c r="D33" t="n">
        <v>0.0364</v>
      </c>
    </row>
    <row r="34">
      <c r="C34" s="2" t="inlineStr">
        <is>
          <t>fair_pbr</t>
        </is>
      </c>
      <c r="D34" t="n">
        <v>0.4</v>
      </c>
    </row>
    <row r="35">
      <c r="C35" s="2" t="inlineStr">
        <is>
          <t>fair_value_pbr</t>
        </is>
      </c>
      <c r="D35" t="n">
        <v>1800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>
      <c r="C1" s="2" t="inlineStr">
        <is>
          <t>이름: 외화QH — 환율 QoQ · 외화 순노출 × Δ기말환율</t>
        </is>
      </c>
      <c r="E1" s="3" t="inlineStr">
        <is>
          <t>4Q22</t>
        </is>
      </c>
      <c r="F1" s="3" t="inlineStr">
        <is>
          <t>1Q23</t>
        </is>
      </c>
      <c r="G1" s="3" t="inlineStr">
        <is>
          <t>2Q23</t>
        </is>
      </c>
      <c r="H1" s="3" t="inlineStr">
        <is>
          <t>3Q23</t>
        </is>
      </c>
      <c r="I1" s="3" t="inlineStr">
        <is>
          <t>4Q23</t>
        </is>
      </c>
      <c r="J1" s="3" t="inlineStr">
        <is>
          <t>1Q24</t>
        </is>
      </c>
      <c r="K1" s="3" t="inlineStr">
        <is>
          <t>2Q24</t>
        </is>
      </c>
      <c r="L1" s="3" t="inlineStr">
        <is>
          <t>3Q24</t>
        </is>
      </c>
      <c r="M1" s="3" t="inlineStr">
        <is>
          <t>4Q24</t>
        </is>
      </c>
      <c r="N1" s="3" t="inlineStr">
        <is>
          <t>1Q25</t>
        </is>
      </c>
      <c r="O1" s="3" t="inlineStr">
        <is>
          <t>2Q25</t>
        </is>
      </c>
      <c r="P1" s="3" t="inlineStr">
        <is>
          <t>3Q25</t>
        </is>
      </c>
      <c r="Q1" s="3" t="inlineStr">
        <is>
          <t>4Q25</t>
        </is>
      </c>
      <c r="R1" s="3" t="inlineStr">
        <is>
          <t>1Q26</t>
        </is>
      </c>
      <c r="S1" s="3" t="inlineStr">
        <is>
          <t>2Q26</t>
        </is>
      </c>
      <c r="T1" s="3" t="inlineStr">
        <is>
          <t>3Q26</t>
        </is>
      </c>
      <c r="U1" s="3" t="inlineStr">
        <is>
          <t>4Q26</t>
        </is>
      </c>
      <c r="V1" s="3" t="inlineStr">
        <is>
          <t>1Q27</t>
        </is>
      </c>
      <c r="W1" s="3" t="inlineStr">
        <is>
          <t>2Q27</t>
        </is>
      </c>
      <c r="X1" s="3" t="inlineStr">
        <is>
          <t>3Q27</t>
        </is>
      </c>
      <c r="Y1" s="3" t="inlineStr">
        <is>
          <t>4Q27</t>
        </is>
      </c>
      <c r="Z1" s="3" t="inlineStr">
        <is>
          <t>1Q28</t>
        </is>
      </c>
      <c r="AA1" s="3" t="inlineStr">
        <is>
          <t>2Q28</t>
        </is>
      </c>
      <c r="AB1" s="3" t="inlineStr">
        <is>
          <t>3Q28</t>
        </is>
      </c>
      <c r="AC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</row>
    <row r="4">
      <c r="E4" s="7" t="inlineStr">
        <is>
          <t>2022.12</t>
        </is>
      </c>
      <c r="F4" s="7" t="inlineStr">
        <is>
          <t>2023.03</t>
        </is>
      </c>
      <c r="G4" s="7" t="inlineStr">
        <is>
          <t>2023.06</t>
        </is>
      </c>
      <c r="H4" s="7" t="inlineStr">
        <is>
          <t>2023.09</t>
        </is>
      </c>
      <c r="I4" s="7" t="inlineStr">
        <is>
          <t>2023.12</t>
        </is>
      </c>
      <c r="J4" s="7" t="inlineStr">
        <is>
          <t>2024.03</t>
        </is>
      </c>
      <c r="K4" s="7" t="inlineStr">
        <is>
          <t>2024.06</t>
        </is>
      </c>
      <c r="L4" s="7" t="inlineStr">
        <is>
          <t>2024.09</t>
        </is>
      </c>
      <c r="M4" s="7" t="inlineStr">
        <is>
          <t>2024.12</t>
        </is>
      </c>
      <c r="N4" s="7" t="inlineStr">
        <is>
          <t>2025.03</t>
        </is>
      </c>
      <c r="O4" s="7" t="inlineStr">
        <is>
          <t>2025.06</t>
        </is>
      </c>
      <c r="P4" s="7" t="inlineStr">
        <is>
          <t>2025.09</t>
        </is>
      </c>
      <c r="Q4" s="7" t="inlineStr">
        <is>
          <t>2025.12</t>
        </is>
      </c>
      <c r="R4" s="7" t="inlineStr">
        <is>
          <t>2026.03</t>
        </is>
      </c>
      <c r="S4" s="7" t="inlineStr">
        <is>
          <t>2026.06</t>
        </is>
      </c>
      <c r="T4" s="7" t="inlineStr">
        <is>
          <t>2026.09</t>
        </is>
      </c>
      <c r="U4" s="7" t="inlineStr">
        <is>
          <t>2026.12</t>
        </is>
      </c>
      <c r="V4" s="7" t="inlineStr">
        <is>
          <t>2027.03</t>
        </is>
      </c>
      <c r="W4" s="7" t="inlineStr">
        <is>
          <t>2027.06</t>
        </is>
      </c>
      <c r="X4" s="7" t="inlineStr">
        <is>
          <t>2027.09</t>
        </is>
      </c>
      <c r="Y4" s="7" t="inlineStr">
        <is>
          <t>2027.12</t>
        </is>
      </c>
      <c r="Z4" s="7" t="inlineStr">
        <is>
          <t>2028.03</t>
        </is>
      </c>
      <c r="AA4" s="7" t="inlineStr">
        <is>
          <t>2028.06</t>
        </is>
      </c>
      <c r="AB4" s="7" t="inlineStr">
        <is>
          <t>2028.09</t>
        </is>
      </c>
      <c r="AC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39">
        <f>IFERROR(VLOOKUP($D5,환율,MATCH(T$1,변수H,0),0),"")</f>
        <v/>
      </c>
      <c r="U5" s="39">
        <f>IFERROR(VLOOKUP($D5,환율,MATCH(U$1,변수H,0),0),"")</f>
        <v/>
      </c>
      <c r="V5" s="39">
        <f>IFERROR(VLOOKUP($D5,환율,MATCH(V$1,변수H,0),0),"")</f>
        <v/>
      </c>
      <c r="W5" s="39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32">
        <f>IFERROR(T5/S5-1,"")</f>
        <v/>
      </c>
      <c r="U6" s="32">
        <f>IFERROR(U5/T5-1,"")</f>
        <v/>
      </c>
      <c r="V6" s="32">
        <f>IFERROR(V5/U5-1,"")</f>
        <v/>
      </c>
      <c r="W6" s="32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39">
        <f>IFERROR(VLOOKUP($D7,환율,MATCH(T$1,변수H,0),0),"")</f>
        <v/>
      </c>
      <c r="U7" s="39">
        <f>IFERROR(VLOOKUP($D7,환율,MATCH(U$1,변수H,0),0),"")</f>
        <v/>
      </c>
      <c r="V7" s="39">
        <f>IFERROR(VLOOKUP($D7,환율,MATCH(V$1,변수H,0),0),"")</f>
        <v/>
      </c>
      <c r="W7" s="39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32">
        <f>IFERROR(T7/S7-1,"")</f>
        <v/>
      </c>
      <c r="U8" s="32">
        <f>IFERROR(U7/T7-1,"")</f>
        <v/>
      </c>
      <c r="V8" s="32">
        <f>IFERROR(V7/U7-1,"")</f>
        <v/>
      </c>
      <c r="W8" s="32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39">
        <f>IFERROR(VLOOKUP($D9,환율,MATCH(T$1,변수H,0),0),"")</f>
        <v/>
      </c>
      <c r="U9" s="39">
        <f>IFERROR(VLOOKUP($D9,환율,MATCH(U$1,변수H,0),0),"")</f>
        <v/>
      </c>
      <c r="V9" s="39">
        <f>IFERROR(VLOOKUP($D9,환율,MATCH(V$1,변수H,0),0),"")</f>
        <v/>
      </c>
      <c r="W9" s="39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32">
        <f>IFERROR(T9/S9-1,"")</f>
        <v/>
      </c>
      <c r="U10" s="32">
        <f>IFERROR(U9/T9-1,"")</f>
        <v/>
      </c>
      <c r="V10" s="32">
        <f>IFERROR(V9/U9-1,"")</f>
        <v/>
      </c>
      <c r="W10" s="32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39">
        <f>IFERROR(VLOOKUP($D11,환율,MATCH(T$1,변수H,0),0),"")</f>
        <v/>
      </c>
      <c r="U11" s="39">
        <f>IFERROR(VLOOKUP($D11,환율,MATCH(U$1,변수H,0),0),"")</f>
        <v/>
      </c>
      <c r="V11" s="39">
        <f>IFERROR(VLOOKUP($D11,환율,MATCH(V$1,변수H,0),0),"")</f>
        <v/>
      </c>
      <c r="W11" s="39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32">
        <f>IFERROR(T11/S11-1,"")</f>
        <v/>
      </c>
      <c r="U12" s="32">
        <f>IFERROR(U11/T11-1,"")</f>
        <v/>
      </c>
      <c r="V12" s="32">
        <f>IFERROR(V11/U11-1,"")</f>
        <v/>
      </c>
      <c r="W12" s="32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39">
        <f>IFERROR(VLOOKUP($D13,환율,MATCH(T$1,변수H,0),0),"")</f>
        <v/>
      </c>
      <c r="U13" s="39">
        <f>IFERROR(VLOOKUP($D13,환율,MATCH(U$1,변수H,0),0),"")</f>
        <v/>
      </c>
      <c r="V13" s="39">
        <f>IFERROR(VLOOKUP($D13,환율,MATCH(V$1,변수H,0),0),"")</f>
        <v/>
      </c>
      <c r="W13" s="39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32">
        <f>IFERROR(T13/S13-1,"")</f>
        <v/>
      </c>
      <c r="U14" s="32">
        <f>IFERROR(U13/T13-1,"")</f>
        <v/>
      </c>
      <c r="V14" s="32">
        <f>IFERROR(V13/U13-1,"")</f>
        <v/>
      </c>
      <c r="W14" s="32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</row>
    <row r="15">
      <c r="T15" s="10" t="n"/>
      <c r="U15" s="10" t="n"/>
      <c r="V15" s="10" t="n"/>
      <c r="W15" s="10" t="n"/>
      <c r="X15" s="10" t="n"/>
      <c r="Y15" s="10" t="n"/>
      <c r="Z15" s="10" t="n"/>
      <c r="AA15" s="10" t="n"/>
      <c r="AB15" s="10" t="n"/>
      <c r="AC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변수!D55</f>
        <v/>
      </c>
      <c r="E16" s="2" t="inlineStr">
        <is>
          <t>외화 순노출 × Δ기말환율 (외화 시트 방식)</t>
        </is>
      </c>
      <c r="T16" s="10" t="n"/>
      <c r="U16" s="10" t="n"/>
      <c r="V16" s="10" t="n"/>
      <c r="W16" s="10" t="n"/>
      <c r="X16" s="10" t="n"/>
      <c r="Y16" s="10" t="n"/>
      <c r="Z16" s="10" t="n"/>
      <c r="AA16" s="10" t="n"/>
      <c r="AB16" s="10" t="n"/>
      <c r="AC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20">
        <f>IFERROR($D$16*(T7-S7)/100,"")</f>
        <v/>
      </c>
      <c r="U17" s="20">
        <f>IFERROR($D$16*(U7-T7)/100,"")</f>
        <v/>
      </c>
      <c r="V17" s="20">
        <f>IFERROR($D$16*(V7-U7)/100,"")</f>
        <v/>
      </c>
      <c r="W17" s="20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T18" s="10" t="n"/>
      <c r="U18" s="10" t="n"/>
      <c r="V18" s="10" t="n"/>
      <c r="W18" s="10" t="n"/>
      <c r="X18" s="10" t="n"/>
      <c r="Y18" s="10" t="n"/>
      <c r="Z18" s="10" t="n"/>
      <c r="AA18" s="10" t="n"/>
      <c r="AB18" s="10" t="n"/>
      <c r="AC18" s="10" t="n"/>
    </row>
    <row r="19">
      <c r="C19" s="2" t="inlineStr">
        <is>
          <t>외화 순노출 미공시(face) → 0 + 표기</t>
        </is>
      </c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2026-10-13T00:00:00Z</dcterms:created>
  <dcterms:modified xsi:type="dcterms:W3CDTF">2026-10-13T00:00:00Z</dcterms:modified>
</cp:coreProperties>
</file>