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BS연결!$C$5:$V$93</definedName>
    <definedName name="BS별도H">BS별도!$C$1:$V$1</definedName>
    <definedName name="BS별도">BS별도!$C$5:$V$89</definedName>
    <definedName name="SUBQH">subQ!$A$1:$V$1</definedName>
    <definedName name="subQ">subQ!$A$5:$V$40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forward(flat_last_end) — 가정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J15" authorId="0" shapeId="0">
      <text>
        <t>분기 진행 중(partial) — aikstockdata/토스 일봉</t>
      </text>
    </comment>
    <comment ref="J16" authorId="0" shapeId="0">
      <text>
        <t>분기 진행 중(partial) — aikstockdata/토스 일봉</t>
      </text>
    </comment>
    <comment ref="J17" authorId="0" shapeId="0">
      <text>
        <t>분기 진행 중(partial) — aikstockdata/토스 일봉</t>
      </text>
    </comment>
    <comment ref="J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모델값 역산(implied): v / 매출액
매출액 × 판관비율 6.39%(최근 4분기 중위)</t>
      </text>
    </comment>
    <comment ref="K22" authorId="0" shapeId="0">
      <text>
        <t>모델값 역산(implied): v / 매출액
매출액 × 판관비율 6.39%(최근 4분기 중위)</t>
      </text>
    </comment>
    <comment ref="M22" authorId="0" shapeId="0">
      <text>
        <t>모델값 역산(implied): v / 매출액
매출액 × 판관비율 6.39%(최근 4분기 중위)</t>
      </text>
    </comment>
    <comment ref="N22" authorId="0" shapeId="0">
      <text>
        <t>모델값 역산(implied): v / 매출액
매출액 × 판관비율 6.39%(최근 4분기 중위)</t>
      </text>
    </comment>
    <comment ref="O22" authorId="0" shapeId="0">
      <text>
        <t>모델값 역산(implied): v / 매출액
매출액 × 판관비율 6.39%(최근 4분기 중위)</t>
      </text>
    </comment>
    <comment ref="P22" authorId="0" shapeId="0">
      <text>
        <t>모델값 역산(implied): v / 매출액
매출액 × 판관비율 6.39%(최근 4분기 중위)</t>
      </text>
    </comment>
    <comment ref="R22" authorId="0" shapeId="0">
      <text>
        <t>모델값 역산(implied): v / 매출액
매출액 × 판관비율 6.39%(최근 4분기 중위)</t>
      </text>
    </comment>
    <comment ref="S22" authorId="0" shapeId="0">
      <text>
        <t>모델값 역산(implied): v / 매출액
매출액 × 판관비율 6.39%(최근 4분기 중위)</t>
      </text>
    </comment>
    <comment ref="T22" authorId="0" shapeId="0">
      <text>
        <t>모델값 역산(implied): v / 매출액
매출액 × 판관비율 6.39%(최근 4분기 중위)</t>
      </text>
    </comment>
    <comment ref="U22" authorId="0" shapeId="0">
      <text>
        <t>모델값 역산(implied): v / 매출액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v / 전년동기 − 1
최근 4분기 OPM 중위 1.1% 유지(클립 −20~40%)</t>
      </text>
    </comment>
    <comment ref="K24" authorId="0" shapeId="0">
      <text>
        <t>모델값 역산(implied): v / 전년동기 − 1
최근 4분기 OPM 중위 1.1% 유지(클립 −20~40%)</t>
      </text>
    </comment>
    <comment ref="M24" authorId="0" shapeId="0">
      <text>
        <t>모델값 역산(implied): v / 전년동기 − 1
최근 4분기 OPM 중위 1.1% 유지(클립 −20~40%)</t>
      </text>
    </comment>
    <comment ref="N24" authorId="0" shapeId="0">
      <text>
        <t>모델값 역산(implied): v / 전년동기 − 1
최근 4분기 OPM 중위 1.1% 유지(클립 −20~40%)</t>
      </text>
    </comment>
    <comment ref="O24" authorId="0" shapeId="0">
      <text>
        <t>모델값 역산(implied): v / 전년동기 − 1
최근 4분기 OPM 중위 1.1% 유지(클립 −20~40%)</t>
      </text>
    </comment>
    <comment ref="P24" authorId="0" shapeId="0">
      <text>
        <t>모델값 역산(implied): v / 전년동기 − 1
최근 4분기 OPM 중위 1.1% 유지(클립 −20~40%)</t>
      </text>
    </comment>
    <comment ref="R24" authorId="0" shapeId="0">
      <text>
        <t>모델값 역산(implied): v / 전년동기 − 1
최근 4분기 OPM 중위 1.1% 유지(클립 −20~40%)</t>
      </text>
    </comment>
    <comment ref="S24" authorId="0" shapeId="0">
      <text>
        <t>모델값 역산(implied): v / 전년동기 − 1
최근 4분기 OPM 중위 1.1% 유지(클립 −20~40%)</t>
      </text>
    </comment>
    <comment ref="T24" authorId="0" shapeId="0">
      <text>
        <t>모델값 역산(implied): v / 전년동기 − 1
최근 4분기 OPM 중위 1.1% 유지(클립 −20~40%)</t>
      </text>
    </comment>
    <comment ref="U24" authorId="0" shapeId="0">
      <text>
        <t>모델값 역산(implied): v / 전년동기 − 1
최근 4분기 OPM 중위 1.1% 유지(클립 −20~40%)</t>
      </text>
    </comment>
    <comment ref="J25" authorId="0" shapeId="0">
      <text>
        <t>모델값 역산(implied): 모델 v 그대로
이자손익 = 이자발생자산 51억 × 17.51% − 총차입금 504억 × 0.00% (연율, CF 실측) ÷ 4; 환·평가손익 0 가정</t>
      </text>
    </comment>
    <comment ref="K25" authorId="0" shapeId="0">
      <text>
        <t>모델값 역산(implied): 모델 v 그대로
이자손익 = 이자발생자산 60억 × 17.51% − 총차입금 504억 × 0.00% (연율, CF 실측) ÷ 4; 환·평가손익 0 가정</t>
      </text>
    </comment>
    <comment ref="M25" authorId="0" shapeId="0">
      <text>
        <t>모델값 역산(implied): 모델 v 그대로
이자손익 = 이자발생자산 68억 × 17.51% − 총차입금 504억 × 0.00% (연율, CF 실측) ÷ 4; 환·평가손익 0 가정</t>
      </text>
    </comment>
    <comment ref="N25" authorId="0" shapeId="0">
      <text>
        <t>모델값 역산(implied): 모델 v 그대로
이자손익 = 이자발생자산 78억 × 17.51% − 총차입금 504억 × 0.00% (연율, CF 실측) ÷ 4; 환·평가손익 0 가정</t>
      </text>
    </comment>
    <comment ref="O25" authorId="0" shapeId="0">
      <text>
        <t>모델값 역산(implied): 모델 v 그대로
이자손익 = 이자발생자산 77억 × 17.51% − 총차입금 504억 × 0.00% (연율, CF 실측) ÷ 4; 환·평가손익 0 가정</t>
      </text>
    </comment>
    <comment ref="P25" authorId="0" shapeId="0">
      <text>
        <t>모델값 역산(implied): 모델 v 그대로
이자손익 = 이자발생자산 87억 × 17.51% − 총차입금 504억 × 0.00% (연율, CF 실측) ÷ 4; 환·평가손익 0 가정</t>
      </text>
    </comment>
    <comment ref="R25" authorId="0" shapeId="0">
      <text>
        <t>모델값 역산(implied): 모델 v 그대로
이자손익 = 이자발생자산 96억 × 17.51% − 총차입금 504억 × 0.00% (연율, CF 실측) ÷ 4; 환·평가손익 0 가정</t>
      </text>
    </comment>
    <comment ref="S25" authorId="0" shapeId="0">
      <text>
        <t>모델값 역산(implied): 모델 v 그대로
이자손익 = 이자발생자산 107억 × 17.51% − 총차입금 504억 × 0.00% (연율, CF 실측) ÷ 4; 환·평가손익 0 가정</t>
      </text>
    </comment>
    <comment ref="T25" authorId="0" shapeId="0">
      <text>
        <t>모델값 역산(implied): 모델 v 그대로
이자손익 = 이자발생자산 107억 × 17.51% − 총차입금 504억 × 0.00% (연율, CF 실측) ÷ 4; 환·평가손익 0 가정</t>
      </text>
    </comment>
    <comment ref="U25" authorId="0" shapeId="0">
      <text>
        <t>모델값 역산(implied): 모델 v 그대로
이자손익 = 이자발생자산 117억 × 17.51% − 총차입금 504억 × 0.00% (연율, CF 실측) ÷ 4; 환·평가손익 0 가정</t>
      </text>
    </comment>
    <comment ref="J26" authorId="0" shapeId="0">
      <text>
        <t>모델값 역산(implied): 모델 v 그대로
일회성 미가정 → 0</t>
      </text>
    </comment>
    <comment ref="K26" authorId="0" shapeId="0">
      <text>
        <t>모델값 역산(implied): 모델 v 그대로
일회성 미가정 → 0</t>
      </text>
    </comment>
    <comment ref="M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R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J27" authorId="0" shapeId="0">
      <text>
        <t>모델값 역산(implied): v / 세전이익
max(세전, 0) × 세율 27.0%(최근 4분기 유효세율 43.0% → 5~27% 클립)</t>
      </text>
    </comment>
    <comment ref="K27" authorId="0" shapeId="0">
      <text>
        <t>모델값 역산(implied): v / 세전이익
max(세전, 0) × 세율 27.0%(최근 4분기 유효세율 43.0% → 5~27% 클립)</t>
      </text>
    </comment>
    <comment ref="M27" authorId="0" shapeId="0">
      <text>
        <t>모델값 역산(implied): v / 세전이익
max(세전, 0) × 세율 27.0%(최근 4분기 유효세율 43.0% → 5~27% 클립)</t>
      </text>
    </comment>
    <comment ref="N27" authorId="0" shapeId="0">
      <text>
        <t>모델값 역산(implied): v / 세전이익
max(세전, 0) × 세율 27.0%(최근 4분기 유효세율 43.0% → 5~27% 클립)</t>
      </text>
    </comment>
    <comment ref="O27" authorId="0" shapeId="0">
      <text>
        <t>모델값 역산(implied): v / 세전이익
max(세전, 0) × 세율 27.0%(최근 4분기 유효세율 43.0% → 5~27% 클립)</t>
      </text>
    </comment>
    <comment ref="P27" authorId="0" shapeId="0">
      <text>
        <t>모델값 역산(implied): v / 세전이익
max(세전, 0) × 세율 27.0%(최근 4분기 유효세율 43.0% → 5~27% 클립)</t>
      </text>
    </comment>
    <comment ref="R27" authorId="0" shapeId="0">
      <text>
        <t>모델값 역산(implied): v / 세전이익
max(세전, 0) × 세율 27.0%(최근 4분기 유효세율 43.0% → 5~27% 클립)</t>
      </text>
    </comment>
    <comment ref="S27" authorId="0" shapeId="0">
      <text>
        <t>모델값 역산(implied): v / 세전이익
max(세전, 0) × 세율 27.0%(최근 4분기 유효세율 43.0% → 5~27% 클립)</t>
      </text>
    </comment>
    <comment ref="T27" authorId="0" shapeId="0">
      <text>
        <t>모델값 역산(implied): v / 세전이익
max(세전, 0) × 세율 27.0%(최근 4분기 유효세율 43.0% → 5~27% 클립)</t>
      </text>
    </comment>
    <comment ref="U27" authorId="0" shapeId="0">
      <text>
        <t>모델값 역산(implied): v / 세전이익
max(세전, 0) × 세율 27.0%(최근 4분기 유효세율 43.0% → 5~27% 클립)</t>
      </text>
    </comment>
    <comment ref="J28" authorId="0" shapeId="0">
      <text>
        <t>모델값 역산(implied): v / 당기순이익
당기순이익 × (1 − 비지배 비중 0.0%, 최근 8분기 실측)</t>
      </text>
    </comment>
    <comment ref="K28" authorId="0" shapeId="0">
      <text>
        <t>모델값 역산(implied): v / 당기순이익
당기순이익 × (1 − 비지배 비중 0.0%, 최근 8분기 실측)</t>
      </text>
    </comment>
    <comment ref="M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R28" authorId="0" shapeId="0">
      <text>
        <t>모델값 역산(implied): v / 당기순이익
당기순이익 × (1 − 비지배 비중 0.0%, 최근 8분기 실측)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U28" authorId="0" shapeId="0">
      <text>
        <t>모델값 역산(implied): v / 당기순이익
당기순이익 × (1 − 비지배 비중 0.0%, 최근 8분기 실측)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M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R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J31" authorId="0" shapeId="0">
      <text>
        <t>모델값 역산(implied): 전분기 + 당기순이익 − v
전분기 + 당기순이익 − 배당(Q2 지급 가정)</t>
      </text>
    </comment>
    <comment ref="K31" authorId="0" shapeId="0">
      <text>
        <t>모델값 역산(implied): 전분기 + 당기순이익 − v
전분기 + 당기순이익 − 배당(Q2 지급 가정)</t>
      </text>
    </comment>
    <comment ref="M31" authorId="0" shapeId="0">
      <text>
        <t>모델값 역산(implied): 전분기 + 당기순이익 − v
전분기 + 당기순이익 − 배당(Q2 지급 가정)</t>
      </text>
    </comment>
    <comment ref="N31" authorId="0" shapeId="0">
      <text>
        <t>모델값 역산(implied): 전분기 + 당기순이익 − v
전분기 + 당기순이익 − 배당(Q2 지급 가정)</t>
      </text>
    </comment>
    <comment ref="O31" authorId="0" shapeId="0">
      <text>
        <t>모델값 역산(implied): 전분기 + 당기순이익 − v
전분기 + 당기순이익 − 배당(Q2 지급 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R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J32" authorId="0" shapeId="0">
      <text>
        <t>모델값 역산(implied): 전분기 + 지배주주순이익 − v
전분기 + 지배주주순이익 − 배당</t>
      </text>
    </comment>
    <comment ref="K32" authorId="0" shapeId="0">
      <text>
        <t>모델값 역산(implied): 전분기 + 지배주주순이익 − v
전분기 + 지배주주순이익 − 배당</t>
      </text>
    </comment>
    <comment ref="M32" authorId="0" shapeId="0">
      <text>
        <t>모델값 역산(implied): 전분기 + 지배주주순이익 − v
전분기 + 지배주주순이익 − 배당</t>
      </text>
    </comment>
    <comment ref="N32" authorId="0" shapeId="0">
      <text>
        <t>모델값 역산(implied): 전분기 + 지배주주순이익 − v
전분기 + 지배주주순이익 − 배당</t>
      </text>
    </comment>
    <comment ref="O32" authorId="0" shapeId="0">
      <text>
        <t>모델값 역산(implied): 전분기 + 지배주주순이익 − v
전분기 + 지배주주순이익 − 배당</t>
      </text>
    </comment>
    <comment ref="P32" authorId="0" shapeId="0">
      <text>
        <t>모델값 역산(implied): 전분기 + 지배주주순이익 − v
전분기 + 지배주주순이익 − 배당</t>
      </text>
    </comment>
    <comment ref="R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M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R33" authorId="0" shapeId="0">
      <text>
        <t>모델값 역산(implied): v / 전분기 − 1
마지막 실적 유지(가정)</t>
      </text>
    </comment>
    <comment ref="S33" authorId="0" shapeId="0">
      <text>
        <t>모델값 역산(implied): v / 전분기 − 1
마지막 실적 유지(가정)</t>
      </text>
    </comment>
    <comment ref="T33" authorId="0" shapeId="0">
      <text>
        <t>모델값 역산(implied): v / 전분기 − 1
마지막 실적 유지(가정)</t>
      </text>
    </comment>
    <comment ref="U33" authorId="0" shapeId="0">
      <text>
        <t>모델값 역산(implied): v / 전분기 − 1
마지막 실적 유지(가정)</t>
      </text>
    </comment>
    <comment ref="J34" authorId="0" shapeId="0">
      <text>
        <t>모델값 역산(implied): v / 전분기 − 1
전분기 − (순이익 − 배당): 순이익 = 순현금 증가 가정(CAPEX≈감가, 운전자본 불변)</t>
      </text>
    </comment>
    <comment ref="K34" authorId="0" shapeId="0">
      <text>
        <t>모델값 역산(implied): v / 전분기 − 1
전분기 − (순이익 − 배당): 순이익 = 순현금 증가 가정(CAPEX≈감가, 운전자본 불변)</t>
      </text>
    </comment>
    <comment ref="M34" authorId="0" shapeId="0">
      <text>
        <t>모델값 역산(implied): v / 전분기 − 1
전분기 − (순이익 − 배당): 순이익 = 순현금 증가 가정(CAPEX≈감가, 운전자본 불변)</t>
      </text>
    </comment>
    <comment ref="N34" authorId="0" shapeId="0">
      <text>
        <t>모델값 역산(implied): v / 전분기 − 1
전분기 − (순이익 − 배당): 순이익 = 순현금 증가 가정(CAPEX≈감가, 운전자본 불변)</t>
      </text>
    </comment>
    <comment ref="O34" authorId="0" shapeId="0">
      <text>
        <t>모델값 역산(implied): v / 전분기 − 1
전분기 − (순이익 − 배당): 순이익 = 순현금 증가 가정(CAPEX≈감가, 운전자본 불변)</t>
      </text>
    </comment>
    <comment ref="P34" authorId="0" shapeId="0">
      <text>
        <t>모델값 역산(implied): v / 전분기 − 1
전분기 − (순이익 − 배당): 순이익 = 순현금 증가 가정(CAPEX≈감가, 운전자본 불변)</t>
      </text>
    </comment>
    <comment ref="R34" authorId="0" shapeId="0">
      <text>
        <t>모델값 역산(implied): v / 전분기 − 1
전분기 − (순이익 − 배당): 순이익 = 순현금 증가 가정(CAPEX≈감가, 운전자본 불변)</t>
      </text>
    </comment>
    <comment ref="S34" authorId="0" shapeId="0">
      <text>
        <t>모델값 역산(implied): v / 전분기 − 1
전분기 − (순이익 − 배당): 순이익 = 순현금 증가 가정(CAPEX≈감가, 운전자본 불변)</t>
      </text>
    </comment>
    <comment ref="T34" authorId="0" shapeId="0">
      <text>
        <t>모델값 역산(implied): v / 전분기 − 1
전분기 − (순이익 − 배당): 순이익 = 순현금 증가 가정(CAPEX≈감가, 운전자본 불변)</t>
      </text>
    </comment>
    <comment ref="U34" authorId="0" shapeId="0">
      <text>
        <t>모델값 역산(implied): v / 전분기 − 1
전분기 − (순이익 − 배당): 순이익 = 순현금 증가 가정(CAPEX≈감가, 운전자본 불변)</t>
      </text>
    </comment>
    <comment ref="J35" authorId="0" shapeId="0">
      <text>
        <t>모델값 역산(implied): v / 전분기 − 1
전분기 + (순이익 − 배당) — 순차입금 롤과 같은 가정</t>
      </text>
    </comment>
    <comment ref="K35" authorId="0" shapeId="0">
      <text>
        <t>모델값 역산(implied): v / 전분기 − 1
전분기 + (순이익 − 배당) — 순차입금 롤과 같은 가정</t>
      </text>
    </comment>
    <comment ref="M35" authorId="0" shapeId="0">
      <text>
        <t>모델값 역산(implied): v / 전분기 − 1
전분기 + (순이익 − 배당) — 순차입금 롤과 같은 가정</t>
      </text>
    </comment>
    <comment ref="N35" authorId="0" shapeId="0">
      <text>
        <t>모델값 역산(implied): v / 전분기 − 1
전분기 + (순이익 − 배당) — 순차입금 롤과 같은 가정</t>
      </text>
    </comment>
    <comment ref="O35" authorId="0" shapeId="0">
      <text>
        <t>모델값 역산(implied): v / 전분기 − 1
전분기 + (순이익 − 배당) — 순차입금 롤과 같은 가정</t>
      </text>
    </comment>
    <comment ref="P35" authorId="0" shapeId="0">
      <text>
        <t>모델값 역산(implied): v / 전분기 − 1
전분기 + (순이익 − 배당) — 순차입금 롤과 같은 가정</t>
      </text>
    </comment>
    <comment ref="R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J39" authorId="0" shapeId="0">
      <text>
        <t>모델값 역산(implied): v / 전분기 − 1
유통주식수 유지 — fin.shares.common_outstanding(2026Q2)</t>
      </text>
    </comment>
    <comment ref="K39" authorId="0" shapeId="0">
      <text>
        <t>모델값 역산(implied): v / 전분기 − 1
유통주식수 유지 — fin.shares.common_outstanding(2026Q2)</t>
      </text>
    </comment>
    <comment ref="M39" authorId="0" shapeId="0">
      <text>
        <t>모델값 역산(implied): v / 전분기 − 1
유통주식수 유지 — fin.shares.common_outstanding(2026Q2)</t>
      </text>
    </comment>
    <comment ref="N39" authorId="0" shapeId="0">
      <text>
        <t>모델값 역산(implied): v / 전분기 − 1
유통주식수 유지 — fin.shares.common_outstanding(2026Q2)</t>
      </text>
    </comment>
    <comment ref="O39" authorId="0" shapeId="0">
      <text>
        <t>모델값 역산(implied): v / 전분기 − 1
유통주식수 유지 — fin.shares.common_outstanding(2026Q2)</t>
      </text>
    </comment>
    <comment ref="P39" authorId="0" shapeId="0">
      <text>
        <t>모델값 역산(implied): v / 전분기 − 1
유통주식수 유지 — fin.shares.common_outstanding(2026Q2)</t>
      </text>
    </comment>
    <comment ref="R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전년동기 − 1
직전 결산 DPS 50원 유지</t>
      </text>
    </comment>
    <comment ref="P40" authorId="0" shapeId="0">
      <text>
        <t>모델값 역산(implied): v / 전년동기 − 1
직전 결산 DPS 50원 유지</t>
      </text>
    </comment>
    <comment ref="U40" authorId="0" shapeId="0">
      <text>
        <t>모델값 역산(implied): v / 전년동기 − 1
직전 결산 DPS 50원 유지</t>
      </text>
    </comment>
    <comment ref="N41" authorId="0" shapeId="0">
      <text>
        <t>모델값 역산(implied): v / 전년동기 − 1
현재 종가 ÷ TTM EPS(추정 포함)</t>
      </text>
    </comment>
    <comment ref="O41" authorId="0" shapeId="0">
      <text>
        <t>모델값 역산(implied): v / 전년동기 − 1
현재 종가 ÷ TTM EPS(추정 포함)</t>
      </text>
    </comment>
    <comment ref="P41" authorId="0" shapeId="0">
      <text>
        <t>모델값 역산(implied): v / 전년동기 − 1
현재 종가 ÷ TTM EPS(추정 포함)</t>
      </text>
    </comment>
    <comment ref="R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K42" authorId="0" shapeId="0">
      <text>
        <t>모델값 역산(implied): v / 전년동기 − 1
현재 종가 ÷ BPS(추정 포함)</t>
      </text>
    </comment>
    <comment ref="M42" authorId="0" shapeId="0">
      <text>
        <t>모델값 역산(implied): v / 전년동기 − 1
현재 종가 ÷ BPS(추정 포함)</t>
      </text>
    </comment>
    <comment ref="N42" authorId="0" shapeId="0">
      <text>
        <t>모델값 역산(implied): v / 전년동기 − 1
현재 종가 ÷ BPS(추정 포함)</t>
      </text>
    </comment>
    <comment ref="O42" authorId="0" shapeId="0">
      <text>
        <t>모델값 역산(implied): v / 전년동기 − 1
현재 종가 ÷ BPS(추정 포함)</t>
      </text>
    </comment>
    <comment ref="P42" authorId="0" shapeId="0">
      <text>
        <t>모델값 역산(implied): v / 전년동기 − 1
현재 종가 ÷ BPS(추정 포함)</t>
      </text>
    </comment>
    <comment ref="R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J43" authorId="0" shapeId="0">
      <text>
        <t>모델값 역산(implied): v / 매출액
= 매출액 추정(부문 미분리)</t>
      </text>
    </comment>
    <comment ref="K43" authorId="0" shapeId="0">
      <text>
        <t>모델값 역산(implied): v / 매출액
= 매출액 추정(부문 미분리)</t>
      </text>
    </comment>
    <comment ref="M43" authorId="0" shapeId="0">
      <text>
        <t>모델값 역산(implied): v / 매출액
= 매출액 추정(부문 미분리)</t>
      </text>
    </comment>
    <comment ref="N43" authorId="0" shapeId="0">
      <text>
        <t>모델값 역산(implied): v / 매출액
= 매출액 추정(부문 미분리)</t>
      </text>
    </comment>
    <comment ref="O43" authorId="0" shapeId="0">
      <text>
        <t>모델값 역산(implied): v / 매출액
= 매출액 추정(부문 미분리)</t>
      </text>
    </comment>
    <comment ref="P43" authorId="0" shapeId="0">
      <text>
        <t>모델값 역산(implied): v / 매출액
= 매출액 추정(부문 미분리)</t>
      </text>
    </comment>
    <comment ref="R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J44" authorId="0" shapeId="0">
      <text>
        <t>모델값 역산(implied): v / 매출전사
= 매출액 × OPM(부문 미분리)</t>
      </text>
    </comment>
    <comment ref="K44" authorId="0" shapeId="0">
      <text>
        <t>모델값 역산(implied): v / 매출전사
= 매출액 × OPM(부문 미분리)</t>
      </text>
    </comment>
    <comment ref="M44" authorId="0" shapeId="0">
      <text>
        <t>모델값 역산(implied): v / 매출전사
= 매출액 × OPM(부문 미분리)</t>
      </text>
    </comment>
    <comment ref="N44" authorId="0" shapeId="0">
      <text>
        <t>모델값 역산(implied): v / 매출전사
= 매출액 × OPM(부문 미분리)</t>
      </text>
    </comment>
    <comment ref="O44" authorId="0" shapeId="0">
      <text>
        <t>모델값 역산(implied): v / 매출전사
= 매출액 × OPM(부문 미분리)</t>
      </text>
    </comment>
    <comment ref="P44" authorId="0" shapeId="0">
      <text>
        <t>모델값 역산(implied): v / 매출전사
= 매출액 × OPM(부문 미분리)</t>
      </text>
    </comment>
    <comment ref="R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추정: 최근 4분기 OPM 중위 1.1% 유지(클립 −20~40%)
[yoy]</t>
      </text>
    </comment>
    <comment ref="K10" authorId="0" shapeId="0">
      <text>
        <t>추정: 최근 4분기 OPM 중위 1.1% 유지(클립 −20~40%)
[yoy]</t>
      </text>
    </comment>
    <comment ref="M10" authorId="0" shapeId="0">
      <text>
        <t>추정: 최근 4분기 OPM 중위 1.1% 유지(클립 −20~40%)
[yoy]</t>
      </text>
    </comment>
    <comment ref="N10" authorId="0" shapeId="0">
      <text>
        <t>추정: 최근 4분기 OPM 중위 1.1% 유지(클립 −20~40%)
[yoy]</t>
      </text>
    </comment>
    <comment ref="O10" authorId="0" shapeId="0">
      <text>
        <t>추정: 최근 4분기 OPM 중위 1.1% 유지(클립 −20~40%)
[yoy]</t>
      </text>
    </comment>
    <comment ref="P10" authorId="0" shapeId="0">
      <text>
        <t>추정: 최근 4분기 OPM 중위 1.1% 유지(클립 −20~40%)
[yoy]</t>
      </text>
    </comment>
    <comment ref="R10" authorId="0" shapeId="0">
      <text>
        <t>추정: 최근 4분기 OPM 중위 1.1% 유지(클립 −20~40%)
[yoy]</t>
      </text>
    </comment>
    <comment ref="S10" authorId="0" shapeId="0">
      <text>
        <t>추정: 최근 4분기 OPM 중위 1.1% 유지(클립 −20~40%)
[yoy]</t>
      </text>
    </comment>
    <comment ref="T10" authorId="0" shapeId="0">
      <text>
        <t>추정: 최근 4분기 OPM 중위 1.1% 유지(클립 −20~40%)
[yoy]</t>
      </text>
    </comment>
    <comment ref="U10" authorId="0" shapeId="0">
      <text>
        <t>추정: 최근 4분기 OPM 중위 1.1% 유지(클립 −20~40%)
[yoy]</t>
      </text>
    </comment>
    <comment ref="J11" authorId="0" shapeId="0">
      <text>
        <t>추정: 이자손익 = 이자발생자산 51억 × 17.51% − 총차입금 504억 × 0.00% (연율, CF 실측) ÷ 4; 환·평가손익 0 가정
[abs]</t>
      </text>
    </comment>
    <comment ref="K11" authorId="0" shapeId="0">
      <text>
        <t>추정: 이자손익 = 이자발생자산 60억 × 17.51% − 총차입금 504억 × 0.00% (연율, CF 실측) ÷ 4; 환·평가손익 0 가정
[abs]</t>
      </text>
    </comment>
    <comment ref="M11" authorId="0" shapeId="0">
      <text>
        <t>추정: 이자손익 = 이자발생자산 68억 × 17.51% − 총차입금 504억 × 0.00% (연율, CF 실측) ÷ 4; 환·평가손익 0 가정
[abs]</t>
      </text>
    </comment>
    <comment ref="N11" authorId="0" shapeId="0">
      <text>
        <t>추정: 이자손익 = 이자발생자산 78억 × 17.51% − 총차입금 504억 × 0.00% (연율, CF 실측) ÷ 4; 환·평가손익 0 가정
[abs]</t>
      </text>
    </comment>
    <comment ref="O11" authorId="0" shapeId="0">
      <text>
        <t>추정: 이자손익 = 이자발생자산 77억 × 17.51% − 총차입금 504억 × 0.00% (연율, CF 실측) ÷ 4; 환·평가손익 0 가정
[abs]</t>
      </text>
    </comment>
    <comment ref="P11" authorId="0" shapeId="0">
      <text>
        <t>추정: 이자손익 = 이자발생자산 87억 × 17.51% − 총차입금 504억 × 0.00% (연율, CF 실측) ÷ 4; 환·평가손익 0 가정
[abs]</t>
      </text>
    </comment>
    <comment ref="R11" authorId="0" shapeId="0">
      <text>
        <t>추정: 이자손익 = 이자발생자산 96억 × 17.51% − 총차입금 504억 × 0.00% (연율, CF 실측) ÷ 4; 환·평가손익 0 가정
[abs]</t>
      </text>
    </comment>
    <comment ref="S11" authorId="0" shapeId="0">
      <text>
        <t>추정: 이자손익 = 이자발생자산 107억 × 17.51% − 총차입금 504억 × 0.00% (연율, CF 실측) ÷ 4; 환·평가손익 0 가정
[abs]</t>
      </text>
    </comment>
    <comment ref="T11" authorId="0" shapeId="0">
      <text>
        <t>추정: 이자손익 = 이자발생자산 107억 × 17.51% − 총차입금 504억 × 0.00% (연율, CF 실측) ÷ 4; 환·평가손익 0 가정
[abs]</t>
      </text>
    </comment>
    <comment ref="U11" authorId="0" shapeId="0">
      <text>
        <t>추정: 이자손익 = 이자발생자산 117억 × 17.51% − 총차입금 504억 × 0.00% (연율, CF 실측) ÷ 4; 환·평가손익 0 가정
[abs]</t>
      </text>
    </comment>
    <comment ref="J12" authorId="0" shapeId="0">
      <text>
        <t>추정: 일회성 미가정 → 0
[abs]</t>
      </text>
    </comment>
    <comment ref="K12" authorId="0" shapeId="0">
      <text>
        <t>추정: 일회성 미가정 → 0
[abs]</t>
      </text>
    </comment>
    <comment ref="M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R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J13" authorId="0" shapeId="0">
      <text>
        <t>추정: 영업이익 + 금융손익 + 기타영업외 + 지분법 + 환관련(항등식)
[identity]</t>
      </text>
    </comment>
    <comment ref="K13" authorId="0" shapeId="0">
      <text>
        <t>추정: 영업이익 + 금융손익 + 기타영업외 + 지분법 + 환관련(항등식)
[identity]</t>
      </text>
    </comment>
    <comment ref="M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R13" authorId="0" shapeId="0">
      <text>
        <t>추정: 영업이익 + 금융손익 + 기타영업외 + 지분법 + 환관련(항등식)
[identity]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U13" authorId="0" shapeId="0">
      <text>
        <t>추정: 영업이익 + 금융손익 + 기타영업외 + 지분법 + 환관련(항등식)
[identity]</t>
      </text>
    </comment>
    <comment ref="J14" authorId="0" shapeId="0">
      <text>
        <t>추정: max(세전, 0) × 세율 27.0%(최근 4분기 유효세율 43.0% → 5~27% 클립)
[ratio]</t>
      </text>
    </comment>
    <comment ref="K14" authorId="0" shapeId="0">
      <text>
        <t>추정: max(세전, 0) × 세율 27.0%(최근 4분기 유효세율 43.0% → 5~27% 클립)
[ratio]</t>
      </text>
    </comment>
    <comment ref="M14" authorId="0" shapeId="0">
      <text>
        <t>추정: max(세전, 0) × 세율 27.0%(최근 4분기 유효세율 43.0% → 5~27% 클립)
[ratio]</t>
      </text>
    </comment>
    <comment ref="N14" authorId="0" shapeId="0">
      <text>
        <t>추정: max(세전, 0) × 세율 27.0%(최근 4분기 유효세율 43.0% → 5~27% 클립)
[ratio]</t>
      </text>
    </comment>
    <comment ref="O14" authorId="0" shapeId="0">
      <text>
        <t>추정: max(세전, 0) × 세율 27.0%(최근 4분기 유효세율 43.0% → 5~27% 클립)
[ratio]</t>
      </text>
    </comment>
    <comment ref="P14" authorId="0" shapeId="0">
      <text>
        <t>추정: max(세전, 0) × 세율 27.0%(최근 4분기 유효세율 43.0% → 5~27% 클립)
[ratio]</t>
      </text>
    </comment>
    <comment ref="R14" authorId="0" shapeId="0">
      <text>
        <t>추정: max(세전, 0) × 세율 27.0%(최근 4분기 유효세율 43.0% → 5~27% 클립)
[ratio]</t>
      </text>
    </comment>
    <comment ref="S14" authorId="0" shapeId="0">
      <text>
        <t>추정: max(세전, 0) × 세율 27.0%(최근 4분기 유효세율 43.0% → 5~27% 클립)
[ratio]</t>
      </text>
    </comment>
    <comment ref="T14" authorId="0" shapeId="0">
      <text>
        <t>추정: max(세전, 0) × 세율 27.0%(최근 4분기 유효세율 43.0% → 5~27% 클립)
[ratio]</t>
      </text>
    </comment>
    <comment ref="U14" authorId="0" shapeId="0">
      <text>
        <t>추정: max(세전, 0) × 세율 27.0%(최근 4분기 유효세율 43.0% → 5~27% 클립)
[ratio]</t>
      </text>
    </comment>
    <comment ref="J15" authorId="0" shapeId="0">
      <text>
        <t>추정: 세전이익 − 법인세비용(항등식)
[identity]</t>
      </text>
    </comment>
    <comment ref="K15" authorId="0" shapeId="0">
      <text>
        <t>추정: 세전이익 − 법인세비용(항등식)
[identity]</t>
      </text>
    </comment>
    <comment ref="M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R15" authorId="0" shapeId="0">
      <text>
        <t>추정: 세전이익 − 법인세비용(항등식)
[identity]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U15" authorId="0" shapeId="0">
      <text>
        <t>추정: 세전이익 − 법인세비용(항등식)
[identity]</t>
      </text>
    </comment>
    <comment ref="J16" authorId="0" shapeId="0">
      <text>
        <t>추정: 당기순이익 × (1 − 비지배 비중 0.0%, 최근 8분기 실측)
[ratio]</t>
      </text>
    </comment>
    <comment ref="K16" authorId="0" shapeId="0">
      <text>
        <t>추정: 당기순이익 × (1 − 비지배 비중 0.0%, 최근 8분기 실측)
[ratio]</t>
      </text>
    </comment>
    <comment ref="M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R16" authorId="0" shapeId="0">
      <text>
        <t>추정: 당기순이익 × (1 − 비지배 비중 0.0%, 최근 8분기 실측)
[ratio]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U16" authorId="0" shapeId="0">
      <text>
        <t>추정: 당기순이익 × (1 − 비지배 비중 0.0%, 최근 8분기 실측)
[ratio]</t>
      </text>
    </comment>
    <comment ref="E17" authorId="0" shapeId="0">
      <text>
        <t>실측(계정 매핑 없음 — 모델값 직접) — fin.cons.is.중단사업이익</t>
      </text>
    </comment>
    <comment ref="F17" authorId="0" shapeId="0">
      <text>
        <t>실측(계정 매핑 없음 — 모델값 직접) — fin.cons.is.중단사업이익</t>
      </text>
    </comment>
    <comment ref="H17" authorId="0" shapeId="0">
      <text>
        <t>실측(계정 매핑 없음 — 모델값 직접) — fin.cons.is.중단사업이익</t>
      </text>
    </comment>
    <comment ref="J18" authorId="0" shapeId="0">
      <text>
        <t>추정: 부채총계 + 자본총계(항등식)
[identity]</t>
      </text>
    </comment>
    <comment ref="K18" authorId="0" shapeId="0">
      <text>
        <t>추정: 부채총계 + 자본총계(항등식)
[identity]</t>
      </text>
    </comment>
    <comment ref="M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R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J19" authorId="0" shapeId="0">
      <text>
        <t>추정: 마지막 실적 유지(가정)
[qoq]</t>
      </text>
    </comment>
    <comment ref="K19" authorId="0" shapeId="0">
      <text>
        <t>추정: 마지막 실적 유지(가정)
[qoq]</t>
      </text>
    </comment>
    <comment ref="M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R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J20" authorId="0" shapeId="0">
      <text>
        <t>추정: 전분기 + 당기순이익 − 배당(Q2 지급 가정)
[roll]</t>
      </text>
    </comment>
    <comment ref="K20" authorId="0" shapeId="0">
      <text>
        <t>추정: 전분기 + 당기순이익 − 배당(Q2 지급 가정)
[roll]</t>
      </text>
    </comment>
    <comment ref="M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R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J21" authorId="0" shapeId="0">
      <text>
        <t>추정: 전분기 + 지배주주순이익 − 배당
[roll]</t>
      </text>
    </comment>
    <comment ref="K21" authorId="0" shapeId="0">
      <text>
        <t>추정: 전분기 + 지배주주순이익 − 배당
[roll]</t>
      </text>
    </comment>
    <comment ref="M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R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J22" authorId="0" shapeId="0">
      <text>
        <t>추정: 마지막 실적 유지(가정)
[qoq]</t>
      </text>
    </comment>
    <comment ref="K22" authorId="0" shapeId="0">
      <text>
        <t>추정: 마지막 실적 유지(가정)
[qoq]</t>
      </text>
    </comment>
    <comment ref="M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R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J23" authorId="0" shapeId="0">
      <text>
        <t>추정: 전분기 − (순이익 − 배당): 순이익 = 순현금 증가 가정(CAPEX≈감가, 운전자본 불변)
[qoq]</t>
      </text>
    </comment>
    <comment ref="K23" authorId="0" shapeId="0">
      <text>
        <t>추정: 전분기 − (순이익 − 배당): 순이익 = 순현금 증가 가정(CAPEX≈감가, 운전자본 불변)
[qoq]</t>
      </text>
    </comment>
    <comment ref="M23" authorId="0" shapeId="0">
      <text>
        <t>추정: 전분기 − (순이익 − 배당): 순이익 = 순현금 증가 가정(CAPEX≈감가, 운전자본 불변)
[qoq]</t>
      </text>
    </comment>
    <comment ref="N23" authorId="0" shapeId="0">
      <text>
        <t>추정: 전분기 − (순이익 − 배당): 순이익 = 순현금 증가 가정(CAPEX≈감가, 운전자본 불변)
[qoq]</t>
      </text>
    </comment>
    <comment ref="O23" authorId="0" shapeId="0">
      <text>
        <t>추정: 전분기 − (순이익 − 배당): 순이익 = 순현금 증가 가정(CAPEX≈감가, 운전자본 불변)
[qoq]</t>
      </text>
    </comment>
    <comment ref="P23" authorId="0" shapeId="0">
      <text>
        <t>추정: 전분기 − (순이익 − 배당): 순이익 = 순현금 증가 가정(CAPEX≈감가, 운전자본 불변)
[qoq]</t>
      </text>
    </comment>
    <comment ref="R23" authorId="0" shapeId="0">
      <text>
        <t>추정: 전분기 − (순이익 − 배당): 순이익 = 순현금 증가 가정(CAPEX≈감가, 운전자본 불변)
[qoq]</t>
      </text>
    </comment>
    <comment ref="S23" authorId="0" shapeId="0">
      <text>
        <t>추정: 전분기 − (순이익 − 배당): 순이익 = 순현금 증가 가정(CAPEX≈감가, 운전자본 불변)
[qoq]</t>
      </text>
    </comment>
    <comment ref="T23" authorId="0" shapeId="0">
      <text>
        <t>추정: 전분기 − (순이익 − 배당): 순이익 = 순현금 증가 가정(CAPEX≈감가, 운전자본 불변)
[qoq]</t>
      </text>
    </comment>
    <comment ref="U23" authorId="0" shapeId="0">
      <text>
        <t>추정: 전분기 − (순이익 − 배당): 순이익 = 순현금 증가 가정(CAPEX≈감가, 운전자본 불변)
[qoq]</t>
      </text>
    </comment>
    <comment ref="J24" authorId="0" shapeId="0">
      <text>
        <t>추정: 전분기 + (순이익 − 배당) — 순차입금 롤과 같은 가정
[qoq]</t>
      </text>
    </comment>
    <comment ref="K24" authorId="0" shapeId="0">
      <text>
        <t>추정: 전분기 + (순이익 − 배당) — 순차입금 롤과 같은 가정
[qoq]</t>
      </text>
    </comment>
    <comment ref="M24" authorId="0" shapeId="0">
      <text>
        <t>추정: 전분기 + (순이익 − 배당) — 순차입금 롤과 같은 가정
[qoq]</t>
      </text>
    </comment>
    <comment ref="N24" authorId="0" shapeId="0">
      <text>
        <t>추정: 전분기 + (순이익 − 배당) — 순차입금 롤과 같은 가정
[qoq]</t>
      </text>
    </comment>
    <comment ref="O24" authorId="0" shapeId="0">
      <text>
        <t>추정: 전분기 + (순이익 − 배당) — 순차입금 롤과 같은 가정
[qoq]</t>
      </text>
    </comment>
    <comment ref="P24" authorId="0" shapeId="0">
      <text>
        <t>추정: 전분기 + (순이익 − 배당) — 순차입금 롤과 같은 가정
[qoq]</t>
      </text>
    </comment>
    <comment ref="R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추정: 유통주식수 유지 — fin.shares.common_outstanding(2026Q2)
[qoq]</t>
      </text>
    </comment>
    <comment ref="K28" authorId="0" shapeId="0">
      <text>
        <t>추정: 유통주식수 유지 — fin.shares.common_outstanding(2026Q2)
[qoq]</t>
      </text>
    </comment>
    <comment ref="M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R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J29" authorId="0" shapeId="0">
      <text>
        <t>추정: 지배주주순이익 ÷ 유통주식수
[per_share]</t>
      </text>
    </comment>
    <comment ref="K29" authorId="0" shapeId="0">
      <text>
        <t>추정: 지배주주순이익 ÷ 유통주식수
[per_share]</t>
      </text>
    </comment>
    <comment ref="M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R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J30" authorId="0" shapeId="0">
      <text>
        <t>추정: 지배주주지분 ÷ 유통주식수
[per_share]</t>
      </text>
    </comment>
    <comment ref="K30" authorId="0" shapeId="0">
      <text>
        <t>추정: 지배주주지분 ÷ 유통주식수
[per_share]</t>
      </text>
    </comment>
    <comment ref="M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R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F31" authorId="0" shapeId="0">
      <text>
        <t>실측(계정 매핑 없음 — 모델값 직접) — fin.dividend.dps_common(연간, Q4 에 표기)</t>
      </text>
    </comment>
    <comment ref="G31" authorId="0" shapeId="0">
      <text>
        <t>연간(actual) — 분기 미완 연도, 모델 a 값 직접</t>
      </text>
    </comment>
    <comment ref="K31" authorId="0" shapeId="0">
      <text>
        <t>추정: 직전 결산 DPS 50원 유지
[yoy]</t>
      </text>
    </comment>
    <comment ref="P31" authorId="0" shapeId="0">
      <text>
        <t>추정: 직전 결산 DPS 50원 유지
[yoy]</t>
      </text>
    </comment>
    <comment ref="U31" authorId="0" shapeId="0">
      <text>
        <t>추정: 직전 결산 DPS 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추정(가정 셀 참조 불가 — 기준값 없음, 모델값 직접): 현재 종가 ÷ TTM EPS(추정 포함)</t>
      </text>
    </comment>
    <comment ref="K32" authorId="0" shapeId="0">
      <text>
        <t>추정(가정 셀 참조 불가 — 기준값 없음, 모델값 직접): 현재 종가 ÷ TTM EPS(추정 포함)</t>
      </text>
    </comment>
    <comment ref="M32" authorId="0" shapeId="0">
      <text>
        <t>추정(가정 셀 참조 불가 — 기준값 없음, 모델값 직접): 현재 종가 ÷ TTM EPS(추정 포함)</t>
      </text>
    </comment>
    <comment ref="N32" authorId="0" shapeId="0">
      <text>
        <t>추정: 현재 종가 ÷ TTM EPS(추정 포함)
[yoy]</t>
      </text>
    </comment>
    <comment ref="O32" authorId="0" shapeId="0">
      <text>
        <t>추정: 현재 종가 ÷ TTM EPS(추정 포함)
[yoy]</t>
      </text>
    </comment>
    <comment ref="P32" authorId="0" shapeId="0">
      <text>
        <t>추정: 현재 종가 ÷ TTM EPS(추정 포함)
[yoy]</t>
      </text>
    </comment>
    <comment ref="R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연간(actual) — 분기 미완 연도, 모델 a 값 직접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추정(가정 셀 참조 불가 — 기준값 없음, 모델값 직접): 현재 종가 ÷ BPS(추정 포함)</t>
      </text>
    </comment>
    <comment ref="K33" authorId="0" shapeId="0">
      <text>
        <t>추정: 현재 종가 ÷ BPS(추정 포함)
[yoy]</t>
      </text>
    </comment>
    <comment ref="M33" authorId="0" shapeId="0">
      <text>
        <t>추정: 현재 종가 ÷ BPS(추정 포함)
[yoy]</t>
      </text>
    </comment>
    <comment ref="N33" authorId="0" shapeId="0">
      <text>
        <t>추정: 현재 종가 ÷ BPS(추정 포함)
[yoy]</t>
      </text>
    </comment>
    <comment ref="O33" authorId="0" shapeId="0">
      <text>
        <t>추정: 현재 종가 ÷ BPS(추정 포함)
[yoy]</t>
      </text>
    </comment>
    <comment ref="P33" authorId="0" shapeId="0">
      <text>
        <t>추정: 현재 종가 ÷ BPS(추정 포함)
[yoy]</t>
      </text>
    </comment>
    <comment ref="R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추정: = 매출액 추정(부문 미분리)
[ratio]</t>
      </text>
    </comment>
    <comment ref="K34" authorId="0" shapeId="0">
      <text>
        <t>추정: = 매출액 추정(부문 미분리)
[ratio]</t>
      </text>
    </comment>
    <comment ref="M34" authorId="0" shapeId="0">
      <text>
        <t>추정: = 매출액 추정(부문 미분리)
[ratio]</t>
      </text>
    </comment>
    <comment ref="N34" authorId="0" shapeId="0">
      <text>
        <t>추정: = 매출액 추정(부문 미분리)
[ratio]</t>
      </text>
    </comment>
    <comment ref="O34" authorId="0" shapeId="0">
      <text>
        <t>추정: = 매출액 추정(부문 미분리)
[ratio]</t>
      </text>
    </comment>
    <comment ref="P34" authorId="0" shapeId="0">
      <text>
        <t>추정: = 매출액 추정(부문 미분리)
[ratio]</t>
      </text>
    </comment>
    <comment ref="R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추정: = 매출액 × OPM(부문 미분리)
[ratio]</t>
      </text>
    </comment>
    <comment ref="K35" authorId="0" shapeId="0">
      <text>
        <t>추정: = 매출액 × OPM(부문 미분리)
[ratio]</t>
      </text>
    </comment>
    <comment ref="M35" authorId="0" shapeId="0">
      <text>
        <t>추정: = 매출액 × OPM(부문 미분리)
[ratio]</t>
      </text>
    </comment>
    <comment ref="N35" authorId="0" shapeId="0">
      <text>
        <t>추정: = 매출액 × OPM(부문 미분리)
[ratio]</t>
      </text>
    </comment>
    <comment ref="O35" authorId="0" shapeId="0">
      <text>
        <t>추정: = 매출액 × OPM(부문 미분리)
[ratio]</t>
      </text>
    </comment>
    <comment ref="P35" authorId="0" shapeId="0">
      <text>
        <t>추정: = 매출액 × OPM(부문 미분리)
[ratio]</t>
      </text>
    </comment>
    <comment ref="R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assets/models/217590.json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1419.72</v>
      </c>
      <c r="K6" s="16" t="n">
        <v>1353.36</v>
      </c>
      <c r="L6" s="17" t="n">
        <v>1461.87</v>
      </c>
      <c r="M6" s="16" t="n">
        <v>1353.36</v>
      </c>
      <c r="N6" s="16" t="n">
        <v>1353.36</v>
      </c>
      <c r="O6" s="16" t="n">
        <v>1353.36</v>
      </c>
      <c r="P6" s="16" t="n">
        <v>1353.36</v>
      </c>
      <c r="Q6" s="11" t="n"/>
      <c r="R6" s="16" t="n">
        <v>1353.36</v>
      </c>
      <c r="S6" s="16" t="n">
        <v>1353.36</v>
      </c>
      <c r="T6" s="16" t="n">
        <v>1353.36</v>
      </c>
      <c r="U6" s="16" t="n">
        <v>1353.36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1353.36</v>
      </c>
      <c r="K7" s="16" t="n">
        <v>1353.36</v>
      </c>
      <c r="L7" s="17" t="n">
        <v>1353.36</v>
      </c>
      <c r="M7" s="16" t="n">
        <v>1353.36</v>
      </c>
      <c r="N7" s="16" t="n">
        <v>1353.36</v>
      </c>
      <c r="O7" s="16" t="n">
        <v>1353.36</v>
      </c>
      <c r="P7" s="16" t="n">
        <v>1353.36</v>
      </c>
      <c r="Q7" s="11" t="n"/>
      <c r="R7" s="16" t="n">
        <v>1353.36</v>
      </c>
      <c r="S7" s="16" t="n">
        <v>1353.36</v>
      </c>
      <c r="T7" s="16" t="n">
        <v>1353.36</v>
      </c>
      <c r="U7" s="16" t="n">
        <v>1353.36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890.83</v>
      </c>
      <c r="K8" s="16" t="n">
        <v>861.35</v>
      </c>
      <c r="L8" s="17" t="n">
        <v>922.02</v>
      </c>
      <c r="M8" s="16" t="n">
        <v>861.35</v>
      </c>
      <c r="N8" s="16" t="n">
        <v>861.35</v>
      </c>
      <c r="O8" s="16" t="n">
        <v>861.35</v>
      </c>
      <c r="P8" s="16" t="n">
        <v>861.35</v>
      </c>
      <c r="Q8" s="11" t="n"/>
      <c r="R8" s="16" t="n">
        <v>861.35</v>
      </c>
      <c r="S8" s="16" t="n">
        <v>861.35</v>
      </c>
      <c r="T8" s="16" t="n">
        <v>861.35</v>
      </c>
      <c r="U8" s="16" t="n">
        <v>861.35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861.35</v>
      </c>
      <c r="K9" s="16" t="n">
        <v>861.35</v>
      </c>
      <c r="L9" s="17" t="n">
        <v>861.35</v>
      </c>
      <c r="M9" s="16" t="n">
        <v>861.35</v>
      </c>
      <c r="N9" s="16" t="n">
        <v>861.35</v>
      </c>
      <c r="O9" s="16" t="n">
        <v>861.35</v>
      </c>
      <c r="P9" s="16" t="n">
        <v>861.35</v>
      </c>
      <c r="Q9" s="11" t="n"/>
      <c r="R9" s="16" t="n">
        <v>861.35</v>
      </c>
      <c r="S9" s="16" t="n">
        <v>861.35</v>
      </c>
      <c r="T9" s="16" t="n">
        <v>861.35</v>
      </c>
      <c r="U9" s="16" t="n">
        <v>861.35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1633.4</v>
      </c>
      <c r="K10" s="16" t="n">
        <v>1536.74</v>
      </c>
      <c r="L10" s="17" t="n">
        <v>1697.39</v>
      </c>
      <c r="M10" s="16" t="n">
        <v>1536.74</v>
      </c>
      <c r="N10" s="16" t="n">
        <v>1536.74</v>
      </c>
      <c r="O10" s="16" t="n">
        <v>1536.74</v>
      </c>
      <c r="P10" s="16" t="n">
        <v>1536.74</v>
      </c>
      <c r="Q10" s="11" t="n"/>
      <c r="R10" s="16" t="n">
        <v>1536.74</v>
      </c>
      <c r="S10" s="16" t="n">
        <v>1536.74</v>
      </c>
      <c r="T10" s="16" t="n">
        <v>1536.74</v>
      </c>
      <c r="U10" s="16" t="n">
        <v>1536.74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1536.74</v>
      </c>
      <c r="K11" s="16" t="n">
        <v>1536.74</v>
      </c>
      <c r="L11" s="17" t="n">
        <v>1536.74</v>
      </c>
      <c r="M11" s="16" t="n">
        <v>1536.74</v>
      </c>
      <c r="N11" s="16" t="n">
        <v>1536.74</v>
      </c>
      <c r="O11" s="16" t="n">
        <v>1536.74</v>
      </c>
      <c r="P11" s="16" t="n">
        <v>1536.74</v>
      </c>
      <c r="Q11" s="11" t="n"/>
      <c r="R11" s="16" t="n">
        <v>1536.74</v>
      </c>
      <c r="S11" s="16" t="n">
        <v>1536.74</v>
      </c>
      <c r="T11" s="16" t="n">
        <v>1536.74</v>
      </c>
      <c r="U11" s="16" t="n">
        <v>1536.74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210.55</v>
      </c>
      <c r="K12" s="16" t="n">
        <v>201.89</v>
      </c>
      <c r="L12" s="17" t="n">
        <v>214.29</v>
      </c>
      <c r="M12" s="16" t="n">
        <v>201.89</v>
      </c>
      <c r="N12" s="16" t="n">
        <v>201.89</v>
      </c>
      <c r="O12" s="16" t="n">
        <v>201.89</v>
      </c>
      <c r="P12" s="16" t="n">
        <v>201.89</v>
      </c>
      <c r="Q12" s="11" t="n"/>
      <c r="R12" s="16" t="n">
        <v>201.89</v>
      </c>
      <c r="S12" s="16" t="n">
        <v>201.89</v>
      </c>
      <c r="T12" s="16" t="n">
        <v>201.89</v>
      </c>
      <c r="U12" s="16" t="n">
        <v>201.89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201.89</v>
      </c>
      <c r="K13" s="16" t="n">
        <v>201.89</v>
      </c>
      <c r="L13" s="17" t="n">
        <v>201.89</v>
      </c>
      <c r="M13" s="16" t="n">
        <v>201.89</v>
      </c>
      <c r="N13" s="16" t="n">
        <v>201.89</v>
      </c>
      <c r="O13" s="16" t="n">
        <v>201.89</v>
      </c>
      <c r="P13" s="16" t="n">
        <v>201.89</v>
      </c>
      <c r="Q13" s="11" t="n"/>
      <c r="R13" s="16" t="n">
        <v>201.89</v>
      </c>
      <c r="S13" s="16" t="n">
        <v>201.89</v>
      </c>
      <c r="T13" s="16" t="n">
        <v>201.89</v>
      </c>
      <c r="U13" s="16" t="n">
        <v>201.89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3e-06</v>
      </c>
      <c r="K21" s="24" t="n">
        <v>2e-06</v>
      </c>
      <c r="L21" s="25" t="n"/>
      <c r="M21" s="24" t="n">
        <v>3e-06</v>
      </c>
      <c r="N21" s="24" t="n">
        <v>4e-06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4" t="n">
        <v>0.063871</v>
      </c>
      <c r="K22" s="24" t="n">
        <v>0.063869</v>
      </c>
      <c r="L22" s="25">
        <f>IFERROR(subQ!L8/subQ!L5,"")</f>
        <v/>
      </c>
      <c r="M22" s="24" t="n">
        <v>0.063875</v>
      </c>
      <c r="N22" s="24" t="n">
        <v>0.063873</v>
      </c>
      <c r="O22" s="24" t="n">
        <v>0.063871</v>
      </c>
      <c r="P22" s="24" t="n">
        <v>0.063869</v>
      </c>
      <c r="Q22" s="25">
        <f>IFERROR(subQ!Q8/subQ!Q5,"")</f>
        <v/>
      </c>
      <c r="R22" s="24" t="n">
        <v>0.063875</v>
      </c>
      <c r="S22" s="24" t="n">
        <v>0.063873</v>
      </c>
      <c r="T22" s="24" t="n">
        <v>0.063871</v>
      </c>
      <c r="U22" s="24" t="n">
        <v>0.063869</v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0.011498</v>
      </c>
      <c r="K23" s="24" t="n">
        <v>0.011503</v>
      </c>
      <c r="L23" s="25">
        <f>IFERROR(subQ!L9/subQ!L5,"")</f>
        <v/>
      </c>
      <c r="M23" s="24" t="n">
        <v>0.011496</v>
      </c>
      <c r="N23" s="24" t="n">
        <v>0.0115</v>
      </c>
      <c r="O23" s="24" t="n">
        <v>0.011498</v>
      </c>
      <c r="P23" s="24" t="n">
        <v>0.011503</v>
      </c>
      <c r="Q23" s="25">
        <f>IFERROR(subQ!Q9/subQ!Q5,"")</f>
        <v/>
      </c>
      <c r="R23" s="24" t="n">
        <v>0.011496</v>
      </c>
      <c r="S23" s="24" t="n">
        <v>0.0115</v>
      </c>
      <c r="T23" s="24" t="n">
        <v>0.011498</v>
      </c>
      <c r="U23" s="24" t="n">
        <v>0.011503</v>
      </c>
      <c r="V23" s="25">
        <f>IFERROR(subQ!V9/subQ!V5,"")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2" t="n"/>
      <c r="H24" s="21" t="n"/>
      <c r="I24" s="23" t="n"/>
      <c r="J24" s="24" t="n">
        <v>-0.350282</v>
      </c>
      <c r="K24" s="24" t="n">
        <v>-1.415162</v>
      </c>
      <c r="L24" s="25" t="n"/>
      <c r="M24" s="24" t="n">
        <v>0.105769</v>
      </c>
      <c r="N24" s="24" t="n">
        <v>-0.087302</v>
      </c>
      <c r="O24" s="24" t="n">
        <v>0</v>
      </c>
      <c r="P24" s="24" t="n">
        <v>0</v>
      </c>
      <c r="Q24" s="25" t="n"/>
      <c r="R24" s="24" t="n">
        <v>0</v>
      </c>
      <c r="S24" s="24" t="n">
        <v>0</v>
      </c>
      <c r="T24" s="24" t="n">
        <v>0</v>
      </c>
      <c r="U24" s="24" t="n">
        <v>0</v>
      </c>
      <c r="V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7">
        <f>subQ!G11</f>
        <v/>
      </c>
      <c r="H25" s="26">
        <f>subQ!H11</f>
        <v/>
      </c>
      <c r="I25" s="28">
        <f>subQ!I11</f>
        <v/>
      </c>
      <c r="J25" s="29" t="n">
        <v>2.25</v>
      </c>
      <c r="K25" s="29" t="n">
        <v>2.61</v>
      </c>
      <c r="L25" s="30">
        <f>subQ!L11</f>
        <v/>
      </c>
      <c r="M25" s="29" t="n">
        <v>2.97</v>
      </c>
      <c r="N25" s="29" t="n">
        <v>3.41</v>
      </c>
      <c r="O25" s="29" t="n">
        <v>3.39</v>
      </c>
      <c r="P25" s="29" t="n">
        <v>3.79</v>
      </c>
      <c r="Q25" s="30">
        <f>subQ!Q11</f>
        <v/>
      </c>
      <c r="R25" s="29" t="n">
        <v>4.19</v>
      </c>
      <c r="S25" s="29" t="n">
        <v>4.67</v>
      </c>
      <c r="T25" s="29" t="n">
        <v>4.69</v>
      </c>
      <c r="U25" s="29" t="n">
        <v>5.13</v>
      </c>
      <c r="V25" s="30">
        <f>subQ!V11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7">
        <f>subQ!G12</f>
        <v/>
      </c>
      <c r="H26" s="26">
        <f>subQ!H12</f>
        <v/>
      </c>
      <c r="I26" s="28">
        <f>subQ!I12</f>
        <v/>
      </c>
      <c r="J26" s="29" t="n">
        <v>0</v>
      </c>
      <c r="K26" s="29" t="n">
        <v>0</v>
      </c>
      <c r="L26" s="30">
        <f>subQ!L12</f>
        <v/>
      </c>
      <c r="M26" s="29" t="n">
        <v>0</v>
      </c>
      <c r="N26" s="29" t="n">
        <v>0</v>
      </c>
      <c r="O26" s="29" t="n">
        <v>0</v>
      </c>
      <c r="P26" s="29" t="n">
        <v>0</v>
      </c>
      <c r="Q26" s="30">
        <f>subQ!Q12</f>
        <v/>
      </c>
      <c r="R26" s="29" t="n">
        <v>0</v>
      </c>
      <c r="S26" s="29" t="n">
        <v>0</v>
      </c>
      <c r="T26" s="29" t="n">
        <v>0</v>
      </c>
      <c r="U26" s="29" t="n">
        <v>0</v>
      </c>
      <c r="V26" s="30">
        <f>subQ!V12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2">
        <f>IFERROR(subQ!G14/subQ!G13,"")</f>
        <v/>
      </c>
      <c r="H27" s="21">
        <f>IFERROR(subQ!H14/subQ!H13,"")</f>
        <v/>
      </c>
      <c r="I27" s="23">
        <f>IFERROR(subQ!I14/subQ!I13,"")</f>
        <v/>
      </c>
      <c r="J27" s="24" t="n">
        <v>0.269702</v>
      </c>
      <c r="K27" s="24" t="n">
        <v>0.269841</v>
      </c>
      <c r="L27" s="25">
        <f>IFERROR(subQ!L14/subQ!L13,"")</f>
        <v/>
      </c>
      <c r="M27" s="24" t="n">
        <v>0.269956</v>
      </c>
      <c r="N27" s="24" t="n">
        <v>0.269821</v>
      </c>
      <c r="O27" s="24" t="n">
        <v>0.269904</v>
      </c>
      <c r="P27" s="24" t="n">
        <v>0.269968</v>
      </c>
      <c r="Q27" s="25">
        <f>IFERROR(subQ!Q14/subQ!Q13,"")</f>
        <v/>
      </c>
      <c r="R27" s="24" t="n">
        <v>0.27</v>
      </c>
      <c r="S27" s="24" t="n">
        <v>0.269822</v>
      </c>
      <c r="T27" s="24" t="n">
        <v>0.269841</v>
      </c>
      <c r="U27" s="24" t="n">
        <v>0.269841</v>
      </c>
      <c r="V27" s="25">
        <f>IFERROR(subQ!V14/subQ!V13,"")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2">
        <f>IFERROR(subQ!G16/subQ!G15,"")</f>
        <v/>
      </c>
      <c r="H28" s="21">
        <f>IFERROR(subQ!H16/subQ!H15,"")</f>
        <v/>
      </c>
      <c r="I28" s="23">
        <f>IFERROR(subQ!I16/subQ!I15,"")</f>
        <v/>
      </c>
      <c r="J28" s="24" t="n">
        <v>1</v>
      </c>
      <c r="K28" s="24" t="n">
        <v>1</v>
      </c>
      <c r="L28" s="25">
        <f>IFERROR(subQ!L16/subQ!L15,"")</f>
        <v/>
      </c>
      <c r="M28" s="24" t="n">
        <v>1</v>
      </c>
      <c r="N28" s="24" t="n">
        <v>1</v>
      </c>
      <c r="O28" s="24" t="n">
        <v>1</v>
      </c>
      <c r="P28" s="24" t="n">
        <v>1</v>
      </c>
      <c r="Q28" s="25">
        <f>IFERROR(subQ!Q16/subQ!Q15,"")</f>
        <v/>
      </c>
      <c r="R28" s="24" t="n">
        <v>1</v>
      </c>
      <c r="S28" s="24" t="n">
        <v>1</v>
      </c>
      <c r="T28" s="24" t="n">
        <v>1</v>
      </c>
      <c r="U28" s="24" t="n">
        <v>1</v>
      </c>
      <c r="V28" s="25">
        <f>IFERROR(subQ!V16/subQ!V15,"")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1" t="n"/>
      <c r="G29" s="22" t="n"/>
      <c r="H29" s="21" t="n"/>
      <c r="I29" s="23" t="n"/>
      <c r="J29" s="31" t="n"/>
      <c r="K29" s="31" t="n"/>
      <c r="L29" s="25" t="n"/>
      <c r="M29" s="31" t="n"/>
      <c r="N29" s="31" t="n"/>
      <c r="O29" s="31" t="n"/>
      <c r="P29" s="31" t="n"/>
      <c r="Q29" s="25" t="n"/>
      <c r="R29" s="31" t="n"/>
      <c r="S29" s="31" t="n"/>
      <c r="T29" s="31" t="n"/>
      <c r="U29" s="31" t="n"/>
      <c r="V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2" t="n"/>
      <c r="H30" s="21">
        <f>IFERROR(subQ!H19/subQ!F19-1,"")</f>
        <v/>
      </c>
      <c r="I30" s="23">
        <f>IFERROR(subQ!I19/subQ!H19-1,"")</f>
        <v/>
      </c>
      <c r="J30" s="24" t="n">
        <v>-0</v>
      </c>
      <c r="K30" s="24" t="n">
        <v>0</v>
      </c>
      <c r="L30" s="25" t="n"/>
      <c r="M30" s="24" t="n">
        <v>0</v>
      </c>
      <c r="N30" s="24" t="n">
        <v>0</v>
      </c>
      <c r="O30" s="24" t="n">
        <v>0</v>
      </c>
      <c r="P30" s="24" t="n">
        <v>0</v>
      </c>
      <c r="Q30" s="25" t="n"/>
      <c r="R30" s="24" t="n">
        <v>0</v>
      </c>
      <c r="S30" s="24" t="n">
        <v>0</v>
      </c>
      <c r="T30" s="24" t="n">
        <v>0</v>
      </c>
      <c r="U30" s="24" t="n">
        <v>0</v>
      </c>
      <c r="V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IFERROR(subQ!E20+subQ!F15-subQ!F20,"")</f>
        <v/>
      </c>
      <c r="G31" s="27" t="n"/>
      <c r="H31" s="26">
        <f>IFERROR(subQ!F20+subQ!H15-subQ!H20,"")</f>
        <v/>
      </c>
      <c r="I31" s="28">
        <f>IFERROR(subQ!H20+subQ!I15-subQ!I20,"")</f>
        <v/>
      </c>
      <c r="J31" s="29" t="n">
        <v>-0.007900000000000001</v>
      </c>
      <c r="K31" s="29" t="n">
        <v>0.01</v>
      </c>
      <c r="L31" s="30" t="n"/>
      <c r="M31" s="29" t="n">
        <v>0</v>
      </c>
      <c r="N31" s="29" t="n">
        <v>11.92</v>
      </c>
      <c r="O31" s="29" t="n">
        <v>0</v>
      </c>
      <c r="P31" s="29" t="n">
        <v>0</v>
      </c>
      <c r="Q31" s="30" t="n"/>
      <c r="R31" s="29" t="n">
        <v>0</v>
      </c>
      <c r="S31" s="29" t="n">
        <v>11.92</v>
      </c>
      <c r="T31" s="29" t="n">
        <v>0</v>
      </c>
      <c r="U31" s="29" t="n">
        <v>-0</v>
      </c>
      <c r="V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IFERROR(subQ!E21+subQ!F16-subQ!F21,"")</f>
        <v/>
      </c>
      <c r="G32" s="27" t="n"/>
      <c r="H32" s="26">
        <f>IFERROR(subQ!F21+subQ!H16-subQ!H21,"")</f>
        <v/>
      </c>
      <c r="I32" s="28">
        <f>IFERROR(subQ!H21+subQ!I16-subQ!I21,"")</f>
        <v/>
      </c>
      <c r="J32" s="29" t="n">
        <v>-0.0059</v>
      </c>
      <c r="K32" s="29" t="n">
        <v>0.01</v>
      </c>
      <c r="L32" s="30" t="n"/>
      <c r="M32" s="29" t="n">
        <v>0</v>
      </c>
      <c r="N32" s="29" t="n">
        <v>11.92</v>
      </c>
      <c r="O32" s="29" t="n">
        <v>0</v>
      </c>
      <c r="P32" s="29" t="n">
        <v>0</v>
      </c>
      <c r="Q32" s="30" t="n"/>
      <c r="R32" s="29" t="n">
        <v>0</v>
      </c>
      <c r="S32" s="29" t="n">
        <v>11.92</v>
      </c>
      <c r="T32" s="29" t="n">
        <v>-0</v>
      </c>
      <c r="U32" s="29" t="n">
        <v>0</v>
      </c>
      <c r="V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2" t="n"/>
      <c r="H33" s="21">
        <f>IFERROR(subQ!H22/subQ!F22-1,"")</f>
        <v/>
      </c>
      <c r="I33" s="23">
        <f>IFERROR(subQ!I22/subQ!H22-1,"")</f>
        <v/>
      </c>
      <c r="J33" s="24" t="n">
        <v>-0</v>
      </c>
      <c r="K33" s="24" t="n">
        <v>0</v>
      </c>
      <c r="L33" s="25" t="n"/>
      <c r="M33" s="24" t="n">
        <v>0</v>
      </c>
      <c r="N33" s="24" t="n">
        <v>0</v>
      </c>
      <c r="O33" s="24" t="n">
        <v>0</v>
      </c>
      <c r="P33" s="24" t="n">
        <v>0</v>
      </c>
      <c r="Q33" s="25" t="n"/>
      <c r="R33" s="24" t="n">
        <v>0</v>
      </c>
      <c r="S33" s="24" t="n">
        <v>0</v>
      </c>
      <c r="T33" s="24" t="n">
        <v>0</v>
      </c>
      <c r="U33" s="24" t="n">
        <v>0</v>
      </c>
      <c r="V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2" t="n"/>
      <c r="H34" s="21">
        <f>IFERROR(subQ!H23/subQ!F23-1,"")</f>
        <v/>
      </c>
      <c r="I34" s="23">
        <f>IFERROR(subQ!I23/subQ!H23-1,"")</f>
        <v/>
      </c>
      <c r="J34" s="24" t="n">
        <v>-0.018409</v>
      </c>
      <c r="K34" s="24" t="n">
        <v>-0.018633</v>
      </c>
      <c r="L34" s="25" t="n"/>
      <c r="M34" s="24" t="n">
        <v>-0.023045</v>
      </c>
      <c r="N34" s="24" t="n">
        <v>0.001174</v>
      </c>
      <c r="O34" s="24" t="n">
        <v>-0.021498</v>
      </c>
      <c r="P34" s="24" t="n">
        <v>-0.021899</v>
      </c>
      <c r="Q34" s="25" t="n"/>
      <c r="R34" s="24" t="n">
        <v>-0.026822</v>
      </c>
      <c r="S34" s="24" t="n">
        <v>-0.001057</v>
      </c>
      <c r="T34" s="24" t="n">
        <v>-0.0255</v>
      </c>
      <c r="U34" s="24" t="n">
        <v>-0.026167</v>
      </c>
      <c r="V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2" t="n"/>
      <c r="H35" s="21">
        <f>IFERROR(subQ!H24/subQ!F24-1,"")</f>
        <v/>
      </c>
      <c r="I35" s="23">
        <f>IFERROR(subQ!I24/subQ!H24-1,"")</f>
        <v/>
      </c>
      <c r="J35" s="24" t="n">
        <v>0.16251</v>
      </c>
      <c r="K35" s="24" t="n">
        <v>0.138665</v>
      </c>
      <c r="L35" s="25" t="n"/>
      <c r="M35" s="24" t="n">
        <v>0.148137</v>
      </c>
      <c r="N35" s="24" t="n">
        <v>-0.006413</v>
      </c>
      <c r="O35" s="24" t="n">
        <v>0.118368</v>
      </c>
      <c r="P35" s="24" t="n">
        <v>0.105494</v>
      </c>
      <c r="Q35" s="25" t="n"/>
      <c r="R35" s="24" t="n">
        <v>0.114324</v>
      </c>
      <c r="S35" s="24" t="n">
        <v>0.003935</v>
      </c>
      <c r="T35" s="24" t="n">
        <v>0.094447</v>
      </c>
      <c r="U35" s="24" t="n">
        <v>0.086297</v>
      </c>
      <c r="V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2" t="n"/>
      <c r="H36" s="21">
        <f>IFERROR(subQ!H25/subQ!F25-1,"")</f>
        <v/>
      </c>
      <c r="I36" s="23">
        <f>IFERROR(subQ!I25/subQ!H25-1,"")</f>
        <v/>
      </c>
      <c r="J36" s="31" t="n"/>
      <c r="K36" s="31" t="n"/>
      <c r="L36" s="25" t="n"/>
      <c r="M36" s="31" t="n"/>
      <c r="N36" s="31" t="n"/>
      <c r="O36" s="31" t="n"/>
      <c r="P36" s="31" t="n"/>
      <c r="Q36" s="25" t="n"/>
      <c r="R36" s="31" t="n"/>
      <c r="S36" s="31" t="n"/>
      <c r="T36" s="31" t="n"/>
      <c r="U36" s="31" t="n"/>
      <c r="V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2" t="n"/>
      <c r="H37" s="21" t="n"/>
      <c r="I37" s="23" t="n"/>
      <c r="J37" s="31" t="n"/>
      <c r="K37" s="31" t="n"/>
      <c r="L37" s="25" t="n"/>
      <c r="M37" s="31" t="n"/>
      <c r="N37" s="31" t="n"/>
      <c r="O37" s="31" t="n"/>
      <c r="P37" s="31" t="n"/>
      <c r="Q37" s="25" t="n"/>
      <c r="R37" s="31" t="n"/>
      <c r="S37" s="31" t="n"/>
      <c r="T37" s="31" t="n"/>
      <c r="U37" s="31" t="n"/>
      <c r="V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2" t="n"/>
      <c r="H38" s="21" t="n"/>
      <c r="I38" s="23" t="n"/>
      <c r="J38" s="31" t="n"/>
      <c r="K38" s="31" t="n"/>
      <c r="L38" s="25" t="n"/>
      <c r="M38" s="31" t="n"/>
      <c r="N38" s="31" t="n"/>
      <c r="O38" s="31" t="n"/>
      <c r="P38" s="31" t="n"/>
      <c r="Q38" s="25" t="n"/>
      <c r="R38" s="31" t="n"/>
      <c r="S38" s="31" t="n"/>
      <c r="T38" s="31" t="n"/>
      <c r="U38" s="31" t="n"/>
      <c r="V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2" t="n"/>
      <c r="H39" s="21">
        <f>IFERROR(subQ!H28/subQ!F28-1,"")</f>
        <v/>
      </c>
      <c r="I39" s="23">
        <f>IFERROR(subQ!I28/subQ!H28-1,"")</f>
        <v/>
      </c>
      <c r="J39" s="24" t="n">
        <v>0</v>
      </c>
      <c r="K39" s="24" t="n">
        <v>0</v>
      </c>
      <c r="L39" s="25" t="n"/>
      <c r="M39" s="24" t="n">
        <v>0</v>
      </c>
      <c r="N39" s="24" t="n">
        <v>0</v>
      </c>
      <c r="O39" s="24" t="n">
        <v>0</v>
      </c>
      <c r="P39" s="24" t="n">
        <v>0</v>
      </c>
      <c r="Q39" s="25" t="n"/>
      <c r="R39" s="24" t="n">
        <v>0</v>
      </c>
      <c r="S39" s="24" t="n">
        <v>0</v>
      </c>
      <c r="T39" s="24" t="n">
        <v>0</v>
      </c>
      <c r="U39" s="24" t="n">
        <v>0</v>
      </c>
      <c r="V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2" t="n"/>
      <c r="H40" s="21" t="n"/>
      <c r="I40" s="23" t="n"/>
      <c r="J40" s="31" t="n"/>
      <c r="K40" s="24" t="n">
        <v>0</v>
      </c>
      <c r="L40" s="25" t="n"/>
      <c r="M40" s="31" t="n"/>
      <c r="N40" s="31" t="n"/>
      <c r="O40" s="31" t="n"/>
      <c r="P40" s="24" t="n">
        <v>0</v>
      </c>
      <c r="Q40" s="25" t="n"/>
      <c r="R40" s="31" t="n"/>
      <c r="S40" s="31" t="n"/>
      <c r="T40" s="31" t="n"/>
      <c r="U40" s="24" t="n">
        <v>0</v>
      </c>
      <c r="V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2" t="n"/>
      <c r="H41" s="21" t="n"/>
      <c r="I41" s="23" t="n"/>
      <c r="J41" s="31" t="n"/>
      <c r="K41" s="31" t="n"/>
      <c r="L41" s="25" t="n"/>
      <c r="M41" s="31" t="n"/>
      <c r="N41" s="24" t="n">
        <v>-0.679903</v>
      </c>
      <c r="O41" s="24" t="n">
        <v>-0.614824</v>
      </c>
      <c r="P41" s="24" t="n">
        <v>0.343226</v>
      </c>
      <c r="Q41" s="25" t="n"/>
      <c r="R41" s="24" t="n">
        <v>0.099744</v>
      </c>
      <c r="S41" s="24" t="n">
        <v>-0.084157</v>
      </c>
      <c r="T41" s="24" t="n">
        <v>-0.085174</v>
      </c>
      <c r="U41" s="24" t="n">
        <v>-0.086455</v>
      </c>
      <c r="V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2" t="n"/>
      <c r="H42" s="21" t="n"/>
      <c r="I42" s="23" t="n"/>
      <c r="J42" s="31" t="n"/>
      <c r="K42" s="24" t="n">
        <v>-0.297561</v>
      </c>
      <c r="L42" s="25" t="n"/>
      <c r="M42" s="24" t="n">
        <v>-0.169096</v>
      </c>
      <c r="N42" s="24" t="n">
        <v>-0.4334</v>
      </c>
      <c r="O42" s="24" t="n">
        <v>-0.024138</v>
      </c>
      <c r="P42" s="24" t="n">
        <v>-0.024306</v>
      </c>
      <c r="Q42" s="25" t="n"/>
      <c r="R42" s="24" t="n">
        <v>-0.024561</v>
      </c>
      <c r="S42" s="24" t="n">
        <v>-0.024561</v>
      </c>
      <c r="T42" s="24" t="n">
        <v>-0.024735</v>
      </c>
      <c r="U42" s="24" t="n">
        <v>-0.024911</v>
      </c>
      <c r="V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2">
        <f>IFERROR(subQ!G34/subQ!G5,"")</f>
        <v/>
      </c>
      <c r="H43" s="21">
        <f>IFERROR(subQ!H34/subQ!H5,"")</f>
        <v/>
      </c>
      <c r="I43" s="23">
        <f>IFERROR(subQ!I34/subQ!I5,"")</f>
        <v/>
      </c>
      <c r="J43" s="24" t="n">
        <v>1</v>
      </c>
      <c r="K43" s="24" t="n">
        <v>1</v>
      </c>
      <c r="L43" s="25">
        <f>IFERROR(subQ!L34/subQ!L5,"")</f>
        <v/>
      </c>
      <c r="M43" s="24" t="n">
        <v>1</v>
      </c>
      <c r="N43" s="24" t="n">
        <v>1</v>
      </c>
      <c r="O43" s="24" t="n">
        <v>1</v>
      </c>
      <c r="P43" s="24" t="n">
        <v>1</v>
      </c>
      <c r="Q43" s="25">
        <f>IFERROR(subQ!Q34/subQ!Q5,"")</f>
        <v/>
      </c>
      <c r="R43" s="24" t="n">
        <v>1</v>
      </c>
      <c r="S43" s="24" t="n">
        <v>1</v>
      </c>
      <c r="T43" s="24" t="n">
        <v>1</v>
      </c>
      <c r="U43" s="24" t="n">
        <v>1</v>
      </c>
      <c r="V43" s="25">
        <f>IFERROR(subQ!V34/subQ!V5,"")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2">
        <f>IFERROR(subQ!G35/subQ!G34,"")</f>
        <v/>
      </c>
      <c r="H44" s="21">
        <f>IFERROR(subQ!H35/subQ!H34,"")</f>
        <v/>
      </c>
      <c r="I44" s="23">
        <f>IFERROR(subQ!I35/subQ!I34,"")</f>
        <v/>
      </c>
      <c r="J44" s="24" t="n">
        <v>0.011498</v>
      </c>
      <c r="K44" s="24" t="n">
        <v>0.011503</v>
      </c>
      <c r="L44" s="25">
        <f>IFERROR(subQ!L35/subQ!L34,"")</f>
        <v/>
      </c>
      <c r="M44" s="24" t="n">
        <v>0.011496</v>
      </c>
      <c r="N44" s="24" t="n">
        <v>0.0115</v>
      </c>
      <c r="O44" s="24" t="n">
        <v>0.011498</v>
      </c>
      <c r="P44" s="24" t="n">
        <v>0.011503</v>
      </c>
      <c r="Q44" s="25">
        <f>IFERROR(subQ!Q35/subQ!Q34,"")</f>
        <v/>
      </c>
      <c r="R44" s="24" t="n">
        <v>0.011496</v>
      </c>
      <c r="S44" s="24" t="n">
        <v>0.0115</v>
      </c>
      <c r="T44" s="24" t="n">
        <v>0.011498</v>
      </c>
      <c r="U44" s="24" t="n">
        <v>0.011503</v>
      </c>
      <c r="V44" s="25">
        <f>IFERROR(subQ!V35/subQ!V34,"")</f>
        <v/>
      </c>
    </row>
    <row r="45"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B46" s="1" t="inlineStr">
        <is>
          <t>3. 밸류에이션·스칼라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13900</v>
      </c>
      <c r="E47" s="2" t="inlineStr">
        <is>
          <t>원 — aikstockdata(금융위 T+1)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1개 &lt; 4)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0.27</v>
      </c>
      <c r="E54" s="2" t="inlineStr">
        <is>
          <t>법인세율 가정(참고 — 추정 수식은 드라이버 행 참조)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0.0639</v>
      </c>
      <c r="E55" s="2" t="inlineStr">
        <is>
          <t>판관비율 가정(참고)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4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4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4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4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4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4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4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4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4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4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4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4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4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4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4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G27" s="9" t="n"/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단기사채</t>
        </is>
      </c>
      <c r="E28" s="18" t="n">
        <v>0</v>
      </c>
      <c r="F28" s="18" t="n">
        <v>0</v>
      </c>
      <c r="G28" s="34" t="n">
        <v>0</v>
      </c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당기법인세부채(미지급법인세)</t>
        </is>
      </c>
      <c r="E29" s="18" t="n">
        <v>969.84</v>
      </c>
      <c r="F29" s="18" t="n">
        <v>540.87</v>
      </c>
      <c r="G29" s="34" t="n">
        <v>540.87</v>
      </c>
      <c r="H29" s="18" t="n">
        <v>1273.2</v>
      </c>
      <c r="I29" s="19" t="n">
        <v>2359.86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단기파생상품부채</t>
        </is>
      </c>
      <c r="E30" s="18" t="n">
        <v>27.39</v>
      </c>
      <c r="F30" s="18" t="n">
        <v>91.76000000000001</v>
      </c>
      <c r="G30" s="34" t="n">
        <v>91.76000000000001</v>
      </c>
      <c r="H30" s="18" t="n">
        <v>477.27</v>
      </c>
      <c r="I30" s="19" t="n">
        <v>1081.83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221.41</v>
      </c>
      <c r="F31" s="18" t="n">
        <v>349.52</v>
      </c>
      <c r="G31" s="34" t="n">
        <v>349.52</v>
      </c>
      <c r="H31" s="18" t="n">
        <v>980.0700000000001</v>
      </c>
      <c r="I31" s="19" t="n">
        <v>1468.78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기타유동금융부채</t>
        </is>
      </c>
      <c r="E32" s="18" t="n">
        <v>194.02</v>
      </c>
      <c r="F32" s="18" t="n">
        <v>257.76</v>
      </c>
      <c r="G32" s="34" t="n">
        <v>257.76</v>
      </c>
      <c r="H32" s="18" t="n">
        <v>502.8</v>
      </c>
      <c r="I32" s="19" t="n">
        <v>386.95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기타유동부채</t>
        </is>
      </c>
      <c r="E33" s="18" t="n">
        <v>1318.25</v>
      </c>
      <c r="F33" s="18" t="n">
        <v>2161.18</v>
      </c>
      <c r="G33" s="34" t="n">
        <v>2161.18</v>
      </c>
      <c r="H33" s="18" t="n">
        <v>2814.77</v>
      </c>
      <c r="I33" s="19" t="n">
        <v>2185.72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단기충당부채</t>
        </is>
      </c>
      <c r="E34" s="18" t="n">
        <v>26.22</v>
      </c>
      <c r="F34" s="18" t="n">
        <v>146.65</v>
      </c>
      <c r="G34" s="34" t="n">
        <v>146.65</v>
      </c>
      <c r="H34" s="18" t="n">
        <v>121.1</v>
      </c>
      <c r="I34" s="19" t="n">
        <v>154.13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비유동부채</t>
        </is>
      </c>
      <c r="E35" s="18" t="n">
        <v>19147.12</v>
      </c>
      <c r="F35" s="18" t="n">
        <v>16612.81</v>
      </c>
      <c r="G35" s="34" t="n">
        <v>16612.81</v>
      </c>
      <c r="H35" s="18" t="n">
        <v>16939.71</v>
      </c>
      <c r="I35" s="19" t="n">
        <v>5663.1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장기차입금</t>
        </is>
      </c>
      <c r="E36" s="18" t="n">
        <v>12456.52</v>
      </c>
      <c r="F36" s="18" t="n">
        <v>11869.57</v>
      </c>
      <c r="G36" s="34" t="n">
        <v>11869.57</v>
      </c>
      <c r="H36" s="18" t="n">
        <v>11282.61</v>
      </c>
      <c r="I36" s="19" t="n">
        <v>0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사채</t>
        </is>
      </c>
      <c r="E37" s="18" t="n">
        <v>0</v>
      </c>
      <c r="F37" s="18" t="n">
        <v>0</v>
      </c>
      <c r="G37" s="34" t="n">
        <v>0</v>
      </c>
      <c r="I37" s="5" t="n"/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비유동리스부채</t>
        </is>
      </c>
      <c r="E38" s="18" t="n">
        <v>2651.78</v>
      </c>
      <c r="F38" s="18" t="n">
        <v>2211.71</v>
      </c>
      <c r="G38" s="34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리스부채</t>
        </is>
      </c>
      <c r="E39" s="18" t="n">
        <v>2651.78</v>
      </c>
      <c r="F39" s="18" t="n">
        <v>2211.71</v>
      </c>
      <c r="G39" s="34" t="n">
        <v>2211.71</v>
      </c>
      <c r="H39" s="18" t="n">
        <v>2646.72</v>
      </c>
      <c r="I39" s="19" t="n">
        <v>2830.49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장기금융부채</t>
        </is>
      </c>
      <c r="E40" s="18" t="n">
        <v>2651.78</v>
      </c>
      <c r="F40" s="18" t="n">
        <v>2211.71</v>
      </c>
      <c r="G40" s="34" t="n">
        <v>2211.71</v>
      </c>
      <c r="H40" s="18" t="n">
        <v>2646.72</v>
      </c>
      <c r="I40" s="19" t="n">
        <v>2838.19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4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4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4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4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4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4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4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4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4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4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4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4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기타비유동금융부채</t>
        </is>
      </c>
      <c r="G56" s="9" t="n"/>
      <c r="I56" s="19" t="n">
        <v>7.7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매출액(수익)</t>
        </is>
      </c>
      <c r="E57" s="18" t="n">
        <v>79753.77</v>
      </c>
      <c r="F57" s="18" t="n">
        <v>75889.84</v>
      </c>
      <c r="G57" s="9" t="n"/>
      <c r="H57" s="18" t="n">
        <v>93948.7</v>
      </c>
      <c r="I57" s="19" t="n">
        <v>106351.59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매출원가</t>
        </is>
      </c>
      <c r="E58" s="18" t="n">
        <v>73012.52</v>
      </c>
      <c r="F58" s="18" t="n">
        <v>71475.97</v>
      </c>
      <c r="G58" s="9" t="n"/>
      <c r="H58" s="18" t="n">
        <v>87961.85000000001</v>
      </c>
      <c r="I58" s="19" t="n">
        <v>98529.73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매출총이익</t>
        </is>
      </c>
      <c r="E59" s="18" t="n">
        <v>6741.24</v>
      </c>
      <c r="F59" s="18" t="n">
        <v>4413.87</v>
      </c>
      <c r="G59" s="9" t="n"/>
      <c r="H59" s="18" t="n">
        <v>5986.86</v>
      </c>
      <c r="I59" s="19" t="n">
        <v>7821.86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판관비</t>
        </is>
      </c>
      <c r="E60" s="18" t="n">
        <v>5328.4</v>
      </c>
      <c r="F60" s="18" t="n">
        <v>6518.01</v>
      </c>
      <c r="G60" s="9" t="n"/>
      <c r="H60" s="18" t="n">
        <v>5011.48</v>
      </c>
      <c r="I60" s="19" t="n">
        <v>6480.33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영업이익</t>
        </is>
      </c>
      <c r="E61" s="18" t="n">
        <v>1412.84</v>
      </c>
      <c r="F61" s="18" t="n">
        <v>-2104.13</v>
      </c>
      <c r="G61" s="9" t="n"/>
      <c r="H61" s="18" t="n">
        <v>975.37</v>
      </c>
      <c r="I61" s="19" t="n">
        <v>1341.53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기타영업외수익</t>
        </is>
      </c>
      <c r="E62" s="18" t="n">
        <v>710.61</v>
      </c>
      <c r="F62" s="18" t="n">
        <v>657.2</v>
      </c>
      <c r="G62" s="9" t="n"/>
      <c r="H62" s="18" t="n">
        <v>1926.14</v>
      </c>
      <c r="I62" s="19" t="n">
        <v>1196.93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기타영업외비용</t>
        </is>
      </c>
      <c r="E63" s="18" t="n">
        <v>-120.95</v>
      </c>
      <c r="F63" s="18" t="n">
        <v>359.24</v>
      </c>
      <c r="G63" s="9" t="n"/>
      <c r="H63" s="18" t="n">
        <v>1138.7</v>
      </c>
      <c r="I63" s="19" t="n">
        <v>546.11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금융수익</t>
        </is>
      </c>
      <c r="E64" s="18" t="n">
        <v>1154.15</v>
      </c>
      <c r="F64" s="18" t="n">
        <v>1840.42</v>
      </c>
      <c r="G64" s="9" t="n"/>
      <c r="H64" s="18" t="n">
        <v>3559.84</v>
      </c>
      <c r="I64" s="19" t="n">
        <v>3258.53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금융비용</t>
        </is>
      </c>
      <c r="E65" s="18" t="n">
        <v>1013.57</v>
      </c>
      <c r="F65" s="18" t="n">
        <v>2040.48</v>
      </c>
      <c r="G65" s="9" t="n"/>
      <c r="H65" s="18" t="n">
        <v>2511.89</v>
      </c>
      <c r="I65" s="19" t="n">
        <v>2357.13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법인세비용차감전계속사업이익</t>
        </is>
      </c>
      <c r="E66" s="18" t="n">
        <v>2385</v>
      </c>
      <c r="F66" s="18" t="n">
        <v>-2006.23</v>
      </c>
      <c r="G66" s="9" t="n"/>
      <c r="H66" s="18" t="n">
        <v>2810.77</v>
      </c>
      <c r="I66" s="19" t="n">
        <v>2893.75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</t>
        </is>
      </c>
      <c r="E67" s="18" t="n">
        <v>396.95</v>
      </c>
      <c r="F67" s="18" t="n">
        <v>125.4</v>
      </c>
      <c r="G67" s="9" t="n"/>
      <c r="H67" s="18" t="n">
        <v>974.58</v>
      </c>
      <c r="I67" s="19" t="n">
        <v>1121.25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계속사업이익</t>
        </is>
      </c>
      <c r="E68" s="18" t="n">
        <v>1988.05</v>
      </c>
      <c r="F68" s="18" t="n">
        <v>-2131.63</v>
      </c>
      <c r="G68" s="9" t="n"/>
      <c r="H68" s="18" t="n">
        <v>1836.18</v>
      </c>
      <c r="I68" s="19" t="n">
        <v>1772.51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중단사업이익</t>
        </is>
      </c>
      <c r="E69" s="18" t="n">
        <v>-832.02</v>
      </c>
      <c r="F69" s="18" t="n">
        <v>-933.97</v>
      </c>
      <c r="G69" s="9" t="n"/>
      <c r="H69" s="18" t="n">
        <v>0</v>
      </c>
      <c r="I69" s="5" t="n"/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당기순이익</t>
        </is>
      </c>
      <c r="E70" s="18" t="n">
        <v>1156.03</v>
      </c>
      <c r="F70" s="18" t="n">
        <v>-3065.6</v>
      </c>
      <c r="G70" s="9" t="n"/>
      <c r="H70" s="18" t="n">
        <v>1836.18</v>
      </c>
      <c r="I70" s="19" t="n">
        <v>1772.51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(지배주주지분)당기순이익</t>
        </is>
      </c>
      <c r="E71" s="18" t="n">
        <v>1174.31</v>
      </c>
      <c r="F71" s="18" t="n">
        <v>-3016.29</v>
      </c>
      <c r="G71" s="9" t="n"/>
      <c r="H71" s="18" t="n">
        <v>1878.36</v>
      </c>
      <c r="I71" s="19" t="n">
        <v>1804.68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(비지배주주지분)당기순이익</t>
        </is>
      </c>
      <c r="E72" s="18" t="n">
        <v>-18.28</v>
      </c>
      <c r="F72" s="18" t="n">
        <v>-49.32</v>
      </c>
      <c r="G72" s="9" t="n"/>
      <c r="H72" s="18" t="n">
        <v>-42.17</v>
      </c>
      <c r="I72" s="19" t="n">
        <v>-32.18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140.58</v>
      </c>
      <c r="F73" s="18" t="n">
        <v>-200.06</v>
      </c>
      <c r="G73" s="9" t="n"/>
      <c r="H73" s="18" t="n">
        <v>1047.95</v>
      </c>
      <c r="I73" s="19" t="n">
        <v>901.4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831.5599999999999</v>
      </c>
      <c r="F74" s="18" t="n">
        <v>297.96</v>
      </c>
      <c r="G74" s="9" t="n"/>
      <c r="H74" s="18" t="n">
        <v>787.4400000000001</v>
      </c>
      <c r="I74" s="19" t="n">
        <v>650.8200000000001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1334.32</v>
      </c>
      <c r="F75" s="18" t="n">
        <v>-3428.92</v>
      </c>
      <c r="G75" s="9" t="n"/>
      <c r="H75" s="18" t="n">
        <v>1997.71</v>
      </c>
      <c r="I75" s="19" t="n">
        <v>1873.25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영업활동으로인한현금흐름</t>
        </is>
      </c>
      <c r="E76" s="18" t="n">
        <v>3179.86</v>
      </c>
      <c r="F76" s="18" t="n">
        <v>1701.41</v>
      </c>
      <c r="G76" s="9" t="n"/>
      <c r="H76" s="18" t="n">
        <v>-11848.54</v>
      </c>
      <c r="I76" s="19" t="n">
        <v>-1220.13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이자수취(CF)</t>
        </is>
      </c>
      <c r="E77" s="18" t="n">
        <v>464.21</v>
      </c>
      <c r="F77" s="18" t="n">
        <v>229.89</v>
      </c>
      <c r="G77" s="9" t="n"/>
      <c r="H77" s="18" t="n">
        <v>79.79000000000001</v>
      </c>
      <c r="I77" s="19" t="n">
        <v>283.24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법인세납부(CF)</t>
        </is>
      </c>
      <c r="E78" s="18" t="n">
        <v>-463.69</v>
      </c>
      <c r="F78" s="18" t="n">
        <v>-28.77</v>
      </c>
      <c r="G78" s="9" t="n"/>
      <c r="H78" s="18" t="n">
        <v>-18.37</v>
      </c>
      <c r="I78" s="19" t="n">
        <v>-259.35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투자활동으로인한현금흐름</t>
        </is>
      </c>
      <c r="E79" s="18" t="n">
        <v>16813.94</v>
      </c>
      <c r="F79" s="18" t="n">
        <v>-28713.83</v>
      </c>
      <c r="G79" s="9" t="n"/>
      <c r="H79" s="18" t="n">
        <v>8511.07</v>
      </c>
      <c r="I79" s="19" t="n">
        <v>9091.24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무형자산의감소</t>
        </is>
      </c>
      <c r="E80" s="18" t="n">
        <v>100</v>
      </c>
      <c r="F80" s="18" t="n">
        <v>0</v>
      </c>
      <c r="G80" s="9" t="n"/>
      <c r="I80" s="5" t="n"/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유형자산의증가</t>
        </is>
      </c>
      <c r="E81" s="18" t="n">
        <v>736.35</v>
      </c>
      <c r="F81" s="18" t="n">
        <v>208.8</v>
      </c>
      <c r="G81" s="9" t="n"/>
      <c r="H81" s="18" t="n">
        <v>567.22</v>
      </c>
      <c r="I81" s="19" t="n">
        <v>817.3200000000001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CAPEX</t>
        </is>
      </c>
      <c r="E82" s="18" t="n">
        <v>2021.74</v>
      </c>
      <c r="F82" s="18" t="n">
        <v>196.04</v>
      </c>
      <c r="G82" s="9" t="n"/>
      <c r="H82" s="18" t="n">
        <v>610.92</v>
      </c>
      <c r="I82" s="19" t="n">
        <v>844.08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무형자산의증가</t>
        </is>
      </c>
      <c r="E83" s="18" t="n">
        <v>1285.39</v>
      </c>
      <c r="G83" s="9" t="n"/>
      <c r="H83" s="18" t="n">
        <v>43.7</v>
      </c>
      <c r="I83" s="19" t="n">
        <v>26.76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재무활동으로인한현금흐름</t>
        </is>
      </c>
      <c r="E84" s="18" t="n">
        <v>-16850.22</v>
      </c>
      <c r="F84" s="18" t="n">
        <v>32068.43</v>
      </c>
      <c r="G84" s="9" t="n"/>
      <c r="H84" s="18" t="n">
        <v>-5311.51</v>
      </c>
      <c r="I84" s="19" t="n">
        <v>-6176.05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단기차입금의증가</t>
        </is>
      </c>
      <c r="E85" s="18" t="n">
        <v>2357.49</v>
      </c>
      <c r="F85" s="18" t="n">
        <v>4679.08</v>
      </c>
      <c r="G85" s="9" t="n"/>
      <c r="H85" s="18" t="n">
        <v>22964.87</v>
      </c>
      <c r="I85" s="19" t="n">
        <v>72936.17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단기차입금의감소</t>
        </is>
      </c>
      <c r="E86" s="18" t="n">
        <v>4025.91</v>
      </c>
      <c r="F86" s="18" t="n">
        <v>10388.44</v>
      </c>
      <c r="G86" s="9" t="n"/>
      <c r="H86" s="18" t="n">
        <v>27287.15</v>
      </c>
      <c r="I86" s="19" t="n">
        <v>76976.16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유동성장기부채의감소</t>
        </is>
      </c>
      <c r="E87" s="18" t="n">
        <v>195.65</v>
      </c>
      <c r="F87" s="18" t="n">
        <v>586.96</v>
      </c>
      <c r="G87" s="9" t="n"/>
      <c r="H87" s="18" t="n">
        <v>586.96</v>
      </c>
      <c r="I87" s="19" t="n">
        <v>586.95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사채의감소</t>
        </is>
      </c>
      <c r="E88" s="18" t="n">
        <v>10500</v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현금및현금성자산의증감</t>
        </is>
      </c>
      <c r="E89" s="18" t="n">
        <v>3143.58</v>
      </c>
      <c r="F89" s="18" t="n">
        <v>5056.02</v>
      </c>
      <c r="G89" s="9" t="n"/>
      <c r="H89" s="18" t="n">
        <v>-8648.99</v>
      </c>
      <c r="I89" s="19" t="n">
        <v>1695.07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기말현금및현금성자산</t>
        </is>
      </c>
      <c r="E90" s="18" t="n">
        <v>3218.76</v>
      </c>
      <c r="F90" s="18" t="n">
        <v>4965.64</v>
      </c>
      <c r="G90" s="9" t="n"/>
      <c r="H90" s="18" t="n">
        <v>1934.29</v>
      </c>
      <c r="I90" s="19" t="n">
        <v>1670.48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유형자산의감소</t>
        </is>
      </c>
      <c r="F91" s="18" t="n">
        <v>109.7</v>
      </c>
      <c r="G91" s="9" t="n"/>
      <c r="H91" s="18" t="n">
        <v>0</v>
      </c>
      <c r="I91" s="19" t="n">
        <v>2.68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장기차입금의증가</t>
        </is>
      </c>
      <c r="F92" s="18" t="n">
        <v>0</v>
      </c>
      <c r="G92" s="9" t="n"/>
      <c r="I92" s="5" t="n"/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사채의증가</t>
        </is>
      </c>
      <c r="F93" s="18" t="n">
        <v>0</v>
      </c>
      <c r="G93" s="9" t="n"/>
      <c r="I93" s="5" t="n"/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4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4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4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4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4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4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4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4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4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4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4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4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4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4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4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4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4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G27" s="9" t="n"/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단기사채</t>
        </is>
      </c>
      <c r="E29" s="18" t="n">
        <v>0</v>
      </c>
      <c r="G29" s="9" t="n"/>
      <c r="I29" s="5" t="n"/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유동리스부채</t>
        </is>
      </c>
      <c r="E30" s="18" t="n">
        <v>448.08</v>
      </c>
      <c r="F30" s="18" t="n">
        <v>388.84</v>
      </c>
      <c r="G30" s="34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리스부채</t>
        </is>
      </c>
      <c r="E31" s="18" t="n">
        <v>448.08</v>
      </c>
      <c r="F31" s="18" t="n">
        <v>388.84</v>
      </c>
      <c r="G31" s="34" t="n">
        <v>388.84</v>
      </c>
      <c r="H31" s="18" t="n">
        <v>339.75</v>
      </c>
      <c r="I31" s="19" t="n">
        <v>507.37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단기금융부채</t>
        </is>
      </c>
      <c r="E32" s="18" t="n">
        <v>669.49</v>
      </c>
      <c r="F32" s="18" t="n">
        <v>738.36</v>
      </c>
      <c r="G32" s="34" t="n">
        <v>738.36</v>
      </c>
      <c r="H32" s="18" t="n">
        <v>1476.01</v>
      </c>
      <c r="I32" s="19" t="n">
        <v>1995.96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당기법인세부채(미지급법인세)</t>
        </is>
      </c>
      <c r="E33" s="18" t="n">
        <v>969.84</v>
      </c>
      <c r="F33" s="18" t="n">
        <v>540.87</v>
      </c>
      <c r="G33" s="34" t="n">
        <v>540.87</v>
      </c>
      <c r="H33" s="18" t="n">
        <v>1273.2</v>
      </c>
      <c r="I33" s="19" t="n">
        <v>2359.86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단기파생상품부채</t>
        </is>
      </c>
      <c r="E34" s="18" t="n">
        <v>27.39</v>
      </c>
      <c r="F34" s="18" t="n">
        <v>91.76000000000001</v>
      </c>
      <c r="G34" s="34" t="n">
        <v>91.76000000000001</v>
      </c>
      <c r="H34" s="18" t="n">
        <v>477.27</v>
      </c>
      <c r="I34" s="19" t="n">
        <v>1081.83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기타유동금융부채</t>
        </is>
      </c>
      <c r="E35" s="18" t="n">
        <v>194.02</v>
      </c>
      <c r="F35" s="18" t="n">
        <v>257.76</v>
      </c>
      <c r="G35" s="34" t="n">
        <v>257.76</v>
      </c>
      <c r="H35" s="18" t="n">
        <v>658.99</v>
      </c>
      <c r="I35" s="19" t="n">
        <v>406.76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기타유동부채</t>
        </is>
      </c>
      <c r="E36" s="18" t="n">
        <v>1191.88</v>
      </c>
      <c r="F36" s="18" t="n">
        <v>1748.3</v>
      </c>
      <c r="G36" s="34" t="n">
        <v>1748.3</v>
      </c>
      <c r="H36" s="18" t="n">
        <v>2396.34</v>
      </c>
      <c r="I36" s="19" t="n">
        <v>1680.73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단기충당부채</t>
        </is>
      </c>
      <c r="E37" s="18" t="n">
        <v>10.34</v>
      </c>
      <c r="F37" s="18" t="n">
        <v>133.01</v>
      </c>
      <c r="G37" s="34" t="n">
        <v>133.01</v>
      </c>
      <c r="H37" s="18" t="n">
        <v>93.14</v>
      </c>
      <c r="I37" s="19" t="n">
        <v>100.1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비유동부채</t>
        </is>
      </c>
      <c r="E38" s="18" t="n">
        <v>16088.11</v>
      </c>
      <c r="F38" s="18" t="n">
        <v>12895.61</v>
      </c>
      <c r="G38" s="34" t="n">
        <v>12895.61</v>
      </c>
      <c r="H38" s="18" t="n">
        <v>12700.91</v>
      </c>
      <c r="I38" s="19" t="n">
        <v>2186.29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장기차입금</t>
        </is>
      </c>
      <c r="E39" s="18" t="n">
        <v>12456.52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사채</t>
        </is>
      </c>
      <c r="E40" s="18" t="n">
        <v>0</v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확정급여부채</t>
        </is>
      </c>
      <c r="E41" s="18" t="n">
        <v>2717.67</v>
      </c>
      <c r="F41" s="18" t="n">
        <v>86.01000000000001</v>
      </c>
      <c r="G41" s="34" t="n">
        <v>86.01000000000001</v>
      </c>
      <c r="H41" s="18" t="n">
        <v>578.51</v>
      </c>
      <c r="I41" s="19" t="n">
        <v>901.41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장기충당부채</t>
        </is>
      </c>
      <c r="E42" s="18" t="n">
        <v>187.13</v>
      </c>
      <c r="F42" s="18" t="n">
        <v>242.39</v>
      </c>
      <c r="G42" s="34" t="n">
        <v>242.39</v>
      </c>
      <c r="H42" s="18" t="n">
        <v>45.68</v>
      </c>
      <c r="I42" s="19" t="n">
        <v>56.17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부채총계</t>
        </is>
      </c>
      <c r="E43" s="18" t="n">
        <v>107062.9</v>
      </c>
      <c r="F43" s="18" t="n">
        <v>111325.11</v>
      </c>
      <c r="G43" s="34" t="n">
        <v>111325.11</v>
      </c>
      <c r="H43" s="18" t="n">
        <v>104632.48</v>
      </c>
      <c r="I43" s="19" t="n">
        <v>102081.54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7430.19</v>
      </c>
      <c r="F46" s="18" t="n">
        <v>7430.19</v>
      </c>
      <c r="G46" s="34" t="n">
        <v>7430.19</v>
      </c>
      <c r="H46" s="18" t="n">
        <v>7430.19</v>
      </c>
      <c r="I46" s="19" t="n">
        <v>7430.19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-420.46</v>
      </c>
      <c r="F47" s="18" t="n">
        <v>209.12</v>
      </c>
      <c r="G47" s="34" t="n">
        <v>209.12</v>
      </c>
      <c r="H47" s="18" t="n">
        <v>209.12</v>
      </c>
      <c r="I47" s="19" t="n">
        <v>209.12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51190.05</v>
      </c>
      <c r="F48" s="18" t="n">
        <v>49294.84</v>
      </c>
      <c r="G48" s="34" t="n">
        <v>49294.84</v>
      </c>
      <c r="H48" s="18" t="n">
        <v>51656.44</v>
      </c>
      <c r="I48" s="19" t="n">
        <v>55725.88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자본총계</t>
        </is>
      </c>
      <c r="E49" s="18" t="n">
        <v>80228.81</v>
      </c>
      <c r="F49" s="18" t="n">
        <v>117535.94</v>
      </c>
      <c r="G49" s="34" t="n">
        <v>117535.94</v>
      </c>
      <c r="H49" s="18" t="n">
        <v>119897.54</v>
      </c>
      <c r="I49" s="19" t="n">
        <v>123967.32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부채와자본총계</t>
        </is>
      </c>
      <c r="E50" s="18" t="n">
        <v>187291.71</v>
      </c>
      <c r="F50" s="18" t="n">
        <v>228861.05</v>
      </c>
      <c r="G50" s="34" t="n">
        <v>228861.05</v>
      </c>
      <c r="H50" s="18" t="n">
        <v>224530.02</v>
      </c>
      <c r="I50" s="19" t="n">
        <v>226048.87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지배주주지분</t>
        </is>
      </c>
      <c r="E51" s="18" t="n">
        <v>80228.81</v>
      </c>
      <c r="F51" s="18" t="n">
        <v>117535.94</v>
      </c>
      <c r="G51" s="34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62919.38</v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58291.98</v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4664.07</v>
      </c>
      <c r="F54" s="18" t="n">
        <v>9226.620000000001</v>
      </c>
      <c r="G54" s="34" t="n">
        <v>9226.620000000001</v>
      </c>
      <c r="H54" s="18" t="n">
        <v>2318.74</v>
      </c>
      <c r="I54" s="19" t="n">
        <v>3218.92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74528.07000000001</v>
      </c>
      <c r="F56" s="18" t="n">
        <v>73781.16</v>
      </c>
      <c r="G56" s="9" t="n"/>
      <c r="H56" s="18" t="n">
        <v>89557.77</v>
      </c>
      <c r="I56" s="19" t="n">
        <v>100667.04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67811.77</v>
      </c>
      <c r="F57" s="18" t="n">
        <v>69189.67</v>
      </c>
      <c r="G57" s="9" t="n"/>
      <c r="H57" s="18" t="n">
        <v>83419.89999999999</v>
      </c>
      <c r="I57" s="19" t="n">
        <v>92143.08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6716.31</v>
      </c>
      <c r="F58" s="18" t="n">
        <v>4591.5</v>
      </c>
      <c r="G58" s="9" t="n"/>
      <c r="H58" s="18" t="n">
        <v>6137.87</v>
      </c>
      <c r="I58" s="19" t="n">
        <v>8523.959999999999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4553.51</v>
      </c>
      <c r="F59" s="18" t="n">
        <v>5642.54</v>
      </c>
      <c r="G59" s="9" t="n"/>
      <c r="H59" s="18" t="n">
        <v>3692.09</v>
      </c>
      <c r="I59" s="19" t="n">
        <v>5096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2162.79</v>
      </c>
      <c r="F60" s="18" t="n">
        <v>-1051.04</v>
      </c>
      <c r="G60" s="9" t="n"/>
      <c r="H60" s="18" t="n">
        <v>2445.78</v>
      </c>
      <c r="I60" s="19" t="n">
        <v>3427.96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623.38</v>
      </c>
      <c r="F61" s="18" t="n">
        <v>680.17</v>
      </c>
      <c r="G61" s="9" t="n"/>
      <c r="H61" s="18" t="n">
        <v>1849.16</v>
      </c>
      <c r="I61" s="19" t="n">
        <v>1132.13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-98.39</v>
      </c>
      <c r="F62" s="18" t="n">
        <v>320.96</v>
      </c>
      <c r="G62" s="9" t="n"/>
      <c r="H62" s="18" t="n">
        <v>1008.78</v>
      </c>
      <c r="I62" s="19" t="n">
        <v>539.96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1130.63</v>
      </c>
      <c r="F63" s="18" t="n">
        <v>1829.58</v>
      </c>
      <c r="G63" s="9" t="n"/>
      <c r="H63" s="18" t="n">
        <v>3502.43</v>
      </c>
      <c r="I63" s="19" t="n">
        <v>3350.62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913.08</v>
      </c>
      <c r="F64" s="18" t="n">
        <v>1965.31</v>
      </c>
      <c r="G64" s="9" t="n"/>
      <c r="H64" s="18" t="n">
        <v>2348.01</v>
      </c>
      <c r="I64" s="19" t="n">
        <v>2290.12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3102.12</v>
      </c>
      <c r="F65" s="18" t="n">
        <v>-827.5700000000001</v>
      </c>
      <c r="G65" s="9" t="n"/>
      <c r="H65" s="18" t="n">
        <v>4440.58</v>
      </c>
      <c r="I65" s="19" t="n">
        <v>5080.63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2705.17</v>
      </c>
      <c r="F67" s="18" t="n">
        <v>-952.97</v>
      </c>
      <c r="G67" s="9" t="n"/>
      <c r="H67" s="18" t="n">
        <v>3466</v>
      </c>
      <c r="I67" s="19" t="n">
        <v>3959.39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-512.8</v>
      </c>
      <c r="F68" s="18" t="n">
        <v>-500.44</v>
      </c>
      <c r="G68" s="9" t="n"/>
      <c r="H68" s="18" t="n">
        <v>0</v>
      </c>
      <c r="I68" s="19" t="n">
        <v>0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2192.36</v>
      </c>
      <c r="F69" s="18" t="n">
        <v>-1453.4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금융손익</t>
        </is>
      </c>
      <c r="E70" s="18" t="n">
        <v>217.55</v>
      </c>
      <c r="F70" s="18" t="n">
        <v>-135.73</v>
      </c>
      <c r="G70" s="9" t="n"/>
      <c r="H70" s="18" t="n">
        <v>1154.42</v>
      </c>
      <c r="I70" s="19" t="n">
        <v>1060.5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기타영업외손익</t>
        </is>
      </c>
      <c r="E71" s="18" t="n">
        <v>721.77</v>
      </c>
      <c r="F71" s="18" t="n">
        <v>359.21</v>
      </c>
      <c r="G71" s="9" t="n"/>
      <c r="H71" s="18" t="n">
        <v>840.38</v>
      </c>
      <c r="I71" s="19" t="n">
        <v>592.17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(지배주주지분)당기순이익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총포괄손익</t>
        </is>
      </c>
      <c r="E73" s="18" t="n">
        <v>2297.58</v>
      </c>
      <c r="F73" s="18" t="n">
        <v>-1895.2</v>
      </c>
      <c r="G73" s="9" t="n"/>
      <c r="H73" s="18" t="n">
        <v>3553.2</v>
      </c>
      <c r="I73" s="19" t="n">
        <v>4069.44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영업활동으로인한현금흐름</t>
        </is>
      </c>
      <c r="E74" s="18" t="n">
        <v>2857.58</v>
      </c>
      <c r="F74" s="18" t="n">
        <v>1683.89</v>
      </c>
      <c r="G74" s="9" t="n"/>
      <c r="H74" s="18" t="n">
        <v>-8824.940000000001</v>
      </c>
      <c r="I74" s="19" t="n">
        <v>-1669.51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법인세납부(CF)</t>
        </is>
      </c>
      <c r="E75" s="18" t="n">
        <v>-463.69</v>
      </c>
      <c r="F75" s="18" t="n">
        <v>-28.49</v>
      </c>
      <c r="G75" s="9" t="n"/>
      <c r="H75" s="18" t="n">
        <v>-18.37</v>
      </c>
      <c r="I75" s="19" t="n">
        <v>-259.35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투자활동으로인한현금흐름</t>
        </is>
      </c>
      <c r="E76" s="18" t="n">
        <v>17679.8</v>
      </c>
      <c r="F76" s="18" t="n">
        <v>-29560.08</v>
      </c>
      <c r="G76" s="9" t="n"/>
      <c r="H76" s="18" t="n">
        <v>8924.299999999999</v>
      </c>
      <c r="I76" s="19" t="n">
        <v>6399.69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18" t="n">
        <v>8.5</v>
      </c>
      <c r="G77" s="9" t="n"/>
      <c r="H77" s="18" t="n">
        <v>0</v>
      </c>
      <c r="I77" s="19" t="n">
        <v>1.5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유형자산의증가</t>
        </is>
      </c>
      <c r="E78" s="18" t="n">
        <v>205.82</v>
      </c>
      <c r="F78" s="18" t="n">
        <v>48.15</v>
      </c>
      <c r="G78" s="9" t="n"/>
      <c r="H78" s="18" t="n">
        <v>166.45</v>
      </c>
      <c r="I78" s="19" t="n">
        <v>395.7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CAPEX</t>
        </is>
      </c>
      <c r="E79" s="18" t="n">
        <v>1465.8</v>
      </c>
      <c r="F79" s="18" t="n">
        <v>72.18000000000001</v>
      </c>
      <c r="G79" s="9" t="n"/>
      <c r="H79" s="18" t="n">
        <v>210.15</v>
      </c>
      <c r="I79" s="19" t="n">
        <v>422.46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무형자산의증가</t>
        </is>
      </c>
      <c r="E80" s="18" t="n">
        <v>1259.98</v>
      </c>
      <c r="F80" s="18" t="n">
        <v>24.03</v>
      </c>
      <c r="G80" s="9" t="n"/>
      <c r="H80" s="18" t="n">
        <v>43.7</v>
      </c>
      <c r="I80" s="19" t="n">
        <v>26.76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재무활동으로인한현금흐름</t>
        </is>
      </c>
      <c r="E81" s="18" t="n">
        <v>-16576.05</v>
      </c>
      <c r="F81" s="18" t="n">
        <v>32211.22</v>
      </c>
      <c r="G81" s="9" t="n"/>
      <c r="H81" s="18" t="n">
        <v>-7396.2</v>
      </c>
      <c r="I81" s="19" t="n">
        <v>-4702.11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단기차입금의증가</t>
        </is>
      </c>
      <c r="E82" s="18" t="n">
        <v>2357.49</v>
      </c>
      <c r="F82" s="18" t="n">
        <v>3170.33</v>
      </c>
      <c r="G82" s="9" t="n"/>
      <c r="H82" s="18" t="n">
        <v>19470.65</v>
      </c>
      <c r="I82" s="19" t="n">
        <v>69177.25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단기차입금의감소</t>
        </is>
      </c>
      <c r="E83" s="18" t="n">
        <v>3875.91</v>
      </c>
      <c r="F83" s="18" t="n">
        <v>8779.690000000001</v>
      </c>
      <c r="G83" s="9" t="n"/>
      <c r="H83" s="18" t="n">
        <v>26109.58</v>
      </c>
      <c r="I83" s="19" t="n">
        <v>71930.59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사채의감소</t>
        </is>
      </c>
      <c r="E84" s="18" t="n">
        <v>10500</v>
      </c>
      <c r="F84" s="18" t="n">
        <v>0</v>
      </c>
      <c r="G84" s="9" t="n"/>
      <c r="I84" s="5" t="n"/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리스부채의상환</t>
        </is>
      </c>
      <c r="E85" s="18" t="n">
        <v>161.99</v>
      </c>
      <c r="F85" s="18" t="n">
        <v>165.19</v>
      </c>
      <c r="G85" s="9" t="n"/>
      <c r="H85" s="18" t="n">
        <v>170.32</v>
      </c>
      <c r="I85" s="19" t="n">
        <v>170.56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현금및현금성자산의증감</t>
        </is>
      </c>
      <c r="E86" s="18" t="n">
        <v>3961.34</v>
      </c>
      <c r="F86" s="18" t="n">
        <v>4335.03</v>
      </c>
      <c r="G86" s="9" t="n"/>
      <c r="H86" s="18" t="n">
        <v>-7296.84</v>
      </c>
      <c r="I86" s="19" t="n">
        <v>28.06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기말현금및현금성자산</t>
        </is>
      </c>
      <c r="E87" s="18" t="n">
        <v>3960.25</v>
      </c>
      <c r="F87" s="18" t="n">
        <v>4336.4</v>
      </c>
      <c r="G87" s="9" t="n"/>
      <c r="H87" s="18" t="n">
        <v>1667.91</v>
      </c>
      <c r="I87" s="19" t="n">
        <v>25.5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유동성장기부채의감소</t>
        </is>
      </c>
      <c r="F89" s="18" t="n">
        <v>586.96</v>
      </c>
      <c r="G89" s="9" t="n"/>
      <c r="H89" s="18" t="n">
        <v>586.96</v>
      </c>
      <c r="I89" s="19" t="n">
        <v>586.95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4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5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5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5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4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5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5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5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4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5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5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5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4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5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5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5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4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5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5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5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0.0177</v>
      </c>
      <c r="F10" s="18" t="n">
        <v>-0.0277</v>
      </c>
      <c r="G10" s="34" t="n"/>
      <c r="H10" s="18" t="n">
        <v>0.0104</v>
      </c>
      <c r="I10" s="19" t="n">
        <v>0.0126</v>
      </c>
      <c r="J10" s="20">
        <f>IFERROR(E10*(1+변수!J24),"")</f>
        <v/>
      </c>
      <c r="K10" s="20">
        <f>IFERROR(F10*(1+변수!K24),"")</f>
        <v/>
      </c>
      <c r="L10" s="35">
        <f>SUM(H10:K10)</f>
        <v/>
      </c>
      <c r="M10" s="20">
        <f>IFERROR(H10*(1+변수!M24),"")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35">
        <f>SUM(M10:P10)</f>
        <v/>
      </c>
      <c r="R10" s="20">
        <f>IFERROR(M10*(1+변수!R24),"")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35">
        <f>SUM(R10:U10)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4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변수!J25</f>
        <v/>
      </c>
      <c r="K11" s="20">
        <f>변수!K25</f>
        <v/>
      </c>
      <c r="L11" s="35">
        <f>SUM(H11:K11)</f>
        <v/>
      </c>
      <c r="M11" s="20">
        <f>변수!M25</f>
        <v/>
      </c>
      <c r="N11" s="20">
        <f>변수!N25</f>
        <v/>
      </c>
      <c r="O11" s="20">
        <f>변수!O25</f>
        <v/>
      </c>
      <c r="P11" s="20">
        <f>변수!P25</f>
        <v/>
      </c>
      <c r="Q11" s="35">
        <f>SUM(M11:P11)</f>
        <v/>
      </c>
      <c r="R11" s="20">
        <f>변수!R25</f>
        <v/>
      </c>
      <c r="S11" s="20">
        <f>변수!S25</f>
        <v/>
      </c>
      <c r="T11" s="20">
        <f>변수!T25</f>
        <v/>
      </c>
      <c r="U11" s="20">
        <f>변수!U25</f>
        <v/>
      </c>
      <c r="V11" s="35">
        <f>SUM(R11:U11)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4" t="n"/>
      <c r="H12" s="18">
        <f>IFERROR(VLOOKUP($D12,BS연결,MATCH(H$1,BS연결H,0),0)/100,"")</f>
        <v/>
      </c>
      <c r="I12" s="19">
        <f>IFERROR(VLOOKUP($D12,BS연결,MATCH(I$1,BS연결H,0),0)/100,"")</f>
        <v/>
      </c>
      <c r="J12" s="20">
        <f>변수!J26</f>
        <v/>
      </c>
      <c r="K12" s="20">
        <f>변수!K26</f>
        <v/>
      </c>
      <c r="L12" s="35">
        <f>SUM(H12:K12)</f>
        <v/>
      </c>
      <c r="M12" s="20">
        <f>변수!M26</f>
        <v/>
      </c>
      <c r="N12" s="20">
        <f>변수!N26</f>
        <v/>
      </c>
      <c r="O12" s="20">
        <f>변수!O26</f>
        <v/>
      </c>
      <c r="P12" s="20">
        <f>변수!P26</f>
        <v/>
      </c>
      <c r="Q12" s="35">
        <f>SUM(M12:P12)</f>
        <v/>
      </c>
      <c r="R12" s="20">
        <f>변수!R26</f>
        <v/>
      </c>
      <c r="S12" s="20">
        <f>변수!S26</f>
        <v/>
      </c>
      <c r="T12" s="20">
        <f>변수!T26</f>
        <v/>
      </c>
      <c r="U12" s="20">
        <f>변수!U26</f>
        <v/>
      </c>
      <c r="V12" s="35">
        <f>SUM(R12:U12)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18">
        <f>IFERROR(VLOOKUP($D13,BS연결,MATCH(F$1,BS연결H,0),0)/100,"")</f>
        <v/>
      </c>
      <c r="G13" s="34" t="n"/>
      <c r="H13" s="18">
        <f>IFERROR(VLOOKUP($D13,BS연결,MATCH(H$1,BS연결H,0),0)/100,"")</f>
        <v/>
      </c>
      <c r="I13" s="19">
        <f>IFERROR(VLOOKUP($D13,BS연결,MATCH(I$1,BS연결H,0),0)/100,"")</f>
        <v/>
      </c>
      <c r="J13" s="20">
        <f>IFERROR(J9+J11+J12,"")</f>
        <v/>
      </c>
      <c r="K13" s="20">
        <f>IFERROR(K9+K11+K12,"")</f>
        <v/>
      </c>
      <c r="L13" s="35">
        <f>SUM(H13:K13)</f>
        <v/>
      </c>
      <c r="M13" s="20">
        <f>IFERROR(M9+M11+M12,"")</f>
        <v/>
      </c>
      <c r="N13" s="20">
        <f>IFERROR(N9+N11+N12,"")</f>
        <v/>
      </c>
      <c r="O13" s="20">
        <f>IFERROR(O9+O11+O12,"")</f>
        <v/>
      </c>
      <c r="P13" s="20">
        <f>IFERROR(P9+P11+P12,"")</f>
        <v/>
      </c>
      <c r="Q13" s="35">
        <f>SUM(M13:P13)</f>
        <v/>
      </c>
      <c r="R13" s="20">
        <f>IFERROR(R9+R11+R12,"")</f>
        <v/>
      </c>
      <c r="S13" s="20">
        <f>IFERROR(S9+S11+S12,"")</f>
        <v/>
      </c>
      <c r="T13" s="20">
        <f>IFERROR(T9+T11+T12,"")</f>
        <v/>
      </c>
      <c r="U13" s="20">
        <f>IFERROR(U9+U11+U12,"")</f>
        <v/>
      </c>
      <c r="V13" s="35">
        <f>SUM(R13:U13)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34" t="n"/>
      <c r="H14" s="18">
        <f>IFERROR(VLOOKUP($D14,BS연결,MATCH(H$1,BS연결H,0),0)/100,"")</f>
        <v/>
      </c>
      <c r="I14" s="19">
        <f>IFERROR(VLOOKUP($D14,BS연결,MATCH(I$1,BS연결H,0),0)/100,"")</f>
        <v/>
      </c>
      <c r="J14" s="20">
        <f>IFERROR(J13*변수!J27,"")</f>
        <v/>
      </c>
      <c r="K14" s="20">
        <f>IFERROR(K13*변수!K27,"")</f>
        <v/>
      </c>
      <c r="L14" s="35">
        <f>SUM(H14:K14)</f>
        <v/>
      </c>
      <c r="M14" s="20">
        <f>IFERROR(M13*변수!M27,"")</f>
        <v/>
      </c>
      <c r="N14" s="20">
        <f>IFERROR(N13*변수!N27,"")</f>
        <v/>
      </c>
      <c r="O14" s="20">
        <f>IFERROR(O13*변수!O27,"")</f>
        <v/>
      </c>
      <c r="P14" s="20">
        <f>IFERROR(P13*변수!P27,"")</f>
        <v/>
      </c>
      <c r="Q14" s="35">
        <f>SUM(M14:P14)</f>
        <v/>
      </c>
      <c r="R14" s="20">
        <f>IFERROR(R13*변수!R27,"")</f>
        <v/>
      </c>
      <c r="S14" s="20">
        <f>IFERROR(S13*변수!S27,"")</f>
        <v/>
      </c>
      <c r="T14" s="20">
        <f>IFERROR(T13*변수!T27,"")</f>
        <v/>
      </c>
      <c r="U14" s="20">
        <f>IFERROR(U13*변수!U27,"")</f>
        <v/>
      </c>
      <c r="V14" s="35">
        <f>SUM(R14:U14)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34" t="n"/>
      <c r="H15" s="18">
        <f>IFERROR(VLOOKUP($D15,BS연결,MATCH(H$1,BS연결H,0),0)/100,"")</f>
        <v/>
      </c>
      <c r="I15" s="19">
        <f>IFERROR(VLOOKUP($D15,BS연결,MATCH(I$1,BS연결H,0),0)/100,"")</f>
        <v/>
      </c>
      <c r="J15" s="20">
        <f>IFERROR(J13-J14,"")</f>
        <v/>
      </c>
      <c r="K15" s="20">
        <f>IFERROR(K13-K14,"")</f>
        <v/>
      </c>
      <c r="L15" s="35">
        <f>SUM(H15:K15)</f>
        <v/>
      </c>
      <c r="M15" s="20">
        <f>IFERROR(M13-M14,"")</f>
        <v/>
      </c>
      <c r="N15" s="20">
        <f>IFERROR(N13-N14,"")</f>
        <v/>
      </c>
      <c r="O15" s="20">
        <f>IFERROR(O13-O14,"")</f>
        <v/>
      </c>
      <c r="P15" s="20">
        <f>IFERROR(P13-P14,"")</f>
        <v/>
      </c>
      <c r="Q15" s="35">
        <f>SUM(M15:P15)</f>
        <v/>
      </c>
      <c r="R15" s="20">
        <f>IFERROR(R13-R14,"")</f>
        <v/>
      </c>
      <c r="S15" s="20">
        <f>IFERROR(S13-S14,"")</f>
        <v/>
      </c>
      <c r="T15" s="20">
        <f>IFERROR(T13-T14,"")</f>
        <v/>
      </c>
      <c r="U15" s="20">
        <f>IFERROR(U13-U14,"")</f>
        <v/>
      </c>
      <c r="V15" s="35">
        <f>SUM(R15:U15)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4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IFERROR(J15*변수!J28,"")</f>
        <v/>
      </c>
      <c r="K16" s="20">
        <f>IFERROR(K15*변수!K28,"")</f>
        <v/>
      </c>
      <c r="L16" s="35">
        <f>SUM(H16:K16)</f>
        <v/>
      </c>
      <c r="M16" s="20">
        <f>IFERROR(M15*변수!M28,"")</f>
        <v/>
      </c>
      <c r="N16" s="20">
        <f>IFERROR(N15*변수!N28,"")</f>
        <v/>
      </c>
      <c r="O16" s="20">
        <f>IFERROR(O15*변수!O28,"")</f>
        <v/>
      </c>
      <c r="P16" s="20">
        <f>IFERROR(P15*변수!P28,"")</f>
        <v/>
      </c>
      <c r="Q16" s="35">
        <f>SUM(M16:P16)</f>
        <v/>
      </c>
      <c r="R16" s="20">
        <f>IFERROR(R15*변수!R28,"")</f>
        <v/>
      </c>
      <c r="S16" s="20">
        <f>IFERROR(S15*변수!S28,"")</f>
        <v/>
      </c>
      <c r="T16" s="20">
        <f>IFERROR(T15*변수!T28,"")</f>
        <v/>
      </c>
      <c r="U16" s="20">
        <f>IFERROR(U15*변수!U28,"")</f>
        <v/>
      </c>
      <c r="V16" s="35">
        <f>SUM(R16:U16)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>
        <v>-8.32</v>
      </c>
      <c r="F17" s="18" t="n">
        <v>-9.34</v>
      </c>
      <c r="G17" s="34" t="n"/>
      <c r="H17" s="18" t="n">
        <v>0</v>
      </c>
      <c r="I17" s="19" t="n"/>
      <c r="J17" s="20" t="n"/>
      <c r="K17" s="20" t="n"/>
      <c r="L17" s="35">
        <f>SUM(H17:K17)</f>
        <v/>
      </c>
      <c r="M17" s="20" t="n"/>
      <c r="N17" s="20" t="n"/>
      <c r="O17" s="20" t="n"/>
      <c r="P17" s="20" t="n"/>
      <c r="Q17" s="35">
        <f>SUM(M17:P17)</f>
        <v/>
      </c>
      <c r="R17" s="20" t="n"/>
      <c r="S17" s="20" t="n"/>
      <c r="T17" s="20" t="n"/>
      <c r="U17" s="20" t="n"/>
      <c r="V17" s="35">
        <f>SUM(R17:U17)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4">
        <f>IFERROR(VLOOKUP($D18,BS연결,MATCH(G$1,BS연결H,0),0)/100,"")</f>
        <v/>
      </c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IFERROR(J19+J20,"")</f>
        <v/>
      </c>
      <c r="K18" s="20">
        <f>IFERROR(K19+K20,"")</f>
        <v/>
      </c>
      <c r="L18" s="35">
        <f>K18</f>
        <v/>
      </c>
      <c r="M18" s="20">
        <f>IFERROR(M19+M20,"")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35">
        <f>P18</f>
        <v/>
      </c>
      <c r="R18" s="20">
        <f>IFERROR(R19+R20,"")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35">
        <f>U18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4">
        <f>IFERROR(VLOOKUP($D19,BS연결,MATCH(G$1,BS연결H,0),0)/100,"")</f>
        <v/>
      </c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IFERROR(I19*(1+변수!J30),"")</f>
        <v/>
      </c>
      <c r="K19" s="20">
        <f>IFERROR(J19*(1+변수!K30),"")</f>
        <v/>
      </c>
      <c r="L19" s="35">
        <f>K19</f>
        <v/>
      </c>
      <c r="M19" s="20">
        <f>IFERROR(K19*(1+변수!M30),"")</f>
        <v/>
      </c>
      <c r="N19" s="20">
        <f>IFERROR(M19*(1+변수!N30),"")</f>
        <v/>
      </c>
      <c r="O19" s="20">
        <f>IFERROR(N19*(1+변수!O30),"")</f>
        <v/>
      </c>
      <c r="P19" s="20">
        <f>IFERROR(O19*(1+변수!P30),"")</f>
        <v/>
      </c>
      <c r="Q19" s="35">
        <f>P19</f>
        <v/>
      </c>
      <c r="R19" s="20">
        <f>IFERROR(P19*(1+변수!R30),"")</f>
        <v/>
      </c>
      <c r="S19" s="20">
        <f>IFERROR(R19*(1+변수!S30),"")</f>
        <v/>
      </c>
      <c r="T19" s="20">
        <f>IFERROR(S19*(1+변수!T30),"")</f>
        <v/>
      </c>
      <c r="U19" s="20">
        <f>IFERROR(T19*(1+변수!U30),"")</f>
        <v/>
      </c>
      <c r="V19" s="35">
        <f>U19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4">
        <f>IFERROR(VLOOKUP($D20,BS연결,MATCH(G$1,BS연결H,0),0)/100,"")</f>
        <v/>
      </c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IFERROR(I20+J15-변수!J31,"")</f>
        <v/>
      </c>
      <c r="K20" s="20">
        <f>IFERROR(J20+K15-변수!K31,"")</f>
        <v/>
      </c>
      <c r="L20" s="35">
        <f>K20</f>
        <v/>
      </c>
      <c r="M20" s="20">
        <f>IFERROR(K20+M15-변수!M31,"")</f>
        <v/>
      </c>
      <c r="N20" s="20">
        <f>IFERROR(M20+N15-변수!N31,"")</f>
        <v/>
      </c>
      <c r="O20" s="20">
        <f>IFERROR(N20+O15-변수!O31,"")</f>
        <v/>
      </c>
      <c r="P20" s="20">
        <f>IFERROR(O20+P15-변수!P31,"")</f>
        <v/>
      </c>
      <c r="Q20" s="35">
        <f>P20</f>
        <v/>
      </c>
      <c r="R20" s="20">
        <f>IFERROR(P20+R15-변수!R31,"")</f>
        <v/>
      </c>
      <c r="S20" s="20">
        <f>IFERROR(R20+S15-변수!S31,"")</f>
        <v/>
      </c>
      <c r="T20" s="20">
        <f>IFERROR(S20+T15-변수!T31,"")</f>
        <v/>
      </c>
      <c r="U20" s="20">
        <f>IFERROR(T20+U15-변수!U31,"")</f>
        <v/>
      </c>
      <c r="V20" s="35">
        <f>U20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4">
        <f>IFERROR(VLOOKUP($D21,BS연결,MATCH(G$1,BS연결H,0),0)/100,"")</f>
        <v/>
      </c>
      <c r="H21" s="18">
        <f>IFERROR(VLOOKUP($D21,BS연결,MATCH(H$1,BS연결H,0),0)/100,"")</f>
        <v/>
      </c>
      <c r="I21" s="19">
        <f>IFERROR(VLOOKUP($D21,BS연결,MATCH(I$1,BS연결H,0),0)/100,"")</f>
        <v/>
      </c>
      <c r="J21" s="20">
        <f>IFERROR(I21+J16-변수!J32,"")</f>
        <v/>
      </c>
      <c r="K21" s="20">
        <f>IFERROR(J21+K16-변수!K32,"")</f>
        <v/>
      </c>
      <c r="L21" s="35">
        <f>K21</f>
        <v/>
      </c>
      <c r="M21" s="20">
        <f>IFERROR(K21+M16-변수!M32,"")</f>
        <v/>
      </c>
      <c r="N21" s="20">
        <f>IFERROR(M21+N16-변수!N32,"")</f>
        <v/>
      </c>
      <c r="O21" s="20">
        <f>IFERROR(N21+O16-변수!O32,"")</f>
        <v/>
      </c>
      <c r="P21" s="20">
        <f>IFERROR(O21+P16-변수!P32,"")</f>
        <v/>
      </c>
      <c r="Q21" s="35">
        <f>P21</f>
        <v/>
      </c>
      <c r="R21" s="20">
        <f>IFERROR(P21+R16-변수!R32,"")</f>
        <v/>
      </c>
      <c r="S21" s="20">
        <f>IFERROR(R21+S16-변수!S32,"")</f>
        <v/>
      </c>
      <c r="T21" s="20">
        <f>IFERROR(S21+T16-변수!T32,"")</f>
        <v/>
      </c>
      <c r="U21" s="20">
        <f>IFERROR(T21+U16-변수!U32,"")</f>
        <v/>
      </c>
      <c r="V21" s="35">
        <f>U21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4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IFERROR(I22*(1+변수!J33),"")</f>
        <v/>
      </c>
      <c r="K22" s="20">
        <f>IFERROR(J22*(1+변수!K33),"")</f>
        <v/>
      </c>
      <c r="L22" s="35">
        <f>K22</f>
        <v/>
      </c>
      <c r="M22" s="20">
        <f>IFERROR(K22*(1+변수!M33),"")</f>
        <v/>
      </c>
      <c r="N22" s="20">
        <f>IFERROR(M22*(1+변수!N33),"")</f>
        <v/>
      </c>
      <c r="O22" s="20">
        <f>IFERROR(N22*(1+변수!O33),"")</f>
        <v/>
      </c>
      <c r="P22" s="20">
        <f>IFERROR(O22*(1+변수!P33),"")</f>
        <v/>
      </c>
      <c r="Q22" s="35">
        <f>P22</f>
        <v/>
      </c>
      <c r="R22" s="20">
        <f>IFERROR(P22*(1+변수!R33),"")</f>
        <v/>
      </c>
      <c r="S22" s="20">
        <f>IFERROR(R22*(1+변수!S33),"")</f>
        <v/>
      </c>
      <c r="T22" s="20">
        <f>IFERROR(S22*(1+변수!T33),"")</f>
        <v/>
      </c>
      <c r="U22" s="20">
        <f>IFERROR(T22*(1+변수!U33),"")</f>
        <v/>
      </c>
      <c r="V22" s="35">
        <f>U22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4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IFERROR(I23*(1+변수!J34),"")</f>
        <v/>
      </c>
      <c r="K23" s="20">
        <f>IFERROR(J23*(1+변수!K34),"")</f>
        <v/>
      </c>
      <c r="L23" s="35">
        <f>K23</f>
        <v/>
      </c>
      <c r="M23" s="20">
        <f>IFERROR(K23*(1+변수!M34),"")</f>
        <v/>
      </c>
      <c r="N23" s="20">
        <f>IFERROR(M23*(1+변수!N34),"")</f>
        <v/>
      </c>
      <c r="O23" s="20">
        <f>IFERROR(N23*(1+변수!O34),"")</f>
        <v/>
      </c>
      <c r="P23" s="20">
        <f>IFERROR(O23*(1+변수!P34),"")</f>
        <v/>
      </c>
      <c r="Q23" s="35">
        <f>P23</f>
        <v/>
      </c>
      <c r="R23" s="20">
        <f>IFERROR(P23*(1+변수!R34),"")</f>
        <v/>
      </c>
      <c r="S23" s="20">
        <f>IFERROR(R23*(1+변수!S34),"")</f>
        <v/>
      </c>
      <c r="T23" s="20">
        <f>IFERROR(S23*(1+변수!T34),"")</f>
        <v/>
      </c>
      <c r="U23" s="20">
        <f>IFERROR(T23*(1+변수!U34),"")</f>
        <v/>
      </c>
      <c r="V23" s="35">
        <f>U23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4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IFERROR(I24*(1+변수!J35),"")</f>
        <v/>
      </c>
      <c r="K24" s="20">
        <f>IFERROR(J24*(1+변수!K35),"")</f>
        <v/>
      </c>
      <c r="L24" s="35">
        <f>K24</f>
        <v/>
      </c>
      <c r="M24" s="20">
        <f>IFERROR(K24*(1+변수!M35),"")</f>
        <v/>
      </c>
      <c r="N24" s="20">
        <f>IFERROR(M24*(1+변수!N35),"")</f>
        <v/>
      </c>
      <c r="O24" s="20">
        <f>IFERROR(N24*(1+변수!O35),"")</f>
        <v/>
      </c>
      <c r="P24" s="20">
        <f>IFERROR(O24*(1+변수!P35),"")</f>
        <v/>
      </c>
      <c r="Q24" s="35">
        <f>P24</f>
        <v/>
      </c>
      <c r="R24" s="20">
        <f>IFERROR(P24*(1+변수!R35),"")</f>
        <v/>
      </c>
      <c r="S24" s="20">
        <f>IFERROR(R24*(1+변수!S35),"")</f>
        <v/>
      </c>
      <c r="T24" s="20">
        <f>IFERROR(S24*(1+변수!T35),"")</f>
        <v/>
      </c>
      <c r="U24" s="20">
        <f>IFERROR(T24*(1+변수!U35),"")</f>
        <v/>
      </c>
      <c r="V24" s="35">
        <f>U24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4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 t="n"/>
      <c r="K25" s="20" t="n"/>
      <c r="L25" s="35">
        <f>K25</f>
        <v/>
      </c>
      <c r="M25" s="20" t="n"/>
      <c r="N25" s="20" t="n"/>
      <c r="O25" s="20" t="n"/>
      <c r="P25" s="20" t="n"/>
      <c r="Q25" s="35">
        <f>P25</f>
        <v/>
      </c>
      <c r="R25" s="20" t="n"/>
      <c r="S25" s="20" t="n"/>
      <c r="T25" s="20" t="n"/>
      <c r="U25" s="20" t="n"/>
      <c r="V25" s="35">
        <f>U25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4" t="n"/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 t="n"/>
      <c r="K26" s="20" t="n"/>
      <c r="L26" s="35">
        <f>SUM(H26:K26)</f>
        <v/>
      </c>
      <c r="M26" s="20" t="n"/>
      <c r="N26" s="20" t="n"/>
      <c r="O26" s="20" t="n"/>
      <c r="P26" s="20" t="n"/>
      <c r="Q26" s="35">
        <f>SUM(M26:P26)</f>
        <v/>
      </c>
      <c r="R26" s="20" t="n"/>
      <c r="S26" s="20" t="n"/>
      <c r="T26" s="20" t="n"/>
      <c r="U26" s="20" t="n"/>
      <c r="V26" s="35">
        <f>SUM(R26:U26)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31.8</v>
      </c>
      <c r="F27" s="18" t="n">
        <v>17.01</v>
      </c>
      <c r="G27" s="34" t="n"/>
      <c r="H27" s="18" t="n">
        <v>-118.49</v>
      </c>
      <c r="I27" s="19" t="n">
        <v>-12.2</v>
      </c>
      <c r="J27" s="20" t="n"/>
      <c r="K27" s="20" t="n"/>
      <c r="L27" s="35">
        <f>SUM(H27:K27)</f>
        <v/>
      </c>
      <c r="M27" s="20" t="n"/>
      <c r="N27" s="20" t="n"/>
      <c r="O27" s="20" t="n"/>
      <c r="P27" s="20" t="n"/>
      <c r="Q27" s="35">
        <f>SUM(M27:P27)</f>
        <v/>
      </c>
      <c r="R27" s="20" t="n"/>
      <c r="S27" s="20" t="n"/>
      <c r="T27" s="20" t="n"/>
      <c r="U27" s="20" t="n"/>
      <c r="V27" s="35">
        <f>SUM(R27:U27)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19.482</v>
      </c>
      <c r="F28" s="26" t="n">
        <v>23.832</v>
      </c>
      <c r="G28" s="27">
        <f>F28</f>
        <v/>
      </c>
      <c r="H28" s="26" t="n">
        <v>23.832</v>
      </c>
      <c r="I28" s="28" t="n">
        <v>23.832</v>
      </c>
      <c r="J28" s="36">
        <f>IFERROR(I28*(1+변수!J39),"")</f>
        <v/>
      </c>
      <c r="K28" s="36">
        <f>IFERROR(J28*(1+변수!K39),"")</f>
        <v/>
      </c>
      <c r="L28" s="30">
        <f>K28</f>
        <v/>
      </c>
      <c r="M28" s="36">
        <f>IFERROR(K28*(1+변수!M39),"")</f>
        <v/>
      </c>
      <c r="N28" s="36">
        <f>IFERROR(M28*(1+변수!N39),"")</f>
        <v/>
      </c>
      <c r="O28" s="36">
        <f>IFERROR(N28*(1+변수!O39),"")</f>
        <v/>
      </c>
      <c r="P28" s="36">
        <f>IFERROR(O28*(1+변수!P39),"")</f>
        <v/>
      </c>
      <c r="Q28" s="30">
        <f>P28</f>
        <v/>
      </c>
      <c r="R28" s="36">
        <f>IFERROR(P28*(1+변수!R39),"")</f>
        <v/>
      </c>
      <c r="S28" s="36">
        <f>IFERROR(R28*(1+변수!S39),"")</f>
        <v/>
      </c>
      <c r="T28" s="36">
        <f>IFERROR(S28*(1+변수!T39),"")</f>
        <v/>
      </c>
      <c r="U28" s="36">
        <f>IFERROR(T28*(1+변수!U39),"")</f>
        <v/>
      </c>
      <c r="V28" s="30">
        <f>U28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18">
        <f>IFERROR(F16*100/F28,"")</f>
        <v/>
      </c>
      <c r="G29" s="34" t="n"/>
      <c r="H29" s="18">
        <f>IFERROR(H16*100/H28,"")</f>
        <v/>
      </c>
      <c r="I29" s="19">
        <f>IFERROR(I16*100/I28,"")</f>
        <v/>
      </c>
      <c r="J29" s="20">
        <f>IFERROR(J16*100/J28,"")</f>
        <v/>
      </c>
      <c r="K29" s="20">
        <f>IFERROR(K16*100/K28,"")</f>
        <v/>
      </c>
      <c r="L29" s="35">
        <f>SUM(H29:K29)</f>
        <v/>
      </c>
      <c r="M29" s="20">
        <f>IFERROR(M16*100/M28,"")</f>
        <v/>
      </c>
      <c r="N29" s="20">
        <f>IFERROR(N16*100/N28,"")</f>
        <v/>
      </c>
      <c r="O29" s="20">
        <f>IFERROR(O16*100/O28,"")</f>
        <v/>
      </c>
      <c r="P29" s="20">
        <f>IFERROR(P16*100/P28,"")</f>
        <v/>
      </c>
      <c r="Q29" s="35">
        <f>SUM(M29:P29)</f>
        <v/>
      </c>
      <c r="R29" s="20">
        <f>IFERROR(R16*100/R28,"")</f>
        <v/>
      </c>
      <c r="S29" s="20">
        <f>IFERROR(S16*100/S28,"")</f>
        <v/>
      </c>
      <c r="T29" s="20">
        <f>IFERROR(T16*100/T28,"")</f>
        <v/>
      </c>
      <c r="U29" s="20">
        <f>IFERROR(U16*100/U28,"")</f>
        <v/>
      </c>
      <c r="V29" s="35">
        <f>SUM(R29:U29)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34">
        <f>F30</f>
        <v/>
      </c>
      <c r="H30" s="18">
        <f>IFERROR(H21*100/H28,"")</f>
        <v/>
      </c>
      <c r="I30" s="19">
        <f>IFERROR(I21*100/I28,"")</f>
        <v/>
      </c>
      <c r="J30" s="20">
        <f>IFERROR(J21*100/J28,"")</f>
        <v/>
      </c>
      <c r="K30" s="20">
        <f>IFERROR(K21*100/K28,"")</f>
        <v/>
      </c>
      <c r="L30" s="35">
        <f>K30</f>
        <v/>
      </c>
      <c r="M30" s="20">
        <f>IFERROR(M21*100/M28,"")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35">
        <f>P30</f>
        <v/>
      </c>
      <c r="R30" s="20">
        <f>IFERROR(R21*100/R28,"")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35">
        <f>U30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>
        <v>50</v>
      </c>
      <c r="G31" s="34" t="n">
        <v>50</v>
      </c>
      <c r="H31" s="18" t="n"/>
      <c r="I31" s="19" t="n"/>
      <c r="J31" s="20" t="n"/>
      <c r="K31" s="20">
        <f>IFERROR(F31*(1+변수!K40),"")</f>
        <v/>
      </c>
      <c r="L31" s="35">
        <f>SUM(H31:K31)</f>
        <v/>
      </c>
      <c r="M31" s="20" t="n"/>
      <c r="N31" s="20" t="n"/>
      <c r="O31" s="20" t="n"/>
      <c r="P31" s="20">
        <f>IFERROR(K31*(1+변수!P40),"")</f>
        <v/>
      </c>
      <c r="Q31" s="35">
        <f>SUM(M31:P31)</f>
        <v/>
      </c>
      <c r="R31" s="20" t="n"/>
      <c r="S31" s="20" t="n"/>
      <c r="T31" s="20" t="n"/>
      <c r="U31" s="20">
        <f>IFERROR(P31*(1+변수!U40),"")</f>
        <v/>
      </c>
      <c r="V31" s="35">
        <f>SUM(R31:U31)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34" t="n"/>
      <c r="H32" s="18" t="n"/>
      <c r="I32" s="19" t="n">
        <v>271.73</v>
      </c>
      <c r="J32" s="20" t="n">
        <v>220.99</v>
      </c>
      <c r="K32" s="20" t="n">
        <v>62</v>
      </c>
      <c r="L32" s="35">
        <f>SUM(H32:K32)</f>
        <v/>
      </c>
      <c r="M32" s="20" t="n">
        <v>74.09</v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35">
        <f>SUM(M32:P32)</f>
        <v/>
      </c>
      <c r="R32" s="20">
        <f>IFERROR(M32*(1+변수!R41),"")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35">
        <f>SUM(R32:U32)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/>
      <c r="F33" s="18" t="n">
        <v>4.1</v>
      </c>
      <c r="G33" s="34" t="n">
        <v>3.26</v>
      </c>
      <c r="H33" s="18" t="n">
        <v>3.43</v>
      </c>
      <c r="I33" s="19" t="n">
        <v>5.03</v>
      </c>
      <c r="J33" s="20" t="n">
        <v>2.9</v>
      </c>
      <c r="K33" s="20">
        <f>IFERROR(F33*(1+변수!K42),"")</f>
        <v/>
      </c>
      <c r="L33" s="35">
        <f>SUM(H33:K33)</f>
        <v/>
      </c>
      <c r="M33" s="20">
        <f>IFERROR(H33*(1+변수!M42),"")</f>
        <v/>
      </c>
      <c r="N33" s="20">
        <f>IFERROR(I33*(1+변수!N42),"")</f>
        <v/>
      </c>
      <c r="O33" s="20">
        <f>IFERROR(J33*(1+변수!O42),"")</f>
        <v/>
      </c>
      <c r="P33" s="20">
        <f>IFERROR(K33*(1+변수!P42),"")</f>
        <v/>
      </c>
      <c r="Q33" s="35">
        <f>SUM(M33:P33)</f>
        <v/>
      </c>
      <c r="R33" s="20">
        <f>IFERROR(M33*(1+변수!R42),"")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35">
        <f>SUM(R33:U33)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797.54</v>
      </c>
      <c r="F34" s="18" t="n">
        <v>758.9</v>
      </c>
      <c r="G34" s="34" t="n"/>
      <c r="H34" s="18" t="n">
        <v>939.49</v>
      </c>
      <c r="I34" s="19" t="n">
        <v>1063.52</v>
      </c>
      <c r="J34" s="20">
        <f>IFERROR(J5*변수!J43,"")</f>
        <v/>
      </c>
      <c r="K34" s="20">
        <f>IFERROR(K5*변수!K43,"")</f>
        <v/>
      </c>
      <c r="L34" s="35">
        <f>SUM(H34:K34)</f>
        <v/>
      </c>
      <c r="M34" s="20">
        <f>IFERROR(M5*변수!M43,"")</f>
        <v/>
      </c>
      <c r="N34" s="20">
        <f>IFERROR(N5*변수!N43,"")</f>
        <v/>
      </c>
      <c r="O34" s="20">
        <f>IFERROR(O5*변수!O43,"")</f>
        <v/>
      </c>
      <c r="P34" s="20">
        <f>IFERROR(P5*변수!P43,"")</f>
        <v/>
      </c>
      <c r="Q34" s="35">
        <f>SUM(M34:P34)</f>
        <v/>
      </c>
      <c r="R34" s="20">
        <f>IFERROR(R5*변수!R43,"")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35">
        <f>SUM(R34:U34)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14.13</v>
      </c>
      <c r="F35" s="18" t="n">
        <v>-21.04</v>
      </c>
      <c r="G35" s="34" t="n"/>
      <c r="H35" s="18" t="n">
        <v>9.75</v>
      </c>
      <c r="I35" s="19" t="n">
        <v>13.42</v>
      </c>
      <c r="J35" s="20">
        <f>IFERROR(J34*변수!J44,"")</f>
        <v/>
      </c>
      <c r="K35" s="20">
        <f>IFERROR(K34*변수!K44,"")</f>
        <v/>
      </c>
      <c r="L35" s="35">
        <f>SUM(H35:K35)</f>
        <v/>
      </c>
      <c r="M35" s="20">
        <f>IFERROR(M34*변수!M44,"")</f>
        <v/>
      </c>
      <c r="N35" s="20">
        <f>IFERROR(N34*변수!N44,"")</f>
        <v/>
      </c>
      <c r="O35" s="20">
        <f>IFERROR(O34*변수!O44,"")</f>
        <v/>
      </c>
      <c r="P35" s="20">
        <f>IFERROR(P34*변수!P44,"")</f>
        <v/>
      </c>
      <c r="Q35" s="35">
        <f>SUM(M35:P35)</f>
        <v/>
      </c>
      <c r="R35" s="20">
        <f>IFERROR(R34*변수!R44,"")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35">
        <f>SUM(R35:U35)</f>
        <v/>
      </c>
    </row>
    <row r="36">
      <c r="B36" s="2" t="inlineStr">
        <is>
          <t>비율(참고)</t>
        </is>
      </c>
      <c r="G36" s="9" t="n"/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2">
        <f>IFERROR(G9/G5,"")</f>
        <v/>
      </c>
      <c r="H37" s="21">
        <f>IFERROR(H9/H5,"")</f>
        <v/>
      </c>
      <c r="I37" s="23">
        <f>IFERROR(I9/I5,"")</f>
        <v/>
      </c>
      <c r="J37" s="31">
        <f>IFERROR(J9/J5,"")</f>
        <v/>
      </c>
      <c r="K37" s="31">
        <f>IFERROR(K9/K5,"")</f>
        <v/>
      </c>
      <c r="L37" s="25">
        <f>IFERROR(L9/L5,"")</f>
        <v/>
      </c>
      <c r="M37" s="31">
        <f>IFERROR(M9/M5,"")</f>
        <v/>
      </c>
      <c r="N37" s="31">
        <f>IFERROR(N9/N5,"")</f>
        <v/>
      </c>
      <c r="O37" s="31">
        <f>IFERROR(O9/O5,"")</f>
        <v/>
      </c>
      <c r="P37" s="31">
        <f>IFERROR(P9/P5,"")</f>
        <v/>
      </c>
      <c r="Q37" s="25">
        <f>IFERROR(Q9/Q5,"")</f>
        <v/>
      </c>
      <c r="R37" s="31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25">
        <f>IFERROR(V9/V5,"")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1">
        <f>IFERROR(F16/F5,"")</f>
        <v/>
      </c>
      <c r="G38" s="22">
        <f>IFERROR(G16/G5,"")</f>
        <v/>
      </c>
      <c r="H38" s="21">
        <f>IFERROR(H16/H5,"")</f>
        <v/>
      </c>
      <c r="I38" s="23">
        <f>IFERROR(I16/I5,"")</f>
        <v/>
      </c>
      <c r="J38" s="31">
        <f>IFERROR(J16/J5,"")</f>
        <v/>
      </c>
      <c r="K38" s="31">
        <f>IFERROR(K16/K5,"")</f>
        <v/>
      </c>
      <c r="L38" s="25">
        <f>IFERROR(L16/L5,"")</f>
        <v/>
      </c>
      <c r="M38" s="31">
        <f>IFERROR(M16/M5,"")</f>
        <v/>
      </c>
      <c r="N38" s="31">
        <f>IFERROR(N16/N5,"")</f>
        <v/>
      </c>
      <c r="O38" s="31">
        <f>IFERROR(O16/O5,"")</f>
        <v/>
      </c>
      <c r="P38" s="31">
        <f>IFERROR(P16/P5,"")</f>
        <v/>
      </c>
      <c r="Q38" s="25">
        <f>IFERROR(Q16/Q5,"")</f>
        <v/>
      </c>
      <c r="R38" s="31">
        <f>IFERROR(R16/R5,"")</f>
        <v/>
      </c>
      <c r="S38" s="31">
        <f>IFERROR(S16/S5,"")</f>
        <v/>
      </c>
      <c r="T38" s="31">
        <f>IFERROR(T16/T5,"")</f>
        <v/>
      </c>
      <c r="U38" s="31">
        <f>IFERROR(U16/U5,"")</f>
        <v/>
      </c>
      <c r="V38" s="25">
        <f>IFERROR(V16/V5,"")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2">
        <f>IFERROR(G6/G5,"")</f>
        <v/>
      </c>
      <c r="H39" s="21">
        <f>IFERROR(H6/H5,"")</f>
        <v/>
      </c>
      <c r="I39" s="23">
        <f>IFERROR(I6/I5,"")</f>
        <v/>
      </c>
      <c r="J39" s="31">
        <f>IFERROR(J6/J5,"")</f>
        <v/>
      </c>
      <c r="K39" s="31">
        <f>IFERROR(K6/K5,"")</f>
        <v/>
      </c>
      <c r="L39" s="25">
        <f>IFERROR(L6/L5,"")</f>
        <v/>
      </c>
      <c r="M39" s="31">
        <f>IFERROR(M6/M5,"")</f>
        <v/>
      </c>
      <c r="N39" s="31">
        <f>IFERROR(N6/N5,"")</f>
        <v/>
      </c>
      <c r="O39" s="31">
        <f>IFERROR(O6/O5,"")</f>
        <v/>
      </c>
      <c r="P39" s="31">
        <f>IFERROR(P6/P5,"")</f>
        <v/>
      </c>
      <c r="Q39" s="25">
        <f>IFERROR(Q6/Q5,"")</f>
        <v/>
      </c>
      <c r="R39" s="31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25">
        <f>IFERROR(V6/V5,"")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2">
        <f>IFERROR(G8/G5,"")</f>
        <v/>
      </c>
      <c r="H40" s="21">
        <f>IFERROR(H8/H5,"")</f>
        <v/>
      </c>
      <c r="I40" s="23">
        <f>IFERROR(I8/I5,"")</f>
        <v/>
      </c>
      <c r="J40" s="31">
        <f>IFERROR(J8/J5,"")</f>
        <v/>
      </c>
      <c r="K40" s="31">
        <f>IFERROR(K8/K5,"")</f>
        <v/>
      </c>
      <c r="L40" s="25">
        <f>IFERROR(L8/L5,"")</f>
        <v/>
      </c>
      <c r="M40" s="31">
        <f>IFERROR(M8/M5,"")</f>
        <v/>
      </c>
      <c r="N40" s="31">
        <f>IFERROR(N8/N5,"")</f>
        <v/>
      </c>
      <c r="O40" s="31">
        <f>IFERROR(O8/O5,"")</f>
        <v/>
      </c>
      <c r="P40" s="31">
        <f>IFERROR(P8/P5,"")</f>
        <v/>
      </c>
      <c r="Q40" s="25">
        <f>IFERROR(Q8/Q5,"")</f>
        <v/>
      </c>
      <c r="R40" s="31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7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0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43">
        <f>IFERROR(VLOOKUP($A28,subQ,MATCH(H$1,SUBQH,0),0),"")</f>
        <v/>
      </c>
      <c r="I28" s="36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  <c r="M28" s="36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  <c r="M37" s="31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H38" s="38" t="n"/>
      <c r="I38" s="31">
        <f>IFERROR(I5/E5-1,"")</f>
        <v/>
      </c>
      <c r="J38" s="31">
        <f>IFERROR(J5/F5-1,"")</f>
        <v/>
      </c>
      <c r="K38" s="31">
        <f>IFERROR(K5/G5-1,"")</f>
        <v/>
      </c>
      <c r="L38" s="31">
        <f>IFERROR(L5/H5-1,"")</f>
        <v/>
      </c>
      <c r="M38" s="31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H39" s="38" t="n"/>
      <c r="I39" s="31">
        <f>IFERROR(I9/E9-1,"")</f>
        <v/>
      </c>
      <c r="J39" s="31">
        <f>IFERROR(J9/F9-1,"")</f>
        <v/>
      </c>
      <c r="K39" s="31">
        <f>IFERROR(K9/G9-1,"")</f>
        <v/>
      </c>
      <c r="L39" s="31">
        <f>IFERROR(L9/H9-1,"")</f>
        <v/>
      </c>
      <c r="M39" s="31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H40" s="38" t="n"/>
      <c r="I40" s="31">
        <f>IFERROR(I16/E16-1,"")</f>
        <v/>
      </c>
      <c r="J40" s="31">
        <f>IFERROR(J16/F16-1,"")</f>
        <v/>
      </c>
      <c r="K40" s="31">
        <f>IFERROR(K16/G16-1,"")</f>
        <v/>
      </c>
      <c r="L40" s="31">
        <f>IFERROR(L16/H16-1,"")</f>
        <v/>
      </c>
      <c r="M40" s="31">
        <f>IFERROR(M16/I16-1,"")</f>
        <v/>
      </c>
      <c r="N40" s="31">
        <f>IFERROR(N16/J16-1,"")</f>
        <v/>
      </c>
      <c r="O40" s="31">
        <f>IFERROR(O16/K16-1,"")</f>
        <v/>
      </c>
      <c r="P40" s="31">
        <f>IFERROR(P16/L16-1,"")</f>
        <v/>
      </c>
      <c r="Q40" s="31">
        <f>IFERROR(Q16/M16-1,"")</f>
        <v/>
      </c>
      <c r="R40" s="31">
        <f>IFERROR(R16/N16-1,"")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변수!D47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3">
        <f>IFERROR(VLOOKUP($A28,subQ,MATCH(E$1,SUBQH,0),0),"")</f>
        <v/>
      </c>
      <c r="F28" s="36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42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42">
        <f>IFERROR(VLOOKUP($A37,subQ,MATCH(E$1,SUBQH,0),0),"")</f>
        <v/>
      </c>
      <c r="F37" s="31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E38" s="38" t="n"/>
      <c r="F38" s="31">
        <f>IFERROR(F5/E5-1,"")</f>
        <v/>
      </c>
      <c r="G38" s="31">
        <f>IFERROR(G5/F5-1,"")</f>
        <v/>
      </c>
      <c r="H38" s="31">
        <f>IFERROR(H5/G5-1,"")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E39" s="38" t="n"/>
      <c r="F39" s="31">
        <f>IFERROR(F9/E9-1,"")</f>
        <v/>
      </c>
      <c r="G39" s="31">
        <f>IFERROR(G9/F9-1,"")</f>
        <v/>
      </c>
      <c r="H39" s="31">
        <f>IFERROR(H9/G9-1,"")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E40" s="38" t="n"/>
      <c r="F40" s="31">
        <f>IFERROR(F16/E16-1,"")</f>
        <v/>
      </c>
      <c r="G40" s="31">
        <f>IFERROR(G16/F16-1,"")</f>
        <v/>
      </c>
      <c r="H40" s="31">
        <f>IFERROR(H16/G16-1,"")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159.8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86.98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0.0336</v>
      </c>
    </row>
    <row r="34">
      <c r="C34" s="2" t="inlineStr">
        <is>
          <t>fair_pbr</t>
        </is>
      </c>
      <c r="D34" t="n">
        <v>0.37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45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45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45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45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45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