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변수!$C$1:$V$1</definedName>
    <definedName name="환율">변수!$C$6:$V$13</definedName>
    <definedName name="BS연결H">BS연결!$C$1:$V$1</definedName>
    <definedName name="BS연결">BS연결!$C$5:$V$101</definedName>
    <definedName name="BS별도H">BS별도!$C$1:$V$1</definedName>
    <definedName name="BS별도">BS별도!$C$5:$V$92</definedName>
    <definedName name="SUBQH">subQ!$A$1:$V$1</definedName>
    <definedName name="subQ">subQ!$A$5:$V$43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J6" authorId="0" shapeId="0">
      <text>
        <t>모델 assumptions.fx — 가정 — 마지막 ECB 관측치를 2028Q4 까지 평평하게 둔다. 선도환율·컨센서스 아님.</t>
      </text>
    </comment>
    <comment ref="K6" authorId="0" shapeId="0">
      <text>
        <t>모델 assumptions.fx — 가정 — 마지막 ECB 관측치를 2028Q4 까지 평평하게 둔다. 선도환율·컨센서스 아님.</t>
      </text>
    </comment>
    <comment ref="M6" authorId="0" shapeId="0">
      <text>
        <t>모델 assumptions.fx — 가정 — 마지막 ECB 관측치를 2028Q4 까지 평평하게 둔다. 선도환율·컨센서스 아님.</t>
      </text>
    </comment>
    <comment ref="N6" authorId="0" shapeId="0">
      <text>
        <t>모델 assumptions.fx — 가정 — 마지막 ECB 관측치를 2028Q4 까지 평평하게 둔다. 선도환율·컨센서스 아님.</t>
      </text>
    </comment>
    <comment ref="O6" authorId="0" shapeId="0">
      <text>
        <t>모델 assumptions.fx — 가정 — 마지막 ECB 관측치를 2028Q4 까지 평평하게 둔다. 선도환율·컨센서스 아님.</t>
      </text>
    </comment>
    <comment ref="P6" authorId="0" shapeId="0">
      <text>
        <t>모델 assumptions.fx — 가정 — 마지막 ECB 관측치를 2028Q4 까지 평평하게 둔다. 선도환율·컨센서스 아님.</t>
      </text>
    </comment>
    <comment ref="R6" authorId="0" shapeId="0">
      <text>
        <t>모델 assumptions.fx — 가정 — 마지막 ECB 관측치를 2028Q4 까지 평평하게 둔다. 선도환율·컨센서스 아님.</t>
      </text>
    </comment>
    <comment ref="S6" authorId="0" shapeId="0">
      <text>
        <t>모델 assumptions.fx — 가정 — 마지막 ECB 관측치를 2028Q4 까지 평평하게 둔다. 선도환율·컨센서스 아님.</t>
      </text>
    </comment>
    <comment ref="T6" authorId="0" shapeId="0">
      <text>
        <t>모델 assumptions.fx — 가정 — 마지막 ECB 관측치를 2028Q4 까지 평평하게 둔다. 선도환율·컨센서스 아님.</t>
      </text>
    </comment>
    <comment ref="U6" authorId="0" shapeId="0">
      <text>
        <t>모델 assumptions.fx — 가정 — 마지막 ECB 관측치를 2028Q4 까지 평평하게 둔다. 선도환율·컨센서스 아님.</t>
      </text>
    </comment>
    <comment ref="J7" authorId="0" shapeId="0">
      <text>
        <t>모델 assumptions.fx — 가정 — 마지막 ECB 관측치를 2028Q4 까지 평평하게 둔다. 선도환율·컨센서스 아님.</t>
      </text>
    </comment>
    <comment ref="K7" authorId="0" shapeId="0">
      <text>
        <t>모델 assumptions.fx — 가정 — 마지막 ECB 관측치를 2028Q4 까지 평평하게 둔다. 선도환율·컨센서스 아님.</t>
      </text>
    </comment>
    <comment ref="M7" authorId="0" shapeId="0">
      <text>
        <t>모델 assumptions.fx — 가정 — 마지막 ECB 관측치를 2028Q4 까지 평평하게 둔다. 선도환율·컨센서스 아님.</t>
      </text>
    </comment>
    <comment ref="N7" authorId="0" shapeId="0">
      <text>
        <t>모델 assumptions.fx — 가정 — 마지막 ECB 관측치를 2028Q4 까지 평평하게 둔다. 선도환율·컨센서스 아님.</t>
      </text>
    </comment>
    <comment ref="O7" authorId="0" shapeId="0">
      <text>
        <t>모델 assumptions.fx — 가정 — 마지막 ECB 관측치를 2028Q4 까지 평평하게 둔다. 선도환율·컨센서스 아님.</t>
      </text>
    </comment>
    <comment ref="P7" authorId="0" shapeId="0">
      <text>
        <t>모델 assumptions.fx — 가정 — 마지막 ECB 관측치를 2028Q4 까지 평평하게 둔다. 선도환율·컨센서스 아님.</t>
      </text>
    </comment>
    <comment ref="R7" authorId="0" shapeId="0">
      <text>
        <t>모델 assumptions.fx — 가정 — 마지막 ECB 관측치를 2028Q4 까지 평평하게 둔다. 선도환율·컨센서스 아님.</t>
      </text>
    </comment>
    <comment ref="S7" authorId="0" shapeId="0">
      <text>
        <t>모델 assumptions.fx — 가정 — 마지막 ECB 관측치를 2028Q4 까지 평평하게 둔다. 선도환율·컨센서스 아님.</t>
      </text>
    </comment>
    <comment ref="T7" authorId="0" shapeId="0">
      <text>
        <t>모델 assumptions.fx — 가정 — 마지막 ECB 관측치를 2028Q4 까지 평평하게 둔다. 선도환율·컨센서스 아님.</t>
      </text>
    </comment>
    <comment ref="U7" authorId="0" shapeId="0">
      <text>
        <t>모델 assumptions.fx — 가정 — 마지막 ECB 관측치를 2028Q4 까지 평평하게 둔다. 선도환율·컨센서스 아님.</t>
      </text>
    </comment>
    <comment ref="K8" authorId="0" shapeId="0">
      <text>
        <t>fx.json quarters(partial — 분기 진행 중 실측 평균)</t>
      </text>
    </comment>
    <comment ref="M8" authorId="0" shapeId="0">
      <text>
        <t>fx.json forward(flat_last_end) — 가정</t>
      </text>
    </comment>
    <comment ref="N8" authorId="0" shapeId="0">
      <text>
        <t>fx.json forward(flat_last_end) — 가정</t>
      </text>
    </comment>
    <comment ref="O8" authorId="0" shapeId="0">
      <text>
        <t>fx.json forward(flat_last_end) — 가정</t>
      </text>
    </comment>
    <comment ref="P8" authorId="0" shapeId="0">
      <text>
        <t>fx.json forward(flat_last_end) — 가정</t>
      </text>
    </comment>
    <comment ref="R8" authorId="0" shapeId="0">
      <text>
        <t>fx.json forward(flat_last_end) — 가정</t>
      </text>
    </comment>
    <comment ref="S8" authorId="0" shapeId="0">
      <text>
        <t>fx.json forward(flat_last_end) — 가정</t>
      </text>
    </comment>
    <comment ref="T8" authorId="0" shapeId="0">
      <text>
        <t>fx.json forward(flat_last_end) — 가정</t>
      </text>
    </comment>
    <comment ref="U8" authorId="0" shapeId="0">
      <text>
        <t>fx.json forward(flat_last_end) — 가정</t>
      </text>
    </comment>
    <comment ref="K9" authorId="0" shapeId="0">
      <text>
        <t>fx.json quarters(partial — 분기 진행 중 실측 평균)</t>
      </text>
    </comment>
    <comment ref="M9" authorId="0" shapeId="0">
      <text>
        <t>fx.json forward(flat_last_end) — 가정</t>
      </text>
    </comment>
    <comment ref="N9" authorId="0" shapeId="0">
      <text>
        <t>fx.json forward(flat_last_end) — 가정</t>
      </text>
    </comment>
    <comment ref="O9" authorId="0" shapeId="0">
      <text>
        <t>fx.json forward(flat_last_end) — 가정</t>
      </text>
    </comment>
    <comment ref="P9" authorId="0" shapeId="0">
      <text>
        <t>fx.json forward(flat_last_end) — 가정</t>
      </text>
    </comment>
    <comment ref="R9" authorId="0" shapeId="0">
      <text>
        <t>fx.json forward(flat_last_end) — 가정</t>
      </text>
    </comment>
    <comment ref="S9" authorId="0" shapeId="0">
      <text>
        <t>fx.json forward(flat_last_end) — 가정</t>
      </text>
    </comment>
    <comment ref="T9" authorId="0" shapeId="0">
      <text>
        <t>fx.json forward(flat_last_end) — 가정</t>
      </text>
    </comment>
    <comment ref="U9" authorId="0" shapeId="0">
      <text>
        <t>fx.json forward(flat_last_end) — 가정</t>
      </text>
    </comment>
    <comment ref="K10" authorId="0" shapeId="0">
      <text>
        <t>fx.json quarters(partial — 분기 진행 중 실측 평균)</t>
      </text>
    </comment>
    <comment ref="M10" authorId="0" shapeId="0">
      <text>
        <t>fx.json forward(flat_last_end) — 가정</t>
      </text>
    </comment>
    <comment ref="N10" authorId="0" shapeId="0">
      <text>
        <t>fx.json forward(flat_last_end) — 가정</t>
      </text>
    </comment>
    <comment ref="O10" authorId="0" shapeId="0">
      <text>
        <t>fx.json forward(flat_last_end) — 가정</t>
      </text>
    </comment>
    <comment ref="P10" authorId="0" shapeId="0">
      <text>
        <t>fx.json forward(flat_last_end) — 가정</t>
      </text>
    </comment>
    <comment ref="R10" authorId="0" shapeId="0">
      <text>
        <t>fx.json forward(flat_last_end) — 가정</t>
      </text>
    </comment>
    <comment ref="S10" authorId="0" shapeId="0">
      <text>
        <t>fx.json forward(flat_last_end) — 가정</t>
      </text>
    </comment>
    <comment ref="T10" authorId="0" shapeId="0">
      <text>
        <t>fx.json forward(flat_last_end) — 가정</t>
      </text>
    </comment>
    <comment ref="U10" authorId="0" shapeId="0">
      <text>
        <t>fx.json forward(flat_last_end) — 가정</t>
      </text>
    </comment>
    <comment ref="K11" authorId="0" shapeId="0">
      <text>
        <t>fx.json quarters(partial — 분기 진행 중 실측 평균)</t>
      </text>
    </comment>
    <comment ref="M11" authorId="0" shapeId="0">
      <text>
        <t>fx.json forward(flat_last_end) — 가정</t>
      </text>
    </comment>
    <comment ref="N11" authorId="0" shapeId="0">
      <text>
        <t>fx.json forward(flat_last_end) — 가정</t>
      </text>
    </comment>
    <comment ref="O11" authorId="0" shapeId="0">
      <text>
        <t>fx.json forward(flat_last_end) — 가정</t>
      </text>
    </comment>
    <comment ref="P11" authorId="0" shapeId="0">
      <text>
        <t>fx.json forward(flat_last_end) — 가정</t>
      </text>
    </comment>
    <comment ref="R11" authorId="0" shapeId="0">
      <text>
        <t>fx.json forward(flat_last_end) — 가정</t>
      </text>
    </comment>
    <comment ref="S11" authorId="0" shapeId="0">
      <text>
        <t>fx.json forward(flat_last_end) — 가정</t>
      </text>
    </comment>
    <comment ref="T11" authorId="0" shapeId="0">
      <text>
        <t>fx.json forward(flat_last_end) — 가정</t>
      </text>
    </comment>
    <comment ref="U11" authorId="0" shapeId="0">
      <text>
        <t>fx.json forward(flat_last_end) — 가정</t>
      </text>
    </comment>
    <comment ref="K12" authorId="0" shapeId="0">
      <text>
        <t>fx.json quarters(partial — 분기 진행 중 실측 평균)</t>
      </text>
    </comment>
    <comment ref="M12" authorId="0" shapeId="0">
      <text>
        <t>fx.json forward(flat_last_end) — 가정</t>
      </text>
    </comment>
    <comment ref="N12" authorId="0" shapeId="0">
      <text>
        <t>fx.json forward(flat_last_end) — 가정</t>
      </text>
    </comment>
    <comment ref="O12" authorId="0" shapeId="0">
      <text>
        <t>fx.json forward(flat_last_end) — 가정</t>
      </text>
    </comment>
    <comment ref="P12" authorId="0" shapeId="0">
      <text>
        <t>fx.json forward(flat_last_end) — 가정</t>
      </text>
    </comment>
    <comment ref="R12" authorId="0" shapeId="0">
      <text>
        <t>fx.json forward(flat_last_end) — 가정</t>
      </text>
    </comment>
    <comment ref="S12" authorId="0" shapeId="0">
      <text>
        <t>fx.json forward(flat_last_end) — 가정</t>
      </text>
    </comment>
    <comment ref="T12" authorId="0" shapeId="0">
      <text>
        <t>fx.json forward(flat_last_end) — 가정</t>
      </text>
    </comment>
    <comment ref="U12" authorId="0" shapeId="0">
      <text>
        <t>fx.json forward(flat_last_end) — 가정</t>
      </text>
    </comment>
    <comment ref="K13" authorId="0" shapeId="0">
      <text>
        <t>fx.json quarters(partial — 분기 진행 중 실측 평균)</t>
      </text>
    </comment>
    <comment ref="M13" authorId="0" shapeId="0">
      <text>
        <t>fx.json forward(flat_last_end) — 가정</t>
      </text>
    </comment>
    <comment ref="N13" authorId="0" shapeId="0">
      <text>
        <t>fx.json forward(flat_last_end) — 가정</t>
      </text>
    </comment>
    <comment ref="O13" authorId="0" shapeId="0">
      <text>
        <t>fx.json forward(flat_last_end) — 가정</t>
      </text>
    </comment>
    <comment ref="P13" authorId="0" shapeId="0">
      <text>
        <t>fx.json forward(flat_last_end) — 가정</t>
      </text>
    </comment>
    <comment ref="R13" authorId="0" shapeId="0">
      <text>
        <t>fx.json forward(flat_last_end) — 가정</t>
      </text>
    </comment>
    <comment ref="S13" authorId="0" shapeId="0">
      <text>
        <t>fx.json forward(flat_last_end) — 가정</t>
      </text>
    </comment>
    <comment ref="T13" authorId="0" shapeId="0">
      <text>
        <t>fx.json forward(flat_last_end) — 가정</t>
      </text>
    </comment>
    <comment ref="U13" authorId="0" shapeId="0">
      <text>
        <t>fx.json forward(flat_last_end) — 가정</t>
      </text>
    </comment>
    <comment ref="K15" authorId="0" shapeId="0">
      <text>
        <t>분기 진행 중(partial) — aikstockdata/토스 일봉</t>
      </text>
    </comment>
    <comment ref="K16" authorId="0" shapeId="0">
      <text>
        <t>분기 진행 중(partial) — aikstockdata/토스 일봉</t>
      </text>
    </comment>
    <comment ref="K17" authorId="0" shapeId="0">
      <text>
        <t>분기 진행 중(partial) — aikstockdata/토스 일봉</t>
      </text>
    </comment>
    <comment ref="K18" authorId="0" shapeId="0">
      <text>
        <t>분기 진행 중(partial) — aikstockdata/토스 일봉</t>
      </text>
    </comment>
    <comment ref="J21" authorId="0" shapeId="0">
      <text>
        <t>모델값 역산(implied): v / 전년동기 − 1
전년동기 × (1+0.0%) — g=최근 4분기 합 YoY 0.0% 클립(−30~+50%), 연차별 절반 감쇠(가정)</t>
      </text>
    </comment>
    <comment ref="K21" authorId="0" shapeId="0">
      <text>
        <t>모델값 역산(implied): v / 전년동기 − 1
전년동기 × (1+0.0%) — g=최근 4분기 합 YoY 0.0% 클립(−30~+50%), 연차별 절반 감쇠(가정)</t>
      </text>
    </comment>
    <comment ref="M21" authorId="0" shapeId="0">
      <text>
        <t>모델값 역산(implied): v / 전년동기 − 1
전년동기 × (1+0.0%) — g=최근 4분기 합 YoY 0.0% 클립(−30~+50%), 연차별 절반 감쇠(가정)</t>
      </text>
    </comment>
    <comment ref="N21" authorId="0" shapeId="0">
      <text>
        <t>모델값 역산(implied): v / 전년동기 − 1
전년동기 × (1+0.0%) — g=최근 4분기 합 YoY 0.0% 클립(−30~+50%), 연차별 절반 감쇠(가정)</t>
      </text>
    </comment>
    <comment ref="O21" authorId="0" shapeId="0">
      <text>
        <t>모델값 역산(implied): v / 전년동기 − 1
전년동기 × (1+0.0%) — g=최근 4분기 합 YoY 0.0% 클립(−30~+50%), 연차별 절반 감쇠(가정)</t>
      </text>
    </comment>
    <comment ref="P21" authorId="0" shapeId="0">
      <text>
        <t>모델값 역산(implied): v / 전년동기 − 1
전년동기 × (1+0.0%) — g=최근 4분기 합 YoY 0.0% 클립(−30~+50%), 연차별 절반 감쇠(가정)</t>
      </text>
    </comment>
    <comment ref="R21" authorId="0" shapeId="0">
      <text>
        <t>모델값 역산(implied): v / 전년동기 − 1
전년동기 × (1+0.0%) — g=최근 4분기 합 YoY 0.0% 클립(−30~+50%), 연차별 절반 감쇠(가정)</t>
      </text>
    </comment>
    <comment ref="S21" authorId="0" shapeId="0">
      <text>
        <t>모델값 역산(implied): v / 전년동기 − 1
전년동기 × (1+0.0%) — g=최근 4분기 합 YoY 0.0% 클립(−30~+50%), 연차별 절반 감쇠(가정)</t>
      </text>
    </comment>
    <comment ref="T21" authorId="0" shapeId="0">
      <text>
        <t>모델값 역산(implied): v / 전년동기 − 1
전년동기 × (1+0.0%) — g=최근 4분기 합 YoY 0.0% 클립(−30~+50%), 연차별 절반 감쇠(가정)</t>
      </text>
    </comment>
    <comment ref="U21" authorId="0" shapeId="0">
      <text>
        <t>모델값 역산(implied): v / 전년동기 − 1
전년동기 × (1+0.0%) — g=최근 4분기 합 YoY 0.0% 클립(−30~+50%), 연차별 절반 감쇠(가정)</t>
      </text>
    </comment>
    <comment ref="J22" authorId="0" shapeId="0">
      <text>
        <t>3절 스칼라 '판관비율' 참조 — 숫자로 덮어쓰면 이 분기만 바뀐다
매출액 × 판관비율 6.39%(최근 4분기 중위)</t>
      </text>
    </comment>
    <comment ref="K22" authorId="0" shapeId="0">
      <text>
        <t>3절 스칼라 '판관비율' 참조 — 숫자로 덮어쓰면 이 분기만 바뀐다
매출액 × 판관비율 6.39%(최근 4분기 중위)</t>
      </text>
    </comment>
    <comment ref="M22" authorId="0" shapeId="0">
      <text>
        <t>3절 스칼라 '판관비율' 참조 — 숫자로 덮어쓰면 이 분기만 바뀐다
매출액 × 판관비율 6.39%(최근 4분기 중위)</t>
      </text>
    </comment>
    <comment ref="N22" authorId="0" shapeId="0">
      <text>
        <t>3절 스칼라 '판관비율' 참조 — 숫자로 덮어쓰면 이 분기만 바뀐다
매출액 × 판관비율 6.39%(최근 4분기 중위)</t>
      </text>
    </comment>
    <comment ref="O22" authorId="0" shapeId="0">
      <text>
        <t>3절 스칼라 '판관비율' 참조 — 숫자로 덮어쓰면 이 분기만 바뀐다
매출액 × 판관비율 6.39%(최근 4분기 중위)</t>
      </text>
    </comment>
    <comment ref="P22" authorId="0" shapeId="0">
      <text>
        <t>3절 스칼라 '판관비율' 참조 — 숫자로 덮어쓰면 이 분기만 바뀐다
매출액 × 판관비율 6.39%(최근 4분기 중위)</t>
      </text>
    </comment>
    <comment ref="R22" authorId="0" shapeId="0">
      <text>
        <t>3절 스칼라 '판관비율' 참조 — 숫자로 덮어쓰면 이 분기만 바뀐다
매출액 × 판관비율 6.39%(최근 4분기 중위)</t>
      </text>
    </comment>
    <comment ref="S22" authorId="0" shapeId="0">
      <text>
        <t>3절 스칼라 '판관비율' 참조 — 숫자로 덮어쓰면 이 분기만 바뀐다
매출액 × 판관비율 6.39%(최근 4분기 중위)</t>
      </text>
    </comment>
    <comment ref="T22" authorId="0" shapeId="0">
      <text>
        <t>3절 스칼라 '판관비율' 참조 — 숫자로 덮어쓰면 이 분기만 바뀐다
매출액 × 판관비율 6.39%(최근 4분기 중위)</t>
      </text>
    </comment>
    <comment ref="U22" authorId="0" shapeId="0">
      <text>
        <t>3절 스칼라 '판관비율' 참조 — 숫자로 덮어쓰면 이 분기만 바뀐다
매출액 × 판관비율 6.39%(최근 4분기 중위)</t>
      </text>
    </comment>
    <comment ref="J23" authorId="0" shapeId="0">
      <text>
        <t>모델값 역산(implied): v / 매출액
매출액 × OPM(최근 4분기 OPM 중위 1.1% 유지(클립 −20~40%))</t>
      </text>
    </comment>
    <comment ref="K23" authorId="0" shapeId="0">
      <text>
        <t>모델값 역산(implied): v / 매출액
매출액 × OPM(최근 4분기 OPM 중위 1.1% 유지(클립 −20~40%))</t>
      </text>
    </comment>
    <comment ref="M23" authorId="0" shapeId="0">
      <text>
        <t>모델값 역산(implied): v / 매출액
매출액 × OPM(최근 4분기 OPM 중위 1.1% 유지(클립 −20~40%))</t>
      </text>
    </comment>
    <comment ref="N23" authorId="0" shapeId="0">
      <text>
        <t>모델값 역산(implied): v / 매출액
매출액 × OPM(최근 4분기 OPM 중위 1.1% 유지(클립 −20~40%))</t>
      </text>
    </comment>
    <comment ref="O23" authorId="0" shapeId="0">
      <text>
        <t>모델값 역산(implied): v / 매출액
매출액 × OPM(최근 4분기 OPM 중위 1.1% 유지(클립 −20~40%))</t>
      </text>
    </comment>
    <comment ref="P23" authorId="0" shapeId="0">
      <text>
        <t>모델값 역산(implied): v / 매출액
매출액 × OPM(최근 4분기 OPM 중위 1.1% 유지(클립 −20~40%))</t>
      </text>
    </comment>
    <comment ref="R23" authorId="0" shapeId="0">
      <text>
        <t>모델값 역산(implied): v / 매출액
매출액 × OPM(최근 4분기 OPM 중위 1.1% 유지(클립 −20~40%))</t>
      </text>
    </comment>
    <comment ref="S23" authorId="0" shapeId="0">
      <text>
        <t>모델값 역산(implied): v / 매출액
매출액 × OPM(최근 4분기 OPM 중위 1.1% 유지(클립 −20~40%))</t>
      </text>
    </comment>
    <comment ref="T23" authorId="0" shapeId="0">
      <text>
        <t>모델값 역산(implied): v / 매출액
매출액 × OPM(최근 4분기 OPM 중위 1.1% 유지(클립 −20~40%))</t>
      </text>
    </comment>
    <comment ref="U23" authorId="0" shapeId="0">
      <text>
        <t>모델값 역산(implied): v / 매출액
매출액 × OPM(최근 4분기 OPM 중위 1.1% 유지(클립 −20~40%))</t>
      </text>
    </comment>
    <comment ref="J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O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P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R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S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T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U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J25" authorId="0" shapeId="0">
      <text>
        <t>모델값 역산(implied): 모델 v 그대로
파생상품 평가·거래손익 0 가정</t>
      </text>
    </comment>
    <comment ref="K25" authorId="0" shapeId="0">
      <text>
        <t>모델값 역산(implied): 모델 v 그대로
파생상품 평가·거래손익 0 가정</t>
      </text>
    </comment>
    <comment ref="M25" authorId="0" shapeId="0">
      <text>
        <t>모델값 역산(implied): 모델 v 그대로
파생상품 평가·거래손익 0 가정</t>
      </text>
    </comment>
    <comment ref="N25" authorId="0" shapeId="0">
      <text>
        <t>모델값 역산(implied): 모델 v 그대로
파생상품 평가·거래손익 0 가정</t>
      </text>
    </comment>
    <comment ref="O25" authorId="0" shapeId="0">
      <text>
        <t>모델값 역산(implied): 모델 v 그대로
파생상품 평가·거래손익 0 가정</t>
      </text>
    </comment>
    <comment ref="P25" authorId="0" shapeId="0">
      <text>
        <t>모델값 역산(implied): 모델 v 그대로
파생상품 평가·거래손익 0 가정</t>
      </text>
    </comment>
    <comment ref="R25" authorId="0" shapeId="0">
      <text>
        <t>모델값 역산(implied): 모델 v 그대로
파생상품 평가·거래손익 0 가정</t>
      </text>
    </comment>
    <comment ref="S25" authorId="0" shapeId="0">
      <text>
        <t>모델값 역산(implied): 모델 v 그대로
파생상품 평가·거래손익 0 가정</t>
      </text>
    </comment>
    <comment ref="T25" authorId="0" shapeId="0">
      <text>
        <t>모델값 역산(implied): 모델 v 그대로
파생상품 평가·거래손익 0 가정</t>
      </text>
    </comment>
    <comment ref="U25" authorId="0" shapeId="0">
      <text>
        <t>모델값 역산(implied): 모델 v 그대로
파생상품 평가·거래손익 0 가정</t>
      </text>
    </comment>
    <comment ref="J26" authorId="0" shapeId="0">
      <text>
        <t>모델값 역산(implied): 모델 v 그대로
잔차 실측 3분기 &lt; 4 → 0</t>
      </text>
    </comment>
    <comment ref="K26" authorId="0" shapeId="0">
      <text>
        <t>모델값 역산(implied): 모델 v 그대로
잔차 실측 3분기 &lt; 4 → 0</t>
      </text>
    </comment>
    <comment ref="M26" authorId="0" shapeId="0">
      <text>
        <t>모델값 역산(implied): 모델 v 그대로
잔차 실측 3분기 &lt; 4 → 0</t>
      </text>
    </comment>
    <comment ref="N26" authorId="0" shapeId="0">
      <text>
        <t>모델값 역산(implied): 모델 v 그대로
잔차 실측 3분기 &lt; 4 → 0</t>
      </text>
    </comment>
    <comment ref="O26" authorId="0" shapeId="0">
      <text>
        <t>모델값 역산(implied): 모델 v 그대로
잔차 실측 3분기 &lt; 4 → 0</t>
      </text>
    </comment>
    <comment ref="P26" authorId="0" shapeId="0">
      <text>
        <t>모델값 역산(implied): 모델 v 그대로
잔차 실측 3분기 &lt; 4 → 0</t>
      </text>
    </comment>
    <comment ref="R26" authorId="0" shapeId="0">
      <text>
        <t>모델값 역산(implied): 모델 v 그대로
잔차 실측 3분기 &lt; 4 → 0</t>
      </text>
    </comment>
    <comment ref="S26" authorId="0" shapeId="0">
      <text>
        <t>모델값 역산(implied): 모델 v 그대로
잔차 실측 3분기 &lt; 4 → 0</t>
      </text>
    </comment>
    <comment ref="T26" authorId="0" shapeId="0">
      <text>
        <t>모델값 역산(implied): 모델 v 그대로
잔차 실측 3분기 &lt; 4 → 0</t>
      </text>
    </comment>
    <comment ref="U26" authorId="0" shapeId="0">
      <text>
        <t>모델값 역산(implied): 모델 v 그대로
잔차 실측 3분기 &lt; 4 → 0</t>
      </text>
    </comment>
    <comment ref="J27" authorId="0" shapeId="0">
      <text>
        <t>모델값 역산(implied): 모델 v 그대로
일회성 미가정 → 0</t>
      </text>
    </comment>
    <comment ref="K27" authorId="0" shapeId="0">
      <text>
        <t>모델값 역산(implied): 모델 v 그대로
일회성 미가정 → 0</t>
      </text>
    </comment>
    <comment ref="M27" authorId="0" shapeId="0">
      <text>
        <t>모델값 역산(implied): 모델 v 그대로
일회성 미가정 → 0</t>
      </text>
    </comment>
    <comment ref="N27" authorId="0" shapeId="0">
      <text>
        <t>모델값 역산(implied): 모델 v 그대로
일회성 미가정 → 0</t>
      </text>
    </comment>
    <comment ref="O27" authorId="0" shapeId="0">
      <text>
        <t>모델값 역산(implied): 모델 v 그대로
일회성 미가정 → 0</t>
      </text>
    </comment>
    <comment ref="P27" authorId="0" shapeId="0">
      <text>
        <t>모델값 역산(implied): 모델 v 그대로
일회성 미가정 → 0</t>
      </text>
    </comment>
    <comment ref="R27" authorId="0" shapeId="0">
      <text>
        <t>모델값 역산(implied): 모델 v 그대로
일회성 미가정 → 0</t>
      </text>
    </comment>
    <comment ref="S27" authorId="0" shapeId="0">
      <text>
        <t>모델값 역산(implied): 모델 v 그대로
일회성 미가정 → 0</t>
      </text>
    </comment>
    <comment ref="T27" authorId="0" shapeId="0">
      <text>
        <t>모델값 역산(implied): 모델 v 그대로
일회성 미가정 → 0</t>
      </text>
    </comment>
    <comment ref="U27" authorId="0" shapeId="0">
      <text>
        <t>모델값 역산(implied): 모델 v 그대로
일회성 미가정 → 0</t>
      </text>
    </comment>
    <comment ref="J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K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M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N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O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P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R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S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T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U28" authorId="0" shapeId="0">
      <text>
        <t>3절 스칼라 '세율' 참조 — 숫자로 덮어쓰면 이 분기만 바뀐다
max(세전, 0) × 세율 22.0%(최근 4분기 유효세율 43.0% 가 5~27% 밖; 세전 &gt; 0 분기 중위 34.7% 도 5~27% 밖 → 법정세율 근사 22% 가정)</t>
      </text>
    </comment>
    <comment ref="J29" authorId="0" shapeId="0">
      <text>
        <t>3절 스칼라 '지배주주비중' 참조 — 숫자로 덮어쓰면 이 분기만 바뀐다
당기순이익 × (1 − 비지배 비중 0.0%, 최근 8분기 실측)</t>
      </text>
    </comment>
    <comment ref="K29" authorId="0" shapeId="0">
      <text>
        <t>3절 스칼라 '지배주주비중' 참조 — 숫자로 덮어쓰면 이 분기만 바뀐다
당기순이익 × (1 − 비지배 비중 0.0%, 최근 8분기 실측)</t>
      </text>
    </comment>
    <comment ref="M29" authorId="0" shapeId="0">
      <text>
        <t>3절 스칼라 '지배주주비중' 참조 — 숫자로 덮어쓰면 이 분기만 바뀐다
당기순이익 × (1 − 비지배 비중 0.0%, 최근 8분기 실측)</t>
      </text>
    </comment>
    <comment ref="N29" authorId="0" shapeId="0">
      <text>
        <t>3절 스칼라 '지배주주비중' 참조 — 숫자로 덮어쓰면 이 분기만 바뀐다
당기순이익 × (1 − 비지배 비중 0.0%, 최근 8분기 실측)</t>
      </text>
    </comment>
    <comment ref="O29" authorId="0" shapeId="0">
      <text>
        <t>3절 스칼라 '지배주주비중' 참조 — 숫자로 덮어쓰면 이 분기만 바뀐다
당기순이익 × (1 − 비지배 비중 0.0%, 최근 8분기 실측)</t>
      </text>
    </comment>
    <comment ref="P29" authorId="0" shapeId="0">
      <text>
        <t>3절 스칼라 '지배주주비중' 참조 — 숫자로 덮어쓰면 이 분기만 바뀐다
당기순이익 × (1 − 비지배 비중 0.0%, 최근 8분기 실측)</t>
      </text>
    </comment>
    <comment ref="R29" authorId="0" shapeId="0">
      <text>
        <t>3절 스칼라 '지배주주비중' 참조 — 숫자로 덮어쓰면 이 분기만 바뀐다
당기순이익 × (1 − 비지배 비중 0.0%, 최근 8분기 실측)</t>
      </text>
    </comment>
    <comment ref="S29" authorId="0" shapeId="0">
      <text>
        <t>3절 스칼라 '지배주주비중' 참조 — 숫자로 덮어쓰면 이 분기만 바뀐다
당기순이익 × (1 − 비지배 비중 0.0%, 최근 8분기 실측)</t>
      </text>
    </comment>
    <comment ref="T29" authorId="0" shapeId="0">
      <text>
        <t>3절 스칼라 '지배주주비중' 참조 — 숫자로 덮어쓰면 이 분기만 바뀐다
당기순이익 × (1 − 비지배 비중 0.0%, 최근 8분기 실측)</t>
      </text>
    </comment>
    <comment ref="U29" authorId="0" shapeId="0">
      <text>
        <t>3절 스칼라 '지배주주비중' 참조 — 숫자로 덮어쓰면 이 분기만 바뀐다
당기순이익 × (1 − 비지배 비중 0.0%, 최근 8분기 실측)</t>
      </text>
    </comment>
    <comment ref="J31" authorId="0" shapeId="0">
      <text>
        <t>모델값 역산(implied): v / 전분기 − 1
마지막 실적 유지(가정)</t>
      </text>
    </comment>
    <comment ref="K31" authorId="0" shapeId="0">
      <text>
        <t>모델값 역산(implied): v / 전분기 − 1
마지막 실적 유지(가정)</t>
      </text>
    </comment>
    <comment ref="M31" authorId="0" shapeId="0">
      <text>
        <t>모델값 역산(implied): v / 전분기 − 1
마지막 실적 유지(가정)</t>
      </text>
    </comment>
    <comment ref="N31" authorId="0" shapeId="0">
      <text>
        <t>모델값 역산(implied): v / 전분기 − 1
마지막 실적 유지(가정)</t>
      </text>
    </comment>
    <comment ref="O31" authorId="0" shapeId="0">
      <text>
        <t>모델값 역산(implied): v / 전분기 − 1
마지막 실적 유지(가정)</t>
      </text>
    </comment>
    <comment ref="P31" authorId="0" shapeId="0">
      <text>
        <t>모델값 역산(implied): v / 전분기 − 1
마지막 실적 유지(가정)</t>
      </text>
    </comment>
    <comment ref="R31" authorId="0" shapeId="0">
      <text>
        <t>모델값 역산(implied): v / 전분기 − 1
마지막 실적 유지(가정)</t>
      </text>
    </comment>
    <comment ref="S31" authorId="0" shapeId="0">
      <text>
        <t>모델값 역산(implied): v / 전분기 − 1
마지막 실적 유지(가정)</t>
      </text>
    </comment>
    <comment ref="T31" authorId="0" shapeId="0">
      <text>
        <t>모델값 역산(implied): v / 전분기 − 1
마지막 실적 유지(가정)</t>
      </text>
    </comment>
    <comment ref="U31" authorId="0" shapeId="0">
      <text>
        <t>모델값 역산(implied): v / 전분기 − 1
마지막 실적 유지(가정)</t>
      </text>
    </comment>
    <comment ref="J32" authorId="0" shapeId="0">
      <text>
        <t>모델값 역산(implied): 전분기(시트값) + 당기순이익(시트 수식값) − v
전분기 + 당기순이익 − 배당(Q2 지급 가정)</t>
      </text>
    </comment>
    <comment ref="K32" authorId="0" shapeId="0">
      <text>
        <t>모델값 역산(implied): 전분기(시트값) + 당기순이익(시트 수식값) − v
전분기 + 당기순이익 − 배당(Q2 지급 가정)</t>
      </text>
    </comment>
    <comment ref="M32" authorId="0" shapeId="0">
      <text>
        <t>모델값 역산(implied): 전분기(시트값) + 당기순이익(시트 수식값) − v
전분기 + 당기순이익 − 배당(Q2 지급 가정)</t>
      </text>
    </comment>
    <comment ref="N32" authorId="0" shapeId="0">
      <text>
        <t>모델값 역산(implied): 전분기(시트값) + 당기순이익(시트 수식값) − v
전분기 + 당기순이익 − 배당(Q2 지급 가정)</t>
      </text>
    </comment>
    <comment ref="O32" authorId="0" shapeId="0">
      <text>
        <t>모델값 역산(implied): 전분기(시트값) + 당기순이익(시트 수식값) − v
전분기 + 당기순이익 − 배당(Q2 지급 가정)</t>
      </text>
    </comment>
    <comment ref="P32" authorId="0" shapeId="0">
      <text>
        <t>모델값 역산(implied): 전분기(시트값) + 당기순이익(시트 수식값) − v
전분기 + 당기순이익 − 배당(Q2 지급 가정)</t>
      </text>
    </comment>
    <comment ref="R32" authorId="0" shapeId="0">
      <text>
        <t>모델값 역산(implied): 전분기(시트값) + 당기순이익(시트 수식값) − v
전분기 + 당기순이익 − 배당(Q2 지급 가정)</t>
      </text>
    </comment>
    <comment ref="S32" authorId="0" shapeId="0">
      <text>
        <t>모델값 역산(implied): 전분기(시트값) + 당기순이익(시트 수식값) − v
전분기 + 당기순이익 − 배당(Q2 지급 가정)</t>
      </text>
    </comment>
    <comment ref="T32" authorId="0" shapeId="0">
      <text>
        <t>모델값 역산(implied): 전분기(시트값) + 당기순이익(시트 수식값) − v
전분기 + 당기순이익 − 배당(Q2 지급 가정)</t>
      </text>
    </comment>
    <comment ref="U32" authorId="0" shapeId="0">
      <text>
        <t>모델값 역산(implied): 전분기(시트값) + 당기순이익(시트 수식값) − v
전분기 + 당기순이익 − 배당(Q2 지급 가정)</t>
      </text>
    </comment>
    <comment ref="J33" authorId="0" shapeId="0">
      <text>
        <t>모델값 역산(implied): 전분기(시트값) + 지배주주순이익(시트 수식값) − v
전분기 + 지배주주순이익 − 배당</t>
      </text>
    </comment>
    <comment ref="K33" authorId="0" shapeId="0">
      <text>
        <t>모델값 역산(implied): 전분기(시트값) + 지배주주순이익(시트 수식값) − v
전분기 + 지배주주순이익 − 배당</t>
      </text>
    </comment>
    <comment ref="M33" authorId="0" shapeId="0">
      <text>
        <t>모델값 역산(implied): 전분기(시트값) + 지배주주순이익(시트 수식값) − v
전분기 + 지배주주순이익 − 배당</t>
      </text>
    </comment>
    <comment ref="N33" authorId="0" shapeId="0">
      <text>
        <t>모델값 역산(implied): 전분기(시트값) + 지배주주순이익(시트 수식값) − v
전분기 + 지배주주순이익 − 배당</t>
      </text>
    </comment>
    <comment ref="O33" authorId="0" shapeId="0">
      <text>
        <t>모델값 역산(implied): 전분기(시트값) + 지배주주순이익(시트 수식값) − v
전분기 + 지배주주순이익 − 배당</t>
      </text>
    </comment>
    <comment ref="P33" authorId="0" shapeId="0">
      <text>
        <t>모델값 역산(implied): 전분기(시트값) + 지배주주순이익(시트 수식값) − v
전분기 + 지배주주순이익 − 배당</t>
      </text>
    </comment>
    <comment ref="R33" authorId="0" shapeId="0">
      <text>
        <t>모델값 역산(implied): 전분기(시트값) + 지배주주순이익(시트 수식값) − v
전분기 + 지배주주순이익 − 배당</t>
      </text>
    </comment>
    <comment ref="S33" authorId="0" shapeId="0">
      <text>
        <t>모델값 역산(implied): 전분기(시트값) + 지배주주순이익(시트 수식값) − v
전분기 + 지배주주순이익 − 배당</t>
      </text>
    </comment>
    <comment ref="T33" authorId="0" shapeId="0">
      <text>
        <t>모델값 역산(implied): 전분기(시트값) + 지배주주순이익(시트 수식값) − v
전분기 + 지배주주순이익 − 배당</t>
      </text>
    </comment>
    <comment ref="U33" authorId="0" shapeId="0">
      <text>
        <t>모델값 역산(implied): 전분기(시트값) + 지배주주순이익(시트 수식값) − v
전분기 + 지배주주순이익 − 배당</t>
      </text>
    </comment>
    <comment ref="J34" authorId="0" shapeId="0">
      <text>
        <t>모델값 역산(implied): v / 전분기 − 1
마지막 실적 유지(가정)</t>
      </text>
    </comment>
    <comment ref="K34" authorId="0" shapeId="0">
      <text>
        <t>모델값 역산(implied): v / 전분기 − 1
마지막 실적 유지(가정)</t>
      </text>
    </comment>
    <comment ref="M34" authorId="0" shapeId="0">
      <text>
        <t>모델값 역산(implied): v / 전분기 − 1
마지막 실적 유지(가정)</t>
      </text>
    </comment>
    <comment ref="N34" authorId="0" shapeId="0">
      <text>
        <t>모델값 역산(implied): v / 전분기 − 1
마지막 실적 유지(가정)</t>
      </text>
    </comment>
    <comment ref="O34" authorId="0" shapeId="0">
      <text>
        <t>모델값 역산(implied): v / 전분기 − 1
마지막 실적 유지(가정)</t>
      </text>
    </comment>
    <comment ref="P34" authorId="0" shapeId="0">
      <text>
        <t>모델값 역산(implied): v / 전분기 − 1
마지막 실적 유지(가정)</t>
      </text>
    </comment>
    <comment ref="R34" authorId="0" shapeId="0">
      <text>
        <t>모델값 역산(implied): v / 전분기 − 1
마지막 실적 유지(가정)</t>
      </text>
    </comment>
    <comment ref="S34" authorId="0" shapeId="0">
      <text>
        <t>모델값 역산(implied): v / 전분기 − 1
마지막 실적 유지(가정)</t>
      </text>
    </comment>
    <comment ref="T34" authorId="0" shapeId="0">
      <text>
        <t>모델값 역산(implied): v / 전분기 − 1
마지막 실적 유지(가정)</t>
      </text>
    </comment>
    <comment ref="U34" authorId="0" shapeId="0">
      <text>
        <t>모델값 역산(implied): v / 전분기 − 1
마지막 실적 유지(가정)</t>
      </text>
    </comment>
    <comment ref="J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K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M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N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O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P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R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S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T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U35" authorId="0" shapeId="0">
      <text>
        <t>모델값 역산(implied): v / 전분기 − 1
전분기 − FCF 근사[순이익 − 배당(감가상각비 없음 → CAPEX≈감가 가정, CAPEX 중위 7억은 행에만)] (운전자본 불변·총차입금 유지 가정 → 변동은 전부 현금)</t>
      </text>
    </comment>
    <comment ref="J36" authorId="0" shapeId="0">
      <text>
        <t>모델값 역산(implied): v / 전분기 − 1
전분기 + FCF 근사 — 순차입금 롤과 같은 가정</t>
      </text>
    </comment>
    <comment ref="K36" authorId="0" shapeId="0">
      <text>
        <t>모델값 역산(implied): v / 전분기 − 1
전분기 + FCF 근사 — 순차입금 롤과 같은 가정</t>
      </text>
    </comment>
    <comment ref="M36" authorId="0" shapeId="0">
      <text>
        <t>모델값 역산(implied): v / 전분기 − 1
전분기 + FCF 근사 — 순차입금 롤과 같은 가정</t>
      </text>
    </comment>
    <comment ref="N36" authorId="0" shapeId="0">
      <text>
        <t>모델값 역산(implied): v / 전분기 − 1
전분기 + FCF 근사 — 순차입금 롤과 같은 가정</t>
      </text>
    </comment>
    <comment ref="O36" authorId="0" shapeId="0">
      <text>
        <t>모델값 역산(implied): v / 전분기 − 1
전분기 + FCF 근사 — 순차입금 롤과 같은 가정</t>
      </text>
    </comment>
    <comment ref="P36" authorId="0" shapeId="0">
      <text>
        <t>모델값 역산(implied): v / 전분기 − 1
전분기 + FCF 근사 — 순차입금 롤과 같은 가정</t>
      </text>
    </comment>
    <comment ref="R36" authorId="0" shapeId="0">
      <text>
        <t>모델값 역산(implied): v / 전분기 − 1
전분기 + FCF 근사 — 순차입금 롤과 같은 가정</t>
      </text>
    </comment>
    <comment ref="S36" authorId="0" shapeId="0">
      <text>
        <t>모델값 역산(implied): v / 전분기 − 1
전분기 + FCF 근사 — 순차입금 롤과 같은 가정</t>
      </text>
    </comment>
    <comment ref="T36" authorId="0" shapeId="0">
      <text>
        <t>모델값 역산(implied): v / 전분기 − 1
전분기 + FCF 근사 — 순차입금 롤과 같은 가정</t>
      </text>
    </comment>
    <comment ref="U36" authorId="0" shapeId="0">
      <text>
        <t>모델값 역산(implied): v / 전분기 − 1
전분기 + FCF 근사 — 순차입금 롤과 같은 가정</t>
      </text>
    </comment>
    <comment ref="J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K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M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N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O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P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R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S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T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U38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J40" authorId="0" shapeId="0">
      <text>
        <t>모델값 역산(implied): v / 전분기 − 1
유통주식수 유지 — fin.shares.common_outstanding(2026Q2)</t>
      </text>
    </comment>
    <comment ref="K40" authorId="0" shapeId="0">
      <text>
        <t>모델값 역산(implied): v / 전분기 − 1
유통주식수 유지 — fin.shares.common_outstanding(2026Q2)</t>
      </text>
    </comment>
    <comment ref="M40" authorId="0" shapeId="0">
      <text>
        <t>모델값 역산(implied): v / 전분기 − 1
유통주식수 유지 — fin.shares.common_outstanding(2026Q2)</t>
      </text>
    </comment>
    <comment ref="N40" authorId="0" shapeId="0">
      <text>
        <t>모델값 역산(implied): v / 전분기 − 1
유통주식수 유지 — fin.shares.common_outstanding(2026Q2)</t>
      </text>
    </comment>
    <comment ref="O40" authorId="0" shapeId="0">
      <text>
        <t>모델값 역산(implied): v / 전분기 − 1
유통주식수 유지 — fin.shares.common_outstanding(2026Q2)</t>
      </text>
    </comment>
    <comment ref="P40" authorId="0" shapeId="0">
      <text>
        <t>모델값 역산(implied): v / 전분기 − 1
유통주식수 유지 — fin.shares.common_outstanding(2026Q2)</t>
      </text>
    </comment>
    <comment ref="R40" authorId="0" shapeId="0">
      <text>
        <t>모델값 역산(implied): v / 전분기 − 1
유통주식수 유지 — fin.shares.common_outstanding(2026Q2)</t>
      </text>
    </comment>
    <comment ref="S40" authorId="0" shapeId="0">
      <text>
        <t>모델값 역산(implied): v / 전분기 − 1
유통주식수 유지 — fin.shares.common_outstanding(2026Q2)</t>
      </text>
    </comment>
    <comment ref="T40" authorId="0" shapeId="0">
      <text>
        <t>모델값 역산(implied): v / 전분기 − 1
유통주식수 유지 — fin.shares.common_outstanding(2026Q2)</t>
      </text>
    </comment>
    <comment ref="U40" authorId="0" shapeId="0">
      <text>
        <t>모델값 역산(implied): v / 전분기 − 1
유통주식수 유지 — fin.shares.common_outstanding(2026Q2)</t>
      </text>
    </comment>
    <comment ref="K41" authorId="0" shapeId="0">
      <text>
        <t>모델값 역산(implied): 모델 v 그대로
직전 결산 DPS 50원 유지</t>
      </text>
    </comment>
    <comment ref="P41" authorId="0" shapeId="0">
      <text>
        <t>모델값 역산(implied): 모델 v 그대로
직전 결산 DPS 50원 유지</t>
      </text>
    </comment>
    <comment ref="U41" authorId="0" shapeId="0">
      <text>
        <t>모델값 역산(implied): 모델 v 그대로
직전 결산 DPS 50원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J5" authorId="0" shapeId="0">
      <text>
        <t>추정: 전년동기 × (1+0.0%) — g=최근 4분기 합 YoY 0.0% 클립(−30~+50%), 연차별 절반 감쇠(가정)
[yoy]</t>
      </text>
    </comment>
    <comment ref="K5" authorId="0" shapeId="0">
      <text>
        <t>추정: 전년동기 × (1+0.0%) — g=최근 4분기 합 YoY 0.0% 클립(−30~+50%), 연차별 절반 감쇠(가정)
[yoy]</t>
      </text>
    </comment>
    <comment ref="M5" authorId="0" shapeId="0">
      <text>
        <t>추정: 전년동기 × (1+0.0%) — g=최근 4분기 합 YoY 0.0% 클립(−30~+50%), 연차별 절반 감쇠(가정)
[yoy]</t>
      </text>
    </comment>
    <comment ref="N5" authorId="0" shapeId="0">
      <text>
        <t>추정: 전년동기 × (1+0.0%) — g=최근 4분기 합 YoY 0.0% 클립(−30~+50%), 연차별 절반 감쇠(가정)
[yoy]</t>
      </text>
    </comment>
    <comment ref="O5" authorId="0" shapeId="0">
      <text>
        <t>추정: 전년동기 × (1+0.0%) — g=최근 4분기 합 YoY 0.0% 클립(−30~+50%), 연차별 절반 감쇠(가정)
[yoy]</t>
      </text>
    </comment>
    <comment ref="P5" authorId="0" shapeId="0">
      <text>
        <t>추정: 전년동기 × (1+0.0%) — g=최근 4분기 합 YoY 0.0% 클립(−30~+50%), 연차별 절반 감쇠(가정)
[yoy]</t>
      </text>
    </comment>
    <comment ref="R5" authorId="0" shapeId="0">
      <text>
        <t>추정: 전년동기 × (1+0.0%) — g=최근 4분기 합 YoY 0.0% 클립(−30~+50%), 연차별 절반 감쇠(가정)
[yoy]</t>
      </text>
    </comment>
    <comment ref="S5" authorId="0" shapeId="0">
      <text>
        <t>추정: 전년동기 × (1+0.0%) — g=최근 4분기 합 YoY 0.0% 클립(−30~+50%), 연차별 절반 감쇠(가정)
[yoy]</t>
      </text>
    </comment>
    <comment ref="T5" authorId="0" shapeId="0">
      <text>
        <t>추정: 전년동기 × (1+0.0%) — g=최근 4분기 합 YoY 0.0% 클립(−30~+50%), 연차별 절반 감쇠(가정)
[yoy]</t>
      </text>
    </comment>
    <comment ref="U5" authorId="0" shapeId="0">
      <text>
        <t>추정: 전년동기 × (1+0.0%) — g=최근 4분기 합 YoY 0.0% 클립(−30~+50%), 연차별 절반 감쇠(가정)
[yoy]</t>
      </text>
    </comment>
    <comment ref="J6" authorId="0" shapeId="0">
      <text>
        <t>추정: 매출액 − 매출총이익(항등식)
[identity]</t>
      </text>
    </comment>
    <comment ref="K6" authorId="0" shapeId="0">
      <text>
        <t>추정: 매출액 − 매출총이익(항등식)
[identity]</t>
      </text>
    </comment>
    <comment ref="M6" authorId="0" shapeId="0">
      <text>
        <t>추정: 매출액 − 매출총이익(항등식)
[identity]</t>
      </text>
    </comment>
    <comment ref="N6" authorId="0" shapeId="0">
      <text>
        <t>추정: 매출액 − 매출총이익(항등식)
[identity]</t>
      </text>
    </comment>
    <comment ref="O6" authorId="0" shapeId="0">
      <text>
        <t>추정: 매출액 − 매출총이익(항등식)
[identity]</t>
      </text>
    </comment>
    <comment ref="P6" authorId="0" shapeId="0">
      <text>
        <t>추정: 매출액 − 매출총이익(항등식)
[identity]</t>
      </text>
    </comment>
    <comment ref="R6" authorId="0" shapeId="0">
      <text>
        <t>추정: 매출액 − 매출총이익(항등식)
[identity]</t>
      </text>
    </comment>
    <comment ref="S6" authorId="0" shapeId="0">
      <text>
        <t>추정: 매출액 − 매출총이익(항등식)
[identity]</t>
      </text>
    </comment>
    <comment ref="T6" authorId="0" shapeId="0">
      <text>
        <t>추정: 매출액 − 매출총이익(항등식)
[identity]</t>
      </text>
    </comment>
    <comment ref="U6" authorId="0" shapeId="0">
      <text>
        <t>추정: 매출액 − 매출총이익(항등식)
[identity]</t>
      </text>
    </comment>
    <comment ref="J7" authorId="0" shapeId="0">
      <text>
        <t>추정: 영업이익 + 판관비 − 기타영업손익(항등식)
[identity]</t>
      </text>
    </comment>
    <comment ref="K7" authorId="0" shapeId="0">
      <text>
        <t>추정: 영업이익 + 판관비 − 기타영업손익(항등식)
[identity]</t>
      </text>
    </comment>
    <comment ref="M7" authorId="0" shapeId="0">
      <text>
        <t>추정: 영업이익 + 판관비 − 기타영업손익(항등식)
[identity]</t>
      </text>
    </comment>
    <comment ref="N7" authorId="0" shapeId="0">
      <text>
        <t>추정: 영업이익 + 판관비 − 기타영업손익(항등식)
[identity]</t>
      </text>
    </comment>
    <comment ref="O7" authorId="0" shapeId="0">
      <text>
        <t>추정: 영업이익 + 판관비 − 기타영업손익(항등식)
[identity]</t>
      </text>
    </comment>
    <comment ref="P7" authorId="0" shapeId="0">
      <text>
        <t>추정: 영업이익 + 판관비 − 기타영업손익(항등식)
[identity]</t>
      </text>
    </comment>
    <comment ref="R7" authorId="0" shapeId="0">
      <text>
        <t>추정: 영업이익 + 판관비 − 기타영업손익(항등식)
[identity]</t>
      </text>
    </comment>
    <comment ref="S7" authorId="0" shapeId="0">
      <text>
        <t>추정: 영업이익 + 판관비 − 기타영업손익(항등식)
[identity]</t>
      </text>
    </comment>
    <comment ref="T7" authorId="0" shapeId="0">
      <text>
        <t>추정: 영업이익 + 판관비 − 기타영업손익(항등식)
[identity]</t>
      </text>
    </comment>
    <comment ref="U7" authorId="0" shapeId="0">
      <text>
        <t>추정: 영업이익 + 판관비 − 기타영업손익(항등식)
[identity]</t>
      </text>
    </comment>
    <comment ref="J8" authorId="0" shapeId="0">
      <text>
        <t>추정: 매출액 × 판관비율 6.39%(최근 4분기 중위)
[ratio]</t>
      </text>
    </comment>
    <comment ref="K8" authorId="0" shapeId="0">
      <text>
        <t>추정: 매출액 × 판관비율 6.39%(최근 4분기 중위)
[ratio]</t>
      </text>
    </comment>
    <comment ref="M8" authorId="0" shapeId="0">
      <text>
        <t>추정: 매출액 × 판관비율 6.39%(최근 4분기 중위)
[ratio]</t>
      </text>
    </comment>
    <comment ref="N8" authorId="0" shapeId="0">
      <text>
        <t>추정: 매출액 × 판관비율 6.39%(최근 4분기 중위)
[ratio]</t>
      </text>
    </comment>
    <comment ref="O8" authorId="0" shapeId="0">
      <text>
        <t>추정: 매출액 × 판관비율 6.39%(최근 4분기 중위)
[ratio]</t>
      </text>
    </comment>
    <comment ref="P8" authorId="0" shapeId="0">
      <text>
        <t>추정: 매출액 × 판관비율 6.39%(최근 4분기 중위)
[ratio]</t>
      </text>
    </comment>
    <comment ref="R8" authorId="0" shapeId="0">
      <text>
        <t>추정: 매출액 × 판관비율 6.39%(최근 4분기 중위)
[ratio]</t>
      </text>
    </comment>
    <comment ref="S8" authorId="0" shapeId="0">
      <text>
        <t>추정: 매출액 × 판관비율 6.39%(최근 4분기 중위)
[ratio]</t>
      </text>
    </comment>
    <comment ref="T8" authorId="0" shapeId="0">
      <text>
        <t>추정: 매출액 × 판관비율 6.39%(최근 4분기 중위)
[ratio]</t>
      </text>
    </comment>
    <comment ref="U8" authorId="0" shapeId="0">
      <text>
        <t>추정: 매출액 × 판관비율 6.39%(최근 4분기 중위)
[ratio]</t>
      </text>
    </comment>
    <comment ref="J9" authorId="0" shapeId="0">
      <text>
        <t>추정: 매출액 × OPM(최근 4분기 OPM 중위 1.1% 유지(클립 −20~40%))
[ratio]</t>
      </text>
    </comment>
    <comment ref="K9" authorId="0" shapeId="0">
      <text>
        <t>추정: 매출액 × OPM(최근 4분기 OPM 중위 1.1% 유지(클립 −20~40%))
[ratio]</t>
      </text>
    </comment>
    <comment ref="M9" authorId="0" shapeId="0">
      <text>
        <t>추정: 매출액 × OPM(최근 4분기 OPM 중위 1.1% 유지(클립 −20~40%))
[ratio]</t>
      </text>
    </comment>
    <comment ref="N9" authorId="0" shapeId="0">
      <text>
        <t>추정: 매출액 × OPM(최근 4분기 OPM 중위 1.1% 유지(클립 −20~40%))
[ratio]</t>
      </text>
    </comment>
    <comment ref="O9" authorId="0" shapeId="0">
      <text>
        <t>추정: 매출액 × OPM(최근 4분기 OPM 중위 1.1% 유지(클립 −20~40%))
[ratio]</t>
      </text>
    </comment>
    <comment ref="P9" authorId="0" shapeId="0">
      <text>
        <t>추정: 매출액 × OPM(최근 4분기 OPM 중위 1.1% 유지(클립 −20~40%))
[ratio]</t>
      </text>
    </comment>
    <comment ref="R9" authorId="0" shapeId="0">
      <text>
        <t>추정: 매출액 × OPM(최근 4분기 OPM 중위 1.1% 유지(클립 −20~40%))
[ratio]</t>
      </text>
    </comment>
    <comment ref="S9" authorId="0" shapeId="0">
      <text>
        <t>추정: 매출액 × OPM(최근 4분기 OPM 중위 1.1% 유지(클립 −20~40%))
[ratio]</t>
      </text>
    </comment>
    <comment ref="T9" authorId="0" shapeId="0">
      <text>
        <t>추정: 매출액 × OPM(최근 4분기 OPM 중위 1.1% 유지(클립 −20~40%))
[ratio]</t>
      </text>
    </comment>
    <comment ref="U9" authorId="0" shapeId="0">
      <text>
        <t>추정: 매출액 × OPM(최근 4분기 OPM 중위 1.1% 유지(클립 −20~40%))
[ratio]</t>
      </text>
    </comment>
    <comment ref="J10" authorId="0" shapeId="0">
      <text>
        <t>추정: 최근 4분기 OPM 중위 1.1% 유지(클립 −20~40%)
[divide]</t>
      </text>
    </comment>
    <comment ref="K10" authorId="0" shapeId="0">
      <text>
        <t>추정: 최근 4분기 OPM 중위 1.1% 유지(클립 −20~40%)
[divide]</t>
      </text>
    </comment>
    <comment ref="M10" authorId="0" shapeId="0">
      <text>
        <t>추정: 최근 4분기 OPM 중위 1.1% 유지(클립 −20~40%)
[divide]</t>
      </text>
    </comment>
    <comment ref="N10" authorId="0" shapeId="0">
      <text>
        <t>추정: 최근 4분기 OPM 중위 1.1% 유지(클립 −20~40%)
[divide]</t>
      </text>
    </comment>
    <comment ref="O10" authorId="0" shapeId="0">
      <text>
        <t>추정: 최근 4분기 OPM 중위 1.1% 유지(클립 −20~40%)
[divide]</t>
      </text>
    </comment>
    <comment ref="P10" authorId="0" shapeId="0">
      <text>
        <t>추정: 최근 4분기 OPM 중위 1.1% 유지(클립 −20~40%)
[divide]</t>
      </text>
    </comment>
    <comment ref="R10" authorId="0" shapeId="0">
      <text>
        <t>추정: 최근 4분기 OPM 중위 1.1% 유지(클립 −20~40%)
[divide]</t>
      </text>
    </comment>
    <comment ref="S10" authorId="0" shapeId="0">
      <text>
        <t>추정: 최근 4분기 OPM 중위 1.1% 유지(클립 −20~40%)
[divide]</t>
      </text>
    </comment>
    <comment ref="T10" authorId="0" shapeId="0">
      <text>
        <t>추정: 최근 4분기 OPM 중위 1.1% 유지(클립 −20~40%)
[divide]</t>
      </text>
    </comment>
    <comment ref="U10" authorId="0" shapeId="0">
      <text>
        <t>추정: 최근 4분기 OPM 중위 1.1% 유지(클립 −20~40%)
[divide]</t>
      </text>
    </comment>
    <comment ref="J11" authorId="0" shapeId="0">
      <text>
        <t>추정: 이자손익 + 외환손익 0 + 파생상품손익 0 + 기타금융손익 +0.00억(잔차 실측 3분기 &lt; 4 → 0) (항등식); 이자손익 = 이자발생자산 51억 × 17.51%(CF 이자수취 ÷ 평균 이자발생자산(2025Q3~2026Q2; 주석 이자수익 3분기 &lt; 4)) − 총차입금 504억 × 0.00%(없음) (연율) ÷ 4; 환율 효과는 환관련손익 행 별도
[identity]</t>
      </text>
    </comment>
    <comment ref="K11" authorId="0" shapeId="0">
      <text>
        <t>추정: 이자손익 + 외환손익 0 + 파생상품손익 0 + 기타금융손익 +0.00억(잔차 실측 3분기 &lt; 4 → 0) (항등식); 이자손익 = 이자발생자산 60억 × 17.51%(CF 이자수취 ÷ 평균 이자발생자산(2025Q3~2026Q2; 주석 이자수익 3분기 &lt; 4)) − 총차입금 504억 × 0.00%(없음) (연율) ÷ 4; 환율 효과는 환관련손익 행 별도
[identity]</t>
      </text>
    </comment>
    <comment ref="M11" authorId="0" shapeId="0">
      <text>
        <t>추정: 이자손익 + 외환손익 0 + 파생상품손익 0 + 기타금융손익 +0.00억(잔차 실측 3분기 &lt; 4 → 0) (항등식); 이자손익 = 이자발생자산 69억 × 17.51%(CF 이자수취 ÷ 평균 이자발생자산(2025Q3~2026Q2; 주석 이자수익 3분기 &lt; 4)) − 총차입금 504억 × 0.00%(없음) (연율) ÷ 4; 환율 효과는 환관련손익 행 별도
[identity]</t>
      </text>
    </comment>
    <comment ref="N11" authorId="0" shapeId="0">
      <text>
        <t>추정: 이자손익 + 외환손익 0 + 파생상품손익 0 + 기타금융손익 +0.00억(잔차 실측 3분기 &lt; 4 → 0) (항등식); 이자손익 = 이자발생자산 80억 × 17.51%(CF 이자수취 ÷ 평균 이자발생자산(2025Q3~2026Q2; 주석 이자수익 3분기 &lt; 4)) − 총차입금 504억 × 0.00%(없음) (연율) ÷ 4; 환율 효과는 환관련손익 행 별도
[identity]</t>
      </text>
    </comment>
    <comment ref="O11" authorId="0" shapeId="0">
      <text>
        <t>추정: 이자손익 + 외환손익 0 + 파생상품손익 0 + 기타금융손익 +0.00억(잔차 실측 3분기 &lt; 4 → 0) (항등식); 이자손익 = 이자발생자산 80억 × 17.51%(CF 이자수취 ÷ 평균 이자발생자산(2025Q3~2026Q2; 주석 이자수익 3분기 &lt; 4)) − 총차입금 504억 × 0.00%(없음) (연율) ÷ 4; 환율 효과는 환관련손익 행 별도
[identity]</t>
      </text>
    </comment>
    <comment ref="P11" authorId="0" shapeId="0">
      <text>
        <t>추정: 이자손익 + 외환손익 0 + 파생상품손익 0 + 기타금융손익 +0.00억(잔차 실측 3분기 &lt; 4 → 0) (항등식); 이자손익 = 이자발생자산 90억 × 17.51%(CF 이자수취 ÷ 평균 이자발생자산(2025Q3~2026Q2; 주석 이자수익 3분기 &lt; 4)) − 총차입금 504억 × 0.00%(없음) (연율) ÷ 4; 환율 효과는 환관련손익 행 별도
[identity]</t>
      </text>
    </comment>
    <comment ref="R11" authorId="0" shapeId="0">
      <text>
        <t>추정: 이자손익 + 외환손익 0 + 파생상품손익 0 + 기타금융손익 +0.00억(잔차 실측 3분기 &lt; 4 → 0) (항등식); 이자손익 = 이자발생자산 100억 × 17.51%(CF 이자수취 ÷ 평균 이자발생자산(2025Q3~2026Q2; 주석 이자수익 3분기 &lt; 4)) − 총차입금 504억 × 0.00%(없음) (연율) ÷ 4; 환율 효과는 환관련손익 행 별도
[identity]</t>
      </text>
    </comment>
    <comment ref="S11" authorId="0" shapeId="0">
      <text>
        <t>추정: 이자손익 + 외환손익 0 + 파생상품손익 0 + 기타금융손익 +0.00억(잔차 실측 3분기 &lt; 4 → 0) (항등식); 이자손익 = 이자발생자산 112억 × 17.51%(CF 이자수취 ÷ 평균 이자발생자산(2025Q3~2026Q2; 주석 이자수익 3분기 &lt; 4)) − 총차입금 504억 × 0.00%(없음) (연율) ÷ 4; 환율 효과는 환관련손익 행 별도
[identity]</t>
      </text>
    </comment>
    <comment ref="T11" authorId="0" shapeId="0">
      <text>
        <t>추정: 이자손익 + 외환손익 0 + 파생상품손익 0 + 기타금융손익 +0.00억(잔차 실측 3분기 &lt; 4 → 0) (항등식); 이자손익 = 이자발생자산 113억 × 17.51%(CF 이자수취 ÷ 평균 이자발생자산(2025Q3~2026Q2; 주석 이자수익 3분기 &lt; 4)) − 총차입금 504억 × 0.00%(없음) (연율) ÷ 4; 환율 효과는 환관련손익 행 별도
[identity]</t>
      </text>
    </comment>
    <comment ref="U11" authorId="0" shapeId="0">
      <text>
        <t>추정: 이자손익 + 외환손익 0 + 파생상품손익 0 + 기타금융손익 +0.00억(잔차 실측 3분기 &lt; 4 → 0) (항등식); 이자손익 = 이자발생자산 124억 × 17.51%(CF 이자수취 ÷ 평균 이자발생자산(2025Q3~2026Q2; 주석 이자수익 3분기 &lt; 4)) − 총차입금 504억 × 0.00%(없음) (연율) ÷ 4; 환율 효과는 환관련손익 행 별도
[identity]</t>
      </text>
    </comment>
    <comment ref="J12" authorId="0" shapeId="0">
      <text>
        <t>추정: 이자발생자산 51억 × 17.51%(CF 이자수취 ÷ 평균 이자발생자산(2025Q3~2026Q2; 주석 이자수익 3분기 &lt; 4)) − 총차입금 504억 × 0.00%(없음) (연율) ÷ 4
[interest]</t>
      </text>
    </comment>
    <comment ref="K12" authorId="0" shapeId="0">
      <text>
        <t>추정: 이자발생자산 60억 × 17.51%(CF 이자수취 ÷ 평균 이자발생자산(2025Q3~2026Q2; 주석 이자수익 3분기 &lt; 4)) − 총차입금 504억 × 0.00%(없음) (연율) ÷ 4
[interest]</t>
      </text>
    </comment>
    <comment ref="M12" authorId="0" shapeId="0">
      <text>
        <t>추정: 이자발생자산 69억 × 17.51%(CF 이자수취 ÷ 평균 이자발생자산(2025Q3~2026Q2; 주석 이자수익 3분기 &lt; 4)) − 총차입금 504억 × 0.00%(없음) (연율) ÷ 4
[interest]</t>
      </text>
    </comment>
    <comment ref="N12" authorId="0" shapeId="0">
      <text>
        <t>추정: 이자발생자산 80억 × 17.51%(CF 이자수취 ÷ 평균 이자발생자산(2025Q3~2026Q2; 주석 이자수익 3분기 &lt; 4)) − 총차입금 504억 × 0.00%(없음) (연율) ÷ 4
[interest]</t>
      </text>
    </comment>
    <comment ref="O12" authorId="0" shapeId="0">
      <text>
        <t>추정: 이자발생자산 80억 × 17.51%(CF 이자수취 ÷ 평균 이자발생자산(2025Q3~2026Q2; 주석 이자수익 3분기 &lt; 4)) − 총차입금 504억 × 0.00%(없음) (연율) ÷ 4
[interest]</t>
      </text>
    </comment>
    <comment ref="P12" authorId="0" shapeId="0">
      <text>
        <t>추정: 이자발생자산 90억 × 17.51%(CF 이자수취 ÷ 평균 이자발생자산(2025Q3~2026Q2; 주석 이자수익 3분기 &lt; 4)) − 총차입금 504억 × 0.00%(없음) (연율) ÷ 4
[interest]</t>
      </text>
    </comment>
    <comment ref="R12" authorId="0" shapeId="0">
      <text>
        <t>추정: 이자발생자산 100억 × 17.51%(CF 이자수취 ÷ 평균 이자발생자산(2025Q3~2026Q2; 주석 이자수익 3분기 &lt; 4)) − 총차입금 504억 × 0.00%(없음) (연율) ÷ 4
[interest]</t>
      </text>
    </comment>
    <comment ref="S12" authorId="0" shapeId="0">
      <text>
        <t>추정: 이자발생자산 112억 × 17.51%(CF 이자수취 ÷ 평균 이자발생자산(2025Q3~2026Q2; 주석 이자수익 3분기 &lt; 4)) − 총차입금 504억 × 0.00%(없음) (연율) ÷ 4
[interest]</t>
      </text>
    </comment>
    <comment ref="T12" authorId="0" shapeId="0">
      <text>
        <t>추정: 이자발생자산 113억 × 17.51%(CF 이자수취 ÷ 평균 이자발생자산(2025Q3~2026Q2; 주석 이자수익 3분기 &lt; 4)) − 총차입금 504억 × 0.00%(없음) (연율) ÷ 4
[interest]</t>
      </text>
    </comment>
    <comment ref="U12" authorId="0" shapeId="0">
      <text>
        <t>추정: 이자발생자산 124억 × 17.51%(CF 이자수취 ÷ 평균 이자발생자산(2025Q3~2026Q2; 주석 이자수익 3분기 &lt; 4)) − 총차입금 504억 × 0.00%(없음) (연율) ÷ 4
[interest]</t>
      </text>
    </comment>
    <comment ref="E13" authorId="0" shapeId="0">
      <text>
        <t>BS 계정 합·차: +외환차익 -외환차손 +외화환산이익 -외화환산손실</t>
      </text>
    </comment>
    <comment ref="F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O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P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R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S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T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U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E14" authorId="0" shapeId="0">
      <text>
        <t>BS 계정 합·차: +파생상품이익 -파생상품손실</t>
      </text>
    </comment>
    <comment ref="F14" authorId="0" shapeId="0">
      <text>
        <t>BS 계정 합·차: +파생상품이익 -파생상품손실</t>
      </text>
    </comment>
    <comment ref="I14" authorId="0" shapeId="0">
      <text>
        <t>BS 계정 합·차: +파생상품이익 -파생상품손실</t>
      </text>
    </comment>
    <comment ref="J14" authorId="0" shapeId="0">
      <text>
        <t>추정: 파생상품 평가·거래손익 0 가정
[abs]</t>
      </text>
    </comment>
    <comment ref="K14" authorId="0" shapeId="0">
      <text>
        <t>추정: 파생상품 평가·거래손익 0 가정
[abs]</t>
      </text>
    </comment>
    <comment ref="M14" authorId="0" shapeId="0">
      <text>
        <t>추정: 파생상품 평가·거래손익 0 가정
[abs]</t>
      </text>
    </comment>
    <comment ref="N14" authorId="0" shapeId="0">
      <text>
        <t>추정: 파생상품 평가·거래손익 0 가정
[abs]</t>
      </text>
    </comment>
    <comment ref="O14" authorId="0" shapeId="0">
      <text>
        <t>추정: 파생상품 평가·거래손익 0 가정
[abs]</t>
      </text>
    </comment>
    <comment ref="P14" authorId="0" shapeId="0">
      <text>
        <t>추정: 파생상품 평가·거래손익 0 가정
[abs]</t>
      </text>
    </comment>
    <comment ref="R14" authorId="0" shapeId="0">
      <text>
        <t>추정: 파생상품 평가·거래손익 0 가정
[abs]</t>
      </text>
    </comment>
    <comment ref="S14" authorId="0" shapeId="0">
      <text>
        <t>추정: 파생상품 평가·거래손익 0 가정
[abs]</t>
      </text>
    </comment>
    <comment ref="T14" authorId="0" shapeId="0">
      <text>
        <t>추정: 파생상품 평가·거래손익 0 가정
[abs]</t>
      </text>
    </comment>
    <comment ref="U14" authorId="0" shapeId="0">
      <text>
        <t>추정: 파생상품 평가·거래손익 0 가정
[abs]</t>
      </text>
    </comment>
    <comment ref="J15" authorId="0" shapeId="0">
      <text>
        <t>추정: 잔차 실측 3분기 &lt; 4 → 0
[abs]</t>
      </text>
    </comment>
    <comment ref="K15" authorId="0" shapeId="0">
      <text>
        <t>추정: 잔차 실측 3분기 &lt; 4 → 0
[abs]</t>
      </text>
    </comment>
    <comment ref="M15" authorId="0" shapeId="0">
      <text>
        <t>추정: 잔차 실측 3분기 &lt; 4 → 0
[abs]</t>
      </text>
    </comment>
    <comment ref="N15" authorId="0" shapeId="0">
      <text>
        <t>추정: 잔차 실측 3분기 &lt; 4 → 0
[abs]</t>
      </text>
    </comment>
    <comment ref="O15" authorId="0" shapeId="0">
      <text>
        <t>추정: 잔차 실측 3분기 &lt; 4 → 0
[abs]</t>
      </text>
    </comment>
    <comment ref="P15" authorId="0" shapeId="0">
      <text>
        <t>추정: 잔차 실측 3분기 &lt; 4 → 0
[abs]</t>
      </text>
    </comment>
    <comment ref="R15" authorId="0" shapeId="0">
      <text>
        <t>추정: 잔차 실측 3분기 &lt; 4 → 0
[abs]</t>
      </text>
    </comment>
    <comment ref="S15" authorId="0" shapeId="0">
      <text>
        <t>추정: 잔차 실측 3분기 &lt; 4 → 0
[abs]</t>
      </text>
    </comment>
    <comment ref="T15" authorId="0" shapeId="0">
      <text>
        <t>추정: 잔차 실측 3분기 &lt; 4 → 0
[abs]</t>
      </text>
    </comment>
    <comment ref="U15" authorId="0" shapeId="0">
      <text>
        <t>추정: 잔차 실측 3분기 &lt; 4 → 0
[abs]</t>
      </text>
    </comment>
    <comment ref="J16" authorId="0" shapeId="0">
      <text>
        <t>추정: 일회성 미가정 → 0
[abs]</t>
      </text>
    </comment>
    <comment ref="K16" authorId="0" shapeId="0">
      <text>
        <t>추정: 일회성 미가정 → 0
[abs]</t>
      </text>
    </comment>
    <comment ref="M16" authorId="0" shapeId="0">
      <text>
        <t>추정: 일회성 미가정 → 0
[abs]</t>
      </text>
    </comment>
    <comment ref="N16" authorId="0" shapeId="0">
      <text>
        <t>추정: 일회성 미가정 → 0
[abs]</t>
      </text>
    </comment>
    <comment ref="O16" authorId="0" shapeId="0">
      <text>
        <t>추정: 일회성 미가정 → 0
[abs]</t>
      </text>
    </comment>
    <comment ref="P16" authorId="0" shapeId="0">
      <text>
        <t>추정: 일회성 미가정 → 0
[abs]</t>
      </text>
    </comment>
    <comment ref="R16" authorId="0" shapeId="0">
      <text>
        <t>추정: 일회성 미가정 → 0
[abs]</t>
      </text>
    </comment>
    <comment ref="S16" authorId="0" shapeId="0">
      <text>
        <t>추정: 일회성 미가정 → 0
[abs]</t>
      </text>
    </comment>
    <comment ref="T16" authorId="0" shapeId="0">
      <text>
        <t>추정: 일회성 미가정 → 0
[abs]</t>
      </text>
    </comment>
    <comment ref="U16" authorId="0" shapeId="0">
      <text>
        <t>추정: 일회성 미가정 → 0
[abs]</t>
      </text>
    </comment>
    <comment ref="J17" authorId="0" shapeId="0">
      <text>
        <t>추정: 영업이익 + 금융손익 + 기타영업외 + 지분법 + 환관련(항등식)
[identity]</t>
      </text>
    </comment>
    <comment ref="K17" authorId="0" shapeId="0">
      <text>
        <t>추정: 영업이익 + 금융손익 + 기타영업외 + 지분법 + 환관련(항등식)
[identity]</t>
      </text>
    </comment>
    <comment ref="M17" authorId="0" shapeId="0">
      <text>
        <t>추정: 영업이익 + 금융손익 + 기타영업외 + 지분법 + 환관련(항등식)
[identity]</t>
      </text>
    </comment>
    <comment ref="N17" authorId="0" shapeId="0">
      <text>
        <t>추정: 영업이익 + 금융손익 + 기타영업외 + 지분법 + 환관련(항등식)
[identity]</t>
      </text>
    </comment>
    <comment ref="O17" authorId="0" shapeId="0">
      <text>
        <t>추정: 영업이익 + 금융손익 + 기타영업외 + 지분법 + 환관련(항등식)
[identity]</t>
      </text>
    </comment>
    <comment ref="P17" authorId="0" shapeId="0">
      <text>
        <t>추정: 영업이익 + 금융손익 + 기타영업외 + 지분법 + 환관련(항등식)
[identity]</t>
      </text>
    </comment>
    <comment ref="R17" authorId="0" shapeId="0">
      <text>
        <t>추정: 영업이익 + 금융손익 + 기타영업외 + 지분법 + 환관련(항등식)
[identity]</t>
      </text>
    </comment>
    <comment ref="S17" authorId="0" shapeId="0">
      <text>
        <t>추정: 영업이익 + 금융손익 + 기타영업외 + 지분법 + 환관련(항등식)
[identity]</t>
      </text>
    </comment>
    <comment ref="T17" authorId="0" shapeId="0">
      <text>
        <t>추정: 영업이익 + 금융손익 + 기타영업외 + 지분법 + 환관련(항등식)
[identity]</t>
      </text>
    </comment>
    <comment ref="U17" authorId="0" shapeId="0">
      <text>
        <t>추정: 영업이익 + 금융손익 + 기타영업외 + 지분법 + 환관련(항등식)
[identity]</t>
      </text>
    </comment>
    <comment ref="J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K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M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N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O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P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R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S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T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U18" authorId="0" shapeId="0">
      <text>
        <t>추정: max(세전, 0) × 세율 22.0%(최근 4분기 유효세율 43.0% 가 5~27% 밖; 세전 &gt; 0 분기 중위 34.7% 도 5~27% 밖 → 법정세율 근사 22% 가정)
[tax]</t>
      </text>
    </comment>
    <comment ref="J19" authorId="0" shapeId="0">
      <text>
        <t>추정: 세전이익 − 법인세비용(항등식)
[identity]</t>
      </text>
    </comment>
    <comment ref="K19" authorId="0" shapeId="0">
      <text>
        <t>추정: 세전이익 − 법인세비용(항등식)
[identity]</t>
      </text>
    </comment>
    <comment ref="M19" authorId="0" shapeId="0">
      <text>
        <t>추정: 세전이익 − 법인세비용(항등식)
[identity]</t>
      </text>
    </comment>
    <comment ref="N19" authorId="0" shapeId="0">
      <text>
        <t>추정: 세전이익 − 법인세비용(항등식)
[identity]</t>
      </text>
    </comment>
    <comment ref="O19" authorId="0" shapeId="0">
      <text>
        <t>추정: 세전이익 − 법인세비용(항등식)
[identity]</t>
      </text>
    </comment>
    <comment ref="P19" authorId="0" shapeId="0">
      <text>
        <t>추정: 세전이익 − 법인세비용(항등식)
[identity]</t>
      </text>
    </comment>
    <comment ref="R19" authorId="0" shapeId="0">
      <text>
        <t>추정: 세전이익 − 법인세비용(항등식)
[identity]</t>
      </text>
    </comment>
    <comment ref="S19" authorId="0" shapeId="0">
      <text>
        <t>추정: 세전이익 − 법인세비용(항등식)
[identity]</t>
      </text>
    </comment>
    <comment ref="T19" authorId="0" shapeId="0">
      <text>
        <t>추정: 세전이익 − 법인세비용(항등식)
[identity]</t>
      </text>
    </comment>
    <comment ref="U19" authorId="0" shapeId="0">
      <text>
        <t>추정: 세전이익 − 법인세비용(항등식)
[identity]</t>
      </text>
    </comment>
    <comment ref="J20" authorId="0" shapeId="0">
      <text>
        <t>추정: 당기순이익 × (1 − 비지배 비중 0.0%, 최근 8분기 실측)
[ratio]</t>
      </text>
    </comment>
    <comment ref="K20" authorId="0" shapeId="0">
      <text>
        <t>추정: 당기순이익 × (1 − 비지배 비중 0.0%, 최근 8분기 실측)
[ratio]</t>
      </text>
    </comment>
    <comment ref="M20" authorId="0" shapeId="0">
      <text>
        <t>추정: 당기순이익 × (1 − 비지배 비중 0.0%, 최근 8분기 실측)
[ratio]</t>
      </text>
    </comment>
    <comment ref="N20" authorId="0" shapeId="0">
      <text>
        <t>추정: 당기순이익 × (1 − 비지배 비중 0.0%, 최근 8분기 실측)
[ratio]</t>
      </text>
    </comment>
    <comment ref="O20" authorId="0" shapeId="0">
      <text>
        <t>추정: 당기순이익 × (1 − 비지배 비중 0.0%, 최근 8분기 실측)
[ratio]</t>
      </text>
    </comment>
    <comment ref="P20" authorId="0" shapeId="0">
      <text>
        <t>추정: 당기순이익 × (1 − 비지배 비중 0.0%, 최근 8분기 실측)
[ratio]</t>
      </text>
    </comment>
    <comment ref="R20" authorId="0" shapeId="0">
      <text>
        <t>추정: 당기순이익 × (1 − 비지배 비중 0.0%, 최근 8분기 실측)
[ratio]</t>
      </text>
    </comment>
    <comment ref="S20" authorId="0" shapeId="0">
      <text>
        <t>추정: 당기순이익 × (1 − 비지배 비중 0.0%, 최근 8분기 실측)
[ratio]</t>
      </text>
    </comment>
    <comment ref="T20" authorId="0" shapeId="0">
      <text>
        <t>추정: 당기순이익 × (1 − 비지배 비중 0.0%, 최근 8분기 실측)
[ratio]</t>
      </text>
    </comment>
    <comment ref="U20" authorId="0" shapeId="0">
      <text>
        <t>추정: 당기순이익 × (1 − 비지배 비중 0.0%, 최근 8분기 실측)
[ratio]</t>
      </text>
    </comment>
    <comment ref="J22" authorId="0" shapeId="0">
      <text>
        <t>추정: 부채총계 + 자본총계(항등식)
[identity]</t>
      </text>
    </comment>
    <comment ref="K22" authorId="0" shapeId="0">
      <text>
        <t>추정: 부채총계 + 자본총계(항등식)
[identity]</t>
      </text>
    </comment>
    <comment ref="M22" authorId="0" shapeId="0">
      <text>
        <t>추정: 부채총계 + 자본총계(항등식)
[identity]</t>
      </text>
    </comment>
    <comment ref="N22" authorId="0" shapeId="0">
      <text>
        <t>추정: 부채총계 + 자본총계(항등식)
[identity]</t>
      </text>
    </comment>
    <comment ref="O22" authorId="0" shapeId="0">
      <text>
        <t>추정: 부채총계 + 자본총계(항등식)
[identity]</t>
      </text>
    </comment>
    <comment ref="P22" authorId="0" shapeId="0">
      <text>
        <t>추정: 부채총계 + 자본총계(항등식)
[identity]</t>
      </text>
    </comment>
    <comment ref="R22" authorId="0" shapeId="0">
      <text>
        <t>추정: 부채총계 + 자본총계(항등식)
[identity]</t>
      </text>
    </comment>
    <comment ref="S22" authorId="0" shapeId="0">
      <text>
        <t>추정: 부채총계 + 자본총계(항등식)
[identity]</t>
      </text>
    </comment>
    <comment ref="T22" authorId="0" shapeId="0">
      <text>
        <t>추정: 부채총계 + 자본총계(항등식)
[identity]</t>
      </text>
    </comment>
    <comment ref="U22" authorId="0" shapeId="0">
      <text>
        <t>추정: 부채총계 + 자본총계(항등식)
[identity]</t>
      </text>
    </comment>
    <comment ref="J23" authorId="0" shapeId="0">
      <text>
        <t>추정: 마지막 실적 유지(가정)
[qoq]</t>
      </text>
    </comment>
    <comment ref="K23" authorId="0" shapeId="0">
      <text>
        <t>추정: 마지막 실적 유지(가정)
[qoq]</t>
      </text>
    </comment>
    <comment ref="M23" authorId="0" shapeId="0">
      <text>
        <t>추정: 마지막 실적 유지(가정)
[qoq]</t>
      </text>
    </comment>
    <comment ref="N23" authorId="0" shapeId="0">
      <text>
        <t>추정: 마지막 실적 유지(가정)
[qoq]</t>
      </text>
    </comment>
    <comment ref="O23" authorId="0" shapeId="0">
      <text>
        <t>추정: 마지막 실적 유지(가정)
[qoq]</t>
      </text>
    </comment>
    <comment ref="P23" authorId="0" shapeId="0">
      <text>
        <t>추정: 마지막 실적 유지(가정)
[qoq]</t>
      </text>
    </comment>
    <comment ref="R23" authorId="0" shapeId="0">
      <text>
        <t>추정: 마지막 실적 유지(가정)
[qoq]</t>
      </text>
    </comment>
    <comment ref="S23" authorId="0" shapeId="0">
      <text>
        <t>추정: 마지막 실적 유지(가정)
[qoq]</t>
      </text>
    </comment>
    <comment ref="T23" authorId="0" shapeId="0">
      <text>
        <t>추정: 마지막 실적 유지(가정)
[qoq]</t>
      </text>
    </comment>
    <comment ref="U23" authorId="0" shapeId="0">
      <text>
        <t>추정: 마지막 실적 유지(가정)
[qoq]</t>
      </text>
    </comment>
    <comment ref="J24" authorId="0" shapeId="0">
      <text>
        <t>추정: 전분기 + 당기순이익 − 배당(Q2 지급 가정)
[roll]</t>
      </text>
    </comment>
    <comment ref="K24" authorId="0" shapeId="0">
      <text>
        <t>추정: 전분기 + 당기순이익 − 배당(Q2 지급 가정)
[roll]</t>
      </text>
    </comment>
    <comment ref="M24" authorId="0" shapeId="0">
      <text>
        <t>추정: 전분기 + 당기순이익 − 배당(Q2 지급 가정)
[roll]</t>
      </text>
    </comment>
    <comment ref="N24" authorId="0" shapeId="0">
      <text>
        <t>추정: 전분기 + 당기순이익 − 배당(Q2 지급 가정)
[roll]</t>
      </text>
    </comment>
    <comment ref="O24" authorId="0" shapeId="0">
      <text>
        <t>추정: 전분기 + 당기순이익 − 배당(Q2 지급 가정)
[roll]</t>
      </text>
    </comment>
    <comment ref="P24" authorId="0" shapeId="0">
      <text>
        <t>추정: 전분기 + 당기순이익 − 배당(Q2 지급 가정)
[roll]</t>
      </text>
    </comment>
    <comment ref="R24" authorId="0" shapeId="0">
      <text>
        <t>추정: 전분기 + 당기순이익 − 배당(Q2 지급 가정)
[roll]</t>
      </text>
    </comment>
    <comment ref="S24" authorId="0" shapeId="0">
      <text>
        <t>추정: 전분기 + 당기순이익 − 배당(Q2 지급 가정)
[roll]</t>
      </text>
    </comment>
    <comment ref="T24" authorId="0" shapeId="0">
      <text>
        <t>추정: 전분기 + 당기순이익 − 배당(Q2 지급 가정)
[roll]</t>
      </text>
    </comment>
    <comment ref="U24" authorId="0" shapeId="0">
      <text>
        <t>추정: 전분기 + 당기순이익 − 배당(Q2 지급 가정)
[roll]</t>
      </text>
    </comment>
    <comment ref="J25" authorId="0" shapeId="0">
      <text>
        <t>추정: 전분기 + 지배주주순이익 − 배당
[roll]</t>
      </text>
    </comment>
    <comment ref="K25" authorId="0" shapeId="0">
      <text>
        <t>추정: 전분기 + 지배주주순이익 − 배당
[roll]</t>
      </text>
    </comment>
    <comment ref="M25" authorId="0" shapeId="0">
      <text>
        <t>추정: 전분기 + 지배주주순이익 − 배당
[roll]</t>
      </text>
    </comment>
    <comment ref="N25" authorId="0" shapeId="0">
      <text>
        <t>추정: 전분기 + 지배주주순이익 − 배당
[roll]</t>
      </text>
    </comment>
    <comment ref="O25" authorId="0" shapeId="0">
      <text>
        <t>추정: 전분기 + 지배주주순이익 − 배당
[roll]</t>
      </text>
    </comment>
    <comment ref="P25" authorId="0" shapeId="0">
      <text>
        <t>추정: 전분기 + 지배주주순이익 − 배당
[roll]</t>
      </text>
    </comment>
    <comment ref="R25" authorId="0" shapeId="0">
      <text>
        <t>추정: 전분기 + 지배주주순이익 − 배당
[roll]</t>
      </text>
    </comment>
    <comment ref="S25" authorId="0" shapeId="0">
      <text>
        <t>추정: 전분기 + 지배주주순이익 − 배당
[roll]</t>
      </text>
    </comment>
    <comment ref="T25" authorId="0" shapeId="0">
      <text>
        <t>추정: 전분기 + 지배주주순이익 − 배당
[roll]</t>
      </text>
    </comment>
    <comment ref="U25" authorId="0" shapeId="0">
      <text>
        <t>추정: 전분기 + 지배주주순이익 − 배당
[roll]</t>
      </text>
    </comment>
    <comment ref="J26" authorId="0" shapeId="0">
      <text>
        <t>추정: 마지막 실적 유지(가정)
[qoq]</t>
      </text>
    </comment>
    <comment ref="K26" authorId="0" shapeId="0">
      <text>
        <t>추정: 마지막 실적 유지(가정)
[qoq]</t>
      </text>
    </comment>
    <comment ref="M26" authorId="0" shapeId="0">
      <text>
        <t>추정: 마지막 실적 유지(가정)
[qoq]</t>
      </text>
    </comment>
    <comment ref="N26" authorId="0" shapeId="0">
      <text>
        <t>추정: 마지막 실적 유지(가정)
[qoq]</t>
      </text>
    </comment>
    <comment ref="O26" authorId="0" shapeId="0">
      <text>
        <t>추정: 마지막 실적 유지(가정)
[qoq]</t>
      </text>
    </comment>
    <comment ref="P26" authorId="0" shapeId="0">
      <text>
        <t>추정: 마지막 실적 유지(가정)
[qoq]</t>
      </text>
    </comment>
    <comment ref="R26" authorId="0" shapeId="0">
      <text>
        <t>추정: 마지막 실적 유지(가정)
[qoq]</t>
      </text>
    </comment>
    <comment ref="S26" authorId="0" shapeId="0">
      <text>
        <t>추정: 마지막 실적 유지(가정)
[qoq]</t>
      </text>
    </comment>
    <comment ref="T26" authorId="0" shapeId="0">
      <text>
        <t>추정: 마지막 실적 유지(가정)
[qoq]</t>
      </text>
    </comment>
    <comment ref="U26" authorId="0" shapeId="0">
      <text>
        <t>추정: 마지막 실적 유지(가정)
[qoq]</t>
      </text>
    </comment>
    <comment ref="J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K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M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N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O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P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R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S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T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U27" authorId="0" shapeId="0">
      <text>
        <t>추정: 전분기 − FCF 근사[순이익 − 배당(감가상각비 없음 → CAPEX≈감가 가정, CAPEX 중위 7억은 행에만)] (운전자본 불변·총차입금 유지 가정 → 변동은 전부 현금)
[qoq]</t>
      </text>
    </comment>
    <comment ref="J28" authorId="0" shapeId="0">
      <text>
        <t>추정: 전분기 + FCF 근사 — 순차입금 롤과 같은 가정
[qoq]</t>
      </text>
    </comment>
    <comment ref="K28" authorId="0" shapeId="0">
      <text>
        <t>추정: 전분기 + FCF 근사 — 순차입금 롤과 같은 가정
[qoq]</t>
      </text>
    </comment>
    <comment ref="M28" authorId="0" shapeId="0">
      <text>
        <t>추정: 전분기 + FCF 근사 — 순차입금 롤과 같은 가정
[qoq]</t>
      </text>
    </comment>
    <comment ref="N28" authorId="0" shapeId="0">
      <text>
        <t>추정: 전분기 + FCF 근사 — 순차입금 롤과 같은 가정
[qoq]</t>
      </text>
    </comment>
    <comment ref="O28" authorId="0" shapeId="0">
      <text>
        <t>추정: 전분기 + FCF 근사 — 순차입금 롤과 같은 가정
[qoq]</t>
      </text>
    </comment>
    <comment ref="P28" authorId="0" shapeId="0">
      <text>
        <t>추정: 전분기 + FCF 근사 — 순차입금 롤과 같은 가정
[qoq]</t>
      </text>
    </comment>
    <comment ref="R28" authorId="0" shapeId="0">
      <text>
        <t>추정: 전분기 + FCF 근사 — 순차입금 롤과 같은 가정
[qoq]</t>
      </text>
    </comment>
    <comment ref="S28" authorId="0" shapeId="0">
      <text>
        <t>추정: 전분기 + FCF 근사 — 순차입금 롤과 같은 가정
[qoq]</t>
      </text>
    </comment>
    <comment ref="T28" authorId="0" shapeId="0">
      <text>
        <t>추정: 전분기 + FCF 근사 — 순차입금 롤과 같은 가정
[qoq]</t>
      </text>
    </comment>
    <comment ref="U28" authorId="0" shapeId="0">
      <text>
        <t>추정: 전분기 + FCF 근사 — 순차입금 롤과 같은 가정
[qoq]</t>
      </text>
    </comment>
    <comment ref="J30" authorId="0" shapeId="0">
      <text>
        <t>추정: 최근 4분기(2025Q3~2026Q2) CAPEX 중위 유지 — 순차입금 롤에 미반영(감가상각비 없음 → CAPEX≈감가 가정)
[yoy]</t>
      </text>
    </comment>
    <comment ref="K30" authorId="0" shapeId="0">
      <text>
        <t>추정: 최근 4분기(2025Q3~2026Q2) CAPEX 중위 유지 — 순차입금 롤에 미반영(감가상각비 없음 → CAPEX≈감가 가정)
[yoy]</t>
      </text>
    </comment>
    <comment ref="M30" authorId="0" shapeId="0">
      <text>
        <t>추정: 최근 4분기(2025Q3~2026Q2) CAPEX 중위 유지 — 순차입금 롤에 미반영(감가상각비 없음 → CAPEX≈감가 가정)
[yoy]</t>
      </text>
    </comment>
    <comment ref="N30" authorId="0" shapeId="0">
      <text>
        <t>추정: 최근 4분기(2025Q3~2026Q2) CAPEX 중위 유지 — 순차입금 롤에 미반영(감가상각비 없음 → CAPEX≈감가 가정)
[yoy]</t>
      </text>
    </comment>
    <comment ref="O30" authorId="0" shapeId="0">
      <text>
        <t>추정: 최근 4분기(2025Q3~2026Q2) CAPEX 중위 유지 — 순차입금 롤에 미반영(감가상각비 없음 → CAPEX≈감가 가정)
[yoy]</t>
      </text>
    </comment>
    <comment ref="P30" authorId="0" shapeId="0">
      <text>
        <t>추정: 최근 4분기(2025Q3~2026Q2) CAPEX 중위 유지 — 순차입금 롤에 미반영(감가상각비 없음 → CAPEX≈감가 가정)
[yoy]</t>
      </text>
    </comment>
    <comment ref="R30" authorId="0" shapeId="0">
      <text>
        <t>추정: 최근 4분기(2025Q3~2026Q2) CAPEX 중위 유지 — 순차입금 롤에 미반영(감가상각비 없음 → CAPEX≈감가 가정)
[yoy]</t>
      </text>
    </comment>
    <comment ref="S30" authorId="0" shapeId="0">
      <text>
        <t>추정: 최근 4분기(2025Q3~2026Q2) CAPEX 중위 유지 — 순차입금 롤에 미반영(감가상각비 없음 → CAPEX≈감가 가정)
[yoy]</t>
      </text>
    </comment>
    <comment ref="T30" authorId="0" shapeId="0">
      <text>
        <t>추정: 최근 4분기(2025Q3~2026Q2) CAPEX 중위 유지 — 순차입금 롤에 미반영(감가상각비 없음 → CAPEX≈감가 가정)
[yoy]</t>
      </text>
    </comment>
    <comment ref="U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F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추정: 유통주식수 유지 — fin.shares.common_outstanding(2026Q2)
[qoq]</t>
      </text>
    </comment>
    <comment ref="K32" authorId="0" shapeId="0">
      <text>
        <t>추정: 유통주식수 유지 — fin.shares.common_outstanding(2026Q2)
[qoq]</t>
      </text>
    </comment>
    <comment ref="M32" authorId="0" shapeId="0">
      <text>
        <t>추정: 유통주식수 유지 — fin.shares.common_outstanding(2026Q2)
[qoq]</t>
      </text>
    </comment>
    <comment ref="N32" authorId="0" shapeId="0">
      <text>
        <t>추정: 유통주식수 유지 — fin.shares.common_outstanding(2026Q2)
[qoq]</t>
      </text>
    </comment>
    <comment ref="O32" authorId="0" shapeId="0">
      <text>
        <t>추정: 유통주식수 유지 — fin.shares.common_outstanding(2026Q2)
[qoq]</t>
      </text>
    </comment>
    <comment ref="P32" authorId="0" shapeId="0">
      <text>
        <t>추정: 유통주식수 유지 — fin.shares.common_outstanding(2026Q2)
[qoq]</t>
      </text>
    </comment>
    <comment ref="R32" authorId="0" shapeId="0">
      <text>
        <t>추정: 유통주식수 유지 — fin.shares.common_outstanding(2026Q2)
[qoq]</t>
      </text>
    </comment>
    <comment ref="S32" authorId="0" shapeId="0">
      <text>
        <t>추정: 유통주식수 유지 — fin.shares.common_outstanding(2026Q2)
[qoq]</t>
      </text>
    </comment>
    <comment ref="T32" authorId="0" shapeId="0">
      <text>
        <t>추정: 유통주식수 유지 — fin.shares.common_outstanding(2026Q2)
[qoq]</t>
      </text>
    </comment>
    <comment ref="U32" authorId="0" shapeId="0">
      <text>
        <t>추정: 유통주식수 유지 — fin.shares.common_outstanding(2026Q2)
[qoq]</t>
      </text>
    </comment>
    <comment ref="J33" authorId="0" shapeId="0">
      <text>
        <t>추정: 지배주주순이익 ÷ 유통주식수
[per_share]</t>
      </text>
    </comment>
    <comment ref="K33" authorId="0" shapeId="0">
      <text>
        <t>추정: 지배주주순이익 ÷ 유통주식수
[per_share]</t>
      </text>
    </comment>
    <comment ref="M33" authorId="0" shapeId="0">
      <text>
        <t>추정: 지배주주순이익 ÷ 유통주식수
[per_share]</t>
      </text>
    </comment>
    <comment ref="N33" authorId="0" shapeId="0">
      <text>
        <t>추정: 지배주주순이익 ÷ 유통주식수
[per_share]</t>
      </text>
    </comment>
    <comment ref="O33" authorId="0" shapeId="0">
      <text>
        <t>추정: 지배주주순이익 ÷ 유통주식수
[per_share]</t>
      </text>
    </comment>
    <comment ref="P33" authorId="0" shapeId="0">
      <text>
        <t>추정: 지배주주순이익 ÷ 유통주식수
[per_share]</t>
      </text>
    </comment>
    <comment ref="R33" authorId="0" shapeId="0">
      <text>
        <t>추정: 지배주주순이익 ÷ 유통주식수
[per_share]</t>
      </text>
    </comment>
    <comment ref="S33" authorId="0" shapeId="0">
      <text>
        <t>추정: 지배주주순이익 ÷ 유통주식수
[per_share]</t>
      </text>
    </comment>
    <comment ref="T33" authorId="0" shapeId="0">
      <text>
        <t>추정: 지배주주순이익 ÷ 유통주식수
[per_share]</t>
      </text>
    </comment>
    <comment ref="U33" authorId="0" shapeId="0">
      <text>
        <t>추정: 지배주주순이익 ÷ 유통주식수
[per_share]</t>
      </text>
    </comment>
    <comment ref="J34" authorId="0" shapeId="0">
      <text>
        <t>추정: 지배주주지분 ÷ 유통주식수
[per_share]</t>
      </text>
    </comment>
    <comment ref="K34" authorId="0" shapeId="0">
      <text>
        <t>추정: 지배주주지분 ÷ 유통주식수
[per_share]</t>
      </text>
    </comment>
    <comment ref="M34" authorId="0" shapeId="0">
      <text>
        <t>추정: 지배주주지분 ÷ 유통주식수
[per_share]</t>
      </text>
    </comment>
    <comment ref="N34" authorId="0" shapeId="0">
      <text>
        <t>추정: 지배주주지분 ÷ 유통주식수
[per_share]</t>
      </text>
    </comment>
    <comment ref="O34" authorId="0" shapeId="0">
      <text>
        <t>추정: 지배주주지분 ÷ 유통주식수
[per_share]</t>
      </text>
    </comment>
    <comment ref="P34" authorId="0" shapeId="0">
      <text>
        <t>추정: 지배주주지분 ÷ 유통주식수
[per_share]</t>
      </text>
    </comment>
    <comment ref="R34" authorId="0" shapeId="0">
      <text>
        <t>추정: 지배주주지분 ÷ 유통주식수
[per_share]</t>
      </text>
    </comment>
    <comment ref="S34" authorId="0" shapeId="0">
      <text>
        <t>추정: 지배주주지분 ÷ 유통주식수
[per_share]</t>
      </text>
    </comment>
    <comment ref="T34" authorId="0" shapeId="0">
      <text>
        <t>추정: 지배주주지분 ÷ 유통주식수
[per_share]</t>
      </text>
    </comment>
    <comment ref="U34" authorId="0" shapeId="0">
      <text>
        <t>추정: 지배주주지분 ÷ 유통주식수
[per_share]</t>
      </text>
    </comment>
    <comment ref="F35" authorId="0" shapeId="0">
      <text>
        <t>실측(계정 매핑 없음(파생·부문·시세 행) — 모델값 직접) — fin.dividend.dps_common(연간, Q4 에 표기)</t>
      </text>
    </comment>
    <comment ref="G35" authorId="0" shapeId="0">
      <text>
        <t>연간(actual) — 분기 미완 연도, 모델 a 값 직접</t>
      </text>
    </comment>
    <comment ref="K35" authorId="0" shapeId="0">
      <text>
        <t>추정: 직전 결산 DPS 50원 유지
[abs]</t>
      </text>
    </comment>
    <comment ref="P35" authorId="0" shapeId="0">
      <text>
        <t>추정: 직전 결산 DPS 50원 유지
[abs]</t>
      </text>
    </comment>
    <comment ref="U35" authorId="0" shapeId="0">
      <text>
        <t>추정: 직전 결산 DPS 50원 유지
[abs]</t>
      </text>
    </comment>
    <comment ref="J36" authorId="0" shapeId="0">
      <text>
        <t>추정: 현재 종가 ÷ TTM EPS(추정 포함)
[valuation]</t>
      </text>
    </comment>
    <comment ref="K36" authorId="0" shapeId="0">
      <text>
        <t>추정: 현재 종가 ÷ TTM EPS(추정 포함)
[valuation]</t>
      </text>
    </comment>
    <comment ref="M36" authorId="0" shapeId="0">
      <text>
        <t>추정: 현재 종가 ÷ TTM EPS(추정 포함)
[valuation]</t>
      </text>
    </comment>
    <comment ref="N36" authorId="0" shapeId="0">
      <text>
        <t>추정: 현재 종가 ÷ TTM EPS(추정 포함)
[valuation]</t>
      </text>
    </comment>
    <comment ref="O36" authorId="0" shapeId="0">
      <text>
        <t>추정: 현재 종가 ÷ TTM EPS(추정 포함)
[valuation]</t>
      </text>
    </comment>
    <comment ref="P36" authorId="0" shapeId="0">
      <text>
        <t>추정: 현재 종가 ÷ TTM EPS(추정 포함)
[valuation]</t>
      </text>
    </comment>
    <comment ref="R36" authorId="0" shapeId="0">
      <text>
        <t>추정: 현재 종가 ÷ TTM EPS(추정 포함)
[valuation]</t>
      </text>
    </comment>
    <comment ref="S36" authorId="0" shapeId="0">
      <text>
        <t>추정: 현재 종가 ÷ TTM EPS(추정 포함)
[valuation]</t>
      </text>
    </comment>
    <comment ref="T36" authorId="0" shapeId="0">
      <text>
        <t>추정: 현재 종가 ÷ TTM EPS(추정 포함)
[valuation]</t>
      </text>
    </comment>
    <comment ref="U36" authorId="0" shapeId="0">
      <text>
        <t>추정: 현재 종가 ÷ TTM EPS(추정 포함)
[valuation]</t>
      </text>
    </comment>
    <comment ref="J37" authorId="0" shapeId="0">
      <text>
        <t>추정: 현재 종가 ÷ BPS(추정 포함)
[valuation]</t>
      </text>
    </comment>
    <comment ref="K37" authorId="0" shapeId="0">
      <text>
        <t>추정: 현재 종가 ÷ BPS(추정 포함)
[valuation]</t>
      </text>
    </comment>
    <comment ref="M37" authorId="0" shapeId="0">
      <text>
        <t>추정: 현재 종가 ÷ BPS(추정 포함)
[valuation]</t>
      </text>
    </comment>
    <comment ref="N37" authorId="0" shapeId="0">
      <text>
        <t>추정: 현재 종가 ÷ BPS(추정 포함)
[valuation]</t>
      </text>
    </comment>
    <comment ref="O37" authorId="0" shapeId="0">
      <text>
        <t>추정: 현재 종가 ÷ BPS(추정 포함)
[valuation]</t>
      </text>
    </comment>
    <comment ref="P37" authorId="0" shapeId="0">
      <text>
        <t>추정: 현재 종가 ÷ BPS(추정 포함)
[valuation]</t>
      </text>
    </comment>
    <comment ref="R37" authorId="0" shapeId="0">
      <text>
        <t>추정: 현재 종가 ÷ BPS(추정 포함)
[valuation]</t>
      </text>
    </comment>
    <comment ref="S37" authorId="0" shapeId="0">
      <text>
        <t>추정: 현재 종가 ÷ BPS(추정 포함)
[valuation]</t>
      </text>
    </comment>
    <comment ref="T37" authorId="0" shapeId="0">
      <text>
        <t>추정: 현재 종가 ÷ BPS(추정 포함)
[valuation]</t>
      </text>
    </comment>
    <comment ref="U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F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추정: = 매출액 추정(부문 미분리)
[identity]</t>
      </text>
    </comment>
    <comment ref="K38" authorId="0" shapeId="0">
      <text>
        <t>추정: = 매출액 추정(부문 미분리)
[identity]</t>
      </text>
    </comment>
    <comment ref="M38" authorId="0" shapeId="0">
      <text>
        <t>추정: = 매출액 추정(부문 미분리)
[identity]</t>
      </text>
    </comment>
    <comment ref="N38" authorId="0" shapeId="0">
      <text>
        <t>추정: = 매출액 추정(부문 미분리)
[identity]</t>
      </text>
    </comment>
    <comment ref="O38" authorId="0" shapeId="0">
      <text>
        <t>추정: = 매출액 추정(부문 미분리)
[identity]</t>
      </text>
    </comment>
    <comment ref="P38" authorId="0" shapeId="0">
      <text>
        <t>추정: = 매출액 추정(부문 미분리)
[identity]</t>
      </text>
    </comment>
    <comment ref="R38" authorId="0" shapeId="0">
      <text>
        <t>추정: = 매출액 추정(부문 미분리)
[identity]</t>
      </text>
    </comment>
    <comment ref="S38" authorId="0" shapeId="0">
      <text>
        <t>추정: = 매출액 추정(부문 미분리)
[identity]</t>
      </text>
    </comment>
    <comment ref="T38" authorId="0" shapeId="0">
      <text>
        <t>추정: = 매출액 추정(부문 미분리)
[identity]</t>
      </text>
    </comment>
    <comment ref="U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F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추정: = 매출액 × OPM(부문 미분리)
[identity]</t>
      </text>
    </comment>
    <comment ref="K39" authorId="0" shapeId="0">
      <text>
        <t>추정: = 매출액 × OPM(부문 미분리)
[identity]</t>
      </text>
    </comment>
    <comment ref="M39" authorId="0" shapeId="0">
      <text>
        <t>추정: = 매출액 × OPM(부문 미분리)
[identity]</t>
      </text>
    </comment>
    <comment ref="N39" authorId="0" shapeId="0">
      <text>
        <t>추정: = 매출액 × OPM(부문 미분리)
[identity]</t>
      </text>
    </comment>
    <comment ref="O39" authorId="0" shapeId="0">
      <text>
        <t>추정: = 매출액 × OPM(부문 미분리)
[identity]</t>
      </text>
    </comment>
    <comment ref="P39" authorId="0" shapeId="0">
      <text>
        <t>추정: = 매출액 × OPM(부문 미분리)
[identity]</t>
      </text>
    </comment>
    <comment ref="R39" authorId="0" shapeId="0">
      <text>
        <t>추정: = 매출액 × OPM(부문 미분리)
[identity]</t>
      </text>
    </comment>
    <comment ref="S39" authorId="0" shapeId="0">
      <text>
        <t>추정: = 매출액 × OPM(부문 미분리)
[identity]</t>
      </text>
    </comment>
    <comment ref="T39" authorId="0" shapeId="0">
      <text>
        <t>추정: = 매출액 × OPM(부문 미분리)
[identity]</t>
      </text>
    </comment>
    <comment ref="U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티엠씨(217590)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22.01% — 법인세 = MAX(세전,0) × 세율, 추정 전 분기 연결(Σ법인세/Σmax(세전,0) 역산, 재현 오차 ≤ 0.05억). 모델 가정 22.00% · 근거: 최근 4분기 유효세율 43.0% 가 5~27% 밖; 세전 &gt; 0 분기 중위 34.7% 도 5~27% 밖 → 법정세율 근사 22% 가정</t>
        </is>
      </c>
    </row>
    <row r="23">
      <c r="A23" t="inlineStr">
        <is>
          <t>· 판관비율 6.39%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17.52% / 부채 0.00% — 이자손익 = (전분기 이자발생자산 × 자산이자율 − 전분기 총차입금 × 부채이자율)/4, 최소자승 역산(모델 assumptions [0.1751, None] 는 4자리 반올림이라 그대로 쓰면 ±1억 어긋남) · 출처: {"asset": "CF 이자수취 ÷ 평균 이자발생자산(2025Q3~2026Q2; 주석 이자수익 3분기 &lt; 4)",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10.0/15.0/20.0배(sector_default(레퍼런스 TP_PE PB 예시 10/15/20배; 과거 양(+)EPS 분기 1개 &lt; 4))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assets/models/217590.json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격자 상관 0.92 가 단일 검정 5% 임계 r 0.95 미달(n=4, n_eff=4) (suppliers_mentions·시차 1·수준·창 8)): 전년동기 × (1+g) 추세 / 감가상각비가 face·CF 에 없음(주석 미파싱) → EBITDA·EV/EBITDA 미산출 / 금융손익 실적→추정 단절: 최근 4분기 실적 +1/-2/+10/+9(중위 +5억) → 추정 2026Q3 +2억(차 -3억, -57%)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null, "op_wape_pct": null, "n": 0, "note": "freeze 2025Q2 이후 실적 분기 없음 → 백테스트 없음"}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C1" s="2" t="inlineStr">
        <is>
          <t>이름: 변수H</t>
        </is>
      </c>
      <c r="E1" s="3" t="inlineStr">
        <is>
          <t>3Q25</t>
        </is>
      </c>
      <c r="F1" s="3" t="inlineStr">
        <is>
          <t>4Q25</t>
        </is>
      </c>
      <c r="G1" s="3" t="n">
        <v>2025</v>
      </c>
      <c r="H1" s="3" t="inlineStr">
        <is>
          <t>1Q26</t>
        </is>
      </c>
      <c r="I1" s="4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n">
        <v>2026</v>
      </c>
      <c r="M1" s="3" t="inlineStr">
        <is>
          <t>1Q27</t>
        </is>
      </c>
      <c r="N1" s="3" t="inlineStr">
        <is>
          <t>2Q27</t>
        </is>
      </c>
      <c r="O1" s="3" t="inlineStr">
        <is>
          <t>3Q27</t>
        </is>
      </c>
      <c r="P1" s="3" t="inlineStr">
        <is>
          <t>4Q27</t>
        </is>
      </c>
      <c r="Q1" s="3" t="n">
        <v>2027</v>
      </c>
      <c r="R1" s="3" t="inlineStr">
        <is>
          <t>1Q28</t>
        </is>
      </c>
      <c r="S1" s="3" t="inlineStr">
        <is>
          <t>2Q28</t>
        </is>
      </c>
      <c r="T1" s="3" t="inlineStr">
        <is>
          <t>3Q28</t>
        </is>
      </c>
      <c r="U1" s="3" t="inlineStr">
        <is>
          <t>4Q28</t>
        </is>
      </c>
      <c r="V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I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6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</row>
    <row r="4">
      <c r="E4" s="7" t="inlineStr">
        <is>
          <t>2025.09</t>
        </is>
      </c>
      <c r="F4" s="7" t="inlineStr">
        <is>
          <t>2025.12</t>
        </is>
      </c>
      <c r="G4" s="7" t="inlineStr">
        <is>
          <t>2025.12A</t>
        </is>
      </c>
      <c r="H4" s="7" t="inlineStr">
        <is>
          <t>2026.03</t>
        </is>
      </c>
      <c r="I4" s="8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2026.12A</t>
        </is>
      </c>
      <c r="M4" s="7" t="inlineStr">
        <is>
          <t>2027.03</t>
        </is>
      </c>
      <c r="N4" s="7" t="inlineStr">
        <is>
          <t>2027.06</t>
        </is>
      </c>
      <c r="O4" s="7" t="inlineStr">
        <is>
          <t>2027.09</t>
        </is>
      </c>
      <c r="P4" s="7" t="inlineStr">
        <is>
          <t>2027.12</t>
        </is>
      </c>
      <c r="Q4" s="7" t="inlineStr">
        <is>
          <t>2027.12A</t>
        </is>
      </c>
      <c r="R4" s="7" t="inlineStr">
        <is>
          <t>2028.03</t>
        </is>
      </c>
      <c r="S4" s="7" t="inlineStr">
        <is>
          <t>2028.06</t>
        </is>
      </c>
      <c r="T4" s="7" t="inlineStr">
        <is>
          <t>2028.09</t>
        </is>
      </c>
      <c r="U4" s="7" t="inlineStr">
        <is>
          <t>2028.12</t>
        </is>
      </c>
      <c r="V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G5" s="9" t="n"/>
      <c r="I5" s="5" t="n"/>
      <c r="J5" s="10" t="n"/>
      <c r="K5" s="10" t="n"/>
      <c r="L5" s="11" t="n"/>
      <c r="M5" s="10" t="n"/>
      <c r="N5" s="10" t="n"/>
      <c r="O5" s="10" t="n"/>
      <c r="P5" s="10" t="n"/>
      <c r="Q5" s="11" t="n"/>
      <c r="R5" s="10" t="n"/>
      <c r="S5" s="10" t="n"/>
      <c r="T5" s="10" t="n"/>
      <c r="U5" s="10" t="n"/>
      <c r="V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1386.95</v>
      </c>
      <c r="F6" s="13" t="n">
        <v>1449.19</v>
      </c>
      <c r="G6" s="14" t="n">
        <v>1421.52</v>
      </c>
      <c r="H6" s="13" t="n">
        <v>1466.12</v>
      </c>
      <c r="I6" s="15" t="n">
        <v>1501.75</v>
      </c>
      <c r="J6" s="16" t="n">
        <v>1418.75</v>
      </c>
      <c r="K6" s="16" t="n">
        <v>1345.14</v>
      </c>
      <c r="L6" s="17" t="n">
        <v>1457.21</v>
      </c>
      <c r="M6" s="16" t="n">
        <v>1341.49</v>
      </c>
      <c r="N6" s="16" t="n">
        <v>1341.49</v>
      </c>
      <c r="O6" s="16" t="n">
        <v>1341.49</v>
      </c>
      <c r="P6" s="16" t="n">
        <v>1341.49</v>
      </c>
      <c r="Q6" s="11" t="n"/>
      <c r="R6" s="16" t="n">
        <v>1341.49</v>
      </c>
      <c r="S6" s="16" t="n">
        <v>1341.49</v>
      </c>
      <c r="T6" s="16" t="n">
        <v>1341.49</v>
      </c>
      <c r="U6" s="16" t="n">
        <v>1341.49</v>
      </c>
      <c r="V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1403.67</v>
      </c>
      <c r="F7" s="13" t="n">
        <v>1444.2</v>
      </c>
      <c r="G7" s="14" t="n">
        <v>1444.2</v>
      </c>
      <c r="H7" s="13" t="n">
        <v>1524.8</v>
      </c>
      <c r="I7" s="15" t="n">
        <v>1550.89</v>
      </c>
      <c r="J7" s="16" t="n">
        <v>1355.4</v>
      </c>
      <c r="K7" s="16" t="n">
        <v>1341.49</v>
      </c>
      <c r="L7" s="17" t="n">
        <v>1341.49</v>
      </c>
      <c r="M7" s="16" t="n">
        <v>1341.49</v>
      </c>
      <c r="N7" s="16" t="n">
        <v>1341.49</v>
      </c>
      <c r="O7" s="16" t="n">
        <v>1341.49</v>
      </c>
      <c r="P7" s="16" t="n">
        <v>1341.49</v>
      </c>
      <c r="Q7" s="11" t="n"/>
      <c r="R7" s="16" t="n">
        <v>1341.49</v>
      </c>
      <c r="S7" s="16" t="n">
        <v>1341.49</v>
      </c>
      <c r="T7" s="16" t="n">
        <v>1341.49</v>
      </c>
      <c r="U7" s="16" t="n">
        <v>1341.49</v>
      </c>
      <c r="V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940.3200000000001</v>
      </c>
      <c r="F8" s="13" t="n">
        <v>940.77</v>
      </c>
      <c r="G8" s="14" t="n">
        <v>950.17</v>
      </c>
      <c r="H8" s="13" t="n">
        <v>934.39</v>
      </c>
      <c r="I8" s="15" t="n">
        <v>942.16</v>
      </c>
      <c r="J8" s="16" t="n">
        <v>890.41</v>
      </c>
      <c r="K8" s="16" t="n">
        <v>850.79</v>
      </c>
      <c r="L8" s="17" t="n">
        <v>919.21</v>
      </c>
      <c r="M8" s="16" t="n">
        <v>847.7</v>
      </c>
      <c r="N8" s="16" t="n">
        <v>847.7</v>
      </c>
      <c r="O8" s="16" t="n">
        <v>847.7</v>
      </c>
      <c r="P8" s="16" t="n">
        <v>847.7</v>
      </c>
      <c r="Q8" s="11" t="n"/>
      <c r="R8" s="16" t="n">
        <v>847.7</v>
      </c>
      <c r="S8" s="16" t="n">
        <v>847.7</v>
      </c>
      <c r="T8" s="16" t="n">
        <v>847.7</v>
      </c>
      <c r="U8" s="16" t="n">
        <v>847.7</v>
      </c>
      <c r="V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948.49</v>
      </c>
      <c r="F9" s="13" t="n">
        <v>921.8099999999999</v>
      </c>
      <c r="G9" s="14" t="n">
        <v>921.8099999999999</v>
      </c>
      <c r="H9" s="13" t="n">
        <v>955.99</v>
      </c>
      <c r="I9" s="15" t="n">
        <v>954.75</v>
      </c>
      <c r="J9" s="16" t="n">
        <v>863.3099999999999</v>
      </c>
      <c r="K9" s="16" t="n">
        <v>847.7</v>
      </c>
      <c r="L9" s="17" t="n">
        <v>847.7</v>
      </c>
      <c r="M9" s="16" t="n">
        <v>847.7</v>
      </c>
      <c r="N9" s="16" t="n">
        <v>847.7</v>
      </c>
      <c r="O9" s="16" t="n">
        <v>847.7</v>
      </c>
      <c r="P9" s="16" t="n">
        <v>847.7</v>
      </c>
      <c r="Q9" s="11" t="n"/>
      <c r="R9" s="16" t="n">
        <v>847.7</v>
      </c>
      <c r="S9" s="16" t="n">
        <v>847.7</v>
      </c>
      <c r="T9" s="16" t="n">
        <v>847.7</v>
      </c>
      <c r="U9" s="16" t="n">
        <v>847.7</v>
      </c>
      <c r="V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1620.04</v>
      </c>
      <c r="F10" s="13" t="n">
        <v>1686.02</v>
      </c>
      <c r="G10" s="14" t="n">
        <v>1605.45</v>
      </c>
      <c r="H10" s="13" t="n">
        <v>1715.47</v>
      </c>
      <c r="I10" s="15" t="n">
        <v>1746.09</v>
      </c>
      <c r="J10" s="16" t="n">
        <v>1631.97</v>
      </c>
      <c r="K10" s="16" t="n">
        <v>1509.74</v>
      </c>
      <c r="L10" s="17" t="n">
        <v>1689.95</v>
      </c>
      <c r="M10" s="16" t="n">
        <v>1503.27</v>
      </c>
      <c r="N10" s="16" t="n">
        <v>1503.27</v>
      </c>
      <c r="O10" s="16" t="n">
        <v>1503.27</v>
      </c>
      <c r="P10" s="16" t="n">
        <v>1503.27</v>
      </c>
      <c r="Q10" s="11" t="n"/>
      <c r="R10" s="16" t="n">
        <v>1503.27</v>
      </c>
      <c r="S10" s="16" t="n">
        <v>1503.27</v>
      </c>
      <c r="T10" s="16" t="n">
        <v>1503.27</v>
      </c>
      <c r="U10" s="16" t="n">
        <v>1503.27</v>
      </c>
      <c r="V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1648.04</v>
      </c>
      <c r="F11" s="13" t="n">
        <v>1696.94</v>
      </c>
      <c r="G11" s="14" t="n">
        <v>1696.94</v>
      </c>
      <c r="H11" s="13" t="n">
        <v>1753.21</v>
      </c>
      <c r="I11" s="15" t="n">
        <v>1767.09</v>
      </c>
      <c r="J11" s="16" t="n">
        <v>1539.06</v>
      </c>
      <c r="K11" s="16" t="n">
        <v>1503.27</v>
      </c>
      <c r="L11" s="17" t="n">
        <v>1503.27</v>
      </c>
      <c r="M11" s="16" t="n">
        <v>1503.27</v>
      </c>
      <c r="N11" s="16" t="n">
        <v>1503.27</v>
      </c>
      <c r="O11" s="16" t="n">
        <v>1503.27</v>
      </c>
      <c r="P11" s="16" t="n">
        <v>1503.27</v>
      </c>
      <c r="Q11" s="11" t="n"/>
      <c r="R11" s="16" t="n">
        <v>1503.27</v>
      </c>
      <c r="S11" s="16" t="n">
        <v>1503.27</v>
      </c>
      <c r="T11" s="16" t="n">
        <v>1503.27</v>
      </c>
      <c r="U11" s="16" t="n">
        <v>1503.27</v>
      </c>
      <c r="V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193.79</v>
      </c>
      <c r="F12" s="13" t="n">
        <v>204.38</v>
      </c>
      <c r="G12" s="14" t="n">
        <v>197.8</v>
      </c>
      <c r="H12" s="13" t="n">
        <v>211.75</v>
      </c>
      <c r="I12" s="15" t="n">
        <v>220.8</v>
      </c>
      <c r="J12" s="16" t="n">
        <v>210.43</v>
      </c>
      <c r="K12" s="16" t="n">
        <v>200.69</v>
      </c>
      <c r="L12" s="17" t="n">
        <v>213.75</v>
      </c>
      <c r="M12" s="16" t="n">
        <v>200.46</v>
      </c>
      <c r="N12" s="16" t="n">
        <v>200.46</v>
      </c>
      <c r="O12" s="16" t="n">
        <v>200.46</v>
      </c>
      <c r="P12" s="16" t="n">
        <v>200.46</v>
      </c>
      <c r="Q12" s="11" t="n"/>
      <c r="R12" s="16" t="n">
        <v>200.46</v>
      </c>
      <c r="S12" s="16" t="n">
        <v>200.46</v>
      </c>
      <c r="T12" s="16" t="n">
        <v>200.46</v>
      </c>
      <c r="U12" s="16" t="n">
        <v>200.46</v>
      </c>
      <c r="V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197.16</v>
      </c>
      <c r="F13" s="13" t="n">
        <v>206.28</v>
      </c>
      <c r="G13" s="14" t="n">
        <v>206.28</v>
      </c>
      <c r="H13" s="13" t="n">
        <v>220.97</v>
      </c>
      <c r="I13" s="15" t="n">
        <v>228.56</v>
      </c>
      <c r="J13" s="16" t="n">
        <v>202.16</v>
      </c>
      <c r="K13" s="16" t="n">
        <v>200.46</v>
      </c>
      <c r="L13" s="17" t="n">
        <v>200.46</v>
      </c>
      <c r="M13" s="16" t="n">
        <v>200.46</v>
      </c>
      <c r="N13" s="16" t="n">
        <v>200.46</v>
      </c>
      <c r="O13" s="16" t="n">
        <v>200.46</v>
      </c>
      <c r="P13" s="16" t="n">
        <v>200.46</v>
      </c>
      <c r="Q13" s="11" t="n"/>
      <c r="R13" s="16" t="n">
        <v>200.46</v>
      </c>
      <c r="S13" s="16" t="n">
        <v>200.46</v>
      </c>
      <c r="T13" s="16" t="n">
        <v>200.46</v>
      </c>
      <c r="U13" s="16" t="n">
        <v>200.46</v>
      </c>
      <c r="V13" s="11" t="n"/>
    </row>
    <row r="14">
      <c r="B14" s="1" t="inlineStr">
        <is>
          <t>1b. 종가</t>
        </is>
      </c>
      <c r="G14" s="9" t="n"/>
      <c r="I14" s="5" t="n"/>
      <c r="J14" s="10" t="n"/>
      <c r="K14" s="10" t="n"/>
      <c r="L14" s="11" t="n"/>
      <c r="M14" s="10" t="n"/>
      <c r="N14" s="10" t="n"/>
      <c r="O14" s="10" t="n"/>
      <c r="P14" s="10" t="n"/>
      <c r="Q14" s="11" t="n"/>
      <c r="R14" s="10" t="n"/>
      <c r="S14" s="10" t="n"/>
      <c r="T14" s="10" t="n"/>
      <c r="U14" s="10" t="n"/>
      <c r="V14" s="11" t="n"/>
    </row>
    <row r="15">
      <c r="A15" s="12" t="inlineStr">
        <is>
          <t>price_close_end</t>
        </is>
      </c>
      <c r="C15" t="inlineStr">
        <is>
          <t>종가(기말)</t>
        </is>
      </c>
      <c r="F15" s="18" t="n">
        <v>15130</v>
      </c>
      <c r="G15" s="9" t="n"/>
      <c r="H15" s="18" t="n">
        <v>18740</v>
      </c>
      <c r="I15" s="19" t="n">
        <v>13020</v>
      </c>
      <c r="J15" s="20" t="n">
        <v>13570</v>
      </c>
      <c r="K15" s="20" t="n">
        <v>18240</v>
      </c>
      <c r="L15" s="11" t="n"/>
      <c r="M15" s="10" t="n"/>
      <c r="N15" s="10" t="n"/>
      <c r="O15" s="10" t="n"/>
      <c r="P15" s="10" t="n"/>
      <c r="Q15" s="11" t="n"/>
      <c r="R15" s="10" t="n"/>
      <c r="S15" s="10" t="n"/>
      <c r="T15" s="10" t="n"/>
      <c r="U15" s="10" t="n"/>
      <c r="V15" s="11" t="n"/>
    </row>
    <row r="16">
      <c r="A16" s="12" t="inlineStr">
        <is>
          <t>price_high</t>
        </is>
      </c>
      <c r="C16" t="inlineStr">
        <is>
          <t>종가(최고)</t>
        </is>
      </c>
      <c r="F16" s="18" t="n">
        <v>25850</v>
      </c>
      <c r="G16" s="9" t="n"/>
      <c r="H16" s="18" t="n">
        <v>28950</v>
      </c>
      <c r="I16" s="19" t="n">
        <v>38700</v>
      </c>
      <c r="J16" s="20" t="n">
        <v>16170</v>
      </c>
      <c r="K16" s="20" t="n">
        <v>20300</v>
      </c>
      <c r="L16" s="11" t="n"/>
      <c r="M16" s="10" t="n"/>
      <c r="N16" s="10" t="n"/>
      <c r="O16" s="10" t="n"/>
      <c r="P16" s="10" t="n"/>
      <c r="Q16" s="11" t="n"/>
      <c r="R16" s="10" t="n"/>
      <c r="S16" s="10" t="n"/>
      <c r="T16" s="10" t="n"/>
      <c r="U16" s="10" t="n"/>
      <c r="V16" s="11" t="n"/>
    </row>
    <row r="17">
      <c r="A17" s="12" t="inlineStr">
        <is>
          <t>price_low</t>
        </is>
      </c>
      <c r="C17" t="inlineStr">
        <is>
          <t>종가(최저)</t>
        </is>
      </c>
      <c r="F17" s="18" t="n">
        <v>15050</v>
      </c>
      <c r="G17" s="9" t="n"/>
      <c r="H17" s="18" t="n">
        <v>11600</v>
      </c>
      <c r="I17" s="19" t="n">
        <v>11500</v>
      </c>
      <c r="J17" s="20" t="n">
        <v>8820</v>
      </c>
      <c r="K17" s="20" t="n">
        <v>13410</v>
      </c>
      <c r="L17" s="11" t="n"/>
      <c r="M17" s="10" t="n"/>
      <c r="N17" s="10" t="n"/>
      <c r="O17" s="10" t="n"/>
      <c r="P17" s="10" t="n"/>
      <c r="Q17" s="11" t="n"/>
      <c r="R17" s="10" t="n"/>
      <c r="S17" s="10" t="n"/>
      <c r="T17" s="10" t="n"/>
      <c r="U17" s="10" t="n"/>
      <c r="V17" s="11" t="n"/>
    </row>
    <row r="18">
      <c r="A18" s="12" t="inlineStr">
        <is>
          <t>price_avg</t>
        </is>
      </c>
      <c r="C18" t="inlineStr">
        <is>
          <t>종가(평균)</t>
        </is>
      </c>
      <c r="F18" s="18" t="n">
        <v>19043.6</v>
      </c>
      <c r="G18" s="9" t="n"/>
      <c r="H18" s="18" t="n">
        <v>16048.1</v>
      </c>
      <c r="I18" s="19" t="n">
        <v>23966.7</v>
      </c>
      <c r="J18" s="20" t="n">
        <v>12227.4</v>
      </c>
      <c r="K18" s="20" t="n">
        <v>17760</v>
      </c>
      <c r="L18" s="11" t="n"/>
      <c r="M18" s="10" t="n"/>
      <c r="N18" s="10" t="n"/>
      <c r="O18" s="10" t="n"/>
      <c r="P18" s="10" t="n"/>
      <c r="Q18" s="11" t="n"/>
      <c r="R18" s="10" t="n"/>
      <c r="S18" s="10" t="n"/>
      <c r="T18" s="10" t="n"/>
      <c r="U18" s="10" t="n"/>
      <c r="V18" s="11" t="n"/>
    </row>
    <row r="19">
      <c r="G19" s="9" t="n"/>
      <c r="I19" s="5" t="n"/>
      <c r="J19" s="10" t="n"/>
      <c r="K19" s="10" t="n"/>
      <c r="L19" s="11" t="n"/>
      <c r="M19" s="10" t="n"/>
      <c r="N19" s="10" t="n"/>
      <c r="O19" s="10" t="n"/>
      <c r="P19" s="10" t="n"/>
      <c r="Q19" s="11" t="n"/>
      <c r="R19" s="10" t="n"/>
      <c r="S19" s="10" t="n"/>
      <c r="T19" s="10" t="n"/>
      <c r="U19" s="10" t="n"/>
      <c r="V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G20" s="9" t="n"/>
      <c r="I20" s="5" t="n"/>
      <c r="J20" s="10" t="n"/>
      <c r="K20" s="10" t="n"/>
      <c r="L20" s="11" t="n"/>
      <c r="M20" s="10" t="n"/>
      <c r="N20" s="10" t="n"/>
      <c r="O20" s="10" t="n"/>
      <c r="P20" s="10" t="n"/>
      <c r="Q20" s="11" t="n"/>
      <c r="R20" s="10" t="n"/>
      <c r="S20" s="10" t="n"/>
      <c r="T20" s="10" t="n"/>
      <c r="U20" s="10" t="n"/>
      <c r="V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1" t="n"/>
      <c r="G21" s="22" t="n"/>
      <c r="H21" s="21" t="n"/>
      <c r="I21" s="23" t="n"/>
      <c r="J21" s="24" t="n">
        <v>2.884e-06</v>
      </c>
      <c r="K21" s="24" t="n">
        <v>2.108e-06</v>
      </c>
      <c r="L21" s="25" t="n"/>
      <c r="M21" s="24" t="n">
        <v>3.193e-06</v>
      </c>
      <c r="N21" s="24" t="n">
        <v>3.855e-06</v>
      </c>
      <c r="O21" s="24" t="n">
        <v>0</v>
      </c>
      <c r="P21" s="24" t="n">
        <v>0</v>
      </c>
      <c r="Q21" s="25" t="n"/>
      <c r="R21" s="24" t="n">
        <v>0</v>
      </c>
      <c r="S21" s="24" t="n">
        <v>0</v>
      </c>
      <c r="T21" s="24" t="n">
        <v>0</v>
      </c>
      <c r="U21" s="24" t="n">
        <v>0</v>
      </c>
      <c r="V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1">
        <f>IFERROR(subQ!F8/subQ!F5,"")</f>
        <v/>
      </c>
      <c r="G22" s="22">
        <f>IFERROR(subQ!G8/subQ!G5,"")</f>
        <v/>
      </c>
      <c r="H22" s="21">
        <f>IFERROR(subQ!H8/subQ!H5,"")</f>
        <v/>
      </c>
      <c r="I22" s="23">
        <f>IFERROR(subQ!I8/subQ!I5,"")</f>
        <v/>
      </c>
      <c r="J22" s="26">
        <f>$D$52</f>
        <v/>
      </c>
      <c r="K22" s="26">
        <f>$D$52</f>
        <v/>
      </c>
      <c r="L22" s="25">
        <f>IFERROR(subQ!L8/subQ!L5,"")</f>
        <v/>
      </c>
      <c r="M22" s="26">
        <f>$D$52</f>
        <v/>
      </c>
      <c r="N22" s="26">
        <f>$D$52</f>
        <v/>
      </c>
      <c r="O22" s="26">
        <f>$D$52</f>
        <v/>
      </c>
      <c r="P22" s="26">
        <f>$D$52</f>
        <v/>
      </c>
      <c r="Q22" s="25">
        <f>IFERROR(subQ!Q8/subQ!Q5,"")</f>
        <v/>
      </c>
      <c r="R22" s="26">
        <f>$D$52</f>
        <v/>
      </c>
      <c r="S22" s="26">
        <f>$D$52</f>
        <v/>
      </c>
      <c r="T22" s="26">
        <f>$D$52</f>
        <v/>
      </c>
      <c r="U22" s="26">
        <f>$D$52</f>
        <v/>
      </c>
      <c r="V22" s="25">
        <f>IFERROR(subQ!V8/subQ!V5,"")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1">
        <f>IFERROR(subQ!F9/subQ!F5,"")</f>
        <v/>
      </c>
      <c r="G23" s="22">
        <f>IFERROR(subQ!G9/subQ!G5,"")</f>
        <v/>
      </c>
      <c r="H23" s="21">
        <f>IFERROR(subQ!H9/subQ!H5,"")</f>
        <v/>
      </c>
      <c r="I23" s="23">
        <f>IFERROR(subQ!I9/subQ!I5,"")</f>
        <v/>
      </c>
      <c r="J23" s="24" t="n">
        <v>0.011497856</v>
      </c>
      <c r="K23" s="24" t="n">
        <v>0.011503492</v>
      </c>
      <c r="L23" s="25">
        <f>IFERROR(subQ!L9/subQ!L5,"")</f>
        <v/>
      </c>
      <c r="M23" s="24" t="n">
        <v>0.011495599</v>
      </c>
      <c r="N23" s="24" t="n">
        <v>0.011499549</v>
      </c>
      <c r="O23" s="24" t="n">
        <v>0.011497856</v>
      </c>
      <c r="P23" s="24" t="n">
        <v>0.011503492</v>
      </c>
      <c r="Q23" s="25">
        <f>IFERROR(subQ!Q9/subQ!Q5,"")</f>
        <v/>
      </c>
      <c r="R23" s="24" t="n">
        <v>0.011495599</v>
      </c>
      <c r="S23" s="24" t="n">
        <v>0.011499549</v>
      </c>
      <c r="T23" s="24" t="n">
        <v>0.011497856</v>
      </c>
      <c r="U23" s="24" t="n">
        <v>0.011503492</v>
      </c>
      <c r="V23" s="25">
        <f>IFERROR(subQ!V9/subQ!V5,"")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7">
        <f>subQ!F13</f>
        <v/>
      </c>
      <c r="G24" s="28">
        <f>subQ!G13</f>
        <v/>
      </c>
      <c r="H24" s="27">
        <f>subQ!H13</f>
        <v/>
      </c>
      <c r="I24" s="29">
        <f>subQ!I13</f>
        <v/>
      </c>
      <c r="J24" s="30" t="n">
        <v>0</v>
      </c>
      <c r="K24" s="30" t="n">
        <v>0</v>
      </c>
      <c r="L24" s="31">
        <f>subQ!L13</f>
        <v/>
      </c>
      <c r="M24" s="30" t="n">
        <v>0</v>
      </c>
      <c r="N24" s="30" t="n">
        <v>0</v>
      </c>
      <c r="O24" s="30" t="n">
        <v>0</v>
      </c>
      <c r="P24" s="30" t="n">
        <v>0</v>
      </c>
      <c r="Q24" s="31">
        <f>subQ!Q13</f>
        <v/>
      </c>
      <c r="R24" s="30" t="n">
        <v>0</v>
      </c>
      <c r="S24" s="30" t="n">
        <v>0</v>
      </c>
      <c r="T24" s="30" t="n">
        <v>0</v>
      </c>
      <c r="U24" s="30" t="n">
        <v>0</v>
      </c>
      <c r="V24" s="31">
        <f>subQ!V13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7">
        <f>subQ!F14</f>
        <v/>
      </c>
      <c r="G25" s="28">
        <f>subQ!G14</f>
        <v/>
      </c>
      <c r="H25" s="27">
        <f>subQ!H14</f>
        <v/>
      </c>
      <c r="I25" s="29">
        <f>subQ!I14</f>
        <v/>
      </c>
      <c r="J25" s="30" t="n">
        <v>0</v>
      </c>
      <c r="K25" s="30" t="n">
        <v>0</v>
      </c>
      <c r="L25" s="31">
        <f>subQ!L14</f>
        <v/>
      </c>
      <c r="M25" s="30" t="n">
        <v>0</v>
      </c>
      <c r="N25" s="30" t="n">
        <v>0</v>
      </c>
      <c r="O25" s="30" t="n">
        <v>0</v>
      </c>
      <c r="P25" s="30" t="n">
        <v>0</v>
      </c>
      <c r="Q25" s="31">
        <f>subQ!Q14</f>
        <v/>
      </c>
      <c r="R25" s="30" t="n">
        <v>0</v>
      </c>
      <c r="S25" s="30" t="n">
        <v>0</v>
      </c>
      <c r="T25" s="30" t="n">
        <v>0</v>
      </c>
      <c r="U25" s="30" t="n">
        <v>0</v>
      </c>
      <c r="V25" s="31">
        <f>subQ!V14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7">
        <f>subQ!F15</f>
        <v/>
      </c>
      <c r="G26" s="28">
        <f>subQ!G15</f>
        <v/>
      </c>
      <c r="H26" s="27">
        <f>subQ!H15</f>
        <v/>
      </c>
      <c r="I26" s="29">
        <f>subQ!I15</f>
        <v/>
      </c>
      <c r="J26" s="30" t="n">
        <v>0</v>
      </c>
      <c r="K26" s="30" t="n">
        <v>0</v>
      </c>
      <c r="L26" s="31">
        <f>subQ!L15</f>
        <v/>
      </c>
      <c r="M26" s="30" t="n">
        <v>0</v>
      </c>
      <c r="N26" s="30" t="n">
        <v>0</v>
      </c>
      <c r="O26" s="30" t="n">
        <v>0</v>
      </c>
      <c r="P26" s="30" t="n">
        <v>0</v>
      </c>
      <c r="Q26" s="31">
        <f>subQ!Q15</f>
        <v/>
      </c>
      <c r="R26" s="30" t="n">
        <v>0</v>
      </c>
      <c r="S26" s="30" t="n">
        <v>0</v>
      </c>
      <c r="T26" s="30" t="n">
        <v>0</v>
      </c>
      <c r="U26" s="30" t="n">
        <v>0</v>
      </c>
      <c r="V26" s="31">
        <f>subQ!V15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7">
        <f>subQ!F16</f>
        <v/>
      </c>
      <c r="G27" s="28">
        <f>subQ!G16</f>
        <v/>
      </c>
      <c r="H27" s="27">
        <f>subQ!H16</f>
        <v/>
      </c>
      <c r="I27" s="29">
        <f>subQ!I16</f>
        <v/>
      </c>
      <c r="J27" s="30" t="n">
        <v>0</v>
      </c>
      <c r="K27" s="30" t="n">
        <v>0</v>
      </c>
      <c r="L27" s="31">
        <f>subQ!L16</f>
        <v/>
      </c>
      <c r="M27" s="30" t="n">
        <v>0</v>
      </c>
      <c r="N27" s="30" t="n">
        <v>0</v>
      </c>
      <c r="O27" s="30" t="n">
        <v>0</v>
      </c>
      <c r="P27" s="30" t="n">
        <v>0</v>
      </c>
      <c r="Q27" s="31">
        <f>subQ!Q16</f>
        <v/>
      </c>
      <c r="R27" s="30" t="n">
        <v>0</v>
      </c>
      <c r="S27" s="30" t="n">
        <v>0</v>
      </c>
      <c r="T27" s="30" t="n">
        <v>0</v>
      </c>
      <c r="U27" s="30" t="n">
        <v>0</v>
      </c>
      <c r="V27" s="31">
        <f>subQ!V16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1">
        <f>IFERROR(subQ!F18/subQ!F17,"")</f>
        <v/>
      </c>
      <c r="G28" s="22">
        <f>IFERROR(subQ!G18/subQ!G17,"")</f>
        <v/>
      </c>
      <c r="H28" s="21">
        <f>IFERROR(subQ!H18/subQ!H17,"")</f>
        <v/>
      </c>
      <c r="I28" s="23">
        <f>IFERROR(subQ!I18/subQ!I17,"")</f>
        <v/>
      </c>
      <c r="J28" s="26">
        <f>$D$51</f>
        <v/>
      </c>
      <c r="K28" s="26">
        <f>$D$51</f>
        <v/>
      </c>
      <c r="L28" s="25">
        <f>IFERROR(subQ!L18/subQ!L17,"")</f>
        <v/>
      </c>
      <c r="M28" s="26">
        <f>$D$51</f>
        <v/>
      </c>
      <c r="N28" s="26">
        <f>$D$51</f>
        <v/>
      </c>
      <c r="O28" s="26">
        <f>$D$51</f>
        <v/>
      </c>
      <c r="P28" s="26">
        <f>$D$51</f>
        <v/>
      </c>
      <c r="Q28" s="25">
        <f>IFERROR(subQ!Q18/subQ!Q17,"")</f>
        <v/>
      </c>
      <c r="R28" s="26">
        <f>$D$51</f>
        <v/>
      </c>
      <c r="S28" s="26">
        <f>$D$51</f>
        <v/>
      </c>
      <c r="T28" s="26">
        <f>$D$51</f>
        <v/>
      </c>
      <c r="U28" s="26">
        <f>$D$51</f>
        <v/>
      </c>
      <c r="V28" s="25">
        <f>IFERROR(subQ!V18/subQ!V17,"")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1">
        <f>IFERROR(subQ!F20/subQ!F19,"")</f>
        <v/>
      </c>
      <c r="G29" s="22">
        <f>IFERROR(subQ!G20/subQ!G19,"")</f>
        <v/>
      </c>
      <c r="H29" s="21">
        <f>IFERROR(subQ!H20/subQ!H19,"")</f>
        <v/>
      </c>
      <c r="I29" s="23">
        <f>IFERROR(subQ!I20/subQ!I19,"")</f>
        <v/>
      </c>
      <c r="J29" s="26">
        <f>$D$53</f>
        <v/>
      </c>
      <c r="K29" s="26">
        <f>$D$53</f>
        <v/>
      </c>
      <c r="L29" s="25">
        <f>IFERROR(subQ!L20/subQ!L19,"")</f>
        <v/>
      </c>
      <c r="M29" s="26">
        <f>$D$53</f>
        <v/>
      </c>
      <c r="N29" s="26">
        <f>$D$53</f>
        <v/>
      </c>
      <c r="O29" s="26">
        <f>$D$53</f>
        <v/>
      </c>
      <c r="P29" s="26">
        <f>$D$53</f>
        <v/>
      </c>
      <c r="Q29" s="25">
        <f>IFERROR(subQ!Q20/subQ!Q19,"")</f>
        <v/>
      </c>
      <c r="R29" s="26">
        <f>$D$53</f>
        <v/>
      </c>
      <c r="S29" s="26">
        <f>$D$53</f>
        <v/>
      </c>
      <c r="T29" s="26">
        <f>$D$53</f>
        <v/>
      </c>
      <c r="U29" s="26">
        <f>$D$53</f>
        <v/>
      </c>
      <c r="V29" s="25">
        <f>IFERROR(subQ!V20/subQ!V19,"")</f>
        <v/>
      </c>
    </row>
    <row r="30">
      <c r="A30" s="12" t="inlineStr">
        <is>
          <t>drv:중단사업이익</t>
        </is>
      </c>
      <c r="B30" s="2" t="inlineStr">
        <is>
          <t>abs</t>
        </is>
      </c>
      <c r="C30" t="inlineStr">
        <is>
          <t>중단사업이익 (가정, 억원)</t>
        </is>
      </c>
      <c r="E30" s="27">
        <f>subQ!E21</f>
        <v/>
      </c>
      <c r="F30" s="27">
        <f>subQ!F21</f>
        <v/>
      </c>
      <c r="G30" s="28">
        <f>subQ!G21</f>
        <v/>
      </c>
      <c r="H30" s="27">
        <f>subQ!H21</f>
        <v/>
      </c>
      <c r="I30" s="29">
        <f>subQ!I21</f>
        <v/>
      </c>
      <c r="J30" s="32" t="n"/>
      <c r="K30" s="32" t="n"/>
      <c r="L30" s="31">
        <f>subQ!L21</f>
        <v/>
      </c>
      <c r="M30" s="32" t="n"/>
      <c r="N30" s="32" t="n"/>
      <c r="O30" s="32" t="n"/>
      <c r="P30" s="32" t="n"/>
      <c r="Q30" s="31">
        <f>subQ!Q21</f>
        <v/>
      </c>
      <c r="R30" s="32" t="n"/>
      <c r="S30" s="32" t="n"/>
      <c r="T30" s="32" t="n"/>
      <c r="U30" s="32" t="n"/>
      <c r="V30" s="31">
        <f>subQ!V21</f>
        <v/>
      </c>
    </row>
    <row r="31">
      <c r="A31" s="12" t="inlineStr">
        <is>
          <t>drv:부채총계</t>
        </is>
      </c>
      <c r="B31" s="2" t="inlineStr">
        <is>
          <t>qoq</t>
        </is>
      </c>
      <c r="C31" t="inlineStr">
        <is>
          <t>부채총계 QoQ</t>
        </is>
      </c>
      <c r="E31" s="21" t="n"/>
      <c r="F31" s="21">
        <f>IFERROR(subQ!F23/subQ!E23-1,"")</f>
        <v/>
      </c>
      <c r="G31" s="22" t="n"/>
      <c r="H31" s="21">
        <f>IFERROR(subQ!H23/subQ!F23-1,"")</f>
        <v/>
      </c>
      <c r="I31" s="23">
        <f>IFERROR(subQ!I23/subQ!H23-1,"")</f>
        <v/>
      </c>
      <c r="J31" s="24" t="n">
        <v>-4.27e-07</v>
      </c>
      <c r="K31" s="24" t="n">
        <v>0</v>
      </c>
      <c r="L31" s="25" t="n"/>
      <c r="M31" s="24" t="n">
        <v>0</v>
      </c>
      <c r="N31" s="24" t="n">
        <v>0</v>
      </c>
      <c r="O31" s="24" t="n">
        <v>0</v>
      </c>
      <c r="P31" s="24" t="n">
        <v>0</v>
      </c>
      <c r="Q31" s="25" t="n"/>
      <c r="R31" s="24" t="n">
        <v>0</v>
      </c>
      <c r="S31" s="24" t="n">
        <v>0</v>
      </c>
      <c r="T31" s="24" t="n">
        <v>0</v>
      </c>
      <c r="U31" s="24" t="n">
        <v>0</v>
      </c>
      <c r="V31" s="25" t="n"/>
    </row>
    <row r="32">
      <c r="A32" s="12" t="inlineStr">
        <is>
          <t>drv:자본총계</t>
        </is>
      </c>
      <c r="B32" s="2" t="inlineStr">
        <is>
          <t>roll</t>
        </is>
      </c>
      <c r="C32" t="inlineStr">
        <is>
          <t>자본총계 기타변동(배당 등, 억원)</t>
        </is>
      </c>
      <c r="E32" s="27" t="n"/>
      <c r="F32" s="27">
        <f>IFERROR(subQ!E24+subQ!F19-subQ!F24,"")</f>
        <v/>
      </c>
      <c r="G32" s="28" t="n"/>
      <c r="H32" s="27">
        <f>IFERROR(subQ!F24+subQ!H19-subQ!H24,"")</f>
        <v/>
      </c>
      <c r="I32" s="29">
        <f>IFERROR(subQ!H24+subQ!I19-subQ!I24,"")</f>
        <v/>
      </c>
      <c r="J32" s="30" t="n">
        <v>-0.003677405</v>
      </c>
      <c r="K32" s="30" t="n">
        <v>0.00526301</v>
      </c>
      <c r="L32" s="31" t="n"/>
      <c r="M32" s="30" t="n">
        <v>0.002339075</v>
      </c>
      <c r="N32" s="30" t="n">
        <v>11.915828952</v>
      </c>
      <c r="O32" s="30" t="n">
        <v>0.001168411</v>
      </c>
      <c r="P32" s="30" t="n">
        <v>-0.003883395</v>
      </c>
      <c r="Q32" s="31" t="n"/>
      <c r="R32" s="30" t="n">
        <v>-0.001970572</v>
      </c>
      <c r="S32" s="30" t="n">
        <v>11.91772221</v>
      </c>
      <c r="T32" s="30" t="n">
        <v>0.000289181</v>
      </c>
      <c r="U32" s="30" t="n">
        <v>0.0034895</v>
      </c>
      <c r="V32" s="31" t="n"/>
    </row>
    <row r="33">
      <c r="A33" s="12" t="inlineStr">
        <is>
          <t>drv:지배주주지분</t>
        </is>
      </c>
      <c r="B33" s="2" t="inlineStr">
        <is>
          <t>roll</t>
        </is>
      </c>
      <c r="C33" t="inlineStr">
        <is>
          <t>지배주주지분 기타변동(배당 등, 억원)</t>
        </is>
      </c>
      <c r="E33" s="27" t="n"/>
      <c r="F33" s="27">
        <f>IFERROR(subQ!E25+subQ!F20-subQ!F25,"")</f>
        <v/>
      </c>
      <c r="G33" s="28" t="n"/>
      <c r="H33" s="27">
        <f>IFERROR(subQ!F25+subQ!H20-subQ!H25,"")</f>
        <v/>
      </c>
      <c r="I33" s="29">
        <f>IFERROR(subQ!H25+subQ!I20-subQ!I25,"")</f>
        <v/>
      </c>
      <c r="J33" s="30" t="n">
        <v>-0.001677405</v>
      </c>
      <c r="K33" s="30" t="n">
        <v>0.00526301</v>
      </c>
      <c r="L33" s="31" t="n"/>
      <c r="M33" s="30" t="n">
        <v>-0.007660925</v>
      </c>
      <c r="N33" s="30" t="n">
        <v>11.925828952</v>
      </c>
      <c r="O33" s="30" t="n">
        <v>-0.008831589000000001</v>
      </c>
      <c r="P33" s="30" t="n">
        <v>0.006116605</v>
      </c>
      <c r="Q33" s="31" t="n"/>
      <c r="R33" s="30" t="n">
        <v>-0.001970572</v>
      </c>
      <c r="S33" s="30" t="n">
        <v>11.91772221</v>
      </c>
      <c r="T33" s="30" t="n">
        <v>0.000289181</v>
      </c>
      <c r="U33" s="30" t="n">
        <v>0.0034895</v>
      </c>
      <c r="V33" s="31" t="n"/>
    </row>
    <row r="34">
      <c r="A34" s="12" t="inlineStr">
        <is>
          <t>drv:총차입금</t>
        </is>
      </c>
      <c r="B34" s="2" t="inlineStr">
        <is>
          <t>qoq</t>
        </is>
      </c>
      <c r="C34" t="inlineStr">
        <is>
          <t>총차입금 QoQ</t>
        </is>
      </c>
      <c r="E34" s="21" t="n"/>
      <c r="F34" s="21">
        <f>IFERROR(subQ!F26/subQ!E26-1,"")</f>
        <v/>
      </c>
      <c r="G34" s="22" t="n"/>
      <c r="H34" s="21">
        <f>IFERROR(subQ!H26/subQ!F26-1,"")</f>
        <v/>
      </c>
      <c r="I34" s="23">
        <f>IFERROR(subQ!I26/subQ!H26-1,"")</f>
        <v/>
      </c>
      <c r="J34" s="24" t="n">
        <v>-3.97e-07</v>
      </c>
      <c r="K34" s="24" t="n">
        <v>0</v>
      </c>
      <c r="L34" s="25" t="n"/>
      <c r="M34" s="24" t="n">
        <v>0</v>
      </c>
      <c r="N34" s="24" t="n">
        <v>0</v>
      </c>
      <c r="O34" s="24" t="n">
        <v>0</v>
      </c>
      <c r="P34" s="24" t="n">
        <v>0</v>
      </c>
      <c r="Q34" s="25" t="n"/>
      <c r="R34" s="24" t="n">
        <v>0</v>
      </c>
      <c r="S34" s="24" t="n">
        <v>0</v>
      </c>
      <c r="T34" s="24" t="n">
        <v>0</v>
      </c>
      <c r="U34" s="24" t="n">
        <v>0</v>
      </c>
      <c r="V34" s="25" t="n"/>
    </row>
    <row r="35">
      <c r="A35" s="12" t="inlineStr">
        <is>
          <t>drv:순차입금</t>
        </is>
      </c>
      <c r="B35" s="2" t="inlineStr">
        <is>
          <t>qoq</t>
        </is>
      </c>
      <c r="C35" t="inlineStr">
        <is>
          <t>순차입금 QoQ</t>
        </is>
      </c>
      <c r="E35" s="21" t="n"/>
      <c r="F35" s="21">
        <f>IFERROR(subQ!F27/subQ!E27-1,"")</f>
        <v/>
      </c>
      <c r="G35" s="22" t="n"/>
      <c r="H35" s="21">
        <f>IFERROR(subQ!H27/subQ!F27-1,"")</f>
        <v/>
      </c>
      <c r="I35" s="23">
        <f>IFERROR(subQ!I27/subQ!H27-1,"")</f>
        <v/>
      </c>
      <c r="J35" s="24" t="n">
        <v>-0.019668263</v>
      </c>
      <c r="K35" s="24" t="n">
        <v>-0.019963498</v>
      </c>
      <c r="L35" s="25" t="n"/>
      <c r="M35" s="24" t="n">
        <v>-0.024807449</v>
      </c>
      <c r="N35" s="24" t="n">
        <v>-0.00082516</v>
      </c>
      <c r="O35" s="24" t="n">
        <v>-0.023335929</v>
      </c>
      <c r="P35" s="24" t="n">
        <v>-0.023869347</v>
      </c>
      <c r="Q35" s="25" t="n"/>
      <c r="R35" s="24" t="n">
        <v>-0.029304029</v>
      </c>
      <c r="S35" s="24" t="n">
        <v>-0.003671596</v>
      </c>
      <c r="T35" s="24" t="n">
        <v>-0.028201454</v>
      </c>
      <c r="U35" s="24" t="n">
        <v>-0.029098857</v>
      </c>
      <c r="V35" s="25" t="n"/>
    </row>
    <row r="36">
      <c r="A36" s="12" t="inlineStr">
        <is>
          <t>drv:이자발생자산</t>
        </is>
      </c>
      <c r="B36" s="2" t="inlineStr">
        <is>
          <t>qoq</t>
        </is>
      </c>
      <c r="C36" t="inlineStr">
        <is>
          <t>이자발생자산 QoQ</t>
        </is>
      </c>
      <c r="E36" s="21" t="n"/>
      <c r="F36" s="21">
        <f>IFERROR(subQ!F28/subQ!E28-1,"")</f>
        <v/>
      </c>
      <c r="G36" s="22" t="n"/>
      <c r="H36" s="21">
        <f>IFERROR(subQ!H28/subQ!F28-1,"")</f>
        <v/>
      </c>
      <c r="I36" s="23">
        <f>IFERROR(subQ!I28/subQ!H28-1,"")</f>
        <v/>
      </c>
      <c r="J36" s="24" t="n">
        <v>0.173620153</v>
      </c>
      <c r="K36" s="24" t="n">
        <v>0.147151636</v>
      </c>
      <c r="L36" s="25" t="n"/>
      <c r="M36" s="24" t="n">
        <v>0.156073549</v>
      </c>
      <c r="N36" s="24" t="n">
        <v>0.004383219</v>
      </c>
      <c r="O36" s="24" t="n">
        <v>0.123441397</v>
      </c>
      <c r="P36" s="24" t="n">
        <v>0.109655938</v>
      </c>
      <c r="Q36" s="25" t="n"/>
      <c r="R36" s="24" t="n">
        <v>0.118423685</v>
      </c>
      <c r="S36" s="24" t="n">
        <v>0.012877839</v>
      </c>
      <c r="T36" s="24" t="n">
        <v>0.097298252</v>
      </c>
      <c r="U36" s="24" t="n">
        <v>0.088912134</v>
      </c>
      <c r="V36" s="25" t="n"/>
    </row>
    <row r="37">
      <c r="A37" s="12" t="inlineStr">
        <is>
          <t>drv:현금및현금성자산</t>
        </is>
      </c>
      <c r="B37" s="2" t="inlineStr">
        <is>
          <t>qoq</t>
        </is>
      </c>
      <c r="C37" t="inlineStr">
        <is>
          <t>현금및현금성자산 QoQ</t>
        </is>
      </c>
      <c r="E37" s="21" t="n"/>
      <c r="F37" s="21">
        <f>IFERROR(subQ!F29/subQ!E29-1,"")</f>
        <v/>
      </c>
      <c r="G37" s="22" t="n"/>
      <c r="H37" s="21">
        <f>IFERROR(subQ!H29/subQ!F29-1,"")</f>
        <v/>
      </c>
      <c r="I37" s="23">
        <f>IFERROR(subQ!I29/subQ!H29-1,"")</f>
        <v/>
      </c>
      <c r="J37" s="33" t="n"/>
      <c r="K37" s="33" t="n"/>
      <c r="L37" s="25" t="n"/>
      <c r="M37" s="33" t="n"/>
      <c r="N37" s="33" t="n"/>
      <c r="O37" s="33" t="n"/>
      <c r="P37" s="33" t="n"/>
      <c r="Q37" s="25" t="n"/>
      <c r="R37" s="33" t="n"/>
      <c r="S37" s="33" t="n"/>
      <c r="T37" s="33" t="n"/>
      <c r="U37" s="33" t="n"/>
      <c r="V37" s="25" t="n"/>
    </row>
    <row r="38">
      <c r="A38" s="12" t="inlineStr">
        <is>
          <t>drv:CAPEX</t>
        </is>
      </c>
      <c r="B38" s="2" t="inlineStr">
        <is>
          <t>yoy</t>
        </is>
      </c>
      <c r="C38" t="inlineStr">
        <is>
          <t>CAPEX YoY</t>
        </is>
      </c>
      <c r="E38" s="21" t="n"/>
      <c r="F38" s="21" t="n"/>
      <c r="G38" s="22" t="n"/>
      <c r="H38" s="21" t="n"/>
      <c r="I38" s="23" t="n"/>
      <c r="J38" s="24" t="n">
        <v>-0.639914133</v>
      </c>
      <c r="K38" s="24" t="n">
        <v>2.713527851</v>
      </c>
      <c r="L38" s="25" t="n"/>
      <c r="M38" s="24" t="n">
        <v>0.191645387</v>
      </c>
      <c r="N38" s="24" t="n">
        <v>-0.13752251</v>
      </c>
      <c r="O38" s="24" t="n">
        <v>0</v>
      </c>
      <c r="P38" s="24" t="n">
        <v>0</v>
      </c>
      <c r="Q38" s="25" t="n"/>
      <c r="R38" s="24" t="n">
        <v>0</v>
      </c>
      <c r="S38" s="24" t="n">
        <v>0</v>
      </c>
      <c r="T38" s="24" t="n">
        <v>0</v>
      </c>
      <c r="U38" s="24" t="n">
        <v>0</v>
      </c>
      <c r="V38" s="25" t="n"/>
    </row>
    <row r="39">
      <c r="A39" s="12" t="inlineStr">
        <is>
          <t>drv:영업활동현금흐름</t>
        </is>
      </c>
      <c r="B39" s="2" t="inlineStr">
        <is>
          <t>yoy</t>
        </is>
      </c>
      <c r="C39" t="inlineStr">
        <is>
          <t>영업활동현금흐름 YoY</t>
        </is>
      </c>
      <c r="E39" s="21" t="n"/>
      <c r="F39" s="21" t="n"/>
      <c r="G39" s="22" t="n"/>
      <c r="H39" s="21" t="n"/>
      <c r="I39" s="23" t="n"/>
      <c r="J39" s="33" t="n"/>
      <c r="K39" s="33" t="n"/>
      <c r="L39" s="25" t="n"/>
      <c r="M39" s="33" t="n"/>
      <c r="N39" s="33" t="n"/>
      <c r="O39" s="33" t="n"/>
      <c r="P39" s="33" t="n"/>
      <c r="Q39" s="25" t="n"/>
      <c r="R39" s="33" t="n"/>
      <c r="S39" s="33" t="n"/>
      <c r="T39" s="33" t="n"/>
      <c r="U39" s="33" t="n"/>
      <c r="V39" s="25" t="n"/>
    </row>
    <row r="40">
      <c r="A40" s="12" t="inlineStr">
        <is>
          <t>drv:주식수</t>
        </is>
      </c>
      <c r="B40" s="2" t="inlineStr">
        <is>
          <t>qoq</t>
        </is>
      </c>
      <c r="C40" t="inlineStr">
        <is>
          <t>주식수 QoQ</t>
        </is>
      </c>
      <c r="E40" s="21" t="n"/>
      <c r="F40" s="21">
        <f>IFERROR(subQ!F32/subQ!E32-1,"")</f>
        <v/>
      </c>
      <c r="G40" s="22" t="n"/>
      <c r="H40" s="21">
        <f>IFERROR(subQ!H32/subQ!F32-1,"")</f>
        <v/>
      </c>
      <c r="I40" s="23">
        <f>IFERROR(subQ!I32/subQ!H32-1,"")</f>
        <v/>
      </c>
      <c r="J40" s="24" t="n">
        <v>0</v>
      </c>
      <c r="K40" s="24" t="n">
        <v>0</v>
      </c>
      <c r="L40" s="25" t="n"/>
      <c r="M40" s="24" t="n">
        <v>0</v>
      </c>
      <c r="N40" s="24" t="n">
        <v>0</v>
      </c>
      <c r="O40" s="24" t="n">
        <v>0</v>
      </c>
      <c r="P40" s="24" t="n">
        <v>0</v>
      </c>
      <c r="Q40" s="25" t="n"/>
      <c r="R40" s="24" t="n">
        <v>0</v>
      </c>
      <c r="S40" s="24" t="n">
        <v>0</v>
      </c>
      <c r="T40" s="24" t="n">
        <v>0</v>
      </c>
      <c r="U40" s="24" t="n">
        <v>0</v>
      </c>
      <c r="V40" s="25" t="n"/>
    </row>
    <row r="41">
      <c r="A41" s="12" t="inlineStr">
        <is>
          <t>drv:DPS</t>
        </is>
      </c>
      <c r="B41" s="2" t="inlineStr">
        <is>
          <t>abs</t>
        </is>
      </c>
      <c r="C41" t="inlineStr">
        <is>
          <t>DPS (가정, 원)</t>
        </is>
      </c>
      <c r="E41" s="27">
        <f>subQ!E35</f>
        <v/>
      </c>
      <c r="F41" s="27">
        <f>subQ!F35</f>
        <v/>
      </c>
      <c r="G41" s="28">
        <f>subQ!G35</f>
        <v/>
      </c>
      <c r="H41" s="27">
        <f>subQ!H35</f>
        <v/>
      </c>
      <c r="I41" s="29">
        <f>subQ!I35</f>
        <v/>
      </c>
      <c r="J41" s="32" t="n"/>
      <c r="K41" s="30" t="n">
        <v>50</v>
      </c>
      <c r="L41" s="31">
        <f>subQ!L35</f>
        <v/>
      </c>
      <c r="M41" s="32" t="n"/>
      <c r="N41" s="32" t="n"/>
      <c r="O41" s="32" t="n"/>
      <c r="P41" s="30" t="n">
        <v>50</v>
      </c>
      <c r="Q41" s="31">
        <f>subQ!Q35</f>
        <v/>
      </c>
      <c r="R41" s="32" t="n"/>
      <c r="S41" s="32" t="n"/>
      <c r="T41" s="32" t="n"/>
      <c r="U41" s="30" t="n">
        <v>50</v>
      </c>
      <c r="V41" s="31">
        <f>subQ!V35</f>
        <v/>
      </c>
    </row>
    <row r="42">
      <c r="G42" s="9" t="n"/>
      <c r="I42" s="5" t="n"/>
      <c r="J42" s="10" t="n"/>
      <c r="K42" s="10" t="n"/>
      <c r="L42" s="11" t="n"/>
      <c r="M42" s="10" t="n"/>
      <c r="N42" s="10" t="n"/>
      <c r="O42" s="10" t="n"/>
      <c r="P42" s="10" t="n"/>
      <c r="Q42" s="11" t="n"/>
      <c r="R42" s="10" t="n"/>
      <c r="S42" s="10" t="n"/>
      <c r="T42" s="10" t="n"/>
      <c r="U42" s="10" t="n"/>
      <c r="V42" s="11" t="n"/>
    </row>
    <row r="43">
      <c r="B43" s="1" t="inlineStr">
        <is>
          <t>3. 밸류에이션·스칼라</t>
        </is>
      </c>
      <c r="C43" s="2" t="inlineStr">
        <is>
          <t>노란 셀 = 가정. '연결' 표시는 추정 전 분기 수식이 이 셀을 참조한다는 뜻</t>
        </is>
      </c>
      <c r="G43" s="9" t="n"/>
      <c r="I43" s="5" t="n"/>
      <c r="J43" s="10" t="n"/>
      <c r="K43" s="10" t="n"/>
      <c r="L43" s="11" t="n"/>
      <c r="M43" s="10" t="n"/>
      <c r="N43" s="10" t="n"/>
      <c r="O43" s="10" t="n"/>
      <c r="P43" s="10" t="n"/>
      <c r="Q43" s="11" t="n"/>
      <c r="R43" s="10" t="n"/>
      <c r="S43" s="10" t="n"/>
      <c r="T43" s="10" t="n"/>
      <c r="U43" s="10" t="n"/>
      <c r="V43" s="11" t="n"/>
    </row>
    <row r="44">
      <c r="A44" s="12" t="inlineStr">
        <is>
          <t>sc:종가</t>
        </is>
      </c>
      <c r="C44" t="inlineStr">
        <is>
          <t>종가</t>
        </is>
      </c>
      <c r="D44" s="34" t="n">
        <v>18240</v>
      </c>
      <c r="E44" s="2" t="inlineStr">
        <is>
          <t>원 — 네이버 정규장 종가(aik 확정종가 대조 · aik 18,890원)</t>
        </is>
      </c>
      <c r="G44" s="9" t="n"/>
      <c r="I44" s="5" t="n"/>
      <c r="J44" s="10" t="n"/>
      <c r="K44" s="10" t="n"/>
      <c r="L44" s="11" t="n"/>
      <c r="M44" s="10" t="n"/>
      <c r="N44" s="10" t="n"/>
      <c r="O44" s="10" t="n"/>
      <c r="P44" s="10" t="n"/>
      <c r="Q44" s="11" t="n"/>
      <c r="R44" s="10" t="n"/>
      <c r="S44" s="10" t="n"/>
      <c r="T44" s="10" t="n"/>
      <c r="U44" s="10" t="n"/>
      <c r="V44" s="11" t="n"/>
    </row>
    <row r="45">
      <c r="A45" s="12" t="inlineStr">
        <is>
          <t>sc:기준일</t>
        </is>
      </c>
      <c r="C45" t="inlineStr">
        <is>
          <t>기준일</t>
        </is>
      </c>
      <c r="D45" s="35" t="inlineStr">
        <is>
          <t>20261008</t>
        </is>
      </c>
      <c r="E45" s="2" t="inlineStr">
        <is>
          <t>종가 기준일</t>
        </is>
      </c>
      <c r="G45" s="9" t="n"/>
      <c r="I45" s="5" t="n"/>
      <c r="J45" s="10" t="n"/>
      <c r="K45" s="10" t="n"/>
      <c r="L45" s="11" t="n"/>
      <c r="M45" s="10" t="n"/>
      <c r="N45" s="10" t="n"/>
      <c r="O45" s="10" t="n"/>
      <c r="P45" s="10" t="n"/>
      <c r="Q45" s="11" t="n"/>
      <c r="R45" s="10" t="n"/>
      <c r="S45" s="10" t="n"/>
      <c r="T45" s="10" t="n"/>
      <c r="U45" s="10" t="n"/>
      <c r="V45" s="11" t="n"/>
    </row>
    <row r="46">
      <c r="A46" s="12" t="inlineStr">
        <is>
          <t>sc:COE</t>
        </is>
      </c>
      <c r="C46" t="inlineStr">
        <is>
          <t>COE</t>
        </is>
      </c>
      <c r="D46" s="24" t="n">
        <v>0.09</v>
      </c>
      <c r="E46" s="2" t="inlineStr">
        <is>
          <t>자기자본비용(가정) — TP 적정 PBR = ROE/COE</t>
        </is>
      </c>
      <c r="G46" s="9" t="n"/>
      <c r="I46" s="5" t="n"/>
      <c r="J46" s="10" t="n"/>
      <c r="K46" s="10" t="n"/>
      <c r="L46" s="11" t="n"/>
      <c r="M46" s="10" t="n"/>
      <c r="N46" s="10" t="n"/>
      <c r="O46" s="10" t="n"/>
      <c r="P46" s="10" t="n"/>
      <c r="Q46" s="11" t="n"/>
      <c r="R46" s="10" t="n"/>
      <c r="S46" s="10" t="n"/>
      <c r="T46" s="10" t="n"/>
      <c r="U46" s="10" t="n"/>
      <c r="V46" s="11" t="n"/>
    </row>
    <row r="47">
      <c r="A47" s="12" t="inlineStr">
        <is>
          <t>sc:PER_lo</t>
        </is>
      </c>
      <c r="C47" t="inlineStr">
        <is>
          <t>PER_lo</t>
        </is>
      </c>
      <c r="D47" s="30" t="n">
        <v>10</v>
      </c>
      <c r="E47" s="2" t="inlineStr">
        <is>
          <t>PER 밴드 하단(배) — sector_default(레퍼런스 TP_PE PB 예시 10/15/20배; 과거 양(+)EPS 분기 1개 &lt; 4)</t>
        </is>
      </c>
      <c r="G47" s="9" t="n"/>
      <c r="I47" s="5" t="n"/>
      <c r="J47" s="10" t="n"/>
      <c r="K47" s="10" t="n"/>
      <c r="L47" s="11" t="n"/>
      <c r="M47" s="10" t="n"/>
      <c r="N47" s="10" t="n"/>
      <c r="O47" s="10" t="n"/>
      <c r="P47" s="10" t="n"/>
      <c r="Q47" s="11" t="n"/>
      <c r="R47" s="10" t="n"/>
      <c r="S47" s="10" t="n"/>
      <c r="T47" s="10" t="n"/>
      <c r="U47" s="10" t="n"/>
      <c r="V47" s="11" t="n"/>
    </row>
    <row r="48">
      <c r="A48" s="12" t="inlineStr">
        <is>
          <t>sc:PER_mid</t>
        </is>
      </c>
      <c r="C48" t="inlineStr">
        <is>
          <t>PER_mid</t>
        </is>
      </c>
      <c r="D48" s="30" t="n">
        <v>15</v>
      </c>
      <c r="E48" s="2" t="inlineStr">
        <is>
          <t>PER 밴드 중단(배)</t>
        </is>
      </c>
      <c r="G48" s="9" t="n"/>
      <c r="I48" s="5" t="n"/>
      <c r="J48" s="10" t="n"/>
      <c r="K48" s="10" t="n"/>
      <c r="L48" s="11" t="n"/>
      <c r="M48" s="10" t="n"/>
      <c r="N48" s="10" t="n"/>
      <c r="O48" s="10" t="n"/>
      <c r="P48" s="10" t="n"/>
      <c r="Q48" s="11" t="n"/>
      <c r="R48" s="10" t="n"/>
      <c r="S48" s="10" t="n"/>
      <c r="T48" s="10" t="n"/>
      <c r="U48" s="10" t="n"/>
      <c r="V48" s="11" t="n"/>
    </row>
    <row r="49">
      <c r="A49" s="12" t="inlineStr">
        <is>
          <t>sc:PER_hi</t>
        </is>
      </c>
      <c r="C49" t="inlineStr">
        <is>
          <t>PER_hi</t>
        </is>
      </c>
      <c r="D49" s="30" t="n">
        <v>20</v>
      </c>
      <c r="E49" s="2" t="inlineStr">
        <is>
          <t>PER 밴드 상단(배)</t>
        </is>
      </c>
      <c r="G49" s="9" t="n"/>
      <c r="I49" s="5" t="n"/>
      <c r="J49" s="10" t="n"/>
      <c r="K49" s="10" t="n"/>
      <c r="L49" s="11" t="n"/>
      <c r="M49" s="10" t="n"/>
      <c r="N49" s="10" t="n"/>
      <c r="O49" s="10" t="n"/>
      <c r="P49" s="10" t="n"/>
      <c r="Q49" s="11" t="n"/>
      <c r="R49" s="10" t="n"/>
      <c r="S49" s="10" t="n"/>
      <c r="T49" s="10" t="n"/>
      <c r="U49" s="10" t="n"/>
      <c r="V49" s="11" t="n"/>
    </row>
    <row r="50">
      <c r="A50" s="12" t="inlineStr">
        <is>
          <t>sc:EPS_Y1가중</t>
        </is>
      </c>
      <c r="C50" t="inlineStr">
        <is>
          <t>EPS_Y1가중</t>
        </is>
      </c>
      <c r="D50" s="24" t="n">
        <v>0.5</v>
      </c>
      <c r="E50" s="2" t="inlineStr">
        <is>
          <t>12M fwd EPS = FY(last_actual연도)E × w + FY+1E × (1−w) — 기준 분기 2Q 이면 0.5(가정)</t>
        </is>
      </c>
      <c r="G50" s="9" t="n"/>
      <c r="I50" s="5" t="n"/>
      <c r="J50" s="10" t="n"/>
      <c r="K50" s="10" t="n"/>
      <c r="L50" s="11" t="n"/>
      <c r="M50" s="10" t="n"/>
      <c r="N50" s="10" t="n"/>
      <c r="O50" s="10" t="n"/>
      <c r="P50" s="10" t="n"/>
      <c r="Q50" s="11" t="n"/>
      <c r="R50" s="10" t="n"/>
      <c r="S50" s="10" t="n"/>
      <c r="T50" s="10" t="n"/>
      <c r="U50" s="10" t="n"/>
      <c r="V50" s="11" t="n"/>
    </row>
    <row r="51">
      <c r="A51" s="12" t="inlineStr">
        <is>
          <t>sc:세율</t>
        </is>
      </c>
      <c r="C51" t="inlineStr">
        <is>
          <t>세율</t>
        </is>
      </c>
      <c r="D51" s="36" t="n">
        <v>0.2200607463118311</v>
      </c>
      <c r="E51" s="2" t="inlineStr">
        <is>
          <t>연결 — 법인세 = MAX(세전,0) × 세율(역산, 재현 오차 ≤ 0.05억 · 모델 assumptions 0.22) · 최근 4분기 유효세율 43.0% 가 5~27% 밖; 세전 &gt; 0 분기 중위 34.7% 도 5~27% 밖 → 법정세율 근사 22% 가정</t>
        </is>
      </c>
      <c r="G51" s="9" t="n"/>
      <c r="I51" s="5" t="n"/>
      <c r="J51" s="10" t="n"/>
      <c r="K51" s="10" t="n"/>
      <c r="L51" s="11" t="n"/>
      <c r="M51" s="10" t="n"/>
      <c r="N51" s="10" t="n"/>
      <c r="O51" s="10" t="n"/>
      <c r="P51" s="10" t="n"/>
      <c r="Q51" s="11" t="n"/>
      <c r="R51" s="10" t="n"/>
      <c r="S51" s="10" t="n"/>
      <c r="T51" s="10" t="n"/>
      <c r="U51" s="10" t="n"/>
      <c r="V51" s="11" t="n"/>
    </row>
    <row r="52">
      <c r="A52" s="12" t="inlineStr">
        <is>
          <t>sc:판관비율</t>
        </is>
      </c>
      <c r="C52" t="inlineStr">
        <is>
          <t>판관비율</t>
        </is>
      </c>
      <c r="D52" s="36" t="n">
        <v>0.06387184825032795</v>
      </c>
      <c r="E52" s="2" t="inlineStr">
        <is>
          <t>연결 — 판관비 = 매출액 × 판관비율(역산, 재현 오차 ≤ 0.05억 · 모델 assumptions 0.0639)</t>
        </is>
      </c>
      <c r="G52" s="9" t="n"/>
      <c r="I52" s="5" t="n"/>
      <c r="J52" s="10" t="n"/>
      <c r="K52" s="10" t="n"/>
      <c r="L52" s="11" t="n"/>
      <c r="M52" s="10" t="n"/>
      <c r="N52" s="10" t="n"/>
      <c r="O52" s="10" t="n"/>
      <c r="P52" s="10" t="n"/>
      <c r="Q52" s="11" t="n"/>
      <c r="R52" s="10" t="n"/>
      <c r="S52" s="10" t="n"/>
      <c r="T52" s="10" t="n"/>
      <c r="U52" s="10" t="n"/>
      <c r="V52" s="11" t="n"/>
    </row>
    <row r="53">
      <c r="A53" s="12" t="inlineStr">
        <is>
          <t>sc:지배주주비중</t>
        </is>
      </c>
      <c r="C53" t="inlineStr">
        <is>
          <t>지배주주비중</t>
        </is>
      </c>
      <c r="D53" s="36" t="n">
        <v>1</v>
      </c>
      <c r="E53" s="2" t="inlineStr">
        <is>
          <t>연결 — 지배주주순이익 = 당기순이익 × 비중(역산, 재현 오차 ≤ 0.05억)</t>
        </is>
      </c>
      <c r="G53" s="9" t="n"/>
      <c r="I53" s="5" t="n"/>
      <c r="J53" s="10" t="n"/>
      <c r="K53" s="10" t="n"/>
      <c r="L53" s="11" t="n"/>
      <c r="M53" s="10" t="n"/>
      <c r="N53" s="10" t="n"/>
      <c r="O53" s="10" t="n"/>
      <c r="P53" s="10" t="n"/>
      <c r="Q53" s="11" t="n"/>
      <c r="R53" s="10" t="n"/>
      <c r="S53" s="10" t="n"/>
      <c r="T53" s="10" t="n"/>
      <c r="U53" s="10" t="n"/>
      <c r="V53" s="11" t="n"/>
    </row>
    <row r="54">
      <c r="A54" s="12" t="inlineStr">
        <is>
          <t>sc:이자율_자산</t>
        </is>
      </c>
      <c r="C54" t="inlineStr">
        <is>
          <t>이자율_자산</t>
        </is>
      </c>
      <c r="D54" s="36" t="n">
        <v>0.1751607349390286</v>
      </c>
      <c r="E54" s="2" t="inlineStr">
        <is>
          <t>연결 — 이자손익 = (전분기 이자발생자산 × 자산이자율 − 전분기 총차입금 × 부채이자율)/4(역산, 재현 오차 ≤ 0.05억 · 모델 assumptions 0.1751)</t>
        </is>
      </c>
      <c r="G54" s="9" t="n"/>
      <c r="I54" s="5" t="n"/>
      <c r="J54" s="10" t="n"/>
      <c r="K54" s="10" t="n"/>
      <c r="L54" s="11" t="n"/>
      <c r="M54" s="10" t="n"/>
      <c r="N54" s="10" t="n"/>
      <c r="O54" s="10" t="n"/>
      <c r="P54" s="10" t="n"/>
      <c r="Q54" s="11" t="n"/>
      <c r="R54" s="10" t="n"/>
      <c r="S54" s="10" t="n"/>
      <c r="T54" s="10" t="n"/>
      <c r="U54" s="10" t="n"/>
      <c r="V54" s="11" t="n"/>
    </row>
    <row r="55">
      <c r="A55" s="12" t="inlineStr">
        <is>
          <t>sc:이자율_부채</t>
        </is>
      </c>
      <c r="C55" t="inlineStr">
        <is>
          <t>이자율_부채</t>
        </is>
      </c>
      <c r="D55" s="36" t="n">
        <v>0</v>
      </c>
      <c r="E55" s="2" t="inlineStr">
        <is>
          <t>연결 — 같은 수식의 부채 쪽(총차입금 행이 없으면 0)(역산, 재현 오차 ≤ 0.05억)</t>
        </is>
      </c>
      <c r="G55" s="9" t="n"/>
      <c r="I55" s="5" t="n"/>
      <c r="J55" s="10" t="n"/>
      <c r="K55" s="10" t="n"/>
      <c r="L55" s="11" t="n"/>
      <c r="M55" s="10" t="n"/>
      <c r="N55" s="10" t="n"/>
      <c r="O55" s="10" t="n"/>
      <c r="P55" s="10" t="n"/>
      <c r="Q55" s="11" t="n"/>
      <c r="R55" s="10" t="n"/>
      <c r="S55" s="10" t="n"/>
      <c r="T55" s="10" t="n"/>
      <c r="U55" s="10" t="n"/>
      <c r="V55" s="11" t="n"/>
    </row>
    <row r="56">
      <c r="A56" s="12" t="inlineStr">
        <is>
          <t>sc:배당성향</t>
        </is>
      </c>
      <c r="C56" t="inlineStr">
        <is>
          <t>배당성향</t>
        </is>
      </c>
      <c r="D56" s="24" t="n"/>
      <c r="E56" s="2" t="inlineStr">
        <is>
          <t>배당성향(참고 — 모델은 직전 DPS 유지·Q2 지급 가정)</t>
        </is>
      </c>
      <c r="G56" s="9" t="n"/>
      <c r="I56" s="5" t="n"/>
      <c r="J56" s="10" t="n"/>
      <c r="K56" s="10" t="n"/>
      <c r="L56" s="11" t="n"/>
      <c r="M56" s="10" t="n"/>
      <c r="N56" s="10" t="n"/>
      <c r="O56" s="10" t="n"/>
      <c r="P56" s="10" t="n"/>
      <c r="Q56" s="11" t="n"/>
      <c r="R56" s="10" t="n"/>
      <c r="S56" s="10" t="n"/>
      <c r="T56" s="10" t="n"/>
      <c r="U56" s="10" t="n"/>
      <c r="V56" s="11" t="n"/>
    </row>
    <row r="57">
      <c r="A57" s="12" t="inlineStr">
        <is>
          <t>sc:외화순노출_백만$</t>
        </is>
      </c>
      <c r="C57" t="inlineStr">
        <is>
          <t>외화순노출_백만$</t>
        </is>
      </c>
      <c r="D57" s="30" t="n"/>
      <c r="E57" s="2" t="inlineStr">
        <is>
          <t>외화 순노출 × Δ기말환율 (외화 시트 방식) — 외화 순노출 미공시(face) → 0 + 표기</t>
        </is>
      </c>
      <c r="G57" s="9" t="n"/>
      <c r="I57" s="5" t="n"/>
      <c r="J57" s="10" t="n"/>
      <c r="K57" s="10" t="n"/>
      <c r="L57" s="11" t="n"/>
      <c r="M57" s="10" t="n"/>
      <c r="N57" s="10" t="n"/>
      <c r="O57" s="10" t="n"/>
      <c r="P57" s="10" t="n"/>
      <c r="Q57" s="11" t="n"/>
      <c r="R57" s="10" t="n"/>
      <c r="S57" s="10" t="n"/>
      <c r="T57" s="10" t="n"/>
      <c r="U57" s="10" t="n"/>
      <c r="V57" s="11" t="n"/>
    </row>
    <row r="58">
      <c r="A58" s="12" t="inlineStr">
        <is>
          <t>sc:헤지비율</t>
        </is>
      </c>
      <c r="C58" t="inlineStr">
        <is>
          <t>헤지비율</t>
        </is>
      </c>
      <c r="D58" s="24" t="n"/>
      <c r="E58" s="2" t="inlineStr">
        <is>
          <t>sls 없음</t>
        </is>
      </c>
      <c r="G58" s="9" t="n"/>
      <c r="I58" s="5" t="n"/>
      <c r="J58" s="10" t="n"/>
      <c r="K58" s="10" t="n"/>
      <c r="L58" s="11" t="n"/>
      <c r="M58" s="10" t="n"/>
      <c r="N58" s="10" t="n"/>
      <c r="O58" s="10" t="n"/>
      <c r="P58" s="10" t="n"/>
      <c r="Q58" s="11" t="n"/>
      <c r="R58" s="10" t="n"/>
      <c r="S58" s="10" t="n"/>
      <c r="T58" s="10" t="n"/>
      <c r="U58" s="10" t="n"/>
      <c r="V58" s="11" t="n"/>
    </row>
    <row r="59">
      <c r="A59" s="12" t="inlineStr">
        <is>
          <t>sc:헤지환율_약정</t>
        </is>
      </c>
      <c r="C59" t="inlineStr">
        <is>
          <t>헤지환율_약정</t>
        </is>
      </c>
      <c r="D59" s="16" t="n"/>
      <c r="E59" s="2" t="inlineStr">
        <is>
          <t>sls 없음</t>
        </is>
      </c>
      <c r="G59" s="9" t="n"/>
      <c r="I59" s="5" t="n"/>
      <c r="J59" s="10" t="n"/>
      <c r="K59" s="10" t="n"/>
      <c r="L59" s="11" t="n"/>
      <c r="M59" s="10" t="n"/>
      <c r="N59" s="10" t="n"/>
      <c r="O59" s="10" t="n"/>
      <c r="P59" s="10" t="n"/>
      <c r="Q59" s="11" t="n"/>
      <c r="R59" s="10" t="n"/>
      <c r="S59" s="10" t="n"/>
      <c r="T59" s="10" t="n"/>
      <c r="U59" s="10" t="n"/>
      <c r="V59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3Q25</t>
        </is>
      </c>
      <c r="F1" s="3" t="inlineStr">
        <is>
          <t>4Q25</t>
        </is>
      </c>
      <c r="G1" s="3" t="n">
        <v>2025</v>
      </c>
      <c r="H1" s="3" t="inlineStr">
        <is>
          <t>1Q26</t>
        </is>
      </c>
      <c r="I1" s="4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n">
        <v>2026</v>
      </c>
      <c r="M1" s="3" t="inlineStr">
        <is>
          <t>1Q27</t>
        </is>
      </c>
      <c r="N1" s="3" t="inlineStr">
        <is>
          <t>2Q27</t>
        </is>
      </c>
      <c r="O1" s="3" t="inlineStr">
        <is>
          <t>3Q27</t>
        </is>
      </c>
      <c r="P1" s="3" t="inlineStr">
        <is>
          <t>4Q27</t>
        </is>
      </c>
      <c r="Q1" s="3" t="n">
        <v>2027</v>
      </c>
      <c r="R1" s="3" t="inlineStr">
        <is>
          <t>1Q28</t>
        </is>
      </c>
      <c r="S1" s="3" t="inlineStr">
        <is>
          <t>2Q28</t>
        </is>
      </c>
      <c r="T1" s="3" t="inlineStr">
        <is>
          <t>3Q28</t>
        </is>
      </c>
      <c r="U1" s="3" t="inlineStr">
        <is>
          <t>4Q28</t>
        </is>
      </c>
      <c r="V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I2" s="5" t="n"/>
    </row>
    <row r="3">
      <c r="B3" t="inlineStr">
        <is>
          <t>티엠씨(연)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6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2025.09</t>
        </is>
      </c>
      <c r="F4" s="7" t="inlineStr">
        <is>
          <t>2025.12</t>
        </is>
      </c>
      <c r="G4" s="7" t="inlineStr">
        <is>
          <t>2025.12A</t>
        </is>
      </c>
      <c r="H4" s="7" t="inlineStr">
        <is>
          <t>2026.03</t>
        </is>
      </c>
      <c r="I4" s="8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2026.12A</t>
        </is>
      </c>
      <c r="M4" s="7" t="inlineStr">
        <is>
          <t>2027.03</t>
        </is>
      </c>
      <c r="N4" s="7" t="inlineStr">
        <is>
          <t>2027.06</t>
        </is>
      </c>
      <c r="O4" s="7" t="inlineStr">
        <is>
          <t>2027.09</t>
        </is>
      </c>
      <c r="P4" s="7" t="inlineStr">
        <is>
          <t>2027.12</t>
        </is>
      </c>
      <c r="Q4" s="7" t="inlineStr">
        <is>
          <t>2027.12A</t>
        </is>
      </c>
      <c r="R4" s="7" t="inlineStr">
        <is>
          <t>2028.03</t>
        </is>
      </c>
      <c r="S4" s="7" t="inlineStr">
        <is>
          <t>2028.06</t>
        </is>
      </c>
      <c r="T4" s="7" t="inlineStr">
        <is>
          <t>2028.09</t>
        </is>
      </c>
      <c r="U4" s="7" t="inlineStr">
        <is>
          <t>2028.12</t>
        </is>
      </c>
      <c r="V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107016.02</v>
      </c>
      <c r="F5" s="18" t="n">
        <v>147327.62</v>
      </c>
      <c r="G5" s="37" t="n">
        <v>147327.62</v>
      </c>
      <c r="H5" s="18" t="n">
        <v>144625.12</v>
      </c>
      <c r="I5" s="19" t="n">
        <v>140873.07</v>
      </c>
      <c r="J5" s="10" t="n"/>
      <c r="K5" s="10" t="n"/>
      <c r="L5" s="11" t="n"/>
      <c r="M5" s="10" t="n"/>
      <c r="N5" s="10" t="n"/>
      <c r="O5" s="10" t="n"/>
      <c r="P5" s="10" t="n"/>
      <c r="Q5" s="11" t="n"/>
      <c r="R5" s="10" t="n"/>
      <c r="S5" s="10" t="n"/>
      <c r="T5" s="10" t="n"/>
      <c r="U5" s="10" t="n"/>
      <c r="V5" s="11" t="n"/>
    </row>
    <row r="6">
      <c r="A6" t="n">
        <v>1</v>
      </c>
      <c r="C6" t="inlineStr">
        <is>
          <t>현금및현금성자산</t>
        </is>
      </c>
      <c r="E6" s="18" t="n">
        <v>5582.15</v>
      </c>
      <c r="F6" s="18" t="n">
        <v>10547.79</v>
      </c>
      <c r="G6" s="37" t="n">
        <v>10547.79</v>
      </c>
      <c r="H6" s="18" t="n">
        <v>1934.29</v>
      </c>
      <c r="I6" s="19" t="n">
        <v>3604.77</v>
      </c>
      <c r="J6" s="10" t="n"/>
      <c r="K6" s="10" t="n"/>
      <c r="L6" s="11" t="n"/>
      <c r="M6" s="10" t="n"/>
      <c r="N6" s="10" t="n"/>
      <c r="O6" s="10" t="n"/>
      <c r="P6" s="10" t="n"/>
      <c r="Q6" s="11" t="n"/>
      <c r="R6" s="10" t="n"/>
      <c r="S6" s="10" t="n"/>
      <c r="T6" s="10" t="n"/>
      <c r="U6" s="10" t="n"/>
      <c r="V6" s="11" t="n"/>
    </row>
    <row r="7">
      <c r="A7" t="n">
        <v>1</v>
      </c>
      <c r="C7" t="inlineStr">
        <is>
          <t>매출채권및기타채권</t>
        </is>
      </c>
      <c r="E7" s="18" t="n">
        <v>42672.33</v>
      </c>
      <c r="F7" s="18" t="n">
        <v>42096.92</v>
      </c>
      <c r="G7" s="37" t="n">
        <v>42096.92</v>
      </c>
      <c r="H7" s="18" t="n">
        <v>47382.1</v>
      </c>
      <c r="I7" s="19" t="n">
        <v>46817.2</v>
      </c>
      <c r="J7" s="10" t="n"/>
      <c r="K7" s="10" t="n"/>
      <c r="L7" s="11" t="n"/>
      <c r="M7" s="10" t="n"/>
      <c r="N7" s="10" t="n"/>
      <c r="O7" s="10" t="n"/>
      <c r="P7" s="10" t="n"/>
      <c r="Q7" s="11" t="n"/>
      <c r="R7" s="10" t="n"/>
      <c r="S7" s="10" t="n"/>
      <c r="T7" s="10" t="n"/>
      <c r="U7" s="10" t="n"/>
      <c r="V7" s="11" t="n"/>
    </row>
    <row r="8">
      <c r="A8" t="n">
        <v>1</v>
      </c>
      <c r="C8" t="inlineStr">
        <is>
          <t>유동파생상품자산</t>
        </is>
      </c>
      <c r="E8" s="18" t="n">
        <v>0</v>
      </c>
      <c r="F8" s="18" t="n">
        <v>226.15</v>
      </c>
      <c r="G8" s="37" t="n">
        <v>226.15</v>
      </c>
      <c r="H8" s="18" t="n">
        <v>614.16</v>
      </c>
      <c r="I8" s="19" t="n">
        <v>1488.84</v>
      </c>
      <c r="J8" s="10" t="n"/>
      <c r="K8" s="10" t="n"/>
      <c r="L8" s="11" t="n"/>
      <c r="M8" s="10" t="n"/>
      <c r="N8" s="10" t="n"/>
      <c r="O8" s="10" t="n"/>
      <c r="P8" s="10" t="n"/>
      <c r="Q8" s="11" t="n"/>
      <c r="R8" s="10" t="n"/>
      <c r="S8" s="10" t="n"/>
      <c r="T8" s="10" t="n"/>
      <c r="U8" s="10" t="n"/>
      <c r="V8" s="11" t="n"/>
    </row>
    <row r="9">
      <c r="A9" t="n">
        <v>1</v>
      </c>
      <c r="C9" t="inlineStr">
        <is>
          <t>단기금융자산</t>
        </is>
      </c>
      <c r="E9" s="18" t="n">
        <v>0</v>
      </c>
      <c r="F9" s="18" t="n">
        <v>226.15</v>
      </c>
      <c r="G9" s="37" t="n">
        <v>226.15</v>
      </c>
      <c r="H9" s="18" t="n">
        <v>614.16</v>
      </c>
      <c r="I9" s="19" t="n">
        <v>1488.84</v>
      </c>
      <c r="J9" s="10" t="n"/>
      <c r="K9" s="10" t="n"/>
      <c r="L9" s="11" t="n"/>
      <c r="M9" s="10" t="n"/>
      <c r="N9" s="10" t="n"/>
      <c r="O9" s="10" t="n"/>
      <c r="P9" s="10" t="n"/>
      <c r="Q9" s="11" t="n"/>
      <c r="R9" s="10" t="n"/>
      <c r="S9" s="10" t="n"/>
      <c r="T9" s="10" t="n"/>
      <c r="U9" s="10" t="n"/>
      <c r="V9" s="11" t="n"/>
    </row>
    <row r="10">
      <c r="A10" t="n">
        <v>1</v>
      </c>
      <c r="C10" t="inlineStr">
        <is>
          <t>기타유동금융자산</t>
        </is>
      </c>
      <c r="E10" s="18" t="n">
        <v>7576.18</v>
      </c>
      <c r="F10" s="18" t="n">
        <v>31642.99</v>
      </c>
      <c r="G10" s="37" t="n">
        <v>31642.99</v>
      </c>
      <c r="H10" s="18" t="n">
        <v>28265.11</v>
      </c>
      <c r="I10" s="19" t="n">
        <v>20202.01</v>
      </c>
      <c r="J10" s="10" t="n"/>
      <c r="K10" s="10" t="n"/>
      <c r="L10" s="11" t="n"/>
      <c r="M10" s="10" t="n"/>
      <c r="N10" s="10" t="n"/>
      <c r="O10" s="10" t="n"/>
      <c r="P10" s="10" t="n"/>
      <c r="Q10" s="11" t="n"/>
      <c r="R10" s="10" t="n"/>
      <c r="S10" s="10" t="n"/>
      <c r="T10" s="10" t="n"/>
      <c r="U10" s="10" t="n"/>
      <c r="V10" s="11" t="n"/>
    </row>
    <row r="11">
      <c r="A11" t="n">
        <v>1</v>
      </c>
      <c r="C11" t="inlineStr">
        <is>
          <t>기타유동자산</t>
        </is>
      </c>
      <c r="E11" s="18" t="n">
        <v>1892.46</v>
      </c>
      <c r="F11" s="18" t="n">
        <v>1140.74</v>
      </c>
      <c r="G11" s="37" t="n">
        <v>1140.74</v>
      </c>
      <c r="H11" s="18" t="n">
        <v>1769.52</v>
      </c>
      <c r="I11" s="19" t="n">
        <v>1584.73</v>
      </c>
      <c r="J11" s="10" t="n"/>
      <c r="K11" s="10" t="n"/>
      <c r="L11" s="11" t="n"/>
      <c r="M11" s="10" t="n"/>
      <c r="N11" s="10" t="n"/>
      <c r="O11" s="10" t="n"/>
      <c r="P11" s="10" t="n"/>
      <c r="Q11" s="11" t="n"/>
      <c r="R11" s="10" t="n"/>
      <c r="S11" s="10" t="n"/>
      <c r="T11" s="10" t="n"/>
      <c r="U11" s="10" t="n"/>
      <c r="V11" s="11" t="n"/>
    </row>
    <row r="12">
      <c r="A12" t="n">
        <v>1</v>
      </c>
      <c r="C12" t="inlineStr">
        <is>
          <t>재고자산</t>
        </is>
      </c>
      <c r="E12" s="18" t="n">
        <v>39340.55</v>
      </c>
      <c r="F12" s="18" t="n">
        <v>53943.82</v>
      </c>
      <c r="G12" s="37" t="n">
        <v>53943.82</v>
      </c>
      <c r="H12" s="18" t="n">
        <v>61950.49</v>
      </c>
      <c r="I12" s="19" t="n">
        <v>65474.21</v>
      </c>
      <c r="J12" s="10" t="n"/>
      <c r="K12" s="10" t="n"/>
      <c r="L12" s="11" t="n"/>
      <c r="M12" s="10" t="n"/>
      <c r="N12" s="10" t="n"/>
      <c r="O12" s="10" t="n"/>
      <c r="P12" s="10" t="n"/>
      <c r="Q12" s="11" t="n"/>
      <c r="R12" s="10" t="n"/>
      <c r="S12" s="10" t="n"/>
      <c r="T12" s="10" t="n"/>
      <c r="U12" s="10" t="n"/>
      <c r="V12" s="11" t="n"/>
    </row>
    <row r="13">
      <c r="A13" t="n">
        <v>1</v>
      </c>
      <c r="C13" t="inlineStr">
        <is>
          <t>매각예정비유동자산및처분자산</t>
        </is>
      </c>
      <c r="E13" s="18" t="n">
        <v>9905.35</v>
      </c>
      <c r="F13" s="18" t="n">
        <v>2654.65</v>
      </c>
      <c r="G13" s="37" t="n">
        <v>2654.65</v>
      </c>
      <c r="H13" s="18" t="n">
        <v>2654.65</v>
      </c>
      <c r="I13" s="19" t="n">
        <v>1656.51</v>
      </c>
      <c r="J13" s="10" t="n"/>
      <c r="K13" s="10" t="n"/>
      <c r="L13" s="11" t="n"/>
      <c r="M13" s="10" t="n"/>
      <c r="N13" s="10" t="n"/>
      <c r="O13" s="10" t="n"/>
      <c r="P13" s="10" t="n"/>
      <c r="Q13" s="11" t="n"/>
      <c r="R13" s="10" t="n"/>
      <c r="S13" s="10" t="n"/>
      <c r="T13" s="10" t="n"/>
      <c r="U13" s="10" t="n"/>
      <c r="V13" s="11" t="n"/>
    </row>
    <row r="14">
      <c r="A14" t="n">
        <v>1</v>
      </c>
      <c r="C14" t="inlineStr">
        <is>
          <t>비유동자산</t>
        </is>
      </c>
      <c r="E14" s="18" t="n">
        <v>90206.75</v>
      </c>
      <c r="F14" s="18" t="n">
        <v>89785.67999999999</v>
      </c>
      <c r="G14" s="37" t="n">
        <v>89785.67999999999</v>
      </c>
      <c r="H14" s="18" t="n">
        <v>89416.46000000001</v>
      </c>
      <c r="I14" s="19" t="n">
        <v>89692.17999999999</v>
      </c>
      <c r="J14" s="10" t="n"/>
      <c r="K14" s="10" t="n"/>
      <c r="L14" s="11" t="n"/>
      <c r="M14" s="10" t="n"/>
      <c r="N14" s="10" t="n"/>
      <c r="O14" s="10" t="n"/>
      <c r="P14" s="10" t="n"/>
      <c r="Q14" s="11" t="n"/>
      <c r="R14" s="10" t="n"/>
      <c r="S14" s="10" t="n"/>
      <c r="T14" s="10" t="n"/>
      <c r="U14" s="10" t="n"/>
      <c r="V14" s="11" t="n"/>
    </row>
    <row r="15">
      <c r="A15" t="n">
        <v>1</v>
      </c>
      <c r="C15" t="inlineStr">
        <is>
          <t>장기금융자산</t>
        </is>
      </c>
      <c r="E15" s="18" t="n">
        <v>36.67</v>
      </c>
      <c r="F15" s="18" t="n">
        <v>36.67</v>
      </c>
      <c r="G15" s="37" t="n">
        <v>36.67</v>
      </c>
      <c r="H15" s="18" t="n">
        <v>36.67</v>
      </c>
      <c r="I15" s="19" t="n">
        <v>36.67</v>
      </c>
      <c r="J15" s="10" t="n"/>
      <c r="K15" s="10" t="n"/>
      <c r="L15" s="11" t="n"/>
      <c r="M15" s="10" t="n"/>
      <c r="N15" s="10" t="n"/>
      <c r="O15" s="10" t="n"/>
      <c r="P15" s="10" t="n"/>
      <c r="Q15" s="11" t="n"/>
      <c r="R15" s="10" t="n"/>
      <c r="S15" s="10" t="n"/>
      <c r="T15" s="10" t="n"/>
      <c r="U15" s="10" t="n"/>
      <c r="V15" s="11" t="n"/>
    </row>
    <row r="16">
      <c r="A16" t="n">
        <v>1</v>
      </c>
      <c r="C16" t="inlineStr">
        <is>
          <t>투자자산</t>
        </is>
      </c>
      <c r="E16" s="18" t="n">
        <v>36.67</v>
      </c>
      <c r="F16" s="18" t="n">
        <v>36.67</v>
      </c>
      <c r="G16" s="37" t="n">
        <v>36.67</v>
      </c>
      <c r="H16" s="18" t="n">
        <v>36.67</v>
      </c>
      <c r="I16" s="19" t="n">
        <v>36.67</v>
      </c>
      <c r="J16" s="10" t="n"/>
      <c r="K16" s="10" t="n"/>
      <c r="L16" s="11" t="n"/>
      <c r="M16" s="10" t="n"/>
      <c r="N16" s="10" t="n"/>
      <c r="O16" s="10" t="n"/>
      <c r="P16" s="10" t="n"/>
      <c r="Q16" s="11" t="n"/>
      <c r="R16" s="10" t="n"/>
      <c r="S16" s="10" t="n"/>
      <c r="T16" s="10" t="n"/>
      <c r="U16" s="10" t="n"/>
      <c r="V16" s="11" t="n"/>
    </row>
    <row r="17">
      <c r="A17" t="n">
        <v>1</v>
      </c>
      <c r="C17" t="inlineStr">
        <is>
          <t>유형자산</t>
        </is>
      </c>
      <c r="E17" s="18" t="n">
        <v>70976.89</v>
      </c>
      <c r="F17" s="18" t="n">
        <v>76843.84</v>
      </c>
      <c r="G17" s="37" t="n">
        <v>76843.84</v>
      </c>
      <c r="H17" s="18" t="n">
        <v>76220.81</v>
      </c>
      <c r="I17" s="5" t="n"/>
      <c r="J17" s="10" t="n"/>
      <c r="K17" s="10" t="n"/>
      <c r="L17" s="11" t="n"/>
      <c r="M17" s="10" t="n"/>
      <c r="N17" s="10" t="n"/>
      <c r="O17" s="10" t="n"/>
      <c r="P17" s="10" t="n"/>
      <c r="Q17" s="11" t="n"/>
      <c r="R17" s="10" t="n"/>
      <c r="S17" s="10" t="n"/>
      <c r="T17" s="10" t="n"/>
      <c r="U17" s="10" t="n"/>
      <c r="V17" s="11" t="n"/>
    </row>
    <row r="18">
      <c r="A18" t="n">
        <v>1</v>
      </c>
      <c r="C18" t="inlineStr">
        <is>
          <t>투자부동산</t>
        </is>
      </c>
      <c r="E18" s="18" t="n">
        <v>7406.51</v>
      </c>
      <c r="F18" s="18" t="n">
        <v>929.62</v>
      </c>
      <c r="G18" s="37" t="n">
        <v>929.62</v>
      </c>
      <c r="H18" s="18" t="n">
        <v>923.45</v>
      </c>
      <c r="I18" s="19" t="n">
        <v>2147.24</v>
      </c>
      <c r="J18" s="10" t="n"/>
      <c r="K18" s="10" t="n"/>
      <c r="L18" s="11" t="n"/>
      <c r="M18" s="10" t="n"/>
      <c r="N18" s="10" t="n"/>
      <c r="O18" s="10" t="n"/>
      <c r="P18" s="10" t="n"/>
      <c r="Q18" s="11" t="n"/>
      <c r="R18" s="10" t="n"/>
      <c r="S18" s="10" t="n"/>
      <c r="T18" s="10" t="n"/>
      <c r="U18" s="10" t="n"/>
      <c r="V18" s="11" t="n"/>
    </row>
    <row r="19">
      <c r="A19" t="n">
        <v>1</v>
      </c>
      <c r="C19" t="inlineStr">
        <is>
          <t>무형자산</t>
        </is>
      </c>
      <c r="E19" s="18" t="n">
        <v>7060.2</v>
      </c>
      <c r="G19" s="9" t="n"/>
      <c r="I19" s="5" t="n"/>
      <c r="J19" s="10" t="n"/>
      <c r="K19" s="10" t="n"/>
      <c r="L19" s="11" t="n"/>
      <c r="M19" s="10" t="n"/>
      <c r="N19" s="10" t="n"/>
      <c r="O19" s="10" t="n"/>
      <c r="P19" s="10" t="n"/>
      <c r="Q19" s="11" t="n"/>
      <c r="R19" s="10" t="n"/>
      <c r="S19" s="10" t="n"/>
      <c r="T19" s="10" t="n"/>
      <c r="U19" s="10" t="n"/>
      <c r="V19" s="11" t="n"/>
    </row>
    <row r="20">
      <c r="A20" t="n">
        <v>1</v>
      </c>
      <c r="C20" t="inlineStr">
        <is>
          <t>장기매출채권및기타채권</t>
        </is>
      </c>
      <c r="E20" s="18" t="n">
        <v>1138.34</v>
      </c>
      <c r="F20" s="18" t="n">
        <v>1098.75</v>
      </c>
      <c r="G20" s="37" t="n">
        <v>1098.75</v>
      </c>
      <c r="H20" s="18" t="n">
        <v>1093.96</v>
      </c>
      <c r="I20" s="19" t="n">
        <v>1085.67</v>
      </c>
      <c r="J20" s="10" t="n"/>
      <c r="K20" s="10" t="n"/>
      <c r="L20" s="11" t="n"/>
      <c r="M20" s="10" t="n"/>
      <c r="N20" s="10" t="n"/>
      <c r="O20" s="10" t="n"/>
      <c r="P20" s="10" t="n"/>
      <c r="Q20" s="11" t="n"/>
      <c r="R20" s="10" t="n"/>
      <c r="S20" s="10" t="n"/>
      <c r="T20" s="10" t="n"/>
      <c r="U20" s="10" t="n"/>
      <c r="V20" s="11" t="n"/>
    </row>
    <row r="21">
      <c r="A21" t="n">
        <v>1</v>
      </c>
      <c r="C21" t="inlineStr">
        <is>
          <t>기타비유동자산</t>
        </is>
      </c>
      <c r="E21" s="18" t="n">
        <v>2859.41</v>
      </c>
      <c r="F21" s="18" t="n">
        <v>2892.44</v>
      </c>
      <c r="G21" s="37" t="n">
        <v>2892.44</v>
      </c>
      <c r="H21" s="18" t="n">
        <v>3623.29</v>
      </c>
      <c r="I21" s="19" t="n">
        <v>2761.56</v>
      </c>
      <c r="J21" s="10" t="n"/>
      <c r="K21" s="10" t="n"/>
      <c r="L21" s="11" t="n"/>
      <c r="M21" s="10" t="n"/>
      <c r="N21" s="10" t="n"/>
      <c r="O21" s="10" t="n"/>
      <c r="P21" s="10" t="n"/>
      <c r="Q21" s="11" t="n"/>
      <c r="R21" s="10" t="n"/>
      <c r="S21" s="10" t="n"/>
      <c r="T21" s="10" t="n"/>
      <c r="U21" s="10" t="n"/>
      <c r="V21" s="11" t="n"/>
    </row>
    <row r="22">
      <c r="A22" t="n">
        <v>1</v>
      </c>
      <c r="C22" t="inlineStr">
        <is>
          <t>이연법인세자산</t>
        </is>
      </c>
      <c r="E22" s="18" t="n">
        <v>728.72</v>
      </c>
      <c r="F22" s="18" t="n">
        <v>1107.57</v>
      </c>
      <c r="G22" s="37" t="n">
        <v>1107.57</v>
      </c>
      <c r="H22" s="18" t="n">
        <v>859.09</v>
      </c>
      <c r="I22" s="19" t="n">
        <v>1052.82</v>
      </c>
      <c r="J22" s="10" t="n"/>
      <c r="K22" s="10" t="n"/>
      <c r="L22" s="11" t="n"/>
      <c r="M22" s="10" t="n"/>
      <c r="N22" s="10" t="n"/>
      <c r="O22" s="10" t="n"/>
      <c r="P22" s="10" t="n"/>
      <c r="Q22" s="11" t="n"/>
      <c r="R22" s="10" t="n"/>
      <c r="S22" s="10" t="n"/>
      <c r="T22" s="10" t="n"/>
      <c r="U22" s="10" t="n"/>
      <c r="V22" s="11" t="n"/>
    </row>
    <row r="23">
      <c r="A23" t="n">
        <v>1</v>
      </c>
      <c r="C23" t="inlineStr">
        <is>
          <t>자산총계</t>
        </is>
      </c>
      <c r="E23" s="18" t="n">
        <v>197222.78</v>
      </c>
      <c r="F23" s="18" t="n">
        <v>237113.29</v>
      </c>
      <c r="G23" s="37" t="n">
        <v>237113.29</v>
      </c>
      <c r="H23" s="18" t="n">
        <v>234041.58</v>
      </c>
      <c r="I23" s="19" t="n">
        <v>230565.25</v>
      </c>
      <c r="J23" s="10" t="n"/>
      <c r="K23" s="10" t="n"/>
      <c r="L23" s="11" t="n"/>
      <c r="M23" s="10" t="n"/>
      <c r="N23" s="10" t="n"/>
      <c r="O23" s="10" t="n"/>
      <c r="P23" s="10" t="n"/>
      <c r="Q23" s="11" t="n"/>
      <c r="R23" s="10" t="n"/>
      <c r="S23" s="10" t="n"/>
      <c r="T23" s="10" t="n"/>
      <c r="U23" s="10" t="n"/>
      <c r="V23" s="11" t="n"/>
    </row>
    <row r="24">
      <c r="A24" t="n">
        <v>1</v>
      </c>
      <c r="C24" t="inlineStr">
        <is>
          <t>유동부채</t>
        </is>
      </c>
      <c r="E24" s="18" t="n">
        <v>102965.81</v>
      </c>
      <c r="F24" s="18" t="n">
        <v>109666</v>
      </c>
      <c r="G24" s="37" t="n">
        <v>109666</v>
      </c>
      <c r="H24" s="18" t="n">
        <v>105461.27</v>
      </c>
      <c r="I24" s="19" t="n">
        <v>111387.94</v>
      </c>
      <c r="J24" s="10" t="n"/>
      <c r="K24" s="10" t="n"/>
      <c r="L24" s="11" t="n"/>
      <c r="M24" s="10" t="n"/>
      <c r="N24" s="10" t="n"/>
      <c r="O24" s="10" t="n"/>
      <c r="P24" s="10" t="n"/>
      <c r="Q24" s="11" t="n"/>
      <c r="R24" s="10" t="n"/>
      <c r="S24" s="10" t="n"/>
      <c r="T24" s="10" t="n"/>
      <c r="U24" s="10" t="n"/>
      <c r="V24" s="11" t="n"/>
    </row>
    <row r="25">
      <c r="A25" t="n">
        <v>1</v>
      </c>
      <c r="C25" t="inlineStr">
        <is>
          <t>매입채무및기타채무</t>
        </is>
      </c>
      <c r="E25" s="18" t="n">
        <v>42056.06</v>
      </c>
      <c r="F25" s="18" t="n">
        <v>56967.69</v>
      </c>
      <c r="G25" s="37" t="n">
        <v>56967.69</v>
      </c>
      <c r="H25" s="18" t="n">
        <v>55440.6</v>
      </c>
      <c r="I25" s="19" t="n">
        <v>53892.31</v>
      </c>
      <c r="J25" s="10" t="n"/>
      <c r="K25" s="10" t="n"/>
      <c r="L25" s="11" t="n"/>
      <c r="M25" s="10" t="n"/>
      <c r="N25" s="10" t="n"/>
      <c r="O25" s="10" t="n"/>
      <c r="P25" s="10" t="n"/>
      <c r="Q25" s="11" t="n"/>
      <c r="R25" s="10" t="n"/>
      <c r="S25" s="10" t="n"/>
      <c r="T25" s="10" t="n"/>
      <c r="U25" s="10" t="n"/>
      <c r="V25" s="11" t="n"/>
    </row>
    <row r="26">
      <c r="A26" t="n">
        <v>1</v>
      </c>
      <c r="C26" t="inlineStr">
        <is>
          <t>단기차입금</t>
        </is>
      </c>
      <c r="E26" s="18" t="n">
        <v>51365.03</v>
      </c>
      <c r="G26" s="9" t="n"/>
      <c r="I26" s="19" t="n">
        <v>37321.54</v>
      </c>
      <c r="J26" s="10" t="n"/>
      <c r="K26" s="10" t="n"/>
      <c r="L26" s="11" t="n"/>
      <c r="M26" s="10" t="n"/>
      <c r="N26" s="10" t="n"/>
      <c r="O26" s="10" t="n"/>
      <c r="P26" s="10" t="n"/>
      <c r="Q26" s="11" t="n"/>
      <c r="R26" s="10" t="n"/>
      <c r="S26" s="10" t="n"/>
      <c r="T26" s="10" t="n"/>
      <c r="U26" s="10" t="n"/>
      <c r="V26" s="11" t="n"/>
    </row>
    <row r="27">
      <c r="A27" t="n">
        <v>1</v>
      </c>
      <c r="C27" t="inlineStr">
        <is>
          <t>유동성장기부채</t>
        </is>
      </c>
      <c r="E27" s="18" t="n">
        <v>2347.83</v>
      </c>
      <c r="F27" s="18" t="n">
        <v>0</v>
      </c>
      <c r="G27" s="37" t="n">
        <v>0</v>
      </c>
      <c r="I27" s="19" t="n">
        <v>13043.48</v>
      </c>
      <c r="J27" s="10" t="n"/>
      <c r="K27" s="10" t="n"/>
      <c r="L27" s="11" t="n"/>
      <c r="M27" s="10" t="n"/>
      <c r="N27" s="10" t="n"/>
      <c r="O27" s="10" t="n"/>
      <c r="P27" s="10" t="n"/>
      <c r="Q27" s="11" t="n"/>
      <c r="R27" s="10" t="n"/>
      <c r="S27" s="10" t="n"/>
      <c r="T27" s="10" t="n"/>
      <c r="U27" s="10" t="n"/>
      <c r="V27" s="11" t="n"/>
    </row>
    <row r="28">
      <c r="A28" t="n">
        <v>1</v>
      </c>
      <c r="C28" t="inlineStr">
        <is>
          <t>당기법인세부채(미지급법인세)</t>
        </is>
      </c>
      <c r="E28" s="18" t="n">
        <v>969.84</v>
      </c>
      <c r="F28" s="18" t="n">
        <v>540.87</v>
      </c>
      <c r="G28" s="37" t="n">
        <v>540.87</v>
      </c>
      <c r="H28" s="18" t="n">
        <v>1273.2</v>
      </c>
      <c r="I28" s="19" t="n">
        <v>2359.86</v>
      </c>
      <c r="J28" s="10" t="n"/>
      <c r="K28" s="10" t="n"/>
      <c r="L28" s="11" t="n"/>
      <c r="M28" s="10" t="n"/>
      <c r="N28" s="10" t="n"/>
      <c r="O28" s="10" t="n"/>
      <c r="P28" s="10" t="n"/>
      <c r="Q28" s="11" t="n"/>
      <c r="R28" s="10" t="n"/>
      <c r="S28" s="10" t="n"/>
      <c r="T28" s="10" t="n"/>
      <c r="U28" s="10" t="n"/>
      <c r="V28" s="11" t="n"/>
    </row>
    <row r="29">
      <c r="A29" t="n">
        <v>1</v>
      </c>
      <c r="C29" t="inlineStr">
        <is>
          <t>단기파생상품부채</t>
        </is>
      </c>
      <c r="E29" s="18" t="n">
        <v>27.39</v>
      </c>
      <c r="F29" s="18" t="n">
        <v>91.76000000000001</v>
      </c>
      <c r="G29" s="37" t="n">
        <v>91.76000000000001</v>
      </c>
      <c r="H29" s="18" t="n">
        <v>477.27</v>
      </c>
      <c r="I29" s="19" t="n">
        <v>1081.83</v>
      </c>
      <c r="J29" s="10" t="n"/>
      <c r="K29" s="10" t="n"/>
      <c r="L29" s="11" t="n"/>
      <c r="M29" s="10" t="n"/>
      <c r="N29" s="10" t="n"/>
      <c r="O29" s="10" t="n"/>
      <c r="P29" s="10" t="n"/>
      <c r="Q29" s="11" t="n"/>
      <c r="R29" s="10" t="n"/>
      <c r="S29" s="10" t="n"/>
      <c r="T29" s="10" t="n"/>
      <c r="U29" s="10" t="n"/>
      <c r="V29" s="11" t="n"/>
    </row>
    <row r="30">
      <c r="A30" t="n">
        <v>1</v>
      </c>
      <c r="C30" t="inlineStr">
        <is>
          <t>단기금융부채</t>
        </is>
      </c>
      <c r="E30" s="18" t="n">
        <v>221.41</v>
      </c>
      <c r="F30" s="18" t="n">
        <v>349.52</v>
      </c>
      <c r="G30" s="37" t="n">
        <v>349.52</v>
      </c>
      <c r="H30" s="18" t="n">
        <v>980.0700000000001</v>
      </c>
      <c r="I30" s="19" t="n">
        <v>1468.78</v>
      </c>
      <c r="J30" s="10" t="n"/>
      <c r="K30" s="10" t="n"/>
      <c r="L30" s="11" t="n"/>
      <c r="M30" s="10" t="n"/>
      <c r="N30" s="10" t="n"/>
      <c r="O30" s="10" t="n"/>
      <c r="P30" s="10" t="n"/>
      <c r="Q30" s="11" t="n"/>
      <c r="R30" s="10" t="n"/>
      <c r="S30" s="10" t="n"/>
      <c r="T30" s="10" t="n"/>
      <c r="U30" s="10" t="n"/>
      <c r="V30" s="11" t="n"/>
    </row>
    <row r="31">
      <c r="A31" t="n">
        <v>1</v>
      </c>
      <c r="C31" t="inlineStr">
        <is>
          <t>기타유동금융부채</t>
        </is>
      </c>
      <c r="E31" s="18" t="n">
        <v>194.02</v>
      </c>
      <c r="F31" s="18" t="n">
        <v>257.76</v>
      </c>
      <c r="G31" s="37" t="n">
        <v>257.76</v>
      </c>
      <c r="H31" s="18" t="n">
        <v>502.8</v>
      </c>
      <c r="I31" s="19" t="n">
        <v>386.95</v>
      </c>
      <c r="J31" s="10" t="n"/>
      <c r="K31" s="10" t="n"/>
      <c r="L31" s="11" t="n"/>
      <c r="M31" s="10" t="n"/>
      <c r="N31" s="10" t="n"/>
      <c r="O31" s="10" t="n"/>
      <c r="P31" s="10" t="n"/>
      <c r="Q31" s="11" t="n"/>
      <c r="R31" s="10" t="n"/>
      <c r="S31" s="10" t="n"/>
      <c r="T31" s="10" t="n"/>
      <c r="U31" s="10" t="n"/>
      <c r="V31" s="11" t="n"/>
    </row>
    <row r="32">
      <c r="A32" t="n">
        <v>1</v>
      </c>
      <c r="C32" t="inlineStr">
        <is>
          <t>기타유동부채</t>
        </is>
      </c>
      <c r="E32" s="18" t="n">
        <v>1318.25</v>
      </c>
      <c r="F32" s="18" t="n">
        <v>2161.18</v>
      </c>
      <c r="G32" s="37" t="n">
        <v>2161.18</v>
      </c>
      <c r="H32" s="18" t="n">
        <v>2814.77</v>
      </c>
      <c r="I32" s="19" t="n">
        <v>2185.72</v>
      </c>
      <c r="J32" s="10" t="n"/>
      <c r="K32" s="10" t="n"/>
      <c r="L32" s="11" t="n"/>
      <c r="M32" s="10" t="n"/>
      <c r="N32" s="10" t="n"/>
      <c r="O32" s="10" t="n"/>
      <c r="P32" s="10" t="n"/>
      <c r="Q32" s="11" t="n"/>
      <c r="R32" s="10" t="n"/>
      <c r="S32" s="10" t="n"/>
      <c r="T32" s="10" t="n"/>
      <c r="U32" s="10" t="n"/>
      <c r="V32" s="11" t="n"/>
    </row>
    <row r="33">
      <c r="A33" t="n">
        <v>1</v>
      </c>
      <c r="C33" t="inlineStr">
        <is>
          <t>단기충당부채</t>
        </is>
      </c>
      <c r="E33" s="18" t="n">
        <v>26.22</v>
      </c>
      <c r="F33" s="18" t="n">
        <v>146.65</v>
      </c>
      <c r="G33" s="37" t="n">
        <v>146.65</v>
      </c>
      <c r="H33" s="18" t="n">
        <v>121.1</v>
      </c>
      <c r="I33" s="19" t="n">
        <v>154.13</v>
      </c>
      <c r="J33" s="10" t="n"/>
      <c r="K33" s="10" t="n"/>
      <c r="L33" s="11" t="n"/>
      <c r="M33" s="10" t="n"/>
      <c r="N33" s="10" t="n"/>
      <c r="O33" s="10" t="n"/>
      <c r="P33" s="10" t="n"/>
      <c r="Q33" s="11" t="n"/>
      <c r="R33" s="10" t="n"/>
      <c r="S33" s="10" t="n"/>
      <c r="T33" s="10" t="n"/>
      <c r="U33" s="10" t="n"/>
      <c r="V33" s="11" t="n"/>
    </row>
    <row r="34">
      <c r="A34" t="n">
        <v>1</v>
      </c>
      <c r="C34" t="inlineStr">
        <is>
          <t>비유동부채</t>
        </is>
      </c>
      <c r="E34" s="18" t="n">
        <v>19147.12</v>
      </c>
      <c r="F34" s="18" t="n">
        <v>16612.81</v>
      </c>
      <c r="G34" s="37" t="n">
        <v>16612.81</v>
      </c>
      <c r="H34" s="18" t="n">
        <v>16939.71</v>
      </c>
      <c r="I34" s="19" t="n">
        <v>5663.1</v>
      </c>
      <c r="J34" s="10" t="n"/>
      <c r="K34" s="10" t="n"/>
      <c r="L34" s="11" t="n"/>
      <c r="M34" s="10" t="n"/>
      <c r="N34" s="10" t="n"/>
      <c r="O34" s="10" t="n"/>
      <c r="P34" s="10" t="n"/>
      <c r="Q34" s="11" t="n"/>
      <c r="R34" s="10" t="n"/>
      <c r="S34" s="10" t="n"/>
      <c r="T34" s="10" t="n"/>
      <c r="U34" s="10" t="n"/>
      <c r="V34" s="11" t="n"/>
    </row>
    <row r="35">
      <c r="A35" t="n">
        <v>1</v>
      </c>
      <c r="C35" t="inlineStr">
        <is>
          <t>장기차입금</t>
        </is>
      </c>
      <c r="E35" s="18" t="n">
        <v>12456.52</v>
      </c>
      <c r="F35" s="18" t="n">
        <v>11869.57</v>
      </c>
      <c r="G35" s="37" t="n">
        <v>11869.57</v>
      </c>
      <c r="H35" s="18" t="n">
        <v>11282.61</v>
      </c>
      <c r="I35" s="19" t="n">
        <v>0</v>
      </c>
      <c r="J35" s="10" t="n"/>
      <c r="K35" s="10" t="n"/>
      <c r="L35" s="11" t="n"/>
      <c r="M35" s="10" t="n"/>
      <c r="N35" s="10" t="n"/>
      <c r="O35" s="10" t="n"/>
      <c r="P35" s="10" t="n"/>
      <c r="Q35" s="11" t="n"/>
      <c r="R35" s="10" t="n"/>
      <c r="S35" s="10" t="n"/>
      <c r="T35" s="10" t="n"/>
      <c r="U35" s="10" t="n"/>
      <c r="V35" s="11" t="n"/>
    </row>
    <row r="36">
      <c r="A36" t="n">
        <v>1</v>
      </c>
      <c r="C36" t="inlineStr">
        <is>
          <t>사채</t>
        </is>
      </c>
      <c r="E36" s="18" t="n">
        <v>0</v>
      </c>
      <c r="F36" s="18" t="n">
        <v>0</v>
      </c>
      <c r="G36" s="37" t="n">
        <v>0</v>
      </c>
      <c r="I36" s="5" t="n"/>
      <c r="J36" s="10" t="n"/>
      <c r="K36" s="10" t="n"/>
      <c r="L36" s="11" t="n"/>
      <c r="M36" s="10" t="n"/>
      <c r="N36" s="10" t="n"/>
      <c r="O36" s="10" t="n"/>
      <c r="P36" s="10" t="n"/>
      <c r="Q36" s="11" t="n"/>
      <c r="R36" s="10" t="n"/>
      <c r="S36" s="10" t="n"/>
      <c r="T36" s="10" t="n"/>
      <c r="U36" s="10" t="n"/>
      <c r="V36" s="11" t="n"/>
    </row>
    <row r="37">
      <c r="A37" t="n">
        <v>1</v>
      </c>
      <c r="C37" t="inlineStr">
        <is>
          <t>비유동리스부채</t>
        </is>
      </c>
      <c r="E37" s="18" t="n">
        <v>2651.78</v>
      </c>
      <c r="F37" s="18" t="n">
        <v>2211.71</v>
      </c>
      <c r="G37" s="37" t="n">
        <v>2211.71</v>
      </c>
      <c r="H37" s="18" t="n">
        <v>2646.72</v>
      </c>
      <c r="I37" s="19" t="n">
        <v>2830.49</v>
      </c>
      <c r="J37" s="10" t="n"/>
      <c r="K37" s="10" t="n"/>
      <c r="L37" s="11" t="n"/>
      <c r="M37" s="10" t="n"/>
      <c r="N37" s="10" t="n"/>
      <c r="O37" s="10" t="n"/>
      <c r="P37" s="10" t="n"/>
      <c r="Q37" s="11" t="n"/>
      <c r="R37" s="10" t="n"/>
      <c r="S37" s="10" t="n"/>
      <c r="T37" s="10" t="n"/>
      <c r="U37" s="10" t="n"/>
      <c r="V37" s="11" t="n"/>
    </row>
    <row r="38">
      <c r="A38" t="n">
        <v>1</v>
      </c>
      <c r="C38" t="inlineStr">
        <is>
          <t>리스부채</t>
        </is>
      </c>
      <c r="E38" s="18" t="n">
        <v>2651.78</v>
      </c>
      <c r="F38" s="18" t="n">
        <v>2211.71</v>
      </c>
      <c r="G38" s="37" t="n">
        <v>2211.71</v>
      </c>
      <c r="H38" s="18" t="n">
        <v>2646.72</v>
      </c>
      <c r="I38" s="19" t="n">
        <v>2830.49</v>
      </c>
      <c r="J38" s="10" t="n"/>
      <c r="K38" s="10" t="n"/>
      <c r="L38" s="11" t="n"/>
      <c r="M38" s="10" t="n"/>
      <c r="N38" s="10" t="n"/>
      <c r="O38" s="10" t="n"/>
      <c r="P38" s="10" t="n"/>
      <c r="Q38" s="11" t="n"/>
      <c r="R38" s="10" t="n"/>
      <c r="S38" s="10" t="n"/>
      <c r="T38" s="10" t="n"/>
      <c r="U38" s="10" t="n"/>
      <c r="V38" s="11" t="n"/>
    </row>
    <row r="39">
      <c r="A39" t="n">
        <v>1</v>
      </c>
      <c r="C39" t="inlineStr">
        <is>
          <t>장기금융부채</t>
        </is>
      </c>
      <c r="E39" s="18" t="n">
        <v>2659.32</v>
      </c>
      <c r="F39" s="18" t="n">
        <v>2219.29</v>
      </c>
      <c r="G39" s="37" t="n">
        <v>2219.29</v>
      </c>
      <c r="H39" s="18" t="n">
        <v>2654.38</v>
      </c>
      <c r="I39" s="19" t="n">
        <v>2838.19</v>
      </c>
      <c r="J39" s="10" t="n"/>
      <c r="K39" s="10" t="n"/>
      <c r="L39" s="11" t="n"/>
      <c r="M39" s="10" t="n"/>
      <c r="N39" s="10" t="n"/>
      <c r="O39" s="10" t="n"/>
      <c r="P39" s="10" t="n"/>
      <c r="Q39" s="11" t="n"/>
      <c r="R39" s="10" t="n"/>
      <c r="S39" s="10" t="n"/>
      <c r="T39" s="10" t="n"/>
      <c r="U39" s="10" t="n"/>
      <c r="V39" s="11" t="n"/>
    </row>
    <row r="40">
      <c r="A40" t="n">
        <v>1</v>
      </c>
      <c r="C40" t="inlineStr">
        <is>
          <t>기타비유동금융부채</t>
        </is>
      </c>
      <c r="E40" s="18" t="n">
        <v>7.54</v>
      </c>
      <c r="F40" s="18" t="n">
        <v>7.58</v>
      </c>
      <c r="G40" s="37" t="n">
        <v>7.58</v>
      </c>
      <c r="H40" s="18" t="n">
        <v>7.66</v>
      </c>
      <c r="I40" s="19" t="n">
        <v>7.7</v>
      </c>
      <c r="J40" s="10" t="n"/>
      <c r="K40" s="10" t="n"/>
      <c r="L40" s="11" t="n"/>
      <c r="M40" s="10" t="n"/>
      <c r="N40" s="10" t="n"/>
      <c r="O40" s="10" t="n"/>
      <c r="P40" s="10" t="n"/>
      <c r="Q40" s="11" t="n"/>
      <c r="R40" s="10" t="n"/>
      <c r="S40" s="10" t="n"/>
      <c r="T40" s="10" t="n"/>
      <c r="U40" s="10" t="n"/>
      <c r="V40" s="11" t="n"/>
    </row>
    <row r="41">
      <c r="A41" t="n">
        <v>1</v>
      </c>
      <c r="C41" t="inlineStr">
        <is>
          <t>장기충당부채</t>
        </is>
      </c>
      <c r="E41" s="18" t="n">
        <v>229.23</v>
      </c>
      <c r="F41" s="18" t="n">
        <v>285.53</v>
      </c>
      <c r="G41" s="37" t="n">
        <v>285.53</v>
      </c>
      <c r="H41" s="18" t="n">
        <v>89.90000000000001</v>
      </c>
      <c r="I41" s="19" t="n">
        <v>101.49</v>
      </c>
      <c r="J41" s="10" t="n"/>
      <c r="K41" s="10" t="n"/>
      <c r="L41" s="11" t="n"/>
      <c r="M41" s="10" t="n"/>
      <c r="N41" s="10" t="n"/>
      <c r="O41" s="10" t="n"/>
      <c r="P41" s="10" t="n"/>
      <c r="Q41" s="11" t="n"/>
      <c r="R41" s="10" t="n"/>
      <c r="S41" s="10" t="n"/>
      <c r="T41" s="10" t="n"/>
      <c r="U41" s="10" t="n"/>
      <c r="V41" s="11" t="n"/>
    </row>
    <row r="42">
      <c r="A42" t="n">
        <v>1</v>
      </c>
      <c r="C42" t="inlineStr">
        <is>
          <t>부채총계</t>
        </is>
      </c>
      <c r="E42" s="18" t="n">
        <v>122112.93</v>
      </c>
      <c r="F42" s="18" t="n">
        <v>126278.81</v>
      </c>
      <c r="G42" s="37" t="n">
        <v>126278.81</v>
      </c>
      <c r="H42" s="18" t="n">
        <v>122400.97</v>
      </c>
      <c r="I42" s="19" t="n">
        <v>117051.05</v>
      </c>
      <c r="J42" s="10" t="n"/>
      <c r="K42" s="10" t="n"/>
      <c r="L42" s="11" t="n"/>
      <c r="M42" s="10" t="n"/>
      <c r="N42" s="10" t="n"/>
      <c r="O42" s="10" t="n"/>
      <c r="P42" s="10" t="n"/>
      <c r="Q42" s="11" t="n"/>
      <c r="R42" s="10" t="n"/>
      <c r="S42" s="10" t="n"/>
      <c r="T42" s="10" t="n"/>
      <c r="U42" s="10" t="n"/>
      <c r="V42" s="11" t="n"/>
    </row>
    <row r="43">
      <c r="A43" t="n">
        <v>1</v>
      </c>
      <c r="C43" t="inlineStr">
        <is>
          <t>지배주주지분</t>
        </is>
      </c>
      <c r="E43" s="18" t="n">
        <v>74955.66</v>
      </c>
      <c r="F43" s="18" t="n">
        <v>110739.34</v>
      </c>
      <c r="G43" s="37" t="n">
        <v>110739.34</v>
      </c>
      <c r="H43" s="18" t="n">
        <v>111587.63</v>
      </c>
      <c r="I43" s="19" t="n">
        <v>113493.41</v>
      </c>
      <c r="J43" s="10" t="n"/>
      <c r="K43" s="10" t="n"/>
      <c r="L43" s="11" t="n"/>
      <c r="M43" s="10" t="n"/>
      <c r="N43" s="10" t="n"/>
      <c r="O43" s="10" t="n"/>
      <c r="P43" s="10" t="n"/>
      <c r="Q43" s="11" t="n"/>
      <c r="R43" s="10" t="n"/>
      <c r="S43" s="10" t="n"/>
      <c r="T43" s="10" t="n"/>
      <c r="U43" s="10" t="n"/>
      <c r="V43" s="11" t="n"/>
    </row>
    <row r="44">
      <c r="A44" t="n">
        <v>1</v>
      </c>
      <c r="C44" t="inlineStr">
        <is>
          <t>자본금</t>
        </is>
      </c>
      <c r="E44" s="18" t="n">
        <v>1974.42</v>
      </c>
      <c r="F44" s="18" t="n">
        <v>2409.42</v>
      </c>
      <c r="G44" s="37" t="n">
        <v>2409.42</v>
      </c>
      <c r="H44" s="18" t="n">
        <v>2409.42</v>
      </c>
      <c r="I44" s="19" t="n">
        <v>2409.42</v>
      </c>
      <c r="J44" s="10" t="n"/>
      <c r="K44" s="10" t="n"/>
      <c r="L44" s="11" t="n"/>
      <c r="M44" s="10" t="n"/>
      <c r="N44" s="10" t="n"/>
      <c r="O44" s="10" t="n"/>
      <c r="P44" s="10" t="n"/>
      <c r="Q44" s="11" t="n"/>
      <c r="R44" s="10" t="n"/>
      <c r="S44" s="10" t="n"/>
      <c r="T44" s="10" t="n"/>
      <c r="U44" s="10" t="n"/>
      <c r="V44" s="11" t="n"/>
    </row>
    <row r="45">
      <c r="A45" t="n">
        <v>1</v>
      </c>
      <c r="C45" t="inlineStr">
        <is>
          <t>자본잉여금</t>
        </is>
      </c>
      <c r="E45" s="18" t="n">
        <v>20054.61</v>
      </c>
      <c r="F45" s="18" t="n">
        <v>58192.36</v>
      </c>
      <c r="G45" s="37" t="n">
        <v>58192.36</v>
      </c>
      <c r="H45" s="18" t="n">
        <v>58192.36</v>
      </c>
      <c r="I45" s="19" t="n">
        <v>58192.71</v>
      </c>
      <c r="J45" s="10" t="n"/>
      <c r="K45" s="10" t="n"/>
      <c r="L45" s="11" t="n"/>
      <c r="M45" s="10" t="n"/>
      <c r="N45" s="10" t="n"/>
      <c r="O45" s="10" t="n"/>
      <c r="P45" s="10" t="n"/>
      <c r="Q45" s="11" t="n"/>
      <c r="R45" s="10" t="n"/>
      <c r="S45" s="10" t="n"/>
      <c r="T45" s="10" t="n"/>
      <c r="U45" s="10" t="n"/>
      <c r="V45" s="11" t="n"/>
    </row>
    <row r="46">
      <c r="A46" t="n">
        <v>1</v>
      </c>
      <c r="C46" t="inlineStr">
        <is>
          <t>기타포괄이익누계액</t>
        </is>
      </c>
      <c r="E46" s="18" t="n">
        <v>7161.09</v>
      </c>
      <c r="F46" s="18" t="n">
        <v>7212.01</v>
      </c>
      <c r="G46" s="37" t="n">
        <v>7212.01</v>
      </c>
      <c r="H46" s="18" t="n">
        <v>7286.34</v>
      </c>
      <c r="I46" s="19" t="n">
        <v>7277.03</v>
      </c>
      <c r="J46" s="10" t="n"/>
      <c r="K46" s="10" t="n"/>
      <c r="L46" s="11" t="n"/>
      <c r="M46" s="10" t="n"/>
      <c r="N46" s="10" t="n"/>
      <c r="O46" s="10" t="n"/>
      <c r="P46" s="10" t="n"/>
      <c r="Q46" s="11" t="n"/>
      <c r="R46" s="10" t="n"/>
      <c r="S46" s="10" t="n"/>
      <c r="T46" s="10" t="n"/>
      <c r="U46" s="10" t="n"/>
      <c r="V46" s="11" t="n"/>
    </row>
    <row r="47">
      <c r="A47" t="n">
        <v>1</v>
      </c>
      <c r="C47" t="inlineStr">
        <is>
          <t>기타자본</t>
        </is>
      </c>
      <c r="E47" s="18" t="n">
        <v>-4373.7</v>
      </c>
      <c r="F47" s="18" t="n">
        <v>-3781.96</v>
      </c>
      <c r="G47" s="37" t="n">
        <v>-3781.96</v>
      </c>
      <c r="H47" s="18" t="n">
        <v>-3781.96</v>
      </c>
      <c r="I47" s="19" t="n">
        <v>-3781.96</v>
      </c>
      <c r="J47" s="10" t="n"/>
      <c r="K47" s="10" t="n"/>
      <c r="L47" s="11" t="n"/>
      <c r="M47" s="10" t="n"/>
      <c r="N47" s="10" t="n"/>
      <c r="O47" s="10" t="n"/>
      <c r="P47" s="10" t="n"/>
      <c r="Q47" s="11" t="n"/>
      <c r="R47" s="10" t="n"/>
      <c r="S47" s="10" t="n"/>
      <c r="T47" s="10" t="n"/>
      <c r="U47" s="10" t="n"/>
      <c r="V47" s="11" t="n"/>
    </row>
    <row r="48">
      <c r="A48" t="n">
        <v>1</v>
      </c>
      <c r="C48" t="inlineStr">
        <is>
          <t>이익잉여금</t>
        </is>
      </c>
      <c r="E48" s="18" t="n">
        <v>50139.23</v>
      </c>
      <c r="F48" s="18" t="n">
        <v>46707.51</v>
      </c>
      <c r="G48" s="37" t="n">
        <v>46707.51</v>
      </c>
      <c r="H48" s="18" t="n">
        <v>47481.47</v>
      </c>
      <c r="I48" s="19" t="n">
        <v>49396.2</v>
      </c>
      <c r="J48" s="10" t="n"/>
      <c r="K48" s="10" t="n"/>
      <c r="L48" s="11" t="n"/>
      <c r="M48" s="10" t="n"/>
      <c r="N48" s="10" t="n"/>
      <c r="O48" s="10" t="n"/>
      <c r="P48" s="10" t="n"/>
      <c r="Q48" s="11" t="n"/>
      <c r="R48" s="10" t="n"/>
      <c r="S48" s="10" t="n"/>
      <c r="T48" s="10" t="n"/>
      <c r="U48" s="10" t="n"/>
      <c r="V48" s="11" t="n"/>
    </row>
    <row r="49">
      <c r="A49" t="n">
        <v>1</v>
      </c>
      <c r="C49" t="inlineStr">
        <is>
          <t>비지배주주지분</t>
        </is>
      </c>
      <c r="E49" s="18" t="n">
        <v>154.19</v>
      </c>
      <c r="F49" s="18" t="n">
        <v>95.15000000000001</v>
      </c>
      <c r="G49" s="37" t="n">
        <v>95.15000000000001</v>
      </c>
      <c r="H49" s="18" t="n">
        <v>52.97</v>
      </c>
      <c r="I49" s="19" t="n">
        <v>20.8</v>
      </c>
      <c r="J49" s="10" t="n"/>
      <c r="K49" s="10" t="n"/>
      <c r="L49" s="11" t="n"/>
      <c r="M49" s="10" t="n"/>
      <c r="N49" s="10" t="n"/>
      <c r="O49" s="10" t="n"/>
      <c r="P49" s="10" t="n"/>
      <c r="Q49" s="11" t="n"/>
      <c r="R49" s="10" t="n"/>
      <c r="S49" s="10" t="n"/>
      <c r="T49" s="10" t="n"/>
      <c r="U49" s="10" t="n"/>
      <c r="V49" s="11" t="n"/>
    </row>
    <row r="50">
      <c r="A50" t="n">
        <v>1</v>
      </c>
      <c r="C50" t="inlineStr">
        <is>
          <t>자본총계</t>
        </is>
      </c>
      <c r="E50" s="18" t="n">
        <v>75109.85000000001</v>
      </c>
      <c r="F50" s="18" t="n">
        <v>110834.49</v>
      </c>
      <c r="G50" s="37" t="n">
        <v>110834.49</v>
      </c>
      <c r="H50" s="18" t="n">
        <v>111640.6</v>
      </c>
      <c r="I50" s="19" t="n">
        <v>113514.21</v>
      </c>
      <c r="J50" s="10" t="n"/>
      <c r="K50" s="10" t="n"/>
      <c r="L50" s="11" t="n"/>
      <c r="M50" s="10" t="n"/>
      <c r="N50" s="10" t="n"/>
      <c r="O50" s="10" t="n"/>
      <c r="P50" s="10" t="n"/>
      <c r="Q50" s="11" t="n"/>
      <c r="R50" s="10" t="n"/>
      <c r="S50" s="10" t="n"/>
      <c r="T50" s="10" t="n"/>
      <c r="U50" s="10" t="n"/>
      <c r="V50" s="11" t="n"/>
    </row>
    <row r="51">
      <c r="A51" t="n">
        <v>1</v>
      </c>
      <c r="C51" t="inlineStr">
        <is>
          <t>부채와자본총계</t>
        </is>
      </c>
      <c r="E51" s="18" t="n">
        <v>197222.78</v>
      </c>
      <c r="F51" s="18" t="n">
        <v>237113.29</v>
      </c>
      <c r="G51" s="37" t="n">
        <v>237113.29</v>
      </c>
      <c r="H51" s="18" t="n">
        <v>234041.58</v>
      </c>
      <c r="I51" s="19" t="n">
        <v>230565.25</v>
      </c>
      <c r="J51" s="10" t="n"/>
      <c r="K51" s="10" t="n"/>
      <c r="L51" s="11" t="n"/>
      <c r="M51" s="10" t="n"/>
      <c r="N51" s="10" t="n"/>
      <c r="O51" s="10" t="n"/>
      <c r="P51" s="10" t="n"/>
      <c r="Q51" s="11" t="n"/>
      <c r="R51" s="10" t="n"/>
      <c r="S51" s="10" t="n"/>
      <c r="T51" s="10" t="n"/>
      <c r="U51" s="10" t="n"/>
      <c r="V51" s="11" t="n"/>
    </row>
    <row r="52">
      <c r="A52" t="n">
        <v>1</v>
      </c>
      <c r="C52" t="inlineStr">
        <is>
          <t>총차입금</t>
        </is>
      </c>
      <c r="E52" s="18" t="n">
        <v>66169.38</v>
      </c>
      <c r="F52" s="18" t="n">
        <v>11869.57</v>
      </c>
      <c r="G52" s="37" t="n">
        <v>11869.57</v>
      </c>
      <c r="H52" s="18" t="n">
        <v>11282.61</v>
      </c>
      <c r="I52" s="19" t="n">
        <v>50365.02</v>
      </c>
      <c r="J52" s="10" t="n"/>
      <c r="K52" s="10" t="n"/>
      <c r="L52" s="11" t="n"/>
      <c r="M52" s="10" t="n"/>
      <c r="N52" s="10" t="n"/>
      <c r="O52" s="10" t="n"/>
      <c r="P52" s="10" t="n"/>
      <c r="Q52" s="11" t="n"/>
      <c r="R52" s="10" t="n"/>
      <c r="S52" s="10" t="n"/>
      <c r="T52" s="10" t="n"/>
      <c r="U52" s="10" t="n"/>
      <c r="V52" s="11" t="n"/>
    </row>
    <row r="53">
      <c r="A53" t="n">
        <v>1</v>
      </c>
      <c r="C53" t="inlineStr">
        <is>
          <t>순차입금</t>
        </is>
      </c>
      <c r="E53" s="18" t="n">
        <v>60587.23</v>
      </c>
      <c r="F53" s="18" t="n">
        <v>1095.63</v>
      </c>
      <c r="G53" s="37" t="n">
        <v>1095.63</v>
      </c>
      <c r="H53" s="18" t="n">
        <v>8734.16</v>
      </c>
      <c r="I53" s="19" t="n">
        <v>45271.41</v>
      </c>
      <c r="J53" s="10" t="n"/>
      <c r="K53" s="10" t="n"/>
      <c r="L53" s="11" t="n"/>
      <c r="M53" s="10" t="n"/>
      <c r="N53" s="10" t="n"/>
      <c r="O53" s="10" t="n"/>
      <c r="P53" s="10" t="n"/>
      <c r="Q53" s="11" t="n"/>
      <c r="R53" s="10" t="n"/>
      <c r="S53" s="10" t="n"/>
      <c r="T53" s="10" t="n"/>
      <c r="U53" s="10" t="n"/>
      <c r="V53" s="11" t="n"/>
    </row>
    <row r="54">
      <c r="A54" t="n">
        <v>1</v>
      </c>
      <c r="C54" t="inlineStr">
        <is>
          <t>이자발생자산</t>
        </is>
      </c>
      <c r="E54" s="18" t="n">
        <v>5618.82</v>
      </c>
      <c r="F54" s="18" t="n">
        <v>10810.61</v>
      </c>
      <c r="G54" s="37" t="n">
        <v>10810.61</v>
      </c>
      <c r="H54" s="18" t="n">
        <v>2585.12</v>
      </c>
      <c r="I54" s="19" t="n">
        <v>5130.28</v>
      </c>
      <c r="J54" s="10" t="n"/>
      <c r="K54" s="10" t="n"/>
      <c r="L54" s="11" t="n"/>
      <c r="M54" s="10" t="n"/>
      <c r="N54" s="10" t="n"/>
      <c r="O54" s="10" t="n"/>
      <c r="P54" s="10" t="n"/>
      <c r="Q54" s="11" t="n"/>
      <c r="R54" s="10" t="n"/>
      <c r="S54" s="10" t="n"/>
      <c r="T54" s="10" t="n"/>
      <c r="U54" s="10" t="n"/>
      <c r="V54" s="11" t="n"/>
    </row>
    <row r="55">
      <c r="A55" t="n">
        <v>1</v>
      </c>
      <c r="C55" t="inlineStr">
        <is>
          <t>단기투자자산(공정가치)</t>
        </is>
      </c>
      <c r="F55" s="18" t="n">
        <v>5009.77</v>
      </c>
      <c r="G55" s="37" t="n">
        <v>5009.77</v>
      </c>
      <c r="H55" s="18" t="n">
        <v>0</v>
      </c>
      <c r="I55" s="19" t="n">
        <v>0</v>
      </c>
      <c r="J55" s="10" t="n"/>
      <c r="K55" s="10" t="n"/>
      <c r="L55" s="11" t="n"/>
      <c r="M55" s="10" t="n"/>
      <c r="N55" s="10" t="n"/>
      <c r="O55" s="10" t="n"/>
      <c r="P55" s="10" t="n"/>
      <c r="Q55" s="11" t="n"/>
      <c r="R55" s="10" t="n"/>
      <c r="S55" s="10" t="n"/>
      <c r="T55" s="10" t="n"/>
      <c r="U55" s="10" t="n"/>
      <c r="V55" s="11" t="n"/>
    </row>
    <row r="56">
      <c r="A56" t="n">
        <v>1</v>
      </c>
      <c r="C56" t="inlineStr">
        <is>
          <t>매출액(수익)</t>
        </is>
      </c>
      <c r="E56" s="18" t="n">
        <v>79753.77</v>
      </c>
      <c r="F56" s="18" t="n">
        <v>75889.84</v>
      </c>
      <c r="G56" s="9" t="n"/>
      <c r="H56" s="18" t="n">
        <v>93948.7</v>
      </c>
      <c r="I56" s="19" t="n">
        <v>106351.59</v>
      </c>
      <c r="J56" s="10" t="n"/>
      <c r="K56" s="10" t="n"/>
      <c r="L56" s="11" t="n"/>
      <c r="M56" s="10" t="n"/>
      <c r="N56" s="10" t="n"/>
      <c r="O56" s="10" t="n"/>
      <c r="P56" s="10" t="n"/>
      <c r="Q56" s="11" t="n"/>
      <c r="R56" s="10" t="n"/>
      <c r="S56" s="10" t="n"/>
      <c r="T56" s="10" t="n"/>
      <c r="U56" s="10" t="n"/>
      <c r="V56" s="11" t="n"/>
    </row>
    <row r="57">
      <c r="A57" t="n">
        <v>1</v>
      </c>
      <c r="C57" t="inlineStr">
        <is>
          <t>매출원가</t>
        </is>
      </c>
      <c r="E57" s="18" t="n">
        <v>73012.52</v>
      </c>
      <c r="F57" s="18" t="n">
        <v>71475.97</v>
      </c>
      <c r="G57" s="9" t="n"/>
      <c r="H57" s="18" t="n">
        <v>87961.85000000001</v>
      </c>
      <c r="I57" s="19" t="n">
        <v>98529.73</v>
      </c>
      <c r="J57" s="10" t="n"/>
      <c r="K57" s="10" t="n"/>
      <c r="L57" s="11" t="n"/>
      <c r="M57" s="10" t="n"/>
      <c r="N57" s="10" t="n"/>
      <c r="O57" s="10" t="n"/>
      <c r="P57" s="10" t="n"/>
      <c r="Q57" s="11" t="n"/>
      <c r="R57" s="10" t="n"/>
      <c r="S57" s="10" t="n"/>
      <c r="T57" s="10" t="n"/>
      <c r="U57" s="10" t="n"/>
      <c r="V57" s="11" t="n"/>
    </row>
    <row r="58">
      <c r="A58" t="n">
        <v>1</v>
      </c>
      <c r="C58" t="inlineStr">
        <is>
          <t>매출총이익</t>
        </is>
      </c>
      <c r="E58" s="18" t="n">
        <v>6741.24</v>
      </c>
      <c r="F58" s="18" t="n">
        <v>4413.87</v>
      </c>
      <c r="G58" s="9" t="n"/>
      <c r="H58" s="18" t="n">
        <v>5986.86</v>
      </c>
      <c r="I58" s="19" t="n">
        <v>7821.86</v>
      </c>
      <c r="J58" s="10" t="n"/>
      <c r="K58" s="10" t="n"/>
      <c r="L58" s="11" t="n"/>
      <c r="M58" s="10" t="n"/>
      <c r="N58" s="10" t="n"/>
      <c r="O58" s="10" t="n"/>
      <c r="P58" s="10" t="n"/>
      <c r="Q58" s="11" t="n"/>
      <c r="R58" s="10" t="n"/>
      <c r="S58" s="10" t="n"/>
      <c r="T58" s="10" t="n"/>
      <c r="U58" s="10" t="n"/>
      <c r="V58" s="11" t="n"/>
    </row>
    <row r="59">
      <c r="A59" t="n">
        <v>1</v>
      </c>
      <c r="C59" t="inlineStr">
        <is>
          <t>판관비</t>
        </is>
      </c>
      <c r="E59" s="18" t="n">
        <v>5328.4</v>
      </c>
      <c r="F59" s="18" t="n">
        <v>6518.01</v>
      </c>
      <c r="G59" s="9" t="n"/>
      <c r="H59" s="18" t="n">
        <v>5011.48</v>
      </c>
      <c r="I59" s="19" t="n">
        <v>6480.33</v>
      </c>
      <c r="J59" s="10" t="n"/>
      <c r="K59" s="10" t="n"/>
      <c r="L59" s="11" t="n"/>
      <c r="M59" s="10" t="n"/>
      <c r="N59" s="10" t="n"/>
      <c r="O59" s="10" t="n"/>
      <c r="P59" s="10" t="n"/>
      <c r="Q59" s="11" t="n"/>
      <c r="R59" s="10" t="n"/>
      <c r="S59" s="10" t="n"/>
      <c r="T59" s="10" t="n"/>
      <c r="U59" s="10" t="n"/>
      <c r="V59" s="11" t="n"/>
    </row>
    <row r="60">
      <c r="A60" t="n">
        <v>1</v>
      </c>
      <c r="C60" t="inlineStr">
        <is>
          <t>영업이익</t>
        </is>
      </c>
      <c r="E60" s="18" t="n">
        <v>1412.84</v>
      </c>
      <c r="F60" s="18" t="n">
        <v>-2104.13</v>
      </c>
      <c r="G60" s="9" t="n"/>
      <c r="H60" s="18" t="n">
        <v>975.37</v>
      </c>
      <c r="I60" s="19" t="n">
        <v>1341.53</v>
      </c>
      <c r="J60" s="10" t="n"/>
      <c r="K60" s="10" t="n"/>
      <c r="L60" s="11" t="n"/>
      <c r="M60" s="10" t="n"/>
      <c r="N60" s="10" t="n"/>
      <c r="O60" s="10" t="n"/>
      <c r="P60" s="10" t="n"/>
      <c r="Q60" s="11" t="n"/>
      <c r="R60" s="10" t="n"/>
      <c r="S60" s="10" t="n"/>
      <c r="T60" s="10" t="n"/>
      <c r="U60" s="10" t="n"/>
      <c r="V60" s="11" t="n"/>
    </row>
    <row r="61">
      <c r="A61" t="n">
        <v>1</v>
      </c>
      <c r="C61" t="inlineStr">
        <is>
          <t>기타영업외수익</t>
        </is>
      </c>
      <c r="E61" s="18" t="n">
        <v>710.61</v>
      </c>
      <c r="F61" s="18" t="n">
        <v>657.2</v>
      </c>
      <c r="G61" s="9" t="n"/>
      <c r="H61" s="18" t="n">
        <v>1926.14</v>
      </c>
      <c r="I61" s="19" t="n">
        <v>1196.93</v>
      </c>
      <c r="J61" s="10" t="n"/>
      <c r="K61" s="10" t="n"/>
      <c r="L61" s="11" t="n"/>
      <c r="M61" s="10" t="n"/>
      <c r="N61" s="10" t="n"/>
      <c r="O61" s="10" t="n"/>
      <c r="P61" s="10" t="n"/>
      <c r="Q61" s="11" t="n"/>
      <c r="R61" s="10" t="n"/>
      <c r="S61" s="10" t="n"/>
      <c r="T61" s="10" t="n"/>
      <c r="U61" s="10" t="n"/>
      <c r="V61" s="11" t="n"/>
    </row>
    <row r="62">
      <c r="A62" t="n">
        <v>1</v>
      </c>
      <c r="C62" t="inlineStr">
        <is>
          <t>기타영업외비용</t>
        </is>
      </c>
      <c r="E62" s="18" t="n">
        <v>-120.95</v>
      </c>
      <c r="F62" s="18" t="n">
        <v>359.24</v>
      </c>
      <c r="G62" s="9" t="n"/>
      <c r="H62" s="18" t="n">
        <v>1138.7</v>
      </c>
      <c r="I62" s="19" t="n">
        <v>546.11</v>
      </c>
      <c r="J62" s="10" t="n"/>
      <c r="K62" s="10" t="n"/>
      <c r="L62" s="11" t="n"/>
      <c r="M62" s="10" t="n"/>
      <c r="N62" s="10" t="n"/>
      <c r="O62" s="10" t="n"/>
      <c r="P62" s="10" t="n"/>
      <c r="Q62" s="11" t="n"/>
      <c r="R62" s="10" t="n"/>
      <c r="S62" s="10" t="n"/>
      <c r="T62" s="10" t="n"/>
      <c r="U62" s="10" t="n"/>
      <c r="V62" s="11" t="n"/>
    </row>
    <row r="63">
      <c r="A63" t="n">
        <v>1</v>
      </c>
      <c r="C63" t="inlineStr">
        <is>
          <t>금융수익</t>
        </is>
      </c>
      <c r="E63" s="18" t="n">
        <v>1154.15</v>
      </c>
      <c r="F63" s="18" t="n">
        <v>1840.42</v>
      </c>
      <c r="G63" s="9" t="n"/>
      <c r="H63" s="18" t="n">
        <v>3559.84</v>
      </c>
      <c r="I63" s="19" t="n">
        <v>3258.53</v>
      </c>
      <c r="J63" s="10" t="n"/>
      <c r="K63" s="10" t="n"/>
      <c r="L63" s="11" t="n"/>
      <c r="M63" s="10" t="n"/>
      <c r="N63" s="10" t="n"/>
      <c r="O63" s="10" t="n"/>
      <c r="P63" s="10" t="n"/>
      <c r="Q63" s="11" t="n"/>
      <c r="R63" s="10" t="n"/>
      <c r="S63" s="10" t="n"/>
      <c r="T63" s="10" t="n"/>
      <c r="U63" s="10" t="n"/>
      <c r="V63" s="11" t="n"/>
    </row>
    <row r="64">
      <c r="A64" t="n">
        <v>1</v>
      </c>
      <c r="C64" t="inlineStr">
        <is>
          <t>금융비용</t>
        </is>
      </c>
      <c r="E64" s="18" t="n">
        <v>1013.57</v>
      </c>
      <c r="F64" s="18" t="n">
        <v>2040.48</v>
      </c>
      <c r="G64" s="9" t="n"/>
      <c r="H64" s="18" t="n">
        <v>2511.89</v>
      </c>
      <c r="I64" s="19" t="n">
        <v>2357.13</v>
      </c>
      <c r="J64" s="10" t="n"/>
      <c r="K64" s="10" t="n"/>
      <c r="L64" s="11" t="n"/>
      <c r="M64" s="10" t="n"/>
      <c r="N64" s="10" t="n"/>
      <c r="O64" s="10" t="n"/>
      <c r="P64" s="10" t="n"/>
      <c r="Q64" s="11" t="n"/>
      <c r="R64" s="10" t="n"/>
      <c r="S64" s="10" t="n"/>
      <c r="T64" s="10" t="n"/>
      <c r="U64" s="10" t="n"/>
      <c r="V64" s="11" t="n"/>
    </row>
    <row r="65">
      <c r="A65" t="n">
        <v>1</v>
      </c>
      <c r="C65" t="inlineStr">
        <is>
          <t>법인세비용차감전계속사업이익</t>
        </is>
      </c>
      <c r="E65" s="18" t="n">
        <v>2385</v>
      </c>
      <c r="F65" s="18" t="n">
        <v>-2006.23</v>
      </c>
      <c r="G65" s="9" t="n"/>
      <c r="H65" s="18" t="n">
        <v>2810.77</v>
      </c>
      <c r="I65" s="19" t="n">
        <v>2893.75</v>
      </c>
      <c r="J65" s="10" t="n"/>
      <c r="K65" s="10" t="n"/>
      <c r="L65" s="11" t="n"/>
      <c r="M65" s="10" t="n"/>
      <c r="N65" s="10" t="n"/>
      <c r="O65" s="10" t="n"/>
      <c r="P65" s="10" t="n"/>
      <c r="Q65" s="11" t="n"/>
      <c r="R65" s="10" t="n"/>
      <c r="S65" s="10" t="n"/>
      <c r="T65" s="10" t="n"/>
      <c r="U65" s="10" t="n"/>
      <c r="V65" s="11" t="n"/>
    </row>
    <row r="66">
      <c r="A66" t="n">
        <v>1</v>
      </c>
      <c r="C66" t="inlineStr">
        <is>
          <t>법인세비용</t>
        </is>
      </c>
      <c r="E66" s="18" t="n">
        <v>396.95</v>
      </c>
      <c r="F66" s="18" t="n">
        <v>125.4</v>
      </c>
      <c r="G66" s="9" t="n"/>
      <c r="H66" s="18" t="n">
        <v>974.58</v>
      </c>
      <c r="I66" s="19" t="n">
        <v>1121.25</v>
      </c>
      <c r="J66" s="10" t="n"/>
      <c r="K66" s="10" t="n"/>
      <c r="L66" s="11" t="n"/>
      <c r="M66" s="10" t="n"/>
      <c r="N66" s="10" t="n"/>
      <c r="O66" s="10" t="n"/>
      <c r="P66" s="10" t="n"/>
      <c r="Q66" s="11" t="n"/>
      <c r="R66" s="10" t="n"/>
      <c r="S66" s="10" t="n"/>
      <c r="T66" s="10" t="n"/>
      <c r="U66" s="10" t="n"/>
      <c r="V66" s="11" t="n"/>
    </row>
    <row r="67">
      <c r="A67" t="n">
        <v>1</v>
      </c>
      <c r="C67" t="inlineStr">
        <is>
          <t>계속사업이익</t>
        </is>
      </c>
      <c r="E67" s="18" t="n">
        <v>1988.05</v>
      </c>
      <c r="F67" s="18" t="n">
        <v>-2131.63</v>
      </c>
      <c r="G67" s="9" t="n"/>
      <c r="H67" s="18" t="n">
        <v>1836.18</v>
      </c>
      <c r="I67" s="19" t="n">
        <v>1772.51</v>
      </c>
      <c r="J67" s="10" t="n"/>
      <c r="K67" s="10" t="n"/>
      <c r="L67" s="11" t="n"/>
      <c r="M67" s="10" t="n"/>
      <c r="N67" s="10" t="n"/>
      <c r="O67" s="10" t="n"/>
      <c r="P67" s="10" t="n"/>
      <c r="Q67" s="11" t="n"/>
      <c r="R67" s="10" t="n"/>
      <c r="S67" s="10" t="n"/>
      <c r="T67" s="10" t="n"/>
      <c r="U67" s="10" t="n"/>
      <c r="V67" s="11" t="n"/>
    </row>
    <row r="68">
      <c r="A68" t="n">
        <v>1</v>
      </c>
      <c r="C68" t="inlineStr">
        <is>
          <t>중단사업이익</t>
        </is>
      </c>
      <c r="E68" s="18" t="n">
        <v>-832.02</v>
      </c>
      <c r="F68" s="18" t="n">
        <v>-933.97</v>
      </c>
      <c r="G68" s="9" t="n"/>
      <c r="H68" s="18" t="n">
        <v>0</v>
      </c>
      <c r="I68" s="5" t="n"/>
      <c r="J68" s="10" t="n"/>
      <c r="K68" s="10" t="n"/>
      <c r="L68" s="11" t="n"/>
      <c r="M68" s="10" t="n"/>
      <c r="N68" s="10" t="n"/>
      <c r="O68" s="10" t="n"/>
      <c r="P68" s="10" t="n"/>
      <c r="Q68" s="11" t="n"/>
      <c r="R68" s="10" t="n"/>
      <c r="S68" s="10" t="n"/>
      <c r="T68" s="10" t="n"/>
      <c r="U68" s="10" t="n"/>
      <c r="V68" s="11" t="n"/>
    </row>
    <row r="69">
      <c r="A69" t="n">
        <v>1</v>
      </c>
      <c r="C69" t="inlineStr">
        <is>
          <t>당기순이익</t>
        </is>
      </c>
      <c r="E69" s="18" t="n">
        <v>1156.03</v>
      </c>
      <c r="F69" s="18" t="n">
        <v>-3065.6</v>
      </c>
      <c r="G69" s="9" t="n"/>
      <c r="H69" s="18" t="n">
        <v>1836.18</v>
      </c>
      <c r="I69" s="19" t="n">
        <v>1772.51</v>
      </c>
      <c r="J69" s="10" t="n"/>
      <c r="K69" s="10" t="n"/>
      <c r="L69" s="11" t="n"/>
      <c r="M69" s="10" t="n"/>
      <c r="N69" s="10" t="n"/>
      <c r="O69" s="10" t="n"/>
      <c r="P69" s="10" t="n"/>
      <c r="Q69" s="11" t="n"/>
      <c r="R69" s="10" t="n"/>
      <c r="S69" s="10" t="n"/>
      <c r="T69" s="10" t="n"/>
      <c r="U69" s="10" t="n"/>
      <c r="V69" s="11" t="n"/>
    </row>
    <row r="70">
      <c r="A70" t="n">
        <v>1</v>
      </c>
      <c r="C70" t="inlineStr">
        <is>
          <t>(지배주주지분)당기순이익</t>
        </is>
      </c>
      <c r="E70" s="18" t="n">
        <v>1174.31</v>
      </c>
      <c r="F70" s="18" t="n">
        <v>-3016.29</v>
      </c>
      <c r="G70" s="9" t="n"/>
      <c r="H70" s="18" t="n">
        <v>1878.36</v>
      </c>
      <c r="I70" s="19" t="n">
        <v>1804.68</v>
      </c>
      <c r="J70" s="10" t="n"/>
      <c r="K70" s="10" t="n"/>
      <c r="L70" s="11" t="n"/>
      <c r="M70" s="10" t="n"/>
      <c r="N70" s="10" t="n"/>
      <c r="O70" s="10" t="n"/>
      <c r="P70" s="10" t="n"/>
      <c r="Q70" s="11" t="n"/>
      <c r="R70" s="10" t="n"/>
      <c r="S70" s="10" t="n"/>
      <c r="T70" s="10" t="n"/>
      <c r="U70" s="10" t="n"/>
      <c r="V70" s="11" t="n"/>
    </row>
    <row r="71">
      <c r="A71" t="n">
        <v>1</v>
      </c>
      <c r="C71" t="inlineStr">
        <is>
          <t>(비지배주주지분)당기순이익</t>
        </is>
      </c>
      <c r="E71" s="18" t="n">
        <v>-18.28</v>
      </c>
      <c r="F71" s="18" t="n">
        <v>-49.32</v>
      </c>
      <c r="G71" s="9" t="n"/>
      <c r="H71" s="18" t="n">
        <v>-42.17</v>
      </c>
      <c r="I71" s="19" t="n">
        <v>-32.18</v>
      </c>
      <c r="J71" s="10" t="n"/>
      <c r="K71" s="10" t="n"/>
      <c r="L71" s="11" t="n"/>
      <c r="M71" s="10" t="n"/>
      <c r="N71" s="10" t="n"/>
      <c r="O71" s="10" t="n"/>
      <c r="P71" s="10" t="n"/>
      <c r="Q71" s="11" t="n"/>
      <c r="R71" s="10" t="n"/>
      <c r="S71" s="10" t="n"/>
      <c r="T71" s="10" t="n"/>
      <c r="U71" s="10" t="n"/>
      <c r="V71" s="11" t="n"/>
    </row>
    <row r="72">
      <c r="A72" t="n">
        <v>1</v>
      </c>
      <c r="C72" t="inlineStr">
        <is>
          <t>금융손익</t>
        </is>
      </c>
      <c r="E72" s="18" t="n">
        <v>140.58</v>
      </c>
      <c r="F72" s="18" t="n">
        <v>-200.06</v>
      </c>
      <c r="G72" s="9" t="n"/>
      <c r="H72" s="18" t="n">
        <v>1047.95</v>
      </c>
      <c r="I72" s="19" t="n">
        <v>901.4</v>
      </c>
      <c r="J72" s="10" t="n"/>
      <c r="K72" s="10" t="n"/>
      <c r="L72" s="11" t="n"/>
      <c r="M72" s="10" t="n"/>
      <c r="N72" s="10" t="n"/>
      <c r="O72" s="10" t="n"/>
      <c r="P72" s="10" t="n"/>
      <c r="Q72" s="11" t="n"/>
      <c r="R72" s="10" t="n"/>
      <c r="S72" s="10" t="n"/>
      <c r="T72" s="10" t="n"/>
      <c r="U72" s="10" t="n"/>
      <c r="V72" s="11" t="n"/>
    </row>
    <row r="73">
      <c r="A73" t="n">
        <v>1</v>
      </c>
      <c r="C73" t="inlineStr">
        <is>
          <t>기타영업외손익</t>
        </is>
      </c>
      <c r="E73" s="18" t="n">
        <v>831.5599999999999</v>
      </c>
      <c r="F73" s="18" t="n">
        <v>297.96</v>
      </c>
      <c r="G73" s="9" t="n"/>
      <c r="H73" s="18" t="n">
        <v>787.4400000000001</v>
      </c>
      <c r="I73" s="19" t="n">
        <v>650.8200000000001</v>
      </c>
      <c r="J73" s="10" t="n"/>
      <c r="K73" s="10" t="n"/>
      <c r="L73" s="11" t="n"/>
      <c r="M73" s="10" t="n"/>
      <c r="N73" s="10" t="n"/>
      <c r="O73" s="10" t="n"/>
      <c r="P73" s="10" t="n"/>
      <c r="Q73" s="11" t="n"/>
      <c r="R73" s="10" t="n"/>
      <c r="S73" s="10" t="n"/>
      <c r="T73" s="10" t="n"/>
      <c r="U73" s="10" t="n"/>
      <c r="V73" s="11" t="n"/>
    </row>
    <row r="74">
      <c r="A74" t="n">
        <v>1</v>
      </c>
      <c r="C74" t="inlineStr">
        <is>
          <t>총포괄손익</t>
        </is>
      </c>
      <c r="E74" s="18" t="n">
        <v>1334.32</v>
      </c>
      <c r="F74" s="18" t="n">
        <v>-3428.92</v>
      </c>
      <c r="G74" s="9" t="n"/>
      <c r="H74" s="18" t="n">
        <v>1997.71</v>
      </c>
      <c r="I74" s="19" t="n">
        <v>1873.25</v>
      </c>
      <c r="J74" s="10" t="n"/>
      <c r="K74" s="10" t="n"/>
      <c r="L74" s="11" t="n"/>
      <c r="M74" s="10" t="n"/>
      <c r="N74" s="10" t="n"/>
      <c r="O74" s="10" t="n"/>
      <c r="P74" s="10" t="n"/>
      <c r="Q74" s="11" t="n"/>
      <c r="R74" s="10" t="n"/>
      <c r="S74" s="10" t="n"/>
      <c r="T74" s="10" t="n"/>
      <c r="U74" s="10" t="n"/>
      <c r="V74" s="11" t="n"/>
    </row>
    <row r="75">
      <c r="A75" t="n">
        <v>1</v>
      </c>
      <c r="C75" t="inlineStr">
        <is>
          <t>이자수익</t>
        </is>
      </c>
      <c r="E75" s="18" t="n">
        <v>214.27</v>
      </c>
      <c r="F75" s="18" t="n">
        <v>180.68</v>
      </c>
      <c r="G75" s="9" t="n"/>
      <c r="I75" s="19" t="n">
        <v>233.78</v>
      </c>
      <c r="J75" s="10" t="n"/>
      <c r="K75" s="10" t="n"/>
      <c r="L75" s="11" t="n"/>
      <c r="M75" s="10" t="n"/>
      <c r="N75" s="10" t="n"/>
      <c r="O75" s="10" t="n"/>
      <c r="P75" s="10" t="n"/>
      <c r="Q75" s="11" t="n"/>
      <c r="R75" s="10" t="n"/>
      <c r="S75" s="10" t="n"/>
      <c r="T75" s="10" t="n"/>
      <c r="U75" s="10" t="n"/>
      <c r="V75" s="11" t="n"/>
    </row>
    <row r="76">
      <c r="A76" t="n">
        <v>1</v>
      </c>
      <c r="C76" t="inlineStr">
        <is>
          <t>이자비용</t>
        </is>
      </c>
      <c r="E76" s="18" t="n">
        <v>810.3</v>
      </c>
      <c r="F76" s="18" t="n">
        <v>633.09</v>
      </c>
      <c r="G76" s="9" t="n"/>
      <c r="I76" s="19" t="n">
        <v>598.17</v>
      </c>
      <c r="J76" s="10" t="n"/>
      <c r="K76" s="10" t="n"/>
      <c r="L76" s="11" t="n"/>
      <c r="M76" s="10" t="n"/>
      <c r="N76" s="10" t="n"/>
      <c r="O76" s="10" t="n"/>
      <c r="P76" s="10" t="n"/>
      <c r="Q76" s="11" t="n"/>
      <c r="R76" s="10" t="n"/>
      <c r="S76" s="10" t="n"/>
      <c r="T76" s="10" t="n"/>
      <c r="U76" s="10" t="n"/>
      <c r="V76" s="11" t="n"/>
    </row>
    <row r="77">
      <c r="A77" t="n">
        <v>1</v>
      </c>
      <c r="C77" t="inlineStr">
        <is>
          <t>외환차익</t>
        </is>
      </c>
      <c r="E77" s="18" t="n">
        <v>102.91</v>
      </c>
      <c r="F77" s="18" t="n">
        <v>187.57</v>
      </c>
      <c r="G77" s="9" t="n"/>
      <c r="I77" s="19" t="n">
        <v>149.14</v>
      </c>
      <c r="J77" s="10" t="n"/>
      <c r="K77" s="10" t="n"/>
      <c r="L77" s="11" t="n"/>
      <c r="M77" s="10" t="n"/>
      <c r="N77" s="10" t="n"/>
      <c r="O77" s="10" t="n"/>
      <c r="P77" s="10" t="n"/>
      <c r="Q77" s="11" t="n"/>
      <c r="R77" s="10" t="n"/>
      <c r="S77" s="10" t="n"/>
      <c r="T77" s="10" t="n"/>
      <c r="U77" s="10" t="n"/>
      <c r="V77" s="11" t="n"/>
    </row>
    <row r="78">
      <c r="A78" t="n">
        <v>1</v>
      </c>
      <c r="C78" t="inlineStr">
        <is>
          <t>외환차손</t>
        </is>
      </c>
      <c r="E78" s="18" t="n">
        <v>65.90000000000001</v>
      </c>
      <c r="F78" s="18" t="n">
        <v>61.61</v>
      </c>
      <c r="G78" s="9" t="n"/>
      <c r="I78" s="19" t="n">
        <v>169.59</v>
      </c>
      <c r="J78" s="10" t="n"/>
      <c r="K78" s="10" t="n"/>
      <c r="L78" s="11" t="n"/>
      <c r="M78" s="10" t="n"/>
      <c r="N78" s="10" t="n"/>
      <c r="O78" s="10" t="n"/>
      <c r="P78" s="10" t="n"/>
      <c r="Q78" s="11" t="n"/>
      <c r="R78" s="10" t="n"/>
      <c r="S78" s="10" t="n"/>
      <c r="T78" s="10" t="n"/>
      <c r="U78" s="10" t="n"/>
      <c r="V78" s="11" t="n"/>
    </row>
    <row r="79">
      <c r="A79" t="n">
        <v>1</v>
      </c>
      <c r="C79" t="inlineStr">
        <is>
          <t>외화환산이익</t>
        </is>
      </c>
      <c r="E79" s="18" t="n">
        <v>-11.45</v>
      </c>
      <c r="F79" s="18" t="n">
        <v>29.55</v>
      </c>
      <c r="G79" s="9" t="n"/>
      <c r="I79" s="19" t="n">
        <v>41.56</v>
      </c>
      <c r="J79" s="10" t="n"/>
      <c r="K79" s="10" t="n"/>
      <c r="L79" s="11" t="n"/>
      <c r="M79" s="10" t="n"/>
      <c r="N79" s="10" t="n"/>
      <c r="O79" s="10" t="n"/>
      <c r="P79" s="10" t="n"/>
      <c r="Q79" s="11" t="n"/>
      <c r="R79" s="10" t="n"/>
      <c r="S79" s="10" t="n"/>
      <c r="T79" s="10" t="n"/>
      <c r="U79" s="10" t="n"/>
      <c r="V79" s="11" t="n"/>
    </row>
    <row r="80">
      <c r="A80" t="n">
        <v>1</v>
      </c>
      <c r="C80" t="inlineStr">
        <is>
          <t>외화환산손실</t>
        </is>
      </c>
      <c r="E80" s="18" t="n">
        <v>25.68</v>
      </c>
      <c r="F80" s="18" t="n">
        <v>6.03</v>
      </c>
      <c r="G80" s="9" t="n"/>
      <c r="I80" s="19" t="n">
        <v>-78.17</v>
      </c>
      <c r="J80" s="10" t="n"/>
      <c r="K80" s="10" t="n"/>
      <c r="L80" s="11" t="n"/>
      <c r="M80" s="10" t="n"/>
      <c r="N80" s="10" t="n"/>
      <c r="O80" s="10" t="n"/>
      <c r="P80" s="10" t="n"/>
      <c r="Q80" s="11" t="n"/>
      <c r="R80" s="10" t="n"/>
      <c r="S80" s="10" t="n"/>
      <c r="T80" s="10" t="n"/>
      <c r="U80" s="10" t="n"/>
      <c r="V80" s="11" t="n"/>
    </row>
    <row r="81">
      <c r="A81" t="n">
        <v>1</v>
      </c>
      <c r="C81" t="inlineStr">
        <is>
          <t>파생상품이익</t>
        </is>
      </c>
      <c r="E81" s="18" t="n">
        <v>848.4400000000001</v>
      </c>
      <c r="F81" s="18" t="n">
        <v>1432.86</v>
      </c>
      <c r="G81" s="9" t="n"/>
      <c r="I81" s="19" t="n">
        <v>2834.04</v>
      </c>
      <c r="J81" s="10" t="n"/>
      <c r="K81" s="10" t="n"/>
      <c r="L81" s="11" t="n"/>
      <c r="M81" s="10" t="n"/>
      <c r="N81" s="10" t="n"/>
      <c r="O81" s="10" t="n"/>
      <c r="P81" s="10" t="n"/>
      <c r="Q81" s="11" t="n"/>
      <c r="R81" s="10" t="n"/>
      <c r="S81" s="10" t="n"/>
      <c r="T81" s="10" t="n"/>
      <c r="U81" s="10" t="n"/>
      <c r="V81" s="11" t="n"/>
    </row>
    <row r="82">
      <c r="A82" t="n">
        <v>1</v>
      </c>
      <c r="C82" t="inlineStr">
        <is>
          <t>파생상품손실</t>
        </is>
      </c>
      <c r="E82" s="18" t="n">
        <v>-95.22</v>
      </c>
      <c r="F82" s="18" t="n">
        <v>1258.13</v>
      </c>
      <c r="G82" s="9" t="n"/>
      <c r="I82" s="19" t="n">
        <v>1603.13</v>
      </c>
      <c r="J82" s="10" t="n"/>
      <c r="K82" s="10" t="n"/>
      <c r="L82" s="11" t="n"/>
      <c r="M82" s="10" t="n"/>
      <c r="N82" s="10" t="n"/>
      <c r="O82" s="10" t="n"/>
      <c r="P82" s="10" t="n"/>
      <c r="Q82" s="11" t="n"/>
      <c r="R82" s="10" t="n"/>
      <c r="S82" s="10" t="n"/>
      <c r="T82" s="10" t="n"/>
      <c r="U82" s="10" t="n"/>
      <c r="V82" s="11" t="n"/>
    </row>
    <row r="83">
      <c r="A83" t="n">
        <v>1</v>
      </c>
      <c r="C83" t="inlineStr">
        <is>
          <t>이자손익</t>
        </is>
      </c>
      <c r="E83" s="18" t="n">
        <v>-596.03</v>
      </c>
      <c r="F83" s="18" t="n">
        <v>-452.41</v>
      </c>
      <c r="G83" s="9" t="n"/>
      <c r="I83" s="19" t="n">
        <v>-364.39</v>
      </c>
      <c r="J83" s="10" t="n"/>
      <c r="K83" s="10" t="n"/>
      <c r="L83" s="11" t="n"/>
      <c r="M83" s="10" t="n"/>
      <c r="N83" s="10" t="n"/>
      <c r="O83" s="10" t="n"/>
      <c r="P83" s="10" t="n"/>
      <c r="Q83" s="11" t="n"/>
      <c r="R83" s="10" t="n"/>
      <c r="S83" s="10" t="n"/>
      <c r="T83" s="10" t="n"/>
      <c r="U83" s="10" t="n"/>
      <c r="V83" s="11" t="n"/>
    </row>
    <row r="84">
      <c r="A84" t="n">
        <v>1</v>
      </c>
      <c r="C84" t="inlineStr">
        <is>
          <t>영업활동으로인한현금흐름</t>
        </is>
      </c>
      <c r="E84" s="18" t="n">
        <v>3179.86</v>
      </c>
      <c r="F84" s="18" t="n">
        <v>1701.41</v>
      </c>
      <c r="G84" s="9" t="n"/>
      <c r="H84" s="18" t="n">
        <v>-11848.54</v>
      </c>
      <c r="I84" s="19" t="n">
        <v>-1220.13</v>
      </c>
      <c r="J84" s="10" t="n"/>
      <c r="K84" s="10" t="n"/>
      <c r="L84" s="11" t="n"/>
      <c r="M84" s="10" t="n"/>
      <c r="N84" s="10" t="n"/>
      <c r="O84" s="10" t="n"/>
      <c r="P84" s="10" t="n"/>
      <c r="Q84" s="11" t="n"/>
      <c r="R84" s="10" t="n"/>
      <c r="S84" s="10" t="n"/>
      <c r="T84" s="10" t="n"/>
      <c r="U84" s="10" t="n"/>
      <c r="V84" s="11" t="n"/>
    </row>
    <row r="85">
      <c r="A85" t="n">
        <v>1</v>
      </c>
      <c r="C85" t="inlineStr">
        <is>
          <t>이자수취(CF)</t>
        </is>
      </c>
      <c r="E85" s="18" t="n">
        <v>464.21</v>
      </c>
      <c r="F85" s="18" t="n">
        <v>229.89</v>
      </c>
      <c r="G85" s="9" t="n"/>
      <c r="H85" s="18" t="n">
        <v>79.79000000000001</v>
      </c>
      <c r="I85" s="19" t="n">
        <v>283.24</v>
      </c>
      <c r="J85" s="10" t="n"/>
      <c r="K85" s="10" t="n"/>
      <c r="L85" s="11" t="n"/>
      <c r="M85" s="10" t="n"/>
      <c r="N85" s="10" t="n"/>
      <c r="O85" s="10" t="n"/>
      <c r="P85" s="10" t="n"/>
      <c r="Q85" s="11" t="n"/>
      <c r="R85" s="10" t="n"/>
      <c r="S85" s="10" t="n"/>
      <c r="T85" s="10" t="n"/>
      <c r="U85" s="10" t="n"/>
      <c r="V85" s="11" t="n"/>
    </row>
    <row r="86">
      <c r="A86" t="n">
        <v>1</v>
      </c>
      <c r="C86" t="inlineStr">
        <is>
          <t>법인세납부(CF)</t>
        </is>
      </c>
      <c r="E86" s="18" t="n">
        <v>-463.69</v>
      </c>
      <c r="F86" s="18" t="n">
        <v>-28.77</v>
      </c>
      <c r="G86" s="9" t="n"/>
      <c r="H86" s="18" t="n">
        <v>-18.37</v>
      </c>
      <c r="I86" s="19" t="n">
        <v>-259.35</v>
      </c>
      <c r="J86" s="10" t="n"/>
      <c r="K86" s="10" t="n"/>
      <c r="L86" s="11" t="n"/>
      <c r="M86" s="10" t="n"/>
      <c r="N86" s="10" t="n"/>
      <c r="O86" s="10" t="n"/>
      <c r="P86" s="10" t="n"/>
      <c r="Q86" s="11" t="n"/>
      <c r="R86" s="10" t="n"/>
      <c r="S86" s="10" t="n"/>
      <c r="T86" s="10" t="n"/>
      <c r="U86" s="10" t="n"/>
      <c r="V86" s="11" t="n"/>
    </row>
    <row r="87">
      <c r="A87" t="n">
        <v>1</v>
      </c>
      <c r="C87" t="inlineStr">
        <is>
          <t>투자활동으로인한현금흐름</t>
        </is>
      </c>
      <c r="E87" s="18" t="n">
        <v>16813.94</v>
      </c>
      <c r="F87" s="18" t="n">
        <v>-28713.83</v>
      </c>
      <c r="G87" s="9" t="n"/>
      <c r="H87" s="18" t="n">
        <v>8511.07</v>
      </c>
      <c r="I87" s="19" t="n">
        <v>9091.24</v>
      </c>
      <c r="J87" s="10" t="n"/>
      <c r="K87" s="10" t="n"/>
      <c r="L87" s="11" t="n"/>
      <c r="M87" s="10" t="n"/>
      <c r="N87" s="10" t="n"/>
      <c r="O87" s="10" t="n"/>
      <c r="P87" s="10" t="n"/>
      <c r="Q87" s="11" t="n"/>
      <c r="R87" s="10" t="n"/>
      <c r="S87" s="10" t="n"/>
      <c r="T87" s="10" t="n"/>
      <c r="U87" s="10" t="n"/>
      <c r="V87" s="11" t="n"/>
    </row>
    <row r="88">
      <c r="A88" t="n">
        <v>1</v>
      </c>
      <c r="C88" t="inlineStr">
        <is>
          <t>무형자산의감소</t>
        </is>
      </c>
      <c r="E88" s="18" t="n">
        <v>100</v>
      </c>
      <c r="F88" s="18" t="n">
        <v>0</v>
      </c>
      <c r="G88" s="9" t="n"/>
      <c r="I88" s="5" t="n"/>
      <c r="J88" s="10" t="n"/>
      <c r="K88" s="10" t="n"/>
      <c r="L88" s="11" t="n"/>
      <c r="M88" s="10" t="n"/>
      <c r="N88" s="10" t="n"/>
      <c r="O88" s="10" t="n"/>
      <c r="P88" s="10" t="n"/>
      <c r="Q88" s="11" t="n"/>
      <c r="R88" s="10" t="n"/>
      <c r="S88" s="10" t="n"/>
      <c r="T88" s="10" t="n"/>
      <c r="U88" s="10" t="n"/>
      <c r="V88" s="11" t="n"/>
    </row>
    <row r="89">
      <c r="A89" t="n">
        <v>1</v>
      </c>
      <c r="C89" t="inlineStr">
        <is>
          <t>유형자산의증가</t>
        </is>
      </c>
      <c r="E89" s="18" t="n">
        <v>736.35</v>
      </c>
      <c r="F89" s="18" t="n">
        <v>208.8</v>
      </c>
      <c r="G89" s="9" t="n"/>
      <c r="H89" s="18" t="n">
        <v>567.22</v>
      </c>
      <c r="I89" s="19" t="n">
        <v>817.3200000000001</v>
      </c>
      <c r="J89" s="10" t="n"/>
      <c r="K89" s="10" t="n"/>
      <c r="L89" s="11" t="n"/>
      <c r="M89" s="10" t="n"/>
      <c r="N89" s="10" t="n"/>
      <c r="O89" s="10" t="n"/>
      <c r="P89" s="10" t="n"/>
      <c r="Q89" s="11" t="n"/>
      <c r="R89" s="10" t="n"/>
      <c r="S89" s="10" t="n"/>
      <c r="T89" s="10" t="n"/>
      <c r="U89" s="10" t="n"/>
      <c r="V89" s="11" t="n"/>
    </row>
    <row r="90">
      <c r="A90" t="n">
        <v>1</v>
      </c>
      <c r="C90" t="inlineStr">
        <is>
          <t>CAPEX</t>
        </is>
      </c>
      <c r="E90" s="18" t="n">
        <v>2021.74</v>
      </c>
      <c r="F90" s="18" t="n">
        <v>196.04</v>
      </c>
      <c r="G90" s="9" t="n"/>
      <c r="H90" s="18" t="n">
        <v>610.92</v>
      </c>
      <c r="I90" s="19" t="n">
        <v>844.08</v>
      </c>
      <c r="J90" s="10" t="n"/>
      <c r="K90" s="10" t="n"/>
      <c r="L90" s="11" t="n"/>
      <c r="M90" s="10" t="n"/>
      <c r="N90" s="10" t="n"/>
      <c r="O90" s="10" t="n"/>
      <c r="P90" s="10" t="n"/>
      <c r="Q90" s="11" t="n"/>
      <c r="R90" s="10" t="n"/>
      <c r="S90" s="10" t="n"/>
      <c r="T90" s="10" t="n"/>
      <c r="U90" s="10" t="n"/>
      <c r="V90" s="11" t="n"/>
    </row>
    <row r="91">
      <c r="A91" t="n">
        <v>1</v>
      </c>
      <c r="C91" t="inlineStr">
        <is>
          <t>무형자산의증가</t>
        </is>
      </c>
      <c r="E91" s="18" t="n">
        <v>1285.39</v>
      </c>
      <c r="G91" s="9" t="n"/>
      <c r="H91" s="18" t="n">
        <v>43.7</v>
      </c>
      <c r="I91" s="19" t="n">
        <v>26.76</v>
      </c>
      <c r="J91" s="10" t="n"/>
      <c r="K91" s="10" t="n"/>
      <c r="L91" s="11" t="n"/>
      <c r="M91" s="10" t="n"/>
      <c r="N91" s="10" t="n"/>
      <c r="O91" s="10" t="n"/>
      <c r="P91" s="10" t="n"/>
      <c r="Q91" s="11" t="n"/>
      <c r="R91" s="10" t="n"/>
      <c r="S91" s="10" t="n"/>
      <c r="T91" s="10" t="n"/>
      <c r="U91" s="10" t="n"/>
      <c r="V91" s="11" t="n"/>
    </row>
    <row r="92">
      <c r="A92" t="n">
        <v>1</v>
      </c>
      <c r="C92" t="inlineStr">
        <is>
          <t>재무활동으로인한현금흐름</t>
        </is>
      </c>
      <c r="E92" s="18" t="n">
        <v>-16850.22</v>
      </c>
      <c r="F92" s="18" t="n">
        <v>32068.43</v>
      </c>
      <c r="G92" s="9" t="n"/>
      <c r="H92" s="18" t="n">
        <v>-5311.51</v>
      </c>
      <c r="I92" s="19" t="n">
        <v>-6176.05</v>
      </c>
      <c r="J92" s="10" t="n"/>
      <c r="K92" s="10" t="n"/>
      <c r="L92" s="11" t="n"/>
      <c r="M92" s="10" t="n"/>
      <c r="N92" s="10" t="n"/>
      <c r="O92" s="10" t="n"/>
      <c r="P92" s="10" t="n"/>
      <c r="Q92" s="11" t="n"/>
      <c r="R92" s="10" t="n"/>
      <c r="S92" s="10" t="n"/>
      <c r="T92" s="10" t="n"/>
      <c r="U92" s="10" t="n"/>
      <c r="V92" s="11" t="n"/>
    </row>
    <row r="93">
      <c r="A93" t="n">
        <v>1</v>
      </c>
      <c r="C93" t="inlineStr">
        <is>
          <t>단기차입금의증가</t>
        </is>
      </c>
      <c r="E93" s="18" t="n">
        <v>2357.49</v>
      </c>
      <c r="F93" s="18" t="n">
        <v>4679.08</v>
      </c>
      <c r="G93" s="9" t="n"/>
      <c r="H93" s="18" t="n">
        <v>22964.87</v>
      </c>
      <c r="I93" s="19" t="n">
        <v>72936.17</v>
      </c>
      <c r="J93" s="10" t="n"/>
      <c r="K93" s="10" t="n"/>
      <c r="L93" s="11" t="n"/>
      <c r="M93" s="10" t="n"/>
      <c r="N93" s="10" t="n"/>
      <c r="O93" s="10" t="n"/>
      <c r="P93" s="10" t="n"/>
      <c r="Q93" s="11" t="n"/>
      <c r="R93" s="10" t="n"/>
      <c r="S93" s="10" t="n"/>
      <c r="T93" s="10" t="n"/>
      <c r="U93" s="10" t="n"/>
      <c r="V93" s="11" t="n"/>
    </row>
    <row r="94">
      <c r="A94" t="n">
        <v>1</v>
      </c>
      <c r="C94" t="inlineStr">
        <is>
          <t>단기차입금의감소</t>
        </is>
      </c>
      <c r="E94" s="18" t="n">
        <v>4025.91</v>
      </c>
      <c r="F94" s="18" t="n">
        <v>10388.44</v>
      </c>
      <c r="G94" s="9" t="n"/>
      <c r="H94" s="18" t="n">
        <v>27287.15</v>
      </c>
      <c r="I94" s="19" t="n">
        <v>76976.16</v>
      </c>
      <c r="J94" s="10" t="n"/>
      <c r="K94" s="10" t="n"/>
      <c r="L94" s="11" t="n"/>
      <c r="M94" s="10" t="n"/>
      <c r="N94" s="10" t="n"/>
      <c r="O94" s="10" t="n"/>
      <c r="P94" s="10" t="n"/>
      <c r="Q94" s="11" t="n"/>
      <c r="R94" s="10" t="n"/>
      <c r="S94" s="10" t="n"/>
      <c r="T94" s="10" t="n"/>
      <c r="U94" s="10" t="n"/>
      <c r="V94" s="11" t="n"/>
    </row>
    <row r="95">
      <c r="A95" t="n">
        <v>1</v>
      </c>
      <c r="C95" t="inlineStr">
        <is>
          <t>유동성장기부채의감소</t>
        </is>
      </c>
      <c r="E95" s="18" t="n">
        <v>195.65</v>
      </c>
      <c r="F95" s="18" t="n">
        <v>586.96</v>
      </c>
      <c r="G95" s="9" t="n"/>
      <c r="H95" s="18" t="n">
        <v>586.96</v>
      </c>
      <c r="I95" s="19" t="n">
        <v>586.95</v>
      </c>
      <c r="J95" s="10" t="n"/>
      <c r="K95" s="10" t="n"/>
      <c r="L95" s="11" t="n"/>
      <c r="M95" s="10" t="n"/>
      <c r="N95" s="10" t="n"/>
      <c r="O95" s="10" t="n"/>
      <c r="P95" s="10" t="n"/>
      <c r="Q95" s="11" t="n"/>
      <c r="R95" s="10" t="n"/>
      <c r="S95" s="10" t="n"/>
      <c r="T95" s="10" t="n"/>
      <c r="U95" s="10" t="n"/>
      <c r="V95" s="11" t="n"/>
    </row>
    <row r="96">
      <c r="A96" t="n">
        <v>1</v>
      </c>
      <c r="C96" t="inlineStr">
        <is>
          <t>사채의감소</t>
        </is>
      </c>
      <c r="E96" s="18" t="n">
        <v>10500</v>
      </c>
      <c r="F96" s="18" t="n">
        <v>0</v>
      </c>
      <c r="G96" s="9" t="n"/>
      <c r="I96" s="5" t="n"/>
      <c r="J96" s="10" t="n"/>
      <c r="K96" s="10" t="n"/>
      <c r="L96" s="11" t="n"/>
      <c r="M96" s="10" t="n"/>
      <c r="N96" s="10" t="n"/>
      <c r="O96" s="10" t="n"/>
      <c r="P96" s="10" t="n"/>
      <c r="Q96" s="11" t="n"/>
      <c r="R96" s="10" t="n"/>
      <c r="S96" s="10" t="n"/>
      <c r="T96" s="10" t="n"/>
      <c r="U96" s="10" t="n"/>
      <c r="V96" s="11" t="n"/>
    </row>
    <row r="97">
      <c r="A97" t="n">
        <v>1</v>
      </c>
      <c r="C97" t="inlineStr">
        <is>
          <t>현금및현금성자산의증감</t>
        </is>
      </c>
      <c r="E97" s="18" t="n">
        <v>3143.58</v>
      </c>
      <c r="F97" s="18" t="n">
        <v>5056.02</v>
      </c>
      <c r="G97" s="9" t="n"/>
      <c r="H97" s="18" t="n">
        <v>-8648.99</v>
      </c>
      <c r="I97" s="19" t="n">
        <v>1695.07</v>
      </c>
      <c r="J97" s="10" t="n"/>
      <c r="K97" s="10" t="n"/>
      <c r="L97" s="11" t="n"/>
      <c r="M97" s="10" t="n"/>
      <c r="N97" s="10" t="n"/>
      <c r="O97" s="10" t="n"/>
      <c r="P97" s="10" t="n"/>
      <c r="Q97" s="11" t="n"/>
      <c r="R97" s="10" t="n"/>
      <c r="S97" s="10" t="n"/>
      <c r="T97" s="10" t="n"/>
      <c r="U97" s="10" t="n"/>
      <c r="V97" s="11" t="n"/>
    </row>
    <row r="98">
      <c r="A98" t="n">
        <v>1</v>
      </c>
      <c r="C98" t="inlineStr">
        <is>
          <t>기말현금및현금성자산</t>
        </is>
      </c>
      <c r="E98" s="18" t="n">
        <v>3218.76</v>
      </c>
      <c r="F98" s="18" t="n">
        <v>4965.64</v>
      </c>
      <c r="G98" s="9" t="n"/>
      <c r="H98" s="18" t="n">
        <v>1934.29</v>
      </c>
      <c r="I98" s="19" t="n">
        <v>1670.48</v>
      </c>
      <c r="J98" s="10" t="n"/>
      <c r="K98" s="10" t="n"/>
      <c r="L98" s="11" t="n"/>
      <c r="M98" s="10" t="n"/>
      <c r="N98" s="10" t="n"/>
      <c r="O98" s="10" t="n"/>
      <c r="P98" s="10" t="n"/>
      <c r="Q98" s="11" t="n"/>
      <c r="R98" s="10" t="n"/>
      <c r="S98" s="10" t="n"/>
      <c r="T98" s="10" t="n"/>
      <c r="U98" s="10" t="n"/>
      <c r="V98" s="11" t="n"/>
    </row>
    <row r="99">
      <c r="A99" t="n">
        <v>1</v>
      </c>
      <c r="C99" t="inlineStr">
        <is>
          <t>유형자산의감소</t>
        </is>
      </c>
      <c r="F99" s="18" t="n">
        <v>109.7</v>
      </c>
      <c r="G99" s="9" t="n"/>
      <c r="H99" s="18" t="n">
        <v>0</v>
      </c>
      <c r="I99" s="19" t="n">
        <v>2.68</v>
      </c>
      <c r="J99" s="10" t="n"/>
      <c r="K99" s="10" t="n"/>
      <c r="L99" s="11" t="n"/>
      <c r="M99" s="10" t="n"/>
      <c r="N99" s="10" t="n"/>
      <c r="O99" s="10" t="n"/>
      <c r="P99" s="10" t="n"/>
      <c r="Q99" s="11" t="n"/>
      <c r="R99" s="10" t="n"/>
      <c r="S99" s="10" t="n"/>
      <c r="T99" s="10" t="n"/>
      <c r="U99" s="10" t="n"/>
      <c r="V99" s="11" t="n"/>
    </row>
    <row r="100">
      <c r="A100" t="n">
        <v>1</v>
      </c>
      <c r="C100" t="inlineStr">
        <is>
          <t>장기차입금의증가</t>
        </is>
      </c>
      <c r="F100" s="18" t="n">
        <v>0</v>
      </c>
      <c r="G100" s="9" t="n"/>
      <c r="I100" s="5" t="n"/>
      <c r="J100" s="10" t="n"/>
      <c r="K100" s="10" t="n"/>
      <c r="L100" s="11" t="n"/>
      <c r="M100" s="10" t="n"/>
      <c r="N100" s="10" t="n"/>
      <c r="O100" s="10" t="n"/>
      <c r="P100" s="10" t="n"/>
      <c r="Q100" s="11" t="n"/>
      <c r="R100" s="10" t="n"/>
      <c r="S100" s="10" t="n"/>
      <c r="T100" s="10" t="n"/>
      <c r="U100" s="10" t="n"/>
      <c r="V100" s="11" t="n"/>
    </row>
    <row r="101">
      <c r="A101" t="n">
        <v>1</v>
      </c>
      <c r="C101" t="inlineStr">
        <is>
          <t>사채의증가</t>
        </is>
      </c>
      <c r="F101" s="18" t="n">
        <v>0</v>
      </c>
      <c r="G101" s="9" t="n"/>
      <c r="I101" s="5" t="n"/>
      <c r="J101" s="10" t="n"/>
      <c r="K101" s="10" t="n"/>
      <c r="L101" s="11" t="n"/>
      <c r="M101" s="10" t="n"/>
      <c r="N101" s="10" t="n"/>
      <c r="O101" s="10" t="n"/>
      <c r="P101" s="10" t="n"/>
      <c r="Q101" s="11" t="n"/>
      <c r="R101" s="10" t="n"/>
      <c r="S101" s="10" t="n"/>
      <c r="T101" s="10" t="n"/>
      <c r="U101" s="10" t="n"/>
      <c r="V10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3Q25</t>
        </is>
      </c>
      <c r="F1" s="3" t="inlineStr">
        <is>
          <t>4Q25</t>
        </is>
      </c>
      <c r="G1" s="3" t="n">
        <v>2025</v>
      </c>
      <c r="H1" s="3" t="inlineStr">
        <is>
          <t>1Q26</t>
        </is>
      </c>
      <c r="I1" s="4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n">
        <v>2026</v>
      </c>
      <c r="M1" s="3" t="inlineStr">
        <is>
          <t>1Q27</t>
        </is>
      </c>
      <c r="N1" s="3" t="inlineStr">
        <is>
          <t>2Q27</t>
        </is>
      </c>
      <c r="O1" s="3" t="inlineStr">
        <is>
          <t>3Q27</t>
        </is>
      </c>
      <c r="P1" s="3" t="inlineStr">
        <is>
          <t>4Q27</t>
        </is>
      </c>
      <c r="Q1" s="3" t="n">
        <v>2027</v>
      </c>
      <c r="R1" s="3" t="inlineStr">
        <is>
          <t>1Q28</t>
        </is>
      </c>
      <c r="S1" s="3" t="inlineStr">
        <is>
          <t>2Q28</t>
        </is>
      </c>
      <c r="T1" s="3" t="inlineStr">
        <is>
          <t>3Q28</t>
        </is>
      </c>
      <c r="U1" s="3" t="inlineStr">
        <is>
          <t>4Q28</t>
        </is>
      </c>
      <c r="V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I2" s="5" t="n"/>
    </row>
    <row r="3">
      <c r="B3" t="inlineStr">
        <is>
          <t>티엠씨(별)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6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2025.09</t>
        </is>
      </c>
      <c r="F4" s="7" t="inlineStr">
        <is>
          <t>2025.12</t>
        </is>
      </c>
      <c r="G4" s="7" t="inlineStr">
        <is>
          <t>2025.12A</t>
        </is>
      </c>
      <c r="H4" s="7" t="inlineStr">
        <is>
          <t>2026.03</t>
        </is>
      </c>
      <c r="I4" s="8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2026.12A</t>
        </is>
      </c>
      <c r="M4" s="7" t="inlineStr">
        <is>
          <t>2027.03</t>
        </is>
      </c>
      <c r="N4" s="7" t="inlineStr">
        <is>
          <t>2027.06</t>
        </is>
      </c>
      <c r="O4" s="7" t="inlineStr">
        <is>
          <t>2027.09</t>
        </is>
      </c>
      <c r="P4" s="7" t="inlineStr">
        <is>
          <t>2027.12</t>
        </is>
      </c>
      <c r="Q4" s="7" t="inlineStr">
        <is>
          <t>2027.12A</t>
        </is>
      </c>
      <c r="R4" s="7" t="inlineStr">
        <is>
          <t>2028.03</t>
        </is>
      </c>
      <c r="S4" s="7" t="inlineStr">
        <is>
          <t>2028.06</t>
        </is>
      </c>
      <c r="T4" s="7" t="inlineStr">
        <is>
          <t>2028.09</t>
        </is>
      </c>
      <c r="U4" s="7" t="inlineStr">
        <is>
          <t>2028.12</t>
        </is>
      </c>
      <c r="V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96734.52</v>
      </c>
      <c r="F5" s="18" t="n">
        <v>137690.4</v>
      </c>
      <c r="G5" s="37" t="n">
        <v>137690.4</v>
      </c>
      <c r="H5" s="18" t="n">
        <v>133448.83</v>
      </c>
      <c r="I5" s="19" t="n">
        <v>132615.2</v>
      </c>
      <c r="J5" s="10" t="n"/>
      <c r="K5" s="10" t="n"/>
      <c r="L5" s="11" t="n"/>
      <c r="M5" s="10" t="n"/>
      <c r="N5" s="10" t="n"/>
      <c r="O5" s="10" t="n"/>
      <c r="P5" s="10" t="n"/>
      <c r="Q5" s="11" t="n"/>
      <c r="R5" s="10" t="n"/>
      <c r="S5" s="10" t="n"/>
      <c r="T5" s="10" t="n"/>
      <c r="U5" s="10" t="n"/>
      <c r="V5" s="11" t="n"/>
    </row>
    <row r="6">
      <c r="A6" t="n">
        <v>1</v>
      </c>
      <c r="C6" t="inlineStr">
        <is>
          <t>현금및현금성자산</t>
        </is>
      </c>
      <c r="E6" s="18" t="n">
        <v>4627.4</v>
      </c>
      <c r="F6" s="18" t="n">
        <v>8963.799999999999</v>
      </c>
      <c r="G6" s="37" t="n">
        <v>8963.799999999999</v>
      </c>
      <c r="H6" s="18" t="n">
        <v>1667.91</v>
      </c>
      <c r="I6" s="19" t="n">
        <v>1693.41</v>
      </c>
      <c r="J6" s="10" t="n"/>
      <c r="K6" s="10" t="n"/>
      <c r="L6" s="11" t="n"/>
      <c r="M6" s="10" t="n"/>
      <c r="N6" s="10" t="n"/>
      <c r="O6" s="10" t="n"/>
      <c r="P6" s="10" t="n"/>
      <c r="Q6" s="11" t="n"/>
      <c r="R6" s="10" t="n"/>
      <c r="S6" s="10" t="n"/>
      <c r="T6" s="10" t="n"/>
      <c r="U6" s="10" t="n"/>
      <c r="V6" s="11" t="n"/>
    </row>
    <row r="7">
      <c r="A7" t="n">
        <v>1</v>
      </c>
      <c r="C7" t="inlineStr">
        <is>
          <t>매출채권및기타채권</t>
        </is>
      </c>
      <c r="E7" s="18" t="n">
        <v>39388.6</v>
      </c>
      <c r="F7" s="18" t="n">
        <v>39278.03</v>
      </c>
      <c r="G7" s="37" t="n">
        <v>39278.03</v>
      </c>
      <c r="H7" s="18" t="n">
        <v>41945.32</v>
      </c>
      <c r="I7" s="19" t="n">
        <v>45080.19</v>
      </c>
      <c r="J7" s="10" t="n"/>
      <c r="K7" s="10" t="n"/>
      <c r="L7" s="11" t="n"/>
      <c r="M7" s="10" t="n"/>
      <c r="N7" s="10" t="n"/>
      <c r="O7" s="10" t="n"/>
      <c r="P7" s="10" t="n"/>
      <c r="Q7" s="11" t="n"/>
      <c r="R7" s="10" t="n"/>
      <c r="S7" s="10" t="n"/>
      <c r="T7" s="10" t="n"/>
      <c r="U7" s="10" t="n"/>
      <c r="V7" s="11" t="n"/>
    </row>
    <row r="8">
      <c r="A8" t="n">
        <v>1</v>
      </c>
      <c r="C8" t="inlineStr">
        <is>
          <t>유동파생상품자산</t>
        </is>
      </c>
      <c r="E8" s="18" t="n">
        <v>0</v>
      </c>
      <c r="F8" s="18" t="n">
        <v>226.15</v>
      </c>
      <c r="G8" s="37" t="n">
        <v>226.15</v>
      </c>
      <c r="H8" s="18" t="n">
        <v>614.16</v>
      </c>
      <c r="I8" s="19" t="n">
        <v>1488.84</v>
      </c>
      <c r="J8" s="10" t="n"/>
      <c r="K8" s="10" t="n"/>
      <c r="L8" s="11" t="n"/>
      <c r="M8" s="10" t="n"/>
      <c r="N8" s="10" t="n"/>
      <c r="O8" s="10" t="n"/>
      <c r="P8" s="10" t="n"/>
      <c r="Q8" s="11" t="n"/>
      <c r="R8" s="10" t="n"/>
      <c r="S8" s="10" t="n"/>
      <c r="T8" s="10" t="n"/>
      <c r="U8" s="10" t="n"/>
      <c r="V8" s="11" t="n"/>
    </row>
    <row r="9">
      <c r="A9" t="n">
        <v>1</v>
      </c>
      <c r="C9" t="inlineStr">
        <is>
          <t>단기금융자산</t>
        </is>
      </c>
      <c r="E9" s="18" t="n">
        <v>0</v>
      </c>
      <c r="F9" s="18" t="n">
        <v>226.15</v>
      </c>
      <c r="G9" s="37" t="n">
        <v>226.15</v>
      </c>
      <c r="H9" s="18" t="n">
        <v>614.16</v>
      </c>
      <c r="I9" s="19" t="n">
        <v>1488.84</v>
      </c>
      <c r="J9" s="10" t="n"/>
      <c r="K9" s="10" t="n"/>
      <c r="L9" s="11" t="n"/>
      <c r="M9" s="10" t="n"/>
      <c r="N9" s="10" t="n"/>
      <c r="O9" s="10" t="n"/>
      <c r="P9" s="10" t="n"/>
      <c r="Q9" s="11" t="n"/>
      <c r="R9" s="10" t="n"/>
      <c r="S9" s="10" t="n"/>
      <c r="T9" s="10" t="n"/>
      <c r="U9" s="10" t="n"/>
      <c r="V9" s="11" t="n"/>
    </row>
    <row r="10">
      <c r="A10" t="n">
        <v>1</v>
      </c>
      <c r="C10" t="inlineStr">
        <is>
          <t>기타유동금융자산</t>
        </is>
      </c>
      <c r="E10" s="18" t="n">
        <v>7576.18</v>
      </c>
      <c r="F10" s="18" t="n">
        <v>31642.99</v>
      </c>
      <c r="G10" s="37" t="n">
        <v>31642.99</v>
      </c>
      <c r="H10" s="18" t="n">
        <v>28265.11</v>
      </c>
      <c r="I10" s="19" t="n">
        <v>20202.01</v>
      </c>
      <c r="J10" s="10" t="n"/>
      <c r="K10" s="10" t="n"/>
      <c r="L10" s="11" t="n"/>
      <c r="M10" s="10" t="n"/>
      <c r="N10" s="10" t="n"/>
      <c r="O10" s="10" t="n"/>
      <c r="P10" s="10" t="n"/>
      <c r="Q10" s="11" t="n"/>
      <c r="R10" s="10" t="n"/>
      <c r="S10" s="10" t="n"/>
      <c r="T10" s="10" t="n"/>
      <c r="U10" s="10" t="n"/>
      <c r="V10" s="11" t="n"/>
    </row>
    <row r="11">
      <c r="A11" t="n">
        <v>1</v>
      </c>
      <c r="C11" t="inlineStr">
        <is>
          <t>기타유동자산</t>
        </is>
      </c>
      <c r="E11" s="18" t="n">
        <v>1768.54</v>
      </c>
      <c r="F11" s="18" t="n">
        <v>969.86</v>
      </c>
      <c r="G11" s="37" t="n">
        <v>969.86</v>
      </c>
      <c r="H11" s="18" t="n">
        <v>1696.06</v>
      </c>
      <c r="I11" s="19" t="n">
        <v>1477.29</v>
      </c>
      <c r="J11" s="10" t="n"/>
      <c r="K11" s="10" t="n"/>
      <c r="L11" s="11" t="n"/>
      <c r="M11" s="10" t="n"/>
      <c r="N11" s="10" t="n"/>
      <c r="O11" s="10" t="n"/>
      <c r="P11" s="10" t="n"/>
      <c r="Q11" s="11" t="n"/>
      <c r="R11" s="10" t="n"/>
      <c r="S11" s="10" t="n"/>
      <c r="T11" s="10" t="n"/>
      <c r="U11" s="10" t="n"/>
      <c r="V11" s="11" t="n"/>
    </row>
    <row r="12">
      <c r="A12" t="n">
        <v>1</v>
      </c>
      <c r="C12" t="inlineStr">
        <is>
          <t>재고자산</t>
        </is>
      </c>
      <c r="E12" s="18" t="n">
        <v>36331.33</v>
      </c>
      <c r="F12" s="18" t="n">
        <v>49943.29</v>
      </c>
      <c r="G12" s="37" t="n">
        <v>49943.29</v>
      </c>
      <c r="H12" s="18" t="n">
        <v>57603.76</v>
      </c>
      <c r="I12" s="19" t="n">
        <v>61016.94</v>
      </c>
      <c r="J12" s="10" t="n"/>
      <c r="K12" s="10" t="n"/>
      <c r="L12" s="11" t="n"/>
      <c r="M12" s="10" t="n"/>
      <c r="N12" s="10" t="n"/>
      <c r="O12" s="10" t="n"/>
      <c r="P12" s="10" t="n"/>
      <c r="Q12" s="11" t="n"/>
      <c r="R12" s="10" t="n"/>
      <c r="S12" s="10" t="n"/>
      <c r="T12" s="10" t="n"/>
      <c r="U12" s="10" t="n"/>
      <c r="V12" s="11" t="n"/>
    </row>
    <row r="13">
      <c r="A13" t="n">
        <v>1</v>
      </c>
      <c r="C13" t="inlineStr">
        <is>
          <t>매각예정비유동자산및처분자산</t>
        </is>
      </c>
      <c r="E13" s="18" t="n">
        <v>7042.47</v>
      </c>
      <c r="F13" s="18" t="n">
        <v>1656.51</v>
      </c>
      <c r="G13" s="37" t="n">
        <v>1656.51</v>
      </c>
      <c r="H13" s="18" t="n">
        <v>1656.51</v>
      </c>
      <c r="I13" s="19" t="n">
        <v>1656.51</v>
      </c>
      <c r="J13" s="10" t="n"/>
      <c r="K13" s="10" t="n"/>
      <c r="L13" s="11" t="n"/>
      <c r="M13" s="10" t="n"/>
      <c r="N13" s="10" t="n"/>
      <c r="O13" s="10" t="n"/>
      <c r="P13" s="10" t="n"/>
      <c r="Q13" s="11" t="n"/>
      <c r="R13" s="10" t="n"/>
      <c r="S13" s="10" t="n"/>
      <c r="T13" s="10" t="n"/>
      <c r="U13" s="10" t="n"/>
      <c r="V13" s="11" t="n"/>
    </row>
    <row r="14">
      <c r="A14" t="n">
        <v>1</v>
      </c>
      <c r="C14" t="inlineStr">
        <is>
          <t>비유동자산</t>
        </is>
      </c>
      <c r="E14" s="18" t="n">
        <v>90557.19</v>
      </c>
      <c r="F14" s="18" t="n">
        <v>91170.64</v>
      </c>
      <c r="G14" s="37" t="n">
        <v>91170.64</v>
      </c>
      <c r="H14" s="18" t="n">
        <v>91081.2</v>
      </c>
      <c r="I14" s="19" t="n">
        <v>93433.67</v>
      </c>
      <c r="J14" s="10" t="n"/>
      <c r="K14" s="10" t="n"/>
      <c r="L14" s="11" t="n"/>
      <c r="M14" s="10" t="n"/>
      <c r="N14" s="10" t="n"/>
      <c r="O14" s="10" t="n"/>
      <c r="P14" s="10" t="n"/>
      <c r="Q14" s="11" t="n"/>
      <c r="R14" s="10" t="n"/>
      <c r="S14" s="10" t="n"/>
      <c r="T14" s="10" t="n"/>
      <c r="U14" s="10" t="n"/>
      <c r="V14" s="11" t="n"/>
    </row>
    <row r="15">
      <c r="A15" t="n">
        <v>1</v>
      </c>
      <c r="C15" t="inlineStr">
        <is>
          <t>장기금융자산</t>
        </is>
      </c>
      <c r="E15" s="18" t="n">
        <v>36.67</v>
      </c>
      <c r="F15" s="18" t="n">
        <v>36.67</v>
      </c>
      <c r="G15" s="37" t="n">
        <v>36.67</v>
      </c>
      <c r="H15" s="18" t="n">
        <v>36.67</v>
      </c>
      <c r="I15" s="19" t="n">
        <v>36.67</v>
      </c>
      <c r="J15" s="10" t="n"/>
      <c r="K15" s="10" t="n"/>
      <c r="L15" s="11" t="n"/>
      <c r="M15" s="10" t="n"/>
      <c r="N15" s="10" t="n"/>
      <c r="O15" s="10" t="n"/>
      <c r="P15" s="10" t="n"/>
      <c r="Q15" s="11" t="n"/>
      <c r="R15" s="10" t="n"/>
      <c r="S15" s="10" t="n"/>
      <c r="T15" s="10" t="n"/>
      <c r="U15" s="10" t="n"/>
      <c r="V15" s="11" t="n"/>
    </row>
    <row r="16">
      <c r="A16" t="n">
        <v>1</v>
      </c>
      <c r="C16" t="inlineStr">
        <is>
          <t>투자자산</t>
        </is>
      </c>
      <c r="E16" s="18" t="n">
        <v>10279.86</v>
      </c>
      <c r="F16" s="18" t="n">
        <v>10328.63</v>
      </c>
      <c r="G16" s="37" t="n">
        <v>10328.63</v>
      </c>
      <c r="H16" s="18" t="n">
        <v>10328.63</v>
      </c>
      <c r="I16" s="19" t="n">
        <v>10328.63</v>
      </c>
      <c r="J16" s="10" t="n"/>
      <c r="K16" s="10" t="n"/>
      <c r="L16" s="11" t="n"/>
      <c r="M16" s="10" t="n"/>
      <c r="N16" s="10" t="n"/>
      <c r="O16" s="10" t="n"/>
      <c r="P16" s="10" t="n"/>
      <c r="Q16" s="11" t="n"/>
      <c r="R16" s="10" t="n"/>
      <c r="S16" s="10" t="n"/>
      <c r="T16" s="10" t="n"/>
      <c r="U16" s="10" t="n"/>
      <c r="V16" s="11" t="n"/>
    </row>
    <row r="17">
      <c r="A17" t="n">
        <v>1</v>
      </c>
      <c r="C17" t="inlineStr">
        <is>
          <t>유형자산</t>
        </is>
      </c>
      <c r="E17" s="18" t="n">
        <v>61823.13</v>
      </c>
      <c r="F17" s="18" t="n">
        <v>67701.58</v>
      </c>
      <c r="G17" s="37" t="n">
        <v>67701.58</v>
      </c>
      <c r="H17" s="18" t="n">
        <v>67255.22</v>
      </c>
      <c r="I17" s="5" t="n"/>
      <c r="J17" s="10" t="n"/>
      <c r="K17" s="10" t="n"/>
      <c r="L17" s="11" t="n"/>
      <c r="M17" s="10" t="n"/>
      <c r="N17" s="10" t="n"/>
      <c r="O17" s="10" t="n"/>
      <c r="P17" s="10" t="n"/>
      <c r="Q17" s="11" t="n"/>
      <c r="R17" s="10" t="n"/>
      <c r="S17" s="10" t="n"/>
      <c r="T17" s="10" t="n"/>
      <c r="U17" s="10" t="n"/>
      <c r="V17" s="11" t="n"/>
    </row>
    <row r="18">
      <c r="A18" t="n">
        <v>1</v>
      </c>
      <c r="C18" t="inlineStr">
        <is>
          <t>투자부동산</t>
        </is>
      </c>
      <c r="E18" s="18" t="n">
        <v>7406.51</v>
      </c>
      <c r="F18" s="18" t="n">
        <v>929.62</v>
      </c>
      <c r="G18" s="37" t="n">
        <v>929.62</v>
      </c>
      <c r="H18" s="18" t="n">
        <v>923.45</v>
      </c>
      <c r="I18" s="19" t="n">
        <v>2147.24</v>
      </c>
      <c r="J18" s="10" t="n"/>
      <c r="K18" s="10" t="n"/>
      <c r="L18" s="11" t="n"/>
      <c r="M18" s="10" t="n"/>
      <c r="N18" s="10" t="n"/>
      <c r="O18" s="10" t="n"/>
      <c r="P18" s="10" t="n"/>
      <c r="Q18" s="11" t="n"/>
      <c r="R18" s="10" t="n"/>
      <c r="S18" s="10" t="n"/>
      <c r="T18" s="10" t="n"/>
      <c r="U18" s="10" t="n"/>
      <c r="V18" s="11" t="n"/>
    </row>
    <row r="19">
      <c r="A19" t="n">
        <v>1</v>
      </c>
      <c r="C19" t="inlineStr">
        <is>
          <t>무형자산</t>
        </is>
      </c>
      <c r="E19" s="18" t="n">
        <v>6649.94</v>
      </c>
      <c r="F19" s="18" t="n">
        <v>6583.41</v>
      </c>
      <c r="G19" s="37" t="n">
        <v>6583.41</v>
      </c>
      <c r="H19" s="18" t="n">
        <v>6447.68</v>
      </c>
      <c r="I19" s="19" t="n">
        <v>6241.99</v>
      </c>
      <c r="J19" s="10" t="n"/>
      <c r="K19" s="10" t="n"/>
      <c r="L19" s="11" t="n"/>
      <c r="M19" s="10" t="n"/>
      <c r="N19" s="10" t="n"/>
      <c r="O19" s="10" t="n"/>
      <c r="P19" s="10" t="n"/>
      <c r="Q19" s="11" t="n"/>
      <c r="R19" s="10" t="n"/>
      <c r="S19" s="10" t="n"/>
      <c r="T19" s="10" t="n"/>
      <c r="U19" s="10" t="n"/>
      <c r="V19" s="11" t="n"/>
    </row>
    <row r="20">
      <c r="A20" t="n">
        <v>1</v>
      </c>
      <c r="C20" t="inlineStr">
        <is>
          <t>종속기업및관계기업투자</t>
        </is>
      </c>
      <c r="E20" s="18" t="n">
        <v>10243.19</v>
      </c>
      <c r="F20" s="18" t="n">
        <v>10291.96</v>
      </c>
      <c r="G20" s="37" t="n">
        <v>10291.96</v>
      </c>
      <c r="H20" s="18" t="n">
        <v>10291.96</v>
      </c>
      <c r="I20" s="19" t="n">
        <v>10291.96</v>
      </c>
      <c r="J20" s="10" t="n"/>
      <c r="K20" s="10" t="n"/>
      <c r="L20" s="11" t="n"/>
      <c r="M20" s="10" t="n"/>
      <c r="N20" s="10" t="n"/>
      <c r="O20" s="10" t="n"/>
      <c r="P20" s="10" t="n"/>
      <c r="Q20" s="11" t="n"/>
      <c r="R20" s="10" t="n"/>
      <c r="S20" s="10" t="n"/>
      <c r="T20" s="10" t="n"/>
      <c r="U20" s="10" t="n"/>
      <c r="V20" s="11" t="n"/>
    </row>
    <row r="21">
      <c r="A21" t="n">
        <v>1</v>
      </c>
      <c r="C21" t="inlineStr">
        <is>
          <t>장기매출채권및기타채권</t>
        </is>
      </c>
      <c r="E21" s="18" t="n">
        <v>1138.34</v>
      </c>
      <c r="F21" s="18" t="n">
        <v>1953.69</v>
      </c>
      <c r="G21" s="37" t="n">
        <v>1953.69</v>
      </c>
      <c r="H21" s="18" t="n">
        <v>1996.75</v>
      </c>
      <c r="I21" s="19" t="n">
        <v>4631.12</v>
      </c>
      <c r="J21" s="10" t="n"/>
      <c r="K21" s="10" t="n"/>
      <c r="L21" s="11" t="n"/>
      <c r="M21" s="10" t="n"/>
      <c r="N21" s="10" t="n"/>
      <c r="O21" s="10" t="n"/>
      <c r="P21" s="10" t="n"/>
      <c r="Q21" s="11" t="n"/>
      <c r="R21" s="10" t="n"/>
      <c r="S21" s="10" t="n"/>
      <c r="T21" s="10" t="n"/>
      <c r="U21" s="10" t="n"/>
      <c r="V21" s="11" t="n"/>
    </row>
    <row r="22">
      <c r="A22" t="n">
        <v>1</v>
      </c>
      <c r="C22" t="inlineStr">
        <is>
          <t>기타비유동자산</t>
        </is>
      </c>
      <c r="E22" s="18" t="n">
        <v>2530.69</v>
      </c>
      <c r="F22" s="18" t="n">
        <v>2566.15</v>
      </c>
      <c r="G22" s="37" t="n">
        <v>2566.15</v>
      </c>
      <c r="H22" s="18" t="n">
        <v>3270.37</v>
      </c>
      <c r="I22" s="19" t="n">
        <v>2420.5</v>
      </c>
      <c r="J22" s="10" t="n"/>
      <c r="K22" s="10" t="n"/>
      <c r="L22" s="11" t="n"/>
      <c r="M22" s="10" t="n"/>
      <c r="N22" s="10" t="n"/>
      <c r="O22" s="10" t="n"/>
      <c r="P22" s="10" t="n"/>
      <c r="Q22" s="11" t="n"/>
      <c r="R22" s="10" t="n"/>
      <c r="S22" s="10" t="n"/>
      <c r="T22" s="10" t="n"/>
      <c r="U22" s="10" t="n"/>
      <c r="V22" s="11" t="n"/>
    </row>
    <row r="23">
      <c r="A23" t="n">
        <v>1</v>
      </c>
      <c r="C23" t="inlineStr">
        <is>
          <t>이연법인세자산</t>
        </is>
      </c>
      <c r="E23" s="18" t="n">
        <v>728.72</v>
      </c>
      <c r="F23" s="18" t="n">
        <v>1107.57</v>
      </c>
      <c r="G23" s="37" t="n">
        <v>1107.57</v>
      </c>
      <c r="H23" s="18" t="n">
        <v>859.09</v>
      </c>
      <c r="I23" s="19" t="n">
        <v>1052.82</v>
      </c>
      <c r="J23" s="10" t="n"/>
      <c r="K23" s="10" t="n"/>
      <c r="L23" s="11" t="n"/>
      <c r="M23" s="10" t="n"/>
      <c r="N23" s="10" t="n"/>
      <c r="O23" s="10" t="n"/>
      <c r="P23" s="10" t="n"/>
      <c r="Q23" s="11" t="n"/>
      <c r="R23" s="10" t="n"/>
      <c r="S23" s="10" t="n"/>
      <c r="T23" s="10" t="n"/>
      <c r="U23" s="10" t="n"/>
      <c r="V23" s="11" t="n"/>
    </row>
    <row r="24">
      <c r="A24" t="n">
        <v>1</v>
      </c>
      <c r="C24" t="inlineStr">
        <is>
          <t>자산총계</t>
        </is>
      </c>
      <c r="E24" s="18" t="n">
        <v>187291.71</v>
      </c>
      <c r="F24" s="18" t="n">
        <v>228861.05</v>
      </c>
      <c r="G24" s="37" t="n">
        <v>228861.05</v>
      </c>
      <c r="H24" s="18" t="n">
        <v>224530.02</v>
      </c>
      <c r="I24" s="19" t="n">
        <v>226048.87</v>
      </c>
      <c r="J24" s="10" t="n"/>
      <c r="K24" s="10" t="n"/>
      <c r="L24" s="11" t="n"/>
      <c r="M24" s="10" t="n"/>
      <c r="N24" s="10" t="n"/>
      <c r="O24" s="10" t="n"/>
      <c r="P24" s="10" t="n"/>
      <c r="Q24" s="11" t="n"/>
      <c r="R24" s="10" t="n"/>
      <c r="S24" s="10" t="n"/>
      <c r="T24" s="10" t="n"/>
      <c r="U24" s="10" t="n"/>
      <c r="V24" s="11" t="n"/>
    </row>
    <row r="25">
      <c r="A25" t="n">
        <v>1</v>
      </c>
      <c r="C25" t="inlineStr">
        <is>
          <t>유동부채</t>
        </is>
      </c>
      <c r="E25" s="18" t="n">
        <v>90974.78999999999</v>
      </c>
      <c r="F25" s="18" t="n">
        <v>98429.5</v>
      </c>
      <c r="G25" s="37" t="n">
        <v>98429.5</v>
      </c>
      <c r="H25" s="18" t="n">
        <v>91931.57000000001</v>
      </c>
      <c r="I25" s="19" t="n">
        <v>99895.25</v>
      </c>
      <c r="J25" s="10" t="n"/>
      <c r="K25" s="10" t="n"/>
      <c r="L25" s="11" t="n"/>
      <c r="M25" s="10" t="n"/>
      <c r="N25" s="10" t="n"/>
      <c r="O25" s="10" t="n"/>
      <c r="P25" s="10" t="n"/>
      <c r="Q25" s="11" t="n"/>
      <c r="R25" s="10" t="n"/>
      <c r="S25" s="10" t="n"/>
      <c r="T25" s="10" t="n"/>
      <c r="U25" s="10" t="n"/>
      <c r="V25" s="11" t="n"/>
    </row>
    <row r="26">
      <c r="A26" t="n">
        <v>1</v>
      </c>
      <c r="C26" t="inlineStr">
        <is>
          <t>매입채무및기타채무</t>
        </is>
      </c>
      <c r="E26" s="18" t="n">
        <v>35637.3</v>
      </c>
      <c r="F26" s="18" t="n">
        <v>50437.99</v>
      </c>
      <c r="G26" s="37" t="n">
        <v>50437.99</v>
      </c>
      <c r="H26" s="18" t="n">
        <v>48419.58</v>
      </c>
      <c r="I26" s="19" t="n">
        <v>47573.57</v>
      </c>
      <c r="J26" s="10" t="n"/>
      <c r="K26" s="10" t="n"/>
      <c r="L26" s="11" t="n"/>
      <c r="M26" s="10" t="n"/>
      <c r="N26" s="10" t="n"/>
      <c r="O26" s="10" t="n"/>
      <c r="P26" s="10" t="n"/>
      <c r="Q26" s="11" t="n"/>
      <c r="R26" s="10" t="n"/>
      <c r="S26" s="10" t="n"/>
      <c r="T26" s="10" t="n"/>
      <c r="U26" s="10" t="n"/>
      <c r="V26" s="11" t="n"/>
    </row>
    <row r="27">
      <c r="A27" t="n">
        <v>1</v>
      </c>
      <c r="C27" t="inlineStr">
        <is>
          <t>단기차입금</t>
        </is>
      </c>
      <c r="E27" s="18" t="n">
        <v>48115.03</v>
      </c>
      <c r="F27" s="18" t="n">
        <v>44830.98</v>
      </c>
      <c r="G27" s="37" t="n">
        <v>44830.98</v>
      </c>
      <c r="H27" s="18" t="n">
        <v>38273.29</v>
      </c>
      <c r="I27" s="5" t="n"/>
      <c r="J27" s="10" t="n"/>
      <c r="K27" s="10" t="n"/>
      <c r="L27" s="11" t="n"/>
      <c r="M27" s="10" t="n"/>
      <c r="N27" s="10" t="n"/>
      <c r="O27" s="10" t="n"/>
      <c r="P27" s="10" t="n"/>
      <c r="Q27" s="11" t="n"/>
      <c r="R27" s="10" t="n"/>
      <c r="S27" s="10" t="n"/>
      <c r="T27" s="10" t="n"/>
      <c r="U27" s="10" t="n"/>
      <c r="V27" s="11" t="n"/>
    </row>
    <row r="28">
      <c r="A28" t="n">
        <v>1</v>
      </c>
      <c r="C28" t="inlineStr">
        <is>
          <t>유동성장기부채</t>
        </is>
      </c>
      <c r="E28" s="18" t="n">
        <v>2347.83</v>
      </c>
      <c r="G28" s="9" t="n"/>
      <c r="I28" s="5" t="n"/>
      <c r="J28" s="10" t="n"/>
      <c r="K28" s="10" t="n"/>
      <c r="L28" s="11" t="n"/>
      <c r="M28" s="10" t="n"/>
      <c r="N28" s="10" t="n"/>
      <c r="O28" s="10" t="n"/>
      <c r="P28" s="10" t="n"/>
      <c r="Q28" s="11" t="n"/>
      <c r="R28" s="10" t="n"/>
      <c r="S28" s="10" t="n"/>
      <c r="T28" s="10" t="n"/>
      <c r="U28" s="10" t="n"/>
      <c r="V28" s="11" t="n"/>
    </row>
    <row r="29">
      <c r="A29" t="n">
        <v>1</v>
      </c>
      <c r="C29" t="inlineStr">
        <is>
          <t>유동리스부채</t>
        </is>
      </c>
      <c r="E29" s="18" t="n">
        <v>448.08</v>
      </c>
      <c r="F29" s="18" t="n">
        <v>388.84</v>
      </c>
      <c r="G29" s="37" t="n">
        <v>388.84</v>
      </c>
      <c r="H29" s="18" t="n">
        <v>339.75</v>
      </c>
      <c r="I29" s="19" t="n">
        <v>507.37</v>
      </c>
      <c r="J29" s="10" t="n"/>
      <c r="K29" s="10" t="n"/>
      <c r="L29" s="11" t="n"/>
      <c r="M29" s="10" t="n"/>
      <c r="N29" s="10" t="n"/>
      <c r="O29" s="10" t="n"/>
      <c r="P29" s="10" t="n"/>
      <c r="Q29" s="11" t="n"/>
      <c r="R29" s="10" t="n"/>
      <c r="S29" s="10" t="n"/>
      <c r="T29" s="10" t="n"/>
      <c r="U29" s="10" t="n"/>
      <c r="V29" s="11" t="n"/>
    </row>
    <row r="30">
      <c r="A30" t="n">
        <v>1</v>
      </c>
      <c r="C30" t="inlineStr">
        <is>
          <t>리스부채</t>
        </is>
      </c>
      <c r="E30" s="18" t="n">
        <v>676.63</v>
      </c>
      <c r="F30" s="18" t="n">
        <v>623.4299999999999</v>
      </c>
      <c r="G30" s="37" t="n">
        <v>623.4299999999999</v>
      </c>
      <c r="H30" s="18" t="n">
        <v>659.8</v>
      </c>
      <c r="I30" s="19" t="n">
        <v>1251.02</v>
      </c>
      <c r="J30" s="10" t="n"/>
      <c r="K30" s="10" t="n"/>
      <c r="L30" s="11" t="n"/>
      <c r="M30" s="10" t="n"/>
      <c r="N30" s="10" t="n"/>
      <c r="O30" s="10" t="n"/>
      <c r="P30" s="10" t="n"/>
      <c r="Q30" s="11" t="n"/>
      <c r="R30" s="10" t="n"/>
      <c r="S30" s="10" t="n"/>
      <c r="T30" s="10" t="n"/>
      <c r="U30" s="10" t="n"/>
      <c r="V30" s="11" t="n"/>
    </row>
    <row r="31">
      <c r="A31" t="n">
        <v>1</v>
      </c>
      <c r="C31" t="inlineStr">
        <is>
          <t>단기금융부채</t>
        </is>
      </c>
      <c r="E31" s="18" t="n">
        <v>669.49</v>
      </c>
      <c r="F31" s="18" t="n">
        <v>738.36</v>
      </c>
      <c r="G31" s="37" t="n">
        <v>738.36</v>
      </c>
      <c r="H31" s="18" t="n">
        <v>1476.01</v>
      </c>
      <c r="I31" s="19" t="n">
        <v>1995.96</v>
      </c>
      <c r="J31" s="10" t="n"/>
      <c r="K31" s="10" t="n"/>
      <c r="L31" s="11" t="n"/>
      <c r="M31" s="10" t="n"/>
      <c r="N31" s="10" t="n"/>
      <c r="O31" s="10" t="n"/>
      <c r="P31" s="10" t="n"/>
      <c r="Q31" s="11" t="n"/>
      <c r="R31" s="10" t="n"/>
      <c r="S31" s="10" t="n"/>
      <c r="T31" s="10" t="n"/>
      <c r="U31" s="10" t="n"/>
      <c r="V31" s="11" t="n"/>
    </row>
    <row r="32">
      <c r="A32" t="n">
        <v>1</v>
      </c>
      <c r="C32" t="inlineStr">
        <is>
          <t>당기법인세부채(미지급법인세)</t>
        </is>
      </c>
      <c r="E32" s="18" t="n">
        <v>969.84</v>
      </c>
      <c r="F32" s="18" t="n">
        <v>540.87</v>
      </c>
      <c r="G32" s="37" t="n">
        <v>540.87</v>
      </c>
      <c r="H32" s="18" t="n">
        <v>1273.2</v>
      </c>
      <c r="I32" s="19" t="n">
        <v>2359.86</v>
      </c>
      <c r="J32" s="10" t="n"/>
      <c r="K32" s="10" t="n"/>
      <c r="L32" s="11" t="n"/>
      <c r="M32" s="10" t="n"/>
      <c r="N32" s="10" t="n"/>
      <c r="O32" s="10" t="n"/>
      <c r="P32" s="10" t="n"/>
      <c r="Q32" s="11" t="n"/>
      <c r="R32" s="10" t="n"/>
      <c r="S32" s="10" t="n"/>
      <c r="T32" s="10" t="n"/>
      <c r="U32" s="10" t="n"/>
      <c r="V32" s="11" t="n"/>
    </row>
    <row r="33">
      <c r="A33" t="n">
        <v>1</v>
      </c>
      <c r="C33" t="inlineStr">
        <is>
          <t>단기파생상품부채</t>
        </is>
      </c>
      <c r="E33" s="18" t="n">
        <v>27.39</v>
      </c>
      <c r="F33" s="18" t="n">
        <v>91.76000000000001</v>
      </c>
      <c r="G33" s="37" t="n">
        <v>91.76000000000001</v>
      </c>
      <c r="H33" s="18" t="n">
        <v>477.27</v>
      </c>
      <c r="I33" s="19" t="n">
        <v>1081.83</v>
      </c>
      <c r="J33" s="10" t="n"/>
      <c r="K33" s="10" t="n"/>
      <c r="L33" s="11" t="n"/>
      <c r="M33" s="10" t="n"/>
      <c r="N33" s="10" t="n"/>
      <c r="O33" s="10" t="n"/>
      <c r="P33" s="10" t="n"/>
      <c r="Q33" s="11" t="n"/>
      <c r="R33" s="10" t="n"/>
      <c r="S33" s="10" t="n"/>
      <c r="T33" s="10" t="n"/>
      <c r="U33" s="10" t="n"/>
      <c r="V33" s="11" t="n"/>
    </row>
    <row r="34">
      <c r="A34" t="n">
        <v>1</v>
      </c>
      <c r="C34" t="inlineStr">
        <is>
          <t>기타유동금융부채</t>
        </is>
      </c>
      <c r="E34" s="18" t="n">
        <v>194.02</v>
      </c>
      <c r="F34" s="18" t="n">
        <v>257.76</v>
      </c>
      <c r="G34" s="37" t="n">
        <v>257.76</v>
      </c>
      <c r="H34" s="18" t="n">
        <v>658.99</v>
      </c>
      <c r="I34" s="19" t="n">
        <v>406.76</v>
      </c>
      <c r="J34" s="10" t="n"/>
      <c r="K34" s="10" t="n"/>
      <c r="L34" s="11" t="n"/>
      <c r="M34" s="10" t="n"/>
      <c r="N34" s="10" t="n"/>
      <c r="O34" s="10" t="n"/>
      <c r="P34" s="10" t="n"/>
      <c r="Q34" s="11" t="n"/>
      <c r="R34" s="10" t="n"/>
      <c r="S34" s="10" t="n"/>
      <c r="T34" s="10" t="n"/>
      <c r="U34" s="10" t="n"/>
      <c r="V34" s="11" t="n"/>
    </row>
    <row r="35">
      <c r="A35" t="n">
        <v>1</v>
      </c>
      <c r="C35" t="inlineStr">
        <is>
          <t>기타유동부채</t>
        </is>
      </c>
      <c r="E35" s="18" t="n">
        <v>1191.88</v>
      </c>
      <c r="F35" s="18" t="n">
        <v>1748.3</v>
      </c>
      <c r="G35" s="37" t="n">
        <v>1748.3</v>
      </c>
      <c r="H35" s="18" t="n">
        <v>2396.34</v>
      </c>
      <c r="I35" s="19" t="n">
        <v>1680.73</v>
      </c>
      <c r="J35" s="10" t="n"/>
      <c r="K35" s="10" t="n"/>
      <c r="L35" s="11" t="n"/>
      <c r="M35" s="10" t="n"/>
      <c r="N35" s="10" t="n"/>
      <c r="O35" s="10" t="n"/>
      <c r="P35" s="10" t="n"/>
      <c r="Q35" s="11" t="n"/>
      <c r="R35" s="10" t="n"/>
      <c r="S35" s="10" t="n"/>
      <c r="T35" s="10" t="n"/>
      <c r="U35" s="10" t="n"/>
      <c r="V35" s="11" t="n"/>
    </row>
    <row r="36">
      <c r="A36" t="n">
        <v>1</v>
      </c>
      <c r="C36" t="inlineStr">
        <is>
          <t>단기충당부채</t>
        </is>
      </c>
      <c r="E36" s="18" t="n">
        <v>10.34</v>
      </c>
      <c r="F36" s="18" t="n">
        <v>133.01</v>
      </c>
      <c r="G36" s="37" t="n">
        <v>133.01</v>
      </c>
      <c r="H36" s="18" t="n">
        <v>93.14</v>
      </c>
      <c r="I36" s="19" t="n">
        <v>100.1</v>
      </c>
      <c r="J36" s="10" t="n"/>
      <c r="K36" s="10" t="n"/>
      <c r="L36" s="11" t="n"/>
      <c r="M36" s="10" t="n"/>
      <c r="N36" s="10" t="n"/>
      <c r="O36" s="10" t="n"/>
      <c r="P36" s="10" t="n"/>
      <c r="Q36" s="11" t="n"/>
      <c r="R36" s="10" t="n"/>
      <c r="S36" s="10" t="n"/>
      <c r="T36" s="10" t="n"/>
      <c r="U36" s="10" t="n"/>
      <c r="V36" s="11" t="n"/>
    </row>
    <row r="37">
      <c r="A37" t="n">
        <v>1</v>
      </c>
      <c r="C37" t="inlineStr">
        <is>
          <t>비유동부채</t>
        </is>
      </c>
      <c r="E37" s="18" t="n">
        <v>16088.11</v>
      </c>
      <c r="F37" s="18" t="n">
        <v>12895.61</v>
      </c>
      <c r="G37" s="37" t="n">
        <v>12895.61</v>
      </c>
      <c r="H37" s="18" t="n">
        <v>12700.91</v>
      </c>
      <c r="I37" s="19" t="n">
        <v>2186.29</v>
      </c>
      <c r="J37" s="10" t="n"/>
      <c r="K37" s="10" t="n"/>
      <c r="L37" s="11" t="n"/>
      <c r="M37" s="10" t="n"/>
      <c r="N37" s="10" t="n"/>
      <c r="O37" s="10" t="n"/>
      <c r="P37" s="10" t="n"/>
      <c r="Q37" s="11" t="n"/>
      <c r="R37" s="10" t="n"/>
      <c r="S37" s="10" t="n"/>
      <c r="T37" s="10" t="n"/>
      <c r="U37" s="10" t="n"/>
      <c r="V37" s="11" t="n"/>
    </row>
    <row r="38">
      <c r="A38" t="n">
        <v>1</v>
      </c>
      <c r="C38" t="inlineStr">
        <is>
          <t>장기차입금</t>
        </is>
      </c>
      <c r="E38" s="18" t="n">
        <v>12456.52</v>
      </c>
      <c r="F38" s="18" t="n">
        <v>11869.57</v>
      </c>
      <c r="G38" s="37" t="n">
        <v>11869.57</v>
      </c>
      <c r="H38" s="18" t="n">
        <v>11282.61</v>
      </c>
      <c r="I38" s="19" t="n">
        <v>0</v>
      </c>
      <c r="J38" s="10" t="n"/>
      <c r="K38" s="10" t="n"/>
      <c r="L38" s="11" t="n"/>
      <c r="M38" s="10" t="n"/>
      <c r="N38" s="10" t="n"/>
      <c r="O38" s="10" t="n"/>
      <c r="P38" s="10" t="n"/>
      <c r="Q38" s="11" t="n"/>
      <c r="R38" s="10" t="n"/>
      <c r="S38" s="10" t="n"/>
      <c r="T38" s="10" t="n"/>
      <c r="U38" s="10" t="n"/>
      <c r="V38" s="11" t="n"/>
    </row>
    <row r="39">
      <c r="A39" t="n">
        <v>1</v>
      </c>
      <c r="C39" t="inlineStr">
        <is>
          <t>사채</t>
        </is>
      </c>
      <c r="E39" s="18" t="n">
        <v>0</v>
      </c>
      <c r="G39" s="9" t="n"/>
      <c r="I39" s="5" t="n"/>
      <c r="J39" s="10" t="n"/>
      <c r="K39" s="10" t="n"/>
      <c r="L39" s="11" t="n"/>
      <c r="M39" s="10" t="n"/>
      <c r="N39" s="10" t="n"/>
      <c r="O39" s="10" t="n"/>
      <c r="P39" s="10" t="n"/>
      <c r="Q39" s="11" t="n"/>
      <c r="R39" s="10" t="n"/>
      <c r="S39" s="10" t="n"/>
      <c r="T39" s="10" t="n"/>
      <c r="U39" s="10" t="n"/>
      <c r="V39" s="11" t="n"/>
    </row>
    <row r="40">
      <c r="A40" t="n">
        <v>1</v>
      </c>
      <c r="C40" t="inlineStr">
        <is>
          <t>비유동리스부채</t>
        </is>
      </c>
      <c r="E40" s="18" t="n">
        <v>228.55</v>
      </c>
      <c r="F40" s="18" t="n">
        <v>234.59</v>
      </c>
      <c r="G40" s="37" t="n">
        <v>234.59</v>
      </c>
      <c r="H40" s="18" t="n">
        <v>320.05</v>
      </c>
      <c r="I40" s="19" t="n">
        <v>743.65</v>
      </c>
      <c r="J40" s="10" t="n"/>
      <c r="K40" s="10" t="n"/>
      <c r="L40" s="11" t="n"/>
      <c r="M40" s="10" t="n"/>
      <c r="N40" s="10" t="n"/>
      <c r="O40" s="10" t="n"/>
      <c r="P40" s="10" t="n"/>
      <c r="Q40" s="11" t="n"/>
      <c r="R40" s="10" t="n"/>
      <c r="S40" s="10" t="n"/>
      <c r="T40" s="10" t="n"/>
      <c r="U40" s="10" t="n"/>
      <c r="V40" s="11" t="n"/>
    </row>
    <row r="41">
      <c r="A41" t="n">
        <v>1</v>
      </c>
      <c r="C41" t="inlineStr">
        <is>
          <t>장기금융부채</t>
        </is>
      </c>
      <c r="E41" s="18" t="n">
        <v>234.55</v>
      </c>
      <c r="F41" s="18" t="n">
        <v>240.59</v>
      </c>
      <c r="G41" s="37" t="n">
        <v>240.59</v>
      </c>
      <c r="H41" s="18" t="n">
        <v>326.05</v>
      </c>
      <c r="I41" s="19" t="n">
        <v>749.65</v>
      </c>
      <c r="J41" s="10" t="n"/>
      <c r="K41" s="10" t="n"/>
      <c r="L41" s="11" t="n"/>
      <c r="M41" s="10" t="n"/>
      <c r="N41" s="10" t="n"/>
      <c r="O41" s="10" t="n"/>
      <c r="P41" s="10" t="n"/>
      <c r="Q41" s="11" t="n"/>
      <c r="R41" s="10" t="n"/>
      <c r="S41" s="10" t="n"/>
      <c r="T41" s="10" t="n"/>
      <c r="U41" s="10" t="n"/>
      <c r="V41" s="11" t="n"/>
    </row>
    <row r="42">
      <c r="A42" t="n">
        <v>1</v>
      </c>
      <c r="C42" t="inlineStr">
        <is>
          <t>기타비유동금융부채</t>
        </is>
      </c>
      <c r="E42" s="18" t="n">
        <v>6</v>
      </c>
      <c r="F42" s="18" t="n">
        <v>6</v>
      </c>
      <c r="G42" s="37" t="n">
        <v>6</v>
      </c>
      <c r="H42" s="18" t="n">
        <v>6</v>
      </c>
      <c r="I42" s="19" t="n">
        <v>6</v>
      </c>
      <c r="J42" s="10" t="n"/>
      <c r="K42" s="10" t="n"/>
      <c r="L42" s="11" t="n"/>
      <c r="M42" s="10" t="n"/>
      <c r="N42" s="10" t="n"/>
      <c r="O42" s="10" t="n"/>
      <c r="P42" s="10" t="n"/>
      <c r="Q42" s="11" t="n"/>
      <c r="R42" s="10" t="n"/>
      <c r="S42" s="10" t="n"/>
      <c r="T42" s="10" t="n"/>
      <c r="U42" s="10" t="n"/>
      <c r="V42" s="11" t="n"/>
    </row>
    <row r="43">
      <c r="A43" t="n">
        <v>1</v>
      </c>
      <c r="C43" t="inlineStr">
        <is>
          <t>확정급여부채</t>
        </is>
      </c>
      <c r="E43" s="18" t="n">
        <v>2717.67</v>
      </c>
      <c r="F43" s="18" t="n">
        <v>86.01000000000001</v>
      </c>
      <c r="G43" s="37" t="n">
        <v>86.01000000000001</v>
      </c>
      <c r="H43" s="18" t="n">
        <v>578.51</v>
      </c>
      <c r="I43" s="19" t="n">
        <v>901.41</v>
      </c>
      <c r="J43" s="10" t="n"/>
      <c r="K43" s="10" t="n"/>
      <c r="L43" s="11" t="n"/>
      <c r="M43" s="10" t="n"/>
      <c r="N43" s="10" t="n"/>
      <c r="O43" s="10" t="n"/>
      <c r="P43" s="10" t="n"/>
      <c r="Q43" s="11" t="n"/>
      <c r="R43" s="10" t="n"/>
      <c r="S43" s="10" t="n"/>
      <c r="T43" s="10" t="n"/>
      <c r="U43" s="10" t="n"/>
      <c r="V43" s="11" t="n"/>
    </row>
    <row r="44">
      <c r="A44" t="n">
        <v>1</v>
      </c>
      <c r="C44" t="inlineStr">
        <is>
          <t>장기충당부채</t>
        </is>
      </c>
      <c r="E44" s="18" t="n">
        <v>187.13</v>
      </c>
      <c r="F44" s="18" t="n">
        <v>242.39</v>
      </c>
      <c r="G44" s="37" t="n">
        <v>242.39</v>
      </c>
      <c r="H44" s="18" t="n">
        <v>45.68</v>
      </c>
      <c r="I44" s="19" t="n">
        <v>56.17</v>
      </c>
      <c r="J44" s="10" t="n"/>
      <c r="K44" s="10" t="n"/>
      <c r="L44" s="11" t="n"/>
      <c r="M44" s="10" t="n"/>
      <c r="N44" s="10" t="n"/>
      <c r="O44" s="10" t="n"/>
      <c r="P44" s="10" t="n"/>
      <c r="Q44" s="11" t="n"/>
      <c r="R44" s="10" t="n"/>
      <c r="S44" s="10" t="n"/>
      <c r="T44" s="10" t="n"/>
      <c r="U44" s="10" t="n"/>
      <c r="V44" s="11" t="n"/>
    </row>
    <row r="45">
      <c r="A45" t="n">
        <v>1</v>
      </c>
      <c r="C45" t="inlineStr">
        <is>
          <t>부채총계</t>
        </is>
      </c>
      <c r="E45" s="18" t="n">
        <v>107062.9</v>
      </c>
      <c r="F45" s="18" t="n">
        <v>111325.11</v>
      </c>
      <c r="G45" s="37" t="n">
        <v>111325.11</v>
      </c>
      <c r="H45" s="18" t="n">
        <v>104632.48</v>
      </c>
      <c r="I45" s="19" t="n">
        <v>102081.54</v>
      </c>
      <c r="J45" s="10" t="n"/>
      <c r="K45" s="10" t="n"/>
      <c r="L45" s="11" t="n"/>
      <c r="M45" s="10" t="n"/>
      <c r="N45" s="10" t="n"/>
      <c r="O45" s="10" t="n"/>
      <c r="P45" s="10" t="n"/>
      <c r="Q45" s="11" t="n"/>
      <c r="R45" s="10" t="n"/>
      <c r="S45" s="10" t="n"/>
      <c r="T45" s="10" t="n"/>
      <c r="U45" s="10" t="n"/>
      <c r="V45" s="11" t="n"/>
    </row>
    <row r="46">
      <c r="A46" t="n">
        <v>1</v>
      </c>
      <c r="C46" t="inlineStr">
        <is>
          <t>자본금</t>
        </is>
      </c>
      <c r="E46" s="18" t="n">
        <v>1974.42</v>
      </c>
      <c r="F46" s="18" t="n">
        <v>2409.42</v>
      </c>
      <c r="G46" s="37" t="n">
        <v>2409.42</v>
      </c>
      <c r="H46" s="18" t="n">
        <v>2409.42</v>
      </c>
      <c r="I46" s="19" t="n">
        <v>2409.42</v>
      </c>
      <c r="J46" s="10" t="n"/>
      <c r="K46" s="10" t="n"/>
      <c r="L46" s="11" t="n"/>
      <c r="M46" s="10" t="n"/>
      <c r="N46" s="10" t="n"/>
      <c r="O46" s="10" t="n"/>
      <c r="P46" s="10" t="n"/>
      <c r="Q46" s="11" t="n"/>
      <c r="R46" s="10" t="n"/>
      <c r="S46" s="10" t="n"/>
      <c r="T46" s="10" t="n"/>
      <c r="U46" s="10" t="n"/>
      <c r="V46" s="11" t="n"/>
    </row>
    <row r="47">
      <c r="A47" t="n">
        <v>1</v>
      </c>
      <c r="C47" t="inlineStr">
        <is>
          <t>자본잉여금</t>
        </is>
      </c>
      <c r="E47" s="18" t="n">
        <v>20054.61</v>
      </c>
      <c r="F47" s="18" t="n">
        <v>58192.36</v>
      </c>
      <c r="G47" s="37" t="n">
        <v>58192.36</v>
      </c>
      <c r="H47" s="18" t="n">
        <v>58192.36</v>
      </c>
      <c r="I47" s="19" t="n">
        <v>58192.71</v>
      </c>
      <c r="J47" s="10" t="n"/>
      <c r="K47" s="10" t="n"/>
      <c r="L47" s="11" t="n"/>
      <c r="M47" s="10" t="n"/>
      <c r="N47" s="10" t="n"/>
      <c r="O47" s="10" t="n"/>
      <c r="P47" s="10" t="n"/>
      <c r="Q47" s="11" t="n"/>
      <c r="R47" s="10" t="n"/>
      <c r="S47" s="10" t="n"/>
      <c r="T47" s="10" t="n"/>
      <c r="U47" s="10" t="n"/>
      <c r="V47" s="11" t="n"/>
    </row>
    <row r="48">
      <c r="A48" t="n">
        <v>1</v>
      </c>
      <c r="C48" t="inlineStr">
        <is>
          <t>기타포괄이익누계액</t>
        </is>
      </c>
      <c r="E48" s="18" t="n">
        <v>7430.19</v>
      </c>
      <c r="F48" s="18" t="n">
        <v>7430.19</v>
      </c>
      <c r="G48" s="37" t="n">
        <v>7430.19</v>
      </c>
      <c r="H48" s="18" t="n">
        <v>7430.19</v>
      </c>
      <c r="I48" s="19" t="n">
        <v>7430.19</v>
      </c>
      <c r="J48" s="10" t="n"/>
      <c r="K48" s="10" t="n"/>
      <c r="L48" s="11" t="n"/>
      <c r="M48" s="10" t="n"/>
      <c r="N48" s="10" t="n"/>
      <c r="O48" s="10" t="n"/>
      <c r="P48" s="10" t="n"/>
      <c r="Q48" s="11" t="n"/>
      <c r="R48" s="10" t="n"/>
      <c r="S48" s="10" t="n"/>
      <c r="T48" s="10" t="n"/>
      <c r="U48" s="10" t="n"/>
      <c r="V48" s="11" t="n"/>
    </row>
    <row r="49">
      <c r="A49" t="n">
        <v>1</v>
      </c>
      <c r="C49" t="inlineStr">
        <is>
          <t>기타자본</t>
        </is>
      </c>
      <c r="E49" s="18" t="n">
        <v>-420.46</v>
      </c>
      <c r="F49" s="18" t="n">
        <v>209.12</v>
      </c>
      <c r="G49" s="37" t="n">
        <v>209.12</v>
      </c>
      <c r="H49" s="18" t="n">
        <v>209.12</v>
      </c>
      <c r="I49" s="19" t="n">
        <v>209.12</v>
      </c>
      <c r="J49" s="10" t="n"/>
      <c r="K49" s="10" t="n"/>
      <c r="L49" s="11" t="n"/>
      <c r="M49" s="10" t="n"/>
      <c r="N49" s="10" t="n"/>
      <c r="O49" s="10" t="n"/>
      <c r="P49" s="10" t="n"/>
      <c r="Q49" s="11" t="n"/>
      <c r="R49" s="10" t="n"/>
      <c r="S49" s="10" t="n"/>
      <c r="T49" s="10" t="n"/>
      <c r="U49" s="10" t="n"/>
      <c r="V49" s="11" t="n"/>
    </row>
    <row r="50">
      <c r="A50" t="n">
        <v>1</v>
      </c>
      <c r="C50" t="inlineStr">
        <is>
          <t>이익잉여금</t>
        </is>
      </c>
      <c r="E50" s="18" t="n">
        <v>51190.05</v>
      </c>
      <c r="F50" s="18" t="n">
        <v>49294.84</v>
      </c>
      <c r="G50" s="37" t="n">
        <v>49294.84</v>
      </c>
      <c r="H50" s="18" t="n">
        <v>51656.44</v>
      </c>
      <c r="I50" s="19" t="n">
        <v>55725.88</v>
      </c>
      <c r="J50" s="10" t="n"/>
      <c r="K50" s="10" t="n"/>
      <c r="L50" s="11" t="n"/>
      <c r="M50" s="10" t="n"/>
      <c r="N50" s="10" t="n"/>
      <c r="O50" s="10" t="n"/>
      <c r="P50" s="10" t="n"/>
      <c r="Q50" s="11" t="n"/>
      <c r="R50" s="10" t="n"/>
      <c r="S50" s="10" t="n"/>
      <c r="T50" s="10" t="n"/>
      <c r="U50" s="10" t="n"/>
      <c r="V50" s="11" t="n"/>
    </row>
    <row r="51">
      <c r="A51" t="n">
        <v>1</v>
      </c>
      <c r="C51" t="inlineStr">
        <is>
          <t>자본총계</t>
        </is>
      </c>
      <c r="E51" s="18" t="n">
        <v>80228.81</v>
      </c>
      <c r="F51" s="18" t="n">
        <v>117535.94</v>
      </c>
      <c r="G51" s="37" t="n">
        <v>117535.94</v>
      </c>
      <c r="H51" s="18" t="n">
        <v>119897.54</v>
      </c>
      <c r="I51" s="19" t="n">
        <v>123967.32</v>
      </c>
      <c r="J51" s="10" t="n"/>
      <c r="K51" s="10" t="n"/>
      <c r="L51" s="11" t="n"/>
      <c r="M51" s="10" t="n"/>
      <c r="N51" s="10" t="n"/>
      <c r="O51" s="10" t="n"/>
      <c r="P51" s="10" t="n"/>
      <c r="Q51" s="11" t="n"/>
      <c r="R51" s="10" t="n"/>
      <c r="S51" s="10" t="n"/>
      <c r="T51" s="10" t="n"/>
      <c r="U51" s="10" t="n"/>
      <c r="V51" s="11" t="n"/>
    </row>
    <row r="52">
      <c r="A52" t="n">
        <v>1</v>
      </c>
      <c r="C52" t="inlineStr">
        <is>
          <t>부채와자본총계</t>
        </is>
      </c>
      <c r="E52" s="18" t="n">
        <v>187291.71</v>
      </c>
      <c r="F52" s="18" t="n">
        <v>228861.05</v>
      </c>
      <c r="G52" s="37" t="n">
        <v>228861.05</v>
      </c>
      <c r="H52" s="18" t="n">
        <v>224530.02</v>
      </c>
      <c r="I52" s="19" t="n">
        <v>226048.87</v>
      </c>
      <c r="J52" s="10" t="n"/>
      <c r="K52" s="10" t="n"/>
      <c r="L52" s="11" t="n"/>
      <c r="M52" s="10" t="n"/>
      <c r="N52" s="10" t="n"/>
      <c r="O52" s="10" t="n"/>
      <c r="P52" s="10" t="n"/>
      <c r="Q52" s="11" t="n"/>
      <c r="R52" s="10" t="n"/>
      <c r="S52" s="10" t="n"/>
      <c r="T52" s="10" t="n"/>
      <c r="U52" s="10" t="n"/>
      <c r="V52" s="11" t="n"/>
    </row>
    <row r="53">
      <c r="A53" t="n">
        <v>1</v>
      </c>
      <c r="C53" t="inlineStr">
        <is>
          <t>지배주주지분</t>
        </is>
      </c>
      <c r="E53" s="18" t="n">
        <v>80228.81</v>
      </c>
      <c r="F53" s="18" t="n">
        <v>117535.94</v>
      </c>
      <c r="G53" s="37" t="n">
        <v>117535.94</v>
      </c>
      <c r="H53" s="18" t="n">
        <v>119897.54</v>
      </c>
      <c r="I53" s="19" t="n">
        <v>123967.32</v>
      </c>
      <c r="J53" s="10" t="n"/>
      <c r="K53" s="10" t="n"/>
      <c r="L53" s="11" t="n"/>
      <c r="M53" s="10" t="n"/>
      <c r="N53" s="10" t="n"/>
      <c r="O53" s="10" t="n"/>
      <c r="P53" s="10" t="n"/>
      <c r="Q53" s="11" t="n"/>
      <c r="R53" s="10" t="n"/>
      <c r="S53" s="10" t="n"/>
      <c r="T53" s="10" t="n"/>
      <c r="U53" s="10" t="n"/>
      <c r="V53" s="11" t="n"/>
    </row>
    <row r="54">
      <c r="A54" t="n">
        <v>1</v>
      </c>
      <c r="C54" t="inlineStr">
        <is>
          <t>총차입금</t>
        </is>
      </c>
      <c r="E54" s="18" t="n">
        <v>62919.38</v>
      </c>
      <c r="F54" s="18" t="n">
        <v>56700.55</v>
      </c>
      <c r="G54" s="37" t="n">
        <v>56700.55</v>
      </c>
      <c r="H54" s="18" t="n">
        <v>49555.9</v>
      </c>
      <c r="I54" s="19" t="n">
        <v>0</v>
      </c>
      <c r="J54" s="10" t="n"/>
      <c r="K54" s="10" t="n"/>
      <c r="L54" s="11" t="n"/>
      <c r="M54" s="10" t="n"/>
      <c r="N54" s="10" t="n"/>
      <c r="O54" s="10" t="n"/>
      <c r="P54" s="10" t="n"/>
      <c r="Q54" s="11" t="n"/>
      <c r="R54" s="10" t="n"/>
      <c r="S54" s="10" t="n"/>
      <c r="T54" s="10" t="n"/>
      <c r="U54" s="10" t="n"/>
      <c r="V54" s="11" t="n"/>
    </row>
    <row r="55">
      <c r="A55" t="n">
        <v>1</v>
      </c>
      <c r="C55" t="inlineStr">
        <is>
          <t>순차입금</t>
        </is>
      </c>
      <c r="E55" s="18" t="n">
        <v>58291.98</v>
      </c>
      <c r="F55" s="18" t="n">
        <v>47510.6</v>
      </c>
      <c r="G55" s="37" t="n">
        <v>47510.6</v>
      </c>
      <c r="H55" s="18" t="n">
        <v>47273.83</v>
      </c>
      <c r="I55" s="19" t="n">
        <v>-3182.25</v>
      </c>
      <c r="J55" s="10" t="n"/>
      <c r="K55" s="10" t="n"/>
      <c r="L55" s="11" t="n"/>
      <c r="M55" s="10" t="n"/>
      <c r="N55" s="10" t="n"/>
      <c r="O55" s="10" t="n"/>
      <c r="P55" s="10" t="n"/>
      <c r="Q55" s="11" t="n"/>
      <c r="R55" s="10" t="n"/>
      <c r="S55" s="10" t="n"/>
      <c r="T55" s="10" t="n"/>
      <c r="U55" s="10" t="n"/>
      <c r="V55" s="11" t="n"/>
    </row>
    <row r="56">
      <c r="A56" t="n">
        <v>1</v>
      </c>
      <c r="C56" t="inlineStr">
        <is>
          <t>이자발생자산</t>
        </is>
      </c>
      <c r="E56" s="18" t="n">
        <v>4664.07</v>
      </c>
      <c r="F56" s="18" t="n">
        <v>9226.620000000001</v>
      </c>
      <c r="G56" s="37" t="n">
        <v>9226.620000000001</v>
      </c>
      <c r="H56" s="18" t="n">
        <v>2318.74</v>
      </c>
      <c r="I56" s="19" t="n">
        <v>3218.92</v>
      </c>
      <c r="J56" s="10" t="n"/>
      <c r="K56" s="10" t="n"/>
      <c r="L56" s="11" t="n"/>
      <c r="M56" s="10" t="n"/>
      <c r="N56" s="10" t="n"/>
      <c r="O56" s="10" t="n"/>
      <c r="P56" s="10" t="n"/>
      <c r="Q56" s="11" t="n"/>
      <c r="R56" s="10" t="n"/>
      <c r="S56" s="10" t="n"/>
      <c r="T56" s="10" t="n"/>
      <c r="U56" s="10" t="n"/>
      <c r="V56" s="11" t="n"/>
    </row>
    <row r="57">
      <c r="A57" t="n">
        <v>1</v>
      </c>
      <c r="C57" t="inlineStr">
        <is>
          <t>단기투자자산(공정가치)</t>
        </is>
      </c>
      <c r="F57" s="18" t="n">
        <v>5009.77</v>
      </c>
      <c r="G57" s="37" t="n">
        <v>5009.77</v>
      </c>
      <c r="H57" s="18" t="n">
        <v>0</v>
      </c>
      <c r="I57" s="19" t="n">
        <v>0</v>
      </c>
      <c r="J57" s="10" t="n"/>
      <c r="K57" s="10" t="n"/>
      <c r="L57" s="11" t="n"/>
      <c r="M57" s="10" t="n"/>
      <c r="N57" s="10" t="n"/>
      <c r="O57" s="10" t="n"/>
      <c r="P57" s="10" t="n"/>
      <c r="Q57" s="11" t="n"/>
      <c r="R57" s="10" t="n"/>
      <c r="S57" s="10" t="n"/>
      <c r="T57" s="10" t="n"/>
      <c r="U57" s="10" t="n"/>
      <c r="V57" s="11" t="n"/>
    </row>
    <row r="58">
      <c r="A58" t="n">
        <v>1</v>
      </c>
      <c r="C58" t="inlineStr">
        <is>
          <t>단기금융부채(face)</t>
        </is>
      </c>
      <c r="F58" s="18" t="n">
        <v>44830.98</v>
      </c>
      <c r="G58" s="37" t="n">
        <v>44830.98</v>
      </c>
      <c r="H58" s="18" t="n">
        <v>38273.29</v>
      </c>
      <c r="I58" s="5" t="n"/>
      <c r="J58" s="10" t="n"/>
      <c r="K58" s="10" t="n"/>
      <c r="L58" s="11" t="n"/>
      <c r="M58" s="10" t="n"/>
      <c r="N58" s="10" t="n"/>
      <c r="O58" s="10" t="n"/>
      <c r="P58" s="10" t="n"/>
      <c r="Q58" s="11" t="n"/>
      <c r="R58" s="10" t="n"/>
      <c r="S58" s="10" t="n"/>
      <c r="T58" s="10" t="n"/>
      <c r="U58" s="10" t="n"/>
      <c r="V58" s="11" t="n"/>
    </row>
    <row r="59">
      <c r="A59" t="n">
        <v>1</v>
      </c>
      <c r="C59" t="inlineStr">
        <is>
          <t>매출액(수익)</t>
        </is>
      </c>
      <c r="E59" s="18" t="n">
        <v>74528.07000000001</v>
      </c>
      <c r="F59" s="18" t="n">
        <v>73781.16</v>
      </c>
      <c r="G59" s="9" t="n"/>
      <c r="H59" s="18" t="n">
        <v>89557.77</v>
      </c>
      <c r="I59" s="19" t="n">
        <v>100667.04</v>
      </c>
      <c r="J59" s="10" t="n"/>
      <c r="K59" s="10" t="n"/>
      <c r="L59" s="11" t="n"/>
      <c r="M59" s="10" t="n"/>
      <c r="N59" s="10" t="n"/>
      <c r="O59" s="10" t="n"/>
      <c r="P59" s="10" t="n"/>
      <c r="Q59" s="11" t="n"/>
      <c r="R59" s="10" t="n"/>
      <c r="S59" s="10" t="n"/>
      <c r="T59" s="10" t="n"/>
      <c r="U59" s="10" t="n"/>
      <c r="V59" s="11" t="n"/>
    </row>
    <row r="60">
      <c r="A60" t="n">
        <v>1</v>
      </c>
      <c r="C60" t="inlineStr">
        <is>
          <t>매출원가</t>
        </is>
      </c>
      <c r="E60" s="18" t="n">
        <v>67811.77</v>
      </c>
      <c r="F60" s="18" t="n">
        <v>69189.67</v>
      </c>
      <c r="G60" s="9" t="n"/>
      <c r="H60" s="18" t="n">
        <v>83419.89999999999</v>
      </c>
      <c r="I60" s="19" t="n">
        <v>92143.08</v>
      </c>
      <c r="J60" s="10" t="n"/>
      <c r="K60" s="10" t="n"/>
      <c r="L60" s="11" t="n"/>
      <c r="M60" s="10" t="n"/>
      <c r="N60" s="10" t="n"/>
      <c r="O60" s="10" t="n"/>
      <c r="P60" s="10" t="n"/>
      <c r="Q60" s="11" t="n"/>
      <c r="R60" s="10" t="n"/>
      <c r="S60" s="10" t="n"/>
      <c r="T60" s="10" t="n"/>
      <c r="U60" s="10" t="n"/>
      <c r="V60" s="11" t="n"/>
    </row>
    <row r="61">
      <c r="A61" t="n">
        <v>1</v>
      </c>
      <c r="C61" t="inlineStr">
        <is>
          <t>매출총이익</t>
        </is>
      </c>
      <c r="E61" s="18" t="n">
        <v>6716.31</v>
      </c>
      <c r="F61" s="18" t="n">
        <v>4591.5</v>
      </c>
      <c r="G61" s="9" t="n"/>
      <c r="H61" s="18" t="n">
        <v>6137.87</v>
      </c>
      <c r="I61" s="19" t="n">
        <v>8523.959999999999</v>
      </c>
      <c r="J61" s="10" t="n"/>
      <c r="K61" s="10" t="n"/>
      <c r="L61" s="11" t="n"/>
      <c r="M61" s="10" t="n"/>
      <c r="N61" s="10" t="n"/>
      <c r="O61" s="10" t="n"/>
      <c r="P61" s="10" t="n"/>
      <c r="Q61" s="11" t="n"/>
      <c r="R61" s="10" t="n"/>
      <c r="S61" s="10" t="n"/>
      <c r="T61" s="10" t="n"/>
      <c r="U61" s="10" t="n"/>
      <c r="V61" s="11" t="n"/>
    </row>
    <row r="62">
      <c r="A62" t="n">
        <v>1</v>
      </c>
      <c r="C62" t="inlineStr">
        <is>
          <t>판관비</t>
        </is>
      </c>
      <c r="E62" s="18" t="n">
        <v>4553.51</v>
      </c>
      <c r="F62" s="18" t="n">
        <v>5642.54</v>
      </c>
      <c r="G62" s="9" t="n"/>
      <c r="H62" s="18" t="n">
        <v>3692.09</v>
      </c>
      <c r="I62" s="19" t="n">
        <v>5096</v>
      </c>
      <c r="J62" s="10" t="n"/>
      <c r="K62" s="10" t="n"/>
      <c r="L62" s="11" t="n"/>
      <c r="M62" s="10" t="n"/>
      <c r="N62" s="10" t="n"/>
      <c r="O62" s="10" t="n"/>
      <c r="P62" s="10" t="n"/>
      <c r="Q62" s="11" t="n"/>
      <c r="R62" s="10" t="n"/>
      <c r="S62" s="10" t="n"/>
      <c r="T62" s="10" t="n"/>
      <c r="U62" s="10" t="n"/>
      <c r="V62" s="11" t="n"/>
    </row>
    <row r="63">
      <c r="A63" t="n">
        <v>1</v>
      </c>
      <c r="C63" t="inlineStr">
        <is>
          <t>영업이익</t>
        </is>
      </c>
      <c r="E63" s="18" t="n">
        <v>2162.79</v>
      </c>
      <c r="F63" s="18" t="n">
        <v>-1051.04</v>
      </c>
      <c r="G63" s="9" t="n"/>
      <c r="H63" s="18" t="n">
        <v>2445.78</v>
      </c>
      <c r="I63" s="19" t="n">
        <v>3427.96</v>
      </c>
      <c r="J63" s="10" t="n"/>
      <c r="K63" s="10" t="n"/>
      <c r="L63" s="11" t="n"/>
      <c r="M63" s="10" t="n"/>
      <c r="N63" s="10" t="n"/>
      <c r="O63" s="10" t="n"/>
      <c r="P63" s="10" t="n"/>
      <c r="Q63" s="11" t="n"/>
      <c r="R63" s="10" t="n"/>
      <c r="S63" s="10" t="n"/>
      <c r="T63" s="10" t="n"/>
      <c r="U63" s="10" t="n"/>
      <c r="V63" s="11" t="n"/>
    </row>
    <row r="64">
      <c r="A64" t="n">
        <v>1</v>
      </c>
      <c r="C64" t="inlineStr">
        <is>
          <t>기타영업외수익</t>
        </is>
      </c>
      <c r="E64" s="18" t="n">
        <v>623.38</v>
      </c>
      <c r="F64" s="18" t="n">
        <v>680.17</v>
      </c>
      <c r="G64" s="9" t="n"/>
      <c r="H64" s="18" t="n">
        <v>1849.16</v>
      </c>
      <c r="I64" s="19" t="n">
        <v>1132.13</v>
      </c>
      <c r="J64" s="10" t="n"/>
      <c r="K64" s="10" t="n"/>
      <c r="L64" s="11" t="n"/>
      <c r="M64" s="10" t="n"/>
      <c r="N64" s="10" t="n"/>
      <c r="O64" s="10" t="n"/>
      <c r="P64" s="10" t="n"/>
      <c r="Q64" s="11" t="n"/>
      <c r="R64" s="10" t="n"/>
      <c r="S64" s="10" t="n"/>
      <c r="T64" s="10" t="n"/>
      <c r="U64" s="10" t="n"/>
      <c r="V64" s="11" t="n"/>
    </row>
    <row r="65">
      <c r="A65" t="n">
        <v>1</v>
      </c>
      <c r="C65" t="inlineStr">
        <is>
          <t>기타영업외비용</t>
        </is>
      </c>
      <c r="E65" s="18" t="n">
        <v>-98.39</v>
      </c>
      <c r="F65" s="18" t="n">
        <v>320.96</v>
      </c>
      <c r="G65" s="9" t="n"/>
      <c r="H65" s="18" t="n">
        <v>1008.78</v>
      </c>
      <c r="I65" s="19" t="n">
        <v>539.96</v>
      </c>
      <c r="J65" s="10" t="n"/>
      <c r="K65" s="10" t="n"/>
      <c r="L65" s="11" t="n"/>
      <c r="M65" s="10" t="n"/>
      <c r="N65" s="10" t="n"/>
      <c r="O65" s="10" t="n"/>
      <c r="P65" s="10" t="n"/>
      <c r="Q65" s="11" t="n"/>
      <c r="R65" s="10" t="n"/>
      <c r="S65" s="10" t="n"/>
      <c r="T65" s="10" t="n"/>
      <c r="U65" s="10" t="n"/>
      <c r="V65" s="11" t="n"/>
    </row>
    <row r="66">
      <c r="A66" t="n">
        <v>1</v>
      </c>
      <c r="C66" t="inlineStr">
        <is>
          <t>금융수익</t>
        </is>
      </c>
      <c r="E66" s="18" t="n">
        <v>1130.63</v>
      </c>
      <c r="F66" s="18" t="n">
        <v>1829.58</v>
      </c>
      <c r="G66" s="9" t="n"/>
      <c r="H66" s="18" t="n">
        <v>3502.43</v>
      </c>
      <c r="I66" s="19" t="n">
        <v>3350.62</v>
      </c>
      <c r="J66" s="10" t="n"/>
      <c r="K66" s="10" t="n"/>
      <c r="L66" s="11" t="n"/>
      <c r="M66" s="10" t="n"/>
      <c r="N66" s="10" t="n"/>
      <c r="O66" s="10" t="n"/>
      <c r="P66" s="10" t="n"/>
      <c r="Q66" s="11" t="n"/>
      <c r="R66" s="10" t="n"/>
      <c r="S66" s="10" t="n"/>
      <c r="T66" s="10" t="n"/>
      <c r="U66" s="10" t="n"/>
      <c r="V66" s="11" t="n"/>
    </row>
    <row r="67">
      <c r="A67" t="n">
        <v>1</v>
      </c>
      <c r="C67" t="inlineStr">
        <is>
          <t>금융비용</t>
        </is>
      </c>
      <c r="E67" s="18" t="n">
        <v>913.08</v>
      </c>
      <c r="F67" s="18" t="n">
        <v>1965.31</v>
      </c>
      <c r="G67" s="9" t="n"/>
      <c r="H67" s="18" t="n">
        <v>2348.01</v>
      </c>
      <c r="I67" s="19" t="n">
        <v>2290.12</v>
      </c>
      <c r="J67" s="10" t="n"/>
      <c r="K67" s="10" t="n"/>
      <c r="L67" s="11" t="n"/>
      <c r="M67" s="10" t="n"/>
      <c r="N67" s="10" t="n"/>
      <c r="O67" s="10" t="n"/>
      <c r="P67" s="10" t="n"/>
      <c r="Q67" s="11" t="n"/>
      <c r="R67" s="10" t="n"/>
      <c r="S67" s="10" t="n"/>
      <c r="T67" s="10" t="n"/>
      <c r="U67" s="10" t="n"/>
      <c r="V67" s="11" t="n"/>
    </row>
    <row r="68">
      <c r="A68" t="n">
        <v>1</v>
      </c>
      <c r="C68" t="inlineStr">
        <is>
          <t>법인세비용차감전계속사업이익</t>
        </is>
      </c>
      <c r="E68" s="18" t="n">
        <v>3102.12</v>
      </c>
      <c r="F68" s="18" t="n">
        <v>-827.5700000000001</v>
      </c>
      <c r="G68" s="9" t="n"/>
      <c r="H68" s="18" t="n">
        <v>4440.58</v>
      </c>
      <c r="I68" s="19" t="n">
        <v>5080.63</v>
      </c>
      <c r="J68" s="10" t="n"/>
      <c r="K68" s="10" t="n"/>
      <c r="L68" s="11" t="n"/>
      <c r="M68" s="10" t="n"/>
      <c r="N68" s="10" t="n"/>
      <c r="O68" s="10" t="n"/>
      <c r="P68" s="10" t="n"/>
      <c r="Q68" s="11" t="n"/>
      <c r="R68" s="10" t="n"/>
      <c r="S68" s="10" t="n"/>
      <c r="T68" s="10" t="n"/>
      <c r="U68" s="10" t="n"/>
      <c r="V68" s="11" t="n"/>
    </row>
    <row r="69">
      <c r="A69" t="n">
        <v>1</v>
      </c>
      <c r="C69" t="inlineStr">
        <is>
          <t>법인세비용</t>
        </is>
      </c>
      <c r="E69" s="18" t="n">
        <v>396.95</v>
      </c>
      <c r="F69" s="18" t="n">
        <v>125.4</v>
      </c>
      <c r="G69" s="9" t="n"/>
      <c r="H69" s="18" t="n">
        <v>974.58</v>
      </c>
      <c r="I69" s="19" t="n">
        <v>1121.25</v>
      </c>
      <c r="J69" s="10" t="n"/>
      <c r="K69" s="10" t="n"/>
      <c r="L69" s="11" t="n"/>
      <c r="M69" s="10" t="n"/>
      <c r="N69" s="10" t="n"/>
      <c r="O69" s="10" t="n"/>
      <c r="P69" s="10" t="n"/>
      <c r="Q69" s="11" t="n"/>
      <c r="R69" s="10" t="n"/>
      <c r="S69" s="10" t="n"/>
      <c r="T69" s="10" t="n"/>
      <c r="U69" s="10" t="n"/>
      <c r="V69" s="11" t="n"/>
    </row>
    <row r="70">
      <c r="A70" t="n">
        <v>1</v>
      </c>
      <c r="C70" t="inlineStr">
        <is>
          <t>계속사업이익</t>
        </is>
      </c>
      <c r="E70" s="18" t="n">
        <v>2705.17</v>
      </c>
      <c r="F70" s="18" t="n">
        <v>-952.97</v>
      </c>
      <c r="G70" s="9" t="n"/>
      <c r="H70" s="18" t="n">
        <v>3466</v>
      </c>
      <c r="I70" s="19" t="n">
        <v>3959.39</v>
      </c>
      <c r="J70" s="10" t="n"/>
      <c r="K70" s="10" t="n"/>
      <c r="L70" s="11" t="n"/>
      <c r="M70" s="10" t="n"/>
      <c r="N70" s="10" t="n"/>
      <c r="O70" s="10" t="n"/>
      <c r="P70" s="10" t="n"/>
      <c r="Q70" s="11" t="n"/>
      <c r="R70" s="10" t="n"/>
      <c r="S70" s="10" t="n"/>
      <c r="T70" s="10" t="n"/>
      <c r="U70" s="10" t="n"/>
      <c r="V70" s="11" t="n"/>
    </row>
    <row r="71">
      <c r="A71" t="n">
        <v>1</v>
      </c>
      <c r="C71" t="inlineStr">
        <is>
          <t>중단사업이익</t>
        </is>
      </c>
      <c r="E71" s="18" t="n">
        <v>-512.8</v>
      </c>
      <c r="F71" s="18" t="n">
        <v>-500.44</v>
      </c>
      <c r="G71" s="9" t="n"/>
      <c r="H71" s="18" t="n">
        <v>0</v>
      </c>
      <c r="I71" s="19" t="n">
        <v>0</v>
      </c>
      <c r="J71" s="10" t="n"/>
      <c r="K71" s="10" t="n"/>
      <c r="L71" s="11" t="n"/>
      <c r="M71" s="10" t="n"/>
      <c r="N71" s="10" t="n"/>
      <c r="O71" s="10" t="n"/>
      <c r="P71" s="10" t="n"/>
      <c r="Q71" s="11" t="n"/>
      <c r="R71" s="10" t="n"/>
      <c r="S71" s="10" t="n"/>
      <c r="T71" s="10" t="n"/>
      <c r="U71" s="10" t="n"/>
      <c r="V71" s="11" t="n"/>
    </row>
    <row r="72">
      <c r="A72" t="n">
        <v>1</v>
      </c>
      <c r="C72" t="inlineStr">
        <is>
          <t>당기순이익</t>
        </is>
      </c>
      <c r="E72" s="18" t="n">
        <v>2192.36</v>
      </c>
      <c r="F72" s="18" t="n">
        <v>-1453.4</v>
      </c>
      <c r="G72" s="9" t="n"/>
      <c r="H72" s="18" t="n">
        <v>3466</v>
      </c>
      <c r="I72" s="19" t="n">
        <v>3959.39</v>
      </c>
      <c r="J72" s="10" t="n"/>
      <c r="K72" s="10" t="n"/>
      <c r="L72" s="11" t="n"/>
      <c r="M72" s="10" t="n"/>
      <c r="N72" s="10" t="n"/>
      <c r="O72" s="10" t="n"/>
      <c r="P72" s="10" t="n"/>
      <c r="Q72" s="11" t="n"/>
      <c r="R72" s="10" t="n"/>
      <c r="S72" s="10" t="n"/>
      <c r="T72" s="10" t="n"/>
      <c r="U72" s="10" t="n"/>
      <c r="V72" s="11" t="n"/>
    </row>
    <row r="73">
      <c r="A73" t="n">
        <v>1</v>
      </c>
      <c r="C73" t="inlineStr">
        <is>
          <t>금융손익</t>
        </is>
      </c>
      <c r="E73" s="18" t="n">
        <v>217.55</v>
      </c>
      <c r="F73" s="18" t="n">
        <v>-135.73</v>
      </c>
      <c r="G73" s="9" t="n"/>
      <c r="H73" s="18" t="n">
        <v>1154.42</v>
      </c>
      <c r="I73" s="19" t="n">
        <v>1060.5</v>
      </c>
      <c r="J73" s="10" t="n"/>
      <c r="K73" s="10" t="n"/>
      <c r="L73" s="11" t="n"/>
      <c r="M73" s="10" t="n"/>
      <c r="N73" s="10" t="n"/>
      <c r="O73" s="10" t="n"/>
      <c r="P73" s="10" t="n"/>
      <c r="Q73" s="11" t="n"/>
      <c r="R73" s="10" t="n"/>
      <c r="S73" s="10" t="n"/>
      <c r="T73" s="10" t="n"/>
      <c r="U73" s="10" t="n"/>
      <c r="V73" s="11" t="n"/>
    </row>
    <row r="74">
      <c r="A74" t="n">
        <v>1</v>
      </c>
      <c r="C74" t="inlineStr">
        <is>
          <t>기타영업외손익</t>
        </is>
      </c>
      <c r="E74" s="18" t="n">
        <v>721.77</v>
      </c>
      <c r="F74" s="18" t="n">
        <v>359.21</v>
      </c>
      <c r="G74" s="9" t="n"/>
      <c r="H74" s="18" t="n">
        <v>840.38</v>
      </c>
      <c r="I74" s="19" t="n">
        <v>592.17</v>
      </c>
      <c r="J74" s="10" t="n"/>
      <c r="K74" s="10" t="n"/>
      <c r="L74" s="11" t="n"/>
      <c r="M74" s="10" t="n"/>
      <c r="N74" s="10" t="n"/>
      <c r="O74" s="10" t="n"/>
      <c r="P74" s="10" t="n"/>
      <c r="Q74" s="11" t="n"/>
      <c r="R74" s="10" t="n"/>
      <c r="S74" s="10" t="n"/>
      <c r="T74" s="10" t="n"/>
      <c r="U74" s="10" t="n"/>
      <c r="V74" s="11" t="n"/>
    </row>
    <row r="75">
      <c r="A75" t="n">
        <v>1</v>
      </c>
      <c r="C75" t="inlineStr">
        <is>
          <t>(지배주주지분)당기순이익</t>
        </is>
      </c>
      <c r="E75" s="18" t="n">
        <v>2192.36</v>
      </c>
      <c r="F75" s="18" t="n">
        <v>-1453.4</v>
      </c>
      <c r="G75" s="9" t="n"/>
      <c r="H75" s="18" t="n">
        <v>3466</v>
      </c>
      <c r="I75" s="19" t="n">
        <v>3959.39</v>
      </c>
      <c r="J75" s="10" t="n"/>
      <c r="K75" s="10" t="n"/>
      <c r="L75" s="11" t="n"/>
      <c r="M75" s="10" t="n"/>
      <c r="N75" s="10" t="n"/>
      <c r="O75" s="10" t="n"/>
      <c r="P75" s="10" t="n"/>
      <c r="Q75" s="11" t="n"/>
      <c r="R75" s="10" t="n"/>
      <c r="S75" s="10" t="n"/>
      <c r="T75" s="10" t="n"/>
      <c r="U75" s="10" t="n"/>
      <c r="V75" s="11" t="n"/>
    </row>
    <row r="76">
      <c r="A76" t="n">
        <v>1</v>
      </c>
      <c r="C76" t="inlineStr">
        <is>
          <t>총포괄손익</t>
        </is>
      </c>
      <c r="E76" s="18" t="n">
        <v>2297.58</v>
      </c>
      <c r="F76" s="18" t="n">
        <v>-1895.2</v>
      </c>
      <c r="G76" s="9" t="n"/>
      <c r="H76" s="18" t="n">
        <v>3553.2</v>
      </c>
      <c r="I76" s="19" t="n">
        <v>4069.44</v>
      </c>
      <c r="J76" s="10" t="n"/>
      <c r="K76" s="10" t="n"/>
      <c r="L76" s="11" t="n"/>
      <c r="M76" s="10" t="n"/>
      <c r="N76" s="10" t="n"/>
      <c r="O76" s="10" t="n"/>
      <c r="P76" s="10" t="n"/>
      <c r="Q76" s="11" t="n"/>
      <c r="R76" s="10" t="n"/>
      <c r="S76" s="10" t="n"/>
      <c r="T76" s="10" t="n"/>
      <c r="U76" s="10" t="n"/>
      <c r="V76" s="11" t="n"/>
    </row>
    <row r="77">
      <c r="A77" t="n">
        <v>1</v>
      </c>
      <c r="C77" t="inlineStr">
        <is>
          <t>영업활동으로인한현금흐름</t>
        </is>
      </c>
      <c r="E77" s="18" t="n">
        <v>2857.58</v>
      </c>
      <c r="F77" s="18" t="n">
        <v>1683.89</v>
      </c>
      <c r="G77" s="9" t="n"/>
      <c r="H77" s="18" t="n">
        <v>-8824.940000000001</v>
      </c>
      <c r="I77" s="19" t="n">
        <v>-1669.51</v>
      </c>
      <c r="J77" s="10" t="n"/>
      <c r="K77" s="10" t="n"/>
      <c r="L77" s="11" t="n"/>
      <c r="M77" s="10" t="n"/>
      <c r="N77" s="10" t="n"/>
      <c r="O77" s="10" t="n"/>
      <c r="P77" s="10" t="n"/>
      <c r="Q77" s="11" t="n"/>
      <c r="R77" s="10" t="n"/>
      <c r="S77" s="10" t="n"/>
      <c r="T77" s="10" t="n"/>
      <c r="U77" s="10" t="n"/>
      <c r="V77" s="11" t="n"/>
    </row>
    <row r="78">
      <c r="A78" t="n">
        <v>1</v>
      </c>
      <c r="C78" t="inlineStr">
        <is>
          <t>법인세납부(CF)</t>
        </is>
      </c>
      <c r="E78" s="18" t="n">
        <v>-463.69</v>
      </c>
      <c r="F78" s="18" t="n">
        <v>-28.49</v>
      </c>
      <c r="G78" s="9" t="n"/>
      <c r="H78" s="18" t="n">
        <v>-18.37</v>
      </c>
      <c r="I78" s="19" t="n">
        <v>-259.35</v>
      </c>
      <c r="J78" s="10" t="n"/>
      <c r="K78" s="10" t="n"/>
      <c r="L78" s="11" t="n"/>
      <c r="M78" s="10" t="n"/>
      <c r="N78" s="10" t="n"/>
      <c r="O78" s="10" t="n"/>
      <c r="P78" s="10" t="n"/>
      <c r="Q78" s="11" t="n"/>
      <c r="R78" s="10" t="n"/>
      <c r="S78" s="10" t="n"/>
      <c r="T78" s="10" t="n"/>
      <c r="U78" s="10" t="n"/>
      <c r="V78" s="11" t="n"/>
    </row>
    <row r="79">
      <c r="A79" t="n">
        <v>1</v>
      </c>
      <c r="C79" t="inlineStr">
        <is>
          <t>투자활동으로인한현금흐름</t>
        </is>
      </c>
      <c r="E79" s="18" t="n">
        <v>17679.8</v>
      </c>
      <c r="F79" s="18" t="n">
        <v>-29560.08</v>
      </c>
      <c r="G79" s="9" t="n"/>
      <c r="H79" s="18" t="n">
        <v>8924.299999999999</v>
      </c>
      <c r="I79" s="19" t="n">
        <v>6399.69</v>
      </c>
      <c r="J79" s="10" t="n"/>
      <c r="K79" s="10" t="n"/>
      <c r="L79" s="11" t="n"/>
      <c r="M79" s="10" t="n"/>
      <c r="N79" s="10" t="n"/>
      <c r="O79" s="10" t="n"/>
      <c r="P79" s="10" t="n"/>
      <c r="Q79" s="11" t="n"/>
      <c r="R79" s="10" t="n"/>
      <c r="S79" s="10" t="n"/>
      <c r="T79" s="10" t="n"/>
      <c r="U79" s="10" t="n"/>
      <c r="V79" s="11" t="n"/>
    </row>
    <row r="80">
      <c r="A80" t="n">
        <v>1</v>
      </c>
      <c r="C80" t="inlineStr">
        <is>
          <t>유형자산의감소</t>
        </is>
      </c>
      <c r="E80" s="18" t="n">
        <v>0</v>
      </c>
      <c r="F80" s="18" t="n">
        <v>8.5</v>
      </c>
      <c r="G80" s="9" t="n"/>
      <c r="H80" s="18" t="n">
        <v>0</v>
      </c>
      <c r="I80" s="19" t="n">
        <v>1.5</v>
      </c>
      <c r="J80" s="10" t="n"/>
      <c r="K80" s="10" t="n"/>
      <c r="L80" s="11" t="n"/>
      <c r="M80" s="10" t="n"/>
      <c r="N80" s="10" t="n"/>
      <c r="O80" s="10" t="n"/>
      <c r="P80" s="10" t="n"/>
      <c r="Q80" s="11" t="n"/>
      <c r="R80" s="10" t="n"/>
      <c r="S80" s="10" t="n"/>
      <c r="T80" s="10" t="n"/>
      <c r="U80" s="10" t="n"/>
      <c r="V80" s="11" t="n"/>
    </row>
    <row r="81">
      <c r="A81" t="n">
        <v>1</v>
      </c>
      <c r="C81" t="inlineStr">
        <is>
          <t>유형자산의증가</t>
        </is>
      </c>
      <c r="E81" s="18" t="n">
        <v>205.82</v>
      </c>
      <c r="F81" s="18" t="n">
        <v>48.15</v>
      </c>
      <c r="G81" s="9" t="n"/>
      <c r="H81" s="18" t="n">
        <v>166.45</v>
      </c>
      <c r="I81" s="19" t="n">
        <v>395.7</v>
      </c>
      <c r="J81" s="10" t="n"/>
      <c r="K81" s="10" t="n"/>
      <c r="L81" s="11" t="n"/>
      <c r="M81" s="10" t="n"/>
      <c r="N81" s="10" t="n"/>
      <c r="O81" s="10" t="n"/>
      <c r="P81" s="10" t="n"/>
      <c r="Q81" s="11" t="n"/>
      <c r="R81" s="10" t="n"/>
      <c r="S81" s="10" t="n"/>
      <c r="T81" s="10" t="n"/>
      <c r="U81" s="10" t="n"/>
      <c r="V81" s="11" t="n"/>
    </row>
    <row r="82">
      <c r="A82" t="n">
        <v>1</v>
      </c>
      <c r="C82" t="inlineStr">
        <is>
          <t>CAPEX</t>
        </is>
      </c>
      <c r="E82" s="18" t="n">
        <v>1465.8</v>
      </c>
      <c r="F82" s="18" t="n">
        <v>72.18000000000001</v>
      </c>
      <c r="G82" s="9" t="n"/>
      <c r="H82" s="18" t="n">
        <v>210.15</v>
      </c>
      <c r="I82" s="19" t="n">
        <v>422.46</v>
      </c>
      <c r="J82" s="10" t="n"/>
      <c r="K82" s="10" t="n"/>
      <c r="L82" s="11" t="n"/>
      <c r="M82" s="10" t="n"/>
      <c r="N82" s="10" t="n"/>
      <c r="O82" s="10" t="n"/>
      <c r="P82" s="10" t="n"/>
      <c r="Q82" s="11" t="n"/>
      <c r="R82" s="10" t="n"/>
      <c r="S82" s="10" t="n"/>
      <c r="T82" s="10" t="n"/>
      <c r="U82" s="10" t="n"/>
      <c r="V82" s="11" t="n"/>
    </row>
    <row r="83">
      <c r="A83" t="n">
        <v>1</v>
      </c>
      <c r="C83" t="inlineStr">
        <is>
          <t>무형자산의증가</t>
        </is>
      </c>
      <c r="E83" s="18" t="n">
        <v>1259.98</v>
      </c>
      <c r="F83" s="18" t="n">
        <v>24.03</v>
      </c>
      <c r="G83" s="9" t="n"/>
      <c r="H83" s="18" t="n">
        <v>43.7</v>
      </c>
      <c r="I83" s="19" t="n">
        <v>26.76</v>
      </c>
      <c r="J83" s="10" t="n"/>
      <c r="K83" s="10" t="n"/>
      <c r="L83" s="11" t="n"/>
      <c r="M83" s="10" t="n"/>
      <c r="N83" s="10" t="n"/>
      <c r="O83" s="10" t="n"/>
      <c r="P83" s="10" t="n"/>
      <c r="Q83" s="11" t="n"/>
      <c r="R83" s="10" t="n"/>
      <c r="S83" s="10" t="n"/>
      <c r="T83" s="10" t="n"/>
      <c r="U83" s="10" t="n"/>
      <c r="V83" s="11" t="n"/>
    </row>
    <row r="84">
      <c r="A84" t="n">
        <v>1</v>
      </c>
      <c r="C84" t="inlineStr">
        <is>
          <t>재무활동으로인한현금흐름</t>
        </is>
      </c>
      <c r="E84" s="18" t="n">
        <v>-16576.05</v>
      </c>
      <c r="F84" s="18" t="n">
        <v>32211.22</v>
      </c>
      <c r="G84" s="9" t="n"/>
      <c r="H84" s="18" t="n">
        <v>-7396.2</v>
      </c>
      <c r="I84" s="19" t="n">
        <v>-4702.11</v>
      </c>
      <c r="J84" s="10" t="n"/>
      <c r="K84" s="10" t="n"/>
      <c r="L84" s="11" t="n"/>
      <c r="M84" s="10" t="n"/>
      <c r="N84" s="10" t="n"/>
      <c r="O84" s="10" t="n"/>
      <c r="P84" s="10" t="n"/>
      <c r="Q84" s="11" t="n"/>
      <c r="R84" s="10" t="n"/>
      <c r="S84" s="10" t="n"/>
      <c r="T84" s="10" t="n"/>
      <c r="U84" s="10" t="n"/>
      <c r="V84" s="11" t="n"/>
    </row>
    <row r="85">
      <c r="A85" t="n">
        <v>1</v>
      </c>
      <c r="C85" t="inlineStr">
        <is>
          <t>단기차입금의증가</t>
        </is>
      </c>
      <c r="E85" s="18" t="n">
        <v>2357.49</v>
      </c>
      <c r="F85" s="18" t="n">
        <v>3170.33</v>
      </c>
      <c r="G85" s="9" t="n"/>
      <c r="H85" s="18" t="n">
        <v>19470.65</v>
      </c>
      <c r="I85" s="19" t="n">
        <v>69177.25</v>
      </c>
      <c r="J85" s="10" t="n"/>
      <c r="K85" s="10" t="n"/>
      <c r="L85" s="11" t="n"/>
      <c r="M85" s="10" t="n"/>
      <c r="N85" s="10" t="n"/>
      <c r="O85" s="10" t="n"/>
      <c r="P85" s="10" t="n"/>
      <c r="Q85" s="11" t="n"/>
      <c r="R85" s="10" t="n"/>
      <c r="S85" s="10" t="n"/>
      <c r="T85" s="10" t="n"/>
      <c r="U85" s="10" t="n"/>
      <c r="V85" s="11" t="n"/>
    </row>
    <row r="86">
      <c r="A86" t="n">
        <v>1</v>
      </c>
      <c r="C86" t="inlineStr">
        <is>
          <t>단기차입금의감소</t>
        </is>
      </c>
      <c r="E86" s="18" t="n">
        <v>3875.91</v>
      </c>
      <c r="F86" s="18" t="n">
        <v>8779.690000000001</v>
      </c>
      <c r="G86" s="9" t="n"/>
      <c r="H86" s="18" t="n">
        <v>26109.58</v>
      </c>
      <c r="I86" s="19" t="n">
        <v>71930.59</v>
      </c>
      <c r="J86" s="10" t="n"/>
      <c r="K86" s="10" t="n"/>
      <c r="L86" s="11" t="n"/>
      <c r="M86" s="10" t="n"/>
      <c r="N86" s="10" t="n"/>
      <c r="O86" s="10" t="n"/>
      <c r="P86" s="10" t="n"/>
      <c r="Q86" s="11" t="n"/>
      <c r="R86" s="10" t="n"/>
      <c r="S86" s="10" t="n"/>
      <c r="T86" s="10" t="n"/>
      <c r="U86" s="10" t="n"/>
      <c r="V86" s="11" t="n"/>
    </row>
    <row r="87">
      <c r="A87" t="n">
        <v>1</v>
      </c>
      <c r="C87" t="inlineStr">
        <is>
          <t>사채의감소</t>
        </is>
      </c>
      <c r="E87" s="18" t="n">
        <v>10500</v>
      </c>
      <c r="F87" s="18" t="n">
        <v>0</v>
      </c>
      <c r="G87" s="9" t="n"/>
      <c r="I87" s="5" t="n"/>
      <c r="J87" s="10" t="n"/>
      <c r="K87" s="10" t="n"/>
      <c r="L87" s="11" t="n"/>
      <c r="M87" s="10" t="n"/>
      <c r="N87" s="10" t="n"/>
      <c r="O87" s="10" t="n"/>
      <c r="P87" s="10" t="n"/>
      <c r="Q87" s="11" t="n"/>
      <c r="R87" s="10" t="n"/>
      <c r="S87" s="10" t="n"/>
      <c r="T87" s="10" t="n"/>
      <c r="U87" s="10" t="n"/>
      <c r="V87" s="11" t="n"/>
    </row>
    <row r="88">
      <c r="A88" t="n">
        <v>1</v>
      </c>
      <c r="C88" t="inlineStr">
        <is>
          <t>리스부채의상환</t>
        </is>
      </c>
      <c r="E88" s="18" t="n">
        <v>161.99</v>
      </c>
      <c r="F88" s="18" t="n">
        <v>165.19</v>
      </c>
      <c r="G88" s="9" t="n"/>
      <c r="H88" s="18" t="n">
        <v>170.32</v>
      </c>
      <c r="I88" s="19" t="n">
        <v>170.56</v>
      </c>
      <c r="J88" s="10" t="n"/>
      <c r="K88" s="10" t="n"/>
      <c r="L88" s="11" t="n"/>
      <c r="M88" s="10" t="n"/>
      <c r="N88" s="10" t="n"/>
      <c r="O88" s="10" t="n"/>
      <c r="P88" s="10" t="n"/>
      <c r="Q88" s="11" t="n"/>
      <c r="R88" s="10" t="n"/>
      <c r="S88" s="10" t="n"/>
      <c r="T88" s="10" t="n"/>
      <c r="U88" s="10" t="n"/>
      <c r="V88" s="11" t="n"/>
    </row>
    <row r="89">
      <c r="A89" t="n">
        <v>1</v>
      </c>
      <c r="C89" t="inlineStr">
        <is>
          <t>현금및현금성자산의증감</t>
        </is>
      </c>
      <c r="E89" s="18" t="n">
        <v>3961.34</v>
      </c>
      <c r="F89" s="18" t="n">
        <v>4335.03</v>
      </c>
      <c r="G89" s="9" t="n"/>
      <c r="H89" s="18" t="n">
        <v>-7296.84</v>
      </c>
      <c r="I89" s="19" t="n">
        <v>28.06</v>
      </c>
      <c r="J89" s="10" t="n"/>
      <c r="K89" s="10" t="n"/>
      <c r="L89" s="11" t="n"/>
      <c r="M89" s="10" t="n"/>
      <c r="N89" s="10" t="n"/>
      <c r="O89" s="10" t="n"/>
      <c r="P89" s="10" t="n"/>
      <c r="Q89" s="11" t="n"/>
      <c r="R89" s="10" t="n"/>
      <c r="S89" s="10" t="n"/>
      <c r="T89" s="10" t="n"/>
      <c r="U89" s="10" t="n"/>
      <c r="V89" s="11" t="n"/>
    </row>
    <row r="90">
      <c r="A90" t="n">
        <v>1</v>
      </c>
      <c r="C90" t="inlineStr">
        <is>
          <t>기말현금및현금성자산</t>
        </is>
      </c>
      <c r="E90" s="18" t="n">
        <v>3960.25</v>
      </c>
      <c r="F90" s="18" t="n">
        <v>4336.4</v>
      </c>
      <c r="G90" s="9" t="n"/>
      <c r="H90" s="18" t="n">
        <v>1667.91</v>
      </c>
      <c r="I90" s="19" t="n">
        <v>25.5</v>
      </c>
      <c r="J90" s="10" t="n"/>
      <c r="K90" s="10" t="n"/>
      <c r="L90" s="11" t="n"/>
      <c r="M90" s="10" t="n"/>
      <c r="N90" s="10" t="n"/>
      <c r="O90" s="10" t="n"/>
      <c r="P90" s="10" t="n"/>
      <c r="Q90" s="11" t="n"/>
      <c r="R90" s="10" t="n"/>
      <c r="S90" s="10" t="n"/>
      <c r="T90" s="10" t="n"/>
      <c r="U90" s="10" t="n"/>
      <c r="V90" s="11" t="n"/>
    </row>
    <row r="91">
      <c r="A91" t="n">
        <v>1</v>
      </c>
      <c r="C91" t="inlineStr">
        <is>
          <t>무형자산의감소</t>
        </is>
      </c>
      <c r="F91" s="18" t="n">
        <v>0</v>
      </c>
      <c r="G91" s="9" t="n"/>
      <c r="I91" s="5" t="n"/>
      <c r="J91" s="10" t="n"/>
      <c r="K91" s="10" t="n"/>
      <c r="L91" s="11" t="n"/>
      <c r="M91" s="10" t="n"/>
      <c r="N91" s="10" t="n"/>
      <c r="O91" s="10" t="n"/>
      <c r="P91" s="10" t="n"/>
      <c r="Q91" s="11" t="n"/>
      <c r="R91" s="10" t="n"/>
      <c r="S91" s="10" t="n"/>
      <c r="T91" s="10" t="n"/>
      <c r="U91" s="10" t="n"/>
      <c r="V91" s="11" t="n"/>
    </row>
    <row r="92">
      <c r="A92" t="n">
        <v>1</v>
      </c>
      <c r="C92" t="inlineStr">
        <is>
          <t>유동성장기부채의감소</t>
        </is>
      </c>
      <c r="F92" s="18" t="n">
        <v>586.96</v>
      </c>
      <c r="G92" s="9" t="n"/>
      <c r="H92" s="18" t="n">
        <v>586.96</v>
      </c>
      <c r="I92" s="19" t="n">
        <v>586.95</v>
      </c>
      <c r="J92" s="10" t="n"/>
      <c r="K92" s="10" t="n"/>
      <c r="L92" s="11" t="n"/>
      <c r="M92" s="10" t="n"/>
      <c r="N92" s="10" t="n"/>
      <c r="O92" s="10" t="n"/>
      <c r="P92" s="10" t="n"/>
      <c r="Q92" s="11" t="n"/>
      <c r="R92" s="10" t="n"/>
      <c r="S92" s="10" t="n"/>
      <c r="T92" s="10" t="n"/>
      <c r="U92" s="10" t="n"/>
      <c r="V9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3Q25</t>
        </is>
      </c>
      <c r="F1" s="3" t="inlineStr">
        <is>
          <t>4Q25</t>
        </is>
      </c>
      <c r="G1" s="3" t="n">
        <v>2025</v>
      </c>
      <c r="H1" s="3" t="inlineStr">
        <is>
          <t>1Q26</t>
        </is>
      </c>
      <c r="I1" s="4" t="inlineStr">
        <is>
          <t>2Q26</t>
        </is>
      </c>
      <c r="J1" s="3" t="inlineStr">
        <is>
          <t>3Q26</t>
        </is>
      </c>
      <c r="K1" s="3" t="inlineStr">
        <is>
          <t>4Q26</t>
        </is>
      </c>
      <c r="L1" s="3" t="n">
        <v>2026</v>
      </c>
      <c r="M1" s="3" t="inlineStr">
        <is>
          <t>1Q27</t>
        </is>
      </c>
      <c r="N1" s="3" t="inlineStr">
        <is>
          <t>2Q27</t>
        </is>
      </c>
      <c r="O1" s="3" t="inlineStr">
        <is>
          <t>3Q27</t>
        </is>
      </c>
      <c r="P1" s="3" t="inlineStr">
        <is>
          <t>4Q27</t>
        </is>
      </c>
      <c r="Q1" s="3" t="n">
        <v>2027</v>
      </c>
      <c r="R1" s="3" t="inlineStr">
        <is>
          <t>1Q28</t>
        </is>
      </c>
      <c r="S1" s="3" t="inlineStr">
        <is>
          <t>2Q28</t>
        </is>
      </c>
      <c r="T1" s="3" t="inlineStr">
        <is>
          <t>3Q28</t>
        </is>
      </c>
      <c r="U1" s="3" t="inlineStr">
        <is>
          <t>4Q28</t>
        </is>
      </c>
      <c r="V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I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6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</row>
    <row r="4">
      <c r="E4" s="7" t="inlineStr">
        <is>
          <t>2025.09</t>
        </is>
      </c>
      <c r="F4" s="7" t="inlineStr">
        <is>
          <t>2025.12</t>
        </is>
      </c>
      <c r="G4" s="7" t="inlineStr">
        <is>
          <t>2025.12A</t>
        </is>
      </c>
      <c r="H4" s="7" t="inlineStr">
        <is>
          <t>2026.03</t>
        </is>
      </c>
      <c r="I4" s="8" t="inlineStr">
        <is>
          <t>2026.06</t>
        </is>
      </c>
      <c r="J4" s="7" t="inlineStr">
        <is>
          <t>2026.09</t>
        </is>
      </c>
      <c r="K4" s="7" t="inlineStr">
        <is>
          <t>2026.12</t>
        </is>
      </c>
      <c r="L4" s="7" t="inlineStr">
        <is>
          <t>2026.12A</t>
        </is>
      </c>
      <c r="M4" s="7" t="inlineStr">
        <is>
          <t>2027.03</t>
        </is>
      </c>
      <c r="N4" s="7" t="inlineStr">
        <is>
          <t>2027.06</t>
        </is>
      </c>
      <c r="O4" s="7" t="inlineStr">
        <is>
          <t>2027.09</t>
        </is>
      </c>
      <c r="P4" s="7" t="inlineStr">
        <is>
          <t>2027.12</t>
        </is>
      </c>
      <c r="Q4" s="7" t="inlineStr">
        <is>
          <t>2027.12A</t>
        </is>
      </c>
      <c r="R4" s="7" t="inlineStr">
        <is>
          <t>2028.03</t>
        </is>
      </c>
      <c r="S4" s="7" t="inlineStr">
        <is>
          <t>2028.06</t>
        </is>
      </c>
      <c r="T4" s="7" t="inlineStr">
        <is>
          <t>2028.09</t>
        </is>
      </c>
      <c r="U4" s="7" t="inlineStr">
        <is>
          <t>2028.12</t>
        </is>
      </c>
      <c r="V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18">
        <f>IFERROR(VLOOKUP($D5,BS연결,MATCH(F$1,BS연결H,0),0)/100,"")</f>
        <v/>
      </c>
      <c r="G5" s="37" t="n"/>
      <c r="H5" s="18">
        <f>IFERROR(VLOOKUP($D5,BS연결,MATCH(H$1,BS연결H,0),0)/100,"")</f>
        <v/>
      </c>
      <c r="I5" s="19">
        <f>IFERROR(VLOOKUP($D5,BS연결,MATCH(I$1,BS연결H,0),0)/100,"")</f>
        <v/>
      </c>
      <c r="J5" s="20">
        <f>IFERROR(E5*(1+변수!J21),"")</f>
        <v/>
      </c>
      <c r="K5" s="20">
        <f>IFERROR(F5*(1+변수!K21),"")</f>
        <v/>
      </c>
      <c r="L5" s="38">
        <f>SUM(H5:K5)</f>
        <v/>
      </c>
      <c r="M5" s="20">
        <f>IFERROR(H5*(1+변수!M21),"")</f>
        <v/>
      </c>
      <c r="N5" s="20">
        <f>IFERROR(I5*(1+변수!N21),"")</f>
        <v/>
      </c>
      <c r="O5" s="20">
        <f>IFERROR(J5*(1+변수!O21),"")</f>
        <v/>
      </c>
      <c r="P5" s="20">
        <f>IFERROR(K5*(1+변수!P21),"")</f>
        <v/>
      </c>
      <c r="Q5" s="38">
        <f>SUM(M5:P5)</f>
        <v/>
      </c>
      <c r="R5" s="20">
        <f>IFERROR(M5*(1+변수!R21),"")</f>
        <v/>
      </c>
      <c r="S5" s="20">
        <f>IFERROR(N5*(1+변수!S21),"")</f>
        <v/>
      </c>
      <c r="T5" s="20">
        <f>IFERROR(O5*(1+변수!T21),"")</f>
        <v/>
      </c>
      <c r="U5" s="20">
        <f>IFERROR(P5*(1+변수!U21),"")</f>
        <v/>
      </c>
      <c r="V5" s="38">
        <f>SUM(R5:U5)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18">
        <f>IFERROR(VLOOKUP($D6,BS연결,MATCH(F$1,BS연결H,0),0)/100,"")</f>
        <v/>
      </c>
      <c r="G6" s="37" t="n"/>
      <c r="H6" s="18">
        <f>IFERROR(VLOOKUP($D6,BS연결,MATCH(H$1,BS연결H,0),0)/100,"")</f>
        <v/>
      </c>
      <c r="I6" s="19">
        <f>IFERROR(VLOOKUP($D6,BS연결,MATCH(I$1,BS연결H,0),0)/100,"")</f>
        <v/>
      </c>
      <c r="J6" s="20">
        <f>IFERROR(J5-J7,"")</f>
        <v/>
      </c>
      <c r="K6" s="20">
        <f>IFERROR(K5-K7,"")</f>
        <v/>
      </c>
      <c r="L6" s="38">
        <f>SUM(H6:K6)</f>
        <v/>
      </c>
      <c r="M6" s="20">
        <f>IFERROR(M5-M7,"")</f>
        <v/>
      </c>
      <c r="N6" s="20">
        <f>IFERROR(N5-N7,"")</f>
        <v/>
      </c>
      <c r="O6" s="20">
        <f>IFERROR(O5-O7,"")</f>
        <v/>
      </c>
      <c r="P6" s="20">
        <f>IFERROR(P5-P7,"")</f>
        <v/>
      </c>
      <c r="Q6" s="38">
        <f>SUM(M6:P6)</f>
        <v/>
      </c>
      <c r="R6" s="20">
        <f>IFERROR(R5-R7,"")</f>
        <v/>
      </c>
      <c r="S6" s="20">
        <f>IFERROR(S5-S7,"")</f>
        <v/>
      </c>
      <c r="T6" s="20">
        <f>IFERROR(T5-T7,"")</f>
        <v/>
      </c>
      <c r="U6" s="20">
        <f>IFERROR(U5-U7,"")</f>
        <v/>
      </c>
      <c r="V6" s="38">
        <f>SUM(R6:U6)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18">
        <f>IFERROR(VLOOKUP($D7,BS연결,MATCH(F$1,BS연결H,0),0)/100,"")</f>
        <v/>
      </c>
      <c r="G7" s="37" t="n"/>
      <c r="H7" s="18">
        <f>IFERROR(VLOOKUP($D7,BS연결,MATCH(H$1,BS연결H,0),0)/100,"")</f>
        <v/>
      </c>
      <c r="I7" s="19">
        <f>IFERROR(VLOOKUP($D7,BS연결,MATCH(I$1,BS연결H,0),0)/100,"")</f>
        <v/>
      </c>
      <c r="J7" s="20">
        <f>IFERROR(J9+J8,"")</f>
        <v/>
      </c>
      <c r="K7" s="20">
        <f>IFERROR(K9+K8,"")</f>
        <v/>
      </c>
      <c r="L7" s="38">
        <f>SUM(H7:K7)</f>
        <v/>
      </c>
      <c r="M7" s="20">
        <f>IFERROR(M9+M8,"")</f>
        <v/>
      </c>
      <c r="N7" s="20">
        <f>IFERROR(N9+N8,"")</f>
        <v/>
      </c>
      <c r="O7" s="20">
        <f>IFERROR(O9+O8,"")</f>
        <v/>
      </c>
      <c r="P7" s="20">
        <f>IFERROR(P9+P8,"")</f>
        <v/>
      </c>
      <c r="Q7" s="38">
        <f>SUM(M7:P7)</f>
        <v/>
      </c>
      <c r="R7" s="20">
        <f>IFERROR(R9+R8,"")</f>
        <v/>
      </c>
      <c r="S7" s="20">
        <f>IFERROR(S9+S8,"")</f>
        <v/>
      </c>
      <c r="T7" s="20">
        <f>IFERROR(T9+T8,"")</f>
        <v/>
      </c>
      <c r="U7" s="20">
        <f>IFERROR(U9+U8,"")</f>
        <v/>
      </c>
      <c r="V7" s="38">
        <f>SUM(R7:U7)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18">
        <f>IFERROR(VLOOKUP($D8,BS연결,MATCH(F$1,BS연결H,0),0)/100,"")</f>
        <v/>
      </c>
      <c r="G8" s="37" t="n"/>
      <c r="H8" s="18">
        <f>IFERROR(VLOOKUP($D8,BS연결,MATCH(H$1,BS연결H,0),0)/100,"")</f>
        <v/>
      </c>
      <c r="I8" s="19">
        <f>IFERROR(VLOOKUP($D8,BS연결,MATCH(I$1,BS연결H,0),0)/100,"")</f>
        <v/>
      </c>
      <c r="J8" s="20">
        <f>IFERROR(J5*변수!J22,"")</f>
        <v/>
      </c>
      <c r="K8" s="20">
        <f>IFERROR(K5*변수!K22,"")</f>
        <v/>
      </c>
      <c r="L8" s="38">
        <f>SUM(H8:K8)</f>
        <v/>
      </c>
      <c r="M8" s="20">
        <f>IFERROR(M5*변수!M22,"")</f>
        <v/>
      </c>
      <c r="N8" s="20">
        <f>IFERROR(N5*변수!N22,"")</f>
        <v/>
      </c>
      <c r="O8" s="20">
        <f>IFERROR(O5*변수!O22,"")</f>
        <v/>
      </c>
      <c r="P8" s="20">
        <f>IFERROR(P5*변수!P22,"")</f>
        <v/>
      </c>
      <c r="Q8" s="38">
        <f>SUM(M8:P8)</f>
        <v/>
      </c>
      <c r="R8" s="20">
        <f>IFERROR(R5*변수!R22,"")</f>
        <v/>
      </c>
      <c r="S8" s="20">
        <f>IFERROR(S5*변수!S22,"")</f>
        <v/>
      </c>
      <c r="T8" s="20">
        <f>IFERROR(T5*변수!T22,"")</f>
        <v/>
      </c>
      <c r="U8" s="20">
        <f>IFERROR(U5*변수!U22,"")</f>
        <v/>
      </c>
      <c r="V8" s="38">
        <f>SUM(R8:U8)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18">
        <f>IFERROR(VLOOKUP($D9,BS연결,MATCH(F$1,BS연결H,0),0)/100,"")</f>
        <v/>
      </c>
      <c r="G9" s="37" t="n"/>
      <c r="H9" s="18">
        <f>IFERROR(VLOOKUP($D9,BS연결,MATCH(H$1,BS연결H,0),0)/100,"")</f>
        <v/>
      </c>
      <c r="I9" s="19">
        <f>IFERROR(VLOOKUP($D9,BS연결,MATCH(I$1,BS연결H,0),0)/100,"")</f>
        <v/>
      </c>
      <c r="J9" s="20">
        <f>IFERROR(J5*변수!J23,"")</f>
        <v/>
      </c>
      <c r="K9" s="20">
        <f>IFERROR(K5*변수!K23,"")</f>
        <v/>
      </c>
      <c r="L9" s="38">
        <f>SUM(H9:K9)</f>
        <v/>
      </c>
      <c r="M9" s="20">
        <f>IFERROR(M5*변수!M23,"")</f>
        <v/>
      </c>
      <c r="N9" s="20">
        <f>IFERROR(N5*변수!N23,"")</f>
        <v/>
      </c>
      <c r="O9" s="20">
        <f>IFERROR(O5*변수!O23,"")</f>
        <v/>
      </c>
      <c r="P9" s="20">
        <f>IFERROR(P5*변수!P23,"")</f>
        <v/>
      </c>
      <c r="Q9" s="38">
        <f>SUM(M9:P9)</f>
        <v/>
      </c>
      <c r="R9" s="20">
        <f>IFERROR(R5*변수!R23,"")</f>
        <v/>
      </c>
      <c r="S9" s="20">
        <f>IFERROR(S5*변수!S23,"")</f>
        <v/>
      </c>
      <c r="T9" s="20">
        <f>IFERROR(T5*변수!T23,"")</f>
        <v/>
      </c>
      <c r="U9" s="20">
        <f>IFERROR(U5*변수!U23,"")</f>
        <v/>
      </c>
      <c r="V9" s="38">
        <f>SUM(R9:U9)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1">
        <f>IFERROR(F9/F5,"")</f>
        <v/>
      </c>
      <c r="G10" s="22" t="n"/>
      <c r="H10" s="21">
        <f>IFERROR(H9/H5,"")</f>
        <v/>
      </c>
      <c r="I10" s="23">
        <f>IFERROR(I9/I5,"")</f>
        <v/>
      </c>
      <c r="J10" s="33">
        <f>IFERROR(J9/J5,"")</f>
        <v/>
      </c>
      <c r="K10" s="33">
        <f>IFERROR(K9/K5,"")</f>
        <v/>
      </c>
      <c r="L10" s="25">
        <f>IFERROR(L9/L5,"")</f>
        <v/>
      </c>
      <c r="M10" s="33">
        <f>IFERROR(M9/M5,"")</f>
        <v/>
      </c>
      <c r="N10" s="33">
        <f>IFERROR(N9/N5,"")</f>
        <v/>
      </c>
      <c r="O10" s="33">
        <f>IFERROR(O9/O5,"")</f>
        <v/>
      </c>
      <c r="P10" s="33">
        <f>IFERROR(P9/P5,"")</f>
        <v/>
      </c>
      <c r="Q10" s="25">
        <f>IFERROR(Q9/Q5,"")</f>
        <v/>
      </c>
      <c r="R10" s="33">
        <f>IFERROR(R9/R5,"")</f>
        <v/>
      </c>
      <c r="S10" s="33">
        <f>IFERROR(S9/S5,"")</f>
        <v/>
      </c>
      <c r="T10" s="33">
        <f>IFERROR(T9/T5,"")</f>
        <v/>
      </c>
      <c r="U10" s="33">
        <f>IFERROR(U9/U5,"")</f>
        <v/>
      </c>
      <c r="V10" s="25">
        <f>IFERROR(V9/V5,"")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18">
        <f>IFERROR(VLOOKUP($D11,BS연결,MATCH(F$1,BS연결H,0),0)/100,"")</f>
        <v/>
      </c>
      <c r="G11" s="37" t="n"/>
      <c r="H11" s="18">
        <f>IFERROR(VLOOKUP($D11,BS연결,MATCH(H$1,BS연결H,0),0)/100,"")</f>
        <v/>
      </c>
      <c r="I11" s="19">
        <f>IFERROR(VLOOKUP($D11,BS연결,MATCH(I$1,BS연결H,0),0)/100,"")</f>
        <v/>
      </c>
      <c r="J11" s="20">
        <f>IFERROR(J12+J13+J14+J15,"")</f>
        <v/>
      </c>
      <c r="K11" s="20">
        <f>IFERROR(K12+K13+K14+K15,"")</f>
        <v/>
      </c>
      <c r="L11" s="38">
        <f>SUM(H11:K11)</f>
        <v/>
      </c>
      <c r="M11" s="20">
        <f>IFERROR(M12+M13+M14+M15,"")</f>
        <v/>
      </c>
      <c r="N11" s="20">
        <f>IFERROR(N12+N13+N14+N15,"")</f>
        <v/>
      </c>
      <c r="O11" s="20">
        <f>IFERROR(O12+O13+O14+O15,"")</f>
        <v/>
      </c>
      <c r="P11" s="20">
        <f>IFERROR(P12+P13+P14+P15,"")</f>
        <v/>
      </c>
      <c r="Q11" s="38">
        <f>SUM(M11:P11)</f>
        <v/>
      </c>
      <c r="R11" s="20">
        <f>IFERROR(R12+R13+R14+R15,"")</f>
        <v/>
      </c>
      <c r="S11" s="20">
        <f>IFERROR(S12+S13+S14+S15,"")</f>
        <v/>
      </c>
      <c r="T11" s="20">
        <f>IFERROR(T12+T13+T14+T15,"")</f>
        <v/>
      </c>
      <c r="U11" s="20">
        <f>IFERROR(U12+U13+U14+U15,"")</f>
        <v/>
      </c>
      <c r="V11" s="38">
        <f>SUM(R11:U11)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>
        <f>IFERROR(VLOOKUP($D12,BS연결,MATCH(E$1,BS연결H,0),0)/100,"")</f>
        <v/>
      </c>
      <c r="F12" s="18">
        <f>IFERROR(VLOOKUP($D12,BS연결,MATCH(F$1,BS연결H,0),0)/100,"")</f>
        <v/>
      </c>
      <c r="G12" s="37" t="n"/>
      <c r="H12" s="18" t="n"/>
      <c r="I12" s="19">
        <f>IFERROR(VLOOKUP($D12,BS연결,MATCH(I$1,BS연결H,0),0)/100,"")</f>
        <v/>
      </c>
      <c r="J12" s="20">
        <f>IFERROR((I28*변수!$D$54-I26*변수!$D$55)/4,"")</f>
        <v/>
      </c>
      <c r="K12" s="20">
        <f>IFERROR((J28*변수!$D$54-J26*변수!$D$55)/4,"")</f>
        <v/>
      </c>
      <c r="L12" s="38">
        <f>SUM(H12:K12)</f>
        <v/>
      </c>
      <c r="M12" s="20">
        <f>IFERROR((K28*변수!$D$54-K26*변수!$D$55)/4,"")</f>
        <v/>
      </c>
      <c r="N12" s="20">
        <f>IFERROR((M28*변수!$D$54-M26*변수!$D$55)/4,"")</f>
        <v/>
      </c>
      <c r="O12" s="20">
        <f>IFERROR((N28*변수!$D$54-N26*변수!$D$55)/4,"")</f>
        <v/>
      </c>
      <c r="P12" s="20">
        <f>IFERROR((O28*변수!$D$54-O26*변수!$D$55)/4,"")</f>
        <v/>
      </c>
      <c r="Q12" s="38">
        <f>SUM(M12:P12)</f>
        <v/>
      </c>
      <c r="R12" s="20">
        <f>IFERROR((P28*변수!$D$54-P26*변수!$D$55)/4,"")</f>
        <v/>
      </c>
      <c r="S12" s="20">
        <f>IFERROR((R28*변수!$D$54-R26*변수!$D$55)/4,"")</f>
        <v/>
      </c>
      <c r="T12" s="20">
        <f>IFERROR((S28*변수!$D$54-S26*변수!$D$55)/4,"")</f>
        <v/>
      </c>
      <c r="U12" s="20">
        <f>IFERROR((T28*변수!$D$54-T26*변수!$D$55)/4,"")</f>
        <v/>
      </c>
      <c r="V12" s="38">
        <f>SUM(R12:U12)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>
        <f>IFERROR((VLOOKUP("외환차익",BS연결,MATCH(E$1,BS연결H,0),0)-VLOOKUP("외환차손",BS연결,MATCH(E$1,BS연결H,0),0)+VLOOKUP("외화환산이익",BS연결,MATCH(E$1,BS연결H,0),0)-VLOOKUP("외화환산손실",BS연결,MATCH(E$1,BS연결H,0),0))/100,"")</f>
        <v/>
      </c>
      <c r="F13" s="18">
        <f>IFERROR((VLOOKUP("외환차익",BS연결,MATCH(F$1,BS연결H,0),0)-VLOOKUP("외환차손",BS연결,MATCH(F$1,BS연결H,0),0)+VLOOKUP("외화환산이익",BS연결,MATCH(F$1,BS연결H,0),0)-VLOOKUP("외화환산손실",BS연결,MATCH(F$1,BS연결H,0),0))/100,"")</f>
        <v/>
      </c>
      <c r="G13" s="37" t="n"/>
      <c r="H13" s="18" t="n"/>
      <c r="I13" s="19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20">
        <f>변수!J24</f>
        <v/>
      </c>
      <c r="K13" s="20">
        <f>변수!K24</f>
        <v/>
      </c>
      <c r="L13" s="38">
        <f>SUM(H13:K13)</f>
        <v/>
      </c>
      <c r="M13" s="20">
        <f>변수!M24</f>
        <v/>
      </c>
      <c r="N13" s="20">
        <f>변수!N24</f>
        <v/>
      </c>
      <c r="O13" s="20">
        <f>변수!O24</f>
        <v/>
      </c>
      <c r="P13" s="20">
        <f>변수!P24</f>
        <v/>
      </c>
      <c r="Q13" s="38">
        <f>SUM(M13:P13)</f>
        <v/>
      </c>
      <c r="R13" s="20">
        <f>변수!R24</f>
        <v/>
      </c>
      <c r="S13" s="20">
        <f>변수!S24</f>
        <v/>
      </c>
      <c r="T13" s="20">
        <f>변수!T24</f>
        <v/>
      </c>
      <c r="U13" s="20">
        <f>변수!U24</f>
        <v/>
      </c>
      <c r="V13" s="38">
        <f>SUM(R13:U13)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>
        <f>IFERROR((VLOOKUP("파생상품이익",BS연결,MATCH(E$1,BS연결H,0),0)-VLOOKUP("파생상품손실",BS연결,MATCH(E$1,BS연결H,0),0))/100,"")</f>
        <v/>
      </c>
      <c r="F14" s="18">
        <f>IFERROR((VLOOKUP("파생상품이익",BS연결,MATCH(F$1,BS연결H,0),0)-VLOOKUP("파생상품손실",BS연결,MATCH(F$1,BS연결H,0),0))/100,"")</f>
        <v/>
      </c>
      <c r="G14" s="37" t="n"/>
      <c r="H14" s="18" t="n"/>
      <c r="I14" s="19">
        <f>IFERROR((VLOOKUP("파생상품이익",BS연결,MATCH(I$1,BS연결H,0),0)-VLOOKUP("파생상품손실",BS연결,MATCH(I$1,BS연결H,0),0))/100,"")</f>
        <v/>
      </c>
      <c r="J14" s="20">
        <f>변수!J25</f>
        <v/>
      </c>
      <c r="K14" s="20">
        <f>변수!K25</f>
        <v/>
      </c>
      <c r="L14" s="38">
        <f>SUM(H14:K14)</f>
        <v/>
      </c>
      <c r="M14" s="20">
        <f>변수!M25</f>
        <v/>
      </c>
      <c r="N14" s="20">
        <f>변수!N25</f>
        <v/>
      </c>
      <c r="O14" s="20">
        <f>변수!O25</f>
        <v/>
      </c>
      <c r="P14" s="20">
        <f>변수!P25</f>
        <v/>
      </c>
      <c r="Q14" s="38">
        <f>SUM(M14:P14)</f>
        <v/>
      </c>
      <c r="R14" s="20">
        <f>변수!R25</f>
        <v/>
      </c>
      <c r="S14" s="20">
        <f>변수!S25</f>
        <v/>
      </c>
      <c r="T14" s="20">
        <f>변수!T25</f>
        <v/>
      </c>
      <c r="U14" s="20">
        <f>변수!U25</f>
        <v/>
      </c>
      <c r="V14" s="38">
        <f>SUM(R14:U14)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>
        <f>IFERROR(E11-E12-E13-E14,"")</f>
        <v/>
      </c>
      <c r="F15" s="18">
        <f>IFERROR(F11-F12-F13-F14,"")</f>
        <v/>
      </c>
      <c r="G15" s="37" t="n"/>
      <c r="H15" s="18" t="n"/>
      <c r="I15" s="19">
        <f>IFERROR(I11-I12-I13-I14,"")</f>
        <v/>
      </c>
      <c r="J15" s="20">
        <f>변수!J26</f>
        <v/>
      </c>
      <c r="K15" s="20">
        <f>변수!K26</f>
        <v/>
      </c>
      <c r="L15" s="38">
        <f>SUM(H15:K15)</f>
        <v/>
      </c>
      <c r="M15" s="20">
        <f>변수!M26</f>
        <v/>
      </c>
      <c r="N15" s="20">
        <f>변수!N26</f>
        <v/>
      </c>
      <c r="O15" s="20">
        <f>변수!O26</f>
        <v/>
      </c>
      <c r="P15" s="20">
        <f>변수!P26</f>
        <v/>
      </c>
      <c r="Q15" s="38">
        <f>SUM(M15:P15)</f>
        <v/>
      </c>
      <c r="R15" s="20">
        <f>변수!R26</f>
        <v/>
      </c>
      <c r="S15" s="20">
        <f>변수!S26</f>
        <v/>
      </c>
      <c r="T15" s="20">
        <f>변수!T26</f>
        <v/>
      </c>
      <c r="U15" s="20">
        <f>변수!U26</f>
        <v/>
      </c>
      <c r="V15" s="38">
        <f>SUM(R15:U15)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18">
        <f>IFERROR(VLOOKUP($D16,BS연결,MATCH(F$1,BS연결H,0),0)/100,"")</f>
        <v/>
      </c>
      <c r="G16" s="37" t="n"/>
      <c r="H16" s="18">
        <f>IFERROR(VLOOKUP($D16,BS연결,MATCH(H$1,BS연결H,0),0)/100,"")</f>
        <v/>
      </c>
      <c r="I16" s="19">
        <f>IFERROR(VLOOKUP($D16,BS연결,MATCH(I$1,BS연결H,0),0)/100,"")</f>
        <v/>
      </c>
      <c r="J16" s="20">
        <f>변수!J27</f>
        <v/>
      </c>
      <c r="K16" s="20">
        <f>변수!K27</f>
        <v/>
      </c>
      <c r="L16" s="38">
        <f>SUM(H16:K16)</f>
        <v/>
      </c>
      <c r="M16" s="20">
        <f>변수!M27</f>
        <v/>
      </c>
      <c r="N16" s="20">
        <f>변수!N27</f>
        <v/>
      </c>
      <c r="O16" s="20">
        <f>변수!O27</f>
        <v/>
      </c>
      <c r="P16" s="20">
        <f>변수!P27</f>
        <v/>
      </c>
      <c r="Q16" s="38">
        <f>SUM(M16:P16)</f>
        <v/>
      </c>
      <c r="R16" s="20">
        <f>변수!R27</f>
        <v/>
      </c>
      <c r="S16" s="20">
        <f>변수!S27</f>
        <v/>
      </c>
      <c r="T16" s="20">
        <f>변수!T27</f>
        <v/>
      </c>
      <c r="U16" s="20">
        <f>변수!U27</f>
        <v/>
      </c>
      <c r="V16" s="38">
        <f>SUM(R16:U16)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18">
        <f>IFERROR(VLOOKUP($D17,BS연결,MATCH(F$1,BS연결H,0),0)/100,"")</f>
        <v/>
      </c>
      <c r="G17" s="37" t="n"/>
      <c r="H17" s="18">
        <f>IFERROR(VLOOKUP($D17,BS연결,MATCH(H$1,BS연결H,0),0)/100,"")</f>
        <v/>
      </c>
      <c r="I17" s="19">
        <f>IFERROR(VLOOKUP($D17,BS연결,MATCH(I$1,BS연결H,0),0)/100,"")</f>
        <v/>
      </c>
      <c r="J17" s="20">
        <f>IFERROR(J9+J11+J16,"")</f>
        <v/>
      </c>
      <c r="K17" s="20">
        <f>IFERROR(K9+K11+K16,"")</f>
        <v/>
      </c>
      <c r="L17" s="38">
        <f>SUM(H17:K17)</f>
        <v/>
      </c>
      <c r="M17" s="20">
        <f>IFERROR(M9+M11+M16,"")</f>
        <v/>
      </c>
      <c r="N17" s="20">
        <f>IFERROR(N9+N11+N16,"")</f>
        <v/>
      </c>
      <c r="O17" s="20">
        <f>IFERROR(O9+O11+O16,"")</f>
        <v/>
      </c>
      <c r="P17" s="20">
        <f>IFERROR(P9+P11+P16,"")</f>
        <v/>
      </c>
      <c r="Q17" s="38">
        <f>SUM(M17:P17)</f>
        <v/>
      </c>
      <c r="R17" s="20">
        <f>IFERROR(R9+R11+R16,"")</f>
        <v/>
      </c>
      <c r="S17" s="20">
        <f>IFERROR(S9+S11+S16,"")</f>
        <v/>
      </c>
      <c r="T17" s="20">
        <f>IFERROR(T9+T11+T16,"")</f>
        <v/>
      </c>
      <c r="U17" s="20">
        <f>IFERROR(U9+U11+U16,"")</f>
        <v/>
      </c>
      <c r="V17" s="38">
        <f>SUM(R17:U17)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18">
        <f>IFERROR(VLOOKUP($D18,BS연결,MATCH(F$1,BS연결H,0),0)/100,"")</f>
        <v/>
      </c>
      <c r="G18" s="37" t="n"/>
      <c r="H18" s="18">
        <f>IFERROR(VLOOKUP($D18,BS연결,MATCH(H$1,BS연결H,0),0)/100,"")</f>
        <v/>
      </c>
      <c r="I18" s="19">
        <f>IFERROR(VLOOKUP($D18,BS연결,MATCH(I$1,BS연결H,0),0)/100,"")</f>
        <v/>
      </c>
      <c r="J18" s="20">
        <f>IFERROR(MAX(J17,0)*변수!J28,"")</f>
        <v/>
      </c>
      <c r="K18" s="20">
        <f>IFERROR(MAX(K17,0)*변수!K28,"")</f>
        <v/>
      </c>
      <c r="L18" s="38">
        <f>SUM(H18:K18)</f>
        <v/>
      </c>
      <c r="M18" s="20">
        <f>IFERROR(MAX(M17,0)*변수!M28,"")</f>
        <v/>
      </c>
      <c r="N18" s="20">
        <f>IFERROR(MAX(N17,0)*변수!N28,"")</f>
        <v/>
      </c>
      <c r="O18" s="20">
        <f>IFERROR(MAX(O17,0)*변수!O28,"")</f>
        <v/>
      </c>
      <c r="P18" s="20">
        <f>IFERROR(MAX(P17,0)*변수!P28,"")</f>
        <v/>
      </c>
      <c r="Q18" s="38">
        <f>SUM(M18:P18)</f>
        <v/>
      </c>
      <c r="R18" s="20">
        <f>IFERROR(MAX(R17,0)*변수!R28,"")</f>
        <v/>
      </c>
      <c r="S18" s="20">
        <f>IFERROR(MAX(S17,0)*변수!S28,"")</f>
        <v/>
      </c>
      <c r="T18" s="20">
        <f>IFERROR(MAX(T17,0)*변수!T28,"")</f>
        <v/>
      </c>
      <c r="U18" s="20">
        <f>IFERROR(MAX(U17,0)*변수!U28,"")</f>
        <v/>
      </c>
      <c r="V18" s="38">
        <f>SUM(R18:U18)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18">
        <f>IFERROR(VLOOKUP($D19,BS연결,MATCH(F$1,BS연결H,0),0)/100,"")</f>
        <v/>
      </c>
      <c r="G19" s="37" t="n"/>
      <c r="H19" s="18">
        <f>IFERROR(VLOOKUP($D19,BS연결,MATCH(H$1,BS연결H,0),0)/100,"")</f>
        <v/>
      </c>
      <c r="I19" s="19">
        <f>IFERROR(VLOOKUP($D19,BS연결,MATCH(I$1,BS연결H,0),0)/100,"")</f>
        <v/>
      </c>
      <c r="J19" s="20">
        <f>IFERROR(J17-J18,"")</f>
        <v/>
      </c>
      <c r="K19" s="20">
        <f>IFERROR(K17-K18,"")</f>
        <v/>
      </c>
      <c r="L19" s="38">
        <f>SUM(H19:K19)</f>
        <v/>
      </c>
      <c r="M19" s="20">
        <f>IFERROR(M17-M18,"")</f>
        <v/>
      </c>
      <c r="N19" s="20">
        <f>IFERROR(N17-N18,"")</f>
        <v/>
      </c>
      <c r="O19" s="20">
        <f>IFERROR(O17-O18,"")</f>
        <v/>
      </c>
      <c r="P19" s="20">
        <f>IFERROR(P17-P18,"")</f>
        <v/>
      </c>
      <c r="Q19" s="38">
        <f>SUM(M19:P19)</f>
        <v/>
      </c>
      <c r="R19" s="20">
        <f>IFERROR(R17-R18,"")</f>
        <v/>
      </c>
      <c r="S19" s="20">
        <f>IFERROR(S17-S18,"")</f>
        <v/>
      </c>
      <c r="T19" s="20">
        <f>IFERROR(T17-T18,"")</f>
        <v/>
      </c>
      <c r="U19" s="20">
        <f>IFERROR(U17-U18,"")</f>
        <v/>
      </c>
      <c r="V19" s="38">
        <f>SUM(R19:U19)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18">
        <f>IFERROR(VLOOKUP($D20,BS연결,MATCH(F$1,BS연결H,0),0)/100,"")</f>
        <v/>
      </c>
      <c r="G20" s="37" t="n"/>
      <c r="H20" s="18">
        <f>IFERROR(VLOOKUP($D20,BS연결,MATCH(H$1,BS연결H,0),0)/100,"")</f>
        <v/>
      </c>
      <c r="I20" s="19">
        <f>IFERROR(VLOOKUP($D20,BS연결,MATCH(I$1,BS연결H,0),0)/100,"")</f>
        <v/>
      </c>
      <c r="J20" s="20">
        <f>IFERROR(J19*변수!J29,"")</f>
        <v/>
      </c>
      <c r="K20" s="20">
        <f>IFERROR(K19*변수!K29,"")</f>
        <v/>
      </c>
      <c r="L20" s="38">
        <f>SUM(H20:K20)</f>
        <v/>
      </c>
      <c r="M20" s="20">
        <f>IFERROR(M19*변수!M29,"")</f>
        <v/>
      </c>
      <c r="N20" s="20">
        <f>IFERROR(N19*변수!N29,"")</f>
        <v/>
      </c>
      <c r="O20" s="20">
        <f>IFERROR(O19*변수!O29,"")</f>
        <v/>
      </c>
      <c r="P20" s="20">
        <f>IFERROR(P19*변수!P29,"")</f>
        <v/>
      </c>
      <c r="Q20" s="38">
        <f>SUM(M20:P20)</f>
        <v/>
      </c>
      <c r="R20" s="20">
        <f>IFERROR(R19*변수!R29,"")</f>
        <v/>
      </c>
      <c r="S20" s="20">
        <f>IFERROR(S19*변수!S29,"")</f>
        <v/>
      </c>
      <c r="T20" s="20">
        <f>IFERROR(T19*변수!T29,"")</f>
        <v/>
      </c>
      <c r="U20" s="20">
        <f>IFERROR(U19*변수!U29,"")</f>
        <v/>
      </c>
      <c r="V20" s="38">
        <f>SUM(R20:U20)</f>
        <v/>
      </c>
    </row>
    <row r="21">
      <c r="A21" s="12" t="inlineStr">
        <is>
          <t>중단사업이익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중단사업이익</t>
        </is>
      </c>
      <c r="E21" s="18">
        <f>IFERROR(VLOOKUP($D21,BS연결,MATCH(E$1,BS연결H,0),0)/100,"")</f>
        <v/>
      </c>
      <c r="F21" s="18">
        <f>IFERROR(VLOOKUP($D21,BS연결,MATCH(F$1,BS연결H,0),0)/100,"")</f>
        <v/>
      </c>
      <c r="G21" s="37" t="n"/>
      <c r="H21" s="18">
        <f>IFERROR(VLOOKUP($D21,BS연결,MATCH(H$1,BS연결H,0),0)/100,"")</f>
        <v/>
      </c>
      <c r="I21" s="19" t="n"/>
      <c r="J21" s="20" t="n"/>
      <c r="K21" s="20" t="n"/>
      <c r="L21" s="38">
        <f>SUM(H21:K21)</f>
        <v/>
      </c>
      <c r="M21" s="20" t="n"/>
      <c r="N21" s="20" t="n"/>
      <c r="O21" s="20" t="n"/>
      <c r="P21" s="20" t="n"/>
      <c r="Q21" s="38">
        <f>SUM(M21:P21)</f>
        <v/>
      </c>
      <c r="R21" s="20" t="n"/>
      <c r="S21" s="20" t="n"/>
      <c r="T21" s="20" t="n"/>
      <c r="U21" s="20" t="n"/>
      <c r="V21" s="38">
        <f>SUM(R21:U21)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18">
        <f>IFERROR(VLOOKUP($D22,BS연결,MATCH(F$1,BS연결H,0),0)/100,"")</f>
        <v/>
      </c>
      <c r="G22" s="37">
        <f>IFERROR(VLOOKUP($D22,BS연결,MATCH(G$1,BS연결H,0),0)/100,"")</f>
        <v/>
      </c>
      <c r="H22" s="18">
        <f>IFERROR(VLOOKUP($D22,BS연결,MATCH(H$1,BS연결H,0),0)/100,"")</f>
        <v/>
      </c>
      <c r="I22" s="19">
        <f>IFERROR(VLOOKUP($D22,BS연결,MATCH(I$1,BS연결H,0),0)/100,"")</f>
        <v/>
      </c>
      <c r="J22" s="20">
        <f>IFERROR(J23+J24,"")</f>
        <v/>
      </c>
      <c r="K22" s="20">
        <f>IFERROR(K23+K24,"")</f>
        <v/>
      </c>
      <c r="L22" s="38">
        <f>K22</f>
        <v/>
      </c>
      <c r="M22" s="20">
        <f>IFERROR(M23+M24,"")</f>
        <v/>
      </c>
      <c r="N22" s="20">
        <f>IFERROR(N23+N24,"")</f>
        <v/>
      </c>
      <c r="O22" s="20">
        <f>IFERROR(O23+O24,"")</f>
        <v/>
      </c>
      <c r="P22" s="20">
        <f>IFERROR(P23+P24,"")</f>
        <v/>
      </c>
      <c r="Q22" s="38">
        <f>P22</f>
        <v/>
      </c>
      <c r="R22" s="20">
        <f>IFERROR(R23+R24,"")</f>
        <v/>
      </c>
      <c r="S22" s="20">
        <f>IFERROR(S23+S24,"")</f>
        <v/>
      </c>
      <c r="T22" s="20">
        <f>IFERROR(T23+T24,"")</f>
        <v/>
      </c>
      <c r="U22" s="20">
        <f>IFERROR(U23+U24,"")</f>
        <v/>
      </c>
      <c r="V22" s="38">
        <f>U22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18">
        <f>IFERROR(VLOOKUP($D23,BS연결,MATCH(F$1,BS연결H,0),0)/100,"")</f>
        <v/>
      </c>
      <c r="G23" s="37">
        <f>IFERROR(VLOOKUP($D23,BS연결,MATCH(G$1,BS연결H,0),0)/100,"")</f>
        <v/>
      </c>
      <c r="H23" s="18">
        <f>IFERROR(VLOOKUP($D23,BS연결,MATCH(H$1,BS연결H,0),0)/100,"")</f>
        <v/>
      </c>
      <c r="I23" s="19">
        <f>IFERROR(VLOOKUP($D23,BS연결,MATCH(I$1,BS연결H,0),0)/100,"")</f>
        <v/>
      </c>
      <c r="J23" s="20">
        <f>IFERROR(I23*(1+변수!J31),"")</f>
        <v/>
      </c>
      <c r="K23" s="20">
        <f>IFERROR(J23*(1+변수!K31),"")</f>
        <v/>
      </c>
      <c r="L23" s="38">
        <f>K23</f>
        <v/>
      </c>
      <c r="M23" s="20">
        <f>IFERROR(K23*(1+변수!M31),"")</f>
        <v/>
      </c>
      <c r="N23" s="20">
        <f>IFERROR(M23*(1+변수!N31),"")</f>
        <v/>
      </c>
      <c r="O23" s="20">
        <f>IFERROR(N23*(1+변수!O31),"")</f>
        <v/>
      </c>
      <c r="P23" s="20">
        <f>IFERROR(O23*(1+변수!P31),"")</f>
        <v/>
      </c>
      <c r="Q23" s="38">
        <f>P23</f>
        <v/>
      </c>
      <c r="R23" s="20">
        <f>IFERROR(P23*(1+변수!R31),"")</f>
        <v/>
      </c>
      <c r="S23" s="20">
        <f>IFERROR(R23*(1+변수!S31),"")</f>
        <v/>
      </c>
      <c r="T23" s="20">
        <f>IFERROR(S23*(1+변수!T31),"")</f>
        <v/>
      </c>
      <c r="U23" s="20">
        <f>IFERROR(T23*(1+변수!U31),"")</f>
        <v/>
      </c>
      <c r="V23" s="38">
        <f>U23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18">
        <f>IFERROR(VLOOKUP($D24,BS연결,MATCH(F$1,BS연결H,0),0)/100,"")</f>
        <v/>
      </c>
      <c r="G24" s="37">
        <f>IFERROR(VLOOKUP($D24,BS연결,MATCH(G$1,BS연결H,0),0)/100,"")</f>
        <v/>
      </c>
      <c r="H24" s="18">
        <f>IFERROR(VLOOKUP($D24,BS연결,MATCH(H$1,BS연결H,0),0)/100,"")</f>
        <v/>
      </c>
      <c r="I24" s="19">
        <f>IFERROR(VLOOKUP($D24,BS연결,MATCH(I$1,BS연결H,0),0)/100,"")</f>
        <v/>
      </c>
      <c r="J24" s="20">
        <f>IFERROR(I24+J19-변수!J32,"")</f>
        <v/>
      </c>
      <c r="K24" s="20">
        <f>IFERROR(J24+K19-변수!K32,"")</f>
        <v/>
      </c>
      <c r="L24" s="38">
        <f>K24</f>
        <v/>
      </c>
      <c r="M24" s="20">
        <f>IFERROR(K24+M19-변수!M32,"")</f>
        <v/>
      </c>
      <c r="N24" s="20">
        <f>IFERROR(M24+N19-변수!N32,"")</f>
        <v/>
      </c>
      <c r="O24" s="20">
        <f>IFERROR(N24+O19-변수!O32,"")</f>
        <v/>
      </c>
      <c r="P24" s="20">
        <f>IFERROR(O24+P19-변수!P32,"")</f>
        <v/>
      </c>
      <c r="Q24" s="38">
        <f>P24</f>
        <v/>
      </c>
      <c r="R24" s="20">
        <f>IFERROR(P24+R19-변수!R32,"")</f>
        <v/>
      </c>
      <c r="S24" s="20">
        <f>IFERROR(R24+S19-변수!S32,"")</f>
        <v/>
      </c>
      <c r="T24" s="20">
        <f>IFERROR(S24+T19-변수!T32,"")</f>
        <v/>
      </c>
      <c r="U24" s="20">
        <f>IFERROR(T24+U19-변수!U32,"")</f>
        <v/>
      </c>
      <c r="V24" s="38">
        <f>U24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18">
        <f>IFERROR(VLOOKUP($D25,BS연결,MATCH(F$1,BS연결H,0),0)/100,"")</f>
        <v/>
      </c>
      <c r="G25" s="37">
        <f>IFERROR(VLOOKUP($D25,BS연결,MATCH(G$1,BS연결H,0),0)/100,"")</f>
        <v/>
      </c>
      <c r="H25" s="18">
        <f>IFERROR(VLOOKUP($D25,BS연결,MATCH(H$1,BS연결H,0),0)/100,"")</f>
        <v/>
      </c>
      <c r="I25" s="19">
        <f>IFERROR(VLOOKUP($D25,BS연결,MATCH(I$1,BS연결H,0),0)/100,"")</f>
        <v/>
      </c>
      <c r="J25" s="20">
        <f>IFERROR(I25+J20-변수!J33,"")</f>
        <v/>
      </c>
      <c r="K25" s="20">
        <f>IFERROR(J25+K20-변수!K33,"")</f>
        <v/>
      </c>
      <c r="L25" s="38">
        <f>K25</f>
        <v/>
      </c>
      <c r="M25" s="20">
        <f>IFERROR(K25+M20-변수!M33,"")</f>
        <v/>
      </c>
      <c r="N25" s="20">
        <f>IFERROR(M25+N20-변수!N33,"")</f>
        <v/>
      </c>
      <c r="O25" s="20">
        <f>IFERROR(N25+O20-변수!O33,"")</f>
        <v/>
      </c>
      <c r="P25" s="20">
        <f>IFERROR(O25+P20-변수!P33,"")</f>
        <v/>
      </c>
      <c r="Q25" s="38">
        <f>P25</f>
        <v/>
      </c>
      <c r="R25" s="20">
        <f>IFERROR(P25+R20-변수!R33,"")</f>
        <v/>
      </c>
      <c r="S25" s="20">
        <f>IFERROR(R25+S20-변수!S33,"")</f>
        <v/>
      </c>
      <c r="T25" s="20">
        <f>IFERROR(S25+T20-변수!T33,"")</f>
        <v/>
      </c>
      <c r="U25" s="20">
        <f>IFERROR(T25+U20-변수!U33,"")</f>
        <v/>
      </c>
      <c r="V25" s="38">
        <f>U25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18">
        <f>IFERROR(VLOOKUP($D26,BS연결,MATCH(F$1,BS연결H,0),0)/100,"")</f>
        <v/>
      </c>
      <c r="G26" s="37">
        <f>IFERROR(VLOOKUP($D26,BS연결,MATCH(G$1,BS연결H,0),0)/100,"")</f>
        <v/>
      </c>
      <c r="H26" s="18">
        <f>IFERROR(VLOOKUP($D26,BS연결,MATCH(H$1,BS연결H,0),0)/100,"")</f>
        <v/>
      </c>
      <c r="I26" s="19">
        <f>IFERROR(VLOOKUP($D26,BS연결,MATCH(I$1,BS연결H,0),0)/100,"")</f>
        <v/>
      </c>
      <c r="J26" s="20">
        <f>IFERROR(I26*(1+변수!J34),"")</f>
        <v/>
      </c>
      <c r="K26" s="20">
        <f>IFERROR(J26*(1+변수!K34),"")</f>
        <v/>
      </c>
      <c r="L26" s="38">
        <f>K26</f>
        <v/>
      </c>
      <c r="M26" s="20">
        <f>IFERROR(K26*(1+변수!M34),"")</f>
        <v/>
      </c>
      <c r="N26" s="20">
        <f>IFERROR(M26*(1+변수!N34),"")</f>
        <v/>
      </c>
      <c r="O26" s="20">
        <f>IFERROR(N26*(1+변수!O34),"")</f>
        <v/>
      </c>
      <c r="P26" s="20">
        <f>IFERROR(O26*(1+변수!P34),"")</f>
        <v/>
      </c>
      <c r="Q26" s="38">
        <f>P26</f>
        <v/>
      </c>
      <c r="R26" s="20">
        <f>IFERROR(P26*(1+변수!R34),"")</f>
        <v/>
      </c>
      <c r="S26" s="20">
        <f>IFERROR(R26*(1+변수!S34),"")</f>
        <v/>
      </c>
      <c r="T26" s="20">
        <f>IFERROR(S26*(1+변수!T34),"")</f>
        <v/>
      </c>
      <c r="U26" s="20">
        <f>IFERROR(T26*(1+변수!U34),"")</f>
        <v/>
      </c>
      <c r="V26" s="38">
        <f>U26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18">
        <f>IFERROR(VLOOKUP($D27,BS연결,MATCH(F$1,BS연결H,0),0)/100,"")</f>
        <v/>
      </c>
      <c r="G27" s="37">
        <f>IFERROR(VLOOKUP($D27,BS연결,MATCH(G$1,BS연결H,0),0)/100,"")</f>
        <v/>
      </c>
      <c r="H27" s="18">
        <f>IFERROR(VLOOKUP($D27,BS연결,MATCH(H$1,BS연결H,0),0)/100,"")</f>
        <v/>
      </c>
      <c r="I27" s="19">
        <f>IFERROR(VLOOKUP($D27,BS연결,MATCH(I$1,BS연결H,0),0)/100,"")</f>
        <v/>
      </c>
      <c r="J27" s="20">
        <f>IFERROR(I27*(1+변수!J35),"")</f>
        <v/>
      </c>
      <c r="K27" s="20">
        <f>IFERROR(J27*(1+변수!K35),"")</f>
        <v/>
      </c>
      <c r="L27" s="38">
        <f>K27</f>
        <v/>
      </c>
      <c r="M27" s="20">
        <f>IFERROR(K27*(1+변수!M35),"")</f>
        <v/>
      </c>
      <c r="N27" s="20">
        <f>IFERROR(M27*(1+변수!N35),"")</f>
        <v/>
      </c>
      <c r="O27" s="20">
        <f>IFERROR(N27*(1+변수!O35),"")</f>
        <v/>
      </c>
      <c r="P27" s="20">
        <f>IFERROR(O27*(1+변수!P35),"")</f>
        <v/>
      </c>
      <c r="Q27" s="38">
        <f>P27</f>
        <v/>
      </c>
      <c r="R27" s="20">
        <f>IFERROR(P27*(1+변수!R35),"")</f>
        <v/>
      </c>
      <c r="S27" s="20">
        <f>IFERROR(R27*(1+변수!S35),"")</f>
        <v/>
      </c>
      <c r="T27" s="20">
        <f>IFERROR(S27*(1+변수!T35),"")</f>
        <v/>
      </c>
      <c r="U27" s="20">
        <f>IFERROR(T27*(1+변수!U35),"")</f>
        <v/>
      </c>
      <c r="V27" s="38">
        <f>U27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18">
        <f>IFERROR(VLOOKUP($D28,BS연결,MATCH(F$1,BS연결H,0),0)/100,"")</f>
        <v/>
      </c>
      <c r="G28" s="37">
        <f>IFERROR(VLOOKUP($D28,BS연결,MATCH(G$1,BS연결H,0),0)/100,"")</f>
        <v/>
      </c>
      <c r="H28" s="18">
        <f>IFERROR(VLOOKUP($D28,BS연결,MATCH(H$1,BS연결H,0),0)/100,"")</f>
        <v/>
      </c>
      <c r="I28" s="19">
        <f>IFERROR(VLOOKUP($D28,BS연결,MATCH(I$1,BS연결H,0),0)/100,"")</f>
        <v/>
      </c>
      <c r="J28" s="20">
        <f>IFERROR(I28*(1+변수!J36),"")</f>
        <v/>
      </c>
      <c r="K28" s="20">
        <f>IFERROR(J28*(1+변수!K36),"")</f>
        <v/>
      </c>
      <c r="L28" s="38">
        <f>K28</f>
        <v/>
      </c>
      <c r="M28" s="20">
        <f>IFERROR(K28*(1+변수!M36),"")</f>
        <v/>
      </c>
      <c r="N28" s="20">
        <f>IFERROR(M28*(1+변수!N36),"")</f>
        <v/>
      </c>
      <c r="O28" s="20">
        <f>IFERROR(N28*(1+변수!O36),"")</f>
        <v/>
      </c>
      <c r="P28" s="20">
        <f>IFERROR(O28*(1+변수!P36),"")</f>
        <v/>
      </c>
      <c r="Q28" s="38">
        <f>P28</f>
        <v/>
      </c>
      <c r="R28" s="20">
        <f>IFERROR(P28*(1+변수!R36),"")</f>
        <v/>
      </c>
      <c r="S28" s="20">
        <f>IFERROR(R28*(1+변수!S36),"")</f>
        <v/>
      </c>
      <c r="T28" s="20">
        <f>IFERROR(S28*(1+변수!T36),"")</f>
        <v/>
      </c>
      <c r="U28" s="20">
        <f>IFERROR(T28*(1+변수!U36),"")</f>
        <v/>
      </c>
      <c r="V28" s="38">
        <f>U28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18">
        <f>IFERROR(VLOOKUP($D29,BS연결,MATCH(F$1,BS연결H,0),0)/100,"")</f>
        <v/>
      </c>
      <c r="G29" s="37">
        <f>IFERROR(VLOOKUP($D29,BS연결,MATCH(G$1,BS연결H,0),0)/100,"")</f>
        <v/>
      </c>
      <c r="H29" s="18">
        <f>IFERROR(VLOOKUP($D29,BS연결,MATCH(H$1,BS연결H,0),0)/100,"")</f>
        <v/>
      </c>
      <c r="I29" s="19">
        <f>IFERROR(VLOOKUP($D29,BS연결,MATCH(I$1,BS연결H,0),0)/100,"")</f>
        <v/>
      </c>
      <c r="J29" s="20" t="n"/>
      <c r="K29" s="20" t="n"/>
      <c r="L29" s="38">
        <f>K29</f>
        <v/>
      </c>
      <c r="M29" s="20" t="n"/>
      <c r="N29" s="20" t="n"/>
      <c r="O29" s="20" t="n"/>
      <c r="P29" s="20" t="n"/>
      <c r="Q29" s="38">
        <f>P29</f>
        <v/>
      </c>
      <c r="R29" s="20" t="n"/>
      <c r="S29" s="20" t="n"/>
      <c r="T29" s="20" t="n"/>
      <c r="U29" s="20" t="n"/>
      <c r="V29" s="38">
        <f>U29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>
        <f>IFERROR(VLOOKUP($D30,BS연결,MATCH(E$1,BS연결H,0),0)/100,"")</f>
        <v/>
      </c>
      <c r="F30" s="18">
        <f>IFERROR(VLOOKUP($D30,BS연결,MATCH(F$1,BS연결H,0),0)/100,"")</f>
        <v/>
      </c>
      <c r="G30" s="37" t="n"/>
      <c r="H30" s="18">
        <f>IFERROR(VLOOKUP($D30,BS연결,MATCH(H$1,BS연결H,0),0)/100,"")</f>
        <v/>
      </c>
      <c r="I30" s="19">
        <f>IFERROR(VLOOKUP($D30,BS연결,MATCH(I$1,BS연결H,0),0)/100,"")</f>
        <v/>
      </c>
      <c r="J30" s="20">
        <f>IFERROR(E30*(1+변수!J38),"")</f>
        <v/>
      </c>
      <c r="K30" s="20">
        <f>IFERROR(F30*(1+변수!K38),"")</f>
        <v/>
      </c>
      <c r="L30" s="38">
        <f>SUM(H30:K30)</f>
        <v/>
      </c>
      <c r="M30" s="20">
        <f>IFERROR(H30*(1+변수!M38),"")</f>
        <v/>
      </c>
      <c r="N30" s="20">
        <f>IFERROR(I30*(1+변수!N38),"")</f>
        <v/>
      </c>
      <c r="O30" s="20">
        <f>IFERROR(J30*(1+변수!O38),"")</f>
        <v/>
      </c>
      <c r="P30" s="20">
        <f>IFERROR(K30*(1+변수!P38),"")</f>
        <v/>
      </c>
      <c r="Q30" s="38">
        <f>SUM(M30:P30)</f>
        <v/>
      </c>
      <c r="R30" s="20">
        <f>IFERROR(M30*(1+변수!R38),"")</f>
        <v/>
      </c>
      <c r="S30" s="20">
        <f>IFERROR(N30*(1+변수!S38),"")</f>
        <v/>
      </c>
      <c r="T30" s="20">
        <f>IFERROR(O30*(1+변수!T38),"")</f>
        <v/>
      </c>
      <c r="U30" s="20">
        <f>IFERROR(P30*(1+변수!U38),"")</f>
        <v/>
      </c>
      <c r="V30" s="38">
        <f>SUM(R30:U30)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18">
        <f>IFERROR(VLOOKUP($D31,BS연결,MATCH(F$1,BS연결H,0),0)/100,"")</f>
        <v/>
      </c>
      <c r="G31" s="37" t="n"/>
      <c r="H31" s="18">
        <f>IFERROR(VLOOKUP($D31,BS연결,MATCH(H$1,BS연결H,0),0)/100,"")</f>
        <v/>
      </c>
      <c r="I31" s="19">
        <f>IFERROR(VLOOKUP($D31,BS연결,MATCH(I$1,BS연결H,0),0)/100,"")</f>
        <v/>
      </c>
      <c r="J31" s="20" t="n"/>
      <c r="K31" s="20" t="n"/>
      <c r="L31" s="38">
        <f>SUM(H31:K31)</f>
        <v/>
      </c>
      <c r="M31" s="20" t="n"/>
      <c r="N31" s="20" t="n"/>
      <c r="O31" s="20" t="n"/>
      <c r="P31" s="20" t="n"/>
      <c r="Q31" s="38">
        <f>SUM(M31:P31)</f>
        <v/>
      </c>
      <c r="R31" s="20" t="n"/>
      <c r="S31" s="20" t="n"/>
      <c r="T31" s="20" t="n"/>
      <c r="U31" s="20" t="n"/>
      <c r="V31" s="38">
        <f>SUM(R31:U31)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7" t="n">
        <v>19.482</v>
      </c>
      <c r="F32" s="27" t="n">
        <v>23.832</v>
      </c>
      <c r="G32" s="28">
        <f>F32</f>
        <v/>
      </c>
      <c r="H32" s="27" t="n">
        <v>23.832</v>
      </c>
      <c r="I32" s="29" t="n">
        <v>23.832</v>
      </c>
      <c r="J32" s="32">
        <f>IFERROR(I32*(1+변수!J40),"")</f>
        <v/>
      </c>
      <c r="K32" s="32">
        <f>IFERROR(J32*(1+변수!K40),"")</f>
        <v/>
      </c>
      <c r="L32" s="31">
        <f>K32</f>
        <v/>
      </c>
      <c r="M32" s="32">
        <f>IFERROR(K32*(1+변수!M40),"")</f>
        <v/>
      </c>
      <c r="N32" s="32">
        <f>IFERROR(M32*(1+변수!N40),"")</f>
        <v/>
      </c>
      <c r="O32" s="32">
        <f>IFERROR(N32*(1+변수!O40),"")</f>
        <v/>
      </c>
      <c r="P32" s="32">
        <f>IFERROR(O32*(1+변수!P40),"")</f>
        <v/>
      </c>
      <c r="Q32" s="31">
        <f>P32</f>
        <v/>
      </c>
      <c r="R32" s="32">
        <f>IFERROR(P32*(1+변수!R40),"")</f>
        <v/>
      </c>
      <c r="S32" s="32">
        <f>IFERROR(R32*(1+변수!S40),"")</f>
        <v/>
      </c>
      <c r="T32" s="32">
        <f>IFERROR(S32*(1+변수!T40),"")</f>
        <v/>
      </c>
      <c r="U32" s="32">
        <f>IFERROR(T32*(1+변수!U40),"")</f>
        <v/>
      </c>
      <c r="V32" s="31">
        <f>U32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IFERROR(E20*100/E32,"")</f>
        <v/>
      </c>
      <c r="F33" s="18">
        <f>IFERROR(F20*100/F32,"")</f>
        <v/>
      </c>
      <c r="G33" s="37" t="n"/>
      <c r="H33" s="18">
        <f>IFERROR(H20*100/H32,"")</f>
        <v/>
      </c>
      <c r="I33" s="19">
        <f>IFERROR(I20*100/I32,"")</f>
        <v/>
      </c>
      <c r="J33" s="20">
        <f>IFERROR(J20*100/J32,"")</f>
        <v/>
      </c>
      <c r="K33" s="20">
        <f>IFERROR(K20*100/K32,"")</f>
        <v/>
      </c>
      <c r="L33" s="38">
        <f>SUM(H33:K33)</f>
        <v/>
      </c>
      <c r="M33" s="20">
        <f>IFERROR(M20*100/M32,"")</f>
        <v/>
      </c>
      <c r="N33" s="20">
        <f>IFERROR(N20*100/N32,"")</f>
        <v/>
      </c>
      <c r="O33" s="20">
        <f>IFERROR(O20*100/O32,"")</f>
        <v/>
      </c>
      <c r="P33" s="20">
        <f>IFERROR(P20*100/P32,"")</f>
        <v/>
      </c>
      <c r="Q33" s="38">
        <f>SUM(M33:P33)</f>
        <v/>
      </c>
      <c r="R33" s="20">
        <f>IFERROR(R20*100/R32,"")</f>
        <v/>
      </c>
      <c r="S33" s="20">
        <f>IFERROR(S20*100/S32,"")</f>
        <v/>
      </c>
      <c r="T33" s="20">
        <f>IFERROR(T20*100/T32,"")</f>
        <v/>
      </c>
      <c r="U33" s="20">
        <f>IFERROR(U20*100/U32,"")</f>
        <v/>
      </c>
      <c r="V33" s="38">
        <f>SUM(R33:U33)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18">
        <f>IFERROR(F25*100/F32,"")</f>
        <v/>
      </c>
      <c r="G34" s="37">
        <f>F34</f>
        <v/>
      </c>
      <c r="H34" s="18">
        <f>IFERROR(H25*100/H32,"")</f>
        <v/>
      </c>
      <c r="I34" s="19">
        <f>IFERROR(I25*100/I32,"")</f>
        <v/>
      </c>
      <c r="J34" s="20">
        <f>IFERROR(J25*100/J32,"")</f>
        <v/>
      </c>
      <c r="K34" s="20">
        <f>IFERROR(K25*100/K32,"")</f>
        <v/>
      </c>
      <c r="L34" s="38">
        <f>K34</f>
        <v/>
      </c>
      <c r="M34" s="20">
        <f>IFERROR(M25*100/M32,"")</f>
        <v/>
      </c>
      <c r="N34" s="20">
        <f>IFERROR(N25*100/N32,"")</f>
        <v/>
      </c>
      <c r="O34" s="20">
        <f>IFERROR(O25*100/O32,"")</f>
        <v/>
      </c>
      <c r="P34" s="20">
        <f>IFERROR(P25*100/P32,"")</f>
        <v/>
      </c>
      <c r="Q34" s="38">
        <f>P34</f>
        <v/>
      </c>
      <c r="R34" s="20">
        <f>IFERROR(R25*100/R32,"")</f>
        <v/>
      </c>
      <c r="S34" s="20">
        <f>IFERROR(S25*100/S32,"")</f>
        <v/>
      </c>
      <c r="T34" s="20">
        <f>IFERROR(T25*100/T32,"")</f>
        <v/>
      </c>
      <c r="U34" s="20">
        <f>IFERROR(U25*100/U32,"")</f>
        <v/>
      </c>
      <c r="V34" s="38">
        <f>U34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/>
      <c r="F35" s="18" t="n">
        <v>50</v>
      </c>
      <c r="G35" s="37" t="n">
        <v>50</v>
      </c>
      <c r="H35" s="18" t="n"/>
      <c r="I35" s="19" t="n"/>
      <c r="J35" s="20" t="n"/>
      <c r="K35" s="20">
        <f>변수!K41</f>
        <v/>
      </c>
      <c r="L35" s="38">
        <f>SUM(H35:K35)</f>
        <v/>
      </c>
      <c r="M35" s="20" t="n"/>
      <c r="N35" s="20" t="n"/>
      <c r="O35" s="20" t="n"/>
      <c r="P35" s="20">
        <f>변수!P41</f>
        <v/>
      </c>
      <c r="Q35" s="38">
        <f>SUM(M35:P35)</f>
        <v/>
      </c>
      <c r="R35" s="20" t="n"/>
      <c r="S35" s="20" t="n"/>
      <c r="T35" s="20" t="n"/>
      <c r="U35" s="20">
        <f>변수!U41</f>
        <v/>
      </c>
      <c r="V35" s="38">
        <f>SUM(R35:U35)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3" t="n"/>
      <c r="G36" s="14">
        <f>F36</f>
        <v/>
      </c>
      <c r="H36" s="13" t="n"/>
      <c r="I36" s="15">
        <f>IFERROR(변수!I18/(E33+F33+H33+I33),"")</f>
        <v/>
      </c>
      <c r="J36" s="39">
        <f>IFERROR(변수!$D$44/(F33+H33+I33+J33),"")</f>
        <v/>
      </c>
      <c r="K36" s="39">
        <f>IFERROR(변수!$D$44/(H33+I33+J33+K33),"")</f>
        <v/>
      </c>
      <c r="L36" s="40">
        <f>K36</f>
        <v/>
      </c>
      <c r="M36" s="39">
        <f>IFERROR(변수!$D$44/(I33+J33+K33+M33),"")</f>
        <v/>
      </c>
      <c r="N36" s="39">
        <f>IFERROR(변수!$D$44/(J33+K33+M33+N33),"")</f>
        <v/>
      </c>
      <c r="O36" s="39">
        <f>IFERROR(변수!$D$44/(K33+M33+N33+O33),"")</f>
        <v/>
      </c>
      <c r="P36" s="39">
        <f>IFERROR(변수!$D$44/(M33+N33+O33+P33),"")</f>
        <v/>
      </c>
      <c r="Q36" s="40">
        <f>P36</f>
        <v/>
      </c>
      <c r="R36" s="39">
        <f>IFERROR(변수!$D$44/(N33+O33+P33+R33),"")</f>
        <v/>
      </c>
      <c r="S36" s="39">
        <f>IFERROR(변수!$D$44/(O33+P33+R33+S33),"")</f>
        <v/>
      </c>
      <c r="T36" s="39">
        <f>IFERROR(변수!$D$44/(P33+R33+S33+T33),"")</f>
        <v/>
      </c>
      <c r="U36" s="39">
        <f>IFERROR(변수!$D$44/(R33+S33+T33+U33),"")</f>
        <v/>
      </c>
      <c r="V36" s="40">
        <f>U36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 t="n"/>
      <c r="F37" s="13">
        <f>IFERROR(변수!F18/F34,"")</f>
        <v/>
      </c>
      <c r="G37" s="14">
        <f>F37</f>
        <v/>
      </c>
      <c r="H37" s="13">
        <f>IFERROR(변수!H18/H34,"")</f>
        <v/>
      </c>
      <c r="I37" s="15">
        <f>IFERROR(변수!I18/I34,"")</f>
        <v/>
      </c>
      <c r="J37" s="39">
        <f>IFERROR(변수!$D$44/J34,"")</f>
        <v/>
      </c>
      <c r="K37" s="39">
        <f>IFERROR(변수!$D$44/K34,"")</f>
        <v/>
      </c>
      <c r="L37" s="40">
        <f>K37</f>
        <v/>
      </c>
      <c r="M37" s="39">
        <f>IFERROR(변수!$D$44/M34,"")</f>
        <v/>
      </c>
      <c r="N37" s="39">
        <f>IFERROR(변수!$D$44/N34,"")</f>
        <v/>
      </c>
      <c r="O37" s="39">
        <f>IFERROR(변수!$D$44/O34,"")</f>
        <v/>
      </c>
      <c r="P37" s="39">
        <f>IFERROR(변수!$D$44/P34,"")</f>
        <v/>
      </c>
      <c r="Q37" s="40">
        <f>P37</f>
        <v/>
      </c>
      <c r="R37" s="39">
        <f>IFERROR(변수!$D$44/R34,"")</f>
        <v/>
      </c>
      <c r="S37" s="39">
        <f>IFERROR(변수!$D$44/S34,"")</f>
        <v/>
      </c>
      <c r="T37" s="39">
        <f>IFERROR(변수!$D$44/T34,"")</f>
        <v/>
      </c>
      <c r="U37" s="39">
        <f>IFERROR(변수!$D$44/U34,"")</f>
        <v/>
      </c>
      <c r="V37" s="40">
        <f>U37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797.54</v>
      </c>
      <c r="F38" s="18" t="n">
        <v>758.9</v>
      </c>
      <c r="G38" s="37" t="n"/>
      <c r="H38" s="18" t="n">
        <v>939.49</v>
      </c>
      <c r="I38" s="19" t="n">
        <v>1063.52</v>
      </c>
      <c r="J38" s="20">
        <f>IFERROR(J5,"")</f>
        <v/>
      </c>
      <c r="K38" s="20">
        <f>IFERROR(K5,"")</f>
        <v/>
      </c>
      <c r="L38" s="38">
        <f>SUM(H38:K38)</f>
        <v/>
      </c>
      <c r="M38" s="20">
        <f>IFERROR(M5,"")</f>
        <v/>
      </c>
      <c r="N38" s="20">
        <f>IFERROR(N5,"")</f>
        <v/>
      </c>
      <c r="O38" s="20">
        <f>IFERROR(O5,"")</f>
        <v/>
      </c>
      <c r="P38" s="20">
        <f>IFERROR(P5,"")</f>
        <v/>
      </c>
      <c r="Q38" s="38">
        <f>SUM(M38:P38)</f>
        <v/>
      </c>
      <c r="R38" s="20">
        <f>IFERROR(R5,"")</f>
        <v/>
      </c>
      <c r="S38" s="20">
        <f>IFERROR(S5,"")</f>
        <v/>
      </c>
      <c r="T38" s="20">
        <f>IFERROR(T5,"")</f>
        <v/>
      </c>
      <c r="U38" s="20">
        <f>IFERROR(U5,"")</f>
        <v/>
      </c>
      <c r="V38" s="38">
        <f>SUM(R38:U38)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14.13</v>
      </c>
      <c r="F39" s="18" t="n">
        <v>-21.04</v>
      </c>
      <c r="G39" s="37" t="n"/>
      <c r="H39" s="18" t="n">
        <v>9.75</v>
      </c>
      <c r="I39" s="19" t="n">
        <v>13.42</v>
      </c>
      <c r="J39" s="20">
        <f>IFERROR(J9,"")</f>
        <v/>
      </c>
      <c r="K39" s="20">
        <f>IFERROR(K9,"")</f>
        <v/>
      </c>
      <c r="L39" s="38">
        <f>SUM(H39:K39)</f>
        <v/>
      </c>
      <c r="M39" s="20">
        <f>IFERROR(M9,"")</f>
        <v/>
      </c>
      <c r="N39" s="20">
        <f>IFERROR(N9,"")</f>
        <v/>
      </c>
      <c r="O39" s="20">
        <f>IFERROR(O9,"")</f>
        <v/>
      </c>
      <c r="P39" s="20">
        <f>IFERROR(P9,"")</f>
        <v/>
      </c>
      <c r="Q39" s="38">
        <f>SUM(M39:P39)</f>
        <v/>
      </c>
      <c r="R39" s="20">
        <f>IFERROR(R9,"")</f>
        <v/>
      </c>
      <c r="S39" s="20">
        <f>IFERROR(S9,"")</f>
        <v/>
      </c>
      <c r="T39" s="20">
        <f>IFERROR(T9,"")</f>
        <v/>
      </c>
      <c r="U39" s="20">
        <f>IFERROR(U9,"")</f>
        <v/>
      </c>
      <c r="V39" s="38">
        <f>SUM(R39:U39)</f>
        <v/>
      </c>
    </row>
    <row r="40">
      <c r="B40" s="2" t="inlineStr">
        <is>
          <t>비율(참고)</t>
        </is>
      </c>
      <c r="G40" s="9" t="n"/>
      <c r="I40" s="5" t="n"/>
      <c r="J40" s="10" t="n"/>
      <c r="K40" s="10" t="n"/>
      <c r="L40" s="11" t="n"/>
      <c r="M40" s="10" t="n"/>
      <c r="N40" s="10" t="n"/>
      <c r="O40" s="10" t="n"/>
      <c r="P40" s="10" t="n"/>
      <c r="Q40" s="11" t="n"/>
      <c r="R40" s="10" t="n"/>
      <c r="S40" s="10" t="n"/>
      <c r="T40" s="10" t="n"/>
      <c r="U40" s="10" t="n"/>
      <c r="V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IFERROR(E20/E5,"")</f>
        <v/>
      </c>
      <c r="F41" s="21">
        <f>IFERROR(F20/F5,"")</f>
        <v/>
      </c>
      <c r="G41" s="22">
        <f>IFERROR(G20/G5,"")</f>
        <v/>
      </c>
      <c r="H41" s="21">
        <f>IFERROR(H20/H5,"")</f>
        <v/>
      </c>
      <c r="I41" s="23">
        <f>IFERROR(I20/I5,"")</f>
        <v/>
      </c>
      <c r="J41" s="33">
        <f>IFERROR(J20/J5,"")</f>
        <v/>
      </c>
      <c r="K41" s="33">
        <f>IFERROR(K20/K5,"")</f>
        <v/>
      </c>
      <c r="L41" s="25">
        <f>IFERROR(L20/L5,"")</f>
        <v/>
      </c>
      <c r="M41" s="33">
        <f>IFERROR(M20/M5,"")</f>
        <v/>
      </c>
      <c r="N41" s="33">
        <f>IFERROR(N20/N5,"")</f>
        <v/>
      </c>
      <c r="O41" s="33">
        <f>IFERROR(O20/O5,"")</f>
        <v/>
      </c>
      <c r="P41" s="33">
        <f>IFERROR(P20/P5,"")</f>
        <v/>
      </c>
      <c r="Q41" s="25">
        <f>IFERROR(Q20/Q5,"")</f>
        <v/>
      </c>
      <c r="R41" s="33">
        <f>IFERROR(R20/R5,"")</f>
        <v/>
      </c>
      <c r="S41" s="33">
        <f>IFERROR(S20/S5,"")</f>
        <v/>
      </c>
      <c r="T41" s="33">
        <f>IFERROR(T20/T5,"")</f>
        <v/>
      </c>
      <c r="U41" s="33">
        <f>IFERROR(U20/U5,"")</f>
        <v/>
      </c>
      <c r="V41" s="25">
        <f>IFERROR(V20/V5,"")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1">
        <f>IFERROR(F6/F5,"")</f>
        <v/>
      </c>
      <c r="G42" s="22">
        <f>IFERROR(G6/G5,"")</f>
        <v/>
      </c>
      <c r="H42" s="21">
        <f>IFERROR(H6/H5,"")</f>
        <v/>
      </c>
      <c r="I42" s="23">
        <f>IFERROR(I6/I5,"")</f>
        <v/>
      </c>
      <c r="J42" s="33">
        <f>IFERROR(J6/J5,"")</f>
        <v/>
      </c>
      <c r="K42" s="33">
        <f>IFERROR(K6/K5,"")</f>
        <v/>
      </c>
      <c r="L42" s="25">
        <f>IFERROR(L6/L5,"")</f>
        <v/>
      </c>
      <c r="M42" s="33">
        <f>IFERROR(M6/M5,"")</f>
        <v/>
      </c>
      <c r="N42" s="33">
        <f>IFERROR(N6/N5,"")</f>
        <v/>
      </c>
      <c r="O42" s="33">
        <f>IFERROR(O6/O5,"")</f>
        <v/>
      </c>
      <c r="P42" s="33">
        <f>IFERROR(P6/P5,"")</f>
        <v/>
      </c>
      <c r="Q42" s="25">
        <f>IFERROR(Q6/Q5,"")</f>
        <v/>
      </c>
      <c r="R42" s="33">
        <f>IFERROR(R6/R5,"")</f>
        <v/>
      </c>
      <c r="S42" s="33">
        <f>IFERROR(S6/S5,"")</f>
        <v/>
      </c>
      <c r="T42" s="33">
        <f>IFERROR(T6/T5,"")</f>
        <v/>
      </c>
      <c r="U42" s="33">
        <f>IFERROR(U6/U5,"")</f>
        <v/>
      </c>
      <c r="V42" s="25">
        <f>IFERROR(V6/V5,"")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1">
        <f>IFERROR(F8/F5,"")</f>
        <v/>
      </c>
      <c r="G43" s="22">
        <f>IFERROR(G8/G5,"")</f>
        <v/>
      </c>
      <c r="H43" s="21">
        <f>IFERROR(H8/H5,"")</f>
        <v/>
      </c>
      <c r="I43" s="23">
        <f>IFERROR(I8/I5,"")</f>
        <v/>
      </c>
      <c r="J43" s="33">
        <f>IFERROR(J8/J5,"")</f>
        <v/>
      </c>
      <c r="K43" s="33">
        <f>IFERROR(K8/K5,"")</f>
        <v/>
      </c>
      <c r="L43" s="25">
        <f>IFERROR(L8/L5,"")</f>
        <v/>
      </c>
      <c r="M43" s="33">
        <f>IFERROR(M8/M5,"")</f>
        <v/>
      </c>
      <c r="N43" s="33">
        <f>IFERROR(N8/N5,"")</f>
        <v/>
      </c>
      <c r="O43" s="33">
        <f>IFERROR(O8/O5,"")</f>
        <v/>
      </c>
      <c r="P43" s="33">
        <f>IFERROR(P8/P5,"")</f>
        <v/>
      </c>
      <c r="Q43" s="25">
        <f>IFERROR(Q8/Q5,"")</f>
        <v/>
      </c>
      <c r="R43" s="33">
        <f>IFERROR(R8/R5,"")</f>
        <v/>
      </c>
      <c r="S43" s="33">
        <f>IFERROR(S8/S5,"")</f>
        <v/>
      </c>
      <c r="T43" s="33">
        <f>IFERROR(T8/T5,"")</f>
        <v/>
      </c>
      <c r="U43" s="33">
        <f>IFERROR(U8/U5,"")</f>
        <v/>
      </c>
      <c r="V43" s="25">
        <f>IFERROR(V8/V5,"")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C1" s="2" t="inlineStr">
        <is>
          <t>이름: 분기H — subQ 를 이름으로 VLOOKUP(억원)</t>
        </is>
      </c>
      <c r="E1" s="3" t="inlineStr">
        <is>
          <t>3Q25</t>
        </is>
      </c>
      <c r="F1" s="3" t="inlineStr">
        <is>
          <t>4Q25</t>
        </is>
      </c>
      <c r="G1" s="3" t="inlineStr">
        <is>
          <t>1Q26</t>
        </is>
      </c>
      <c r="H1" s="41" t="inlineStr">
        <is>
          <t>2Q26</t>
        </is>
      </c>
      <c r="I1" s="3" t="inlineStr">
        <is>
          <t>3Q26</t>
        </is>
      </c>
      <c r="J1" s="3" t="inlineStr">
        <is>
          <t>4Q26</t>
        </is>
      </c>
      <c r="K1" s="3" t="inlineStr">
        <is>
          <t>1Q27</t>
        </is>
      </c>
      <c r="L1" s="3" t="inlineStr">
        <is>
          <t>2Q27</t>
        </is>
      </c>
      <c r="M1" s="3" t="inlineStr">
        <is>
          <t>3Q27</t>
        </is>
      </c>
      <c r="N1" s="3" t="inlineStr">
        <is>
          <t>4Q27</t>
        </is>
      </c>
      <c r="O1" s="3" t="inlineStr">
        <is>
          <t>1Q28</t>
        </is>
      </c>
      <c r="P1" s="3" t="inlineStr">
        <is>
          <t>2Q28</t>
        </is>
      </c>
      <c r="Q1" s="3" t="inlineStr">
        <is>
          <t>3Q28</t>
        </is>
      </c>
      <c r="R1" s="3" t="inlineStr">
        <is>
          <t>4Q28</t>
        </is>
      </c>
    </row>
    <row r="2">
      <c r="C2" t="inlineStr">
        <is>
          <t>종가:</t>
        </is>
      </c>
      <c r="D2" s="18">
        <f>변수!D44</f>
        <v/>
      </c>
      <c r="H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43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E4" s="7" t="inlineStr">
        <is>
          <t>2025.09</t>
        </is>
      </c>
      <c r="F4" s="7" t="inlineStr">
        <is>
          <t>2025.12</t>
        </is>
      </c>
      <c r="G4" s="7" t="inlineStr">
        <is>
          <t>2026.03</t>
        </is>
      </c>
      <c r="H4" s="44" t="inlineStr">
        <is>
          <t>2026.06</t>
        </is>
      </c>
      <c r="I4" s="7" t="inlineStr">
        <is>
          <t>2026.09</t>
        </is>
      </c>
      <c r="J4" s="7" t="inlineStr">
        <is>
          <t>2026.12</t>
        </is>
      </c>
      <c r="K4" s="7" t="inlineStr">
        <is>
          <t>2027.03</t>
        </is>
      </c>
      <c r="L4" s="7" t="inlineStr">
        <is>
          <t>2027.06</t>
        </is>
      </c>
      <c r="M4" s="7" t="inlineStr">
        <is>
          <t>2027.09</t>
        </is>
      </c>
      <c r="N4" s="7" t="inlineStr">
        <is>
          <t>2027.12</t>
        </is>
      </c>
      <c r="O4" s="7" t="inlineStr">
        <is>
          <t>2028.03</t>
        </is>
      </c>
      <c r="P4" s="7" t="inlineStr">
        <is>
          <t>2028.06</t>
        </is>
      </c>
      <c r="Q4" s="7" t="inlineStr">
        <is>
          <t>2028.09</t>
        </is>
      </c>
      <c r="R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45">
        <f>IFERROR(VLOOKUP($A5,subQ,MATCH(H$1,SUBQH,0),0),"")</f>
        <v/>
      </c>
      <c r="I5" s="20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  <c r="M5" s="20">
        <f>IFERROR(VLOOKUP($A5,subQ,MATCH(M$1,SUBQH,0),0),"")</f>
        <v/>
      </c>
      <c r="N5" s="20">
        <f>IFERROR(VLOOKUP($A5,subQ,MATCH(N$1,SUBQH,0),0),"")</f>
        <v/>
      </c>
      <c r="O5" s="20">
        <f>IFERROR(VLOOKUP($A5,subQ,MATCH(O$1,SUBQH,0),0),"")</f>
        <v/>
      </c>
      <c r="P5" s="20">
        <f>IFERROR(VLOOKUP($A5,subQ,MATCH(P$1,SUBQH,0),0),"")</f>
        <v/>
      </c>
      <c r="Q5" s="20">
        <f>IFERROR(VLOOKUP($A5,subQ,MATCH(Q$1,SUBQH,0),0),"")</f>
        <v/>
      </c>
      <c r="R5" s="20">
        <f>IFERROR(VLOOKUP($A5,subQ,MATCH(R$1,SUBQH,0),0),"")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45">
        <f>IFERROR(VLOOKUP($A6,subQ,MATCH(H$1,SUBQH,0),0),"")</f>
        <v/>
      </c>
      <c r="I6" s="20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  <c r="M6" s="20">
        <f>IFERROR(VLOOKUP($A6,subQ,MATCH(M$1,SUBQH,0),0),"")</f>
        <v/>
      </c>
      <c r="N6" s="20">
        <f>IFERROR(VLOOKUP($A6,subQ,MATCH(N$1,SUBQH,0),0),"")</f>
        <v/>
      </c>
      <c r="O6" s="20">
        <f>IFERROR(VLOOKUP($A6,subQ,MATCH(O$1,SUBQH,0),0),"")</f>
        <v/>
      </c>
      <c r="P6" s="20">
        <f>IFERROR(VLOOKUP($A6,subQ,MATCH(P$1,SUBQH,0),0),"")</f>
        <v/>
      </c>
      <c r="Q6" s="20">
        <f>IFERROR(VLOOKUP($A6,subQ,MATCH(Q$1,SUBQH,0),0),"")</f>
        <v/>
      </c>
      <c r="R6" s="20">
        <f>IFERROR(VLOOKUP($A6,subQ,MATCH(R$1,SUBQH,0),0),"")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45">
        <f>IFERROR(VLOOKUP($A7,subQ,MATCH(H$1,SUBQH,0),0),"")</f>
        <v/>
      </c>
      <c r="I7" s="20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  <c r="M7" s="20">
        <f>IFERROR(VLOOKUP($A7,subQ,MATCH(M$1,SUBQH,0),0),"")</f>
        <v/>
      </c>
      <c r="N7" s="20">
        <f>IFERROR(VLOOKUP($A7,subQ,MATCH(N$1,SUBQH,0),0),"")</f>
        <v/>
      </c>
      <c r="O7" s="20">
        <f>IFERROR(VLOOKUP($A7,subQ,MATCH(O$1,SUBQH,0),0),"")</f>
        <v/>
      </c>
      <c r="P7" s="20">
        <f>IFERROR(VLOOKUP($A7,subQ,MATCH(P$1,SUBQH,0),0),"")</f>
        <v/>
      </c>
      <c r="Q7" s="20">
        <f>IFERROR(VLOOKUP($A7,subQ,MATCH(Q$1,SUBQH,0),0),"")</f>
        <v/>
      </c>
      <c r="R7" s="20">
        <f>IFERROR(VLOOKUP($A7,subQ,MATCH(R$1,SUBQH,0),0),"")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45">
        <f>IFERROR(VLOOKUP($A8,subQ,MATCH(H$1,SUBQH,0),0),"")</f>
        <v/>
      </c>
      <c r="I8" s="20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  <c r="M8" s="20">
        <f>IFERROR(VLOOKUP($A8,subQ,MATCH(M$1,SUBQH,0),0),"")</f>
        <v/>
      </c>
      <c r="N8" s="20">
        <f>IFERROR(VLOOKUP($A8,subQ,MATCH(N$1,SUBQH,0),0),"")</f>
        <v/>
      </c>
      <c r="O8" s="20">
        <f>IFERROR(VLOOKUP($A8,subQ,MATCH(O$1,SUBQH,0),0),"")</f>
        <v/>
      </c>
      <c r="P8" s="20">
        <f>IFERROR(VLOOKUP($A8,subQ,MATCH(P$1,SUBQH,0),0),"")</f>
        <v/>
      </c>
      <c r="Q8" s="20">
        <f>IFERROR(VLOOKUP($A8,subQ,MATCH(Q$1,SUBQH,0),0),"")</f>
        <v/>
      </c>
      <c r="R8" s="20">
        <f>IFERROR(VLOOKUP($A8,subQ,MATCH(R$1,SUBQH,0),0),"")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45">
        <f>IFERROR(VLOOKUP($A9,subQ,MATCH(H$1,SUBQH,0),0),"")</f>
        <v/>
      </c>
      <c r="I9" s="20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  <c r="M9" s="20">
        <f>IFERROR(VLOOKUP($A9,subQ,MATCH(M$1,SUBQH,0),0),"")</f>
        <v/>
      </c>
      <c r="N9" s="20">
        <f>IFERROR(VLOOKUP($A9,subQ,MATCH(N$1,SUBQH,0),0),"")</f>
        <v/>
      </c>
      <c r="O9" s="20">
        <f>IFERROR(VLOOKUP($A9,subQ,MATCH(O$1,SUBQH,0),0),"")</f>
        <v/>
      </c>
      <c r="P9" s="20">
        <f>IFERROR(VLOOKUP($A9,subQ,MATCH(P$1,SUBQH,0),0),"")</f>
        <v/>
      </c>
      <c r="Q9" s="20">
        <f>IFERROR(VLOOKUP($A9,subQ,MATCH(Q$1,SUBQH,0),0),"")</f>
        <v/>
      </c>
      <c r="R9" s="20">
        <f>IFERROR(VLOOKUP($A9,subQ,MATCH(R$1,SUBQH,0),0),"")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46">
        <f>IFERROR(VLOOKUP($A10,subQ,MATCH(H$1,SUBQH,0),0),"")</f>
        <v/>
      </c>
      <c r="I10" s="33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  <c r="M10" s="33">
        <f>IFERROR(VLOOKUP($A10,subQ,MATCH(M$1,SUBQH,0),0),"")</f>
        <v/>
      </c>
      <c r="N10" s="33">
        <f>IFERROR(VLOOKUP($A10,subQ,MATCH(N$1,SUBQH,0),0),"")</f>
        <v/>
      </c>
      <c r="O10" s="33">
        <f>IFERROR(VLOOKUP($A10,subQ,MATCH(O$1,SUBQH,0),0),"")</f>
        <v/>
      </c>
      <c r="P10" s="33">
        <f>IFERROR(VLOOKUP($A10,subQ,MATCH(P$1,SUBQH,0),0),"")</f>
        <v/>
      </c>
      <c r="Q10" s="33">
        <f>IFERROR(VLOOKUP($A10,subQ,MATCH(Q$1,SUBQH,0),0),"")</f>
        <v/>
      </c>
      <c r="R10" s="33">
        <f>IFERROR(VLOOKUP($A10,subQ,MATCH(R$1,SUBQH,0),0),"")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45">
        <f>IFERROR(VLOOKUP($A11,subQ,MATCH(H$1,SUBQH,0),0),"")</f>
        <v/>
      </c>
      <c r="I11" s="20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  <c r="M11" s="20">
        <f>IFERROR(VLOOKUP($A11,subQ,MATCH(M$1,SUBQH,0),0),"")</f>
        <v/>
      </c>
      <c r="N11" s="20">
        <f>IFERROR(VLOOKUP($A11,subQ,MATCH(N$1,SUBQH,0),0),"")</f>
        <v/>
      </c>
      <c r="O11" s="20">
        <f>IFERROR(VLOOKUP($A11,subQ,MATCH(O$1,SUBQH,0),0),"")</f>
        <v/>
      </c>
      <c r="P11" s="20">
        <f>IFERROR(VLOOKUP($A11,subQ,MATCH(P$1,SUBQH,0),0),"")</f>
        <v/>
      </c>
      <c r="Q11" s="20">
        <f>IFERROR(VLOOKUP($A11,subQ,MATCH(Q$1,SUBQH,0),0),"")</f>
        <v/>
      </c>
      <c r="R11" s="20">
        <f>IFERROR(VLOOKUP($A11,subQ,MATCH(R$1,SUBQH,0),0),"")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45">
        <f>IFERROR(VLOOKUP($A12,subQ,MATCH(H$1,SUBQH,0),0),"")</f>
        <v/>
      </c>
      <c r="I12" s="20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  <c r="M12" s="20">
        <f>IFERROR(VLOOKUP($A12,subQ,MATCH(M$1,SUBQH,0),0),"")</f>
        <v/>
      </c>
      <c r="N12" s="20">
        <f>IFERROR(VLOOKUP($A12,subQ,MATCH(N$1,SUBQH,0),0),"")</f>
        <v/>
      </c>
      <c r="O12" s="20">
        <f>IFERROR(VLOOKUP($A12,subQ,MATCH(O$1,SUBQH,0),0),"")</f>
        <v/>
      </c>
      <c r="P12" s="20">
        <f>IFERROR(VLOOKUP($A12,subQ,MATCH(P$1,SUBQH,0),0),"")</f>
        <v/>
      </c>
      <c r="Q12" s="20">
        <f>IFERROR(VLOOKUP($A12,subQ,MATCH(Q$1,SUBQH,0),0),"")</f>
        <v/>
      </c>
      <c r="R12" s="20">
        <f>IFERROR(VLOOKUP($A12,subQ,MATCH(R$1,SUBQH,0),0),"")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45">
        <f>IFERROR(VLOOKUP($A13,subQ,MATCH(H$1,SUBQH,0),0),"")</f>
        <v/>
      </c>
      <c r="I13" s="20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  <c r="M13" s="20">
        <f>IFERROR(VLOOKUP($A13,subQ,MATCH(M$1,SUBQH,0),0),"")</f>
        <v/>
      </c>
      <c r="N13" s="20">
        <f>IFERROR(VLOOKUP($A13,subQ,MATCH(N$1,SUBQH,0),0),"")</f>
        <v/>
      </c>
      <c r="O13" s="20">
        <f>IFERROR(VLOOKUP($A13,subQ,MATCH(O$1,SUBQH,0),0),"")</f>
        <v/>
      </c>
      <c r="P13" s="20">
        <f>IFERROR(VLOOKUP($A13,subQ,MATCH(P$1,SUBQH,0),0),"")</f>
        <v/>
      </c>
      <c r="Q13" s="20">
        <f>IFERROR(VLOOKUP($A13,subQ,MATCH(Q$1,SUBQH,0),0),"")</f>
        <v/>
      </c>
      <c r="R13" s="20">
        <f>IFERROR(VLOOKUP($A13,subQ,MATCH(R$1,SUBQH,0),0),"")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45">
        <f>IFERROR(VLOOKUP($A14,subQ,MATCH(H$1,SUBQH,0),0),"")</f>
        <v/>
      </c>
      <c r="I14" s="20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  <c r="M14" s="20">
        <f>IFERROR(VLOOKUP($A14,subQ,MATCH(M$1,SUBQH,0),0),"")</f>
        <v/>
      </c>
      <c r="N14" s="20">
        <f>IFERROR(VLOOKUP($A14,subQ,MATCH(N$1,SUBQH,0),0),"")</f>
        <v/>
      </c>
      <c r="O14" s="20">
        <f>IFERROR(VLOOKUP($A14,subQ,MATCH(O$1,SUBQH,0),0),"")</f>
        <v/>
      </c>
      <c r="P14" s="20">
        <f>IFERROR(VLOOKUP($A14,subQ,MATCH(P$1,SUBQH,0),0),"")</f>
        <v/>
      </c>
      <c r="Q14" s="20">
        <f>IFERROR(VLOOKUP($A14,subQ,MATCH(Q$1,SUBQH,0),0),"")</f>
        <v/>
      </c>
      <c r="R14" s="20">
        <f>IFERROR(VLOOKUP($A14,subQ,MATCH(R$1,SUBQH,0),0),"")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45">
        <f>IFERROR(VLOOKUP($A15,subQ,MATCH(H$1,SUBQH,0),0),"")</f>
        <v/>
      </c>
      <c r="I15" s="20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  <c r="M15" s="20">
        <f>IFERROR(VLOOKUP($A15,subQ,MATCH(M$1,SUBQH,0),0),"")</f>
        <v/>
      </c>
      <c r="N15" s="20">
        <f>IFERROR(VLOOKUP($A15,subQ,MATCH(N$1,SUBQH,0),0),"")</f>
        <v/>
      </c>
      <c r="O15" s="20">
        <f>IFERROR(VLOOKUP($A15,subQ,MATCH(O$1,SUBQH,0),0),"")</f>
        <v/>
      </c>
      <c r="P15" s="20">
        <f>IFERROR(VLOOKUP($A15,subQ,MATCH(P$1,SUBQH,0),0),"")</f>
        <v/>
      </c>
      <c r="Q15" s="20">
        <f>IFERROR(VLOOKUP($A15,subQ,MATCH(Q$1,SUBQH,0),0),"")</f>
        <v/>
      </c>
      <c r="R15" s="20">
        <f>IFERROR(VLOOKUP($A15,subQ,MATCH(R$1,SUBQH,0),0),"")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45">
        <f>IFERROR(VLOOKUP($A16,subQ,MATCH(H$1,SUBQH,0),0),"")</f>
        <v/>
      </c>
      <c r="I16" s="20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  <c r="M16" s="20">
        <f>IFERROR(VLOOKUP($A16,subQ,MATCH(M$1,SUBQH,0),0),"")</f>
        <v/>
      </c>
      <c r="N16" s="20">
        <f>IFERROR(VLOOKUP($A16,subQ,MATCH(N$1,SUBQH,0),0),"")</f>
        <v/>
      </c>
      <c r="O16" s="20">
        <f>IFERROR(VLOOKUP($A16,subQ,MATCH(O$1,SUBQH,0),0),"")</f>
        <v/>
      </c>
      <c r="P16" s="20">
        <f>IFERROR(VLOOKUP($A16,subQ,MATCH(P$1,SUBQH,0),0),"")</f>
        <v/>
      </c>
      <c r="Q16" s="20">
        <f>IFERROR(VLOOKUP($A16,subQ,MATCH(Q$1,SUBQH,0),0),"")</f>
        <v/>
      </c>
      <c r="R16" s="20">
        <f>IFERROR(VLOOKUP($A16,subQ,MATCH(R$1,SUBQH,0),0),"")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45">
        <f>IFERROR(VLOOKUP($A17,subQ,MATCH(H$1,SUBQH,0),0),"")</f>
        <v/>
      </c>
      <c r="I17" s="20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  <c r="M17" s="20">
        <f>IFERROR(VLOOKUP($A17,subQ,MATCH(M$1,SUBQH,0),0),"")</f>
        <v/>
      </c>
      <c r="N17" s="20">
        <f>IFERROR(VLOOKUP($A17,subQ,MATCH(N$1,SUBQH,0),0),"")</f>
        <v/>
      </c>
      <c r="O17" s="20">
        <f>IFERROR(VLOOKUP($A17,subQ,MATCH(O$1,SUBQH,0),0),"")</f>
        <v/>
      </c>
      <c r="P17" s="20">
        <f>IFERROR(VLOOKUP($A17,subQ,MATCH(P$1,SUBQH,0),0),"")</f>
        <v/>
      </c>
      <c r="Q17" s="20">
        <f>IFERROR(VLOOKUP($A17,subQ,MATCH(Q$1,SUBQH,0),0),"")</f>
        <v/>
      </c>
      <c r="R17" s="20">
        <f>IFERROR(VLOOKUP($A17,subQ,MATCH(R$1,SUBQH,0),0),"")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45">
        <f>IFERROR(VLOOKUP($A18,subQ,MATCH(H$1,SUBQH,0),0),"")</f>
        <v/>
      </c>
      <c r="I18" s="20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  <c r="M18" s="20">
        <f>IFERROR(VLOOKUP($A18,subQ,MATCH(M$1,SUBQH,0),0),"")</f>
        <v/>
      </c>
      <c r="N18" s="20">
        <f>IFERROR(VLOOKUP($A18,subQ,MATCH(N$1,SUBQH,0),0),"")</f>
        <v/>
      </c>
      <c r="O18" s="20">
        <f>IFERROR(VLOOKUP($A18,subQ,MATCH(O$1,SUBQH,0),0),"")</f>
        <v/>
      </c>
      <c r="P18" s="20">
        <f>IFERROR(VLOOKUP($A18,subQ,MATCH(P$1,SUBQH,0),0),"")</f>
        <v/>
      </c>
      <c r="Q18" s="20">
        <f>IFERROR(VLOOKUP($A18,subQ,MATCH(Q$1,SUBQH,0),0),"")</f>
        <v/>
      </c>
      <c r="R18" s="20">
        <f>IFERROR(VLOOKUP($A18,subQ,MATCH(R$1,SUBQH,0),0),"")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45">
        <f>IFERROR(VLOOKUP($A19,subQ,MATCH(H$1,SUBQH,0),0),"")</f>
        <v/>
      </c>
      <c r="I19" s="20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  <c r="M19" s="20">
        <f>IFERROR(VLOOKUP($A19,subQ,MATCH(M$1,SUBQH,0),0),"")</f>
        <v/>
      </c>
      <c r="N19" s="20">
        <f>IFERROR(VLOOKUP($A19,subQ,MATCH(N$1,SUBQH,0),0),"")</f>
        <v/>
      </c>
      <c r="O19" s="20">
        <f>IFERROR(VLOOKUP($A19,subQ,MATCH(O$1,SUBQH,0),0),"")</f>
        <v/>
      </c>
      <c r="P19" s="20">
        <f>IFERROR(VLOOKUP($A19,subQ,MATCH(P$1,SUBQH,0),0),"")</f>
        <v/>
      </c>
      <c r="Q19" s="20">
        <f>IFERROR(VLOOKUP($A19,subQ,MATCH(Q$1,SUBQH,0),0),"")</f>
        <v/>
      </c>
      <c r="R19" s="20">
        <f>IFERROR(VLOOKUP($A19,subQ,MATCH(R$1,SUBQH,0),0),"")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45">
        <f>IFERROR(VLOOKUP($A20,subQ,MATCH(H$1,SUBQH,0),0),"")</f>
        <v/>
      </c>
      <c r="I20" s="20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  <c r="M20" s="20">
        <f>IFERROR(VLOOKUP($A20,subQ,MATCH(M$1,SUBQH,0),0),"")</f>
        <v/>
      </c>
      <c r="N20" s="20">
        <f>IFERROR(VLOOKUP($A20,subQ,MATCH(N$1,SUBQH,0),0),"")</f>
        <v/>
      </c>
      <c r="O20" s="20">
        <f>IFERROR(VLOOKUP($A20,subQ,MATCH(O$1,SUBQH,0),0),"")</f>
        <v/>
      </c>
      <c r="P20" s="20">
        <f>IFERROR(VLOOKUP($A20,subQ,MATCH(P$1,SUBQH,0),0),"")</f>
        <v/>
      </c>
      <c r="Q20" s="20">
        <f>IFERROR(VLOOKUP($A20,subQ,MATCH(Q$1,SUBQH,0),0),"")</f>
        <v/>
      </c>
      <c r="R20" s="20">
        <f>IFERROR(VLOOKUP($A20,subQ,MATCH(R$1,SUBQH,0),0),"")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45">
        <f>IFERROR(VLOOKUP($A21,subQ,MATCH(H$1,SUBQH,0),0),"")</f>
        <v/>
      </c>
      <c r="I21" s="20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  <c r="M21" s="20">
        <f>IFERROR(VLOOKUP($A21,subQ,MATCH(M$1,SUBQH,0),0),"")</f>
        <v/>
      </c>
      <c r="N21" s="20">
        <f>IFERROR(VLOOKUP($A21,subQ,MATCH(N$1,SUBQH,0),0),"")</f>
        <v/>
      </c>
      <c r="O21" s="20">
        <f>IFERROR(VLOOKUP($A21,subQ,MATCH(O$1,SUBQH,0),0),"")</f>
        <v/>
      </c>
      <c r="P21" s="20">
        <f>IFERROR(VLOOKUP($A21,subQ,MATCH(P$1,SUBQH,0),0),"")</f>
        <v/>
      </c>
      <c r="Q21" s="20">
        <f>IFERROR(VLOOKUP($A21,subQ,MATCH(Q$1,SUBQH,0),0),"")</f>
        <v/>
      </c>
      <c r="R21" s="20">
        <f>IFERROR(VLOOKUP($A21,subQ,MATCH(R$1,SUBQH,0),0),"")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45">
        <f>IFERROR(VLOOKUP($A22,subQ,MATCH(H$1,SUBQH,0),0),"")</f>
        <v/>
      </c>
      <c r="I22" s="20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  <c r="M22" s="20">
        <f>IFERROR(VLOOKUP($A22,subQ,MATCH(M$1,SUBQH,0),0),"")</f>
        <v/>
      </c>
      <c r="N22" s="20">
        <f>IFERROR(VLOOKUP($A22,subQ,MATCH(N$1,SUBQH,0),0),"")</f>
        <v/>
      </c>
      <c r="O22" s="20">
        <f>IFERROR(VLOOKUP($A22,subQ,MATCH(O$1,SUBQH,0),0),"")</f>
        <v/>
      </c>
      <c r="P22" s="20">
        <f>IFERROR(VLOOKUP($A22,subQ,MATCH(P$1,SUBQH,0),0),"")</f>
        <v/>
      </c>
      <c r="Q22" s="20">
        <f>IFERROR(VLOOKUP($A22,subQ,MATCH(Q$1,SUBQH,0),0),"")</f>
        <v/>
      </c>
      <c r="R22" s="20">
        <f>IFERROR(VLOOKUP($A22,subQ,MATCH(R$1,SUBQH,0),0),"")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45">
        <f>IFERROR(VLOOKUP($A23,subQ,MATCH(H$1,SUBQH,0),0),"")</f>
        <v/>
      </c>
      <c r="I23" s="20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  <c r="M23" s="20">
        <f>IFERROR(VLOOKUP($A23,subQ,MATCH(M$1,SUBQH,0),0),"")</f>
        <v/>
      </c>
      <c r="N23" s="20">
        <f>IFERROR(VLOOKUP($A23,subQ,MATCH(N$1,SUBQH,0),0),"")</f>
        <v/>
      </c>
      <c r="O23" s="20">
        <f>IFERROR(VLOOKUP($A23,subQ,MATCH(O$1,SUBQH,0),0),"")</f>
        <v/>
      </c>
      <c r="P23" s="20">
        <f>IFERROR(VLOOKUP($A23,subQ,MATCH(P$1,SUBQH,0),0),"")</f>
        <v/>
      </c>
      <c r="Q23" s="20">
        <f>IFERROR(VLOOKUP($A23,subQ,MATCH(Q$1,SUBQH,0),0),"")</f>
        <v/>
      </c>
      <c r="R23" s="20">
        <f>IFERROR(VLOOKUP($A23,subQ,MATCH(R$1,SUBQH,0),0),"")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45">
        <f>IFERROR(VLOOKUP($A24,subQ,MATCH(H$1,SUBQH,0),0),"")</f>
        <v/>
      </c>
      <c r="I24" s="20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  <c r="M24" s="20">
        <f>IFERROR(VLOOKUP($A24,subQ,MATCH(M$1,SUBQH,0),0),"")</f>
        <v/>
      </c>
      <c r="N24" s="20">
        <f>IFERROR(VLOOKUP($A24,subQ,MATCH(N$1,SUBQH,0),0),"")</f>
        <v/>
      </c>
      <c r="O24" s="20">
        <f>IFERROR(VLOOKUP($A24,subQ,MATCH(O$1,SUBQH,0),0),"")</f>
        <v/>
      </c>
      <c r="P24" s="20">
        <f>IFERROR(VLOOKUP($A24,subQ,MATCH(P$1,SUBQH,0),0),"")</f>
        <v/>
      </c>
      <c r="Q24" s="20">
        <f>IFERROR(VLOOKUP($A24,subQ,MATCH(Q$1,SUBQH,0),0),"")</f>
        <v/>
      </c>
      <c r="R24" s="20">
        <f>IFERROR(VLOOKUP($A24,subQ,MATCH(R$1,SUBQH,0),0),"")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45">
        <f>IFERROR(VLOOKUP($A25,subQ,MATCH(H$1,SUBQH,0),0),"")</f>
        <v/>
      </c>
      <c r="I25" s="20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  <c r="M25" s="20">
        <f>IFERROR(VLOOKUP($A25,subQ,MATCH(M$1,SUBQH,0),0),"")</f>
        <v/>
      </c>
      <c r="N25" s="20">
        <f>IFERROR(VLOOKUP($A25,subQ,MATCH(N$1,SUBQH,0),0),"")</f>
        <v/>
      </c>
      <c r="O25" s="20">
        <f>IFERROR(VLOOKUP($A25,subQ,MATCH(O$1,SUBQH,0),0),"")</f>
        <v/>
      </c>
      <c r="P25" s="20">
        <f>IFERROR(VLOOKUP($A25,subQ,MATCH(P$1,SUBQH,0),0),"")</f>
        <v/>
      </c>
      <c r="Q25" s="20">
        <f>IFERROR(VLOOKUP($A25,subQ,MATCH(Q$1,SUBQH,0),0),"")</f>
        <v/>
      </c>
      <c r="R25" s="20">
        <f>IFERROR(VLOOKUP($A25,subQ,MATCH(R$1,SUBQH,0),0),"")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45">
        <f>IFERROR(VLOOKUP($A26,subQ,MATCH(H$1,SUBQH,0),0),"")</f>
        <v/>
      </c>
      <c r="I26" s="20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  <c r="M26" s="20">
        <f>IFERROR(VLOOKUP($A26,subQ,MATCH(M$1,SUBQH,0),0),"")</f>
        <v/>
      </c>
      <c r="N26" s="20">
        <f>IFERROR(VLOOKUP($A26,subQ,MATCH(N$1,SUBQH,0),0),"")</f>
        <v/>
      </c>
      <c r="O26" s="20">
        <f>IFERROR(VLOOKUP($A26,subQ,MATCH(O$1,SUBQH,0),0),"")</f>
        <v/>
      </c>
      <c r="P26" s="20">
        <f>IFERROR(VLOOKUP($A26,subQ,MATCH(P$1,SUBQH,0),0),"")</f>
        <v/>
      </c>
      <c r="Q26" s="20">
        <f>IFERROR(VLOOKUP($A26,subQ,MATCH(Q$1,SUBQH,0),0),"")</f>
        <v/>
      </c>
      <c r="R26" s="20">
        <f>IFERROR(VLOOKUP($A26,subQ,MATCH(R$1,SUBQH,0),0),"")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45">
        <f>IFERROR(VLOOKUP($A27,subQ,MATCH(H$1,SUBQH,0),0),"")</f>
        <v/>
      </c>
      <c r="I27" s="20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  <c r="M27" s="20">
        <f>IFERROR(VLOOKUP($A27,subQ,MATCH(M$1,SUBQH,0),0),"")</f>
        <v/>
      </c>
      <c r="N27" s="20">
        <f>IFERROR(VLOOKUP($A27,subQ,MATCH(N$1,SUBQH,0),0),"")</f>
        <v/>
      </c>
      <c r="O27" s="20">
        <f>IFERROR(VLOOKUP($A27,subQ,MATCH(O$1,SUBQH,0),0),"")</f>
        <v/>
      </c>
      <c r="P27" s="20">
        <f>IFERROR(VLOOKUP($A27,subQ,MATCH(P$1,SUBQH,0),0),"")</f>
        <v/>
      </c>
      <c r="Q27" s="20">
        <f>IFERROR(VLOOKUP($A27,subQ,MATCH(Q$1,SUBQH,0),0),"")</f>
        <v/>
      </c>
      <c r="R27" s="20">
        <f>IFERROR(VLOOKUP($A27,subQ,MATCH(R$1,SUBQH,0),0),"")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45">
        <f>IFERROR(VLOOKUP($A28,subQ,MATCH(H$1,SUBQH,0),0),"")</f>
        <v/>
      </c>
      <c r="I28" s="20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  <c r="M28" s="20">
        <f>IFERROR(VLOOKUP($A28,subQ,MATCH(M$1,SUBQH,0),0),"")</f>
        <v/>
      </c>
      <c r="N28" s="20">
        <f>IFERROR(VLOOKUP($A28,subQ,MATCH(N$1,SUBQH,0),0),"")</f>
        <v/>
      </c>
      <c r="O28" s="20">
        <f>IFERROR(VLOOKUP($A28,subQ,MATCH(O$1,SUBQH,0),0),"")</f>
        <v/>
      </c>
      <c r="P28" s="20">
        <f>IFERROR(VLOOKUP($A28,subQ,MATCH(P$1,SUBQH,0),0),"")</f>
        <v/>
      </c>
      <c r="Q28" s="20">
        <f>IFERROR(VLOOKUP($A28,subQ,MATCH(Q$1,SUBQH,0),0),"")</f>
        <v/>
      </c>
      <c r="R28" s="20">
        <f>IFERROR(VLOOKUP($A28,subQ,MATCH(R$1,SUBQH,0),0),"")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45">
        <f>IFERROR(VLOOKUP($A29,subQ,MATCH(H$1,SUBQH,0),0),"")</f>
        <v/>
      </c>
      <c r="I29" s="20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  <c r="M29" s="20">
        <f>IFERROR(VLOOKUP($A29,subQ,MATCH(M$1,SUBQH,0),0),"")</f>
        <v/>
      </c>
      <c r="N29" s="20">
        <f>IFERROR(VLOOKUP($A29,subQ,MATCH(N$1,SUBQH,0),0),"")</f>
        <v/>
      </c>
      <c r="O29" s="20">
        <f>IFERROR(VLOOKUP($A29,subQ,MATCH(O$1,SUBQH,0),0),"")</f>
        <v/>
      </c>
      <c r="P29" s="20">
        <f>IFERROR(VLOOKUP($A29,subQ,MATCH(P$1,SUBQH,0),0),"")</f>
        <v/>
      </c>
      <c r="Q29" s="20">
        <f>IFERROR(VLOOKUP($A29,subQ,MATCH(Q$1,SUBQH,0),0),"")</f>
        <v/>
      </c>
      <c r="R29" s="20">
        <f>IFERROR(VLOOKUP($A29,subQ,MATCH(R$1,SUBQH,0),0),"")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45">
        <f>IFERROR(VLOOKUP($A30,subQ,MATCH(H$1,SUBQH,0),0),"")</f>
        <v/>
      </c>
      <c r="I30" s="20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  <c r="M30" s="20">
        <f>IFERROR(VLOOKUP($A30,subQ,MATCH(M$1,SUBQH,0),0),"")</f>
        <v/>
      </c>
      <c r="N30" s="20">
        <f>IFERROR(VLOOKUP($A30,subQ,MATCH(N$1,SUBQH,0),0),"")</f>
        <v/>
      </c>
      <c r="O30" s="20">
        <f>IFERROR(VLOOKUP($A30,subQ,MATCH(O$1,SUBQH,0),0),"")</f>
        <v/>
      </c>
      <c r="P30" s="20">
        <f>IFERROR(VLOOKUP($A30,subQ,MATCH(P$1,SUBQH,0),0),"")</f>
        <v/>
      </c>
      <c r="Q30" s="20">
        <f>IFERROR(VLOOKUP($A30,subQ,MATCH(Q$1,SUBQH,0),0),"")</f>
        <v/>
      </c>
      <c r="R30" s="20">
        <f>IFERROR(VLOOKUP($A30,subQ,MATCH(R$1,SUBQH,0),0),"")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45">
        <f>IFERROR(VLOOKUP($A31,subQ,MATCH(H$1,SUBQH,0),0),"")</f>
        <v/>
      </c>
      <c r="I31" s="20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  <c r="M31" s="20">
        <f>IFERROR(VLOOKUP($A31,subQ,MATCH(M$1,SUBQH,0),0),"")</f>
        <v/>
      </c>
      <c r="N31" s="20">
        <f>IFERROR(VLOOKUP($A31,subQ,MATCH(N$1,SUBQH,0),0),"")</f>
        <v/>
      </c>
      <c r="O31" s="20">
        <f>IFERROR(VLOOKUP($A31,subQ,MATCH(O$1,SUBQH,0),0),"")</f>
        <v/>
      </c>
      <c r="P31" s="20">
        <f>IFERROR(VLOOKUP($A31,subQ,MATCH(P$1,SUBQH,0),0),"")</f>
        <v/>
      </c>
      <c r="Q31" s="20">
        <f>IFERROR(VLOOKUP($A31,subQ,MATCH(Q$1,SUBQH,0),0),"")</f>
        <v/>
      </c>
      <c r="R31" s="20">
        <f>IFERROR(VLOOKUP($A31,subQ,MATCH(R$1,SUBQH,0),0),"")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7">
        <f>IFERROR(VLOOKUP($A32,subQ,MATCH(E$1,SUBQH,0),0),"")</f>
        <v/>
      </c>
      <c r="F32" s="27">
        <f>IFERROR(VLOOKUP($A32,subQ,MATCH(F$1,SUBQH,0),0),"")</f>
        <v/>
      </c>
      <c r="G32" s="27">
        <f>IFERROR(VLOOKUP($A32,subQ,MATCH(G$1,SUBQH,0),0),"")</f>
        <v/>
      </c>
      <c r="H32" s="47">
        <f>IFERROR(VLOOKUP($A32,subQ,MATCH(H$1,SUBQH,0),0),"")</f>
        <v/>
      </c>
      <c r="I32" s="32">
        <f>IFERROR(VLOOKUP($A32,subQ,MATCH(I$1,SUBQH,0),0),"")</f>
        <v/>
      </c>
      <c r="J32" s="32">
        <f>IFERROR(VLOOKUP($A32,subQ,MATCH(J$1,SUBQH,0),0),"")</f>
        <v/>
      </c>
      <c r="K32" s="32">
        <f>IFERROR(VLOOKUP($A32,subQ,MATCH(K$1,SUBQH,0),0),"")</f>
        <v/>
      </c>
      <c r="L32" s="32">
        <f>IFERROR(VLOOKUP($A32,subQ,MATCH(L$1,SUBQH,0),0),"")</f>
        <v/>
      </c>
      <c r="M32" s="32">
        <f>IFERROR(VLOOKUP($A32,subQ,MATCH(M$1,SUBQH,0),0),"")</f>
        <v/>
      </c>
      <c r="N32" s="32">
        <f>IFERROR(VLOOKUP($A32,subQ,MATCH(N$1,SUBQH,0),0),"")</f>
        <v/>
      </c>
      <c r="O32" s="32">
        <f>IFERROR(VLOOKUP($A32,subQ,MATCH(O$1,SUBQH,0),0),"")</f>
        <v/>
      </c>
      <c r="P32" s="32">
        <f>IFERROR(VLOOKUP($A32,subQ,MATCH(P$1,SUBQH,0),0),"")</f>
        <v/>
      </c>
      <c r="Q32" s="32">
        <f>IFERROR(VLOOKUP($A32,subQ,MATCH(Q$1,SUBQH,0),0),"")</f>
        <v/>
      </c>
      <c r="R32" s="32">
        <f>IFERROR(VLOOKUP($A32,subQ,MATCH(R$1,SUBQH,0),0),"")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45">
        <f>IFERROR(VLOOKUP($A33,subQ,MATCH(H$1,SUBQH,0),0),"")</f>
        <v/>
      </c>
      <c r="I33" s="20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  <c r="M33" s="20">
        <f>IFERROR(VLOOKUP($A33,subQ,MATCH(M$1,SUBQH,0),0),"")</f>
        <v/>
      </c>
      <c r="N33" s="20">
        <f>IFERROR(VLOOKUP($A33,subQ,MATCH(N$1,SUBQH,0),0),"")</f>
        <v/>
      </c>
      <c r="O33" s="20">
        <f>IFERROR(VLOOKUP($A33,subQ,MATCH(O$1,SUBQH,0),0),"")</f>
        <v/>
      </c>
      <c r="P33" s="20">
        <f>IFERROR(VLOOKUP($A33,subQ,MATCH(P$1,SUBQH,0),0),"")</f>
        <v/>
      </c>
      <c r="Q33" s="20">
        <f>IFERROR(VLOOKUP($A33,subQ,MATCH(Q$1,SUBQH,0),0),"")</f>
        <v/>
      </c>
      <c r="R33" s="20">
        <f>IFERROR(VLOOKUP($A33,subQ,MATCH(R$1,SUBQH,0),0),"")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45">
        <f>IFERROR(VLOOKUP($A34,subQ,MATCH(H$1,SUBQH,0),0),"")</f>
        <v/>
      </c>
      <c r="I34" s="20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  <c r="M34" s="20">
        <f>IFERROR(VLOOKUP($A34,subQ,MATCH(M$1,SUBQH,0),0),"")</f>
        <v/>
      </c>
      <c r="N34" s="20">
        <f>IFERROR(VLOOKUP($A34,subQ,MATCH(N$1,SUBQH,0),0),"")</f>
        <v/>
      </c>
      <c r="O34" s="20">
        <f>IFERROR(VLOOKUP($A34,subQ,MATCH(O$1,SUBQH,0),0),"")</f>
        <v/>
      </c>
      <c r="P34" s="20">
        <f>IFERROR(VLOOKUP($A34,subQ,MATCH(P$1,SUBQH,0),0),"")</f>
        <v/>
      </c>
      <c r="Q34" s="20">
        <f>IFERROR(VLOOKUP($A34,subQ,MATCH(Q$1,SUBQH,0),0),"")</f>
        <v/>
      </c>
      <c r="R34" s="20">
        <f>IFERROR(VLOOKUP($A34,subQ,MATCH(R$1,SUBQH,0),0),"")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45">
        <f>IFERROR(VLOOKUP($A35,subQ,MATCH(H$1,SUBQH,0),0),"")</f>
        <v/>
      </c>
      <c r="I35" s="20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  <c r="M35" s="20">
        <f>IFERROR(VLOOKUP($A35,subQ,MATCH(M$1,SUBQH,0),0),"")</f>
        <v/>
      </c>
      <c r="N35" s="20">
        <f>IFERROR(VLOOKUP($A35,subQ,MATCH(N$1,SUBQH,0),0),"")</f>
        <v/>
      </c>
      <c r="O35" s="20">
        <f>IFERROR(VLOOKUP($A35,subQ,MATCH(O$1,SUBQH,0),0),"")</f>
        <v/>
      </c>
      <c r="P35" s="20">
        <f>IFERROR(VLOOKUP($A35,subQ,MATCH(P$1,SUBQH,0),0),"")</f>
        <v/>
      </c>
      <c r="Q35" s="20">
        <f>IFERROR(VLOOKUP($A35,subQ,MATCH(Q$1,SUBQH,0),0),"")</f>
        <v/>
      </c>
      <c r="R35" s="20">
        <f>IFERROR(VLOOKUP($A35,subQ,MATCH(R$1,SUBQH,0),0),"")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48">
        <f>IFERROR(VLOOKUP($A36,subQ,MATCH(H$1,SUBQH,0),0),"")</f>
        <v/>
      </c>
      <c r="I36" s="39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  <c r="M36" s="39">
        <f>IFERROR(VLOOKUP($A36,subQ,MATCH(M$1,SUBQH,0),0),"")</f>
        <v/>
      </c>
      <c r="N36" s="39">
        <f>IFERROR(VLOOKUP($A36,subQ,MATCH(N$1,SUBQH,0),0),"")</f>
        <v/>
      </c>
      <c r="O36" s="39">
        <f>IFERROR(VLOOKUP($A36,subQ,MATCH(O$1,SUBQH,0),0),"")</f>
        <v/>
      </c>
      <c r="P36" s="39">
        <f>IFERROR(VLOOKUP($A36,subQ,MATCH(P$1,SUBQH,0),0),"")</f>
        <v/>
      </c>
      <c r="Q36" s="39">
        <f>IFERROR(VLOOKUP($A36,subQ,MATCH(Q$1,SUBQH,0),0),"")</f>
        <v/>
      </c>
      <c r="R36" s="39">
        <f>IFERROR(VLOOKUP($A36,subQ,MATCH(R$1,SUBQH,0),0),"")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48">
        <f>IFERROR(VLOOKUP($A37,subQ,MATCH(H$1,SUBQH,0),0),"")</f>
        <v/>
      </c>
      <c r="I37" s="39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  <c r="M37" s="39">
        <f>IFERROR(VLOOKUP($A37,subQ,MATCH(M$1,SUBQH,0),0),"")</f>
        <v/>
      </c>
      <c r="N37" s="39">
        <f>IFERROR(VLOOKUP($A37,subQ,MATCH(N$1,SUBQH,0),0),"")</f>
        <v/>
      </c>
      <c r="O37" s="39">
        <f>IFERROR(VLOOKUP($A37,subQ,MATCH(O$1,SUBQH,0),0),"")</f>
        <v/>
      </c>
      <c r="P37" s="39">
        <f>IFERROR(VLOOKUP($A37,subQ,MATCH(P$1,SUBQH,0),0),"")</f>
        <v/>
      </c>
      <c r="Q37" s="39">
        <f>IFERROR(VLOOKUP($A37,subQ,MATCH(Q$1,SUBQH,0),0),"")</f>
        <v/>
      </c>
      <c r="R37" s="39">
        <f>IFERROR(VLOOKUP($A37,subQ,MATCH(R$1,SUBQH,0),0),"")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45">
        <f>IFERROR(VLOOKUP($A38,subQ,MATCH(H$1,SUBQH,0),0),"")</f>
        <v/>
      </c>
      <c r="I38" s="20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  <c r="M38" s="20">
        <f>IFERROR(VLOOKUP($A38,subQ,MATCH(M$1,SUBQH,0),0),"")</f>
        <v/>
      </c>
      <c r="N38" s="20">
        <f>IFERROR(VLOOKUP($A38,subQ,MATCH(N$1,SUBQH,0),0),"")</f>
        <v/>
      </c>
      <c r="O38" s="20">
        <f>IFERROR(VLOOKUP($A38,subQ,MATCH(O$1,SUBQH,0),0),"")</f>
        <v/>
      </c>
      <c r="P38" s="20">
        <f>IFERROR(VLOOKUP($A38,subQ,MATCH(P$1,SUBQH,0),0),"")</f>
        <v/>
      </c>
      <c r="Q38" s="20">
        <f>IFERROR(VLOOKUP($A38,subQ,MATCH(Q$1,SUBQH,0),0),"")</f>
        <v/>
      </c>
      <c r="R38" s="20">
        <f>IFERROR(VLOOKUP($A38,subQ,MATCH(R$1,SUBQH,0),0),"")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45">
        <f>IFERROR(VLOOKUP($A39,subQ,MATCH(H$1,SUBQH,0),0),"")</f>
        <v/>
      </c>
      <c r="I39" s="20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  <c r="M39" s="20">
        <f>IFERROR(VLOOKUP($A39,subQ,MATCH(M$1,SUBQH,0),0),"")</f>
        <v/>
      </c>
      <c r="N39" s="20">
        <f>IFERROR(VLOOKUP($A39,subQ,MATCH(N$1,SUBQH,0),0),"")</f>
        <v/>
      </c>
      <c r="O39" s="20">
        <f>IFERROR(VLOOKUP($A39,subQ,MATCH(O$1,SUBQH,0),0),"")</f>
        <v/>
      </c>
      <c r="P39" s="20">
        <f>IFERROR(VLOOKUP($A39,subQ,MATCH(P$1,SUBQH,0),0),"")</f>
        <v/>
      </c>
      <c r="Q39" s="20">
        <f>IFERROR(VLOOKUP($A39,subQ,MATCH(Q$1,SUBQH,0),0),"")</f>
        <v/>
      </c>
      <c r="R39" s="20">
        <f>IFERROR(VLOOKUP($A39,subQ,MATCH(R$1,SUBQH,0),0),"")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46">
        <f>IFERROR(VLOOKUP($A40,subQ,MATCH(H$1,SUBQH,0),0),"")</f>
        <v/>
      </c>
      <c r="I40" s="33">
        <f>IFERROR(VLOOKUP($A40,subQ,MATCH(I$1,SUBQH,0),0),"")</f>
        <v/>
      </c>
      <c r="J40" s="33">
        <f>IFERROR(VLOOKUP($A40,subQ,MATCH(J$1,SUBQH,0),0),"")</f>
        <v/>
      </c>
      <c r="K40" s="33">
        <f>IFERROR(VLOOKUP($A40,subQ,MATCH(K$1,SUBQH,0),0),"")</f>
        <v/>
      </c>
      <c r="L40" s="33">
        <f>IFERROR(VLOOKUP($A40,subQ,MATCH(L$1,SUBQH,0),0),"")</f>
        <v/>
      </c>
      <c r="M40" s="33">
        <f>IFERROR(VLOOKUP($A40,subQ,MATCH(M$1,SUBQH,0),0),"")</f>
        <v/>
      </c>
      <c r="N40" s="33">
        <f>IFERROR(VLOOKUP($A40,subQ,MATCH(N$1,SUBQH,0),0),"")</f>
        <v/>
      </c>
      <c r="O40" s="33">
        <f>IFERROR(VLOOKUP($A40,subQ,MATCH(O$1,SUBQH,0),0),"")</f>
        <v/>
      </c>
      <c r="P40" s="33">
        <f>IFERROR(VLOOKUP($A40,subQ,MATCH(P$1,SUBQH,0),0),"")</f>
        <v/>
      </c>
      <c r="Q40" s="33">
        <f>IFERROR(VLOOKUP($A40,subQ,MATCH(Q$1,SUBQH,0),0),"")</f>
        <v/>
      </c>
      <c r="R40" s="33">
        <f>IFERROR(VLOOKUP($A40,subQ,MATCH(R$1,SUBQH,0),0),"")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H41" s="42" t="n"/>
      <c r="I41" s="33">
        <f>IFERROR(I5/E5-1,"")</f>
        <v/>
      </c>
      <c r="J41" s="33">
        <f>IFERROR(J5/F5-1,"")</f>
        <v/>
      </c>
      <c r="K41" s="33">
        <f>IFERROR(K5/G5-1,"")</f>
        <v/>
      </c>
      <c r="L41" s="33">
        <f>IFERROR(L5/H5-1,"")</f>
        <v/>
      </c>
      <c r="M41" s="33">
        <f>IFERROR(M5/I5-1,"")</f>
        <v/>
      </c>
      <c r="N41" s="33">
        <f>IFERROR(N5/J5-1,"")</f>
        <v/>
      </c>
      <c r="O41" s="33">
        <f>IFERROR(O5/K5-1,"")</f>
        <v/>
      </c>
      <c r="P41" s="33">
        <f>IFERROR(P5/L5-1,"")</f>
        <v/>
      </c>
      <c r="Q41" s="33">
        <f>IFERROR(Q5/M5-1,"")</f>
        <v/>
      </c>
      <c r="R41" s="33">
        <f>IFERROR(R5/N5-1,"")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H42" s="42" t="n"/>
      <c r="I42" s="33">
        <f>IFERROR(I9/E9-1,"")</f>
        <v/>
      </c>
      <c r="J42" s="33">
        <f>IFERROR(J9/F9-1,"")</f>
        <v/>
      </c>
      <c r="K42" s="33">
        <f>IFERROR(K9/G9-1,"")</f>
        <v/>
      </c>
      <c r="L42" s="33">
        <f>IFERROR(L9/H9-1,"")</f>
        <v/>
      </c>
      <c r="M42" s="33">
        <f>IFERROR(M9/I9-1,"")</f>
        <v/>
      </c>
      <c r="N42" s="33">
        <f>IFERROR(N9/J9-1,"")</f>
        <v/>
      </c>
      <c r="O42" s="33">
        <f>IFERROR(O9/K9-1,"")</f>
        <v/>
      </c>
      <c r="P42" s="33">
        <f>IFERROR(P9/L9-1,"")</f>
        <v/>
      </c>
      <c r="Q42" s="33">
        <f>IFERROR(Q9/M9-1,"")</f>
        <v/>
      </c>
      <c r="R42" s="33">
        <f>IFERROR(R9/N9-1,"")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H43" s="42" t="n"/>
      <c r="I43" s="33">
        <f>IFERROR(I20/E20-1,"")</f>
        <v/>
      </c>
      <c r="J43" s="33">
        <f>IFERROR(J20/F20-1,"")</f>
        <v/>
      </c>
      <c r="K43" s="33">
        <f>IFERROR(K20/G20-1,"")</f>
        <v/>
      </c>
      <c r="L43" s="33">
        <f>IFERROR(L20/H20-1,"")</f>
        <v/>
      </c>
      <c r="M43" s="33">
        <f>IFERROR(M20/I20-1,"")</f>
        <v/>
      </c>
      <c r="N43" s="33">
        <f>IFERROR(N20/J20-1,"")</f>
        <v/>
      </c>
      <c r="O43" s="33">
        <f>IFERROR(O20/K20-1,"")</f>
        <v/>
      </c>
      <c r="P43" s="33">
        <f>IFERROR(P20/L20-1,"")</f>
        <v/>
      </c>
      <c r="Q43" s="33">
        <f>IFERROR(Q20/M20-1,"")</f>
        <v/>
      </c>
      <c r="R43" s="33">
        <f>IFERROR(R20/N20-1,"")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C1" s="2" t="inlineStr">
        <is>
          <t>이름: 연간예상H — subQ 를 이름으로 VLOOKUP(억원)</t>
        </is>
      </c>
      <c r="E1" s="41" t="n">
        <v>2025</v>
      </c>
      <c r="F1" s="3" t="n">
        <v>2026</v>
      </c>
      <c r="G1" s="3" t="n">
        <v>2027</v>
      </c>
      <c r="H1" s="3" t="n">
        <v>2028</v>
      </c>
    </row>
    <row r="2">
      <c r="C2" t="inlineStr">
        <is>
          <t>종가:</t>
        </is>
      </c>
      <c r="D2" s="18">
        <f>변수!D44</f>
        <v/>
      </c>
      <c r="E2" s="42" t="n"/>
    </row>
    <row r="3">
      <c r="C3" t="inlineStr">
        <is>
          <t>기준일:</t>
        </is>
      </c>
      <c r="D3" t="inlineStr">
        <is>
          <t>20261008</t>
        </is>
      </c>
      <c r="E3" s="43" t="n">
        <v>1</v>
      </c>
      <c r="F3" s="2" t="n">
        <v>2</v>
      </c>
      <c r="G3" s="2" t="n">
        <v>3</v>
      </c>
      <c r="H3" s="2" t="n">
        <v>4</v>
      </c>
    </row>
    <row r="4">
      <c r="E4" s="44" t="inlineStr">
        <is>
          <t>2025.12A</t>
        </is>
      </c>
      <c r="F4" s="7" t="inlineStr">
        <is>
          <t>2026.12A</t>
        </is>
      </c>
      <c r="G4" s="7" t="inlineStr">
        <is>
          <t>2027.12A</t>
        </is>
      </c>
      <c r="H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45">
        <f>IFERROR(VLOOKUP($A5,subQ,MATCH(E$1,SUBQH,0),0),"")</f>
        <v/>
      </c>
      <c r="F5" s="20">
        <f>IFERROR(VLOOKUP($A5,subQ,MATCH(F$1,SUBQH,0),0),"")</f>
        <v/>
      </c>
      <c r="G5" s="20">
        <f>IFERROR(VLOOKUP($A5,subQ,MATCH(G$1,SUBQH,0),0),"")</f>
        <v/>
      </c>
      <c r="H5" s="20">
        <f>IFERROR(VLOOKUP($A5,subQ,MATCH(H$1,SUBQH,0),0),"")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45">
        <f>IFERROR(VLOOKUP($A6,subQ,MATCH(E$1,SUBQH,0),0),"")</f>
        <v/>
      </c>
      <c r="F6" s="20">
        <f>IFERROR(VLOOKUP($A6,subQ,MATCH(F$1,SUBQH,0),0),"")</f>
        <v/>
      </c>
      <c r="G6" s="20">
        <f>IFERROR(VLOOKUP($A6,subQ,MATCH(G$1,SUBQH,0),0),"")</f>
        <v/>
      </c>
      <c r="H6" s="20">
        <f>IFERROR(VLOOKUP($A6,subQ,MATCH(H$1,SUBQH,0),0),"")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45">
        <f>IFERROR(VLOOKUP($A7,subQ,MATCH(E$1,SUBQH,0),0),"")</f>
        <v/>
      </c>
      <c r="F7" s="20">
        <f>IFERROR(VLOOKUP($A7,subQ,MATCH(F$1,SUBQH,0),0),"")</f>
        <v/>
      </c>
      <c r="G7" s="20">
        <f>IFERROR(VLOOKUP($A7,subQ,MATCH(G$1,SUBQH,0),0),"")</f>
        <v/>
      </c>
      <c r="H7" s="20">
        <f>IFERROR(VLOOKUP($A7,subQ,MATCH(H$1,SUBQH,0),0),"")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45">
        <f>IFERROR(VLOOKUP($A8,subQ,MATCH(E$1,SUBQH,0),0),"")</f>
        <v/>
      </c>
      <c r="F8" s="20">
        <f>IFERROR(VLOOKUP($A8,subQ,MATCH(F$1,SUBQH,0),0),"")</f>
        <v/>
      </c>
      <c r="G8" s="20">
        <f>IFERROR(VLOOKUP($A8,subQ,MATCH(G$1,SUBQH,0),0),"")</f>
        <v/>
      </c>
      <c r="H8" s="20">
        <f>IFERROR(VLOOKUP($A8,subQ,MATCH(H$1,SUBQH,0),0),"")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45">
        <f>IFERROR(VLOOKUP($A9,subQ,MATCH(E$1,SUBQH,0),0),"")</f>
        <v/>
      </c>
      <c r="F9" s="20">
        <f>IFERROR(VLOOKUP($A9,subQ,MATCH(F$1,SUBQH,0),0),"")</f>
        <v/>
      </c>
      <c r="G9" s="20">
        <f>IFERROR(VLOOKUP($A9,subQ,MATCH(G$1,SUBQH,0),0),"")</f>
        <v/>
      </c>
      <c r="H9" s="20">
        <f>IFERROR(VLOOKUP($A9,subQ,MATCH(H$1,SUBQH,0),0),"")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46">
        <f>IFERROR(VLOOKUP($A10,subQ,MATCH(E$1,SUBQH,0),0),"")</f>
        <v/>
      </c>
      <c r="F10" s="33">
        <f>IFERROR(VLOOKUP($A10,subQ,MATCH(F$1,SUBQH,0),0),"")</f>
        <v/>
      </c>
      <c r="G10" s="33">
        <f>IFERROR(VLOOKUP($A10,subQ,MATCH(G$1,SUBQH,0),0),"")</f>
        <v/>
      </c>
      <c r="H10" s="33">
        <f>IFERROR(VLOOKUP($A10,subQ,MATCH(H$1,SUBQH,0),0),"")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45">
        <f>IFERROR(VLOOKUP($A11,subQ,MATCH(E$1,SUBQH,0),0),"")</f>
        <v/>
      </c>
      <c r="F11" s="20">
        <f>IFERROR(VLOOKUP($A11,subQ,MATCH(F$1,SUBQH,0),0),"")</f>
        <v/>
      </c>
      <c r="G11" s="20">
        <f>IFERROR(VLOOKUP($A11,subQ,MATCH(G$1,SUBQH,0),0),"")</f>
        <v/>
      </c>
      <c r="H11" s="20">
        <f>IFERROR(VLOOKUP($A11,subQ,MATCH(H$1,SUBQH,0),0),"")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45">
        <f>IFERROR(VLOOKUP($A12,subQ,MATCH(E$1,SUBQH,0),0),"")</f>
        <v/>
      </c>
      <c r="F12" s="20">
        <f>IFERROR(VLOOKUP($A12,subQ,MATCH(F$1,SUBQH,0),0),"")</f>
        <v/>
      </c>
      <c r="G12" s="20">
        <f>IFERROR(VLOOKUP($A12,subQ,MATCH(G$1,SUBQH,0),0),"")</f>
        <v/>
      </c>
      <c r="H12" s="20">
        <f>IFERROR(VLOOKUP($A12,subQ,MATCH(H$1,SUBQH,0),0),"")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45">
        <f>IFERROR(VLOOKUP($A13,subQ,MATCH(E$1,SUBQH,0),0),"")</f>
        <v/>
      </c>
      <c r="F13" s="20">
        <f>IFERROR(VLOOKUP($A13,subQ,MATCH(F$1,SUBQH,0),0),"")</f>
        <v/>
      </c>
      <c r="G13" s="20">
        <f>IFERROR(VLOOKUP($A13,subQ,MATCH(G$1,SUBQH,0),0),"")</f>
        <v/>
      </c>
      <c r="H13" s="20">
        <f>IFERROR(VLOOKUP($A13,subQ,MATCH(H$1,SUBQH,0),0),"")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45">
        <f>IFERROR(VLOOKUP($A14,subQ,MATCH(E$1,SUBQH,0),0),"")</f>
        <v/>
      </c>
      <c r="F14" s="20">
        <f>IFERROR(VLOOKUP($A14,subQ,MATCH(F$1,SUBQH,0),0),"")</f>
        <v/>
      </c>
      <c r="G14" s="20">
        <f>IFERROR(VLOOKUP($A14,subQ,MATCH(G$1,SUBQH,0),0),"")</f>
        <v/>
      </c>
      <c r="H14" s="20">
        <f>IFERROR(VLOOKUP($A14,subQ,MATCH(H$1,SUBQH,0),0),"")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45">
        <f>IFERROR(VLOOKUP($A15,subQ,MATCH(E$1,SUBQH,0),0),"")</f>
        <v/>
      </c>
      <c r="F15" s="20">
        <f>IFERROR(VLOOKUP($A15,subQ,MATCH(F$1,SUBQH,0),0),"")</f>
        <v/>
      </c>
      <c r="G15" s="20">
        <f>IFERROR(VLOOKUP($A15,subQ,MATCH(G$1,SUBQH,0),0),"")</f>
        <v/>
      </c>
      <c r="H15" s="20">
        <f>IFERROR(VLOOKUP($A15,subQ,MATCH(H$1,SUBQH,0),0),"")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45">
        <f>IFERROR(VLOOKUP($A16,subQ,MATCH(E$1,SUBQH,0),0),"")</f>
        <v/>
      </c>
      <c r="F16" s="20">
        <f>IFERROR(VLOOKUP($A16,subQ,MATCH(F$1,SUBQH,0),0),"")</f>
        <v/>
      </c>
      <c r="G16" s="20">
        <f>IFERROR(VLOOKUP($A16,subQ,MATCH(G$1,SUBQH,0),0),"")</f>
        <v/>
      </c>
      <c r="H16" s="20">
        <f>IFERROR(VLOOKUP($A16,subQ,MATCH(H$1,SUBQH,0),0),"")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45">
        <f>IFERROR(VLOOKUP($A17,subQ,MATCH(E$1,SUBQH,0),0),"")</f>
        <v/>
      </c>
      <c r="F17" s="20">
        <f>IFERROR(VLOOKUP($A17,subQ,MATCH(F$1,SUBQH,0),0),"")</f>
        <v/>
      </c>
      <c r="G17" s="20">
        <f>IFERROR(VLOOKUP($A17,subQ,MATCH(G$1,SUBQH,0),0),"")</f>
        <v/>
      </c>
      <c r="H17" s="20">
        <f>IFERROR(VLOOKUP($A17,subQ,MATCH(H$1,SUBQH,0),0),"")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45">
        <f>IFERROR(VLOOKUP($A18,subQ,MATCH(E$1,SUBQH,0),0),"")</f>
        <v/>
      </c>
      <c r="F18" s="20">
        <f>IFERROR(VLOOKUP($A18,subQ,MATCH(F$1,SUBQH,0),0),"")</f>
        <v/>
      </c>
      <c r="G18" s="20">
        <f>IFERROR(VLOOKUP($A18,subQ,MATCH(G$1,SUBQH,0),0),"")</f>
        <v/>
      </c>
      <c r="H18" s="20">
        <f>IFERROR(VLOOKUP($A18,subQ,MATCH(H$1,SUBQH,0),0),"")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45">
        <f>IFERROR(VLOOKUP($A19,subQ,MATCH(E$1,SUBQH,0),0),"")</f>
        <v/>
      </c>
      <c r="F19" s="20">
        <f>IFERROR(VLOOKUP($A19,subQ,MATCH(F$1,SUBQH,0),0),"")</f>
        <v/>
      </c>
      <c r="G19" s="20">
        <f>IFERROR(VLOOKUP($A19,subQ,MATCH(G$1,SUBQH,0),0),"")</f>
        <v/>
      </c>
      <c r="H19" s="20">
        <f>IFERROR(VLOOKUP($A19,subQ,MATCH(H$1,SUBQH,0),0),"")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45">
        <f>IFERROR(VLOOKUP($A20,subQ,MATCH(E$1,SUBQH,0),0),"")</f>
        <v/>
      </c>
      <c r="F20" s="20">
        <f>IFERROR(VLOOKUP($A20,subQ,MATCH(F$1,SUBQH,0),0),"")</f>
        <v/>
      </c>
      <c r="G20" s="20">
        <f>IFERROR(VLOOKUP($A20,subQ,MATCH(G$1,SUBQH,0),0),"")</f>
        <v/>
      </c>
      <c r="H20" s="20">
        <f>IFERROR(VLOOKUP($A20,subQ,MATCH(H$1,SUBQH,0),0),"")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45">
        <f>IFERROR(VLOOKUP($A21,subQ,MATCH(E$1,SUBQH,0),0),"")</f>
        <v/>
      </c>
      <c r="F21" s="20">
        <f>IFERROR(VLOOKUP($A21,subQ,MATCH(F$1,SUBQH,0),0),"")</f>
        <v/>
      </c>
      <c r="G21" s="20">
        <f>IFERROR(VLOOKUP($A21,subQ,MATCH(G$1,SUBQH,0),0),"")</f>
        <v/>
      </c>
      <c r="H21" s="20">
        <f>IFERROR(VLOOKUP($A21,subQ,MATCH(H$1,SUBQH,0),0),"")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45">
        <f>IFERROR(VLOOKUP($A22,subQ,MATCH(E$1,SUBQH,0),0),"")</f>
        <v/>
      </c>
      <c r="F22" s="20">
        <f>IFERROR(VLOOKUP($A22,subQ,MATCH(F$1,SUBQH,0),0),"")</f>
        <v/>
      </c>
      <c r="G22" s="20">
        <f>IFERROR(VLOOKUP($A22,subQ,MATCH(G$1,SUBQH,0),0),"")</f>
        <v/>
      </c>
      <c r="H22" s="20">
        <f>IFERROR(VLOOKUP($A22,subQ,MATCH(H$1,SUBQH,0),0),"")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45">
        <f>IFERROR(VLOOKUP($A23,subQ,MATCH(E$1,SUBQH,0),0),"")</f>
        <v/>
      </c>
      <c r="F23" s="20">
        <f>IFERROR(VLOOKUP($A23,subQ,MATCH(F$1,SUBQH,0),0),"")</f>
        <v/>
      </c>
      <c r="G23" s="20">
        <f>IFERROR(VLOOKUP($A23,subQ,MATCH(G$1,SUBQH,0),0),"")</f>
        <v/>
      </c>
      <c r="H23" s="20">
        <f>IFERROR(VLOOKUP($A23,subQ,MATCH(H$1,SUBQH,0),0),"")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45">
        <f>IFERROR(VLOOKUP($A24,subQ,MATCH(E$1,SUBQH,0),0),"")</f>
        <v/>
      </c>
      <c r="F24" s="20">
        <f>IFERROR(VLOOKUP($A24,subQ,MATCH(F$1,SUBQH,0),0),"")</f>
        <v/>
      </c>
      <c r="G24" s="20">
        <f>IFERROR(VLOOKUP($A24,subQ,MATCH(G$1,SUBQH,0),0),"")</f>
        <v/>
      </c>
      <c r="H24" s="20">
        <f>IFERROR(VLOOKUP($A24,subQ,MATCH(H$1,SUBQH,0),0),"")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45">
        <f>IFERROR(VLOOKUP($A25,subQ,MATCH(E$1,SUBQH,0),0),"")</f>
        <v/>
      </c>
      <c r="F25" s="20">
        <f>IFERROR(VLOOKUP($A25,subQ,MATCH(F$1,SUBQH,0),0),"")</f>
        <v/>
      </c>
      <c r="G25" s="20">
        <f>IFERROR(VLOOKUP($A25,subQ,MATCH(G$1,SUBQH,0),0),"")</f>
        <v/>
      </c>
      <c r="H25" s="20">
        <f>IFERROR(VLOOKUP($A25,subQ,MATCH(H$1,SUBQH,0),0),"")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45">
        <f>IFERROR(VLOOKUP($A26,subQ,MATCH(E$1,SUBQH,0),0),"")</f>
        <v/>
      </c>
      <c r="F26" s="20">
        <f>IFERROR(VLOOKUP($A26,subQ,MATCH(F$1,SUBQH,0),0),"")</f>
        <v/>
      </c>
      <c r="G26" s="20">
        <f>IFERROR(VLOOKUP($A26,subQ,MATCH(G$1,SUBQH,0),0),"")</f>
        <v/>
      </c>
      <c r="H26" s="20">
        <f>IFERROR(VLOOKUP($A26,subQ,MATCH(H$1,SUBQH,0),0),"")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45">
        <f>IFERROR(VLOOKUP($A27,subQ,MATCH(E$1,SUBQH,0),0),"")</f>
        <v/>
      </c>
      <c r="F27" s="20">
        <f>IFERROR(VLOOKUP($A27,subQ,MATCH(F$1,SUBQH,0),0),"")</f>
        <v/>
      </c>
      <c r="G27" s="20">
        <f>IFERROR(VLOOKUP($A27,subQ,MATCH(G$1,SUBQH,0),0),"")</f>
        <v/>
      </c>
      <c r="H27" s="20">
        <f>IFERROR(VLOOKUP($A27,subQ,MATCH(H$1,SUBQH,0),0),"")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45">
        <f>IFERROR(VLOOKUP($A28,subQ,MATCH(E$1,SUBQH,0),0),"")</f>
        <v/>
      </c>
      <c r="F28" s="20">
        <f>IFERROR(VLOOKUP($A28,subQ,MATCH(F$1,SUBQH,0),0),"")</f>
        <v/>
      </c>
      <c r="G28" s="20">
        <f>IFERROR(VLOOKUP($A28,subQ,MATCH(G$1,SUBQH,0),0),"")</f>
        <v/>
      </c>
      <c r="H28" s="20">
        <f>IFERROR(VLOOKUP($A28,subQ,MATCH(H$1,SUBQH,0),0),"")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45">
        <f>IFERROR(VLOOKUP($A29,subQ,MATCH(E$1,SUBQH,0),0),"")</f>
        <v/>
      </c>
      <c r="F29" s="20">
        <f>IFERROR(VLOOKUP($A29,subQ,MATCH(F$1,SUBQH,0),0),"")</f>
        <v/>
      </c>
      <c r="G29" s="20">
        <f>IFERROR(VLOOKUP($A29,subQ,MATCH(G$1,SUBQH,0),0),"")</f>
        <v/>
      </c>
      <c r="H29" s="20">
        <f>IFERROR(VLOOKUP($A29,subQ,MATCH(H$1,SUBQH,0),0),"")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45">
        <f>IFERROR(VLOOKUP($A30,subQ,MATCH(E$1,SUBQH,0),0),"")</f>
        <v/>
      </c>
      <c r="F30" s="20">
        <f>IFERROR(VLOOKUP($A30,subQ,MATCH(F$1,SUBQH,0),0),"")</f>
        <v/>
      </c>
      <c r="G30" s="20">
        <f>IFERROR(VLOOKUP($A30,subQ,MATCH(G$1,SUBQH,0),0),"")</f>
        <v/>
      </c>
      <c r="H30" s="20">
        <f>IFERROR(VLOOKUP($A30,subQ,MATCH(H$1,SUBQH,0),0),"")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45">
        <f>IFERROR(VLOOKUP($A31,subQ,MATCH(E$1,SUBQH,0),0),"")</f>
        <v/>
      </c>
      <c r="F31" s="20">
        <f>IFERROR(VLOOKUP($A31,subQ,MATCH(F$1,SUBQH,0),0),"")</f>
        <v/>
      </c>
      <c r="G31" s="20">
        <f>IFERROR(VLOOKUP($A31,subQ,MATCH(G$1,SUBQH,0),0),"")</f>
        <v/>
      </c>
      <c r="H31" s="20">
        <f>IFERROR(VLOOKUP($A31,subQ,MATCH(H$1,SUBQH,0),0),"")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47">
        <f>IFERROR(VLOOKUP($A32,subQ,MATCH(E$1,SUBQH,0),0),"")</f>
        <v/>
      </c>
      <c r="F32" s="32">
        <f>IFERROR(VLOOKUP($A32,subQ,MATCH(F$1,SUBQH,0),0),"")</f>
        <v/>
      </c>
      <c r="G32" s="32">
        <f>IFERROR(VLOOKUP($A32,subQ,MATCH(G$1,SUBQH,0),0),"")</f>
        <v/>
      </c>
      <c r="H32" s="32">
        <f>IFERROR(VLOOKUP($A32,subQ,MATCH(H$1,SUBQH,0),0),"")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45">
        <f>IFERROR(VLOOKUP($A33,subQ,MATCH(E$1,SUBQH,0),0),"")</f>
        <v/>
      </c>
      <c r="F33" s="20">
        <f>IFERROR(VLOOKUP($A33,subQ,MATCH(F$1,SUBQH,0),0),"")</f>
        <v/>
      </c>
      <c r="G33" s="20">
        <f>IFERROR(VLOOKUP($A33,subQ,MATCH(G$1,SUBQH,0),0),"")</f>
        <v/>
      </c>
      <c r="H33" s="20">
        <f>IFERROR(VLOOKUP($A33,subQ,MATCH(H$1,SUBQH,0),0),"")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45">
        <f>IFERROR(VLOOKUP($A34,subQ,MATCH(E$1,SUBQH,0),0),"")</f>
        <v/>
      </c>
      <c r="F34" s="20">
        <f>IFERROR(VLOOKUP($A34,subQ,MATCH(F$1,SUBQH,0),0),"")</f>
        <v/>
      </c>
      <c r="G34" s="20">
        <f>IFERROR(VLOOKUP($A34,subQ,MATCH(G$1,SUBQH,0),0),"")</f>
        <v/>
      </c>
      <c r="H34" s="20">
        <f>IFERROR(VLOOKUP($A34,subQ,MATCH(H$1,SUBQH,0),0),"")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45">
        <f>IFERROR(VLOOKUP($A35,subQ,MATCH(E$1,SUBQH,0),0),"")</f>
        <v/>
      </c>
      <c r="F35" s="20">
        <f>IFERROR(VLOOKUP($A35,subQ,MATCH(F$1,SUBQH,0),0),"")</f>
        <v/>
      </c>
      <c r="G35" s="20">
        <f>IFERROR(VLOOKUP($A35,subQ,MATCH(G$1,SUBQH,0),0),"")</f>
        <v/>
      </c>
      <c r="H35" s="20">
        <f>IFERROR(VLOOKUP($A35,subQ,MATCH(H$1,SUBQH,0),0),"")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48">
        <f>IFERROR(VLOOKUP($A36,subQ,MATCH(E$1,SUBQH,0),0),"")</f>
        <v/>
      </c>
      <c r="F36" s="39">
        <f>IFERROR(VLOOKUP($A36,subQ,MATCH(F$1,SUBQH,0),0),"")</f>
        <v/>
      </c>
      <c r="G36" s="39">
        <f>IFERROR(VLOOKUP($A36,subQ,MATCH(G$1,SUBQH,0),0),"")</f>
        <v/>
      </c>
      <c r="H36" s="39">
        <f>IFERROR(VLOOKUP($A36,subQ,MATCH(H$1,SUBQH,0),0),"")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48">
        <f>IFERROR(VLOOKUP($A37,subQ,MATCH(E$1,SUBQH,0),0),"")</f>
        <v/>
      </c>
      <c r="F37" s="39">
        <f>IFERROR(VLOOKUP($A37,subQ,MATCH(F$1,SUBQH,0),0),"")</f>
        <v/>
      </c>
      <c r="G37" s="39">
        <f>IFERROR(VLOOKUP($A37,subQ,MATCH(G$1,SUBQH,0),0),"")</f>
        <v/>
      </c>
      <c r="H37" s="39">
        <f>IFERROR(VLOOKUP($A37,subQ,MATCH(H$1,SUBQH,0),0),"")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45">
        <f>IFERROR(VLOOKUP($A38,subQ,MATCH(E$1,SUBQH,0),0),"")</f>
        <v/>
      </c>
      <c r="F38" s="20">
        <f>IFERROR(VLOOKUP($A38,subQ,MATCH(F$1,SUBQH,0),0),"")</f>
        <v/>
      </c>
      <c r="G38" s="20">
        <f>IFERROR(VLOOKUP($A38,subQ,MATCH(G$1,SUBQH,0),0),"")</f>
        <v/>
      </c>
      <c r="H38" s="20">
        <f>IFERROR(VLOOKUP($A38,subQ,MATCH(H$1,SUBQH,0),0),"")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45">
        <f>IFERROR(VLOOKUP($A39,subQ,MATCH(E$1,SUBQH,0),0),"")</f>
        <v/>
      </c>
      <c r="F39" s="20">
        <f>IFERROR(VLOOKUP($A39,subQ,MATCH(F$1,SUBQH,0),0),"")</f>
        <v/>
      </c>
      <c r="G39" s="20">
        <f>IFERROR(VLOOKUP($A39,subQ,MATCH(G$1,SUBQH,0),0),"")</f>
        <v/>
      </c>
      <c r="H39" s="20">
        <f>IFERROR(VLOOKUP($A39,subQ,MATCH(H$1,SUBQH,0),0),"")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46">
        <f>IFERROR(VLOOKUP($A40,subQ,MATCH(E$1,SUBQH,0),0),"")</f>
        <v/>
      </c>
      <c r="F40" s="33">
        <f>IFERROR(VLOOKUP($A40,subQ,MATCH(F$1,SUBQH,0),0),"")</f>
        <v/>
      </c>
      <c r="G40" s="33">
        <f>IFERROR(VLOOKUP($A40,subQ,MATCH(G$1,SUBQH,0),0),"")</f>
        <v/>
      </c>
      <c r="H40" s="33">
        <f>IFERROR(VLOOKUP($A40,subQ,MATCH(H$1,SUBQH,0),0),"")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E41" s="42" t="n"/>
      <c r="F41" s="33">
        <f>IFERROR(F5/E5-1,"")</f>
        <v/>
      </c>
      <c r="G41" s="33">
        <f>IFERROR(G5/F5-1,"")</f>
        <v/>
      </c>
      <c r="H41" s="33">
        <f>IFERROR(H5/G5-1,"")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E42" s="42" t="n"/>
      <c r="F42" s="33">
        <f>IFERROR(F9/E9-1,"")</f>
        <v/>
      </c>
      <c r="G42" s="33">
        <f>IFERROR(G9/F9-1,"")</f>
        <v/>
      </c>
      <c r="H42" s="33">
        <f>IFERROR(H9/G9-1,"")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E43" s="42" t="n"/>
      <c r="F43" s="33">
        <f>IFERROR(F20/E20-1,"")</f>
        <v/>
      </c>
      <c r="G43" s="33">
        <f>IFERROR(G20/F20-1,"")</f>
        <v/>
      </c>
      <c r="H43" s="33">
        <f>IFERROR(H20/G20-1,"")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변수!D44</f>
        <v/>
      </c>
    </row>
    <row r="2">
      <c r="B2" s="1" t="inlineStr">
        <is>
          <t>기준일</t>
        </is>
      </c>
      <c r="C2">
        <f>변수!D45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IFERROR(E7*변수!D50+F7*(1-변수!D50),"")</f>
        <v/>
      </c>
    </row>
    <row r="15">
      <c r="C15" t="inlineStr">
        <is>
          <t>적정가치 @PER_lo</t>
        </is>
      </c>
      <c r="D15" s="27">
        <f>변수!D47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변수!D48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변수!D49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변수!D46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171.4</v>
      </c>
    </row>
    <row r="30">
      <c r="C30" s="2" t="inlineStr">
        <is>
          <t>bps_latest</t>
        </is>
      </c>
      <c r="D30" t="n">
        <v>4762.2</v>
      </c>
    </row>
    <row r="31">
      <c r="C31" s="2" t="inlineStr">
        <is>
          <t>per_now</t>
        </is>
      </c>
      <c r="D31" t="n">
        <v>106.42</v>
      </c>
    </row>
    <row r="32">
      <c r="C32" s="2" t="inlineStr">
        <is>
          <t>pbr_now</t>
        </is>
      </c>
      <c r="D32" t="n">
        <v>3.83</v>
      </c>
    </row>
    <row r="33">
      <c r="C33" s="2" t="inlineStr">
        <is>
          <t>roe_fwd</t>
        </is>
      </c>
      <c r="D33" t="n">
        <v>0.036</v>
      </c>
    </row>
    <row r="34">
      <c r="C34" s="2" t="inlineStr">
        <is>
          <t>fair_pbr</t>
        </is>
      </c>
      <c r="D34" t="n">
        <v>0.4</v>
      </c>
    </row>
    <row r="35">
      <c r="C35" s="2" t="inlineStr">
        <is>
          <t>fair_value_pbr</t>
        </is>
      </c>
      <c r="D35" t="n">
        <v>1900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C1" s="2" t="inlineStr">
        <is>
          <t>이름: 외화QH — 환율 QoQ · 외화 순노출 × Δ기말환율</t>
        </is>
      </c>
      <c r="E1" s="3" t="inlineStr">
        <is>
          <t>3Q25</t>
        </is>
      </c>
      <c r="F1" s="3" t="inlineStr">
        <is>
          <t>4Q25</t>
        </is>
      </c>
      <c r="G1" s="3" t="inlineStr">
        <is>
          <t>1Q26</t>
        </is>
      </c>
      <c r="H1" s="3" t="inlineStr">
        <is>
          <t>2Q26</t>
        </is>
      </c>
      <c r="I1" s="3" t="inlineStr">
        <is>
          <t>3Q26</t>
        </is>
      </c>
      <c r="J1" s="3" t="inlineStr">
        <is>
          <t>4Q26</t>
        </is>
      </c>
      <c r="K1" s="3" t="inlineStr">
        <is>
          <t>1Q27</t>
        </is>
      </c>
      <c r="L1" s="3" t="inlineStr">
        <is>
          <t>2Q27</t>
        </is>
      </c>
      <c r="M1" s="3" t="inlineStr">
        <is>
          <t>3Q27</t>
        </is>
      </c>
      <c r="N1" s="3" t="inlineStr">
        <is>
          <t>4Q27</t>
        </is>
      </c>
      <c r="O1" s="3" t="inlineStr">
        <is>
          <t>1Q28</t>
        </is>
      </c>
      <c r="P1" s="3" t="inlineStr">
        <is>
          <t>2Q28</t>
        </is>
      </c>
      <c r="Q1" s="3" t="inlineStr">
        <is>
          <t>3Q28</t>
        </is>
      </c>
      <c r="R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</row>
    <row r="4">
      <c r="E4" s="7" t="inlineStr">
        <is>
          <t>2025.09</t>
        </is>
      </c>
      <c r="F4" s="7" t="inlineStr">
        <is>
          <t>2025.12</t>
        </is>
      </c>
      <c r="G4" s="7" t="inlineStr">
        <is>
          <t>2026.03</t>
        </is>
      </c>
      <c r="H4" s="7" t="inlineStr">
        <is>
          <t>2026.06</t>
        </is>
      </c>
      <c r="I4" s="7" t="inlineStr">
        <is>
          <t>2026.09</t>
        </is>
      </c>
      <c r="J4" s="7" t="inlineStr">
        <is>
          <t>2026.12</t>
        </is>
      </c>
      <c r="K4" s="7" t="inlineStr">
        <is>
          <t>2027.03</t>
        </is>
      </c>
      <c r="L4" s="7" t="inlineStr">
        <is>
          <t>2027.06</t>
        </is>
      </c>
      <c r="M4" s="7" t="inlineStr">
        <is>
          <t>2027.09</t>
        </is>
      </c>
      <c r="N4" s="7" t="inlineStr">
        <is>
          <t>2027.12</t>
        </is>
      </c>
      <c r="O4" s="7" t="inlineStr">
        <is>
          <t>2028.03</t>
        </is>
      </c>
      <c r="P4" s="7" t="inlineStr">
        <is>
          <t>2028.06</t>
        </is>
      </c>
      <c r="Q4" s="7" t="inlineStr">
        <is>
          <t>2028.09</t>
        </is>
      </c>
      <c r="R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39">
        <f>IFERROR(VLOOKUP($D5,환율,MATCH(I$1,변수H,0),0),"")</f>
        <v/>
      </c>
      <c r="J5" s="39">
        <f>IFERROR(VLOOKUP($D5,환율,MATCH(J$1,변수H,0),0),"")</f>
        <v/>
      </c>
      <c r="K5" s="39">
        <f>IFERROR(VLOOKUP($D5,환율,MATCH(K$1,변수H,0),0),"")</f>
        <v/>
      </c>
      <c r="L5" s="39">
        <f>IFERROR(VLOOKUP($D5,환율,MATCH(L$1,변수H,0),0),"")</f>
        <v/>
      </c>
      <c r="M5" s="39">
        <f>IFERROR(VLOOKUP($D5,환율,MATCH(M$1,변수H,0),0),"")</f>
        <v/>
      </c>
      <c r="N5" s="39">
        <f>IFERROR(VLOOKUP($D5,환율,MATCH(N$1,변수H,0),0),"")</f>
        <v/>
      </c>
      <c r="O5" s="39">
        <f>IFERROR(VLOOKUP($D5,환율,MATCH(O$1,변수H,0),0),"")</f>
        <v/>
      </c>
      <c r="P5" s="39">
        <f>IFERROR(VLOOKUP($D5,환율,MATCH(P$1,변수H,0),0),"")</f>
        <v/>
      </c>
      <c r="Q5" s="39">
        <f>IFERROR(VLOOKUP($D5,환율,MATCH(Q$1,변수H,0),0),"")</f>
        <v/>
      </c>
      <c r="R5" s="39">
        <f>IFERROR(VLOOKUP($D5,환율,MATCH(R$1,변수H,0),0),"")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33">
        <f>IFERROR(I5/H5-1,"")</f>
        <v/>
      </c>
      <c r="J6" s="33">
        <f>IFERROR(J5/I5-1,"")</f>
        <v/>
      </c>
      <c r="K6" s="33">
        <f>IFERROR(K5/J5-1,"")</f>
        <v/>
      </c>
      <c r="L6" s="33">
        <f>IFERROR(L5/K5-1,"")</f>
        <v/>
      </c>
      <c r="M6" s="33">
        <f>IFERROR(M5/L5-1,"")</f>
        <v/>
      </c>
      <c r="N6" s="33">
        <f>IFERROR(N5/M5-1,"")</f>
        <v/>
      </c>
      <c r="O6" s="33">
        <f>IFERROR(O5/N5-1,"")</f>
        <v/>
      </c>
      <c r="P6" s="33">
        <f>IFERROR(P5/O5-1,"")</f>
        <v/>
      </c>
      <c r="Q6" s="33">
        <f>IFERROR(Q5/P5-1,"")</f>
        <v/>
      </c>
      <c r="R6" s="33">
        <f>IFERROR(R5/Q5-1,"")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39">
        <f>IFERROR(VLOOKUP($D7,환율,MATCH(I$1,변수H,0),0),"")</f>
        <v/>
      </c>
      <c r="J7" s="39">
        <f>IFERROR(VLOOKUP($D7,환율,MATCH(J$1,변수H,0),0),"")</f>
        <v/>
      </c>
      <c r="K7" s="39">
        <f>IFERROR(VLOOKUP($D7,환율,MATCH(K$1,변수H,0),0),"")</f>
        <v/>
      </c>
      <c r="L7" s="39">
        <f>IFERROR(VLOOKUP($D7,환율,MATCH(L$1,변수H,0),0),"")</f>
        <v/>
      </c>
      <c r="M7" s="39">
        <f>IFERROR(VLOOKUP($D7,환율,MATCH(M$1,변수H,0),0),"")</f>
        <v/>
      </c>
      <c r="N7" s="39">
        <f>IFERROR(VLOOKUP($D7,환율,MATCH(N$1,변수H,0),0),"")</f>
        <v/>
      </c>
      <c r="O7" s="39">
        <f>IFERROR(VLOOKUP($D7,환율,MATCH(O$1,변수H,0),0),"")</f>
        <v/>
      </c>
      <c r="P7" s="39">
        <f>IFERROR(VLOOKUP($D7,환율,MATCH(P$1,변수H,0),0),"")</f>
        <v/>
      </c>
      <c r="Q7" s="39">
        <f>IFERROR(VLOOKUP($D7,환율,MATCH(Q$1,변수H,0),0),"")</f>
        <v/>
      </c>
      <c r="R7" s="39">
        <f>IFERROR(VLOOKUP($D7,환율,MATCH(R$1,변수H,0),0),"")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33">
        <f>IFERROR(I7/H7-1,"")</f>
        <v/>
      </c>
      <c r="J8" s="33">
        <f>IFERROR(J7/I7-1,"")</f>
        <v/>
      </c>
      <c r="K8" s="33">
        <f>IFERROR(K7/J7-1,"")</f>
        <v/>
      </c>
      <c r="L8" s="33">
        <f>IFERROR(L7/K7-1,"")</f>
        <v/>
      </c>
      <c r="M8" s="33">
        <f>IFERROR(M7/L7-1,"")</f>
        <v/>
      </c>
      <c r="N8" s="33">
        <f>IFERROR(N7/M7-1,"")</f>
        <v/>
      </c>
      <c r="O8" s="33">
        <f>IFERROR(O7/N7-1,"")</f>
        <v/>
      </c>
      <c r="P8" s="33">
        <f>IFERROR(P7/O7-1,"")</f>
        <v/>
      </c>
      <c r="Q8" s="33">
        <f>IFERROR(Q7/P7-1,"")</f>
        <v/>
      </c>
      <c r="R8" s="33">
        <f>IFERROR(R7/Q7-1,"")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39">
        <f>IFERROR(VLOOKUP($D9,환율,MATCH(I$1,변수H,0),0),"")</f>
        <v/>
      </c>
      <c r="J9" s="39">
        <f>IFERROR(VLOOKUP($D9,환율,MATCH(J$1,변수H,0),0),"")</f>
        <v/>
      </c>
      <c r="K9" s="39">
        <f>IFERROR(VLOOKUP($D9,환율,MATCH(K$1,변수H,0),0),"")</f>
        <v/>
      </c>
      <c r="L9" s="39">
        <f>IFERROR(VLOOKUP($D9,환율,MATCH(L$1,변수H,0),0),"")</f>
        <v/>
      </c>
      <c r="M9" s="39">
        <f>IFERROR(VLOOKUP($D9,환율,MATCH(M$1,변수H,0),0),"")</f>
        <v/>
      </c>
      <c r="N9" s="39">
        <f>IFERROR(VLOOKUP($D9,환율,MATCH(N$1,변수H,0),0),"")</f>
        <v/>
      </c>
      <c r="O9" s="39">
        <f>IFERROR(VLOOKUP($D9,환율,MATCH(O$1,변수H,0),0),"")</f>
        <v/>
      </c>
      <c r="P9" s="39">
        <f>IFERROR(VLOOKUP($D9,환율,MATCH(P$1,변수H,0),0),"")</f>
        <v/>
      </c>
      <c r="Q9" s="39">
        <f>IFERROR(VLOOKUP($D9,환율,MATCH(Q$1,변수H,0),0),"")</f>
        <v/>
      </c>
      <c r="R9" s="39">
        <f>IFERROR(VLOOKUP($D9,환율,MATCH(R$1,변수H,0),0),"")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33">
        <f>IFERROR(I9/H9-1,"")</f>
        <v/>
      </c>
      <c r="J10" s="33">
        <f>IFERROR(J9/I9-1,"")</f>
        <v/>
      </c>
      <c r="K10" s="33">
        <f>IFERROR(K9/J9-1,"")</f>
        <v/>
      </c>
      <c r="L10" s="33">
        <f>IFERROR(L9/K9-1,"")</f>
        <v/>
      </c>
      <c r="M10" s="33">
        <f>IFERROR(M9/L9-1,"")</f>
        <v/>
      </c>
      <c r="N10" s="33">
        <f>IFERROR(N9/M9-1,"")</f>
        <v/>
      </c>
      <c r="O10" s="33">
        <f>IFERROR(O9/N9-1,"")</f>
        <v/>
      </c>
      <c r="P10" s="33">
        <f>IFERROR(P9/O9-1,"")</f>
        <v/>
      </c>
      <c r="Q10" s="33">
        <f>IFERROR(Q9/P9-1,"")</f>
        <v/>
      </c>
      <c r="R10" s="33">
        <f>IFERROR(R9/Q9-1,"")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39">
        <f>IFERROR(VLOOKUP($D11,환율,MATCH(I$1,변수H,0),0),"")</f>
        <v/>
      </c>
      <c r="J11" s="39">
        <f>IFERROR(VLOOKUP($D11,환율,MATCH(J$1,변수H,0),0),"")</f>
        <v/>
      </c>
      <c r="K11" s="39">
        <f>IFERROR(VLOOKUP($D11,환율,MATCH(K$1,변수H,0),0),"")</f>
        <v/>
      </c>
      <c r="L11" s="39">
        <f>IFERROR(VLOOKUP($D11,환율,MATCH(L$1,변수H,0),0),"")</f>
        <v/>
      </c>
      <c r="M11" s="39">
        <f>IFERROR(VLOOKUP($D11,환율,MATCH(M$1,변수H,0),0),"")</f>
        <v/>
      </c>
      <c r="N11" s="39">
        <f>IFERROR(VLOOKUP($D11,환율,MATCH(N$1,변수H,0),0),"")</f>
        <v/>
      </c>
      <c r="O11" s="39">
        <f>IFERROR(VLOOKUP($D11,환율,MATCH(O$1,변수H,0),0),"")</f>
        <v/>
      </c>
      <c r="P11" s="39">
        <f>IFERROR(VLOOKUP($D11,환율,MATCH(P$1,변수H,0),0),"")</f>
        <v/>
      </c>
      <c r="Q11" s="39">
        <f>IFERROR(VLOOKUP($D11,환율,MATCH(Q$1,변수H,0),0),"")</f>
        <v/>
      </c>
      <c r="R11" s="39">
        <f>IFERROR(VLOOKUP($D11,환율,MATCH(R$1,변수H,0),0),"")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33">
        <f>IFERROR(I11/H11-1,"")</f>
        <v/>
      </c>
      <c r="J12" s="33">
        <f>IFERROR(J11/I11-1,"")</f>
        <v/>
      </c>
      <c r="K12" s="33">
        <f>IFERROR(K11/J11-1,"")</f>
        <v/>
      </c>
      <c r="L12" s="33">
        <f>IFERROR(L11/K11-1,"")</f>
        <v/>
      </c>
      <c r="M12" s="33">
        <f>IFERROR(M11/L11-1,"")</f>
        <v/>
      </c>
      <c r="N12" s="33">
        <f>IFERROR(N11/M11-1,"")</f>
        <v/>
      </c>
      <c r="O12" s="33">
        <f>IFERROR(O11/N11-1,"")</f>
        <v/>
      </c>
      <c r="P12" s="33">
        <f>IFERROR(P11/O11-1,"")</f>
        <v/>
      </c>
      <c r="Q12" s="33">
        <f>IFERROR(Q11/P11-1,"")</f>
        <v/>
      </c>
      <c r="R12" s="33">
        <f>IFERROR(R11/Q11-1,"")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39">
        <f>IFERROR(VLOOKUP($D13,환율,MATCH(I$1,변수H,0),0),"")</f>
        <v/>
      </c>
      <c r="J13" s="39">
        <f>IFERROR(VLOOKUP($D13,환율,MATCH(J$1,변수H,0),0),"")</f>
        <v/>
      </c>
      <c r="K13" s="39">
        <f>IFERROR(VLOOKUP($D13,환율,MATCH(K$1,변수H,0),0),"")</f>
        <v/>
      </c>
      <c r="L13" s="39">
        <f>IFERROR(VLOOKUP($D13,환율,MATCH(L$1,변수H,0),0),"")</f>
        <v/>
      </c>
      <c r="M13" s="39">
        <f>IFERROR(VLOOKUP($D13,환율,MATCH(M$1,변수H,0),0),"")</f>
        <v/>
      </c>
      <c r="N13" s="39">
        <f>IFERROR(VLOOKUP($D13,환율,MATCH(N$1,변수H,0),0),"")</f>
        <v/>
      </c>
      <c r="O13" s="39">
        <f>IFERROR(VLOOKUP($D13,환율,MATCH(O$1,변수H,0),0),"")</f>
        <v/>
      </c>
      <c r="P13" s="39">
        <f>IFERROR(VLOOKUP($D13,환율,MATCH(P$1,변수H,0),0),"")</f>
        <v/>
      </c>
      <c r="Q13" s="39">
        <f>IFERROR(VLOOKUP($D13,환율,MATCH(Q$1,변수H,0),0),"")</f>
        <v/>
      </c>
      <c r="R13" s="39">
        <f>IFERROR(VLOOKUP($D13,환율,MATCH(R$1,변수H,0),0),"")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33">
        <f>IFERROR(I13/H13-1,"")</f>
        <v/>
      </c>
      <c r="J14" s="33">
        <f>IFERROR(J13/I13-1,"")</f>
        <v/>
      </c>
      <c r="K14" s="33">
        <f>IFERROR(K13/J13-1,"")</f>
        <v/>
      </c>
      <c r="L14" s="33">
        <f>IFERROR(L13/K13-1,"")</f>
        <v/>
      </c>
      <c r="M14" s="33">
        <f>IFERROR(M13/L13-1,"")</f>
        <v/>
      </c>
      <c r="N14" s="33">
        <f>IFERROR(N13/M13-1,"")</f>
        <v/>
      </c>
      <c r="O14" s="33">
        <f>IFERROR(O13/N13-1,"")</f>
        <v/>
      </c>
      <c r="P14" s="33">
        <f>IFERROR(P13/O13-1,"")</f>
        <v/>
      </c>
      <c r="Q14" s="33">
        <f>IFERROR(Q13/P13-1,"")</f>
        <v/>
      </c>
      <c r="R14" s="33">
        <f>IFERROR(R13/Q13-1,"")</f>
        <v/>
      </c>
    </row>
    <row r="15"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변수!D57</f>
        <v/>
      </c>
      <c r="E16" s="2" t="inlineStr">
        <is>
          <t>외화 순노출 × Δ기말환율 (외화 시트 방식)</t>
        </is>
      </c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20">
        <f>IFERROR($D$16*(I7-H7)/100,"")</f>
        <v/>
      </c>
      <c r="J17" s="20">
        <f>IFERROR($D$16*(J7-I7)/100,"")</f>
        <v/>
      </c>
      <c r="K17" s="20">
        <f>IFERROR($D$16*(K7-J7)/100,"")</f>
        <v/>
      </c>
      <c r="L17" s="20">
        <f>IFERROR($D$16*(L7-K7)/100,"")</f>
        <v/>
      </c>
      <c r="M17" s="20">
        <f>IFERROR($D$16*(M7-L7)/100,"")</f>
        <v/>
      </c>
      <c r="N17" s="20">
        <f>IFERROR($D$16*(N7-M7)/100,"")</f>
        <v/>
      </c>
      <c r="O17" s="20">
        <f>IFERROR($D$16*(O7-N7)/100,"")</f>
        <v/>
      </c>
      <c r="P17" s="20">
        <f>IFERROR($D$16*(P7-O7)/100,"")</f>
        <v/>
      </c>
      <c r="Q17" s="20">
        <f>IFERROR($D$16*(Q7-P7)/100,"")</f>
        <v/>
      </c>
      <c r="R17" s="20">
        <f>IFERROR($D$16*(R7-Q7)/100,"")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C19" s="2" t="inlineStr">
        <is>
          <t>외화 순노출 미공시(face) → 0 + 표기</t>
        </is>
      </c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